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S:\FACTURACION PRESTADORES\Prestadores_Planillas\PST - Rosario (SUPERNOVA)\Año 2026\202604\"/>
    </mc:Choice>
  </mc:AlternateContent>
  <xr:revisionPtr revIDLastSave="0" documentId="8_{CF357F5B-022B-4487-AFC9-DE0790FB53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BRIL" sheetId="1" r:id="rId1"/>
    <sheet name="VIATICOS" sheetId="2" r:id="rId2"/>
    <sheet name="TABLA KMS" sheetId="5" r:id="rId3"/>
    <sheet name="SERVICIOS" sheetId="4" r:id="rId4"/>
  </sheets>
  <definedNames>
    <definedName name="_xlnm._FilterDatabase" localSheetId="0" hidden="1">ABRIL!$B$3:$M$97</definedName>
    <definedName name="_xlnm._FilterDatabase" localSheetId="3" hidden="1">SERVICIOS!$A$4199:$N$4287</definedName>
    <definedName name="_xlnm._FilterDatabase" localSheetId="2" hidden="1">'TABLA KMS'!$A$1:$V$198</definedName>
    <definedName name="_xlnm._FilterDatabase" localSheetId="1" hidden="1">VIATICOS!$A$422:$L$432</definedName>
    <definedName name="MAPS">'TABLA KMS'!$A:$M</definedName>
    <definedName name="tablapertex">'TABLA KMS'!$A:$K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6" i="1" l="1"/>
  <c r="L25" i="1"/>
  <c r="L24" i="1"/>
  <c r="L23" i="1"/>
  <c r="L22" i="1"/>
  <c r="L21" i="1"/>
  <c r="L20" i="1"/>
  <c r="L19" i="1"/>
  <c r="L18" i="1"/>
  <c r="K17" i="1"/>
  <c r="L17" i="1" s="1"/>
  <c r="K16" i="1"/>
  <c r="L16" i="1" s="1"/>
  <c r="L15" i="1"/>
  <c r="L14" i="1"/>
  <c r="L13" i="1"/>
  <c r="K12" i="1"/>
  <c r="L12" i="1" s="1"/>
  <c r="L11" i="1"/>
  <c r="L10" i="1"/>
  <c r="L9" i="1"/>
  <c r="L8" i="1"/>
  <c r="L7" i="1"/>
  <c r="L6" i="1"/>
  <c r="L5" i="1"/>
  <c r="L4" i="1"/>
  <c r="I96" i="1"/>
  <c r="G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M766" i="2"/>
  <c r="N766" i="2" s="1"/>
  <c r="M767" i="2"/>
  <c r="N767" i="2" s="1"/>
  <c r="K4204" i="4"/>
  <c r="K4206" i="4"/>
  <c r="J4208" i="4"/>
  <c r="K4208" i="4" s="1"/>
  <c r="J4212" i="4"/>
  <c r="K4212" i="4" s="1"/>
  <c r="J4213" i="4"/>
  <c r="K4213" i="4" s="1"/>
  <c r="K4214" i="4"/>
  <c r="K4216" i="4"/>
  <c r="K4220" i="4"/>
  <c r="K4222" i="4"/>
  <c r="K4225" i="4"/>
  <c r="K4229" i="4"/>
  <c r="K4231" i="4"/>
  <c r="K4233" i="4"/>
  <c r="K4237" i="4"/>
  <c r="K4239" i="4"/>
  <c r="K4241" i="4"/>
  <c r="K4245" i="4"/>
  <c r="K4247" i="4"/>
  <c r="K4249" i="4"/>
  <c r="K4253" i="4"/>
  <c r="K4255" i="4"/>
  <c r="K4257" i="4"/>
  <c r="K4261" i="4"/>
  <c r="K4263" i="4"/>
  <c r="K4265" i="4"/>
  <c r="K4269" i="4"/>
  <c r="K4271" i="4"/>
  <c r="K4273" i="4"/>
  <c r="K4277" i="4"/>
  <c r="K4279" i="4"/>
  <c r="K4281" i="4"/>
  <c r="K4285" i="4"/>
  <c r="K4287" i="4"/>
  <c r="K4201" i="4"/>
  <c r="K4202" i="4"/>
  <c r="K4203" i="4"/>
  <c r="K4205" i="4"/>
  <c r="K4207" i="4"/>
  <c r="K4209" i="4"/>
  <c r="K4210" i="4"/>
  <c r="K4211" i="4"/>
  <c r="K4215" i="4"/>
  <c r="K4217" i="4"/>
  <c r="K4218" i="4"/>
  <c r="K4219" i="4"/>
  <c r="K4221" i="4"/>
  <c r="K4224" i="4"/>
  <c r="K4226" i="4"/>
  <c r="K4227" i="4"/>
  <c r="K4228" i="4"/>
  <c r="K4230" i="4"/>
  <c r="K4232" i="4"/>
  <c r="K4234" i="4"/>
  <c r="K4235" i="4"/>
  <c r="K4236" i="4"/>
  <c r="K4238" i="4"/>
  <c r="K4240" i="4"/>
  <c r="K4242" i="4"/>
  <c r="K4243" i="4"/>
  <c r="K4244" i="4"/>
  <c r="K4246" i="4"/>
  <c r="K4248" i="4"/>
  <c r="K4250" i="4"/>
  <c r="K4251" i="4"/>
  <c r="K4252" i="4"/>
  <c r="K4254" i="4"/>
  <c r="K4256" i="4"/>
  <c r="K4258" i="4"/>
  <c r="K4259" i="4"/>
  <c r="K4260" i="4"/>
  <c r="K4262" i="4"/>
  <c r="K4264" i="4"/>
  <c r="K4266" i="4"/>
  <c r="K4267" i="4"/>
  <c r="K4268" i="4"/>
  <c r="K4270" i="4"/>
  <c r="K4272" i="4"/>
  <c r="K4274" i="4"/>
  <c r="K4275" i="4"/>
  <c r="K4276" i="4"/>
  <c r="K4278" i="4"/>
  <c r="K4280" i="4"/>
  <c r="K4282" i="4"/>
  <c r="K4283" i="4"/>
  <c r="K4284" i="4"/>
  <c r="K4286" i="4"/>
  <c r="K4200" i="4"/>
  <c r="I27" i="1"/>
  <c r="G27" i="1"/>
  <c r="H27" i="1" s="1"/>
  <c r="K4153" i="4"/>
  <c r="J4154" i="4"/>
  <c r="K4154" i="4" s="1"/>
  <c r="K4156" i="4"/>
  <c r="K4192" i="4"/>
  <c r="J4193" i="4"/>
  <c r="K4194" i="4"/>
  <c r="K4196" i="4"/>
  <c r="K4146" i="4"/>
  <c r="K4151" i="4"/>
  <c r="K4149" i="4"/>
  <c r="K4144" i="4"/>
  <c r="K4180" i="4"/>
  <c r="K4181" i="4"/>
  <c r="K4182" i="4"/>
  <c r="K4184" i="4"/>
  <c r="K4186" i="4"/>
  <c r="K4188" i="4"/>
  <c r="K4189" i="4"/>
  <c r="K4190" i="4"/>
  <c r="J4158" i="4"/>
  <c r="K4158" i="4" s="1"/>
  <c r="K4138" i="4"/>
  <c r="K4129" i="4"/>
  <c r="J4152" i="4"/>
  <c r="K4152" i="4" s="1"/>
  <c r="K4143" i="4"/>
  <c r="K4148" i="4"/>
  <c r="K4126" i="4"/>
  <c r="K4177" i="4"/>
  <c r="K4170" i="4"/>
  <c r="K4171" i="4"/>
  <c r="K4172" i="4"/>
  <c r="K4174" i="4"/>
  <c r="K4176" i="4"/>
  <c r="J4128" i="4"/>
  <c r="K4128" i="4" s="1"/>
  <c r="K4118" i="4"/>
  <c r="K4119" i="4"/>
  <c r="K4166" i="4"/>
  <c r="K4168" i="4"/>
  <c r="K4116" i="4"/>
  <c r="K4113" i="4"/>
  <c r="K4130" i="4"/>
  <c r="K4132" i="4"/>
  <c r="K4134" i="4"/>
  <c r="J4135" i="4"/>
  <c r="K4142" i="4"/>
  <c r="K4140" i="4"/>
  <c r="K4114" i="4"/>
  <c r="K4117" i="4"/>
  <c r="J4139" i="4"/>
  <c r="K4139" i="4" s="1"/>
  <c r="K4127" i="4"/>
  <c r="J4122" i="4"/>
  <c r="K4122" i="4" s="1"/>
  <c r="J4136" i="4"/>
  <c r="K4136" i="4" s="1"/>
  <c r="K4121" i="4"/>
  <c r="J4112" i="4"/>
  <c r="K4112" i="4" s="1"/>
  <c r="K4163" i="4"/>
  <c r="K4123" i="4"/>
  <c r="K4124" i="4"/>
  <c r="K4162" i="4"/>
  <c r="K4159" i="4"/>
  <c r="K4155" i="4"/>
  <c r="K4191" i="4"/>
  <c r="K4193" i="4"/>
  <c r="K4195" i="4"/>
  <c r="K4157" i="4"/>
  <c r="K4145" i="4"/>
  <c r="K4150" i="4"/>
  <c r="K4183" i="4"/>
  <c r="K4185" i="4"/>
  <c r="K4187" i="4"/>
  <c r="K4147" i="4"/>
  <c r="K4137" i="4"/>
  <c r="K4141" i="4"/>
  <c r="K4125" i="4"/>
  <c r="K4178" i="4"/>
  <c r="K4173" i="4"/>
  <c r="K4175" i="4"/>
  <c r="K4120" i="4"/>
  <c r="K4165" i="4"/>
  <c r="K4167" i="4"/>
  <c r="K4169" i="4"/>
  <c r="K4131" i="4"/>
  <c r="K4133" i="4"/>
  <c r="K4135" i="4"/>
  <c r="K4115" i="4"/>
  <c r="K4164" i="4"/>
  <c r="K4179" i="4"/>
  <c r="K4090" i="4"/>
  <c r="K4091" i="4"/>
  <c r="K4086" i="4"/>
  <c r="J4088" i="4"/>
  <c r="K4088" i="4" s="1"/>
  <c r="J4045" i="4"/>
  <c r="K4045" i="4" s="1"/>
  <c r="K4103" i="4"/>
  <c r="K4106" i="4"/>
  <c r="K4082" i="4"/>
  <c r="K4084" i="4"/>
  <c r="K4061" i="4"/>
  <c r="K4065" i="4"/>
  <c r="K4067" i="4"/>
  <c r="J4068" i="4"/>
  <c r="K4068" i="4" s="1"/>
  <c r="K4046" i="4"/>
  <c r="J4039" i="4"/>
  <c r="K4039" i="4" s="1"/>
  <c r="K4100" i="4"/>
  <c r="K4081" i="4"/>
  <c r="K4069" i="4"/>
  <c r="K4070" i="4"/>
  <c r="K4072" i="4"/>
  <c r="K4074" i="4"/>
  <c r="J4075" i="4"/>
  <c r="K4075" i="4" s="1"/>
  <c r="K4076" i="4"/>
  <c r="K4077" i="4"/>
  <c r="K4078" i="4"/>
  <c r="K4092" i="4"/>
  <c r="K4094" i="4"/>
  <c r="J4096" i="4"/>
  <c r="K4096" i="4" s="1"/>
  <c r="K4097" i="4"/>
  <c r="K4038" i="4"/>
  <c r="K4034" i="4"/>
  <c r="J4036" i="4"/>
  <c r="K4036" i="4" s="1"/>
  <c r="K4033" i="4"/>
  <c r="K4043" i="4"/>
  <c r="K4032" i="4"/>
  <c r="J4042" i="4"/>
  <c r="K4042" i="4" s="1"/>
  <c r="K4057" i="4"/>
  <c r="K4052" i="4"/>
  <c r="K4058" i="4"/>
  <c r="K4059" i="4"/>
  <c r="K4054" i="4"/>
  <c r="K4056" i="4"/>
  <c r="K4041" i="4"/>
  <c r="K4098" i="4"/>
  <c r="K4040" i="4"/>
  <c r="K4101" i="4"/>
  <c r="K4107" i="4"/>
  <c r="K4048" i="4"/>
  <c r="K4089" i="4"/>
  <c r="K4087" i="4"/>
  <c r="K4104" i="4"/>
  <c r="K4105" i="4"/>
  <c r="K4083" i="4"/>
  <c r="K4085" i="4"/>
  <c r="K4062" i="4"/>
  <c r="K4063" i="4"/>
  <c r="K4064" i="4"/>
  <c r="K4066" i="4"/>
  <c r="K4047" i="4"/>
  <c r="K4102" i="4"/>
  <c r="K4080" i="4"/>
  <c r="K4071" i="4"/>
  <c r="K4073" i="4"/>
  <c r="K4079" i="4"/>
  <c r="K4093" i="4"/>
  <c r="K4095" i="4"/>
  <c r="K4044" i="4"/>
  <c r="K4035" i="4"/>
  <c r="K4060" i="4"/>
  <c r="K4051" i="4"/>
  <c r="K4053" i="4"/>
  <c r="K4055" i="4"/>
  <c r="K4037" i="4"/>
  <c r="K4031" i="4"/>
  <c r="K4099" i="4"/>
  <c r="J198" i="5"/>
  <c r="K198" i="5" s="1"/>
  <c r="M733" i="2"/>
  <c r="N733" i="2" s="1"/>
  <c r="J3965" i="4"/>
  <c r="K3965" i="4" s="1"/>
  <c r="J3957" i="4"/>
  <c r="K3957" i="4" s="1"/>
  <c r="J3987" i="4"/>
  <c r="K3987" i="4" s="1"/>
  <c r="J3955" i="4"/>
  <c r="K3955" i="4" s="1"/>
  <c r="J3946" i="4"/>
  <c r="K3946" i="4" s="1"/>
  <c r="J3938" i="4"/>
  <c r="K3938" i="4" s="1"/>
  <c r="J3937" i="4"/>
  <c r="K3937" i="4" s="1"/>
  <c r="J3984" i="4"/>
  <c r="K3984" i="4" s="1"/>
  <c r="K4013" i="4"/>
  <c r="K4021" i="4"/>
  <c r="K4022" i="4"/>
  <c r="K4023" i="4"/>
  <c r="K4024" i="4"/>
  <c r="K4025" i="4"/>
  <c r="K4026" i="4"/>
  <c r="K3959" i="4"/>
  <c r="K4008" i="4"/>
  <c r="K4009" i="4"/>
  <c r="K4010" i="4"/>
  <c r="K3973" i="4"/>
  <c r="K3967" i="4"/>
  <c r="K3968" i="4"/>
  <c r="K3969" i="4"/>
  <c r="K3970" i="4"/>
  <c r="K3971" i="4"/>
  <c r="K3956" i="4"/>
  <c r="K3961" i="4"/>
  <c r="K3962" i="4"/>
  <c r="K3963" i="4"/>
  <c r="K3964" i="4"/>
  <c r="K4014" i="4"/>
  <c r="K3950" i="4"/>
  <c r="K3951" i="4"/>
  <c r="K3954" i="4"/>
  <c r="K3996" i="4"/>
  <c r="K3997" i="4"/>
  <c r="K3998" i="4"/>
  <c r="K3999" i="4"/>
  <c r="K4000" i="4"/>
  <c r="K4001" i="4"/>
  <c r="K4002" i="4"/>
  <c r="K4003" i="4"/>
  <c r="K4004" i="4"/>
  <c r="K3958" i="4"/>
  <c r="K3991" i="4"/>
  <c r="K3992" i="4"/>
  <c r="K4015" i="4"/>
  <c r="K4005" i="4"/>
  <c r="K4006" i="4"/>
  <c r="K4007" i="4"/>
  <c r="K3993" i="4"/>
  <c r="K3944" i="4"/>
  <c r="K3943" i="4"/>
  <c r="K3966" i="4"/>
  <c r="K3985" i="4"/>
  <c r="K3986" i="4"/>
  <c r="K3994" i="4"/>
  <c r="K3990" i="4"/>
  <c r="K3995" i="4"/>
  <c r="K3940" i="4"/>
  <c r="K3952" i="4"/>
  <c r="K3941" i="4"/>
  <c r="K3939" i="4"/>
  <c r="K3945" i="4"/>
  <c r="K3975" i="4"/>
  <c r="K3976" i="4"/>
  <c r="K3977" i="4"/>
  <c r="K3988" i="4"/>
  <c r="K3989" i="4"/>
  <c r="K3942" i="4"/>
  <c r="K4016" i="4"/>
  <c r="K4017" i="4"/>
  <c r="K4018" i="4"/>
  <c r="K4019" i="4"/>
  <c r="K3960" i="4"/>
  <c r="K3953" i="4"/>
  <c r="K4020" i="4"/>
  <c r="K4011" i="4"/>
  <c r="K4012" i="4"/>
  <c r="K3978" i="4"/>
  <c r="K3979" i="4"/>
  <c r="K3980" i="4"/>
  <c r="K3981" i="4"/>
  <c r="K3982" i="4"/>
  <c r="K3983" i="4"/>
  <c r="K3947" i="4"/>
  <c r="K3948" i="4"/>
  <c r="K3949" i="4"/>
  <c r="J3972" i="4"/>
  <c r="K3972" i="4" s="1"/>
  <c r="O726" i="2"/>
  <c r="J196" i="5"/>
  <c r="K196" i="5" s="1"/>
  <c r="M739" i="2" s="1"/>
  <c r="N739" i="2" s="1"/>
  <c r="J191" i="5"/>
  <c r="K191" i="5" s="1"/>
  <c r="J192" i="5"/>
  <c r="K192" i="5" s="1"/>
  <c r="M751" i="2" s="1"/>
  <c r="N751" i="2" s="1"/>
  <c r="J193" i="5"/>
  <c r="K193" i="5" s="1"/>
  <c r="J194" i="5"/>
  <c r="K194" i="5" s="1"/>
  <c r="J195" i="5"/>
  <c r="K195" i="5" s="1"/>
  <c r="M724" i="2" s="1"/>
  <c r="N724" i="2" s="1"/>
  <c r="J197" i="5"/>
  <c r="K197" i="5" s="1"/>
  <c r="M730" i="2" s="1"/>
  <c r="N730" i="2" s="1"/>
  <c r="F112" i="1"/>
  <c r="K3835" i="4"/>
  <c r="K3830" i="4"/>
  <c r="J3834" i="4"/>
  <c r="K3834" i="4" s="1"/>
  <c r="K3824" i="4"/>
  <c r="K3929" i="4"/>
  <c r="J3930" i="4"/>
  <c r="K3930" i="4" s="1"/>
  <c r="K3820" i="4"/>
  <c r="J3817" i="4"/>
  <c r="K3817" i="4" s="1"/>
  <c r="J3822" i="4"/>
  <c r="K3895" i="4"/>
  <c r="K3893" i="4"/>
  <c r="K3910" i="4"/>
  <c r="J3911" i="4"/>
  <c r="K3911" i="4" s="1"/>
  <c r="K3918" i="4"/>
  <c r="K3922" i="4"/>
  <c r="J3923" i="4"/>
  <c r="K3923" i="4" s="1"/>
  <c r="K3914" i="4"/>
  <c r="K3902" i="4"/>
  <c r="K3904" i="4"/>
  <c r="K3906" i="4"/>
  <c r="K3917" i="4"/>
  <c r="K3885" i="4"/>
  <c r="K3890" i="4"/>
  <c r="K3875" i="4"/>
  <c r="K3861" i="4"/>
  <c r="J3863" i="4"/>
  <c r="K3863" i="4" s="1"/>
  <c r="K3865" i="4"/>
  <c r="K3869" i="4"/>
  <c r="K3807" i="4"/>
  <c r="K3852" i="4"/>
  <c r="K3856" i="4"/>
  <c r="K3809" i="4"/>
  <c r="K3848" i="4"/>
  <c r="K3878" i="4"/>
  <c r="K3844" i="4"/>
  <c r="K3842" i="4"/>
  <c r="J3832" i="4"/>
  <c r="K3832" i="4" s="1"/>
  <c r="K3814" i="4"/>
  <c r="K3839" i="4"/>
  <c r="K3933" i="4"/>
  <c r="K3931" i="4"/>
  <c r="K3836" i="4"/>
  <c r="K3831" i="4"/>
  <c r="K3827" i="4"/>
  <c r="K3833" i="4"/>
  <c r="K3823" i="4"/>
  <c r="K3828" i="4"/>
  <c r="K3825" i="4"/>
  <c r="K3926" i="4"/>
  <c r="K3927" i="4"/>
  <c r="K3928" i="4"/>
  <c r="K3819" i="4"/>
  <c r="K3818" i="4"/>
  <c r="K3821" i="4"/>
  <c r="K3813" i="4"/>
  <c r="K3816" i="4"/>
  <c r="K3822" i="4"/>
  <c r="K3812" i="4"/>
  <c r="K3815" i="4"/>
  <c r="K3896" i="4"/>
  <c r="K3897" i="4"/>
  <c r="K3898" i="4"/>
  <c r="K3894" i="4"/>
  <c r="K3826" i="4"/>
  <c r="K3811" i="4"/>
  <c r="K3924" i="4"/>
  <c r="K3925" i="4"/>
  <c r="K3919" i="4"/>
  <c r="K3920" i="4"/>
  <c r="K3921" i="4"/>
  <c r="K3912" i="4"/>
  <c r="K3913" i="4"/>
  <c r="K3901" i="4"/>
  <c r="K3903" i="4"/>
  <c r="K3915" i="4"/>
  <c r="K3916" i="4"/>
  <c r="K3905" i="4"/>
  <c r="K3907" i="4"/>
  <c r="K3908" i="4"/>
  <c r="K3909" i="4"/>
  <c r="K3810" i="4"/>
  <c r="K3883" i="4"/>
  <c r="K3884" i="4"/>
  <c r="K3891" i="4"/>
  <c r="K3888" i="4"/>
  <c r="K3889" i="4"/>
  <c r="K3892" i="4"/>
  <c r="K3873" i="4"/>
  <c r="K3874" i="4"/>
  <c r="K3876" i="4"/>
  <c r="K3829" i="4"/>
  <c r="K3860" i="4"/>
  <c r="K3862" i="4"/>
  <c r="K3864" i="4"/>
  <c r="K3866" i="4"/>
  <c r="K3867" i="4"/>
  <c r="K3868" i="4"/>
  <c r="K3870" i="4"/>
  <c r="K3871" i="4"/>
  <c r="K3872" i="4"/>
  <c r="K3806" i="4"/>
  <c r="K3850" i="4"/>
  <c r="K3851" i="4"/>
  <c r="K3853" i="4"/>
  <c r="K3854" i="4"/>
  <c r="K3855" i="4"/>
  <c r="K3857" i="4"/>
  <c r="K3803" i="4"/>
  <c r="K3808" i="4"/>
  <c r="K3802" i="4"/>
  <c r="K3841" i="4"/>
  <c r="K3805" i="4"/>
  <c r="K3849" i="4"/>
  <c r="K3858" i="4"/>
  <c r="K3859" i="4"/>
  <c r="K3879" i="4"/>
  <c r="K3886" i="4"/>
  <c r="K3887" i="4"/>
  <c r="K3845" i="4"/>
  <c r="K3846" i="4"/>
  <c r="K3847" i="4"/>
  <c r="K3843" i="4"/>
  <c r="K3804" i="4"/>
  <c r="K3801" i="4"/>
  <c r="K3799" i="4"/>
  <c r="K3800" i="4"/>
  <c r="K3877" i="4"/>
  <c r="K3899" i="4"/>
  <c r="K3900" i="4"/>
  <c r="K3882" i="4"/>
  <c r="K3880" i="4"/>
  <c r="K3881" i="4"/>
  <c r="K3840" i="4"/>
  <c r="K3932" i="4"/>
  <c r="H28" i="1"/>
  <c r="H29" i="1"/>
  <c r="M745" i="2" l="1"/>
  <c r="N745" i="2" s="1"/>
  <c r="M748" i="2"/>
  <c r="N748" i="2" s="1"/>
  <c r="M744" i="2"/>
  <c r="N744" i="2" s="1"/>
  <c r="M750" i="2"/>
  <c r="N750" i="2" s="1"/>
  <c r="M738" i="2"/>
  <c r="N738" i="2" s="1"/>
  <c r="M727" i="2"/>
  <c r="N727" i="2" s="1"/>
  <c r="M729" i="2"/>
  <c r="N729" i="2" s="1"/>
  <c r="M728" i="2"/>
  <c r="N728" i="2" s="1"/>
  <c r="M725" i="2"/>
  <c r="N725" i="2" s="1"/>
  <c r="N713" i="2"/>
  <c r="N714" i="2"/>
  <c r="N715" i="2"/>
  <c r="N716" i="2"/>
  <c r="N717" i="2"/>
  <c r="N718" i="2"/>
  <c r="N719" i="2"/>
  <c r="N720" i="2"/>
  <c r="N721" i="2"/>
  <c r="N712" i="2"/>
  <c r="J190" i="5" l="1"/>
  <c r="K190" i="5" s="1"/>
  <c r="M702" i="2" s="1"/>
  <c r="N702" i="2" s="1"/>
  <c r="K3716" i="4"/>
  <c r="K3707" i="4"/>
  <c r="K3697" i="4"/>
  <c r="K3638" i="4"/>
  <c r="K3693" i="4"/>
  <c r="K3702" i="4"/>
  <c r="K3691" i="4"/>
  <c r="K3629" i="4"/>
  <c r="K3685" i="4"/>
  <c r="K3679" i="4"/>
  <c r="J3614" i="4"/>
  <c r="K3614" i="4" s="1"/>
  <c r="J3642" i="4"/>
  <c r="K3642" i="4" s="1"/>
  <c r="K3677" i="4"/>
  <c r="K3609" i="4"/>
  <c r="J3632" i="4"/>
  <c r="K3634" i="4"/>
  <c r="K3615" i="4"/>
  <c r="K3644" i="4"/>
  <c r="K3673" i="4"/>
  <c r="K3671" i="4"/>
  <c r="K3663" i="4"/>
  <c r="K3666" i="4"/>
  <c r="K3664" i="4"/>
  <c r="J3601" i="4"/>
  <c r="K3601" i="4" s="1"/>
  <c r="K3597" i="4"/>
  <c r="K3625" i="4"/>
  <c r="K3627" i="4"/>
  <c r="J3635" i="4"/>
  <c r="K3635" i="4" s="1"/>
  <c r="J3593" i="4"/>
  <c r="K3593" i="4" s="1"/>
  <c r="J3596" i="4"/>
  <c r="K3596" i="4" s="1"/>
  <c r="K3658" i="4"/>
  <c r="K3662" i="4"/>
  <c r="K3657" i="4"/>
  <c r="K3655" i="4"/>
  <c r="K3653" i="4"/>
  <c r="K3605" i="4"/>
  <c r="J3607" i="4"/>
  <c r="K3607" i="4" s="1"/>
  <c r="J3590" i="4"/>
  <c r="K3590" i="4" s="1"/>
  <c r="K3649" i="4"/>
  <c r="J3591" i="4"/>
  <c r="K3592" i="4"/>
  <c r="J3599" i="4"/>
  <c r="K3599" i="4" s="1"/>
  <c r="K3594" i="4"/>
  <c r="K3595" i="4"/>
  <c r="K3616" i="4"/>
  <c r="K3618" i="4"/>
  <c r="K3620" i="4"/>
  <c r="J3586" i="4"/>
  <c r="K3586" i="4" s="1"/>
  <c r="K3588" i="4"/>
  <c r="K3580" i="4"/>
  <c r="K3582" i="4"/>
  <c r="K3709" i="4"/>
  <c r="K3712" i="4"/>
  <c r="K3711" i="4"/>
  <c r="K3715" i="4"/>
  <c r="K3714" i="4"/>
  <c r="K3710" i="4"/>
  <c r="K3636" i="4"/>
  <c r="K3630" i="4"/>
  <c r="K3698" i="4"/>
  <c r="K3696" i="4"/>
  <c r="K3695" i="4"/>
  <c r="K3637" i="4"/>
  <c r="K3639" i="4"/>
  <c r="K3694" i="4"/>
  <c r="K3706" i="4"/>
  <c r="K3705" i="4"/>
  <c r="K3704" i="4"/>
  <c r="K3703" i="4"/>
  <c r="K3701" i="4"/>
  <c r="K3692" i="4"/>
  <c r="K3700" i="4"/>
  <c r="K3690" i="4"/>
  <c r="K3689" i="4"/>
  <c r="K3699" i="4"/>
  <c r="K3688" i="4"/>
  <c r="K3687" i="4"/>
  <c r="K3686" i="4"/>
  <c r="K3682" i="4"/>
  <c r="K3681" i="4"/>
  <c r="K3680" i="4"/>
  <c r="K3678" i="4"/>
  <c r="K3612" i="4"/>
  <c r="K3613" i="4"/>
  <c r="K3640" i="4"/>
  <c r="K3641" i="4"/>
  <c r="K3684" i="4"/>
  <c r="K3676" i="4"/>
  <c r="K3608" i="4"/>
  <c r="K3631" i="4"/>
  <c r="K3632" i="4"/>
  <c r="K3633" i="4"/>
  <c r="K3622" i="4"/>
  <c r="K3643" i="4"/>
  <c r="K3645" i="4"/>
  <c r="K3675" i="4"/>
  <c r="K3674" i="4"/>
  <c r="K3672" i="4"/>
  <c r="K3670" i="4"/>
  <c r="K3669" i="4"/>
  <c r="K3668" i="4"/>
  <c r="K3667" i="4"/>
  <c r="K3665" i="4"/>
  <c r="K3602" i="4"/>
  <c r="K3623" i="4"/>
  <c r="K3624" i="4"/>
  <c r="K3626" i="4"/>
  <c r="K3628" i="4"/>
  <c r="K3610" i="4"/>
  <c r="K3604" i="4"/>
  <c r="K3611" i="4"/>
  <c r="K3598" i="4"/>
  <c r="K3661" i="4"/>
  <c r="K3660" i="4"/>
  <c r="K3659" i="4"/>
  <c r="K3656" i="4"/>
  <c r="K3654" i="4"/>
  <c r="K3652" i="4"/>
  <c r="K3651" i="4"/>
  <c r="K3603" i="4"/>
  <c r="K3606" i="4"/>
  <c r="K3647" i="4"/>
  <c r="K3648" i="4"/>
  <c r="K3591" i="4"/>
  <c r="K3600" i="4"/>
  <c r="K3589" i="4"/>
  <c r="K3584" i="4"/>
  <c r="K3585" i="4"/>
  <c r="K3617" i="4"/>
  <c r="K3619" i="4"/>
  <c r="K3621" i="4"/>
  <c r="K3587" i="4"/>
  <c r="K3650" i="4"/>
  <c r="K3581" i="4"/>
  <c r="K3583" i="4"/>
  <c r="K3683" i="4"/>
  <c r="K3708" i="4"/>
  <c r="K3713" i="4"/>
  <c r="J189" i="5"/>
  <c r="K189" i="5" s="1"/>
  <c r="K3534" i="4"/>
  <c r="J3571" i="4"/>
  <c r="K3535" i="4"/>
  <c r="J3532" i="4"/>
  <c r="K3532" i="4" s="1"/>
  <c r="K3563" i="4"/>
  <c r="K3564" i="4"/>
  <c r="K3567" i="4"/>
  <c r="K3568" i="4"/>
  <c r="J3530" i="4"/>
  <c r="K3530" i="4" s="1"/>
  <c r="J3526" i="4"/>
  <c r="K3526" i="4" s="1"/>
  <c r="K3553" i="4"/>
  <c r="K3556" i="4"/>
  <c r="K3557" i="4"/>
  <c r="K3560" i="4"/>
  <c r="K3561" i="4"/>
  <c r="K3525" i="4"/>
  <c r="J3519" i="4"/>
  <c r="K3519" i="4" s="1"/>
  <c r="K3545" i="4"/>
  <c r="K3546" i="4"/>
  <c r="K3549" i="4"/>
  <c r="K3520" i="4"/>
  <c r="K3510" i="4"/>
  <c r="K3514" i="4"/>
  <c r="J3515" i="4"/>
  <c r="K3515" i="4" s="1"/>
  <c r="J3507" i="4"/>
  <c r="K3507" i="4" s="1"/>
  <c r="K3508" i="4"/>
  <c r="J3518" i="4"/>
  <c r="K3518" i="4" s="1"/>
  <c r="K3505" i="4"/>
  <c r="J3506" i="4"/>
  <c r="K3506" i="4" s="1"/>
  <c r="K3542" i="4"/>
  <c r="K3575" i="4"/>
  <c r="K3576" i="4"/>
  <c r="K3533" i="4"/>
  <c r="K3571" i="4"/>
  <c r="K3572" i="4"/>
  <c r="K3573" i="4"/>
  <c r="K3562" i="4"/>
  <c r="K3565" i="4"/>
  <c r="K3566" i="4"/>
  <c r="K3569" i="4"/>
  <c r="K3570" i="4"/>
  <c r="K3529" i="4"/>
  <c r="K3527" i="4"/>
  <c r="K3552" i="4"/>
  <c r="K3554" i="4"/>
  <c r="K3555" i="4"/>
  <c r="K3558" i="4"/>
  <c r="K3559" i="4"/>
  <c r="K3531" i="4"/>
  <c r="K3528" i="4"/>
  <c r="K3524" i="4"/>
  <c r="K3523" i="4"/>
  <c r="K3550" i="4"/>
  <c r="K3551" i="4"/>
  <c r="K3516" i="4"/>
  <c r="K3544" i="4"/>
  <c r="K3547" i="4"/>
  <c r="K3548" i="4"/>
  <c r="K3521" i="4"/>
  <c r="K3522" i="4"/>
  <c r="K3509" i="4"/>
  <c r="K3511" i="4"/>
  <c r="K3513" i="4"/>
  <c r="K3512" i="4"/>
  <c r="K3517" i="4"/>
  <c r="K3538" i="4"/>
  <c r="K3539" i="4"/>
  <c r="K3540" i="4"/>
  <c r="K3541" i="4"/>
  <c r="K3543" i="4"/>
  <c r="K3574" i="4"/>
  <c r="J188" i="5"/>
  <c r="K188" i="5" s="1"/>
  <c r="M684" i="2" s="1"/>
  <c r="N684" i="2" s="1"/>
  <c r="J187" i="5"/>
  <c r="K187" i="5" s="1"/>
  <c r="M682" i="2" s="1"/>
  <c r="N682" i="2" s="1"/>
  <c r="J27" i="1"/>
  <c r="F28" i="1"/>
  <c r="J3462" i="4"/>
  <c r="K3462" i="4" s="1"/>
  <c r="J3473" i="4"/>
  <c r="K3473" i="4" s="1"/>
  <c r="J3457" i="4"/>
  <c r="K3457" i="4" s="1"/>
  <c r="J3450" i="4"/>
  <c r="K3450" i="4" s="1"/>
  <c r="J3447" i="4"/>
  <c r="K3447" i="4" s="1"/>
  <c r="J3452" i="4"/>
  <c r="K3452" i="4" s="1"/>
  <c r="J3443" i="4"/>
  <c r="K3443" i="4" s="1"/>
  <c r="J3442" i="4"/>
  <c r="K3442" i="4" s="1"/>
  <c r="J3440" i="4"/>
  <c r="K3440" i="4" s="1"/>
  <c r="K3499" i="4"/>
  <c r="K3500" i="4"/>
  <c r="K3468" i="4"/>
  <c r="K3469" i="4"/>
  <c r="K3470" i="4"/>
  <c r="K3471" i="4"/>
  <c r="K3476" i="4"/>
  <c r="K3477" i="4"/>
  <c r="K3492" i="4"/>
  <c r="K3493" i="4"/>
  <c r="K3494" i="4"/>
  <c r="K3495" i="4"/>
  <c r="K3478" i="4"/>
  <c r="K3463" i="4"/>
  <c r="K3472" i="4"/>
  <c r="K3453" i="4"/>
  <c r="K3461" i="4"/>
  <c r="K3464" i="4"/>
  <c r="K3465" i="4"/>
  <c r="K3454" i="4"/>
  <c r="K3458" i="4"/>
  <c r="K3455" i="4"/>
  <c r="K3466" i="4"/>
  <c r="K3451" i="4"/>
  <c r="K3488" i="4"/>
  <c r="K3459" i="4"/>
  <c r="K3460" i="4"/>
  <c r="K3456" i="4"/>
  <c r="K3467" i="4"/>
  <c r="K3474" i="4"/>
  <c r="K3475" i="4"/>
  <c r="K3496" i="4"/>
  <c r="K3497" i="4"/>
  <c r="K3449" i="4"/>
  <c r="K3481" i="4"/>
  <c r="K3482" i="4"/>
  <c r="K3483" i="4"/>
  <c r="K3484" i="4"/>
  <c r="K3485" i="4"/>
  <c r="K3486" i="4"/>
  <c r="K3487" i="4"/>
  <c r="K3446" i="4"/>
  <c r="K3444" i="4"/>
  <c r="K3445" i="4"/>
  <c r="K3448" i="4"/>
  <c r="K3441" i="4"/>
  <c r="K3439" i="4"/>
  <c r="K3438" i="4"/>
  <c r="K3489" i="4"/>
  <c r="K3490" i="4"/>
  <c r="K3491" i="4"/>
  <c r="K3498" i="4"/>
  <c r="J3362" i="4"/>
  <c r="K3362" i="4" s="1"/>
  <c r="K3363" i="4"/>
  <c r="J3364" i="4"/>
  <c r="K3364" i="4" s="1"/>
  <c r="K3367" i="4"/>
  <c r="J3370" i="4"/>
  <c r="K3370" i="4" s="1"/>
  <c r="K3371" i="4"/>
  <c r="J3372" i="4"/>
  <c r="K3372" i="4" s="1"/>
  <c r="K3375" i="4"/>
  <c r="J3377" i="4"/>
  <c r="K3377" i="4" s="1"/>
  <c r="J3378" i="4"/>
  <c r="K3378" i="4" s="1"/>
  <c r="K3379" i="4"/>
  <c r="K3383" i="4"/>
  <c r="K3387" i="4"/>
  <c r="J3388" i="4"/>
  <c r="K3388" i="4" s="1"/>
  <c r="K3391" i="4"/>
  <c r="J3392" i="4"/>
  <c r="K3392" i="4" s="1"/>
  <c r="K3395" i="4"/>
  <c r="K3401" i="4"/>
  <c r="K3405" i="4"/>
  <c r="K3409" i="4"/>
  <c r="K3413" i="4"/>
  <c r="K3417" i="4"/>
  <c r="K3421" i="4"/>
  <c r="K3425" i="4"/>
  <c r="K3429" i="4"/>
  <c r="K3360" i="4"/>
  <c r="K3361" i="4"/>
  <c r="K3365" i="4"/>
  <c r="K3366" i="4"/>
  <c r="K3368" i="4"/>
  <c r="K3369" i="4"/>
  <c r="K3373" i="4"/>
  <c r="K3374" i="4"/>
  <c r="K3376" i="4"/>
  <c r="K3380" i="4"/>
  <c r="K3381" i="4"/>
  <c r="K3382" i="4"/>
  <c r="K3384" i="4"/>
  <c r="K3385" i="4"/>
  <c r="K3386" i="4"/>
  <c r="K3389" i="4"/>
  <c r="K3390" i="4"/>
  <c r="K3393" i="4"/>
  <c r="K3394" i="4"/>
  <c r="K3396" i="4"/>
  <c r="K3397" i="4"/>
  <c r="K3400" i="4"/>
  <c r="K3402" i="4"/>
  <c r="K3403" i="4"/>
  <c r="K3404" i="4"/>
  <c r="K3406" i="4"/>
  <c r="K3407" i="4"/>
  <c r="K3408" i="4"/>
  <c r="K3410" i="4"/>
  <c r="K3411" i="4"/>
  <c r="K3412" i="4"/>
  <c r="K3414" i="4"/>
  <c r="K3415" i="4"/>
  <c r="K3416" i="4"/>
  <c r="K3418" i="4"/>
  <c r="K3419" i="4"/>
  <c r="K3420" i="4"/>
  <c r="K3422" i="4"/>
  <c r="K3423" i="4"/>
  <c r="K3424" i="4"/>
  <c r="K3426" i="4"/>
  <c r="K3427" i="4"/>
  <c r="K3428" i="4"/>
  <c r="K3430" i="4"/>
  <c r="K3431" i="4"/>
  <c r="K3432" i="4"/>
  <c r="K3359" i="4"/>
  <c r="J3257" i="4"/>
  <c r="K3257" i="4" s="1"/>
  <c r="J3264" i="4"/>
  <c r="K3264" i="4" s="1"/>
  <c r="J3265" i="4"/>
  <c r="K3265" i="4" s="1"/>
  <c r="J3283" i="4"/>
  <c r="K3283" i="4" s="1"/>
  <c r="K3258" i="4"/>
  <c r="K3259" i="4"/>
  <c r="K3260" i="4"/>
  <c r="K3261" i="4"/>
  <c r="K3262" i="4"/>
  <c r="K3263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J3256" i="4"/>
  <c r="K3256" i="4" s="1"/>
  <c r="O651" i="2"/>
  <c r="J3176" i="4"/>
  <c r="J3171" i="4"/>
  <c r="J3173" i="4"/>
  <c r="J3169" i="4"/>
  <c r="K3169" i="4" s="1"/>
  <c r="J3160" i="4"/>
  <c r="K3160" i="4" s="1"/>
  <c r="J3161" i="4"/>
  <c r="K3161" i="4" s="1"/>
  <c r="J3154" i="4"/>
  <c r="K3154" i="4" s="1"/>
  <c r="J3155" i="4"/>
  <c r="K3155" i="4" s="1"/>
  <c r="K3246" i="4"/>
  <c r="K3240" i="4"/>
  <c r="K3241" i="4"/>
  <c r="K3242" i="4"/>
  <c r="K3243" i="4"/>
  <c r="K3244" i="4"/>
  <c r="K3245" i="4"/>
  <c r="K3239" i="4"/>
  <c r="K3232" i="4"/>
  <c r="K3233" i="4"/>
  <c r="K3234" i="4"/>
  <c r="K3235" i="4"/>
  <c r="K3236" i="4"/>
  <c r="K3237" i="4"/>
  <c r="K3238" i="4"/>
  <c r="K3228" i="4"/>
  <c r="K3229" i="4"/>
  <c r="K3230" i="4"/>
  <c r="K3231" i="4"/>
  <c r="K3224" i="4"/>
  <c r="K3225" i="4"/>
  <c r="K3226" i="4"/>
  <c r="K3227" i="4"/>
  <c r="K3177" i="4"/>
  <c r="K3176" i="4"/>
  <c r="K3174" i="4"/>
  <c r="K3170" i="4"/>
  <c r="K3175" i="4"/>
  <c r="K3166" i="4"/>
  <c r="K3171" i="4"/>
  <c r="K3173" i="4"/>
  <c r="K3168" i="4"/>
  <c r="K3218" i="4"/>
  <c r="K3219" i="4"/>
  <c r="K3222" i="4"/>
  <c r="K3223" i="4"/>
  <c r="K3220" i="4"/>
  <c r="K3221" i="4"/>
  <c r="K3172" i="4"/>
  <c r="K3164" i="4"/>
  <c r="K3213" i="4"/>
  <c r="K3214" i="4"/>
  <c r="K3215" i="4"/>
  <c r="K3216" i="4"/>
  <c r="K3217" i="4"/>
  <c r="K3209" i="4"/>
  <c r="K3210" i="4"/>
  <c r="K3211" i="4"/>
  <c r="K3212" i="4"/>
  <c r="K3165" i="4"/>
  <c r="K3204" i="4"/>
  <c r="K3205" i="4"/>
  <c r="K3206" i="4"/>
  <c r="K3207" i="4"/>
  <c r="K3208" i="4"/>
  <c r="K3162" i="4"/>
  <c r="K3163" i="4"/>
  <c r="K3183" i="4"/>
  <c r="K3186" i="4"/>
  <c r="K3187" i="4"/>
  <c r="K3184" i="4"/>
  <c r="K3188" i="4"/>
  <c r="K3185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158" i="4"/>
  <c r="K3159" i="4"/>
  <c r="K3167" i="4"/>
  <c r="K3181" i="4"/>
  <c r="K3182" i="4"/>
  <c r="K3156" i="4"/>
  <c r="K3151" i="4"/>
  <c r="K3152" i="4"/>
  <c r="K3247" i="4"/>
  <c r="K3248" i="4"/>
  <c r="K3249" i="4"/>
  <c r="K3153" i="4"/>
  <c r="K3157" i="4"/>
  <c r="K3178" i="4"/>
  <c r="O635" i="2"/>
  <c r="O636" i="2"/>
  <c r="O637" i="2"/>
  <c r="O638" i="2"/>
  <c r="O639" i="2"/>
  <c r="O640" i="2"/>
  <c r="O641" i="2"/>
  <c r="O642" i="2"/>
  <c r="O643" i="2"/>
  <c r="O644" i="2"/>
  <c r="J3046" i="4"/>
  <c r="K3046" i="4" s="1"/>
  <c r="J3053" i="4"/>
  <c r="K3053" i="4" s="1"/>
  <c r="J3064" i="4"/>
  <c r="K3064" i="4" s="1"/>
  <c r="J3065" i="4"/>
  <c r="K3065" i="4" s="1"/>
  <c r="J3072" i="4"/>
  <c r="K3072" i="4" s="1"/>
  <c r="J3074" i="4"/>
  <c r="K3074" i="4" s="1"/>
  <c r="J3077" i="4"/>
  <c r="K3077" i="4" s="1"/>
  <c r="J3080" i="4"/>
  <c r="K3080" i="4" s="1"/>
  <c r="J3083" i="4"/>
  <c r="K3083" i="4" s="1"/>
  <c r="K3044" i="4"/>
  <c r="K3045" i="4"/>
  <c r="K3047" i="4"/>
  <c r="K3048" i="4"/>
  <c r="K3049" i="4"/>
  <c r="K3050" i="4"/>
  <c r="K3051" i="4"/>
  <c r="K3052" i="4"/>
  <c r="K3054" i="4"/>
  <c r="K3055" i="4"/>
  <c r="K3056" i="4"/>
  <c r="K3057" i="4"/>
  <c r="K3058" i="4"/>
  <c r="K3059" i="4"/>
  <c r="K3060" i="4"/>
  <c r="K3061" i="4"/>
  <c r="K3062" i="4"/>
  <c r="K3063" i="4"/>
  <c r="K3066" i="4"/>
  <c r="K3067" i="4"/>
  <c r="K3068" i="4"/>
  <c r="K3069" i="4"/>
  <c r="K3070" i="4"/>
  <c r="K3071" i="4"/>
  <c r="K3073" i="4"/>
  <c r="K3075" i="4"/>
  <c r="K3076" i="4"/>
  <c r="K3078" i="4"/>
  <c r="K3079" i="4"/>
  <c r="K3081" i="4"/>
  <c r="K3082" i="4"/>
  <c r="K3084" i="4"/>
  <c r="K3085" i="4"/>
  <c r="K3086" i="4"/>
  <c r="K3087" i="4"/>
  <c r="J3043" i="4"/>
  <c r="K3043" i="4" s="1"/>
  <c r="K2983" i="4"/>
  <c r="K2982" i="4"/>
  <c r="J2981" i="4"/>
  <c r="K2981" i="4" s="1"/>
  <c r="J2980" i="4"/>
  <c r="K2980" i="4" s="1"/>
  <c r="K2979" i="4"/>
  <c r="K2978" i="4"/>
  <c r="K2977" i="4"/>
  <c r="K2976" i="4"/>
  <c r="J2975" i="4"/>
  <c r="K2975" i="4" s="1"/>
  <c r="K2974" i="4"/>
  <c r="J2973" i="4"/>
  <c r="K2973" i="4" s="1"/>
  <c r="K2972" i="4"/>
  <c r="K2971" i="4"/>
  <c r="K2970" i="4"/>
  <c r="K2969" i="4"/>
  <c r="K2968" i="4"/>
  <c r="J2967" i="4"/>
  <c r="K2967" i="4" s="1"/>
  <c r="K2966" i="4"/>
  <c r="K2965" i="4"/>
  <c r="K2964" i="4"/>
  <c r="K2963" i="4"/>
  <c r="K2962" i="4"/>
  <c r="K2961" i="4"/>
  <c r="K2960" i="4"/>
  <c r="O627" i="2"/>
  <c r="O628" i="2"/>
  <c r="O629" i="2"/>
  <c r="O630" i="2"/>
  <c r="O631" i="2"/>
  <c r="O632" i="2"/>
  <c r="K2995" i="4"/>
  <c r="K2997" i="4"/>
  <c r="J2998" i="4"/>
  <c r="K2998" i="4" s="1"/>
  <c r="J3000" i="4"/>
  <c r="K3000" i="4" s="1"/>
  <c r="K3004" i="4"/>
  <c r="J3005" i="4"/>
  <c r="J3006" i="4"/>
  <c r="K3007" i="4"/>
  <c r="K3008" i="4"/>
  <c r="K3020" i="4"/>
  <c r="K3019" i="4"/>
  <c r="J3016" i="4"/>
  <c r="K3016" i="4" s="1"/>
  <c r="K3015" i="4"/>
  <c r="K3011" i="4"/>
  <c r="K3027" i="4"/>
  <c r="K3026" i="4"/>
  <c r="K3036" i="4"/>
  <c r="K3035" i="4"/>
  <c r="K3031" i="4"/>
  <c r="J2992" i="4"/>
  <c r="K2992" i="4" s="1"/>
  <c r="K2986" i="4"/>
  <c r="K2987" i="4"/>
  <c r="K2989" i="4"/>
  <c r="K2990" i="4"/>
  <c r="K2988" i="4"/>
  <c r="K2991" i="4"/>
  <c r="K2993" i="4"/>
  <c r="K2994" i="4"/>
  <c r="K2996" i="4"/>
  <c r="K2999" i="4"/>
  <c r="K3002" i="4"/>
  <c r="K3001" i="4"/>
  <c r="K3003" i="4"/>
  <c r="K3005" i="4"/>
  <c r="K3006" i="4"/>
  <c r="K3022" i="4"/>
  <c r="K3021" i="4"/>
  <c r="K3018" i="4"/>
  <c r="K3017" i="4"/>
  <c r="K3014" i="4"/>
  <c r="K3013" i="4"/>
  <c r="K3012" i="4"/>
  <c r="K3024" i="4"/>
  <c r="K3023" i="4"/>
  <c r="K3025" i="4"/>
  <c r="K3037" i="4"/>
  <c r="K3034" i="4"/>
  <c r="K3033" i="4"/>
  <c r="K3032" i="4"/>
  <c r="K3030" i="4"/>
  <c r="K3029" i="4"/>
  <c r="K3028" i="4"/>
  <c r="K2985" i="4"/>
  <c r="O621" i="2"/>
  <c r="O622" i="2"/>
  <c r="O623" i="2"/>
  <c r="O624" i="2"/>
  <c r="O625" i="2"/>
  <c r="J2914" i="4"/>
  <c r="K2914" i="4" s="1"/>
  <c r="J2919" i="4"/>
  <c r="K2919" i="4" s="1"/>
  <c r="K2928" i="4"/>
  <c r="K2936" i="4"/>
  <c r="K2944" i="4"/>
  <c r="K2945" i="4"/>
  <c r="K2908" i="4"/>
  <c r="K2918" i="4"/>
  <c r="K2911" i="4"/>
  <c r="J2912" i="4"/>
  <c r="K2912" i="4" s="1"/>
  <c r="K2916" i="4"/>
  <c r="J2901" i="4"/>
  <c r="K2901" i="4" s="1"/>
  <c r="K2906" i="4"/>
  <c r="K2904" i="4"/>
  <c r="K2900" i="4"/>
  <c r="J2899" i="4"/>
  <c r="K2899" i="4" s="1"/>
  <c r="K2898" i="4"/>
  <c r="K2913" i="4"/>
  <c r="K2949" i="4"/>
  <c r="K2951" i="4"/>
  <c r="K2952" i="4"/>
  <c r="K2953" i="4"/>
  <c r="K2954" i="4"/>
  <c r="K2955" i="4"/>
  <c r="K2956" i="4"/>
  <c r="K2923" i="4"/>
  <c r="K2922" i="4"/>
  <c r="K2920" i="4"/>
  <c r="K2915" i="4"/>
  <c r="K2926" i="4"/>
  <c r="K2927" i="4"/>
  <c r="K2929" i="4"/>
  <c r="K2930" i="4"/>
  <c r="K2931" i="4"/>
  <c r="K2932" i="4"/>
  <c r="K2933" i="4"/>
  <c r="K2934" i="4"/>
  <c r="K2935" i="4"/>
  <c r="K2937" i="4"/>
  <c r="K2938" i="4"/>
  <c r="K2939" i="4"/>
  <c r="K2940" i="4"/>
  <c r="K2941" i="4"/>
  <c r="K2942" i="4"/>
  <c r="K2943" i="4"/>
  <c r="K2946" i="4"/>
  <c r="K2947" i="4"/>
  <c r="K2948" i="4"/>
  <c r="K2921" i="4"/>
  <c r="K2907" i="4"/>
  <c r="K2917" i="4"/>
  <c r="K2905" i="4"/>
  <c r="K2902" i="4"/>
  <c r="K2903" i="4"/>
  <c r="K2909" i="4"/>
  <c r="K2910" i="4"/>
  <c r="K2950" i="4"/>
  <c r="J98" i="5"/>
  <c r="K98" i="5" s="1"/>
  <c r="O611" i="2"/>
  <c r="O612" i="2"/>
  <c r="O613" i="2"/>
  <c r="O614" i="2"/>
  <c r="O615" i="2"/>
  <c r="O616" i="2"/>
  <c r="O617" i="2"/>
  <c r="O618" i="2"/>
  <c r="K2889" i="4"/>
  <c r="K2890" i="4"/>
  <c r="K2891" i="4"/>
  <c r="K2879" i="4"/>
  <c r="K2881" i="4"/>
  <c r="K2882" i="4"/>
  <c r="K2883" i="4"/>
  <c r="K2886" i="4"/>
  <c r="K2887" i="4"/>
  <c r="K2871" i="4"/>
  <c r="K2869" i="4"/>
  <c r="J2864" i="4"/>
  <c r="K2864" i="4" s="1"/>
  <c r="K2866" i="4"/>
  <c r="J2867" i="4"/>
  <c r="K2867" i="4" s="1"/>
  <c r="K2854" i="4"/>
  <c r="J2855" i="4"/>
  <c r="K2855" i="4" s="1"/>
  <c r="K2858" i="4"/>
  <c r="K2859" i="4"/>
  <c r="J2860" i="4"/>
  <c r="K2860" i="4" s="1"/>
  <c r="J2861" i="4"/>
  <c r="K2861" i="4" s="1"/>
  <c r="K2875" i="4"/>
  <c r="K2844" i="4"/>
  <c r="K2856" i="4"/>
  <c r="J2851" i="4"/>
  <c r="K2851" i="4" s="1"/>
  <c r="K2838" i="4"/>
  <c r="J2847" i="4"/>
  <c r="K2847" i="4" s="1"/>
  <c r="K2843" i="4"/>
  <c r="K2839" i="4"/>
  <c r="K2849" i="4"/>
  <c r="K2837" i="4"/>
  <c r="J2873" i="4"/>
  <c r="K2873" i="4" s="1"/>
  <c r="K2872" i="4"/>
  <c r="K2876" i="4"/>
  <c r="K2877" i="4"/>
  <c r="K2878" i="4"/>
  <c r="K2880" i="4"/>
  <c r="K2884" i="4"/>
  <c r="K2885" i="4"/>
  <c r="K2888" i="4"/>
  <c r="K2868" i="4"/>
  <c r="K2865" i="4"/>
  <c r="K2862" i="4"/>
  <c r="K2870" i="4"/>
  <c r="K2848" i="4"/>
  <c r="K2857" i="4"/>
  <c r="K2852" i="4"/>
  <c r="K2850" i="4"/>
  <c r="K2846" i="4"/>
  <c r="K2853" i="4"/>
  <c r="K2841" i="4"/>
  <c r="K2840" i="4"/>
  <c r="K2845" i="4"/>
  <c r="K2842" i="4"/>
  <c r="K2863" i="4"/>
  <c r="K2836" i="4"/>
  <c r="O604" i="2"/>
  <c r="O605" i="2"/>
  <c r="O606" i="2"/>
  <c r="O607" i="2"/>
  <c r="O608" i="2"/>
  <c r="O609" i="2"/>
  <c r="O603" i="2"/>
  <c r="K2830" i="4"/>
  <c r="K2831" i="4"/>
  <c r="K2832" i="4"/>
  <c r="K2796" i="4"/>
  <c r="K2799" i="4"/>
  <c r="K2794" i="4"/>
  <c r="K2793" i="4"/>
  <c r="J2795" i="4"/>
  <c r="K2795" i="4" s="1"/>
  <c r="J2792" i="4"/>
  <c r="K2792" i="4" s="1"/>
  <c r="J2790" i="4"/>
  <c r="K2790" i="4" s="1"/>
  <c r="K2787" i="4"/>
  <c r="K2788" i="4"/>
  <c r="K2784" i="4"/>
  <c r="J2783" i="4"/>
  <c r="K2783" i="4" s="1"/>
  <c r="K2785" i="4"/>
  <c r="J2782" i="4"/>
  <c r="K2782" i="4" s="1"/>
  <c r="K2811" i="4"/>
  <c r="K2825" i="4"/>
  <c r="K2813" i="4"/>
  <c r="K2814" i="4"/>
  <c r="K2815" i="4"/>
  <c r="K2818" i="4"/>
  <c r="K2819" i="4"/>
  <c r="J2820" i="4"/>
  <c r="K2820" i="4" s="1"/>
  <c r="K2821" i="4"/>
  <c r="K2822" i="4"/>
  <c r="K2823" i="4"/>
  <c r="J2824" i="4"/>
  <c r="K2824" i="4" s="1"/>
  <c r="K2780" i="4"/>
  <c r="K2807" i="4"/>
  <c r="K2805" i="4"/>
  <c r="K2808" i="4"/>
  <c r="K2809" i="4"/>
  <c r="K2777" i="4"/>
  <c r="K2778" i="4"/>
  <c r="K2779" i="4"/>
  <c r="K2802" i="4"/>
  <c r="K2827" i="4"/>
  <c r="K2829" i="4"/>
  <c r="K2801" i="4"/>
  <c r="K2800" i="4"/>
  <c r="K2797" i="4"/>
  <c r="K2798" i="4"/>
  <c r="K2791" i="4"/>
  <c r="K2786" i="4"/>
  <c r="K2789" i="4"/>
  <c r="K2781" i="4"/>
  <c r="K2810" i="4"/>
  <c r="K2812" i="4"/>
  <c r="K2816" i="4"/>
  <c r="K2817" i="4"/>
  <c r="K2806" i="4"/>
  <c r="K2776" i="4"/>
  <c r="K2826" i="4"/>
  <c r="K2775" i="4"/>
  <c r="K2828" i="4"/>
  <c r="J14" i="5"/>
  <c r="K14" i="5" s="1"/>
  <c r="M595" i="2" s="1"/>
  <c r="N595" i="2" s="1"/>
  <c r="J2751" i="4"/>
  <c r="K2753" i="4"/>
  <c r="K2754" i="4"/>
  <c r="K2758" i="4"/>
  <c r="K2762" i="4"/>
  <c r="K2765" i="4"/>
  <c r="K2766" i="4"/>
  <c r="K2770" i="4"/>
  <c r="K2707" i="4"/>
  <c r="K2736" i="4"/>
  <c r="K2739" i="4"/>
  <c r="K2740" i="4"/>
  <c r="K2744" i="4"/>
  <c r="K2731" i="4"/>
  <c r="K2735" i="4"/>
  <c r="K2749" i="4"/>
  <c r="K2702" i="4"/>
  <c r="J2700" i="4"/>
  <c r="K2724" i="4"/>
  <c r="K2728" i="4"/>
  <c r="J2729" i="4"/>
  <c r="K2729" i="4" s="1"/>
  <c r="K2723" i="4"/>
  <c r="J2697" i="4"/>
  <c r="K2697" i="4" s="1"/>
  <c r="J2715" i="4"/>
  <c r="K2715" i="4" s="1"/>
  <c r="K2716" i="4"/>
  <c r="J2694" i="4"/>
  <c r="K2694" i="4" s="1"/>
  <c r="K2695" i="4"/>
  <c r="K2718" i="4"/>
  <c r="K2722" i="4"/>
  <c r="J2687" i="4"/>
  <c r="K2687" i="4" s="1"/>
  <c r="K2701" i="4"/>
  <c r="K2693" i="4"/>
  <c r="K2751" i="4"/>
  <c r="K2752" i="4"/>
  <c r="K2755" i="4"/>
  <c r="K2756" i="4"/>
  <c r="K2757" i="4"/>
  <c r="K2759" i="4"/>
  <c r="K2760" i="4"/>
  <c r="K2761" i="4"/>
  <c r="K2763" i="4"/>
  <c r="K2764" i="4"/>
  <c r="K2767" i="4"/>
  <c r="K2768" i="4"/>
  <c r="K2769" i="4"/>
  <c r="K2711" i="4"/>
  <c r="K2708" i="4"/>
  <c r="K2709" i="4"/>
  <c r="K2704" i="4"/>
  <c r="K2705" i="4"/>
  <c r="K2710" i="4"/>
  <c r="K2737" i="4"/>
  <c r="K2738" i="4"/>
  <c r="K2741" i="4"/>
  <c r="K2742" i="4"/>
  <c r="K2743" i="4"/>
  <c r="K2706" i="4"/>
  <c r="K2745" i="4"/>
  <c r="K2746" i="4"/>
  <c r="K2732" i="4"/>
  <c r="K2733" i="4"/>
  <c r="K2734" i="4"/>
  <c r="K2747" i="4"/>
  <c r="K2748" i="4"/>
  <c r="K2699" i="4"/>
  <c r="K2700" i="4"/>
  <c r="K2703" i="4"/>
  <c r="K2725" i="4"/>
  <c r="K2726" i="4"/>
  <c r="K2727" i="4"/>
  <c r="K2730" i="4"/>
  <c r="K2698" i="4"/>
  <c r="K2696" i="4"/>
  <c r="K2717" i="4"/>
  <c r="K2688" i="4"/>
  <c r="K2690" i="4"/>
  <c r="K2691" i="4"/>
  <c r="K2692" i="4"/>
  <c r="K2719" i="4"/>
  <c r="K2720" i="4"/>
  <c r="K2721" i="4"/>
  <c r="K2689" i="4"/>
  <c r="K2714" i="4"/>
  <c r="K2686" i="4"/>
  <c r="K2750" i="4"/>
  <c r="J154" i="5"/>
  <c r="K154" i="5" s="1"/>
  <c r="M604" i="2" s="1"/>
  <c r="N604" i="2" s="1"/>
  <c r="J75" i="5"/>
  <c r="J17" i="5"/>
  <c r="J6" i="5"/>
  <c r="J121" i="5"/>
  <c r="K121" i="5" s="1"/>
  <c r="M586" i="2" s="1"/>
  <c r="N586" i="2" s="1"/>
  <c r="J109" i="5"/>
  <c r="K109" i="5" s="1"/>
  <c r="M579" i="2" s="1"/>
  <c r="N579" i="2" s="1"/>
  <c r="J2677" i="4"/>
  <c r="K2677" i="4" s="1"/>
  <c r="J2663" i="4"/>
  <c r="K2663" i="4" s="1"/>
  <c r="J2606" i="4"/>
  <c r="K2606" i="4" s="1"/>
  <c r="J2595" i="4"/>
  <c r="K2595" i="4" s="1"/>
  <c r="J2608" i="4"/>
  <c r="J2588" i="4"/>
  <c r="K2588" i="4" s="1"/>
  <c r="J2581" i="4"/>
  <c r="K2581" i="4" s="1"/>
  <c r="J2582" i="4"/>
  <c r="K2582" i="4" s="1"/>
  <c r="J2594" i="4"/>
  <c r="K2594" i="4" s="1"/>
  <c r="J2613" i="4"/>
  <c r="K2613" i="4" s="1"/>
  <c r="J2579" i="4"/>
  <c r="K2579" i="4" s="1"/>
  <c r="K2673" i="4"/>
  <c r="K2674" i="4"/>
  <c r="K2675" i="4"/>
  <c r="K2676" i="4"/>
  <c r="K2614" i="4"/>
  <c r="K2615" i="4"/>
  <c r="K2671" i="4"/>
  <c r="K2678" i="4"/>
  <c r="K2679" i="4"/>
  <c r="K2680" i="4"/>
  <c r="K2681" i="4"/>
  <c r="K2664" i="4"/>
  <c r="K2665" i="4"/>
  <c r="K2666" i="4"/>
  <c r="K2667" i="4"/>
  <c r="K2668" i="4"/>
  <c r="K2669" i="4"/>
  <c r="K2659" i="4"/>
  <c r="K2670" i="4"/>
  <c r="K2660" i="4"/>
  <c r="K2661" i="4"/>
  <c r="K2662" i="4"/>
  <c r="K2650" i="4"/>
  <c r="K2640" i="4"/>
  <c r="K2641" i="4"/>
  <c r="K2642" i="4"/>
  <c r="K2643" i="4"/>
  <c r="K2644" i="4"/>
  <c r="K2645" i="4"/>
  <c r="K2646" i="4"/>
  <c r="K2647" i="4"/>
  <c r="K2648" i="4"/>
  <c r="K2649" i="4"/>
  <c r="K2610" i="4"/>
  <c r="K2611" i="4"/>
  <c r="K2609" i="4"/>
  <c r="K2603" i="4"/>
  <c r="K2604" i="4"/>
  <c r="K2626" i="4"/>
  <c r="K2627" i="4"/>
  <c r="K2628" i="4"/>
  <c r="K2629" i="4"/>
  <c r="K2651" i="4"/>
  <c r="K2630" i="4"/>
  <c r="K2652" i="4"/>
  <c r="K2653" i="4"/>
  <c r="K2654" i="4"/>
  <c r="K2655" i="4"/>
  <c r="K2656" i="4"/>
  <c r="K2657" i="4"/>
  <c r="K2658" i="4"/>
  <c r="K2631" i="4"/>
  <c r="K2632" i="4"/>
  <c r="K2633" i="4"/>
  <c r="K2634" i="4"/>
  <c r="K2635" i="4"/>
  <c r="K2636" i="4"/>
  <c r="K2637" i="4"/>
  <c r="K2638" i="4"/>
  <c r="K2639" i="4"/>
  <c r="K2605" i="4"/>
  <c r="K2600" i="4"/>
  <c r="K2602" i="4"/>
  <c r="K2618" i="4"/>
  <c r="K2619" i="4"/>
  <c r="K2620" i="4"/>
  <c r="K2621" i="4"/>
  <c r="K2622" i="4"/>
  <c r="K2623" i="4"/>
  <c r="K2624" i="4"/>
  <c r="K2625" i="4"/>
  <c r="K2599" i="4"/>
  <c r="K2607" i="4"/>
  <c r="K2612" i="4"/>
  <c r="K2598" i="4"/>
  <c r="K2596" i="4"/>
  <c r="K2597" i="4"/>
  <c r="K2593" i="4"/>
  <c r="K2592" i="4"/>
  <c r="K2589" i="4"/>
  <c r="K2591" i="4"/>
  <c r="K2608" i="4"/>
  <c r="K2601" i="4"/>
  <c r="K2590" i="4"/>
  <c r="K2583" i="4"/>
  <c r="K2584" i="4"/>
  <c r="K2585" i="4"/>
  <c r="K2586" i="4"/>
  <c r="K2587" i="4"/>
  <c r="K2580" i="4"/>
  <c r="K2576" i="4"/>
  <c r="K2575" i="4"/>
  <c r="K2577" i="4"/>
  <c r="K2578" i="4"/>
  <c r="K2672" i="4"/>
  <c r="J2565" i="4"/>
  <c r="K2565" i="4" s="1"/>
  <c r="K2569" i="4"/>
  <c r="J2562" i="4"/>
  <c r="K2562" i="4" s="1"/>
  <c r="K2559" i="4"/>
  <c r="K2557" i="4"/>
  <c r="K2560" i="4"/>
  <c r="K2554" i="4"/>
  <c r="K2567" i="4"/>
  <c r="K2553" i="4"/>
  <c r="J2556" i="4"/>
  <c r="K2556" i="4" s="1"/>
  <c r="J2549" i="4"/>
  <c r="K2549" i="4" s="1"/>
  <c r="J2561" i="4"/>
  <c r="K2561" i="4" s="1"/>
  <c r="K2558" i="4"/>
  <c r="K2543" i="4"/>
  <c r="K2544" i="4"/>
  <c r="K2545" i="4"/>
  <c r="K2551" i="4"/>
  <c r="J2542" i="4"/>
  <c r="K2542" i="4" s="1"/>
  <c r="K2539" i="4"/>
  <c r="K2552" i="4"/>
  <c r="K2536" i="4"/>
  <c r="K2534" i="4"/>
  <c r="K2535" i="4"/>
  <c r="K2547" i="4"/>
  <c r="K2568" i="4"/>
  <c r="K2566" i="4"/>
  <c r="K2563" i="4"/>
  <c r="K2555" i="4"/>
  <c r="K2548" i="4"/>
  <c r="K2550" i="4"/>
  <c r="K2546" i="4"/>
  <c r="K2540" i="4"/>
  <c r="K2538" i="4"/>
  <c r="K2537" i="4"/>
  <c r="K2541" i="4"/>
  <c r="K2564" i="4"/>
  <c r="J101" i="5"/>
  <c r="K2522" i="4"/>
  <c r="K2523" i="4"/>
  <c r="K2527" i="4"/>
  <c r="K2507" i="4"/>
  <c r="K2509" i="4"/>
  <c r="J2499" i="4"/>
  <c r="K2499" i="4" s="1"/>
  <c r="J2505" i="4"/>
  <c r="K2505" i="4" s="1"/>
  <c r="K2504" i="4"/>
  <c r="K2496" i="4"/>
  <c r="J2501" i="4"/>
  <c r="K2501" i="4" s="1"/>
  <c r="K2502" i="4"/>
  <c r="K2498" i="4"/>
  <c r="J2490" i="4"/>
  <c r="K2490" i="4" s="1"/>
  <c r="J2515" i="4"/>
  <c r="K2515" i="4" s="1"/>
  <c r="K2516" i="4"/>
  <c r="K2484" i="4"/>
  <c r="K2487" i="4"/>
  <c r="J2481" i="4"/>
  <c r="K2481" i="4" s="1"/>
  <c r="J2482" i="4"/>
  <c r="K2482" i="4" s="1"/>
  <c r="K2477" i="4"/>
  <c r="K2486" i="4"/>
  <c r="J2478" i="4"/>
  <c r="K2478" i="4" s="1"/>
  <c r="J2474" i="4"/>
  <c r="K2474" i="4" s="1"/>
  <c r="K2479" i="4"/>
  <c r="J2475" i="4"/>
  <c r="K2475" i="4" s="1"/>
  <c r="J2472" i="4"/>
  <c r="K2472" i="4" s="1"/>
  <c r="K2473" i="4"/>
  <c r="K2518" i="4"/>
  <c r="K2511" i="4"/>
  <c r="K2521" i="4"/>
  <c r="K2524" i="4"/>
  <c r="K2525" i="4"/>
  <c r="K2526" i="4"/>
  <c r="K2528" i="4"/>
  <c r="K2506" i="4"/>
  <c r="K2508" i="4"/>
  <c r="K2503" i="4"/>
  <c r="K2500" i="4"/>
  <c r="K2493" i="4"/>
  <c r="K2497" i="4"/>
  <c r="K2492" i="4"/>
  <c r="K2495" i="4"/>
  <c r="K2489" i="4"/>
  <c r="K2494" i="4"/>
  <c r="K2514" i="4"/>
  <c r="K2517" i="4"/>
  <c r="K2491" i="4"/>
  <c r="K2476" i="4"/>
  <c r="K2483" i="4"/>
  <c r="K2485" i="4"/>
  <c r="K2488" i="4"/>
  <c r="K2480" i="4"/>
  <c r="K2519" i="4"/>
  <c r="K2520" i="4"/>
  <c r="K2510" i="4"/>
  <c r="K2462" i="4"/>
  <c r="K2463" i="4"/>
  <c r="K2441" i="4"/>
  <c r="K2453" i="4"/>
  <c r="K2454" i="4"/>
  <c r="K2435" i="4"/>
  <c r="J2436" i="4"/>
  <c r="K2436" i="4" s="1"/>
  <c r="K2438" i="4"/>
  <c r="J2459" i="4"/>
  <c r="K2459" i="4" s="1"/>
  <c r="K2437" i="4"/>
  <c r="K2460" i="4"/>
  <c r="K2424" i="4"/>
  <c r="J2434" i="4"/>
  <c r="K2434" i="4" s="1"/>
  <c r="K2426" i="4"/>
  <c r="K2427" i="4"/>
  <c r="K2429" i="4"/>
  <c r="K2430" i="4"/>
  <c r="K2432" i="4"/>
  <c r="J2423" i="4"/>
  <c r="K2423" i="4" s="1"/>
  <c r="J2452" i="4"/>
  <c r="K2452" i="4" s="1"/>
  <c r="J2419" i="4"/>
  <c r="K2419" i="4" s="1"/>
  <c r="K2418" i="4"/>
  <c r="J2421" i="4"/>
  <c r="K2421" i="4" s="1"/>
  <c r="J2416" i="4"/>
  <c r="K2416" i="4" s="1"/>
  <c r="K2422" i="4"/>
  <c r="K2464" i="4"/>
  <c r="K2414" i="4"/>
  <c r="K2415" i="4"/>
  <c r="J2412" i="4"/>
  <c r="K2412" i="4" s="1"/>
  <c r="K2457" i="4"/>
  <c r="K2465" i="4"/>
  <c r="K2443" i="4"/>
  <c r="K2444" i="4"/>
  <c r="K2458" i="4"/>
  <c r="K2445" i="4"/>
  <c r="K2466" i="4"/>
  <c r="K2455" i="4"/>
  <c r="K2442" i="4"/>
  <c r="K2446" i="4"/>
  <c r="K2456" i="4"/>
  <c r="K2447" i="4"/>
  <c r="K2448" i="4"/>
  <c r="K2449" i="4"/>
  <c r="K2433" i="4"/>
  <c r="K2439" i="4"/>
  <c r="K2425" i="4"/>
  <c r="K2450" i="4"/>
  <c r="K2428" i="4"/>
  <c r="K2451" i="4"/>
  <c r="K2431" i="4"/>
  <c r="K2420" i="4"/>
  <c r="K2413" i="4"/>
  <c r="K2440" i="4"/>
  <c r="K2417" i="4"/>
  <c r="K2461" i="4"/>
  <c r="O546" i="2"/>
  <c r="K2399" i="4"/>
  <c r="K2402" i="4"/>
  <c r="J2400" i="4"/>
  <c r="K2400" i="4" s="1"/>
  <c r="K2396" i="4"/>
  <c r="J2391" i="4"/>
  <c r="K2391" i="4" s="1"/>
  <c r="K2392" i="4"/>
  <c r="J2393" i="4"/>
  <c r="K2393" i="4" s="1"/>
  <c r="J2404" i="4"/>
  <c r="K2404" i="4" s="1"/>
  <c r="K2397" i="4"/>
  <c r="J2385" i="4"/>
  <c r="K2385" i="4" s="1"/>
  <c r="K2406" i="4"/>
  <c r="K2408" i="4"/>
  <c r="K2390" i="4"/>
  <c r="J2389" i="4"/>
  <c r="K2389" i="4" s="1"/>
  <c r="K2387" i="4"/>
  <c r="J2380" i="4"/>
  <c r="K2380" i="4" s="1"/>
  <c r="K2388" i="4"/>
  <c r="K2378" i="4"/>
  <c r="J2383" i="4"/>
  <c r="K2383" i="4" s="1"/>
  <c r="K2381" i="4"/>
  <c r="K2384" i="4"/>
  <c r="J2379" i="4"/>
  <c r="K2379" i="4" s="1"/>
  <c r="K2403" i="4"/>
  <c r="J2377" i="4"/>
  <c r="K2377" i="4" s="1"/>
  <c r="K2373" i="4"/>
  <c r="K2375" i="4"/>
  <c r="J2376" i="4"/>
  <c r="K2376" i="4" s="1"/>
  <c r="K2401" i="4"/>
  <c r="K2395" i="4"/>
  <c r="K2386" i="4"/>
  <c r="K2407" i="4"/>
  <c r="K2409" i="4"/>
  <c r="K2394" i="4"/>
  <c r="K2382" i="4"/>
  <c r="K2374" i="4"/>
  <c r="K2398" i="4"/>
  <c r="K2364" i="4"/>
  <c r="K2365" i="4"/>
  <c r="K2367" i="4"/>
  <c r="K2368" i="4"/>
  <c r="J2362" i="4"/>
  <c r="K2362" i="4" s="1"/>
  <c r="J2358" i="4"/>
  <c r="K2358" i="4" s="1"/>
  <c r="K2360" i="4"/>
  <c r="K2359" i="4"/>
  <c r="K2354" i="4"/>
  <c r="K2348" i="4"/>
  <c r="K2351" i="4"/>
  <c r="K2344" i="4"/>
  <c r="J2352" i="4"/>
  <c r="K2352" i="4" s="1"/>
  <c r="K2342" i="4"/>
  <c r="K2343" i="4"/>
  <c r="K2335" i="4"/>
  <c r="K2337" i="4"/>
  <c r="K2340" i="4"/>
  <c r="K2346" i="4"/>
  <c r="J2341" i="4"/>
  <c r="K2341" i="4" s="1"/>
  <c r="J2350" i="4"/>
  <c r="K2350" i="4" s="1"/>
  <c r="K2366" i="4"/>
  <c r="K2356" i="4"/>
  <c r="K2357" i="4"/>
  <c r="K2361" i="4"/>
  <c r="K2353" i="4"/>
  <c r="K2349" i="4"/>
  <c r="K2355" i="4"/>
  <c r="K2347" i="4"/>
  <c r="K2339" i="4"/>
  <c r="K2334" i="4"/>
  <c r="K2336" i="4"/>
  <c r="K2338" i="4"/>
  <c r="K2345" i="4"/>
  <c r="J2363" i="4"/>
  <c r="K2363" i="4" s="1"/>
  <c r="J10" i="5"/>
  <c r="K10" i="5" s="1"/>
  <c r="M524" i="2" s="1"/>
  <c r="N524" i="2" s="1"/>
  <c r="K2323" i="4"/>
  <c r="K2324" i="4"/>
  <c r="K2325" i="4"/>
  <c r="K2314" i="4"/>
  <c r="K2313" i="4"/>
  <c r="K2312" i="4"/>
  <c r="J2311" i="4"/>
  <c r="J2316" i="4"/>
  <c r="K2316" i="4" s="1"/>
  <c r="J2307" i="4"/>
  <c r="K2307" i="4" s="1"/>
  <c r="K2299" i="4"/>
  <c r="K2308" i="4"/>
  <c r="K2300" i="4"/>
  <c r="K2303" i="4"/>
  <c r="K2293" i="4"/>
  <c r="K2309" i="4"/>
  <c r="K2301" i="4"/>
  <c r="K2291" i="4"/>
  <c r="K2289" i="4"/>
  <c r="K2285" i="4"/>
  <c r="K2302" i="4"/>
  <c r="K2296" i="4"/>
  <c r="K2287" i="4"/>
  <c r="K2305" i="4"/>
  <c r="K2290" i="4"/>
  <c r="K2280" i="4"/>
  <c r="J2282" i="4"/>
  <c r="K2282" i="4" s="1"/>
  <c r="K2283" i="4"/>
  <c r="K2276" i="4"/>
  <c r="K2318" i="4"/>
  <c r="K2320" i="4"/>
  <c r="K2288" i="4"/>
  <c r="J2274" i="4"/>
  <c r="K2274" i="4" s="1"/>
  <c r="K2328" i="4"/>
  <c r="K2329" i="4"/>
  <c r="K2321" i="4"/>
  <c r="K2322" i="4"/>
  <c r="K2315" i="4"/>
  <c r="K2310" i="4"/>
  <c r="K2311" i="4"/>
  <c r="K2306" i="4"/>
  <c r="K2304" i="4"/>
  <c r="K2294" i="4"/>
  <c r="K2295" i="4"/>
  <c r="K2292" i="4"/>
  <c r="K2284" i="4"/>
  <c r="K2286" i="4"/>
  <c r="K2297" i="4"/>
  <c r="K2281" i="4"/>
  <c r="K2279" i="4"/>
  <c r="K2277" i="4"/>
  <c r="K2278" i="4"/>
  <c r="K2319" i="4"/>
  <c r="K2326" i="4"/>
  <c r="K2327" i="4"/>
  <c r="K2275" i="4"/>
  <c r="K2298" i="4"/>
  <c r="J2228" i="4"/>
  <c r="K2228" i="4" s="1"/>
  <c r="J2229" i="4"/>
  <c r="K2229" i="4" s="1"/>
  <c r="J2224" i="4"/>
  <c r="K2224" i="4" s="1"/>
  <c r="J2215" i="4"/>
  <c r="K2215" i="4" s="1"/>
  <c r="J2219" i="4"/>
  <c r="K2219" i="4" s="1"/>
  <c r="J2242" i="4"/>
  <c r="K2242" i="4" s="1"/>
  <c r="K2226" i="4"/>
  <c r="K2227" i="4"/>
  <c r="K2245" i="4"/>
  <c r="K2221" i="4"/>
  <c r="K2249" i="4"/>
  <c r="K2250" i="4"/>
  <c r="K2251" i="4"/>
  <c r="K2252" i="4"/>
  <c r="K2253" i="4"/>
  <c r="K2254" i="4"/>
  <c r="K2255" i="4"/>
  <c r="K2256" i="4"/>
  <c r="K2244" i="4"/>
  <c r="K2257" i="4"/>
  <c r="K2258" i="4"/>
  <c r="K2269" i="4"/>
  <c r="K2246" i="4"/>
  <c r="K2247" i="4"/>
  <c r="K2248" i="4"/>
  <c r="K2259" i="4"/>
  <c r="K2260" i="4"/>
  <c r="K2261" i="4"/>
  <c r="K2262" i="4"/>
  <c r="K2263" i="4"/>
  <c r="K2264" i="4"/>
  <c r="K2265" i="4"/>
  <c r="K2266" i="4"/>
  <c r="K2267" i="4"/>
  <c r="K2268" i="4"/>
  <c r="K2222" i="4"/>
  <c r="K2218" i="4"/>
  <c r="K2213" i="4"/>
  <c r="K2216" i="4"/>
  <c r="K2217" i="4"/>
  <c r="K2233" i="4"/>
  <c r="K2212" i="4"/>
  <c r="K2234" i="4"/>
  <c r="K2235" i="4"/>
  <c r="K2236" i="4"/>
  <c r="K2237" i="4"/>
  <c r="K2238" i="4"/>
  <c r="K2239" i="4"/>
  <c r="K2240" i="4"/>
  <c r="K2241" i="4"/>
  <c r="K2243" i="4"/>
  <c r="K2220" i="4"/>
  <c r="K2210" i="4"/>
  <c r="K2208" i="4"/>
  <c r="K2223" i="4"/>
  <c r="K2205" i="4"/>
  <c r="K2209" i="4"/>
  <c r="K2206" i="4"/>
  <c r="K2203" i="4"/>
  <c r="K2207" i="4"/>
  <c r="K2211" i="4"/>
  <c r="K2204" i="4"/>
  <c r="K2230" i="4"/>
  <c r="K2214" i="4"/>
  <c r="K2225" i="4"/>
  <c r="J511" i="2"/>
  <c r="K511" i="2" s="1"/>
  <c r="J510" i="2"/>
  <c r="K510" i="2" s="1"/>
  <c r="J2170" i="4"/>
  <c r="K2170" i="4" s="1"/>
  <c r="J2177" i="4"/>
  <c r="K2177" i="4" s="1"/>
  <c r="K2188" i="4"/>
  <c r="K2189" i="4"/>
  <c r="K2190" i="4"/>
  <c r="K2191" i="4"/>
  <c r="K2192" i="4"/>
  <c r="K2193" i="4"/>
  <c r="K2194" i="4"/>
  <c r="K2195" i="4"/>
  <c r="K2196" i="4"/>
  <c r="K2197" i="4"/>
  <c r="K2198" i="4"/>
  <c r="K2184" i="4"/>
  <c r="K2183" i="4"/>
  <c r="K2182" i="4"/>
  <c r="K2179" i="4"/>
  <c r="K2180" i="4"/>
  <c r="K2181" i="4"/>
  <c r="K2178" i="4"/>
  <c r="K2176" i="4"/>
  <c r="K2174" i="4"/>
  <c r="K2175" i="4"/>
  <c r="K2172" i="4"/>
  <c r="K2167" i="4"/>
  <c r="K2168" i="4"/>
  <c r="K2169" i="4"/>
  <c r="K2171" i="4"/>
  <c r="K2173" i="4"/>
  <c r="K2199" i="4"/>
  <c r="K2200" i="4"/>
  <c r="K2187" i="4"/>
  <c r="N504" i="2"/>
  <c r="K2138" i="4"/>
  <c r="J2139" i="4"/>
  <c r="K2139" i="4" s="1"/>
  <c r="K2140" i="4"/>
  <c r="K2134" i="4"/>
  <c r="K2159" i="4"/>
  <c r="K2160" i="4"/>
  <c r="K2130" i="4"/>
  <c r="K2127" i="4"/>
  <c r="K2125" i="4"/>
  <c r="J2126" i="4"/>
  <c r="K2126" i="4" s="1"/>
  <c r="K2123" i="4"/>
  <c r="K2122" i="4"/>
  <c r="K2121" i="4"/>
  <c r="K2128" i="4"/>
  <c r="K2135" i="4"/>
  <c r="K2149" i="4"/>
  <c r="K2150" i="4"/>
  <c r="K2151" i="4"/>
  <c r="K2153" i="4"/>
  <c r="K2154" i="4"/>
  <c r="K2155" i="4"/>
  <c r="K2161" i="4"/>
  <c r="K2162" i="4"/>
  <c r="K2163" i="4"/>
  <c r="K2117" i="4"/>
  <c r="J2119" i="4"/>
  <c r="K2119" i="4" s="1"/>
  <c r="K2120" i="4"/>
  <c r="K2143" i="4"/>
  <c r="K2144" i="4"/>
  <c r="K2145" i="4"/>
  <c r="K2147" i="4"/>
  <c r="K2148" i="4"/>
  <c r="K2114" i="4"/>
  <c r="K2111" i="4"/>
  <c r="K2112" i="4"/>
  <c r="K2113" i="4"/>
  <c r="J2115" i="4"/>
  <c r="K2115" i="4" s="1"/>
  <c r="K2116" i="4"/>
  <c r="K2157" i="4"/>
  <c r="K2158" i="4"/>
  <c r="K2137" i="4"/>
  <c r="K2133" i="4"/>
  <c r="K2129" i="4"/>
  <c r="K2131" i="4"/>
  <c r="K2132" i="4"/>
  <c r="K2124" i="4"/>
  <c r="K2152" i="4"/>
  <c r="K2156" i="4"/>
  <c r="K2164" i="4"/>
  <c r="K2118" i="4"/>
  <c r="K2146" i="4"/>
  <c r="K2136" i="4"/>
  <c r="J29" i="1"/>
  <c r="D106" i="1"/>
  <c r="F106" i="1" s="1"/>
  <c r="J167" i="5"/>
  <c r="K167" i="5" s="1"/>
  <c r="J2094" i="4"/>
  <c r="K2094" i="4" s="1"/>
  <c r="J2088" i="4"/>
  <c r="K2088" i="4" s="1"/>
  <c r="J2084" i="4"/>
  <c r="K2084" i="4" s="1"/>
  <c r="J2082" i="4"/>
  <c r="K2082" i="4" s="1"/>
  <c r="K2092" i="4"/>
  <c r="K2090" i="4"/>
  <c r="K2095" i="4"/>
  <c r="K2091" i="4"/>
  <c r="K2087" i="4"/>
  <c r="K2086" i="4"/>
  <c r="K2089" i="4"/>
  <c r="K2085" i="4"/>
  <c r="K2108" i="4"/>
  <c r="K2107" i="4"/>
  <c r="K2106" i="4"/>
  <c r="K2105" i="4"/>
  <c r="K2104" i="4"/>
  <c r="K2103" i="4"/>
  <c r="K2102" i="4"/>
  <c r="K2101" i="4"/>
  <c r="K2100" i="4"/>
  <c r="K2099" i="4"/>
  <c r="K2098" i="4"/>
  <c r="K2093" i="4"/>
  <c r="K2083" i="4"/>
  <c r="K2080" i="4"/>
  <c r="K2076" i="4"/>
  <c r="K2078" i="4"/>
  <c r="K2079" i="4"/>
  <c r="K2081" i="4"/>
  <c r="K2077" i="4"/>
  <c r="K2096" i="4"/>
  <c r="J54" i="5"/>
  <c r="K54" i="5" s="1"/>
  <c r="J53" i="5"/>
  <c r="K53" i="5" s="1"/>
  <c r="J56" i="5"/>
  <c r="K56" i="5" s="1"/>
  <c r="M615" i="2" l="1"/>
  <c r="N615" i="2" s="1"/>
  <c r="M736" i="2"/>
  <c r="N736" i="2" s="1"/>
  <c r="M693" i="2"/>
  <c r="N693" i="2" s="1"/>
  <c r="M704" i="2"/>
  <c r="N704" i="2" s="1"/>
  <c r="M654" i="2"/>
  <c r="N654" i="2" s="1"/>
  <c r="M701" i="2"/>
  <c r="N701" i="2" s="1"/>
  <c r="M673" i="2"/>
  <c r="N673" i="2" s="1"/>
  <c r="M669" i="2"/>
  <c r="N669" i="2" s="1"/>
  <c r="M700" i="2"/>
  <c r="N700" i="2" s="1"/>
  <c r="D103" i="1"/>
  <c r="K27" i="1"/>
  <c r="L27" i="1" s="1"/>
  <c r="M580" i="2"/>
  <c r="N580" i="2" s="1"/>
  <c r="M596" i="2"/>
  <c r="N596" i="2" s="1"/>
  <c r="M568" i="2"/>
  <c r="N568" i="2" s="1"/>
  <c r="K101" i="5"/>
  <c r="M588" i="2" s="1"/>
  <c r="N588" i="2" s="1"/>
  <c r="M573" i="2"/>
  <c r="N573" i="2" s="1"/>
  <c r="K29" i="1"/>
  <c r="M491" i="2"/>
  <c r="N491" i="2" s="1"/>
  <c r="M492" i="2"/>
  <c r="N492" i="2" s="1"/>
  <c r="M496" i="2"/>
  <c r="N496" i="2" s="1"/>
  <c r="J2030" i="4"/>
  <c r="K2030" i="4" s="1"/>
  <c r="J2017" i="4"/>
  <c r="K2017" i="4" s="1"/>
  <c r="J2020" i="4"/>
  <c r="K2020" i="4" s="1"/>
  <c r="J2015" i="4"/>
  <c r="J2016" i="4"/>
  <c r="K2016" i="4" s="1"/>
  <c r="J2007" i="4"/>
  <c r="K2007" i="4" s="1"/>
  <c r="J2012" i="4"/>
  <c r="K2012" i="4" s="1"/>
  <c r="J1999" i="4"/>
  <c r="K1999" i="4" s="1"/>
  <c r="J2002" i="4"/>
  <c r="K2002" i="4" s="1"/>
  <c r="J2045" i="4"/>
  <c r="K2037" i="4"/>
  <c r="K2033" i="4"/>
  <c r="K2068" i="4"/>
  <c r="K2067" i="4"/>
  <c r="K2066" i="4"/>
  <c r="K2065" i="4"/>
  <c r="K2071" i="4"/>
  <c r="K2070" i="4"/>
  <c r="K2069" i="4"/>
  <c r="K2059" i="4"/>
  <c r="K2061" i="4"/>
  <c r="K2029" i="4"/>
  <c r="K2036" i="4"/>
  <c r="K2064" i="4"/>
  <c r="K2063" i="4"/>
  <c r="K2062" i="4"/>
  <c r="K2058" i="4"/>
  <c r="K2060" i="4"/>
  <c r="K2057" i="4"/>
  <c r="K2056" i="4"/>
  <c r="K2035" i="4"/>
  <c r="K2032" i="4"/>
  <c r="K2031" i="4"/>
  <c r="K2019" i="4"/>
  <c r="K2018" i="4"/>
  <c r="K2023" i="4"/>
  <c r="K2022" i="4"/>
  <c r="K2034" i="4"/>
  <c r="K2024" i="4"/>
  <c r="K2021" i="4"/>
  <c r="K2013" i="4"/>
  <c r="K2025" i="4"/>
  <c r="K2010" i="4"/>
  <c r="K2015" i="4"/>
  <c r="K2011" i="4"/>
  <c r="K2027" i="4"/>
  <c r="K2026" i="4"/>
  <c r="K2043" i="4"/>
  <c r="K2008" i="4"/>
  <c r="K2014" i="4"/>
  <c r="K2042" i="4"/>
  <c r="K2041" i="4"/>
  <c r="K2040" i="4"/>
  <c r="K2039" i="4"/>
  <c r="K2001" i="4"/>
  <c r="K2006" i="4"/>
  <c r="K2009" i="4"/>
  <c r="K2005" i="4"/>
  <c r="K2004" i="4"/>
  <c r="K2055" i="4"/>
  <c r="K2054" i="4"/>
  <c r="K2053" i="4"/>
  <c r="K2052" i="4"/>
  <c r="K2051" i="4"/>
  <c r="K2050" i="4"/>
  <c r="K2049" i="4"/>
  <c r="K2048" i="4"/>
  <c r="K2047" i="4"/>
  <c r="K2046" i="4"/>
  <c r="K2045" i="4"/>
  <c r="K2044" i="4"/>
  <c r="K2003" i="4"/>
  <c r="K2000" i="4"/>
  <c r="K2028" i="4"/>
  <c r="K2072" i="4"/>
  <c r="M472" i="2"/>
  <c r="N472" i="2" s="1"/>
  <c r="M473" i="2"/>
  <c r="N473" i="2" s="1"/>
  <c r="M477" i="2"/>
  <c r="N477" i="2" s="1"/>
  <c r="M483" i="2"/>
  <c r="N483" i="2" s="1"/>
  <c r="M484" i="2"/>
  <c r="N484" i="2" s="1"/>
  <c r="J1983" i="4"/>
  <c r="K1983" i="4" s="1"/>
  <c r="K1982" i="4"/>
  <c r="K1954" i="4"/>
  <c r="K1988" i="4"/>
  <c r="K1992" i="4"/>
  <c r="K1986" i="4"/>
  <c r="K1985" i="4"/>
  <c r="K1989" i="4"/>
  <c r="K1990" i="4"/>
  <c r="J1952" i="4"/>
  <c r="K1952" i="4" s="1"/>
  <c r="K1996" i="4"/>
  <c r="K1995" i="4"/>
  <c r="K1993" i="4"/>
  <c r="K1948" i="4"/>
  <c r="K1947" i="4"/>
  <c r="J1950" i="4"/>
  <c r="K1950" i="4" s="1"/>
  <c r="K1981" i="4"/>
  <c r="K1980" i="4"/>
  <c r="K1979" i="4"/>
  <c r="K1977" i="4"/>
  <c r="K1976" i="4"/>
  <c r="K1946" i="4"/>
  <c r="K1972" i="4"/>
  <c r="K1975" i="4"/>
  <c r="K1974" i="4"/>
  <c r="K1945" i="4"/>
  <c r="K1964" i="4"/>
  <c r="J1944" i="4"/>
  <c r="K1944" i="4" s="1"/>
  <c r="K1963" i="4"/>
  <c r="K1962" i="4"/>
  <c r="K1961" i="4"/>
  <c r="K1959" i="4"/>
  <c r="K1966" i="4"/>
  <c r="K1965" i="4"/>
  <c r="K1969" i="4"/>
  <c r="K1968" i="4"/>
  <c r="K1967" i="4"/>
  <c r="J1958" i="4"/>
  <c r="K1958" i="4" s="1"/>
  <c r="K1957" i="4"/>
  <c r="K1938" i="4"/>
  <c r="K1940" i="4"/>
  <c r="J1930" i="4"/>
  <c r="K1930" i="4" s="1"/>
  <c r="K1929" i="4"/>
  <c r="K1928" i="4"/>
  <c r="J1935" i="4"/>
  <c r="K1935" i="4" s="1"/>
  <c r="K1924" i="4"/>
  <c r="K1927" i="4"/>
  <c r="J1926" i="4"/>
  <c r="K1926" i="4" s="1"/>
  <c r="J1925" i="4"/>
  <c r="K1925" i="4" s="1"/>
  <c r="K1923" i="4"/>
  <c r="K1933" i="4"/>
  <c r="J1920" i="4"/>
  <c r="K1920" i="4" s="1"/>
  <c r="J1917" i="4"/>
  <c r="K1917" i="4" s="1"/>
  <c r="K1934" i="4"/>
  <c r="K1918" i="4"/>
  <c r="K1932" i="4"/>
  <c r="K1931" i="4"/>
  <c r="J1916" i="4"/>
  <c r="K1916" i="4" s="1"/>
  <c r="J1937" i="4"/>
  <c r="K1937" i="4" s="1"/>
  <c r="J1953" i="4"/>
  <c r="K1953" i="4" s="1"/>
  <c r="K1984" i="4"/>
  <c r="K1991" i="4"/>
  <c r="K1987" i="4"/>
  <c r="K1949" i="4"/>
  <c r="K1994" i="4"/>
  <c r="K1978" i="4"/>
  <c r="K1971" i="4"/>
  <c r="K1973" i="4"/>
  <c r="K1951" i="4"/>
  <c r="K1960" i="4"/>
  <c r="K1970" i="4"/>
  <c r="K1941" i="4"/>
  <c r="K1939" i="4"/>
  <c r="K1942" i="4"/>
  <c r="K1936" i="4"/>
  <c r="K1943" i="4"/>
  <c r="K1922" i="4"/>
  <c r="K1919" i="4"/>
  <c r="K1921" i="4"/>
  <c r="J460" i="2"/>
  <c r="K460" i="2" s="1"/>
  <c r="M27" i="1" l="1"/>
  <c r="M28" i="1" s="1"/>
  <c r="M562" i="2"/>
  <c r="N562" i="2" s="1"/>
  <c r="K6" i="5"/>
  <c r="J88" i="5"/>
  <c r="J459" i="2"/>
  <c r="K459" i="2" s="1"/>
  <c r="K75" i="5"/>
  <c r="M734" i="2" s="1"/>
  <c r="N734" i="2" s="1"/>
  <c r="J453" i="2"/>
  <c r="K453" i="2" s="1"/>
  <c r="N451" i="2"/>
  <c r="K1906" i="4"/>
  <c r="K1908" i="4"/>
  <c r="K1901" i="4"/>
  <c r="K1902" i="4"/>
  <c r="K1903" i="4"/>
  <c r="K1905" i="4"/>
  <c r="K1839" i="4"/>
  <c r="K1887" i="4"/>
  <c r="K1836" i="4"/>
  <c r="K1891" i="4"/>
  <c r="K1894" i="4"/>
  <c r="K1896" i="4"/>
  <c r="K1892" i="4"/>
  <c r="K1840" i="4"/>
  <c r="K1833" i="4"/>
  <c r="J1835" i="4"/>
  <c r="K1835" i="4" s="1"/>
  <c r="K1889" i="4"/>
  <c r="K1876" i="4"/>
  <c r="K1871" i="4"/>
  <c r="K1877" i="4"/>
  <c r="K1879" i="4"/>
  <c r="K1881" i="4"/>
  <c r="K1883" i="4"/>
  <c r="K1884" i="4"/>
  <c r="K1885" i="4"/>
  <c r="K1872" i="4"/>
  <c r="K1832" i="4"/>
  <c r="K1827" i="4"/>
  <c r="K1866" i="4"/>
  <c r="K1867" i="4"/>
  <c r="K1870" i="4"/>
  <c r="K1831" i="4"/>
  <c r="K1858" i="4"/>
  <c r="K1859" i="4"/>
  <c r="K1860" i="4"/>
  <c r="K1852" i="4"/>
  <c r="K1844" i="4"/>
  <c r="K1846" i="4"/>
  <c r="K1847" i="4"/>
  <c r="K1848" i="4"/>
  <c r="K1850" i="4"/>
  <c r="K1823" i="4"/>
  <c r="K1854" i="4"/>
  <c r="K1855" i="4"/>
  <c r="K1856" i="4"/>
  <c r="K1862" i="4"/>
  <c r="J1820" i="4"/>
  <c r="K1820" i="4" s="1"/>
  <c r="K1821" i="4"/>
  <c r="K1824" i="4"/>
  <c r="K1830" i="4"/>
  <c r="K1822" i="4"/>
  <c r="K1818" i="4"/>
  <c r="K1815" i="4"/>
  <c r="J1819" i="4"/>
  <c r="K1819" i="4" s="1"/>
  <c r="K1825" i="4"/>
  <c r="K1816" i="4"/>
  <c r="J1814" i="4"/>
  <c r="K1814" i="4" s="1"/>
  <c r="K1843" i="4"/>
  <c r="K1808" i="4"/>
  <c r="K1810" i="4"/>
  <c r="J1806" i="4"/>
  <c r="K1806" i="4" s="1"/>
  <c r="K1807" i="4"/>
  <c r="K1813" i="4"/>
  <c r="K1838" i="4"/>
  <c r="K1886" i="4"/>
  <c r="J1863" i="4"/>
  <c r="K1863" i="4" s="1"/>
  <c r="K1864" i="4"/>
  <c r="K1898" i="4"/>
  <c r="K1907" i="4"/>
  <c r="K1900" i="4"/>
  <c r="K1899" i="4"/>
  <c r="K1904" i="4"/>
  <c r="K1837" i="4"/>
  <c r="K1893" i="4"/>
  <c r="K1895" i="4"/>
  <c r="K1890" i="4"/>
  <c r="K1834" i="4"/>
  <c r="K1888" i="4"/>
  <c r="K1875" i="4"/>
  <c r="K1878" i="4"/>
  <c r="K1880" i="4"/>
  <c r="K1882" i="4"/>
  <c r="K1874" i="4"/>
  <c r="K1873" i="4"/>
  <c r="K1828" i="4"/>
  <c r="K1869" i="4"/>
  <c r="K1868" i="4"/>
  <c r="K1829" i="4"/>
  <c r="K1861" i="4"/>
  <c r="K1826" i="4"/>
  <c r="K1845" i="4"/>
  <c r="K1849" i="4"/>
  <c r="K1851" i="4"/>
  <c r="K1853" i="4"/>
  <c r="K1857" i="4"/>
  <c r="K1817" i="4"/>
  <c r="K1811" i="4"/>
  <c r="K1812" i="4"/>
  <c r="K1809" i="4"/>
  <c r="K1805" i="4"/>
  <c r="K1865" i="4"/>
  <c r="K1897" i="4"/>
  <c r="N444" i="2"/>
  <c r="J1730" i="4"/>
  <c r="K1730" i="4" s="1"/>
  <c r="J1704" i="4"/>
  <c r="K1704" i="4" s="1"/>
  <c r="J1708" i="4"/>
  <c r="K1708" i="4" s="1"/>
  <c r="J1706" i="4"/>
  <c r="K1706" i="4" s="1"/>
  <c r="J1696" i="4"/>
  <c r="K1696" i="4" s="1"/>
  <c r="J1722" i="4"/>
  <c r="K1722" i="4" s="1"/>
  <c r="J1698" i="4"/>
  <c r="K1698" i="4" s="1"/>
  <c r="J1700" i="4"/>
  <c r="K1700" i="4" s="1"/>
  <c r="K1785" i="4"/>
  <c r="K1784" i="4"/>
  <c r="K1790" i="4"/>
  <c r="K1728" i="4"/>
  <c r="K1771" i="4"/>
  <c r="K1797" i="4"/>
  <c r="K1796" i="4"/>
  <c r="K1798" i="4"/>
  <c r="K1770" i="4"/>
  <c r="K1783" i="4"/>
  <c r="K1772" i="4"/>
  <c r="K1789" i="4"/>
  <c r="K1775" i="4"/>
  <c r="K1774" i="4"/>
  <c r="K1773" i="4"/>
  <c r="K1788" i="4"/>
  <c r="K1778" i="4"/>
  <c r="K1777" i="4"/>
  <c r="K1776" i="4"/>
  <c r="K1793" i="4"/>
  <c r="K1792" i="4"/>
  <c r="K1791" i="4"/>
  <c r="K1780" i="4"/>
  <c r="K1795" i="4"/>
  <c r="K1794" i="4"/>
  <c r="K1779" i="4"/>
  <c r="K1731" i="4"/>
  <c r="K1727" i="4"/>
  <c r="K1732" i="4"/>
  <c r="K1726" i="4"/>
  <c r="K1725" i="4"/>
  <c r="K1767" i="4"/>
  <c r="K1766" i="4"/>
  <c r="K1765" i="4"/>
  <c r="K1787" i="4"/>
  <c r="K1764" i="4"/>
  <c r="K1769" i="4"/>
  <c r="K1768" i="4"/>
  <c r="K1760" i="4"/>
  <c r="K1782" i="4"/>
  <c r="K1781" i="4"/>
  <c r="K1763" i="4"/>
  <c r="K1762" i="4"/>
  <c r="K1761" i="4"/>
  <c r="K1759" i="4"/>
  <c r="K1729" i="4"/>
  <c r="K1799" i="4"/>
  <c r="K1800" i="4"/>
  <c r="K1758" i="4"/>
  <c r="K1757" i="4"/>
  <c r="K1719" i="4"/>
  <c r="K1724" i="4"/>
  <c r="K1720" i="4"/>
  <c r="K1721" i="4"/>
  <c r="K1756" i="4"/>
  <c r="K1755" i="4"/>
  <c r="K1716" i="4"/>
  <c r="K1754" i="4"/>
  <c r="K1753" i="4"/>
  <c r="K1752" i="4"/>
  <c r="K1751" i="4"/>
  <c r="K1750" i="4"/>
  <c r="K1749" i="4"/>
  <c r="K1748" i="4"/>
  <c r="K1747" i="4"/>
  <c r="K1746" i="4"/>
  <c r="K1745" i="4"/>
  <c r="K1744" i="4"/>
  <c r="K1743" i="4"/>
  <c r="K1723" i="4"/>
  <c r="K1715" i="4"/>
  <c r="K1714" i="4"/>
  <c r="K1718" i="4"/>
  <c r="K1717" i="4"/>
  <c r="K1712" i="4"/>
  <c r="K1711" i="4"/>
  <c r="K1713" i="4"/>
  <c r="K1738" i="4"/>
  <c r="K1742" i="4"/>
  <c r="K1741" i="4"/>
  <c r="K1740" i="4"/>
  <c r="K1739" i="4"/>
  <c r="K1710" i="4"/>
  <c r="K1707" i="4"/>
  <c r="K1737" i="4"/>
  <c r="K1736" i="4"/>
  <c r="K1702" i="4"/>
  <c r="K1709" i="4"/>
  <c r="K1705" i="4"/>
  <c r="K1703" i="4"/>
  <c r="K1699" i="4"/>
  <c r="K1701" i="4"/>
  <c r="K1697" i="4"/>
  <c r="K1695" i="4"/>
  <c r="K1694" i="4"/>
  <c r="K1786" i="4"/>
  <c r="K1691" i="4"/>
  <c r="K1690" i="4"/>
  <c r="K1678" i="4"/>
  <c r="K1677" i="4"/>
  <c r="K1676" i="4"/>
  <c r="K1681" i="4"/>
  <c r="K1679" i="4"/>
  <c r="K1688" i="4"/>
  <c r="K1687" i="4"/>
  <c r="K1686" i="4"/>
  <c r="K1684" i="4"/>
  <c r="K1683" i="4"/>
  <c r="K1669" i="4"/>
  <c r="J1668" i="4"/>
  <c r="K1668" i="4" s="1"/>
  <c r="K1658" i="4"/>
  <c r="J1659" i="4"/>
  <c r="K1659" i="4" s="1"/>
  <c r="K1661" i="4"/>
  <c r="J1663" i="4"/>
  <c r="K1663" i="4" s="1"/>
  <c r="K1660" i="4"/>
  <c r="K1670" i="4"/>
  <c r="K1667" i="4"/>
  <c r="K1657" i="4"/>
  <c r="J1662" i="4"/>
  <c r="K1662" i="4" s="1"/>
  <c r="K1656" i="4"/>
  <c r="K1655" i="4"/>
  <c r="K1674" i="4"/>
  <c r="K1665" i="4"/>
  <c r="K1654" i="4"/>
  <c r="K1652" i="4"/>
  <c r="J1648" i="4"/>
  <c r="K1648" i="4" s="1"/>
  <c r="J1649" i="4"/>
  <c r="K1649" i="4" s="1"/>
  <c r="K1680" i="4"/>
  <c r="K1682" i="4"/>
  <c r="K1685" i="4"/>
  <c r="K1671" i="4"/>
  <c r="K1664" i="4"/>
  <c r="K1653" i="4"/>
  <c r="K1666" i="4"/>
  <c r="K1675" i="4"/>
  <c r="K1651" i="4"/>
  <c r="K1650" i="4"/>
  <c r="K1689" i="4"/>
  <c r="N422" i="2"/>
  <c r="N425" i="2"/>
  <c r="N430" i="2"/>
  <c r="J425" i="2"/>
  <c r="K425" i="2" s="1"/>
  <c r="J1634" i="4"/>
  <c r="K1634" i="4" s="1"/>
  <c r="K1633" i="4"/>
  <c r="K1630" i="4"/>
  <c r="J1628" i="4"/>
  <c r="K1628" i="4" s="1"/>
  <c r="K1627" i="4"/>
  <c r="K1620" i="4"/>
  <c r="J1643" i="4"/>
  <c r="K1643" i="4" s="1"/>
  <c r="K1642" i="4"/>
  <c r="K1641" i="4"/>
  <c r="K1639" i="4"/>
  <c r="J1618" i="4"/>
  <c r="K1618" i="4" s="1"/>
  <c r="K1610" i="4"/>
  <c r="J1616" i="4"/>
  <c r="K1616" i="4" s="1"/>
  <c r="K1619" i="4"/>
  <c r="J1615" i="4"/>
  <c r="K1615" i="4" s="1"/>
  <c r="J1617" i="4"/>
  <c r="K1617" i="4" s="1"/>
  <c r="K1612" i="4"/>
  <c r="J1608" i="4"/>
  <c r="K1608" i="4" s="1"/>
  <c r="J1623" i="4"/>
  <c r="K1623" i="4" s="1"/>
  <c r="K1609" i="4"/>
  <c r="K1614" i="4"/>
  <c r="J1607" i="4"/>
  <c r="J1603" i="4"/>
  <c r="K1603" i="4" s="1"/>
  <c r="K1605" i="4"/>
  <c r="K1606" i="4"/>
  <c r="K1638" i="4"/>
  <c r="K1636" i="4"/>
  <c r="K1621" i="4"/>
  <c r="J1604" i="4"/>
  <c r="K1604" i="4" s="1"/>
  <c r="K1626" i="4"/>
  <c r="K1632" i="4"/>
  <c r="K1624" i="4"/>
  <c r="K1629" i="4"/>
  <c r="K1640" i="4"/>
  <c r="K1613" i="4"/>
  <c r="K1625" i="4"/>
  <c r="K1611" i="4"/>
  <c r="K1607" i="4"/>
  <c r="K1644" i="4"/>
  <c r="K1637" i="4"/>
  <c r="K1622" i="4"/>
  <c r="K1602" i="4"/>
  <c r="K1631" i="4"/>
  <c r="J69" i="5"/>
  <c r="K69" i="5" s="1"/>
  <c r="N412" i="2"/>
  <c r="N413" i="2"/>
  <c r="N414" i="2"/>
  <c r="N415" i="2"/>
  <c r="N416" i="2"/>
  <c r="N417" i="2"/>
  <c r="N418" i="2"/>
  <c r="J1559" i="4"/>
  <c r="K1559" i="4" s="1"/>
  <c r="J1581" i="4"/>
  <c r="K1581" i="4" s="1"/>
  <c r="J1544" i="4"/>
  <c r="K1544" i="4" s="1"/>
  <c r="J1548" i="4"/>
  <c r="K1548" i="4" s="1"/>
  <c r="J1563" i="4"/>
  <c r="K1563" i="4" s="1"/>
  <c r="J1535" i="4"/>
  <c r="K1535" i="4" s="1"/>
  <c r="K1585" i="4"/>
  <c r="K1586" i="4"/>
  <c r="K1587" i="4"/>
  <c r="K1588" i="4"/>
  <c r="K1589" i="4"/>
  <c r="K1592" i="4"/>
  <c r="K1593" i="4"/>
  <c r="K1594" i="4"/>
  <c r="K1590" i="4"/>
  <c r="K1595" i="4"/>
  <c r="K1596" i="4"/>
  <c r="K1597" i="4"/>
  <c r="K1560" i="4"/>
  <c r="K1583" i="4"/>
  <c r="K1572" i="4"/>
  <c r="K1573" i="4"/>
  <c r="K1574" i="4"/>
  <c r="K1575" i="4"/>
  <c r="K1576" i="4"/>
  <c r="K1577" i="4"/>
  <c r="K1578" i="4"/>
  <c r="K1579" i="4"/>
  <c r="K1580" i="4"/>
  <c r="K1584" i="4"/>
  <c r="K1582" i="4"/>
  <c r="K1556" i="4"/>
  <c r="K1558" i="4"/>
  <c r="K1557" i="4"/>
  <c r="K1553" i="4"/>
  <c r="K1570" i="4"/>
  <c r="K1554" i="4"/>
  <c r="K1552" i="4"/>
  <c r="K1555" i="4"/>
  <c r="K1542" i="4"/>
  <c r="K1545" i="4"/>
  <c r="K1551" i="4"/>
  <c r="K1543" i="4"/>
  <c r="K1546" i="4"/>
  <c r="K1547" i="4"/>
  <c r="K1541" i="4"/>
  <c r="K1567" i="4"/>
  <c r="K1568" i="4"/>
  <c r="K1569" i="4"/>
  <c r="K1564" i="4"/>
  <c r="K1565" i="4"/>
  <c r="K1566" i="4"/>
  <c r="K1540" i="4"/>
  <c r="K1539" i="4"/>
  <c r="K1537" i="4"/>
  <c r="K1538" i="4"/>
  <c r="K1549" i="4"/>
  <c r="K1536" i="4"/>
  <c r="K1550" i="4"/>
  <c r="K1571" i="4"/>
  <c r="K1591" i="4"/>
  <c r="N407" i="2"/>
  <c r="N408" i="2"/>
  <c r="N409" i="2"/>
  <c r="N410" i="2"/>
  <c r="N411" i="2"/>
  <c r="K1493" i="4"/>
  <c r="K1494" i="4"/>
  <c r="K1521" i="4"/>
  <c r="J1485" i="4"/>
  <c r="K1485" i="4" s="1"/>
  <c r="K1486" i="4"/>
  <c r="K1512" i="4"/>
  <c r="K1528" i="4"/>
  <c r="K1488" i="4"/>
  <c r="K1508" i="4"/>
  <c r="K1526" i="4"/>
  <c r="K1510" i="4"/>
  <c r="K1515" i="4"/>
  <c r="K1519" i="4"/>
  <c r="J1484" i="4"/>
  <c r="K1484" i="4" s="1"/>
  <c r="K1481" i="4"/>
  <c r="J1480" i="4"/>
  <c r="K1480" i="4" s="1"/>
  <c r="K1476" i="4"/>
  <c r="K1507" i="4"/>
  <c r="J1475" i="4"/>
  <c r="K1475" i="4" s="1"/>
  <c r="K1473" i="4"/>
  <c r="K1501" i="4"/>
  <c r="K1505" i="4"/>
  <c r="K1498" i="4"/>
  <c r="K1471" i="4"/>
  <c r="K1472" i="4"/>
  <c r="J1478" i="4"/>
  <c r="K1478" i="4" s="1"/>
  <c r="K1492" i="4"/>
  <c r="K1489" i="4"/>
  <c r="K1522" i="4"/>
  <c r="K1490" i="4"/>
  <c r="K1487" i="4"/>
  <c r="K1523" i="4"/>
  <c r="K1513" i="4"/>
  <c r="K1514" i="4"/>
  <c r="K1527" i="4"/>
  <c r="K1529" i="4"/>
  <c r="K1530" i="4"/>
  <c r="K1531" i="4"/>
  <c r="K1524" i="4"/>
  <c r="K1525" i="4"/>
  <c r="K1509" i="4"/>
  <c r="K1511" i="4"/>
  <c r="K1516" i="4"/>
  <c r="K1517" i="4"/>
  <c r="K1518" i="4"/>
  <c r="K1520" i="4"/>
  <c r="K1482" i="4"/>
  <c r="K1483" i="4"/>
  <c r="K1479" i="4"/>
  <c r="K1477" i="4"/>
  <c r="K1499" i="4"/>
  <c r="K1497" i="4"/>
  <c r="K1500" i="4"/>
  <c r="K1502" i="4"/>
  <c r="K1503" i="4"/>
  <c r="K1504" i="4"/>
  <c r="K1506" i="4"/>
  <c r="K1474" i="4"/>
  <c r="K1470" i="4"/>
  <c r="K1491" i="4"/>
  <c r="N399" i="2"/>
  <c r="N400" i="2"/>
  <c r="N401" i="2"/>
  <c r="N402" i="2"/>
  <c r="N403" i="2"/>
  <c r="N404" i="2"/>
  <c r="K1447" i="4"/>
  <c r="K1465" i="4"/>
  <c r="K1454" i="4"/>
  <c r="K1452" i="4"/>
  <c r="K1451" i="4"/>
  <c r="K1461" i="4"/>
  <c r="K1463" i="4"/>
  <c r="K1462" i="4"/>
  <c r="K1436" i="4"/>
  <c r="K1435" i="4"/>
  <c r="J1433" i="4"/>
  <c r="K1433" i="4" s="1"/>
  <c r="K1428" i="4"/>
  <c r="K1427" i="4"/>
  <c r="J1421" i="4"/>
  <c r="K1421" i="4" s="1"/>
  <c r="K1424" i="4"/>
  <c r="K1420" i="4"/>
  <c r="J1429" i="4"/>
  <c r="K1429" i="4" s="1"/>
  <c r="K1430" i="4"/>
  <c r="K1444" i="4"/>
  <c r="K1442" i="4"/>
  <c r="K1441" i="4"/>
  <c r="K1440" i="4"/>
  <c r="K1416" i="4"/>
  <c r="J1417" i="4"/>
  <c r="K1417" i="4" s="1"/>
  <c r="J1414" i="4"/>
  <c r="K1414" i="4" s="1"/>
  <c r="J1419" i="4"/>
  <c r="K1419" i="4" s="1"/>
  <c r="K1458" i="4"/>
  <c r="K1459" i="4"/>
  <c r="K1450" i="4"/>
  <c r="K1449" i="4"/>
  <c r="K1448" i="4"/>
  <c r="K1453" i="4"/>
  <c r="K1460" i="4"/>
  <c r="K1464" i="4"/>
  <c r="K1457" i="4"/>
  <c r="K1456" i="4"/>
  <c r="K1434" i="4"/>
  <c r="K1437" i="4"/>
  <c r="K1432" i="4"/>
  <c r="K1431" i="4"/>
  <c r="K1446" i="4"/>
  <c r="K1426" i="4"/>
  <c r="K1425" i="4"/>
  <c r="K1422" i="4"/>
  <c r="K1418" i="4"/>
  <c r="K1423" i="4"/>
  <c r="K1445" i="4"/>
  <c r="K1443" i="4"/>
  <c r="K1415" i="4"/>
  <c r="K1413" i="4"/>
  <c r="K1455" i="4"/>
  <c r="K1409" i="4"/>
  <c r="K1407" i="4"/>
  <c r="K1396" i="4"/>
  <c r="K1397" i="4"/>
  <c r="K1403" i="4"/>
  <c r="K1378" i="4"/>
  <c r="K1377" i="4"/>
  <c r="J1376" i="4"/>
  <c r="K1376" i="4" s="1"/>
  <c r="K1372" i="4"/>
  <c r="J1370" i="4"/>
  <c r="K1370" i="4" s="1"/>
  <c r="J1368" i="4"/>
  <c r="K1368" i="4" s="1"/>
  <c r="K1379" i="4"/>
  <c r="K1393" i="4"/>
  <c r="K1385" i="4"/>
  <c r="K1364" i="4"/>
  <c r="K1390" i="4"/>
  <c r="K1386" i="4"/>
  <c r="K1384" i="4"/>
  <c r="K1360" i="4"/>
  <c r="J1367" i="4"/>
  <c r="K1367" i="4" s="1"/>
  <c r="K1357" i="4"/>
  <c r="K1363" i="4"/>
  <c r="K1405" i="4"/>
  <c r="K1399" i="4"/>
  <c r="K1400" i="4"/>
  <c r="K1408" i="4"/>
  <c r="K1406" i="4"/>
  <c r="K1395" i="4"/>
  <c r="K1394" i="4"/>
  <c r="K1398" i="4"/>
  <c r="K1402" i="4"/>
  <c r="K1401" i="4"/>
  <c r="K1373" i="4"/>
  <c r="K1374" i="4"/>
  <c r="K1371" i="4"/>
  <c r="K1369" i="4"/>
  <c r="K1375" i="4"/>
  <c r="K1392" i="4"/>
  <c r="K1391" i="4"/>
  <c r="K1383" i="4"/>
  <c r="K1366" i="4"/>
  <c r="K1365" i="4"/>
  <c r="K1389" i="4"/>
  <c r="K1388" i="4"/>
  <c r="K1387" i="4"/>
  <c r="K1382" i="4"/>
  <c r="K1361" i="4"/>
  <c r="K1359" i="4"/>
  <c r="K1358" i="4"/>
  <c r="K1362" i="4"/>
  <c r="K1404" i="4"/>
  <c r="K1336" i="4"/>
  <c r="J1340" i="4"/>
  <c r="K1340" i="4" s="1"/>
  <c r="J1332" i="4"/>
  <c r="K1332" i="4" s="1"/>
  <c r="K1333" i="4"/>
  <c r="J1335" i="4"/>
  <c r="K1335" i="4" s="1"/>
  <c r="K1337" i="4"/>
  <c r="K1334" i="4"/>
  <c r="K1327" i="4"/>
  <c r="J1331" i="4"/>
  <c r="K1331" i="4" s="1"/>
  <c r="K1329" i="4"/>
  <c r="J1325" i="4"/>
  <c r="K1325" i="4" s="1"/>
  <c r="K1320" i="4"/>
  <c r="K1321" i="4"/>
  <c r="K1317" i="4"/>
  <c r="K1314" i="4"/>
  <c r="K1352" i="4"/>
  <c r="J1322" i="4"/>
  <c r="K1322" i="4" s="1"/>
  <c r="K1326" i="4"/>
  <c r="J1323" i="4"/>
  <c r="K1323" i="4" s="1"/>
  <c r="J1343" i="4"/>
  <c r="K1343" i="4" s="1"/>
  <c r="K1345" i="4"/>
  <c r="K1347" i="4"/>
  <c r="K1348" i="4"/>
  <c r="K1349" i="4"/>
  <c r="K1330" i="4"/>
  <c r="K1328" i="4"/>
  <c r="K1324" i="4"/>
  <c r="K1319" i="4"/>
  <c r="K1318" i="4"/>
  <c r="K1316" i="4"/>
  <c r="K1315" i="4"/>
  <c r="K1351" i="4"/>
  <c r="K1353" i="4"/>
  <c r="K1338" i="4"/>
  <c r="K1344" i="4"/>
  <c r="K1346" i="4"/>
  <c r="K1350" i="4"/>
  <c r="K1339" i="4"/>
  <c r="J34" i="5"/>
  <c r="K1292" i="4"/>
  <c r="K1290" i="4"/>
  <c r="K1289" i="4"/>
  <c r="K1294" i="4"/>
  <c r="K1295" i="4"/>
  <c r="K1281" i="4"/>
  <c r="K1286" i="4"/>
  <c r="J1283" i="4"/>
  <c r="K1283" i="4" s="1"/>
  <c r="K1282" i="4"/>
  <c r="J1287" i="4"/>
  <c r="K1287" i="4" s="1"/>
  <c r="K1279" i="4"/>
  <c r="J1275" i="4"/>
  <c r="K1275" i="4" s="1"/>
  <c r="K1308" i="4"/>
  <c r="K1307" i="4"/>
  <c r="K1306" i="4"/>
  <c r="K1301" i="4"/>
  <c r="K1305" i="4"/>
  <c r="K1303" i="4"/>
  <c r="K1299" i="4"/>
  <c r="K1302" i="4"/>
  <c r="K1280" i="4"/>
  <c r="J1276" i="4"/>
  <c r="K1276" i="4" s="1"/>
  <c r="K1273" i="4"/>
  <c r="K1298" i="4"/>
  <c r="K1272" i="4"/>
  <c r="K1274" i="4"/>
  <c r="K1269" i="4"/>
  <c r="J1268" i="4"/>
  <c r="K1268" i="4" s="1"/>
  <c r="K1270" i="4"/>
  <c r="J1271" i="4"/>
  <c r="K1271" i="4" s="1"/>
  <c r="K1267" i="4"/>
  <c r="K1266" i="4"/>
  <c r="K1284" i="4"/>
  <c r="K1265" i="4"/>
  <c r="K1291" i="4"/>
  <c r="K1293" i="4"/>
  <c r="K1285" i="4"/>
  <c r="K1288" i="4"/>
  <c r="K1309" i="4"/>
  <c r="K1304" i="4"/>
  <c r="K1300" i="4"/>
  <c r="K1278" i="4"/>
  <c r="K1277" i="4"/>
  <c r="K1296" i="4"/>
  <c r="J29" i="5"/>
  <c r="K29" i="5" s="1"/>
  <c r="J1218" i="4"/>
  <c r="K1218" i="4" s="1"/>
  <c r="J1247" i="4"/>
  <c r="J1192" i="4"/>
  <c r="K1192" i="4" s="1"/>
  <c r="J1183" i="4"/>
  <c r="K1183" i="4" s="1"/>
  <c r="K1257" i="4"/>
  <c r="K1256" i="4"/>
  <c r="K1227" i="4"/>
  <c r="K1259" i="4"/>
  <c r="K1258" i="4"/>
  <c r="K1254" i="4"/>
  <c r="K1253" i="4"/>
  <c r="K1252" i="4"/>
  <c r="K1226" i="4"/>
  <c r="K1251" i="4"/>
  <c r="K1250" i="4"/>
  <c r="K1249" i="4"/>
  <c r="K1222" i="4"/>
  <c r="K1224" i="4"/>
  <c r="K1223" i="4"/>
  <c r="K1219" i="4"/>
  <c r="K1221" i="4"/>
  <c r="K1220" i="4"/>
  <c r="K1225" i="4"/>
  <c r="K1215" i="4"/>
  <c r="K1248" i="4"/>
  <c r="K1247" i="4"/>
  <c r="K1246" i="4"/>
  <c r="K1245" i="4"/>
  <c r="K1244" i="4"/>
  <c r="K1243" i="4"/>
  <c r="K1242" i="4"/>
  <c r="K1241" i="4"/>
  <c r="K1240" i="4"/>
  <c r="K1239" i="4"/>
  <c r="K1238" i="4"/>
  <c r="K1237" i="4"/>
  <c r="K1236" i="4"/>
  <c r="K1213" i="4"/>
  <c r="K1212" i="4"/>
  <c r="K1217" i="4"/>
  <c r="K1214" i="4"/>
  <c r="K1216" i="4"/>
  <c r="K1211" i="4"/>
  <c r="K1210" i="4"/>
  <c r="K1209" i="4"/>
  <c r="K1206" i="4"/>
  <c r="K1205" i="4"/>
  <c r="K1203" i="4"/>
  <c r="K1198" i="4"/>
  <c r="K1200" i="4"/>
  <c r="K1199" i="4"/>
  <c r="K1201" i="4"/>
  <c r="K1204" i="4"/>
  <c r="K1234" i="4"/>
  <c r="K1231" i="4"/>
  <c r="K1232" i="4"/>
  <c r="K1230" i="4"/>
  <c r="K1233" i="4"/>
  <c r="K1235" i="4"/>
  <c r="K1196" i="4"/>
  <c r="K1195" i="4"/>
  <c r="K1202" i="4"/>
  <c r="K1197" i="4"/>
  <c r="K1187" i="4"/>
  <c r="K1188" i="4"/>
  <c r="K1190" i="4"/>
  <c r="K1189" i="4"/>
  <c r="K1184" i="4"/>
  <c r="K1185" i="4"/>
  <c r="K1182" i="4"/>
  <c r="K1181" i="4"/>
  <c r="K1191" i="4"/>
  <c r="K1186" i="4"/>
  <c r="K1194" i="4"/>
  <c r="K1193" i="4"/>
  <c r="K1208" i="4"/>
  <c r="K1207" i="4"/>
  <c r="K1255" i="4"/>
  <c r="J105" i="5"/>
  <c r="K105" i="5" s="1"/>
  <c r="J116" i="5"/>
  <c r="J67" i="5"/>
  <c r="K1112" i="4"/>
  <c r="K1111" i="4"/>
  <c r="K1172" i="4"/>
  <c r="K1110" i="4"/>
  <c r="K1168" i="4"/>
  <c r="K1173" i="4"/>
  <c r="K1171" i="4"/>
  <c r="K1170" i="4"/>
  <c r="K1164" i="4"/>
  <c r="K1169" i="4"/>
  <c r="K1158" i="4"/>
  <c r="J1156" i="4"/>
  <c r="K1156" i="4" s="1"/>
  <c r="K1151" i="4"/>
  <c r="K1155" i="4"/>
  <c r="K1153" i="4"/>
  <c r="K1152" i="4"/>
  <c r="K1104" i="4"/>
  <c r="K1150" i="4"/>
  <c r="K1149" i="4"/>
  <c r="K1147" i="4"/>
  <c r="K1146" i="4"/>
  <c r="K1145" i="4"/>
  <c r="K1142" i="4"/>
  <c r="K1097" i="4"/>
  <c r="K1136" i="4"/>
  <c r="K1095" i="4"/>
  <c r="K1141" i="4"/>
  <c r="K1138" i="4"/>
  <c r="K1137" i="4"/>
  <c r="K1162" i="4"/>
  <c r="K1161" i="4"/>
  <c r="K1160" i="4"/>
  <c r="K1134" i="4"/>
  <c r="K1133" i="4"/>
  <c r="K1131" i="4"/>
  <c r="K1130" i="4"/>
  <c r="K1177" i="4"/>
  <c r="K1174" i="4"/>
  <c r="K1101" i="4"/>
  <c r="J1100" i="4"/>
  <c r="K1100" i="4" s="1"/>
  <c r="K1094" i="4"/>
  <c r="K1129" i="4"/>
  <c r="K1126" i="4"/>
  <c r="K1125" i="4"/>
  <c r="K1123" i="4"/>
  <c r="K1122" i="4"/>
  <c r="K1121" i="4"/>
  <c r="J1099" i="4"/>
  <c r="K1099" i="4" s="1"/>
  <c r="J1106" i="4"/>
  <c r="K1106" i="4" s="1"/>
  <c r="J1117" i="4"/>
  <c r="K1117" i="4" s="1"/>
  <c r="J1092" i="4"/>
  <c r="K1092" i="4" s="1"/>
  <c r="K1098" i="4"/>
  <c r="J1093" i="4"/>
  <c r="K1093" i="4" s="1"/>
  <c r="K1107" i="4"/>
  <c r="K1087" i="4"/>
  <c r="J1090" i="4"/>
  <c r="K1090" i="4" s="1"/>
  <c r="K1086" i="4"/>
  <c r="K1078" i="4"/>
  <c r="J1091" i="4"/>
  <c r="K1091" i="4" s="1"/>
  <c r="J1082" i="4"/>
  <c r="K1082" i="4" s="1"/>
  <c r="J1088" i="4"/>
  <c r="K1088" i="4" s="1"/>
  <c r="J1084" i="4"/>
  <c r="K1084" i="4" s="1"/>
  <c r="K1089" i="4"/>
  <c r="K1081" i="4"/>
  <c r="K1108" i="4"/>
  <c r="K1109" i="4"/>
  <c r="K1113" i="4"/>
  <c r="K1167" i="4"/>
  <c r="K1166" i="4"/>
  <c r="K1165" i="4"/>
  <c r="K1157" i="4"/>
  <c r="K1154" i="4"/>
  <c r="K1103" i="4"/>
  <c r="K1105" i="4"/>
  <c r="K1148" i="4"/>
  <c r="K1144" i="4"/>
  <c r="K1143" i="4"/>
  <c r="K1102" i="4"/>
  <c r="K1140" i="4"/>
  <c r="K1139" i="4"/>
  <c r="K1163" i="4"/>
  <c r="K1159" i="4"/>
  <c r="K1135" i="4"/>
  <c r="K1132" i="4"/>
  <c r="K1176" i="4"/>
  <c r="K1175" i="4"/>
  <c r="K1096" i="4"/>
  <c r="K1128" i="4"/>
  <c r="K1127" i="4"/>
  <c r="K1124" i="4"/>
  <c r="K1120" i="4"/>
  <c r="K1119" i="4"/>
  <c r="K1118" i="4"/>
  <c r="K1085" i="4"/>
  <c r="K1079" i="4"/>
  <c r="K1083" i="4"/>
  <c r="K1077" i="4"/>
  <c r="K1080" i="4"/>
  <c r="K1114" i="4"/>
  <c r="K977" i="4"/>
  <c r="K978" i="4"/>
  <c r="J975" i="4"/>
  <c r="K1056" i="4"/>
  <c r="K1060" i="4"/>
  <c r="K1063" i="4"/>
  <c r="K1064" i="4"/>
  <c r="K1067" i="4"/>
  <c r="K1068" i="4"/>
  <c r="K1045" i="4"/>
  <c r="K1047" i="4"/>
  <c r="K1033" i="4"/>
  <c r="K1034" i="4"/>
  <c r="K1037" i="4"/>
  <c r="K1038" i="4"/>
  <c r="K1042" i="4"/>
  <c r="J971" i="4"/>
  <c r="K971" i="4" s="1"/>
  <c r="K1069" i="4"/>
  <c r="K1054" i="4"/>
  <c r="K1055" i="4"/>
  <c r="K1030" i="4"/>
  <c r="K974" i="4"/>
  <c r="J968" i="4"/>
  <c r="K968" i="4" s="1"/>
  <c r="K1011" i="4"/>
  <c r="K1015" i="4"/>
  <c r="K1018" i="4"/>
  <c r="K1019" i="4"/>
  <c r="K1021" i="4"/>
  <c r="K1025" i="4"/>
  <c r="K997" i="4"/>
  <c r="K1001" i="4"/>
  <c r="K1004" i="4"/>
  <c r="J970" i="4"/>
  <c r="K970" i="4" s="1"/>
  <c r="K964" i="4"/>
  <c r="K1005" i="4"/>
  <c r="K1007" i="4"/>
  <c r="K988" i="4"/>
  <c r="K991" i="4"/>
  <c r="K995" i="4"/>
  <c r="K1066" i="4"/>
  <c r="K994" i="4"/>
  <c r="K961" i="4"/>
  <c r="K976" i="4"/>
  <c r="K981" i="4"/>
  <c r="K980" i="4"/>
  <c r="K979" i="4"/>
  <c r="K975" i="4"/>
  <c r="K973" i="4"/>
  <c r="K1057" i="4"/>
  <c r="K1058" i="4"/>
  <c r="K1059" i="4"/>
  <c r="K1061" i="4"/>
  <c r="K1062" i="4"/>
  <c r="K1065" i="4"/>
  <c r="K1072" i="4"/>
  <c r="K1043" i="4"/>
  <c r="K1050" i="4"/>
  <c r="K1044" i="4"/>
  <c r="K1046" i="4"/>
  <c r="K1051" i="4"/>
  <c r="K1052" i="4"/>
  <c r="K1048" i="4"/>
  <c r="K1049" i="4"/>
  <c r="K1035" i="4"/>
  <c r="K1036" i="4"/>
  <c r="K1039" i="4"/>
  <c r="K1040" i="4"/>
  <c r="K1041" i="4"/>
  <c r="K1022" i="4"/>
  <c r="K1071" i="4"/>
  <c r="K1070" i="4"/>
  <c r="K1053" i="4"/>
  <c r="K1028" i="4"/>
  <c r="K1029" i="4"/>
  <c r="K1023" i="4"/>
  <c r="K1010" i="4"/>
  <c r="K1012" i="4"/>
  <c r="K1013" i="4"/>
  <c r="K1014" i="4"/>
  <c r="K1016" i="4"/>
  <c r="K1017" i="4"/>
  <c r="K1020" i="4"/>
  <c r="K1024" i="4"/>
  <c r="K1026" i="4"/>
  <c r="K1027" i="4"/>
  <c r="K996" i="4"/>
  <c r="K998" i="4"/>
  <c r="K999" i="4"/>
  <c r="K1000" i="4"/>
  <c r="K1002" i="4"/>
  <c r="K1003" i="4"/>
  <c r="K967" i="4"/>
  <c r="K969" i="4"/>
  <c r="K1031" i="4"/>
  <c r="K1032" i="4"/>
  <c r="K1006" i="4"/>
  <c r="K962" i="4"/>
  <c r="K986" i="4"/>
  <c r="K987" i="4"/>
  <c r="K965" i="4"/>
  <c r="K990" i="4"/>
  <c r="K992" i="4"/>
  <c r="K993" i="4"/>
  <c r="K989" i="4"/>
  <c r="K966" i="4"/>
  <c r="K963" i="4"/>
  <c r="K982" i="4"/>
  <c r="K983" i="4"/>
  <c r="K972" i="4"/>
  <c r="K1008" i="4"/>
  <c r="K1009" i="4"/>
  <c r="K984" i="4"/>
  <c r="N337" i="2"/>
  <c r="J186" i="5"/>
  <c r="K186" i="5" s="1"/>
  <c r="J185" i="5"/>
  <c r="K185" i="5" s="1"/>
  <c r="J184" i="5"/>
  <c r="K184" i="5" s="1"/>
  <c r="J183" i="5"/>
  <c r="K183" i="5" s="1"/>
  <c r="J182" i="5"/>
  <c r="K182" i="5" s="1"/>
  <c r="J181" i="5"/>
  <c r="K181" i="5" s="1"/>
  <c r="J180" i="5"/>
  <c r="J179" i="5"/>
  <c r="K179" i="5" s="1"/>
  <c r="J178" i="5"/>
  <c r="K178" i="5" s="1"/>
  <c r="J177" i="5"/>
  <c r="K177" i="5" s="1"/>
  <c r="J176" i="5"/>
  <c r="K176" i="5" s="1"/>
  <c r="J175" i="5"/>
  <c r="K175" i="5" s="1"/>
  <c r="J174" i="5"/>
  <c r="K174" i="5" s="1"/>
  <c r="J173" i="5"/>
  <c r="K173" i="5" s="1"/>
  <c r="J172" i="5"/>
  <c r="K172" i="5" s="1"/>
  <c r="J171" i="5"/>
  <c r="K171" i="5" s="1"/>
  <c r="J170" i="5"/>
  <c r="K170" i="5" s="1"/>
  <c r="J169" i="5"/>
  <c r="K169" i="5" s="1"/>
  <c r="J168" i="5"/>
  <c r="K168" i="5" s="1"/>
  <c r="J166" i="5"/>
  <c r="K166" i="5" s="1"/>
  <c r="J165" i="5"/>
  <c r="K165" i="5" s="1"/>
  <c r="J164" i="5"/>
  <c r="K164" i="5" s="1"/>
  <c r="J163" i="5"/>
  <c r="K163" i="5" s="1"/>
  <c r="J162" i="5"/>
  <c r="K162" i="5" s="1"/>
  <c r="J157" i="5"/>
  <c r="K157" i="5" s="1"/>
  <c r="J155" i="5"/>
  <c r="K155" i="5" s="1"/>
  <c r="J161" i="5"/>
  <c r="J160" i="5"/>
  <c r="J153" i="5"/>
  <c r="K153" i="5" s="1"/>
  <c r="J158" i="5"/>
  <c r="J156" i="5"/>
  <c r="K156" i="5" s="1"/>
  <c r="J159" i="5"/>
  <c r="K159" i="5" s="1"/>
  <c r="J136" i="5"/>
  <c r="K136" i="5" s="1"/>
  <c r="J142" i="5"/>
  <c r="K142" i="5" s="1"/>
  <c r="J145" i="5"/>
  <c r="K145" i="5" s="1"/>
  <c r="J135" i="5"/>
  <c r="K135" i="5" s="1"/>
  <c r="J140" i="5"/>
  <c r="K140" i="5" s="1"/>
  <c r="J152" i="5"/>
  <c r="K152" i="5" s="1"/>
  <c r="J141" i="5"/>
  <c r="K141" i="5" s="1"/>
  <c r="J130" i="5"/>
  <c r="K130" i="5" s="1"/>
  <c r="J144" i="5"/>
  <c r="K144" i="5" s="1"/>
  <c r="J139" i="5"/>
  <c r="K139" i="5" s="1"/>
  <c r="J147" i="5"/>
  <c r="K147" i="5" s="1"/>
  <c r="J150" i="5"/>
  <c r="K150" i="5" s="1"/>
  <c r="J151" i="5"/>
  <c r="K151" i="5" s="1"/>
  <c r="J131" i="5"/>
  <c r="K131" i="5" s="1"/>
  <c r="J137" i="5"/>
  <c r="K137" i="5" s="1"/>
  <c r="J138" i="5"/>
  <c r="K138" i="5" s="1"/>
  <c r="J146" i="5"/>
  <c r="K146" i="5" s="1"/>
  <c r="J133" i="5"/>
  <c r="K133" i="5" s="1"/>
  <c r="J148" i="5"/>
  <c r="K148" i="5" s="1"/>
  <c r="J143" i="5"/>
  <c r="K143" i="5" s="1"/>
  <c r="J149" i="5"/>
  <c r="K149" i="5" s="1"/>
  <c r="J134" i="5"/>
  <c r="K134" i="5" s="1"/>
  <c r="J132" i="5"/>
  <c r="K132" i="5" s="1"/>
  <c r="J129" i="5"/>
  <c r="K129" i="5" s="1"/>
  <c r="J128" i="5"/>
  <c r="J127" i="5"/>
  <c r="K127" i="5" s="1"/>
  <c r="J126" i="5"/>
  <c r="K126" i="5" s="1"/>
  <c r="J125" i="5"/>
  <c r="K125" i="5" s="1"/>
  <c r="J124" i="5"/>
  <c r="K124" i="5" s="1"/>
  <c r="J123" i="5"/>
  <c r="K123" i="5" s="1"/>
  <c r="J122" i="5"/>
  <c r="K122" i="5" s="1"/>
  <c r="M708" i="2" s="1"/>
  <c r="N708" i="2" s="1"/>
  <c r="J120" i="5"/>
  <c r="K120" i="5" s="1"/>
  <c r="J118" i="5"/>
  <c r="K118" i="5" s="1"/>
  <c r="J119" i="5"/>
  <c r="K119" i="5" s="1"/>
  <c r="J117" i="5"/>
  <c r="K117" i="5" s="1"/>
  <c r="J114" i="5"/>
  <c r="K114" i="5" s="1"/>
  <c r="J115" i="5"/>
  <c r="J111" i="5"/>
  <c r="K111" i="5" s="1"/>
  <c r="J112" i="5"/>
  <c r="K112" i="5" s="1"/>
  <c r="J113" i="5"/>
  <c r="K113" i="5" s="1"/>
  <c r="J110" i="5"/>
  <c r="K110" i="5" s="1"/>
  <c r="J108" i="5"/>
  <c r="K108" i="5" s="1"/>
  <c r="J107" i="5"/>
  <c r="K107" i="5" s="1"/>
  <c r="J106" i="5"/>
  <c r="K106" i="5" s="1"/>
  <c r="J104" i="5"/>
  <c r="K104" i="5" s="1"/>
  <c r="J103" i="5"/>
  <c r="K103" i="5" s="1"/>
  <c r="M695" i="2" s="1"/>
  <c r="N695" i="2" s="1"/>
  <c r="J102" i="5"/>
  <c r="K102" i="5" s="1"/>
  <c r="J100" i="5"/>
  <c r="K100" i="5" s="1"/>
  <c r="M574" i="2" s="1"/>
  <c r="N574" i="2" s="1"/>
  <c r="J99" i="5"/>
  <c r="K99" i="5" s="1"/>
  <c r="J97" i="5"/>
  <c r="K97" i="5" s="1"/>
  <c r="J96" i="5"/>
  <c r="K96" i="5" s="1"/>
  <c r="J95" i="5"/>
  <c r="K95" i="5" s="1"/>
  <c r="J94" i="5"/>
  <c r="K94" i="5" s="1"/>
  <c r="J68" i="5"/>
  <c r="K68" i="5" s="1"/>
  <c r="J78" i="5"/>
  <c r="K78" i="5" s="1"/>
  <c r="J87" i="5"/>
  <c r="K87" i="5" s="1"/>
  <c r="J85" i="5"/>
  <c r="K85" i="5" s="1"/>
  <c r="J92" i="5"/>
  <c r="K92" i="5" s="1"/>
  <c r="J66" i="5"/>
  <c r="K66" i="5" s="1"/>
  <c r="J83" i="5"/>
  <c r="K83" i="5" s="1"/>
  <c r="M671" i="2" s="1"/>
  <c r="N671" i="2" s="1"/>
  <c r="J73" i="5"/>
  <c r="K73" i="5" s="1"/>
  <c r="J79" i="5"/>
  <c r="K79" i="5" s="1"/>
  <c r="J76" i="5"/>
  <c r="J93" i="5"/>
  <c r="K93" i="5" s="1"/>
  <c r="J71" i="5"/>
  <c r="K71" i="5" s="1"/>
  <c r="J86" i="5"/>
  <c r="K86" i="5" s="1"/>
  <c r="J91" i="5"/>
  <c r="K91" i="5" s="1"/>
  <c r="J90" i="5"/>
  <c r="K90" i="5" s="1"/>
  <c r="J65" i="5"/>
  <c r="K65" i="5" s="1"/>
  <c r="J89" i="5"/>
  <c r="K89" i="5" s="1"/>
  <c r="J82" i="5"/>
  <c r="K82" i="5" s="1"/>
  <c r="J70" i="5"/>
  <c r="K70" i="5" s="1"/>
  <c r="J74" i="5"/>
  <c r="K74" i="5" s="1"/>
  <c r="J81" i="5"/>
  <c r="K81" i="5" s="1"/>
  <c r="J72" i="5"/>
  <c r="J77" i="5"/>
  <c r="K77" i="5" s="1"/>
  <c r="J84" i="5"/>
  <c r="K84" i="5" s="1"/>
  <c r="J80" i="5"/>
  <c r="J40" i="5"/>
  <c r="K40" i="5" s="1"/>
  <c r="J52" i="5"/>
  <c r="J48" i="5"/>
  <c r="K48" i="5" s="1"/>
  <c r="J60" i="5"/>
  <c r="J45" i="5"/>
  <c r="J49" i="5"/>
  <c r="K49" i="5" s="1"/>
  <c r="J39" i="5"/>
  <c r="K39" i="5" s="1"/>
  <c r="J41" i="5"/>
  <c r="K41" i="5" s="1"/>
  <c r="J33" i="5"/>
  <c r="K33" i="5" s="1"/>
  <c r="J30" i="5"/>
  <c r="K30" i="5" s="1"/>
  <c r="J42" i="5"/>
  <c r="K42" i="5" s="1"/>
  <c r="J46" i="5"/>
  <c r="K46" i="5" s="1"/>
  <c r="J64" i="5"/>
  <c r="K64" i="5" s="1"/>
  <c r="J58" i="5"/>
  <c r="K58" i="5" s="1"/>
  <c r="J47" i="5"/>
  <c r="J37" i="5"/>
  <c r="K37" i="5" s="1"/>
  <c r="J35" i="5"/>
  <c r="J51" i="5"/>
  <c r="J36" i="5"/>
  <c r="K36" i="5" s="1"/>
  <c r="J59" i="5"/>
  <c r="K59" i="5" s="1"/>
  <c r="J44" i="5"/>
  <c r="K44" i="5" s="1"/>
  <c r="J32" i="5"/>
  <c r="K32" i="5" s="1"/>
  <c r="J38" i="5"/>
  <c r="K38" i="5" s="1"/>
  <c r="J31" i="5"/>
  <c r="K31" i="5" s="1"/>
  <c r="J61" i="5"/>
  <c r="K61" i="5" s="1"/>
  <c r="M746" i="2" s="1"/>
  <c r="N746" i="2" s="1"/>
  <c r="J50" i="5"/>
  <c r="K50" i="5" s="1"/>
  <c r="J62" i="5"/>
  <c r="J57" i="5"/>
  <c r="K57" i="5" s="1"/>
  <c r="J43" i="5"/>
  <c r="K43" i="5" s="1"/>
  <c r="J55" i="5"/>
  <c r="K55" i="5" s="1"/>
  <c r="J63" i="5"/>
  <c r="K63" i="5" s="1"/>
  <c r="J28" i="5"/>
  <c r="K28" i="5" s="1"/>
  <c r="J27" i="5"/>
  <c r="K27" i="5" s="1"/>
  <c r="J18" i="5"/>
  <c r="K18" i="5" s="1"/>
  <c r="J23" i="5"/>
  <c r="K23" i="5" s="1"/>
  <c r="J24" i="5"/>
  <c r="K24" i="5" s="1"/>
  <c r="J19" i="5"/>
  <c r="K19" i="5" s="1"/>
  <c r="J20" i="5"/>
  <c r="K20" i="5" s="1"/>
  <c r="J21" i="5"/>
  <c r="K21" i="5" s="1"/>
  <c r="J26" i="5"/>
  <c r="K26" i="5" s="1"/>
  <c r="J25" i="5"/>
  <c r="K25" i="5" s="1"/>
  <c r="J22" i="5"/>
  <c r="K22" i="5" s="1"/>
  <c r="K17" i="5"/>
  <c r="J11" i="5"/>
  <c r="K11" i="5" s="1"/>
  <c r="J8" i="5"/>
  <c r="J12" i="5"/>
  <c r="J9" i="5"/>
  <c r="K9" i="5" s="1"/>
  <c r="J16" i="5"/>
  <c r="J13" i="5"/>
  <c r="J15" i="5"/>
  <c r="K15" i="5" s="1"/>
  <c r="J7" i="5"/>
  <c r="K7" i="5" s="1"/>
  <c r="J2" i="5"/>
  <c r="K2" i="5" s="1"/>
  <c r="M747" i="2" s="1"/>
  <c r="N747" i="2" s="1"/>
  <c r="J4" i="5"/>
  <c r="K4" i="5" s="1"/>
  <c r="J5" i="5"/>
  <c r="K5" i="5" s="1"/>
  <c r="J3" i="5"/>
  <c r="K3" i="5" s="1"/>
  <c r="M749" i="2" s="1"/>
  <c r="N749" i="2" s="1"/>
  <c r="K956" i="4"/>
  <c r="K936" i="4"/>
  <c r="J933" i="4"/>
  <c r="K933" i="4" s="1"/>
  <c r="K932" i="4"/>
  <c r="K925" i="4"/>
  <c r="K927" i="4"/>
  <c r="K920" i="4"/>
  <c r="J919" i="4"/>
  <c r="K919" i="4" s="1"/>
  <c r="K921" i="4"/>
  <c r="K913" i="4"/>
  <c r="K952" i="4"/>
  <c r="K954" i="4"/>
  <c r="K949" i="4"/>
  <c r="K951" i="4"/>
  <c r="K947" i="4"/>
  <c r="J931" i="4"/>
  <c r="K931" i="4" s="1"/>
  <c r="K901" i="4"/>
  <c r="J917" i="4"/>
  <c r="K917" i="4" s="1"/>
  <c r="K898" i="4"/>
  <c r="K909" i="4"/>
  <c r="J897" i="4"/>
  <c r="K897" i="4" s="1"/>
  <c r="K911" i="4"/>
  <c r="K889" i="4"/>
  <c r="K912" i="4"/>
  <c r="J899" i="4"/>
  <c r="K899" i="4" s="1"/>
  <c r="J888" i="4"/>
  <c r="K888" i="4" s="1"/>
  <c r="K894" i="4"/>
  <c r="K891" i="4"/>
  <c r="K887" i="4"/>
  <c r="K910" i="4"/>
  <c r="J892" i="4"/>
  <c r="K892" i="4" s="1"/>
  <c r="K942" i="4"/>
  <c r="J885" i="4"/>
  <c r="K885" i="4" s="1"/>
  <c r="K955" i="4"/>
  <c r="K957" i="4"/>
  <c r="K937" i="4"/>
  <c r="K940" i="4"/>
  <c r="K934" i="4"/>
  <c r="K926" i="4"/>
  <c r="K928" i="4"/>
  <c r="K930" i="4"/>
  <c r="K929" i="4"/>
  <c r="K923" i="4"/>
  <c r="K922" i="4"/>
  <c r="K916" i="4"/>
  <c r="K935" i="4"/>
  <c r="K915" i="4"/>
  <c r="K914" i="4"/>
  <c r="K953" i="4"/>
  <c r="K906" i="4"/>
  <c r="K938" i="4"/>
  <c r="K948" i="4"/>
  <c r="K950" i="4"/>
  <c r="K946" i="4"/>
  <c r="K902" i="4"/>
  <c r="K918" i="4"/>
  <c r="K908" i="4"/>
  <c r="K907" i="4"/>
  <c r="K904" i="4"/>
  <c r="K945" i="4"/>
  <c r="K905" i="4"/>
  <c r="K903" i="4"/>
  <c r="K924" i="4"/>
  <c r="K890" i="4"/>
  <c r="K895" i="4"/>
  <c r="K900" i="4"/>
  <c r="K893" i="4"/>
  <c r="K886" i="4"/>
  <c r="K896" i="4"/>
  <c r="K943" i="4"/>
  <c r="K944" i="4"/>
  <c r="K939" i="4"/>
  <c r="N323" i="2"/>
  <c r="N324" i="2"/>
  <c r="N325" i="2"/>
  <c r="N326" i="2"/>
  <c r="N327" i="2"/>
  <c r="N328" i="2"/>
  <c r="N329" i="2"/>
  <c r="N330" i="2"/>
  <c r="N331" i="2"/>
  <c r="N332" i="2"/>
  <c r="F29" i="1"/>
  <c r="L29" i="1"/>
  <c r="J830" i="4"/>
  <c r="K830" i="4" s="1"/>
  <c r="K832" i="4"/>
  <c r="K834" i="4"/>
  <c r="K836" i="4"/>
  <c r="J840" i="4"/>
  <c r="K840" i="4" s="1"/>
  <c r="K842" i="4"/>
  <c r="J844" i="4"/>
  <c r="K844" i="4" s="1"/>
  <c r="K848" i="4"/>
  <c r="K850" i="4"/>
  <c r="J852" i="4"/>
  <c r="K852" i="4" s="1"/>
  <c r="J855" i="4"/>
  <c r="K856" i="4"/>
  <c r="K858" i="4"/>
  <c r="J860" i="4"/>
  <c r="K860" i="4" s="1"/>
  <c r="J864" i="4"/>
  <c r="K864" i="4" s="1"/>
  <c r="J865" i="4"/>
  <c r="K865" i="4" s="1"/>
  <c r="K866" i="4"/>
  <c r="K868" i="4"/>
  <c r="K872" i="4"/>
  <c r="J874" i="4"/>
  <c r="K874" i="4" s="1"/>
  <c r="K878" i="4"/>
  <c r="J828" i="4"/>
  <c r="K828" i="4" s="1"/>
  <c r="K829" i="4"/>
  <c r="K831" i="4"/>
  <c r="K833" i="4"/>
  <c r="K835" i="4"/>
  <c r="K837" i="4"/>
  <c r="K838" i="4"/>
  <c r="K839" i="4"/>
  <c r="K841" i="4"/>
  <c r="K843" i="4"/>
  <c r="K845" i="4"/>
  <c r="K846" i="4"/>
  <c r="K847" i="4"/>
  <c r="K849" i="4"/>
  <c r="K851" i="4"/>
  <c r="K853" i="4"/>
  <c r="K854" i="4"/>
  <c r="K855" i="4"/>
  <c r="K857" i="4"/>
  <c r="K859" i="4"/>
  <c r="K861" i="4"/>
  <c r="K862" i="4"/>
  <c r="K863" i="4"/>
  <c r="K867" i="4"/>
  <c r="K869" i="4"/>
  <c r="K870" i="4"/>
  <c r="K871" i="4"/>
  <c r="K873" i="4"/>
  <c r="K875" i="4"/>
  <c r="K879" i="4"/>
  <c r="K880" i="4"/>
  <c r="N314" i="2"/>
  <c r="N315" i="2"/>
  <c r="N316" i="2"/>
  <c r="N317" i="2"/>
  <c r="N318" i="2"/>
  <c r="N319" i="2"/>
  <c r="N320" i="2"/>
  <c r="N321" i="2"/>
  <c r="K806" i="4"/>
  <c r="K809" i="4"/>
  <c r="K812" i="4"/>
  <c r="K807" i="4"/>
  <c r="K815" i="4"/>
  <c r="J814" i="4"/>
  <c r="K814" i="4" s="1"/>
  <c r="J800" i="4"/>
  <c r="K800" i="4" s="1"/>
  <c r="K801" i="4"/>
  <c r="K813" i="4"/>
  <c r="K799" i="4"/>
  <c r="J803" i="4"/>
  <c r="K803" i="4" s="1"/>
  <c r="K794" i="4"/>
  <c r="K802" i="4"/>
  <c r="K797" i="4"/>
  <c r="J796" i="4"/>
  <c r="K796" i="4" s="1"/>
  <c r="K791" i="4"/>
  <c r="K795" i="4"/>
  <c r="J792" i="4"/>
  <c r="K792" i="4" s="1"/>
  <c r="K787" i="4"/>
  <c r="K798" i="4"/>
  <c r="K804" i="4"/>
  <c r="K820" i="4"/>
  <c r="K784" i="4"/>
  <c r="K782" i="4"/>
  <c r="K788" i="4"/>
  <c r="J789" i="4"/>
  <c r="K789" i="4" s="1"/>
  <c r="K781" i="4"/>
  <c r="K819" i="4"/>
  <c r="K822" i="4"/>
  <c r="J780" i="4"/>
  <c r="K780" i="4" s="1"/>
  <c r="K774" i="4"/>
  <c r="K785" i="4"/>
  <c r="K783" i="4"/>
  <c r="K775" i="4"/>
  <c r="K777" i="4"/>
  <c r="J776" i="4"/>
  <c r="K776" i="4" s="1"/>
  <c r="K772" i="4"/>
  <c r="K778" i="4"/>
  <c r="K805" i="4"/>
  <c r="K817" i="4"/>
  <c r="K811" i="4"/>
  <c r="K808" i="4"/>
  <c r="K810" i="4"/>
  <c r="K793" i="4"/>
  <c r="K821" i="4"/>
  <c r="K786" i="4"/>
  <c r="K823" i="4"/>
  <c r="K779" i="4"/>
  <c r="K773" i="4"/>
  <c r="K790" i="4"/>
  <c r="K818" i="4"/>
  <c r="N305" i="2"/>
  <c r="N306" i="2"/>
  <c r="N307" i="2"/>
  <c r="N308" i="2"/>
  <c r="N309" i="2"/>
  <c r="N310" i="2"/>
  <c r="N311" i="2"/>
  <c r="N312" i="2"/>
  <c r="F111" i="1"/>
  <c r="D109" i="1"/>
  <c r="F109" i="1" s="1"/>
  <c r="F97" i="1"/>
  <c r="K754" i="4"/>
  <c r="J751" i="4"/>
  <c r="K751" i="4" s="1"/>
  <c r="K747" i="4"/>
  <c r="J749" i="4"/>
  <c r="K749" i="4" s="1"/>
  <c r="K753" i="4"/>
  <c r="K741" i="4"/>
  <c r="J742" i="4"/>
  <c r="K742" i="4" s="1"/>
  <c r="K748" i="4"/>
  <c r="K739" i="4"/>
  <c r="K738" i="4"/>
  <c r="J735" i="4"/>
  <c r="K735" i="4" s="1"/>
  <c r="J737" i="4"/>
  <c r="K737" i="4" s="1"/>
  <c r="K734" i="4"/>
  <c r="K731" i="4"/>
  <c r="J750" i="4"/>
  <c r="K750" i="4" s="1"/>
  <c r="J745" i="4"/>
  <c r="K745" i="4" s="1"/>
  <c r="K732" i="4"/>
  <c r="K740" i="4"/>
  <c r="K727" i="4"/>
  <c r="K728" i="4"/>
  <c r="J725" i="4"/>
  <c r="K725" i="4" s="1"/>
  <c r="K767" i="4"/>
  <c r="K765" i="4"/>
  <c r="K763" i="4"/>
  <c r="K762" i="4"/>
  <c r="K761" i="4"/>
  <c r="K726" i="4"/>
  <c r="K729" i="4"/>
  <c r="K724" i="4"/>
  <c r="K752" i="4"/>
  <c r="K756" i="4"/>
  <c r="K744" i="4"/>
  <c r="K746" i="4"/>
  <c r="K736" i="4"/>
  <c r="K743" i="4"/>
  <c r="K730" i="4"/>
  <c r="K733" i="4"/>
  <c r="K766" i="4"/>
  <c r="K764" i="4"/>
  <c r="K760" i="4"/>
  <c r="K759" i="4"/>
  <c r="K755" i="4"/>
  <c r="N298" i="2"/>
  <c r="N299" i="2"/>
  <c r="N300" i="2"/>
  <c r="N301" i="2"/>
  <c r="N302" i="2"/>
  <c r="N303" i="2"/>
  <c r="J701" i="4"/>
  <c r="K701" i="4" s="1"/>
  <c r="J707" i="4"/>
  <c r="K707" i="4" s="1"/>
  <c r="J711" i="4"/>
  <c r="K711" i="4" s="1"/>
  <c r="J716" i="4"/>
  <c r="K716" i="4" s="1"/>
  <c r="J717" i="4"/>
  <c r="K717" i="4" s="1"/>
  <c r="K699" i="4"/>
  <c r="K700" i="4"/>
  <c r="K702" i="4"/>
  <c r="K703" i="4"/>
  <c r="K704" i="4"/>
  <c r="K705" i="4"/>
  <c r="K706" i="4"/>
  <c r="K708" i="4"/>
  <c r="K709" i="4"/>
  <c r="K710" i="4"/>
  <c r="K712" i="4"/>
  <c r="K713" i="4"/>
  <c r="K714" i="4"/>
  <c r="K715" i="4"/>
  <c r="K719" i="4"/>
  <c r="J698" i="4"/>
  <c r="K698" i="4" s="1"/>
  <c r="N276" i="2"/>
  <c r="N278" i="2"/>
  <c r="N280" i="2"/>
  <c r="N282" i="2"/>
  <c r="N284" i="2"/>
  <c r="N286" i="2"/>
  <c r="N288" i="2"/>
  <c r="N290" i="2"/>
  <c r="N291" i="2"/>
  <c r="N293" i="2"/>
  <c r="N295" i="2"/>
  <c r="N296" i="2"/>
  <c r="J676" i="4"/>
  <c r="K676" i="4" s="1"/>
  <c r="K677" i="4"/>
  <c r="J681" i="4"/>
  <c r="K681" i="4" s="1"/>
  <c r="J670" i="4"/>
  <c r="K670" i="4" s="1"/>
  <c r="K671" i="4"/>
  <c r="K680" i="4"/>
  <c r="K693" i="4"/>
  <c r="K667" i="4"/>
  <c r="J668" i="4"/>
  <c r="K668" i="4" s="1"/>
  <c r="K669" i="4"/>
  <c r="K678" i="4"/>
  <c r="J673" i="4"/>
  <c r="J665" i="4"/>
  <c r="J663" i="4"/>
  <c r="K663" i="4" s="1"/>
  <c r="K662" i="4"/>
  <c r="K658" i="4"/>
  <c r="J682" i="4"/>
  <c r="K682" i="4" s="1"/>
  <c r="K653" i="4"/>
  <c r="J655" i="4"/>
  <c r="K655" i="4" s="1"/>
  <c r="K659" i="4"/>
  <c r="J652" i="4"/>
  <c r="K652" i="4" s="1"/>
  <c r="K657" i="4"/>
  <c r="K661" i="4"/>
  <c r="K660" i="4"/>
  <c r="J654" i="4"/>
  <c r="K654" i="4" s="1"/>
  <c r="K647" i="4"/>
  <c r="K650" i="4"/>
  <c r="K646" i="4"/>
  <c r="J672" i="4"/>
  <c r="K672" i="4" s="1"/>
  <c r="K648" i="4"/>
  <c r="K692" i="4"/>
  <c r="K690" i="4"/>
  <c r="K689" i="4"/>
  <c r="K688" i="4"/>
  <c r="K687" i="4"/>
  <c r="K686" i="4"/>
  <c r="K685" i="4"/>
  <c r="K674" i="4"/>
  <c r="K666" i="4"/>
  <c r="K673" i="4"/>
  <c r="K665" i="4"/>
  <c r="K664" i="4"/>
  <c r="K675" i="4"/>
  <c r="K656" i="4"/>
  <c r="K651" i="4"/>
  <c r="K649" i="4"/>
  <c r="K691" i="4"/>
  <c r="K684" i="4"/>
  <c r="K679" i="4"/>
  <c r="N251" i="2"/>
  <c r="N252" i="2"/>
  <c r="N253" i="2"/>
  <c r="N255" i="2"/>
  <c r="N256" i="2"/>
  <c r="N258" i="2"/>
  <c r="N260" i="2"/>
  <c r="N261" i="2"/>
  <c r="N263" i="2"/>
  <c r="N265" i="2"/>
  <c r="N267" i="2"/>
  <c r="N269" i="2"/>
  <c r="N271" i="2"/>
  <c r="N273" i="2"/>
  <c r="K626" i="4"/>
  <c r="K624" i="4"/>
  <c r="J621" i="4"/>
  <c r="K621" i="4" s="1"/>
  <c r="K623" i="4"/>
  <c r="J620" i="4"/>
  <c r="K620" i="4" s="1"/>
  <c r="K617" i="4"/>
  <c r="J616" i="4"/>
  <c r="K616" i="4" s="1"/>
  <c r="J608" i="4"/>
  <c r="K608" i="4" s="1"/>
  <c r="J612" i="4"/>
  <c r="K612" i="4" s="1"/>
  <c r="J611" i="4"/>
  <c r="K611" i="4" s="1"/>
  <c r="K607" i="4"/>
  <c r="K638" i="4"/>
  <c r="J606" i="4"/>
  <c r="K606" i="4" s="1"/>
  <c r="J600" i="4"/>
  <c r="K600" i="4" s="1"/>
  <c r="K609" i="4"/>
  <c r="J610" i="4"/>
  <c r="K610" i="4" s="1"/>
  <c r="K633" i="4"/>
  <c r="K632" i="4"/>
  <c r="J630" i="4"/>
  <c r="K630" i="4" s="1"/>
  <c r="K604" i="4"/>
  <c r="J603" i="4"/>
  <c r="K603" i="4" s="1"/>
  <c r="K601" i="4"/>
  <c r="K636" i="4"/>
  <c r="K640" i="4"/>
  <c r="K641" i="4"/>
  <c r="K615" i="4"/>
  <c r="J597" i="4"/>
  <c r="K597" i="4" s="1"/>
  <c r="J598" i="4"/>
  <c r="K598" i="4" s="1"/>
  <c r="K622" i="4"/>
  <c r="K619" i="4"/>
  <c r="K618" i="4"/>
  <c r="K613" i="4"/>
  <c r="K614" i="4"/>
  <c r="K605" i="4"/>
  <c r="K634" i="4"/>
  <c r="K631" i="4"/>
  <c r="K629" i="4"/>
  <c r="K602" i="4"/>
  <c r="K639" i="4"/>
  <c r="K635" i="4"/>
  <c r="K637" i="4"/>
  <c r="K599" i="4"/>
  <c r="J625" i="4"/>
  <c r="K625" i="4" s="1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J589" i="4"/>
  <c r="K589" i="4" s="1"/>
  <c r="J550" i="4"/>
  <c r="K550" i="4" s="1"/>
  <c r="K546" i="4"/>
  <c r="K548" i="4"/>
  <c r="K587" i="4"/>
  <c r="J586" i="4"/>
  <c r="K586" i="4" s="1"/>
  <c r="K571" i="4"/>
  <c r="K568" i="4"/>
  <c r="K570" i="4"/>
  <c r="K569" i="4"/>
  <c r="J545" i="4"/>
  <c r="K545" i="4" s="1"/>
  <c r="K584" i="4"/>
  <c r="K582" i="4"/>
  <c r="K581" i="4"/>
  <c r="K580" i="4"/>
  <c r="K579" i="4"/>
  <c r="K576" i="4"/>
  <c r="J575" i="4"/>
  <c r="K575" i="4" s="1"/>
  <c r="K574" i="4"/>
  <c r="K572" i="4"/>
  <c r="K542" i="4"/>
  <c r="K543" i="4"/>
  <c r="J540" i="4"/>
  <c r="K540" i="4" s="1"/>
  <c r="K539" i="4"/>
  <c r="K541" i="4"/>
  <c r="K538" i="4"/>
  <c r="K537" i="4"/>
  <c r="K536" i="4"/>
  <c r="K564" i="4"/>
  <c r="K563" i="4"/>
  <c r="K562" i="4"/>
  <c r="K566" i="4"/>
  <c r="K556" i="4"/>
  <c r="K555" i="4"/>
  <c r="K554" i="4"/>
  <c r="K553" i="4"/>
  <c r="K552" i="4"/>
  <c r="K532" i="4"/>
  <c r="K561" i="4"/>
  <c r="K559" i="4"/>
  <c r="K523" i="4"/>
  <c r="J534" i="4"/>
  <c r="K534" i="4" s="1"/>
  <c r="J526" i="4"/>
  <c r="K526" i="4" s="1"/>
  <c r="J535" i="4"/>
  <c r="K535" i="4" s="1"/>
  <c r="J530" i="4"/>
  <c r="K530" i="4" s="1"/>
  <c r="J529" i="4"/>
  <c r="K529" i="4" s="1"/>
  <c r="K531" i="4"/>
  <c r="J525" i="4"/>
  <c r="K525" i="4" s="1"/>
  <c r="K522" i="4"/>
  <c r="J544" i="4"/>
  <c r="K544" i="4" s="1"/>
  <c r="K524" i="4"/>
  <c r="J527" i="4"/>
  <c r="K527" i="4" s="1"/>
  <c r="K592" i="4"/>
  <c r="K547" i="4"/>
  <c r="K549" i="4"/>
  <c r="K588" i="4"/>
  <c r="K585" i="4"/>
  <c r="K583" i="4"/>
  <c r="K578" i="4"/>
  <c r="K577" i="4"/>
  <c r="K573" i="4"/>
  <c r="K565" i="4"/>
  <c r="K567" i="4"/>
  <c r="K533" i="4"/>
  <c r="K560" i="4"/>
  <c r="K558" i="4"/>
  <c r="K557" i="4"/>
  <c r="K528" i="4"/>
  <c r="K590" i="4"/>
  <c r="K591" i="4"/>
  <c r="N228" i="2"/>
  <c r="N229" i="2"/>
  <c r="N230" i="2"/>
  <c r="N231" i="2"/>
  <c r="N232" i="2"/>
  <c r="J488" i="4"/>
  <c r="K488" i="4" s="1"/>
  <c r="J484" i="4"/>
  <c r="K484" i="4" s="1"/>
  <c r="J472" i="4"/>
  <c r="K472" i="4" s="1"/>
  <c r="J486" i="4"/>
  <c r="K486" i="4" s="1"/>
  <c r="J478" i="4"/>
  <c r="K478" i="4" s="1"/>
  <c r="K492" i="4"/>
  <c r="K490" i="4"/>
  <c r="K493" i="4"/>
  <c r="K487" i="4"/>
  <c r="K485" i="4"/>
  <c r="K481" i="4"/>
  <c r="K483" i="4"/>
  <c r="K482" i="4"/>
  <c r="K489" i="4"/>
  <c r="K518" i="4"/>
  <c r="K517" i="4"/>
  <c r="K516" i="4"/>
  <c r="K515" i="4"/>
  <c r="K514" i="4"/>
  <c r="K513" i="4"/>
  <c r="K512" i="4"/>
  <c r="K511" i="4"/>
  <c r="K510" i="4"/>
  <c r="K480" i="4"/>
  <c r="K479" i="4"/>
  <c r="K491" i="4"/>
  <c r="K476" i="4"/>
  <c r="K477" i="4"/>
  <c r="K475" i="4"/>
  <c r="K470" i="4"/>
  <c r="K469" i="4"/>
  <c r="K474" i="4"/>
  <c r="K466" i="4"/>
  <c r="K471" i="4"/>
  <c r="K499" i="4"/>
  <c r="K498" i="4"/>
  <c r="K497" i="4"/>
  <c r="K496" i="4"/>
  <c r="K495" i="4"/>
  <c r="K473" i="4"/>
  <c r="K468" i="4"/>
  <c r="K462" i="4"/>
  <c r="K464" i="4"/>
  <c r="K465" i="4"/>
  <c r="K467" i="4"/>
  <c r="K463" i="4"/>
  <c r="K509" i="4"/>
  <c r="K508" i="4"/>
  <c r="K507" i="4"/>
  <c r="K506" i="4"/>
  <c r="K505" i="4"/>
  <c r="K504" i="4"/>
  <c r="K503" i="4"/>
  <c r="K502" i="4"/>
  <c r="K501" i="4"/>
  <c r="K500" i="4"/>
  <c r="N218" i="2"/>
  <c r="N219" i="2"/>
  <c r="N220" i="2"/>
  <c r="N221" i="2"/>
  <c r="N222" i="2"/>
  <c r="N223" i="2"/>
  <c r="N224" i="2"/>
  <c r="N225" i="2"/>
  <c r="J456" i="4"/>
  <c r="K456" i="4" s="1"/>
  <c r="J459" i="4"/>
  <c r="K459" i="4" s="1"/>
  <c r="J448" i="4"/>
  <c r="K448" i="4" s="1"/>
  <c r="J453" i="4"/>
  <c r="K453" i="4" s="1"/>
  <c r="J449" i="4"/>
  <c r="K449" i="4" s="1"/>
  <c r="J440" i="4"/>
  <c r="K440" i="4" s="1"/>
  <c r="J433" i="4"/>
  <c r="K433" i="4" s="1"/>
  <c r="J434" i="4"/>
  <c r="K434" i="4" s="1"/>
  <c r="K455" i="4"/>
  <c r="K457" i="4"/>
  <c r="K454" i="4"/>
  <c r="K452" i="4"/>
  <c r="K451" i="4"/>
  <c r="K447" i="4"/>
  <c r="K445" i="4"/>
  <c r="K446" i="4"/>
  <c r="K443" i="4"/>
  <c r="K441" i="4"/>
  <c r="K438" i="4"/>
  <c r="K439" i="4"/>
  <c r="K442" i="4"/>
  <c r="K450" i="4"/>
  <c r="K435" i="4"/>
  <c r="K436" i="4"/>
  <c r="K437" i="4"/>
  <c r="K444" i="4"/>
  <c r="K431" i="4"/>
  <c r="K432" i="4"/>
  <c r="K458" i="4"/>
  <c r="N209" i="2"/>
  <c r="N210" i="2"/>
  <c r="N211" i="2"/>
  <c r="N212" i="2"/>
  <c r="N213" i="2"/>
  <c r="N214" i="2"/>
  <c r="N215" i="2"/>
  <c r="N216" i="2"/>
  <c r="J385" i="4"/>
  <c r="K387" i="4"/>
  <c r="J383" i="4"/>
  <c r="K383" i="4" s="1"/>
  <c r="K426" i="4"/>
  <c r="K374" i="4"/>
  <c r="K377" i="4"/>
  <c r="K390" i="4"/>
  <c r="K414" i="4"/>
  <c r="K421" i="4"/>
  <c r="K407" i="4"/>
  <c r="J365" i="4"/>
  <c r="K365" i="4" s="1"/>
  <c r="K406" i="4"/>
  <c r="K400" i="4"/>
  <c r="J399" i="4"/>
  <c r="K399" i="4" s="1"/>
  <c r="J369" i="4"/>
  <c r="K369" i="4" s="1"/>
  <c r="J370" i="4"/>
  <c r="K370" i="4" s="1"/>
  <c r="J367" i="4"/>
  <c r="K367" i="4" s="1"/>
  <c r="K416" i="4"/>
  <c r="K402" i="4"/>
  <c r="K418" i="4"/>
  <c r="J364" i="4"/>
  <c r="K364" i="4" s="1"/>
  <c r="K363" i="4"/>
  <c r="K427" i="4"/>
  <c r="K384" i="4"/>
  <c r="K385" i="4"/>
  <c r="K389" i="4"/>
  <c r="K381" i="4"/>
  <c r="K378" i="4"/>
  <c r="K425" i="4"/>
  <c r="K375" i="4"/>
  <c r="K380" i="4"/>
  <c r="K379" i="4"/>
  <c r="K376" i="4"/>
  <c r="K382" i="4"/>
  <c r="K423" i="4"/>
  <c r="K424" i="4"/>
  <c r="K366" i="4"/>
  <c r="K373" i="4"/>
  <c r="K372" i="4"/>
  <c r="K371" i="4"/>
  <c r="K413" i="4"/>
  <c r="K412" i="4"/>
  <c r="K411" i="4"/>
  <c r="K410" i="4"/>
  <c r="K409" i="4"/>
  <c r="K408" i="4"/>
  <c r="K368" i="4"/>
  <c r="K388" i="4"/>
  <c r="K405" i="4"/>
  <c r="K404" i="4"/>
  <c r="K401" i="4"/>
  <c r="K396" i="4"/>
  <c r="K397" i="4"/>
  <c r="K417" i="4"/>
  <c r="K422" i="4"/>
  <c r="K415" i="4"/>
  <c r="K398" i="4"/>
  <c r="K403" i="4"/>
  <c r="K420" i="4"/>
  <c r="K419" i="4"/>
  <c r="K362" i="4"/>
  <c r="K395" i="4"/>
  <c r="K393" i="4"/>
  <c r="K394" i="4"/>
  <c r="K392" i="4"/>
  <c r="K386" i="4"/>
  <c r="N195" i="2"/>
  <c r="N196" i="2"/>
  <c r="N197" i="2"/>
  <c r="N198" i="2"/>
  <c r="N199" i="2"/>
  <c r="N200" i="2"/>
  <c r="N202" i="2"/>
  <c r="N205" i="2"/>
  <c r="N206" i="2"/>
  <c r="N201" i="2"/>
  <c r="N203" i="2"/>
  <c r="N204" i="2"/>
  <c r="K355" i="4"/>
  <c r="K353" i="4"/>
  <c r="K272" i="4"/>
  <c r="K335" i="4"/>
  <c r="J334" i="4"/>
  <c r="K334" i="4" s="1"/>
  <c r="K330" i="4"/>
  <c r="K328" i="4"/>
  <c r="K273" i="4"/>
  <c r="K325" i="4"/>
  <c r="K269" i="4"/>
  <c r="K270" i="4"/>
  <c r="K322" i="4"/>
  <c r="K320" i="4"/>
  <c r="J318" i="4"/>
  <c r="K318" i="4" s="1"/>
  <c r="K350" i="4"/>
  <c r="K348" i="4"/>
  <c r="K339" i="4"/>
  <c r="K337" i="4"/>
  <c r="K316" i="4"/>
  <c r="K336" i="4"/>
  <c r="J267" i="4"/>
  <c r="K267" i="4" s="1"/>
  <c r="K307" i="4"/>
  <c r="K305" i="4"/>
  <c r="K312" i="4"/>
  <c r="K311" i="4"/>
  <c r="K310" i="4"/>
  <c r="J302" i="4"/>
  <c r="K302" i="4" s="1"/>
  <c r="K304" i="4"/>
  <c r="K268" i="4"/>
  <c r="K262" i="4"/>
  <c r="K264" i="4"/>
  <c r="K266" i="4"/>
  <c r="K293" i="4"/>
  <c r="K292" i="4"/>
  <c r="K263" i="4"/>
  <c r="K294" i="4"/>
  <c r="K351" i="4"/>
  <c r="K326" i="4"/>
  <c r="K301" i="4"/>
  <c r="K315" i="4"/>
  <c r="K295" i="4"/>
  <c r="K299" i="4"/>
  <c r="K297" i="4"/>
  <c r="K261" i="4"/>
  <c r="J256" i="4"/>
  <c r="K256" i="4" s="1"/>
  <c r="J259" i="4"/>
  <c r="K259" i="4" s="1"/>
  <c r="K288" i="4"/>
  <c r="K291" i="4"/>
  <c r="K289" i="4"/>
  <c r="K254" i="4"/>
  <c r="K250" i="4"/>
  <c r="J257" i="4"/>
  <c r="K257" i="4" s="1"/>
  <c r="K287" i="4"/>
  <c r="K286" i="4"/>
  <c r="K285" i="4"/>
  <c r="K253" i="4"/>
  <c r="J276" i="4"/>
  <c r="J248" i="4"/>
  <c r="K248" i="4" s="1"/>
  <c r="K283" i="4"/>
  <c r="K282" i="4"/>
  <c r="K280" i="4"/>
  <c r="J275" i="4"/>
  <c r="K275" i="4" s="1"/>
  <c r="J258" i="4"/>
  <c r="K258" i="4" s="1"/>
  <c r="J252" i="4"/>
  <c r="K252" i="4" s="1"/>
  <c r="K251" i="4"/>
  <c r="K279" i="4"/>
  <c r="K247" i="4"/>
  <c r="K349" i="4"/>
  <c r="K345" i="4"/>
  <c r="K344" i="4"/>
  <c r="K343" i="4"/>
  <c r="K341" i="4"/>
  <c r="K356" i="4"/>
  <c r="K354" i="4"/>
  <c r="K274" i="4"/>
  <c r="K333" i="4"/>
  <c r="K332" i="4"/>
  <c r="K331" i="4"/>
  <c r="K329" i="4"/>
  <c r="K324" i="4"/>
  <c r="K323" i="4"/>
  <c r="K271" i="4"/>
  <c r="K321" i="4"/>
  <c r="K319" i="4"/>
  <c r="K347" i="4"/>
  <c r="K338" i="4"/>
  <c r="K317" i="4"/>
  <c r="K308" i="4"/>
  <c r="K306" i="4"/>
  <c r="K313" i="4"/>
  <c r="K309" i="4"/>
  <c r="K314" i="4"/>
  <c r="K303" i="4"/>
  <c r="K265" i="4"/>
  <c r="K260" i="4"/>
  <c r="K327" i="4"/>
  <c r="K352" i="4"/>
  <c r="K300" i="4"/>
  <c r="K298" i="4"/>
  <c r="K296" i="4"/>
  <c r="K290" i="4"/>
  <c r="K255" i="4"/>
  <c r="K249" i="4"/>
  <c r="K284" i="4"/>
  <c r="K276" i="4"/>
  <c r="K281" i="4"/>
  <c r="K246" i="4"/>
  <c r="K346" i="4"/>
  <c r="K342" i="4"/>
  <c r="K340" i="4"/>
  <c r="K357" i="4"/>
  <c r="N185" i="2"/>
  <c r="N186" i="2"/>
  <c r="N187" i="2"/>
  <c r="N188" i="2"/>
  <c r="N189" i="2"/>
  <c r="N190" i="2"/>
  <c r="N191" i="2"/>
  <c r="N192" i="2"/>
  <c r="N193" i="2"/>
  <c r="N184" i="2"/>
  <c r="K240" i="4"/>
  <c r="K238" i="4"/>
  <c r="K193" i="4"/>
  <c r="K194" i="4"/>
  <c r="K195" i="4"/>
  <c r="K192" i="4"/>
  <c r="J188" i="4"/>
  <c r="K188" i="4" s="1"/>
  <c r="K237" i="4"/>
  <c r="K235" i="4"/>
  <c r="K234" i="4"/>
  <c r="K189" i="4"/>
  <c r="K232" i="4"/>
  <c r="K231" i="4"/>
  <c r="K230" i="4"/>
  <c r="J191" i="4"/>
  <c r="K187" i="4"/>
  <c r="K229" i="4"/>
  <c r="K228" i="4"/>
  <c r="K226" i="4"/>
  <c r="K186" i="4"/>
  <c r="K225" i="4"/>
  <c r="K223" i="4"/>
  <c r="K219" i="4"/>
  <c r="K217" i="4"/>
  <c r="K213" i="4"/>
  <c r="K212" i="4"/>
  <c r="K222" i="4"/>
  <c r="J181" i="4"/>
  <c r="K181" i="4" s="1"/>
  <c r="K211" i="4"/>
  <c r="K210" i="4"/>
  <c r="K208" i="4"/>
  <c r="J183" i="4"/>
  <c r="K183" i="4" s="1"/>
  <c r="J180" i="4"/>
  <c r="K180" i="4" s="1"/>
  <c r="J182" i="4"/>
  <c r="K182" i="4" s="1"/>
  <c r="K171" i="4"/>
  <c r="K173" i="4"/>
  <c r="K172" i="4"/>
  <c r="J202" i="4"/>
  <c r="K202" i="4" s="1"/>
  <c r="K201" i="4"/>
  <c r="K179" i="4"/>
  <c r="K175" i="4"/>
  <c r="K174" i="4"/>
  <c r="K177" i="4"/>
  <c r="J184" i="4"/>
  <c r="K184" i="4" s="1"/>
  <c r="J176" i="4"/>
  <c r="K176" i="4" s="1"/>
  <c r="K205" i="4"/>
  <c r="K207" i="4"/>
  <c r="K170" i="4"/>
  <c r="J178" i="4"/>
  <c r="K178" i="4" s="1"/>
  <c r="K218" i="4"/>
  <c r="K215" i="4"/>
  <c r="K198" i="4"/>
  <c r="K241" i="4"/>
  <c r="K239" i="4"/>
  <c r="K196" i="4"/>
  <c r="K190" i="4"/>
  <c r="K236" i="4"/>
  <c r="K233" i="4"/>
  <c r="K191" i="4"/>
  <c r="K227" i="4"/>
  <c r="K224" i="4"/>
  <c r="K214" i="4"/>
  <c r="K221" i="4"/>
  <c r="K209" i="4"/>
  <c r="K203" i="4"/>
  <c r="K185" i="4"/>
  <c r="K206" i="4"/>
  <c r="K204" i="4"/>
  <c r="K220" i="4"/>
  <c r="K216" i="4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J143" i="4"/>
  <c r="K143" i="4" s="1"/>
  <c r="J141" i="4"/>
  <c r="K141" i="4" s="1"/>
  <c r="J139" i="4"/>
  <c r="K139" i="4" s="1"/>
  <c r="J131" i="4"/>
  <c r="K131" i="4" s="1"/>
  <c r="J135" i="4"/>
  <c r="K135" i="4" s="1"/>
  <c r="J121" i="4"/>
  <c r="K121" i="4" s="1"/>
  <c r="J122" i="4"/>
  <c r="K122" i="4" s="1"/>
  <c r="J124" i="4"/>
  <c r="K124" i="4" s="1"/>
  <c r="J112" i="4"/>
  <c r="K112" i="4" s="1"/>
  <c r="J130" i="4"/>
  <c r="K130" i="4" s="1"/>
  <c r="J116" i="4"/>
  <c r="K116" i="4" s="1"/>
  <c r="J114" i="4"/>
  <c r="K114" i="4" s="1"/>
  <c r="J111" i="4"/>
  <c r="K111" i="4" s="1"/>
  <c r="K149" i="4"/>
  <c r="K145" i="4"/>
  <c r="K144" i="4"/>
  <c r="K166" i="4"/>
  <c r="K165" i="4"/>
  <c r="K164" i="4"/>
  <c r="K163" i="4"/>
  <c r="K138" i="4"/>
  <c r="K140" i="4"/>
  <c r="K162" i="4"/>
  <c r="K161" i="4"/>
  <c r="K160" i="4"/>
  <c r="K154" i="4"/>
  <c r="K159" i="4"/>
  <c r="K158" i="4"/>
  <c r="K157" i="4"/>
  <c r="K156" i="4"/>
  <c r="K155" i="4"/>
  <c r="K153" i="4"/>
  <c r="K152" i="4"/>
  <c r="K151" i="4"/>
  <c r="K137" i="4"/>
  <c r="K133" i="4"/>
  <c r="K134" i="4"/>
  <c r="K142" i="4"/>
  <c r="K128" i="4"/>
  <c r="K129" i="4"/>
  <c r="K127" i="4"/>
  <c r="K126" i="4"/>
  <c r="K123" i="4"/>
  <c r="K125" i="4"/>
  <c r="K132" i="4"/>
  <c r="K146" i="4"/>
  <c r="K119" i="4"/>
  <c r="K118" i="4"/>
  <c r="K117" i="4"/>
  <c r="K113" i="4"/>
  <c r="K115" i="4"/>
  <c r="K106" i="4"/>
  <c r="K136" i="4"/>
  <c r="K120" i="4"/>
  <c r="K110" i="4"/>
  <c r="K104" i="4"/>
  <c r="K109" i="4"/>
  <c r="K107" i="4"/>
  <c r="K105" i="4"/>
  <c r="K101" i="4"/>
  <c r="K103" i="4"/>
  <c r="K102" i="4"/>
  <c r="K108" i="4"/>
  <c r="K150" i="4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K91" i="4"/>
  <c r="J87" i="4"/>
  <c r="K87" i="4" s="1"/>
  <c r="K84" i="4"/>
  <c r="J88" i="4"/>
  <c r="K88" i="4" s="1"/>
  <c r="K85" i="4"/>
  <c r="K81" i="4"/>
  <c r="J82" i="4"/>
  <c r="K82" i="4" s="1"/>
  <c r="J76" i="4"/>
  <c r="K76" i="4" s="1"/>
  <c r="J79" i="4"/>
  <c r="K79" i="4" s="1"/>
  <c r="K70" i="4"/>
  <c r="K71" i="4"/>
  <c r="J74" i="4"/>
  <c r="K74" i="4" s="1"/>
  <c r="J77" i="4"/>
  <c r="K77" i="4" s="1"/>
  <c r="J69" i="4"/>
  <c r="K69" i="4" s="1"/>
  <c r="J67" i="4"/>
  <c r="K67" i="4" s="1"/>
  <c r="J66" i="4"/>
  <c r="K66" i="4" s="1"/>
  <c r="K65" i="4"/>
  <c r="K62" i="4"/>
  <c r="J64" i="4"/>
  <c r="K64" i="4" s="1"/>
  <c r="J61" i="4"/>
  <c r="K61" i="4" s="1"/>
  <c r="J89" i="4"/>
  <c r="K89" i="4" s="1"/>
  <c r="K90" i="4"/>
  <c r="K92" i="4"/>
  <c r="K83" i="4"/>
  <c r="K86" i="4"/>
  <c r="K80" i="4"/>
  <c r="K78" i="4"/>
  <c r="K72" i="4"/>
  <c r="K73" i="4"/>
  <c r="K94" i="4"/>
  <c r="K75" i="4"/>
  <c r="K68" i="4"/>
  <c r="K63" i="4"/>
  <c r="N142" i="2"/>
  <c r="N143" i="2"/>
  <c r="N144" i="2"/>
  <c r="N145" i="2"/>
  <c r="N146" i="2"/>
  <c r="N147" i="2"/>
  <c r="N148" i="2"/>
  <c r="N149" i="2"/>
  <c r="N150" i="2"/>
  <c r="N151" i="2"/>
  <c r="N152" i="2"/>
  <c r="N153" i="2"/>
  <c r="K35" i="4"/>
  <c r="K32" i="4"/>
  <c r="K34" i="4"/>
  <c r="K26" i="4"/>
  <c r="J28" i="4"/>
  <c r="K28" i="4" s="1"/>
  <c r="K27" i="4"/>
  <c r="J23" i="4"/>
  <c r="K23" i="4" s="1"/>
  <c r="J54" i="4"/>
  <c r="K54" i="4" s="1"/>
  <c r="K53" i="4"/>
  <c r="K51" i="4"/>
  <c r="K58" i="4"/>
  <c r="K56" i="4"/>
  <c r="K55" i="4"/>
  <c r="K20" i="4"/>
  <c r="J24" i="4"/>
  <c r="K24" i="4" s="1"/>
  <c r="K21" i="4"/>
  <c r="J36" i="4"/>
  <c r="K36" i="4" s="1"/>
  <c r="J37" i="4"/>
  <c r="K37" i="4" s="1"/>
  <c r="K19" i="4"/>
  <c r="K22" i="4"/>
  <c r="K31" i="4"/>
  <c r="K30" i="4"/>
  <c r="K29" i="4"/>
  <c r="J25" i="4"/>
  <c r="K25" i="4" s="1"/>
  <c r="K44" i="4"/>
  <c r="K43" i="4"/>
  <c r="J42" i="4"/>
  <c r="K42" i="4" s="1"/>
  <c r="K41" i="4"/>
  <c r="J15" i="4"/>
  <c r="K15" i="4" s="1"/>
  <c r="K50" i="4"/>
  <c r="K49" i="4"/>
  <c r="K47" i="4"/>
  <c r="K46" i="4"/>
  <c r="K45" i="4"/>
  <c r="K13" i="4"/>
  <c r="K14" i="4"/>
  <c r="K12" i="4"/>
  <c r="K16" i="4"/>
  <c r="K17" i="4"/>
  <c r="K9" i="4"/>
  <c r="K8" i="4"/>
  <c r="J11" i="4"/>
  <c r="K11" i="4" s="1"/>
  <c r="K10" i="4"/>
  <c r="J7" i="4"/>
  <c r="K7" i="4" s="1"/>
  <c r="J2" i="4"/>
  <c r="K2" i="4" s="1"/>
  <c r="K3" i="4"/>
  <c r="K6" i="4"/>
  <c r="K18" i="4"/>
  <c r="K4" i="4"/>
  <c r="K33" i="4"/>
  <c r="K52" i="4"/>
  <c r="K57" i="4"/>
  <c r="K48" i="4"/>
  <c r="K5" i="4"/>
  <c r="K38" i="4"/>
  <c r="N132" i="2"/>
  <c r="N133" i="2"/>
  <c r="N134" i="2"/>
  <c r="N135" i="2"/>
  <c r="N136" i="2"/>
  <c r="N137" i="2"/>
  <c r="N138" i="2"/>
  <c r="N139" i="2"/>
  <c r="N140" i="2"/>
  <c r="M681" i="2" l="1"/>
  <c r="N681" i="2" s="1"/>
  <c r="M765" i="2"/>
  <c r="N765" i="2" s="1"/>
  <c r="M737" i="2"/>
  <c r="N737" i="2" s="1"/>
  <c r="M741" i="2"/>
  <c r="N741" i="2" s="1"/>
  <c r="M662" i="2"/>
  <c r="N662" i="2" s="1"/>
  <c r="M740" i="2"/>
  <c r="N740" i="2" s="1"/>
  <c r="M581" i="2"/>
  <c r="N581" i="2" s="1"/>
  <c r="M726" i="2"/>
  <c r="N726" i="2" s="1"/>
  <c r="M709" i="2"/>
  <c r="N709" i="2" s="1"/>
  <c r="M348" i="2"/>
  <c r="N348" i="2" s="1"/>
  <c r="M650" i="2"/>
  <c r="N650" i="2" s="1"/>
  <c r="M622" i="2"/>
  <c r="N622" i="2" s="1"/>
  <c r="M670" i="2"/>
  <c r="N670" i="2" s="1"/>
  <c r="M663" i="2"/>
  <c r="N663" i="2" s="1"/>
  <c r="M621" i="2"/>
  <c r="N621" i="2" s="1"/>
  <c r="M624" i="2"/>
  <c r="N624" i="2" s="1"/>
  <c r="M680" i="2"/>
  <c r="N680" i="2" s="1"/>
  <c r="M667" i="2"/>
  <c r="N667" i="2" s="1"/>
  <c r="M638" i="2"/>
  <c r="N638" i="2" s="1"/>
  <c r="M632" i="2"/>
  <c r="N632" i="2" s="1"/>
  <c r="M672" i="2"/>
  <c r="N672" i="2" s="1"/>
  <c r="M569" i="2"/>
  <c r="N569" i="2" s="1"/>
  <c r="M641" i="2"/>
  <c r="N641" i="2" s="1"/>
  <c r="M687" i="2"/>
  <c r="N687" i="2" s="1"/>
  <c r="M678" i="2"/>
  <c r="N678" i="2" s="1"/>
  <c r="M703" i="2"/>
  <c r="N703" i="2" s="1"/>
  <c r="M694" i="2"/>
  <c r="N694" i="2" s="1"/>
  <c r="M689" i="2"/>
  <c r="N689" i="2" s="1"/>
  <c r="M706" i="2"/>
  <c r="N706" i="2" s="1"/>
  <c r="M625" i="2"/>
  <c r="N625" i="2" s="1"/>
  <c r="M668" i="2"/>
  <c r="N668" i="2" s="1"/>
  <c r="M677" i="2"/>
  <c r="N677" i="2" s="1"/>
  <c r="M659" i="2"/>
  <c r="N659" i="2" s="1"/>
  <c r="M676" i="2"/>
  <c r="N676" i="2" s="1"/>
  <c r="M566" i="2"/>
  <c r="N566" i="2" s="1"/>
  <c r="M655" i="2"/>
  <c r="N655" i="2" s="1"/>
  <c r="M631" i="2"/>
  <c r="N631" i="2" s="1"/>
  <c r="M639" i="2"/>
  <c r="N639" i="2" s="1"/>
  <c r="M576" i="2"/>
  <c r="N576" i="2" s="1"/>
  <c r="M635" i="2"/>
  <c r="N635" i="2" s="1"/>
  <c r="M679" i="2"/>
  <c r="N679" i="2" s="1"/>
  <c r="M642" i="2"/>
  <c r="N642" i="2" s="1"/>
  <c r="M618" i="2"/>
  <c r="N618" i="2" s="1"/>
  <c r="M629" i="2"/>
  <c r="N629" i="2" s="1"/>
  <c r="M698" i="2"/>
  <c r="N698" i="2" s="1"/>
  <c r="M705" i="2"/>
  <c r="N705" i="2" s="1"/>
  <c r="M692" i="2"/>
  <c r="N692" i="2" s="1"/>
  <c r="M643" i="2"/>
  <c r="N643" i="2" s="1"/>
  <c r="M598" i="2"/>
  <c r="N598" i="2" s="1"/>
  <c r="M644" i="2"/>
  <c r="N644" i="2" s="1"/>
  <c r="M616" i="2"/>
  <c r="N616" i="2" s="1"/>
  <c r="M647" i="2"/>
  <c r="N647" i="2" s="1"/>
  <c r="M648" i="2"/>
  <c r="N648" i="2" s="1"/>
  <c r="M636" i="2"/>
  <c r="N636" i="2" s="1"/>
  <c r="M640" i="2"/>
  <c r="N640" i="2" s="1"/>
  <c r="M627" i="2"/>
  <c r="N627" i="2" s="1"/>
  <c r="M609" i="2"/>
  <c r="N609" i="2" s="1"/>
  <c r="M613" i="2"/>
  <c r="N613" i="2" s="1"/>
  <c r="M607" i="2"/>
  <c r="N607" i="2" s="1"/>
  <c r="M611" i="2"/>
  <c r="N611" i="2" s="1"/>
  <c r="M582" i="2"/>
  <c r="N582" i="2" s="1"/>
  <c r="M617" i="2"/>
  <c r="N617" i="2" s="1"/>
  <c r="M614" i="2"/>
  <c r="N614" i="2" s="1"/>
  <c r="M587" i="2"/>
  <c r="N587" i="2" s="1"/>
  <c r="M608" i="2"/>
  <c r="N608" i="2" s="1"/>
  <c r="M583" i="2"/>
  <c r="N583" i="2" s="1"/>
  <c r="M597" i="2"/>
  <c r="N597" i="2" s="1"/>
  <c r="K160" i="5"/>
  <c r="M373" i="2" s="1"/>
  <c r="N373" i="2" s="1"/>
  <c r="K116" i="5"/>
  <c r="M361" i="2" s="1"/>
  <c r="N361" i="2" s="1"/>
  <c r="K13" i="5"/>
  <c r="M534" i="2" s="1"/>
  <c r="N534" i="2" s="1"/>
  <c r="K8" i="5"/>
  <c r="K35" i="5"/>
  <c r="K45" i="5"/>
  <c r="M520" i="2" s="1"/>
  <c r="N520" i="2" s="1"/>
  <c r="K72" i="5"/>
  <c r="K76" i="5"/>
  <c r="M457" i="2" s="1"/>
  <c r="N457" i="2" s="1"/>
  <c r="K161" i="5"/>
  <c r="M339" i="2" s="1"/>
  <c r="N339" i="2" s="1"/>
  <c r="K180" i="5"/>
  <c r="K88" i="5"/>
  <c r="M459" i="2" s="1"/>
  <c r="N459" i="2" s="1"/>
  <c r="K51" i="5"/>
  <c r="K52" i="5"/>
  <c r="M379" i="2" s="1"/>
  <c r="N379" i="2" s="1"/>
  <c r="M585" i="2"/>
  <c r="N585" i="2" s="1"/>
  <c r="M570" i="2"/>
  <c r="M577" i="2"/>
  <c r="N577" i="2" s="1"/>
  <c r="K16" i="5"/>
  <c r="M335" i="2" s="1"/>
  <c r="N335" i="2" s="1"/>
  <c r="K60" i="5"/>
  <c r="K80" i="5"/>
  <c r="K158" i="5"/>
  <c r="M589" i="2" s="1"/>
  <c r="N589" i="2" s="1"/>
  <c r="K34" i="5"/>
  <c r="K12" i="5"/>
  <c r="K62" i="5"/>
  <c r="K47" i="5"/>
  <c r="M533" i="2" s="1"/>
  <c r="N533" i="2" s="1"/>
  <c r="K115" i="5"/>
  <c r="K128" i="5"/>
  <c r="M340" i="2" s="1"/>
  <c r="N340" i="2" s="1"/>
  <c r="K67" i="5"/>
  <c r="M370" i="2" s="1"/>
  <c r="N370" i="2" s="1"/>
  <c r="M460" i="2"/>
  <c r="N460" i="2" s="1"/>
  <c r="M552" i="2"/>
  <c r="N552" i="2" s="1"/>
  <c r="M556" i="2"/>
  <c r="N556" i="2" s="1"/>
  <c r="M551" i="2"/>
  <c r="N551" i="2" s="1"/>
  <c r="M550" i="2"/>
  <c r="N550" i="2" s="1"/>
  <c r="M555" i="2"/>
  <c r="N555" i="2" s="1"/>
  <c r="N567" i="2"/>
  <c r="N570" i="2"/>
  <c r="M540" i="2"/>
  <c r="N540" i="2" s="1"/>
  <c r="M544" i="2"/>
  <c r="N544" i="2" s="1"/>
  <c r="M390" i="2"/>
  <c r="N390" i="2" s="1"/>
  <c r="M539" i="2"/>
  <c r="N539" i="2" s="1"/>
  <c r="M538" i="2"/>
  <c r="N538" i="2" s="1"/>
  <c r="M546" i="2"/>
  <c r="N546" i="2" s="1"/>
  <c r="M553" i="2"/>
  <c r="N553" i="2" s="1"/>
  <c r="M547" i="2"/>
  <c r="N547" i="2" s="1"/>
  <c r="M558" i="2"/>
  <c r="N558" i="2" s="1"/>
  <c r="M561" i="2"/>
  <c r="N561" i="2" s="1"/>
  <c r="M554" i="2"/>
  <c r="N554" i="2" s="1"/>
  <c r="M548" i="2"/>
  <c r="N548" i="2" s="1"/>
  <c r="M564" i="2"/>
  <c r="N564" i="2" s="1"/>
  <c r="M526" i="2"/>
  <c r="N526" i="2" s="1"/>
  <c r="M545" i="2"/>
  <c r="N545" i="2" s="1"/>
  <c r="M541" i="2"/>
  <c r="N541" i="2" s="1"/>
  <c r="M532" i="2"/>
  <c r="N532" i="2" s="1"/>
  <c r="M560" i="2"/>
  <c r="N560" i="2" s="1"/>
  <c r="M458" i="2"/>
  <c r="N458" i="2" s="1"/>
  <c r="M535" i="2"/>
  <c r="N535" i="2" s="1"/>
  <c r="M453" i="2"/>
  <c r="N453" i="2" s="1"/>
  <c r="M565" i="2"/>
  <c r="N565" i="2" s="1"/>
  <c r="M563" i="2"/>
  <c r="N563" i="2" s="1"/>
  <c r="M531" i="2"/>
  <c r="N531" i="2" s="1"/>
  <c r="M557" i="2"/>
  <c r="N557" i="2" s="1"/>
  <c r="M543" i="2"/>
  <c r="N543" i="2" s="1"/>
  <c r="M530" i="2"/>
  <c r="N530" i="2" s="1"/>
  <c r="M501" i="2"/>
  <c r="N501" i="2" s="1"/>
  <c r="M515" i="2"/>
  <c r="N515" i="2" s="1"/>
  <c r="M519" i="2"/>
  <c r="N519" i="2" s="1"/>
  <c r="M505" i="2"/>
  <c r="N505" i="2" s="1"/>
  <c r="M499" i="2"/>
  <c r="N499" i="2" s="1"/>
  <c r="M516" i="2"/>
  <c r="N516" i="2" s="1"/>
  <c r="M506" i="2"/>
  <c r="N506" i="2" s="1"/>
  <c r="M518" i="2"/>
  <c r="N518" i="2" s="1"/>
  <c r="M510" i="2"/>
  <c r="N510" i="2" s="1"/>
  <c r="M389" i="2"/>
  <c r="N389" i="2" s="1"/>
  <c r="M511" i="2"/>
  <c r="N511" i="2" s="1"/>
  <c r="M437" i="2"/>
  <c r="N437" i="2" s="1"/>
  <c r="M507" i="2"/>
  <c r="N507" i="2" s="1"/>
  <c r="N498" i="2"/>
  <c r="M500" i="2"/>
  <c r="N500" i="2" s="1"/>
  <c r="M347" i="2"/>
  <c r="N347" i="2" s="1"/>
  <c r="M468" i="2"/>
  <c r="N468" i="2" s="1"/>
  <c r="M467" i="2"/>
  <c r="N467" i="2" s="1"/>
  <c r="M452" i="2"/>
  <c r="N452" i="2" s="1"/>
  <c r="M487" i="2"/>
  <c r="N487" i="2" s="1"/>
  <c r="M356" i="2"/>
  <c r="N356" i="2" s="1"/>
  <c r="M470" i="2"/>
  <c r="N470" i="2" s="1"/>
  <c r="M489" i="2"/>
  <c r="N489" i="2" s="1"/>
  <c r="M336" i="2"/>
  <c r="N336" i="2" s="1"/>
  <c r="M479" i="2"/>
  <c r="N479" i="2" s="1"/>
  <c r="M435" i="2"/>
  <c r="N435" i="2" s="1"/>
  <c r="M475" i="2"/>
  <c r="N475" i="2" s="1"/>
  <c r="M490" i="2"/>
  <c r="N490" i="2" s="1"/>
  <c r="M493" i="2"/>
  <c r="N493" i="2" s="1"/>
  <c r="M450" i="2"/>
  <c r="N450" i="2" s="1"/>
  <c r="M465" i="2"/>
  <c r="N465" i="2" s="1"/>
  <c r="M382" i="2"/>
  <c r="N382" i="2" s="1"/>
  <c r="M462" i="2"/>
  <c r="N462" i="2" s="1"/>
  <c r="M463" i="2"/>
  <c r="N463" i="2" s="1"/>
  <c r="M426" i="2"/>
  <c r="N426" i="2" s="1"/>
  <c r="M423" i="2"/>
  <c r="N423" i="2" s="1"/>
  <c r="M448" i="2"/>
  <c r="N448" i="2" s="1"/>
  <c r="M436" i="2"/>
  <c r="N436" i="2" s="1"/>
  <c r="M445" i="2"/>
  <c r="N445" i="2" s="1"/>
  <c r="M432" i="2"/>
  <c r="N432" i="2" s="1"/>
  <c r="M429" i="2"/>
  <c r="N429" i="2" s="1"/>
  <c r="M439" i="2"/>
  <c r="N439" i="2" s="1"/>
  <c r="M447" i="2"/>
  <c r="N447" i="2" s="1"/>
  <c r="M456" i="2"/>
  <c r="N456" i="2" s="1"/>
  <c r="M431" i="2"/>
  <c r="N431" i="2" s="1"/>
  <c r="M428" i="2"/>
  <c r="N428" i="2" s="1"/>
  <c r="M438" i="2"/>
  <c r="N438" i="2" s="1"/>
  <c r="M449" i="2"/>
  <c r="N449" i="2" s="1"/>
  <c r="M443" i="2"/>
  <c r="N443" i="2" s="1"/>
  <c r="M427" i="2"/>
  <c r="N427" i="2" s="1"/>
  <c r="M354" i="2"/>
  <c r="N354" i="2" s="1"/>
  <c r="M397" i="2"/>
  <c r="N397" i="2" s="1"/>
  <c r="M387" i="2"/>
  <c r="N387" i="2" s="1"/>
  <c r="M386" i="2"/>
  <c r="N386" i="2" s="1"/>
  <c r="M367" i="2"/>
  <c r="N367" i="2" s="1"/>
  <c r="M392" i="2"/>
  <c r="N392" i="2" s="1"/>
  <c r="M385" i="2"/>
  <c r="N385" i="2" s="1"/>
  <c r="M391" i="2"/>
  <c r="N391" i="2" s="1"/>
  <c r="M388" i="2"/>
  <c r="N388" i="2" s="1"/>
  <c r="M394" i="2"/>
  <c r="N394" i="2" s="1"/>
  <c r="M358" i="2"/>
  <c r="N358" i="2" s="1"/>
  <c r="M381" i="2"/>
  <c r="N381" i="2" s="1"/>
  <c r="M376" i="2"/>
  <c r="N376" i="2" s="1"/>
  <c r="M349" i="2"/>
  <c r="N349" i="2" s="1"/>
  <c r="M365" i="2"/>
  <c r="N365" i="2" s="1"/>
  <c r="M375" i="2"/>
  <c r="N375" i="2" s="1"/>
  <c r="M378" i="2"/>
  <c r="N378" i="2" s="1"/>
  <c r="H97" i="1"/>
  <c r="D108" i="1"/>
  <c r="F108" i="1" s="1"/>
  <c r="D105" i="1"/>
  <c r="F105" i="1" s="1"/>
  <c r="N119" i="2"/>
  <c r="N120" i="2"/>
  <c r="N121" i="2"/>
  <c r="N122" i="2"/>
  <c r="N123" i="2"/>
  <c r="N124" i="2"/>
  <c r="N125" i="2"/>
  <c r="N126" i="2"/>
  <c r="N127" i="2"/>
  <c r="N128" i="2"/>
  <c r="N129" i="2"/>
  <c r="N130" i="2"/>
  <c r="D110" i="1"/>
  <c r="J96" i="1"/>
  <c r="D107" i="1"/>
  <c r="F107" i="1" s="1"/>
  <c r="D104" i="1"/>
  <c r="M396" i="2" l="1"/>
  <c r="N396" i="2" s="1"/>
  <c r="M735" i="2"/>
  <c r="N735" i="2" s="1"/>
  <c r="M440" i="2"/>
  <c r="N440" i="2" s="1"/>
  <c r="M623" i="2"/>
  <c r="N623" i="2" s="1"/>
  <c r="M723" i="2"/>
  <c r="N723" i="2" s="1"/>
  <c r="M342" i="2"/>
  <c r="N342" i="2" s="1"/>
  <c r="M352" i="2"/>
  <c r="N352" i="2" s="1"/>
  <c r="M359" i="2"/>
  <c r="N359" i="2" s="1"/>
  <c r="M455" i="2"/>
  <c r="N455" i="2" s="1"/>
  <c r="M363" i="2"/>
  <c r="N363" i="2" s="1"/>
  <c r="M380" i="2"/>
  <c r="N380" i="2" s="1"/>
  <c r="M691" i="2"/>
  <c r="N691" i="2" s="1"/>
  <c r="M594" i="2"/>
  <c r="N594" i="2" s="1"/>
  <c r="M666" i="2"/>
  <c r="N666" i="2" s="1"/>
  <c r="M656" i="2"/>
  <c r="N656" i="2" s="1"/>
  <c r="M630" i="2"/>
  <c r="N630" i="2" s="1"/>
  <c r="M343" i="2"/>
  <c r="N343" i="2" s="1"/>
  <c r="M628" i="2"/>
  <c r="N628" i="2" s="1"/>
  <c r="M575" i="2"/>
  <c r="N575" i="2" s="1"/>
  <c r="M651" i="2"/>
  <c r="N651" i="2" s="1"/>
  <c r="M383" i="2"/>
  <c r="N383" i="2" s="1"/>
  <c r="M360" i="2"/>
  <c r="N360" i="2" s="1"/>
  <c r="M454" i="2"/>
  <c r="N454" i="2" s="1"/>
  <c r="M374" i="2"/>
  <c r="N374" i="2" s="1"/>
  <c r="M660" i="2"/>
  <c r="N660" i="2" s="1"/>
  <c r="M653" i="2"/>
  <c r="N653" i="2" s="1"/>
  <c r="M690" i="2"/>
  <c r="N690" i="2" s="1"/>
  <c r="M683" i="2"/>
  <c r="N683" i="2" s="1"/>
  <c r="M341" i="2"/>
  <c r="N341" i="2" s="1"/>
  <c r="M688" i="2"/>
  <c r="N688" i="2" s="1"/>
  <c r="M338" i="2"/>
  <c r="N338" i="2" s="1"/>
  <c r="M707" i="2"/>
  <c r="N707" i="2" s="1"/>
  <c r="M446" i="2"/>
  <c r="N446" i="2" s="1"/>
  <c r="M661" i="2"/>
  <c r="N661" i="2" s="1"/>
  <c r="M637" i="2"/>
  <c r="N637" i="2" s="1"/>
  <c r="M699" i="2"/>
  <c r="N699" i="2" s="1"/>
  <c r="M603" i="2"/>
  <c r="N603" i="2" s="1"/>
  <c r="M612" i="2"/>
  <c r="N612" i="2" s="1"/>
  <c r="M525" i="2"/>
  <c r="N525" i="2" s="1"/>
  <c r="M495" i="2"/>
  <c r="N495" i="2" s="1"/>
  <c r="M528" i="2"/>
  <c r="N528" i="2" s="1"/>
  <c r="M606" i="2"/>
  <c r="N606" i="2" s="1"/>
  <c r="M542" i="2"/>
  <c r="N542" i="2" s="1"/>
  <c r="M605" i="2"/>
  <c r="N605" i="2" s="1"/>
  <c r="M517" i="2"/>
  <c r="N517" i="2" s="1"/>
  <c r="M421" i="2"/>
  <c r="N421" i="2" s="1"/>
  <c r="M395" i="2"/>
  <c r="N395" i="2" s="1"/>
  <c r="M572" i="2"/>
  <c r="N572" i="2" s="1"/>
  <c r="M593" i="2"/>
  <c r="N593" i="2" s="1"/>
  <c r="M584" i="2"/>
  <c r="N584" i="2" s="1"/>
  <c r="M599" i="2"/>
  <c r="N599" i="2" s="1"/>
  <c r="M481" i="2"/>
  <c r="N481" i="2" s="1"/>
  <c r="M369" i="2"/>
  <c r="N369" i="2" s="1"/>
  <c r="M346" i="2"/>
  <c r="N346" i="2" s="1"/>
  <c r="M494" i="2"/>
  <c r="N494" i="2" s="1"/>
  <c r="M488" i="2"/>
  <c r="N488" i="2" s="1"/>
  <c r="M527" i="2"/>
  <c r="N527" i="2" s="1"/>
  <c r="M424" i="2"/>
  <c r="N424" i="2" s="1"/>
  <c r="F110" i="1"/>
  <c r="F104" i="1"/>
  <c r="O456" i="2"/>
  <c r="F103" i="1"/>
  <c r="H96" i="1"/>
  <c r="K96" i="1"/>
  <c r="N113" i="2"/>
  <c r="N114" i="2"/>
  <c r="N115" i="2"/>
  <c r="N116" i="2"/>
  <c r="N117" i="2"/>
  <c r="F113" i="1" l="1"/>
  <c r="L96" i="1"/>
  <c r="M96" i="1"/>
  <c r="N104" i="2"/>
  <c r="N105" i="2"/>
  <c r="N106" i="2"/>
  <c r="N107" i="2"/>
  <c r="N109" i="2"/>
  <c r="N110" i="2"/>
  <c r="N111" i="2"/>
  <c r="N108" i="2"/>
  <c r="M97" i="1" l="1"/>
  <c r="N92" i="2"/>
  <c r="N95" i="2"/>
  <c r="N96" i="2"/>
  <c r="N97" i="2"/>
  <c r="N98" i="2"/>
  <c r="N99" i="2"/>
  <c r="N100" i="2"/>
  <c r="N101" i="2"/>
  <c r="N102" i="2"/>
  <c r="N89" i="2" l="1"/>
  <c r="N90" i="2"/>
  <c r="N91" i="2"/>
  <c r="N88" i="2"/>
  <c r="K84" i="2" l="1"/>
  <c r="K85" i="2"/>
  <c r="J78" i="2"/>
  <c r="K78" i="2" s="1"/>
  <c r="J79" i="2"/>
  <c r="K79" i="2" s="1"/>
  <c r="J80" i="2"/>
  <c r="K80" i="2" s="1"/>
  <c r="J81" i="2"/>
  <c r="K81" i="2" s="1"/>
  <c r="J82" i="2"/>
  <c r="K82" i="2" s="1"/>
  <c r="J83" i="2"/>
  <c r="K83" i="2" s="1"/>
  <c r="J86" i="2"/>
  <c r="K86" i="2" s="1"/>
  <c r="J70" i="2" l="1"/>
  <c r="K70" i="2" s="1"/>
  <c r="J59" i="2"/>
  <c r="K59" i="2" s="1"/>
  <c r="K49" i="2"/>
  <c r="K47" i="2"/>
  <c r="K43" i="2"/>
  <c r="K41" i="2"/>
  <c r="K39" i="2"/>
  <c r="J37" i="2"/>
  <c r="K37" i="2" s="1"/>
  <c r="K35" i="2"/>
  <c r="K33" i="2"/>
  <c r="J31" i="2"/>
  <c r="K31" i="2" s="1"/>
  <c r="K27" i="2"/>
  <c r="J25" i="2"/>
  <c r="K25" i="2" s="1"/>
  <c r="K23" i="2"/>
  <c r="J19" i="2"/>
  <c r="K19" i="2" s="1"/>
  <c r="K17" i="2"/>
  <c r="K15" i="2"/>
  <c r="K11" i="2"/>
  <c r="K9" i="2"/>
  <c r="K7" i="2"/>
  <c r="J3" i="2"/>
  <c r="K3" i="2" s="1"/>
  <c r="K74" i="2"/>
  <c r="K72" i="2"/>
  <c r="K68" i="2"/>
  <c r="K66" i="2"/>
  <c r="K63" i="2"/>
  <c r="K61" i="2"/>
  <c r="K57" i="2"/>
  <c r="K55" i="2"/>
  <c r="K53" i="2"/>
  <c r="K51" i="2"/>
  <c r="K45" i="2"/>
  <c r="K29" i="2"/>
  <c r="K21" i="2"/>
  <c r="K13" i="2"/>
  <c r="K5" i="2"/>
  <c r="J77" i="2"/>
  <c r="K77" i="2" s="1"/>
</calcChain>
</file>

<file path=xl/sharedStrings.xml><?xml version="1.0" encoding="utf-8"?>
<sst xmlns="http://schemas.openxmlformats.org/spreadsheetml/2006/main" count="26357" uniqueCount="5824">
  <si>
    <t>Incidente</t>
  </si>
  <si>
    <t>Tipo</t>
  </si>
  <si>
    <t>Empresa</t>
  </si>
  <si>
    <t>Sucursal</t>
  </si>
  <si>
    <t>Nro. Serie</t>
  </si>
  <si>
    <t>Fecha Cierre</t>
  </si>
  <si>
    <t>Costo Serv</t>
  </si>
  <si>
    <t>Cant. Km</t>
  </si>
  <si>
    <t>Costo Km</t>
  </si>
  <si>
    <t>Total viaje</t>
  </si>
  <si>
    <t>Costo total</t>
  </si>
  <si>
    <t>Correctivo</t>
  </si>
  <si>
    <t>Cantidad</t>
  </si>
  <si>
    <t>AGENTE:</t>
  </si>
  <si>
    <t>MODELO FACTURACION</t>
  </si>
  <si>
    <t>ITEM</t>
  </si>
  <si>
    <t>DESCRIPCION</t>
  </si>
  <si>
    <t>Cant</t>
  </si>
  <si>
    <t>$ Unit</t>
  </si>
  <si>
    <t>Total</t>
  </si>
  <si>
    <t>CORRECTIVOS</t>
  </si>
  <si>
    <t>viatico</t>
  </si>
  <si>
    <t>PREVENTIVOS</t>
  </si>
  <si>
    <t>TOTAL</t>
  </si>
  <si>
    <t>Rosario</t>
  </si>
  <si>
    <t>PERTEX</t>
  </si>
  <si>
    <t>Banco Santander Río</t>
  </si>
  <si>
    <t>Instalación</t>
  </si>
  <si>
    <t>Banco Credicoop</t>
  </si>
  <si>
    <t>OCA</t>
  </si>
  <si>
    <t>SAN NICOLAS</t>
  </si>
  <si>
    <t>Alfred Toepfer</t>
  </si>
  <si>
    <t>Praxair Argentina SRL</t>
  </si>
  <si>
    <t>79G1CD9</t>
  </si>
  <si>
    <t>Quickfood S.A.</t>
  </si>
  <si>
    <t>Arroyo Seco</t>
  </si>
  <si>
    <t>Nidera</t>
  </si>
  <si>
    <t>Ver detalle</t>
  </si>
  <si>
    <t>Z83DBJEK10001ZV</t>
  </si>
  <si>
    <t>COTAR</t>
  </si>
  <si>
    <t>Lácteos San Marco</t>
  </si>
  <si>
    <t>060 - BOULEVARD OROÑO</t>
  </si>
  <si>
    <t>7911X3F</t>
  </si>
  <si>
    <t>7917GRY</t>
  </si>
  <si>
    <t>792FNPF</t>
  </si>
  <si>
    <t>Central Puerto</t>
  </si>
  <si>
    <t>CCPSL (Central Combinado Puerto San Lorenzo)</t>
  </si>
  <si>
    <t>MXBCM9119H</t>
  </si>
  <si>
    <t>076UBJFH10002ZV</t>
  </si>
  <si>
    <t>364 - Granadero Baigorria</t>
  </si>
  <si>
    <t>076UBJFJ300031F</t>
  </si>
  <si>
    <t>OTIS</t>
  </si>
  <si>
    <t>79G2RXT</t>
  </si>
  <si>
    <t>Transportes La Sevillanita</t>
  </si>
  <si>
    <t>7911YWP</t>
  </si>
  <si>
    <t>076UBJFG800070R</t>
  </si>
  <si>
    <t>S8131400715</t>
  </si>
  <si>
    <t>CCU</t>
  </si>
  <si>
    <t>CD Rosario</t>
  </si>
  <si>
    <t>CNMCK8K0NW</t>
  </si>
  <si>
    <t>ZDBXB8GJ7A0010X</t>
  </si>
  <si>
    <t>Z69MBJFG70000LK</t>
  </si>
  <si>
    <t>0ACTBJFJ50001AZ</t>
  </si>
  <si>
    <t>Inc Doble</t>
  </si>
  <si>
    <t>P.IT</t>
  </si>
  <si>
    <t>642180-7</t>
  </si>
  <si>
    <t>Victoria - Entre Ríos</t>
  </si>
  <si>
    <t>7917GT9</t>
  </si>
  <si>
    <t>SI</t>
  </si>
  <si>
    <t>641695-7</t>
  </si>
  <si>
    <t>641691-1</t>
  </si>
  <si>
    <t>641687-8</t>
  </si>
  <si>
    <t>641553-2</t>
  </si>
  <si>
    <t>641505-5</t>
  </si>
  <si>
    <t>076UBJFH30000DE</t>
  </si>
  <si>
    <t>641498-6</t>
  </si>
  <si>
    <t>Fargo</t>
  </si>
  <si>
    <t>ZELLBJFK20002DH</t>
  </si>
  <si>
    <t>641496-8</t>
  </si>
  <si>
    <t>641447-2</t>
  </si>
  <si>
    <t>0ACTBJFK200086B</t>
  </si>
  <si>
    <t>641404-7</t>
  </si>
  <si>
    <t>641402-9</t>
  </si>
  <si>
    <t>ZDBXB8GK1F00BDX</t>
  </si>
  <si>
    <t>641393-2</t>
  </si>
  <si>
    <t>641381-7</t>
  </si>
  <si>
    <t>641380-8</t>
  </si>
  <si>
    <t>641379-2</t>
  </si>
  <si>
    <t>641366-8</t>
  </si>
  <si>
    <t>S8131400718</t>
  </si>
  <si>
    <t>641306-6</t>
  </si>
  <si>
    <t>Transfarmaco</t>
  </si>
  <si>
    <t>794959T</t>
  </si>
  <si>
    <t>641243-8</t>
  </si>
  <si>
    <t>YAGUAR</t>
  </si>
  <si>
    <t>Santa Fe</t>
  </si>
  <si>
    <t>BRBSFB8XM6</t>
  </si>
  <si>
    <t>641126-2</t>
  </si>
  <si>
    <t>640978-0</t>
  </si>
  <si>
    <t>640878-1</t>
  </si>
  <si>
    <t>790MWYN</t>
  </si>
  <si>
    <t>640862-0</t>
  </si>
  <si>
    <t>640815-2</t>
  </si>
  <si>
    <t>Atanor</t>
  </si>
  <si>
    <t>Fabrica San Nicolas</t>
  </si>
  <si>
    <t>0ACTBJFH90003SH</t>
  </si>
  <si>
    <t>640808-2</t>
  </si>
  <si>
    <t>BRBFD35N3P</t>
  </si>
  <si>
    <t>640713-5</t>
  </si>
  <si>
    <t>640505-8</t>
  </si>
  <si>
    <t>640152-0</t>
  </si>
  <si>
    <t>640101-6</t>
  </si>
  <si>
    <t>BRDSJ9G27G</t>
  </si>
  <si>
    <t>640059-4</t>
  </si>
  <si>
    <t>ZDBXBJCFA0004JM</t>
  </si>
  <si>
    <t>639911-9</t>
  </si>
  <si>
    <t>639876-7</t>
  </si>
  <si>
    <t>639852-7</t>
  </si>
  <si>
    <t>639631-6</t>
  </si>
  <si>
    <t>BRDSG9X4LN</t>
  </si>
  <si>
    <t>639614-9</t>
  </si>
  <si>
    <t>639613-0</t>
  </si>
  <si>
    <t>790K57F</t>
  </si>
  <si>
    <t>638927-3</t>
  </si>
  <si>
    <t>Z8PMB3BC600235B</t>
  </si>
  <si>
    <t>638677-1</t>
  </si>
  <si>
    <t>642179-1</t>
  </si>
  <si>
    <t>992LH5C</t>
  </si>
  <si>
    <t>641500-0</t>
  </si>
  <si>
    <t>Banco Bice</t>
  </si>
  <si>
    <t>0ACTBJFK20002DT</t>
  </si>
  <si>
    <t>630516-5</t>
  </si>
  <si>
    <t>Z8PMB3BC600309F</t>
  </si>
  <si>
    <t>644382-7</t>
  </si>
  <si>
    <t>Molino Cañuelas</t>
  </si>
  <si>
    <t>Planta Rosario - Granadero Baigorria</t>
  </si>
  <si>
    <t>0ACTBJFK200079T</t>
  </si>
  <si>
    <t>Preventivo</t>
  </si>
  <si>
    <t>643998-5</t>
  </si>
  <si>
    <t>543 - VILLA GOBERNADOR GALVEZ</t>
  </si>
  <si>
    <t>ZDBXBJCH30007JL</t>
  </si>
  <si>
    <t>446 - CASILDA</t>
  </si>
  <si>
    <t>642474-3</t>
  </si>
  <si>
    <t>ZDBXBJAG80003WR</t>
  </si>
  <si>
    <t>642418-7</t>
  </si>
  <si>
    <t>464 - ARROYO SECO</t>
  </si>
  <si>
    <t>ZDBXBJAG8000K1R</t>
  </si>
  <si>
    <t>642324-9</t>
  </si>
  <si>
    <t>SAN LORENZO</t>
  </si>
  <si>
    <t>7903L50</t>
  </si>
  <si>
    <t>647319-2</t>
  </si>
  <si>
    <t>646341-4</t>
  </si>
  <si>
    <t>646221-1</t>
  </si>
  <si>
    <t>447 - FUNES</t>
  </si>
  <si>
    <t>645623-8</t>
  </si>
  <si>
    <t>076UBJFG800093J</t>
  </si>
  <si>
    <t>644948-7</t>
  </si>
  <si>
    <t>ZDBXB8GK1F005GF</t>
  </si>
  <si>
    <t>644917-7</t>
  </si>
  <si>
    <t>644824-8</t>
  </si>
  <si>
    <t>644617-0</t>
  </si>
  <si>
    <t>791GNDZ</t>
  </si>
  <si>
    <t>El Tránsito</t>
  </si>
  <si>
    <t>Rafaela Alimentos</t>
  </si>
  <si>
    <t>Planta Casilda</t>
  </si>
  <si>
    <t>652429-2</t>
  </si>
  <si>
    <t>7919L6T</t>
  </si>
  <si>
    <t>652199-4</t>
  </si>
  <si>
    <t>Provincia Microempresas</t>
  </si>
  <si>
    <t>San Nicolas</t>
  </si>
  <si>
    <t>0ACTBJFJ90002RR</t>
  </si>
  <si>
    <t>652058-8</t>
  </si>
  <si>
    <t>Galeno</t>
  </si>
  <si>
    <t>Sucursal San Nicolas</t>
  </si>
  <si>
    <t>ZELLBJFK20007RY</t>
  </si>
  <si>
    <t>652051-5</t>
  </si>
  <si>
    <t>Suc. Ricardone</t>
  </si>
  <si>
    <t>79G497L</t>
  </si>
  <si>
    <t>ZELLBJFK20007CZ</t>
  </si>
  <si>
    <t>Nodo 780 - Rosario Fisherton</t>
  </si>
  <si>
    <t>ZDBXB8GH2F009ZN</t>
  </si>
  <si>
    <t>651558-6</t>
  </si>
  <si>
    <t>650745-3</t>
  </si>
  <si>
    <t>ZDBXBJCH1000FKT</t>
  </si>
  <si>
    <t>649181-5</t>
  </si>
  <si>
    <t>790FW9M</t>
  </si>
  <si>
    <t>648928-1</t>
  </si>
  <si>
    <t>Z831BJEH30002EP</t>
  </si>
  <si>
    <t>790ZPZC</t>
  </si>
  <si>
    <t>653815-2</t>
  </si>
  <si>
    <t>ZDBXBJCH10003QJ</t>
  </si>
  <si>
    <t>653476-7</t>
  </si>
  <si>
    <t>653340-3</t>
  </si>
  <si>
    <t>076UBJFG8000D6B</t>
  </si>
  <si>
    <t>652749-3</t>
  </si>
  <si>
    <t>Sucursal San Lorenzo</t>
  </si>
  <si>
    <t>ZELLBJFK20007QB</t>
  </si>
  <si>
    <t>648809-7</t>
  </si>
  <si>
    <t>ZDBXBJCH20010XK</t>
  </si>
  <si>
    <t>658029-8</t>
  </si>
  <si>
    <t>265 - Las Rosas</t>
  </si>
  <si>
    <t>076UBJFJ90001WV</t>
  </si>
  <si>
    <t>Termoelectrica Jose de San Martin</t>
  </si>
  <si>
    <t>Timbúes</t>
  </si>
  <si>
    <t>237 - ROSARIO-AVDA. PELLEGRINI</t>
  </si>
  <si>
    <t>076UBJFH20001VF</t>
  </si>
  <si>
    <t>657259-0</t>
  </si>
  <si>
    <t>791GN7X</t>
  </si>
  <si>
    <t>ZDBXBJCF700013R</t>
  </si>
  <si>
    <t>ZDBXBJAG8000G8J</t>
  </si>
  <si>
    <t>7902VCF</t>
  </si>
  <si>
    <t>656692-4</t>
  </si>
  <si>
    <t>791GN92</t>
  </si>
  <si>
    <t>656682-7</t>
  </si>
  <si>
    <t>ZDBHBJEJ50000PL</t>
  </si>
  <si>
    <t>ZDBXBJCH2000W2X</t>
  </si>
  <si>
    <t>656426-3</t>
  </si>
  <si>
    <t>0ACTBJFH90004QR</t>
  </si>
  <si>
    <t>655650-1</t>
  </si>
  <si>
    <t>ZDBXBJFJ90005KR</t>
  </si>
  <si>
    <t>655590-0</t>
  </si>
  <si>
    <t>792FP1Z</t>
  </si>
  <si>
    <t>655446-0</t>
  </si>
  <si>
    <t>076UBJFH30001KJ</t>
  </si>
  <si>
    <t>332 - SAN LORENZO</t>
  </si>
  <si>
    <t>655149-0</t>
  </si>
  <si>
    <t>101 - CAÑADA DE GOMEZ</t>
  </si>
  <si>
    <t>ZDBXBJCH2000FFK</t>
  </si>
  <si>
    <t>118 - ROSARIO</t>
  </si>
  <si>
    <t>655087-1</t>
  </si>
  <si>
    <t>ZDBXBJCH2001A4A</t>
  </si>
  <si>
    <t>654960-8</t>
  </si>
  <si>
    <t>0ACTBJFJ50001SN</t>
  </si>
  <si>
    <t>654901-5</t>
  </si>
  <si>
    <t>ZDBXBJCH2000E7P</t>
  </si>
  <si>
    <t>ZELLBJEK200039E</t>
  </si>
  <si>
    <t>660791-1</t>
  </si>
  <si>
    <t>ZELLBJEK20002KF</t>
  </si>
  <si>
    <t>660745-2</t>
  </si>
  <si>
    <t>Z83DBJEJ90000RV</t>
  </si>
  <si>
    <t>660490-5</t>
  </si>
  <si>
    <t>CAÑADA DE GOMEZ</t>
  </si>
  <si>
    <t>ZDBXBJCFA0001HK</t>
  </si>
  <si>
    <t>660055-6</t>
  </si>
  <si>
    <t>790RBHT</t>
  </si>
  <si>
    <t>659703-0</t>
  </si>
  <si>
    <t>659135-5</t>
  </si>
  <si>
    <t>659012-5</t>
  </si>
  <si>
    <t>658483-2</t>
  </si>
  <si>
    <t>658384-2</t>
  </si>
  <si>
    <t>663989-5</t>
  </si>
  <si>
    <t>Arcos Dorados (Mc Donalds)</t>
  </si>
  <si>
    <t>CCR - Centro de Convenciones Rosario (190)</t>
  </si>
  <si>
    <t>ZDBXBJCFA00048V</t>
  </si>
  <si>
    <t>663594-1</t>
  </si>
  <si>
    <t>ZDBXB8GK1F00DFK</t>
  </si>
  <si>
    <t>663357-2</t>
  </si>
  <si>
    <t>076UBJFH20005PV</t>
  </si>
  <si>
    <t>663096-4</t>
  </si>
  <si>
    <t>663072-4</t>
  </si>
  <si>
    <t>ZDBXBJAG800080W</t>
  </si>
  <si>
    <t>662860-4</t>
  </si>
  <si>
    <t>ZDBXBJFM600024F</t>
  </si>
  <si>
    <t>662840-0</t>
  </si>
  <si>
    <t>ZDBXBJAGC0000KB</t>
  </si>
  <si>
    <t>662828-8</t>
  </si>
  <si>
    <t>662775-7</t>
  </si>
  <si>
    <t>383 - Bigand</t>
  </si>
  <si>
    <t>076UBJFJA0000BK</t>
  </si>
  <si>
    <t>662714-6</t>
  </si>
  <si>
    <t>Agroservicios Pampeanos</t>
  </si>
  <si>
    <t>La California - Santa Fé</t>
  </si>
  <si>
    <t>ZDBXBJCH20010SN</t>
  </si>
  <si>
    <t>662713-7</t>
  </si>
  <si>
    <t>ZDBXBJCF70006TK</t>
  </si>
  <si>
    <t>662712-8</t>
  </si>
  <si>
    <t>BRCS75JG60</t>
  </si>
  <si>
    <t>662711-9</t>
  </si>
  <si>
    <t>BRCS74TG2J</t>
  </si>
  <si>
    <t>662710-0</t>
  </si>
  <si>
    <t>410 - LAS ROSAS</t>
  </si>
  <si>
    <t>ZDBXBJCH30004XX</t>
  </si>
  <si>
    <t>662709-4</t>
  </si>
  <si>
    <t>ZDBXBJCH300043E</t>
  </si>
  <si>
    <t>662708-5</t>
  </si>
  <si>
    <t>ZDBXB8GJ7F0027W</t>
  </si>
  <si>
    <t>662707-6</t>
  </si>
  <si>
    <t>076UBJFH30004PB</t>
  </si>
  <si>
    <t>662705-8</t>
  </si>
  <si>
    <t>662691-6</t>
  </si>
  <si>
    <t>662636-9</t>
  </si>
  <si>
    <t>662602-2</t>
  </si>
  <si>
    <t>07QYB9UG7A009XJ</t>
  </si>
  <si>
    <t>662601-3</t>
  </si>
  <si>
    <t>662594-4</t>
  </si>
  <si>
    <t>662562-5</t>
  </si>
  <si>
    <t>662515-7</t>
  </si>
  <si>
    <t>Falabella</t>
  </si>
  <si>
    <t>ROSARIO</t>
  </si>
  <si>
    <t>BRBSLCD370</t>
  </si>
  <si>
    <t>662514-8</t>
  </si>
  <si>
    <t>BRBSLCC36K</t>
  </si>
  <si>
    <t>662513-9</t>
  </si>
  <si>
    <t>BRBSLCC36F</t>
  </si>
  <si>
    <t>662504-1</t>
  </si>
  <si>
    <t>79G1C4V</t>
  </si>
  <si>
    <t>662424-6</t>
  </si>
  <si>
    <t>506 - PEREZ SANTA FE</t>
  </si>
  <si>
    <t>ZDBXBJAG8000EVZ</t>
  </si>
  <si>
    <t>662423-7</t>
  </si>
  <si>
    <t>ZDBXBJAG8000CME</t>
  </si>
  <si>
    <t>662422-8</t>
  </si>
  <si>
    <t>076UBJFG80005ZR</t>
  </si>
  <si>
    <t>662421-9</t>
  </si>
  <si>
    <t>076UBJFG80004JH</t>
  </si>
  <si>
    <t>662375-1</t>
  </si>
  <si>
    <t>076UBJFH20002YF</t>
  </si>
  <si>
    <t>662363-6</t>
  </si>
  <si>
    <t>662361-8</t>
  </si>
  <si>
    <t>662358-4</t>
  </si>
  <si>
    <t>662357-5</t>
  </si>
  <si>
    <t>662356-6</t>
  </si>
  <si>
    <t>794GRDW</t>
  </si>
  <si>
    <t>662355-7</t>
  </si>
  <si>
    <t>662293-8</t>
  </si>
  <si>
    <t>662250-3</t>
  </si>
  <si>
    <t>ZDBXBJFM6000RML</t>
  </si>
  <si>
    <t>662201-7</t>
  </si>
  <si>
    <t>662117-9</t>
  </si>
  <si>
    <t>CNNCNBD0D6</t>
  </si>
  <si>
    <t>662116-0</t>
  </si>
  <si>
    <t>MXBCM9T19W</t>
  </si>
  <si>
    <t>661778-7</t>
  </si>
  <si>
    <t>661777-8</t>
  </si>
  <si>
    <t>661767-1</t>
  </si>
  <si>
    <t>661717-6</t>
  </si>
  <si>
    <t>661610-4</t>
  </si>
  <si>
    <t>ADM Agro S.R.L</t>
  </si>
  <si>
    <t>661190-5</t>
  </si>
  <si>
    <t>661189-9</t>
  </si>
  <si>
    <t>79159ZW</t>
  </si>
  <si>
    <t>661082-7</t>
  </si>
  <si>
    <t>660828-4</t>
  </si>
  <si>
    <t>660701-8</t>
  </si>
  <si>
    <t>655485-9</t>
  </si>
  <si>
    <t>Z32TB1CZA00002B</t>
  </si>
  <si>
    <t>El recorrido por Casilda + Bigand da 177 kms</t>
  </si>
  <si>
    <t>Repetido con el 662691-6</t>
  </si>
  <si>
    <t>Repetido con el 662602-2</t>
  </si>
  <si>
    <t>Asignar el costo de kms a un inc de Las Rosas</t>
  </si>
  <si>
    <t>667017-5</t>
  </si>
  <si>
    <t>520 - PUERTO GENERAL SAN MARTIN</t>
  </si>
  <si>
    <t>076UBJFH20002MT</t>
  </si>
  <si>
    <t>666878-1</t>
  </si>
  <si>
    <t>Trigalia - Rosario Harinas</t>
  </si>
  <si>
    <t>793H5FK</t>
  </si>
  <si>
    <t>666877-2</t>
  </si>
  <si>
    <t>ZDBXBJCH1000NDD</t>
  </si>
  <si>
    <t>666876-3</t>
  </si>
  <si>
    <t>ZDBXBJCH1000N7V</t>
  </si>
  <si>
    <t>666822-2</t>
  </si>
  <si>
    <t>790RBRT</t>
  </si>
  <si>
    <t>666627-9</t>
  </si>
  <si>
    <t>666606-6</t>
  </si>
  <si>
    <t>Calico</t>
  </si>
  <si>
    <t>076UBJFH10001HL</t>
  </si>
  <si>
    <t>666604-8</t>
  </si>
  <si>
    <t>666593-3</t>
  </si>
  <si>
    <t>Casilda - Santa Fe</t>
  </si>
  <si>
    <t>791YCK8</t>
  </si>
  <si>
    <t>666578-4</t>
  </si>
  <si>
    <t>086 - La Florida</t>
  </si>
  <si>
    <t>076UBJFJ30003BL</t>
  </si>
  <si>
    <t>665905-7</t>
  </si>
  <si>
    <t>665891-5</t>
  </si>
  <si>
    <t>PER - Pellegrini Rosario (152)</t>
  </si>
  <si>
    <t>ZDBXBJCH10000KB</t>
  </si>
  <si>
    <t>665766-0</t>
  </si>
  <si>
    <t>791L1T0</t>
  </si>
  <si>
    <t>665447-8</t>
  </si>
  <si>
    <t>Col Casilda - Santa Fé</t>
  </si>
  <si>
    <t>791Y5KF</t>
  </si>
  <si>
    <t>665439-9</t>
  </si>
  <si>
    <t>296 - Maria Susana</t>
  </si>
  <si>
    <t>076UBJFJ90000HT</t>
  </si>
  <si>
    <t>665353-0</t>
  </si>
  <si>
    <t>665348-8</t>
  </si>
  <si>
    <t>665345-1</t>
  </si>
  <si>
    <t>665326-6</t>
  </si>
  <si>
    <t>ROSARIO CI Centro</t>
  </si>
  <si>
    <t>ZDBXBJCF70000GN</t>
  </si>
  <si>
    <t>665319-6</t>
  </si>
  <si>
    <t>O7QWB9UFAA001GW</t>
  </si>
  <si>
    <t>665260-1</t>
  </si>
  <si>
    <t>Z8PMB3BC600229X</t>
  </si>
  <si>
    <t>665254-0</t>
  </si>
  <si>
    <t>268 - Fighiera</t>
  </si>
  <si>
    <t>076UBJFJ30005HL</t>
  </si>
  <si>
    <t>665197-6</t>
  </si>
  <si>
    <t>JPBCP3Z1PK</t>
  </si>
  <si>
    <t>665125-9</t>
  </si>
  <si>
    <t>665123-1</t>
  </si>
  <si>
    <t>Z83DBJEK100027H</t>
  </si>
  <si>
    <t>665013-5</t>
  </si>
  <si>
    <t>664690-1</t>
  </si>
  <si>
    <t>Gefco</t>
  </si>
  <si>
    <t>0ACTBJFK80000TJ</t>
  </si>
  <si>
    <t>664610-5</t>
  </si>
  <si>
    <t>664529-4</t>
  </si>
  <si>
    <t>664092-5</t>
  </si>
  <si>
    <t>ZDBXBJCH1000N5J</t>
  </si>
  <si>
    <t>664040-2</t>
  </si>
  <si>
    <t>344 - Rosario Sur</t>
  </si>
  <si>
    <t>076UBJFJA0008ZJ</t>
  </si>
  <si>
    <t>663947-9</t>
  </si>
  <si>
    <t>662706-7</t>
  </si>
  <si>
    <t>es en rosario</t>
  </si>
  <si>
    <t>670922-8</t>
  </si>
  <si>
    <t>397 - VICTORIA - ENTRE RIOS</t>
  </si>
  <si>
    <t>076UBJFH20006QF</t>
  </si>
  <si>
    <t>670921-9</t>
  </si>
  <si>
    <t>076UBJFH200061L</t>
  </si>
  <si>
    <t>670082-9</t>
  </si>
  <si>
    <t>791CC54</t>
  </si>
  <si>
    <t>670043-0</t>
  </si>
  <si>
    <t>669980-6</t>
  </si>
  <si>
    <t>ZDBXBJFM600082K</t>
  </si>
  <si>
    <t>669893-1</t>
  </si>
  <si>
    <t>669761-3</t>
  </si>
  <si>
    <t>ZDBXBJCH3000CNW</t>
  </si>
  <si>
    <t>669760-4</t>
  </si>
  <si>
    <t>ZDBXBJCH2000G5B</t>
  </si>
  <si>
    <t>669755-2</t>
  </si>
  <si>
    <t>076UBJFG8000D3Z</t>
  </si>
  <si>
    <t>669754-3</t>
  </si>
  <si>
    <t>669556-3</t>
  </si>
  <si>
    <t>ZDBXBJFJ90007QX</t>
  </si>
  <si>
    <t>669409-6</t>
  </si>
  <si>
    <t>669393-6</t>
  </si>
  <si>
    <t>669388-4</t>
  </si>
  <si>
    <t>669387-5</t>
  </si>
  <si>
    <t>669386-6</t>
  </si>
  <si>
    <t>669385-7</t>
  </si>
  <si>
    <t>669384-8</t>
  </si>
  <si>
    <t>791GND0</t>
  </si>
  <si>
    <t>669383-9</t>
  </si>
  <si>
    <t>669382-0</t>
  </si>
  <si>
    <t>669381-1</t>
  </si>
  <si>
    <t>791GN1V</t>
  </si>
  <si>
    <t>669380-2</t>
  </si>
  <si>
    <t>669379-6</t>
  </si>
  <si>
    <t>669378-7</t>
  </si>
  <si>
    <t>0C52BJFK40003MA</t>
  </si>
  <si>
    <t>669377-8</t>
  </si>
  <si>
    <t>076UBJFG800055F</t>
  </si>
  <si>
    <t>669308-8</t>
  </si>
  <si>
    <t>669271-5</t>
  </si>
  <si>
    <t>669269-0</t>
  </si>
  <si>
    <t>ZDBXB8GH2F00AHR</t>
  </si>
  <si>
    <t>669268-1</t>
  </si>
  <si>
    <t>669252-0</t>
  </si>
  <si>
    <t>669248-7</t>
  </si>
  <si>
    <t>287 - Pueblo Esther</t>
  </si>
  <si>
    <t>076UBJFJ90001GZ</t>
  </si>
  <si>
    <t>669078-0</t>
  </si>
  <si>
    <t>669077-1</t>
  </si>
  <si>
    <t>669018-8</t>
  </si>
  <si>
    <t>BRFY872176</t>
  </si>
  <si>
    <t>669009-0</t>
  </si>
  <si>
    <t>668871-2</t>
  </si>
  <si>
    <t>083 - 27 De Febrero</t>
  </si>
  <si>
    <t>076UBJFJ30001PY</t>
  </si>
  <si>
    <t>668837-8</t>
  </si>
  <si>
    <t>668789-2</t>
  </si>
  <si>
    <t>Megatlon</t>
  </si>
  <si>
    <t>Alto Rosario</t>
  </si>
  <si>
    <t>ZDBHBJEJ90002LB</t>
  </si>
  <si>
    <t>668768-9</t>
  </si>
  <si>
    <t>791CCVK</t>
  </si>
  <si>
    <t>668746-7</t>
  </si>
  <si>
    <t>668712-0</t>
  </si>
  <si>
    <t>Chubb</t>
  </si>
  <si>
    <t>Z8PMB3BC601743W</t>
  </si>
  <si>
    <t>668599-1</t>
  </si>
  <si>
    <t>668596-4</t>
  </si>
  <si>
    <t>79G4MP6</t>
  </si>
  <si>
    <t>668592-8</t>
  </si>
  <si>
    <t>668511-3</t>
  </si>
  <si>
    <t>668348-9</t>
  </si>
  <si>
    <t>668345-2</t>
  </si>
  <si>
    <t>668256-9</t>
  </si>
  <si>
    <t>668242-6</t>
  </si>
  <si>
    <t>ZELLBJEJ50003MA</t>
  </si>
  <si>
    <t>668144-5</t>
  </si>
  <si>
    <t>Planta Formuladora Casilda</t>
  </si>
  <si>
    <t>ZDBXBJCH1000MMJ</t>
  </si>
  <si>
    <t>668127-8</t>
  </si>
  <si>
    <t>188 - SAN NICOLAS DE LOS ARROYOS</t>
  </si>
  <si>
    <t>076UBJFH20007TF</t>
  </si>
  <si>
    <t>668108-3</t>
  </si>
  <si>
    <t>667922-8</t>
  </si>
  <si>
    <t>667805-2</t>
  </si>
  <si>
    <t>667804-3</t>
  </si>
  <si>
    <t>667719-6</t>
  </si>
  <si>
    <t>667699-3</t>
  </si>
  <si>
    <t>Brinks Argentina S.A.</t>
  </si>
  <si>
    <t>Z83DBJEF500009D</t>
  </si>
  <si>
    <t>667676-2</t>
  </si>
  <si>
    <t>667611-5</t>
  </si>
  <si>
    <t>791CCCX</t>
  </si>
  <si>
    <t>667606-3</t>
  </si>
  <si>
    <t>ZDBXB8GJ7A0065V</t>
  </si>
  <si>
    <t>667100-4</t>
  </si>
  <si>
    <t>666600-2</t>
  </si>
  <si>
    <t>665800-3</t>
  </si>
  <si>
    <t>Caja de Valores</t>
  </si>
  <si>
    <t>07QYB9UG7A0048D</t>
  </si>
  <si>
    <t>665779-4</t>
  </si>
  <si>
    <t>674324-0</t>
  </si>
  <si>
    <t>673499-6</t>
  </si>
  <si>
    <t>673498-7</t>
  </si>
  <si>
    <t>371 - ROSARIO-FISHERTON</t>
  </si>
  <si>
    <t>ZDBXBJCH2000EQT</t>
  </si>
  <si>
    <t>673497-8</t>
  </si>
  <si>
    <t>076UBJFGC0000JT</t>
  </si>
  <si>
    <t>673496-9</t>
  </si>
  <si>
    <t>076UBJFGC0000EY</t>
  </si>
  <si>
    <t>673339-5</t>
  </si>
  <si>
    <t>673202-2</t>
  </si>
  <si>
    <t>673123-6</t>
  </si>
  <si>
    <t>673122-7</t>
  </si>
  <si>
    <t>672852-4</t>
  </si>
  <si>
    <t>8W91B1BZA00089Z</t>
  </si>
  <si>
    <t>672819-9</t>
  </si>
  <si>
    <t>672774-7</t>
  </si>
  <si>
    <t>672645-6</t>
  </si>
  <si>
    <t>ZDBXBJCH2000FNY</t>
  </si>
  <si>
    <t>672644-7</t>
  </si>
  <si>
    <t>ZDBXBJCH20002XR</t>
  </si>
  <si>
    <t>672642-9</t>
  </si>
  <si>
    <t>672641-0</t>
  </si>
  <si>
    <t>076UBJFH20004NY</t>
  </si>
  <si>
    <t>672497-1</t>
  </si>
  <si>
    <t>672488-3</t>
  </si>
  <si>
    <t>408 - ROSARIO PUERTO NORTE</t>
  </si>
  <si>
    <t>ZDBXBJAG8000GQW</t>
  </si>
  <si>
    <t>672487-4</t>
  </si>
  <si>
    <t>ZDBXBJAG8000GEE</t>
  </si>
  <si>
    <t>672486-5</t>
  </si>
  <si>
    <t>076UBJFH30003RJ</t>
  </si>
  <si>
    <t>672485-6</t>
  </si>
  <si>
    <t>076UBJFG8000C5P</t>
  </si>
  <si>
    <t>672468-9</t>
  </si>
  <si>
    <t>672146-0</t>
  </si>
  <si>
    <t>ZELLBJEJ40002QW</t>
  </si>
  <si>
    <t>672105-3</t>
  </si>
  <si>
    <t>277 - ROSARIO-PASEO DEL SIGLO</t>
  </si>
  <si>
    <t>ZDBXBJAH20001QB</t>
  </si>
  <si>
    <t>672104-4</t>
  </si>
  <si>
    <t>ZDBXBJAH20001CZ</t>
  </si>
  <si>
    <t>672103-5</t>
  </si>
  <si>
    <t>076UBJFH20002RR</t>
  </si>
  <si>
    <t>672102-6</t>
  </si>
  <si>
    <t>076UBJFH200012N</t>
  </si>
  <si>
    <t>672100-8</t>
  </si>
  <si>
    <t>671937-7</t>
  </si>
  <si>
    <t>471 - ROSARIO B° ALBERDI</t>
  </si>
  <si>
    <t>ZDBXBJAGC00037Z</t>
  </si>
  <si>
    <t>671935-9</t>
  </si>
  <si>
    <t>076UBJFJA0005RP</t>
  </si>
  <si>
    <t>671934-0</t>
  </si>
  <si>
    <t>076UBJFG8000C0Z</t>
  </si>
  <si>
    <t>670931-6</t>
  </si>
  <si>
    <t>670930-7</t>
  </si>
  <si>
    <t>670929-1</t>
  </si>
  <si>
    <t>670928-2</t>
  </si>
  <si>
    <t>670925-5</t>
  </si>
  <si>
    <t>670924-6</t>
  </si>
  <si>
    <t>ZDBXBJCH300051W</t>
  </si>
  <si>
    <t>670923-7</t>
  </si>
  <si>
    <t>670915-8</t>
  </si>
  <si>
    <t>670845-0</t>
  </si>
  <si>
    <t>362 - ROSARIO-BARRIO ECHESORTU</t>
  </si>
  <si>
    <t>ZDBXBJCH2000B8V</t>
  </si>
  <si>
    <t>670844-1</t>
  </si>
  <si>
    <t>ZDBXBJAGC00035A</t>
  </si>
  <si>
    <t>670843-2</t>
  </si>
  <si>
    <t>076UBJFGC0000XD</t>
  </si>
  <si>
    <t>670842-3</t>
  </si>
  <si>
    <t>076UBJFGC0000DA</t>
  </si>
  <si>
    <t>670661-0</t>
  </si>
  <si>
    <t>YARA Argentina S.A</t>
  </si>
  <si>
    <t>Planta San Nicolas</t>
  </si>
  <si>
    <t>SP000676</t>
  </si>
  <si>
    <t>670623-0</t>
  </si>
  <si>
    <t>670606-3</t>
  </si>
  <si>
    <t>0ACTBJFK20002JM</t>
  </si>
  <si>
    <t>670431-1</t>
  </si>
  <si>
    <t>670373-8</t>
  </si>
  <si>
    <t>670352-5</t>
  </si>
  <si>
    <t>670274-8</t>
  </si>
  <si>
    <t>ZDBXBJAG80004LB</t>
  </si>
  <si>
    <t>670273-9</t>
  </si>
  <si>
    <t>076UBJFG800060E</t>
  </si>
  <si>
    <t>670272-0</t>
  </si>
  <si>
    <t>076UBJFG80005HZ</t>
  </si>
  <si>
    <t>670230-4</t>
  </si>
  <si>
    <t>Distribuidora Metropolitana</t>
  </si>
  <si>
    <t>Z8PMB3BC601579T</t>
  </si>
  <si>
    <t>670227-0</t>
  </si>
  <si>
    <t>670211-9</t>
  </si>
  <si>
    <t>670181-9</t>
  </si>
  <si>
    <t>670100-4</t>
  </si>
  <si>
    <t>670031-5</t>
  </si>
  <si>
    <t>670023-6</t>
  </si>
  <si>
    <t>669764-0</t>
  </si>
  <si>
    <t>478 - ROSARIO BARRIO PICHINCHA</t>
  </si>
  <si>
    <t>ZDBXBJAG8000DAH</t>
  </si>
  <si>
    <t>669763-1</t>
  </si>
  <si>
    <t>076UBJFG8000C2X</t>
  </si>
  <si>
    <t>669762-2</t>
  </si>
  <si>
    <t>076UBJFG8000C1M</t>
  </si>
  <si>
    <t>669756-1</t>
  </si>
  <si>
    <t>076UBJFH30000CM</t>
  </si>
  <si>
    <t>669712-7</t>
  </si>
  <si>
    <t>669608-5</t>
  </si>
  <si>
    <t>0BLRBJKK100005D</t>
  </si>
  <si>
    <t>662364-5</t>
  </si>
  <si>
    <t>ZDBXBJCF700061J</t>
  </si>
  <si>
    <t>662362-7</t>
  </si>
  <si>
    <t>ZDBXBJBF10001ZJ</t>
  </si>
  <si>
    <t>662360-9</t>
  </si>
  <si>
    <t>ZDBXB8GK1F00G2D</t>
  </si>
  <si>
    <t>662359-3</t>
  </si>
  <si>
    <t>Z75NBJBD400080E</t>
  </si>
  <si>
    <t>677736-2</t>
  </si>
  <si>
    <t>Saputo</t>
  </si>
  <si>
    <t>ZDBXBJAH30000PT</t>
  </si>
  <si>
    <t>677732-6</t>
  </si>
  <si>
    <t>ZDBXBJCH3000BJK</t>
  </si>
  <si>
    <t>677731-7</t>
  </si>
  <si>
    <t>ZDBXB8GH2F006XF</t>
  </si>
  <si>
    <t>677730-8</t>
  </si>
  <si>
    <t>677729-2</t>
  </si>
  <si>
    <t>677419-8</t>
  </si>
  <si>
    <t>677256-1</t>
  </si>
  <si>
    <t>Assist Card</t>
  </si>
  <si>
    <t>Z8PMB3BC600536R</t>
  </si>
  <si>
    <t>676928-4</t>
  </si>
  <si>
    <t>ZDBXBJAG8000JRH</t>
  </si>
  <si>
    <t>676927-5</t>
  </si>
  <si>
    <t>ZDBXBJAG8000HHE</t>
  </si>
  <si>
    <t>676925-7</t>
  </si>
  <si>
    <t>676924-8</t>
  </si>
  <si>
    <t>Aerolineas Argentinas</t>
  </si>
  <si>
    <t>Aeropuerto Rosario</t>
  </si>
  <si>
    <t>ZELLBJFK90005YY</t>
  </si>
  <si>
    <t>676923-9</t>
  </si>
  <si>
    <t>ZELLBJEK300040T</t>
  </si>
  <si>
    <t>676922-0</t>
  </si>
  <si>
    <t>ZDBXB8GK2A005MB</t>
  </si>
  <si>
    <t>676921-1</t>
  </si>
  <si>
    <t>ZDBXB8GK2A005AP</t>
  </si>
  <si>
    <t>676920-2</t>
  </si>
  <si>
    <t>ZDBXB8GK1F00BVK</t>
  </si>
  <si>
    <t>676873-5</t>
  </si>
  <si>
    <t>Natura</t>
  </si>
  <si>
    <t>Marisa Beatriz Moschen</t>
  </si>
  <si>
    <t>PF32CGXW</t>
  </si>
  <si>
    <t>676800-9</t>
  </si>
  <si>
    <t>ZDBXBJAG80008SA</t>
  </si>
  <si>
    <t>676798-5</t>
  </si>
  <si>
    <t>Z5THBAGBA00017Z</t>
  </si>
  <si>
    <t>676797-6</t>
  </si>
  <si>
    <t>79129PK</t>
  </si>
  <si>
    <t>676751-4</t>
  </si>
  <si>
    <t>Maria Gabriela Mina</t>
  </si>
  <si>
    <t>PF31J845</t>
  </si>
  <si>
    <t>676748-0</t>
  </si>
  <si>
    <t>Antonella Carranza</t>
  </si>
  <si>
    <t>PF32CNVP</t>
  </si>
  <si>
    <t>676747-1</t>
  </si>
  <si>
    <t>Carolina Vuillermet</t>
  </si>
  <si>
    <t>PF32DB0A</t>
  </si>
  <si>
    <t>676206-9</t>
  </si>
  <si>
    <t>676205-0</t>
  </si>
  <si>
    <t>Z831BJEH30002DF</t>
  </si>
  <si>
    <t>676204-1</t>
  </si>
  <si>
    <t>676202-3</t>
  </si>
  <si>
    <t>676201-4</t>
  </si>
  <si>
    <t>676199-0</t>
  </si>
  <si>
    <t>676198-1</t>
  </si>
  <si>
    <t>676197-2</t>
  </si>
  <si>
    <t>676196-3</t>
  </si>
  <si>
    <t>675716-4</t>
  </si>
  <si>
    <t>Z8PMB3BC600363P</t>
  </si>
  <si>
    <t>675715-5</t>
  </si>
  <si>
    <t>675714-6</t>
  </si>
  <si>
    <t>M7J586934</t>
  </si>
  <si>
    <t>675713-7</t>
  </si>
  <si>
    <t>675712-8</t>
  </si>
  <si>
    <t>675624-4</t>
  </si>
  <si>
    <t>675620-8</t>
  </si>
  <si>
    <t>Sucursal Rosario</t>
  </si>
  <si>
    <t>ZELLBJFK400071X</t>
  </si>
  <si>
    <t>675619-2</t>
  </si>
  <si>
    <t>ZELLBJFK400040L</t>
  </si>
  <si>
    <t>675618-3</t>
  </si>
  <si>
    <t>ZDBXB8GK1F00JJZ</t>
  </si>
  <si>
    <t>675617-4</t>
  </si>
  <si>
    <t>ZDBXB8GK1F00JCH</t>
  </si>
  <si>
    <t>675616-5</t>
  </si>
  <si>
    <t>Galeno ART</t>
  </si>
  <si>
    <t>Sucursal Rosario- Santa Fe ART</t>
  </si>
  <si>
    <t>ZELLBJFK400067A</t>
  </si>
  <si>
    <t>675615-6</t>
  </si>
  <si>
    <t>ZELLBJFK40004RW</t>
  </si>
  <si>
    <t>675614-7</t>
  </si>
  <si>
    <t>ZDBXB8GK1F009BJ</t>
  </si>
  <si>
    <t>675613-8</t>
  </si>
  <si>
    <t>ZDBXB8GK1F0092E</t>
  </si>
  <si>
    <t>675612-9</t>
  </si>
  <si>
    <t>ZDBXB8GK1F008XN</t>
  </si>
  <si>
    <t>675608-6</t>
  </si>
  <si>
    <t>275 - Canada De Gomez</t>
  </si>
  <si>
    <t>076UBJFJ50000EY</t>
  </si>
  <si>
    <t>675607-7</t>
  </si>
  <si>
    <t>675605-9</t>
  </si>
  <si>
    <t>076UBJFH200026R</t>
  </si>
  <si>
    <t>675604-0</t>
  </si>
  <si>
    <t>076UBJFH20001WJ</t>
  </si>
  <si>
    <t>675555-5</t>
  </si>
  <si>
    <t>675346-9</t>
  </si>
  <si>
    <t>7954DCW</t>
  </si>
  <si>
    <t>675242-4</t>
  </si>
  <si>
    <t>UFO-ROSARIO</t>
  </si>
  <si>
    <t>ZDBXBJBF100054F</t>
  </si>
  <si>
    <t>675213-2</t>
  </si>
  <si>
    <t>BRDSJ9G27B</t>
  </si>
  <si>
    <t>675130-0</t>
  </si>
  <si>
    <t>PJR - Portal Jumbo Rosario (224)</t>
  </si>
  <si>
    <t>ZDBXB8GK1F00HDT</t>
  </si>
  <si>
    <t>674965-1</t>
  </si>
  <si>
    <t>674956-3</t>
  </si>
  <si>
    <t>GCR - Rosario (195)</t>
  </si>
  <si>
    <t>ZDBXBJCH10005AZ</t>
  </si>
  <si>
    <t>674924-4</t>
  </si>
  <si>
    <t>674870-4</t>
  </si>
  <si>
    <t>674864-3</t>
  </si>
  <si>
    <t>674861-6</t>
  </si>
  <si>
    <t>081 - Rosario Norte</t>
  </si>
  <si>
    <t>076UBJFJ30003GR</t>
  </si>
  <si>
    <t>674858-2</t>
  </si>
  <si>
    <t>288 - Rosario Centro</t>
  </si>
  <si>
    <t>076UBJFJ30003HD</t>
  </si>
  <si>
    <t>674857-3</t>
  </si>
  <si>
    <t>076UBJFJ300032P</t>
  </si>
  <si>
    <t>674856-4</t>
  </si>
  <si>
    <t>674855-5</t>
  </si>
  <si>
    <t>274 - Rosario Coral</t>
  </si>
  <si>
    <t>076UBJFJ30001NN</t>
  </si>
  <si>
    <t>674854-6</t>
  </si>
  <si>
    <t>076UBJFJ30001EF</t>
  </si>
  <si>
    <t>674853-7</t>
  </si>
  <si>
    <t>VIR - Rosario Village (199)</t>
  </si>
  <si>
    <t>Z75NBJBD400027X</t>
  </si>
  <si>
    <t>674852-8</t>
  </si>
  <si>
    <t>SPR - Paseo del SIglo (198)</t>
  </si>
  <si>
    <t>Z75NBJBD2000B2B</t>
  </si>
  <si>
    <t>674662-7</t>
  </si>
  <si>
    <t>Efectivo Si</t>
  </si>
  <si>
    <t>ZDBXBJCH2001D5T</t>
  </si>
  <si>
    <t>674661-8</t>
  </si>
  <si>
    <t>BRFY280860</t>
  </si>
  <si>
    <t>674660-9</t>
  </si>
  <si>
    <t>BRCS81XGMB</t>
  </si>
  <si>
    <t>674659-3</t>
  </si>
  <si>
    <t>0ACTBJFK2000BGY</t>
  </si>
  <si>
    <t>674650-2</t>
  </si>
  <si>
    <t>Pre-Correctivo</t>
  </si>
  <si>
    <t>674633-5</t>
  </si>
  <si>
    <t>674618-6</t>
  </si>
  <si>
    <t>674430-0</t>
  </si>
  <si>
    <t>674429-4</t>
  </si>
  <si>
    <t>674428-5</t>
  </si>
  <si>
    <t>674427-6</t>
  </si>
  <si>
    <t>076UBJFH20001PM</t>
  </si>
  <si>
    <t>674379-0</t>
  </si>
  <si>
    <t>674275-5</t>
  </si>
  <si>
    <t>674200-1</t>
  </si>
  <si>
    <t>674154-3</t>
  </si>
  <si>
    <t>674131-2</t>
  </si>
  <si>
    <t>674130-3</t>
  </si>
  <si>
    <t>ZDBXB8GK1F00DLT</t>
  </si>
  <si>
    <t>674129-7</t>
  </si>
  <si>
    <t>674128-8</t>
  </si>
  <si>
    <t>674125-1</t>
  </si>
  <si>
    <t>674042-9</t>
  </si>
  <si>
    <t>John Deere</t>
  </si>
  <si>
    <t>ZDBXB8GK1F007KW</t>
  </si>
  <si>
    <t>674002-1</t>
  </si>
  <si>
    <t>673931-7</t>
  </si>
  <si>
    <t>718 - CITIBANK - Rosario</t>
  </si>
  <si>
    <t>ZDBXBJCH2001F1X</t>
  </si>
  <si>
    <t>673930-8</t>
  </si>
  <si>
    <t>ZDBXBJCH2001EKJ</t>
  </si>
  <si>
    <t>673929-2</t>
  </si>
  <si>
    <t>076UBJFH100092D</t>
  </si>
  <si>
    <t>673928-3</t>
  </si>
  <si>
    <t>076UBJFH10006ZL</t>
  </si>
  <si>
    <t>673869-1</t>
  </si>
  <si>
    <t>0ACTBJFK400003T</t>
  </si>
  <si>
    <t>673686-0</t>
  </si>
  <si>
    <t>673636-5</t>
  </si>
  <si>
    <t>673635-6</t>
  </si>
  <si>
    <t>673500-1</t>
  </si>
  <si>
    <t>673125-4</t>
  </si>
  <si>
    <t>672638-6</t>
  </si>
  <si>
    <t>664520-3</t>
  </si>
  <si>
    <t>ZDBXBJCH1000N8N</t>
  </si>
  <si>
    <t>664518-8</t>
  </si>
  <si>
    <t>ZDBXBJCH1000MZK</t>
  </si>
  <si>
    <t>664516-0</t>
  </si>
  <si>
    <t>ZDBXBJCH1000MLZ</t>
  </si>
  <si>
    <t>664513-3</t>
  </si>
  <si>
    <t>ZDBXBJCH1000M4V</t>
  </si>
  <si>
    <t>664512-4</t>
  </si>
  <si>
    <t>Z831BJEH30000YA</t>
  </si>
  <si>
    <t>664511-5</t>
  </si>
  <si>
    <t>79G4G37</t>
  </si>
  <si>
    <t>664510-6</t>
  </si>
  <si>
    <t>79G499Z</t>
  </si>
  <si>
    <t>664509-0</t>
  </si>
  <si>
    <t>793PZGG</t>
  </si>
  <si>
    <t>680661-9</t>
  </si>
  <si>
    <t>680185-4</t>
  </si>
  <si>
    <t>680004-0</t>
  </si>
  <si>
    <t>679894-9</t>
  </si>
  <si>
    <t>Mariana García Foglia</t>
  </si>
  <si>
    <t>PF32D20P</t>
  </si>
  <si>
    <t>679891-2</t>
  </si>
  <si>
    <t>Mónica Beatriz Violoni</t>
  </si>
  <si>
    <t>PF31HW5M</t>
  </si>
  <si>
    <t>679683-5</t>
  </si>
  <si>
    <t>679635-8</t>
  </si>
  <si>
    <t>679438-7</t>
  </si>
  <si>
    <t>679417-4</t>
  </si>
  <si>
    <t>679416-5</t>
  </si>
  <si>
    <t>Piero SAIC</t>
  </si>
  <si>
    <t>Deposito Rosario</t>
  </si>
  <si>
    <t>0C52BJFK400015K</t>
  </si>
  <si>
    <t>679209-7</t>
  </si>
  <si>
    <t>679180-3</t>
  </si>
  <si>
    <t>María Dolores Reyes</t>
  </si>
  <si>
    <t>PF31J69C</t>
  </si>
  <si>
    <t>679148-7</t>
  </si>
  <si>
    <t>679137-1</t>
  </si>
  <si>
    <t>679024-8</t>
  </si>
  <si>
    <t>Luciana Bottura</t>
  </si>
  <si>
    <t>PF32D202</t>
  </si>
  <si>
    <t>678993-2</t>
  </si>
  <si>
    <t>678962-2</t>
  </si>
  <si>
    <t>MARIA CRISTINA CATTANEO</t>
  </si>
  <si>
    <t>PF31YSC3</t>
  </si>
  <si>
    <t>678933-0</t>
  </si>
  <si>
    <t>OPDEA</t>
  </si>
  <si>
    <t>ZDBXBJAFA0004JH</t>
  </si>
  <si>
    <t>678930-3</t>
  </si>
  <si>
    <t>Boston Seguros</t>
  </si>
  <si>
    <t>0ACTBJFK200090R</t>
  </si>
  <si>
    <t>678378-9</t>
  </si>
  <si>
    <t>678376-1</t>
  </si>
  <si>
    <t>678342-4</t>
  </si>
  <si>
    <t>Fresenius</t>
  </si>
  <si>
    <t>FME Rosario Nuevo</t>
  </si>
  <si>
    <t>SP000730</t>
  </si>
  <si>
    <t>678341-5</t>
  </si>
  <si>
    <t>SP000729</t>
  </si>
  <si>
    <t>678340-6</t>
  </si>
  <si>
    <t>FME Htal. Español Rosario</t>
  </si>
  <si>
    <t>SP000728</t>
  </si>
  <si>
    <t>678240-7</t>
  </si>
  <si>
    <t>678239-1</t>
  </si>
  <si>
    <t>678238-2</t>
  </si>
  <si>
    <t>678237-3</t>
  </si>
  <si>
    <t>678236-4</t>
  </si>
  <si>
    <t>678235-5</t>
  </si>
  <si>
    <t>678234-6</t>
  </si>
  <si>
    <t>678232-8</t>
  </si>
  <si>
    <t>678231-9</t>
  </si>
  <si>
    <t>678128-6</t>
  </si>
  <si>
    <t>678114-3</t>
  </si>
  <si>
    <t>Sistemas</t>
  </si>
  <si>
    <t>678090-4</t>
  </si>
  <si>
    <t>678088-9</t>
  </si>
  <si>
    <t>Western Union</t>
  </si>
  <si>
    <t>Regional NEA - Rosario</t>
  </si>
  <si>
    <t>C8J638934</t>
  </si>
  <si>
    <t>678087-0</t>
  </si>
  <si>
    <t>Protección Mutual</t>
  </si>
  <si>
    <t>0C52BJFK200016M</t>
  </si>
  <si>
    <t>678086-1</t>
  </si>
  <si>
    <t>0C52BJFK20000RA</t>
  </si>
  <si>
    <t>678084-3</t>
  </si>
  <si>
    <t>0BLQBJPHC00002A</t>
  </si>
  <si>
    <t>678083-4</t>
  </si>
  <si>
    <t>0ACTBJFJ500046E</t>
  </si>
  <si>
    <t>678082-5</t>
  </si>
  <si>
    <t>0ACTBJFH90003XE</t>
  </si>
  <si>
    <t>678032-0</t>
  </si>
  <si>
    <t>Andrea Monjes</t>
  </si>
  <si>
    <t>PF31J64L</t>
  </si>
  <si>
    <t>677947-6</t>
  </si>
  <si>
    <t>María Paula Fracaro</t>
  </si>
  <si>
    <t>PF31YHZK</t>
  </si>
  <si>
    <t>677942-1</t>
  </si>
  <si>
    <t>María Luján Velázquez</t>
  </si>
  <si>
    <t>PF32CSPB</t>
  </si>
  <si>
    <t>677930-6</t>
  </si>
  <si>
    <t>Manpower</t>
  </si>
  <si>
    <t>Z8PMB3BC600512J</t>
  </si>
  <si>
    <t>677929-0</t>
  </si>
  <si>
    <t>Solanas</t>
  </si>
  <si>
    <t>0ACTBJFJC0000RV</t>
  </si>
  <si>
    <t>677727-4</t>
  </si>
  <si>
    <t>CNB2N2WY91</t>
  </si>
  <si>
    <t>677726-5</t>
  </si>
  <si>
    <t>CNB2N2WY7Z</t>
  </si>
  <si>
    <t>677725-6</t>
  </si>
  <si>
    <t>CNB2N2WY68</t>
  </si>
  <si>
    <t>677724-7</t>
  </si>
  <si>
    <t>CNB1N2SYJL</t>
  </si>
  <si>
    <t>677719-5</t>
  </si>
  <si>
    <t>CFR - Alto Rosario Shopping (191)</t>
  </si>
  <si>
    <t>ZDBXB8GK1F00ABT</t>
  </si>
  <si>
    <t>677718-6</t>
  </si>
  <si>
    <t>Desarrollos Gastronómicos S.A.</t>
  </si>
  <si>
    <t>KFC Rosario</t>
  </si>
  <si>
    <t>BRBSM8FG1V</t>
  </si>
  <si>
    <t>677716-8</t>
  </si>
  <si>
    <t>ZDBXB8GK3A00E2F</t>
  </si>
  <si>
    <t>677406-4</t>
  </si>
  <si>
    <t>ZELLBJEJ50002NW</t>
  </si>
  <si>
    <t>677405-5</t>
  </si>
  <si>
    <t>677404-6</t>
  </si>
  <si>
    <t>ZDBXBJCH2001J7L</t>
  </si>
  <si>
    <t>677403-7</t>
  </si>
  <si>
    <t>676823-0</t>
  </si>
  <si>
    <t>Z831BJEH30001LL</t>
  </si>
  <si>
    <t>676799-4</t>
  </si>
  <si>
    <t>676242-1</t>
  </si>
  <si>
    <t>670920-0</t>
  </si>
  <si>
    <t>775 - NODO Bv OROÑO</t>
  </si>
  <si>
    <t>076UBJFJ30002FK</t>
  </si>
  <si>
    <t>670919-4</t>
  </si>
  <si>
    <t>ZDBXBJCH2000F2B</t>
  </si>
  <si>
    <t>669757-0</t>
  </si>
  <si>
    <t>496259-5</t>
  </si>
  <si>
    <t>472 - ROSARIO SUR</t>
  </si>
  <si>
    <t>076UBJFG8000B6W</t>
  </si>
  <si>
    <t>Roldan</t>
  </si>
  <si>
    <t>Funes</t>
  </si>
  <si>
    <t>Piñero</t>
  </si>
  <si>
    <t>684124-1</t>
  </si>
  <si>
    <t>684096-9</t>
  </si>
  <si>
    <t>683703-5</t>
  </si>
  <si>
    <t>683692-0</t>
  </si>
  <si>
    <t>683572-7</t>
  </si>
  <si>
    <t>ZDBXBJEJ90003GY</t>
  </si>
  <si>
    <t>683566-6</t>
  </si>
  <si>
    <t>683237-7</t>
  </si>
  <si>
    <t>683203-0</t>
  </si>
  <si>
    <t>ALEJANDRA BEATRIZ GÓMEZ</t>
  </si>
  <si>
    <t>PF32D97R</t>
  </si>
  <si>
    <t>683202-1</t>
  </si>
  <si>
    <t>MELINA BUSTOS</t>
  </si>
  <si>
    <t>PF31JPJX</t>
  </si>
  <si>
    <t>682920-3</t>
  </si>
  <si>
    <t>Mercedes Bolatti</t>
  </si>
  <si>
    <t>PF31JPKD</t>
  </si>
  <si>
    <t>682906-3</t>
  </si>
  <si>
    <t>682753-3</t>
  </si>
  <si>
    <t>BRDSH251YC</t>
  </si>
  <si>
    <t>682491-6</t>
  </si>
  <si>
    <t>Gabriela González Campos</t>
  </si>
  <si>
    <t>PF31HW67</t>
  </si>
  <si>
    <t>682257-4</t>
  </si>
  <si>
    <t>NATALIA SABRINA PARDILLO</t>
  </si>
  <si>
    <t>PF31ZE0G</t>
  </si>
  <si>
    <t>682198-2</t>
  </si>
  <si>
    <t>681984-4</t>
  </si>
  <si>
    <t>681901-1</t>
  </si>
  <si>
    <t>681863-2</t>
  </si>
  <si>
    <t>Sancor Cooperativas Limitada</t>
  </si>
  <si>
    <t>Operador Comercial Logística Uno SRL</t>
  </si>
  <si>
    <t>ZDBXBJFJ90003EW</t>
  </si>
  <si>
    <t>681821-6</t>
  </si>
  <si>
    <t>VANINA BOSCH</t>
  </si>
  <si>
    <t>PF31J6AX</t>
  </si>
  <si>
    <t>681785-5</t>
  </si>
  <si>
    <t>Valentina Bernasconi</t>
  </si>
  <si>
    <t>PF31J05W</t>
  </si>
  <si>
    <t>681547-7</t>
  </si>
  <si>
    <t>ZDBXBJFJ900088X</t>
  </si>
  <si>
    <t>681341-5</t>
  </si>
  <si>
    <t>680996-2</t>
  </si>
  <si>
    <t>Ilolay</t>
  </si>
  <si>
    <t>El Trebol</t>
  </si>
  <si>
    <t>ZELLBJFK30006JV</t>
  </si>
  <si>
    <t>680694-7</t>
  </si>
  <si>
    <t>Romina Lario</t>
  </si>
  <si>
    <t>PF32D567</t>
  </si>
  <si>
    <t>679876-3</t>
  </si>
  <si>
    <t>679711-7</t>
  </si>
  <si>
    <t>679196-4</t>
  </si>
  <si>
    <t>ZDBXBJFM6000MPF</t>
  </si>
  <si>
    <t>679195-5</t>
  </si>
  <si>
    <t>671056-1</t>
  </si>
  <si>
    <t>687273-7</t>
  </si>
  <si>
    <t>687069-6</t>
  </si>
  <si>
    <t>687056-2</t>
  </si>
  <si>
    <t>Correo Argentino</t>
  </si>
  <si>
    <t>79G2T2K</t>
  </si>
  <si>
    <t>686963-6</t>
  </si>
  <si>
    <t>686944-1</t>
  </si>
  <si>
    <t>686644-4</t>
  </si>
  <si>
    <t>237 - Villa Constitucion</t>
  </si>
  <si>
    <t>076UBJFJ300015L</t>
  </si>
  <si>
    <t>686295-2</t>
  </si>
  <si>
    <t>686294-3</t>
  </si>
  <si>
    <t>686165-2</t>
  </si>
  <si>
    <t>686069-9</t>
  </si>
  <si>
    <t>686033-4</t>
  </si>
  <si>
    <t>686017-6</t>
  </si>
  <si>
    <t>686015-8</t>
  </si>
  <si>
    <t>686014-9</t>
  </si>
  <si>
    <t>686013-0</t>
  </si>
  <si>
    <t>686012-1</t>
  </si>
  <si>
    <t>686011-2</t>
  </si>
  <si>
    <t>686009-7</t>
  </si>
  <si>
    <t>686008-8</t>
  </si>
  <si>
    <t>686007-9</t>
  </si>
  <si>
    <t>685768-6</t>
  </si>
  <si>
    <t>685756-1</t>
  </si>
  <si>
    <t>685603-0</t>
  </si>
  <si>
    <t>685194-7</t>
  </si>
  <si>
    <t>685193-8</t>
  </si>
  <si>
    <t>685160-0</t>
  </si>
  <si>
    <t>685159-4</t>
  </si>
  <si>
    <t>685079-9</t>
  </si>
  <si>
    <t>684977-5</t>
  </si>
  <si>
    <t>684764-3</t>
  </si>
  <si>
    <t>684749-4</t>
  </si>
  <si>
    <t>Sika</t>
  </si>
  <si>
    <t>Planta Rosario</t>
  </si>
  <si>
    <t>BRBSP6X0ZC</t>
  </si>
  <si>
    <t>684632-5</t>
  </si>
  <si>
    <t>684534-4</t>
  </si>
  <si>
    <t>684414-1</t>
  </si>
  <si>
    <t>684413-2</t>
  </si>
  <si>
    <t>684412-3</t>
  </si>
  <si>
    <t>684411-4</t>
  </si>
  <si>
    <t>684410-5</t>
  </si>
  <si>
    <t>684341-6</t>
  </si>
  <si>
    <t>684295-8</t>
  </si>
  <si>
    <t>María Pía Berreta</t>
  </si>
  <si>
    <t>PF32DBP7</t>
  </si>
  <si>
    <t>684286-0</t>
  </si>
  <si>
    <t>684253-2</t>
  </si>
  <si>
    <t>684164-9</t>
  </si>
  <si>
    <t>683825-6</t>
  </si>
  <si>
    <t>Rocío Fernández</t>
  </si>
  <si>
    <t>PF31JMAK</t>
  </si>
  <si>
    <t>683696-6</t>
  </si>
  <si>
    <t>Leticia Barea</t>
  </si>
  <si>
    <t>PF32CKBM</t>
  </si>
  <si>
    <t>683583-3</t>
  </si>
  <si>
    <t>Priscila Fernández</t>
  </si>
  <si>
    <t>PF31JPH6</t>
  </si>
  <si>
    <t>683553-2</t>
  </si>
  <si>
    <t>683552-3</t>
  </si>
  <si>
    <t>683551-4</t>
  </si>
  <si>
    <t>683550-5</t>
  </si>
  <si>
    <t>ZDBXBJFJ90006PW</t>
  </si>
  <si>
    <t>683549-9</t>
  </si>
  <si>
    <t>ZDBXBJCF70001QJ</t>
  </si>
  <si>
    <t>683548-0</t>
  </si>
  <si>
    <t>683547-1</t>
  </si>
  <si>
    <t>683545-3</t>
  </si>
  <si>
    <t>683544-4</t>
  </si>
  <si>
    <t>683543-5</t>
  </si>
  <si>
    <t>690271-9</t>
  </si>
  <si>
    <t>690270-0</t>
  </si>
  <si>
    <t>690258-8</t>
  </si>
  <si>
    <t>689954-9</t>
  </si>
  <si>
    <t>689853-1</t>
  </si>
  <si>
    <t>689644-5</t>
  </si>
  <si>
    <t>689541-9</t>
  </si>
  <si>
    <t>689537-6</t>
  </si>
  <si>
    <t>285 - General Lagos</t>
  </si>
  <si>
    <t>076UBJFJ90000CL</t>
  </si>
  <si>
    <t>689536-7</t>
  </si>
  <si>
    <t>689535-8</t>
  </si>
  <si>
    <t>286 - Arroyo Seco</t>
  </si>
  <si>
    <t>076UBJFJ30004LD</t>
  </si>
  <si>
    <t>689534-9</t>
  </si>
  <si>
    <t>076UBJFJ30001SX</t>
  </si>
  <si>
    <t>689533-0</t>
  </si>
  <si>
    <t>689532-1</t>
  </si>
  <si>
    <t>689531-2</t>
  </si>
  <si>
    <t>689423-4</t>
  </si>
  <si>
    <t>689382-8</t>
  </si>
  <si>
    <t>689381-9</t>
  </si>
  <si>
    <t>689380-0</t>
  </si>
  <si>
    <t>689379-4</t>
  </si>
  <si>
    <t>792FNYF</t>
  </si>
  <si>
    <t>689378-5</t>
  </si>
  <si>
    <t>689377-6</t>
  </si>
  <si>
    <t>689376-7</t>
  </si>
  <si>
    <t>689375-8</t>
  </si>
  <si>
    <t>689374-9</t>
  </si>
  <si>
    <t>689373-0</t>
  </si>
  <si>
    <t>689372-1</t>
  </si>
  <si>
    <t>689371-2</t>
  </si>
  <si>
    <t>689370-3</t>
  </si>
  <si>
    <t>689369-7</t>
  </si>
  <si>
    <t>689255-5</t>
  </si>
  <si>
    <t>794GRD6</t>
  </si>
  <si>
    <t>689215-7</t>
  </si>
  <si>
    <t>689110-3</t>
  </si>
  <si>
    <t>688899-6</t>
  </si>
  <si>
    <t>688784-5</t>
  </si>
  <si>
    <t>ZDBXBJCH10005BJ</t>
  </si>
  <si>
    <t>688648-4</t>
  </si>
  <si>
    <t>07QWB9UG3A0067R</t>
  </si>
  <si>
    <t>688647-5</t>
  </si>
  <si>
    <t>07QWB9UG3A002QT</t>
  </si>
  <si>
    <t>688286-8</t>
  </si>
  <si>
    <t>688193-9</t>
  </si>
  <si>
    <t>688192-0</t>
  </si>
  <si>
    <t>688191-1</t>
  </si>
  <si>
    <t>688190-2</t>
  </si>
  <si>
    <t>688189-6</t>
  </si>
  <si>
    <t>688187-8</t>
  </si>
  <si>
    <t>688152-2</t>
  </si>
  <si>
    <t>688078-1</t>
  </si>
  <si>
    <t>688077-2</t>
  </si>
  <si>
    <t>688076-3</t>
  </si>
  <si>
    <t>688074-5</t>
  </si>
  <si>
    <t>688072-7</t>
  </si>
  <si>
    <t>688012-5</t>
  </si>
  <si>
    <t>687989-1</t>
  </si>
  <si>
    <t>687988-2</t>
  </si>
  <si>
    <t>687987-3</t>
  </si>
  <si>
    <t>687986-4</t>
  </si>
  <si>
    <t>687985-5</t>
  </si>
  <si>
    <t>ZDBXB8GK1F00ACF</t>
  </si>
  <si>
    <t>687704-2</t>
  </si>
  <si>
    <t>687654-8</t>
  </si>
  <si>
    <t>687647-8</t>
  </si>
  <si>
    <t>272 - San Lorenzo</t>
  </si>
  <si>
    <t>076UBJFJ30002JP</t>
  </si>
  <si>
    <t>687583-1</t>
  </si>
  <si>
    <t>687530-9</t>
  </si>
  <si>
    <t>L8986320263</t>
  </si>
  <si>
    <t>687519-6</t>
  </si>
  <si>
    <t>687518-7</t>
  </si>
  <si>
    <t>687415-1</t>
  </si>
  <si>
    <t>687260-3</t>
  </si>
  <si>
    <t>686803-5</t>
  </si>
  <si>
    <t>686659-6</t>
  </si>
  <si>
    <t>CNC1M64077</t>
  </si>
  <si>
    <t>686430-3</t>
  </si>
  <si>
    <t>685586-4</t>
  </si>
  <si>
    <t>María Virginia Ghia</t>
  </si>
  <si>
    <t>PF31Z37R</t>
  </si>
  <si>
    <t>660280-0</t>
  </si>
  <si>
    <t>660276-7</t>
  </si>
  <si>
    <t>79G13WN</t>
  </si>
  <si>
    <t>No aplica viático, si costo doble al incidente</t>
  </si>
  <si>
    <t>Viático duplicado con el 687519-6</t>
  </si>
  <si>
    <t>Viático duplicado con el 690270-0</t>
  </si>
  <si>
    <t>692563-1</t>
  </si>
  <si>
    <t>381 - Casilda</t>
  </si>
  <si>
    <t>076UBJFJA0000QD</t>
  </si>
  <si>
    <t>692357-2</t>
  </si>
  <si>
    <t>692051-1</t>
  </si>
  <si>
    <t>692043-2</t>
  </si>
  <si>
    <t>692030-8</t>
  </si>
  <si>
    <t>692028-3</t>
  </si>
  <si>
    <t>691978-2</t>
  </si>
  <si>
    <t>691976-4</t>
  </si>
  <si>
    <t>691841-9</t>
  </si>
  <si>
    <t>691759-9</t>
  </si>
  <si>
    <t>691542-1</t>
  </si>
  <si>
    <t>691513-9</t>
  </si>
  <si>
    <t>691370-6</t>
  </si>
  <si>
    <t>691151-3</t>
  </si>
  <si>
    <t>691107-2</t>
  </si>
  <si>
    <t>691079-0</t>
  </si>
  <si>
    <t>691032-9</t>
  </si>
  <si>
    <t>690857-3</t>
  </si>
  <si>
    <t>PBR - Paso del Bosque Rosario (132)</t>
  </si>
  <si>
    <t>ZDBXB8GJ7A0046A</t>
  </si>
  <si>
    <t>690842-1</t>
  </si>
  <si>
    <t>690638-0</t>
  </si>
  <si>
    <t>690636-2</t>
  </si>
  <si>
    <t>690634-4</t>
  </si>
  <si>
    <t>690631-7</t>
  </si>
  <si>
    <t>Instalación-Desinstalación</t>
  </si>
  <si>
    <t>ZDBXBJEJ90006JJ</t>
  </si>
  <si>
    <t>690405-4</t>
  </si>
  <si>
    <t>ZDBXBJCH200044F</t>
  </si>
  <si>
    <t>690404-5</t>
  </si>
  <si>
    <t>690403-6</t>
  </si>
  <si>
    <t>Z5THBAFB101812V</t>
  </si>
  <si>
    <t>690402-7</t>
  </si>
  <si>
    <t>690401-8</t>
  </si>
  <si>
    <t>076UBJFJA0009HE</t>
  </si>
  <si>
    <t>690400-9</t>
  </si>
  <si>
    <t>076UBJFJ300007R</t>
  </si>
  <si>
    <t>690397-6</t>
  </si>
  <si>
    <t>690396-7</t>
  </si>
  <si>
    <t>690351-4</t>
  </si>
  <si>
    <t>690310-7</t>
  </si>
  <si>
    <t>690269-4</t>
  </si>
  <si>
    <t>690268-5</t>
  </si>
  <si>
    <t>690267-6</t>
  </si>
  <si>
    <t>690266-7</t>
  </si>
  <si>
    <t>690265-8</t>
  </si>
  <si>
    <t>690263-0</t>
  </si>
  <si>
    <t>LIR - Hipermercado Libertad Rosario (197)</t>
  </si>
  <si>
    <t>ZDBXBJCH30008XF</t>
  </si>
  <si>
    <t>690055-3</t>
  </si>
  <si>
    <t>SOYCHU</t>
  </si>
  <si>
    <t>ZDBXBJFM6000RWJ</t>
  </si>
  <si>
    <t>689600-1</t>
  </si>
  <si>
    <t>Le Utthe</t>
  </si>
  <si>
    <t>06TLHNJMC00017</t>
  </si>
  <si>
    <t>689246-7</t>
  </si>
  <si>
    <t>688515-7</t>
  </si>
  <si>
    <t>695169-0</t>
  </si>
  <si>
    <t>695161-8</t>
  </si>
  <si>
    <t>695160-9</t>
  </si>
  <si>
    <t>695088-6</t>
  </si>
  <si>
    <t>695070-7</t>
  </si>
  <si>
    <t>Perez</t>
  </si>
  <si>
    <t>695012-3</t>
  </si>
  <si>
    <t>7954K28</t>
  </si>
  <si>
    <t>694983-5</t>
  </si>
  <si>
    <t>694957-0</t>
  </si>
  <si>
    <t>694931-2</t>
  </si>
  <si>
    <t>694914-5</t>
  </si>
  <si>
    <t>694899-7</t>
  </si>
  <si>
    <t>694896-0</t>
  </si>
  <si>
    <t>694839-5</t>
  </si>
  <si>
    <t>694765-1</t>
  </si>
  <si>
    <t>694762-4</t>
  </si>
  <si>
    <t>694659-1</t>
  </si>
  <si>
    <t>694538-9</t>
  </si>
  <si>
    <t>694298-4</t>
  </si>
  <si>
    <t>694284-1</t>
  </si>
  <si>
    <t>694074-6</t>
  </si>
  <si>
    <t>693810-3</t>
  </si>
  <si>
    <t>Gefco 7</t>
  </si>
  <si>
    <t>693799-1</t>
  </si>
  <si>
    <t>693709-8</t>
  </si>
  <si>
    <t>693593-9</t>
  </si>
  <si>
    <t>PF31ZE0Y</t>
  </si>
  <si>
    <t>693581-4</t>
  </si>
  <si>
    <t>693578-0</t>
  </si>
  <si>
    <t>693465-7</t>
  </si>
  <si>
    <t>María del Valle Niedemayer</t>
  </si>
  <si>
    <t>693386-1</t>
  </si>
  <si>
    <t>693382-5</t>
  </si>
  <si>
    <t>693194-2</t>
  </si>
  <si>
    <t>693137-7</t>
  </si>
  <si>
    <t>693098-9</t>
  </si>
  <si>
    <t>692924-8</t>
  </si>
  <si>
    <t>692732-9</t>
  </si>
  <si>
    <t>692571-0</t>
  </si>
  <si>
    <t>CNN9NAN90Z</t>
  </si>
  <si>
    <t>692552-5</t>
  </si>
  <si>
    <t>692362-4</t>
  </si>
  <si>
    <t>691744-7</t>
  </si>
  <si>
    <t>691265-5</t>
  </si>
  <si>
    <t>691260-0</t>
  </si>
  <si>
    <t>691259-4</t>
  </si>
  <si>
    <t>691258-5</t>
  </si>
  <si>
    <t>691257-6</t>
  </si>
  <si>
    <t>7954HZK</t>
  </si>
  <si>
    <t>691256-7</t>
  </si>
  <si>
    <t>691255-8</t>
  </si>
  <si>
    <t>691254-9</t>
  </si>
  <si>
    <t>691253-0</t>
  </si>
  <si>
    <t>DE CAMINO A SN</t>
  </si>
  <si>
    <t>698159-4</t>
  </si>
  <si>
    <t>295 - Soldini</t>
  </si>
  <si>
    <t>076UBJFJA0001WL</t>
  </si>
  <si>
    <t>697607-9</t>
  </si>
  <si>
    <t>283 - Las Parejas</t>
  </si>
  <si>
    <t>076UBJFJ90000FF</t>
  </si>
  <si>
    <t>697441-5</t>
  </si>
  <si>
    <t>697270-9</t>
  </si>
  <si>
    <t>697264-8</t>
  </si>
  <si>
    <t>697173-7</t>
  </si>
  <si>
    <t>696989-3</t>
  </si>
  <si>
    <t>696988-4</t>
  </si>
  <si>
    <t>790MW4N</t>
  </si>
  <si>
    <t>696931-6</t>
  </si>
  <si>
    <t>696662-9</t>
  </si>
  <si>
    <t>696568-4</t>
  </si>
  <si>
    <t>696328-8</t>
  </si>
  <si>
    <t>696257-1</t>
  </si>
  <si>
    <t>696058-2</t>
  </si>
  <si>
    <t>695927-6</t>
  </si>
  <si>
    <t>695880-6</t>
  </si>
  <si>
    <t>695858-7</t>
  </si>
  <si>
    <t>Z83DBJEF900004V</t>
  </si>
  <si>
    <t>695705-6</t>
  </si>
  <si>
    <t>793G8DK</t>
  </si>
  <si>
    <t>695167-2</t>
  </si>
  <si>
    <t>695166-3</t>
  </si>
  <si>
    <t>693801-5</t>
  </si>
  <si>
    <t>701310-0</t>
  </si>
  <si>
    <t>701179-5</t>
  </si>
  <si>
    <t>701123-6</t>
  </si>
  <si>
    <t>700970-9</t>
  </si>
  <si>
    <t>700518-3</t>
  </si>
  <si>
    <t>276 - Villa Gobernador Galvez</t>
  </si>
  <si>
    <t>076UBJFH100039W</t>
  </si>
  <si>
    <t>700495-3</t>
  </si>
  <si>
    <t>7946PGW</t>
  </si>
  <si>
    <t>700491-7</t>
  </si>
  <si>
    <t>700441-2</t>
  </si>
  <si>
    <t>700234-4</t>
  </si>
  <si>
    <t>700111-4</t>
  </si>
  <si>
    <t>79G1DXW</t>
  </si>
  <si>
    <t>700079-9</t>
  </si>
  <si>
    <t>700002-7</t>
  </si>
  <si>
    <t>699992-8</t>
  </si>
  <si>
    <t>Profertil San Nicolás</t>
  </si>
  <si>
    <t>BRBS64LG4J</t>
  </si>
  <si>
    <t>699776-2</t>
  </si>
  <si>
    <t>699659-6</t>
  </si>
  <si>
    <t>Ivana Martinez</t>
  </si>
  <si>
    <t>PF31J69B</t>
  </si>
  <si>
    <t>699658-7</t>
  </si>
  <si>
    <t>Guillermina Haquin</t>
  </si>
  <si>
    <t>699535-7</t>
  </si>
  <si>
    <t>699500-1</t>
  </si>
  <si>
    <t>699454-3</t>
  </si>
  <si>
    <t>699365-0</t>
  </si>
  <si>
    <t>699263-3</t>
  </si>
  <si>
    <t>699253-6</t>
  </si>
  <si>
    <t>Z83DBJEJ90000FM</t>
  </si>
  <si>
    <t>699148-5</t>
  </si>
  <si>
    <t>698961-1</t>
  </si>
  <si>
    <t>698820-5</t>
  </si>
  <si>
    <t>698819-9</t>
  </si>
  <si>
    <t>698682-7</t>
  </si>
  <si>
    <t>698426-3</t>
  </si>
  <si>
    <t>698425-4</t>
  </si>
  <si>
    <t>698167-3</t>
  </si>
  <si>
    <t>697773-1</t>
  </si>
  <si>
    <t>ZDBXBJFM60006ER</t>
  </si>
  <si>
    <t>697772-2</t>
  </si>
  <si>
    <t>ZDBXBJFJ900084F</t>
  </si>
  <si>
    <t>697771-3</t>
  </si>
  <si>
    <t>ZDBXBJEJ90004TV</t>
  </si>
  <si>
    <t>697770-4</t>
  </si>
  <si>
    <t>697769-8</t>
  </si>
  <si>
    <t>697768-9</t>
  </si>
  <si>
    <t>ZDBXB8GK1F0057D</t>
  </si>
  <si>
    <t>697767-0</t>
  </si>
  <si>
    <t>ZDBXB8GJ7F001BY</t>
  </si>
  <si>
    <t>697765-2</t>
  </si>
  <si>
    <t>07QYB9UG7A006BY</t>
  </si>
  <si>
    <t>697584-9</t>
  </si>
  <si>
    <t>696978-7</t>
  </si>
  <si>
    <t>692251-9</t>
  </si>
  <si>
    <t>688075-4</t>
  </si>
  <si>
    <t>Costo viejo</t>
  </si>
  <si>
    <t>703950-6</t>
  </si>
  <si>
    <t>703933-9</t>
  </si>
  <si>
    <t>Rosario Deposito</t>
  </si>
  <si>
    <t>79G13PN</t>
  </si>
  <si>
    <t>703825-1</t>
  </si>
  <si>
    <t>ROS - Rosario</t>
  </si>
  <si>
    <t>Z8PMB3BC600535F</t>
  </si>
  <si>
    <t>703620-8</t>
  </si>
  <si>
    <t>703488-4</t>
  </si>
  <si>
    <t>703478-7</t>
  </si>
  <si>
    <t>AMI MUSIC</t>
  </si>
  <si>
    <t>A20 - DASH Santa Fe</t>
  </si>
  <si>
    <t>793FWRH</t>
  </si>
  <si>
    <t>703445-9</t>
  </si>
  <si>
    <t>703384-9</t>
  </si>
  <si>
    <t>ZDBXBJCFA0000BJ</t>
  </si>
  <si>
    <t>703349-6</t>
  </si>
  <si>
    <t>703340-5</t>
  </si>
  <si>
    <t>703336-2</t>
  </si>
  <si>
    <t>703253-0</t>
  </si>
  <si>
    <t>703169-2</t>
  </si>
  <si>
    <t>703158-6</t>
  </si>
  <si>
    <t>702933-2</t>
  </si>
  <si>
    <t>702903-1</t>
  </si>
  <si>
    <t>702845-8</t>
  </si>
  <si>
    <t>702784-8</t>
  </si>
  <si>
    <t>292 - Perez</t>
  </si>
  <si>
    <t>076UBJFJA00004F</t>
  </si>
  <si>
    <t>702678-8</t>
  </si>
  <si>
    <t>702559-4</t>
  </si>
  <si>
    <t>702537-2</t>
  </si>
  <si>
    <t>702437-3</t>
  </si>
  <si>
    <t>702396-7</t>
  </si>
  <si>
    <t>702378-1</t>
  </si>
  <si>
    <t>702373-6</t>
  </si>
  <si>
    <t>Gabriela Domancich</t>
  </si>
  <si>
    <t>PF32DBPG</t>
  </si>
  <si>
    <t>702228-7</t>
  </si>
  <si>
    <t>702227-8</t>
  </si>
  <si>
    <t>702220-5</t>
  </si>
  <si>
    <t>701994-6</t>
  </si>
  <si>
    <t>701891-0</t>
  </si>
  <si>
    <t>0ACTBJFK80001AK</t>
  </si>
  <si>
    <t>701872-5</t>
  </si>
  <si>
    <t>701871-6</t>
  </si>
  <si>
    <t>701814-1</t>
  </si>
  <si>
    <t>701779-9</t>
  </si>
  <si>
    <t>701777-1</t>
  </si>
  <si>
    <t>701775-3</t>
  </si>
  <si>
    <t>701752-2</t>
  </si>
  <si>
    <t>701443-7</t>
  </si>
  <si>
    <t>701285-5</t>
  </si>
  <si>
    <t>701180-1</t>
  </si>
  <si>
    <t>Ruben Alessio</t>
  </si>
  <si>
    <t>ZDBXB8GK1F00HTK</t>
  </si>
  <si>
    <t>700887-0</t>
  </si>
  <si>
    <t>700641-0</t>
  </si>
  <si>
    <t>700421-8</t>
  </si>
  <si>
    <t>700093-9</t>
  </si>
  <si>
    <t>0ACTBJFJB0000AW</t>
  </si>
  <si>
    <t>699991-9</t>
  </si>
  <si>
    <t>SWISSPORT</t>
  </si>
  <si>
    <t>Z8PMB3BC600168V</t>
  </si>
  <si>
    <t>692617-1</t>
  </si>
  <si>
    <t>0ACTBJFK80000WT</t>
  </si>
  <si>
    <t>692616-2</t>
  </si>
  <si>
    <t>706729-9</t>
  </si>
  <si>
    <t>Nación Servicios SA</t>
  </si>
  <si>
    <t>Santa Fe - Calle San Martin 2499 - BNA</t>
  </si>
  <si>
    <t>076UBJFH10001PX</t>
  </si>
  <si>
    <t>706710-1</t>
  </si>
  <si>
    <t>VILLA CONSTITUCION</t>
  </si>
  <si>
    <t>ZDBXBJFJ90005WJ</t>
  </si>
  <si>
    <t>706664-3</t>
  </si>
  <si>
    <t>706615-7</t>
  </si>
  <si>
    <t>706477-9</t>
  </si>
  <si>
    <t>706175-4</t>
  </si>
  <si>
    <t>706087-0</t>
  </si>
  <si>
    <t>706081-6</t>
  </si>
  <si>
    <t>706011-7</t>
  </si>
  <si>
    <t>705992-6</t>
  </si>
  <si>
    <t>705902-3</t>
  </si>
  <si>
    <t>705883-9</t>
  </si>
  <si>
    <t>ZDBXBJCF700079T</t>
  </si>
  <si>
    <t>705790-0</t>
  </si>
  <si>
    <t>705776-0</t>
  </si>
  <si>
    <t>705747-8</t>
  </si>
  <si>
    <t>Aeropuerto Santa Fe</t>
  </si>
  <si>
    <t>Z8PMB3CC600191B</t>
  </si>
  <si>
    <t>705691-0</t>
  </si>
  <si>
    <t>705684-0</t>
  </si>
  <si>
    <t>705596-6</t>
  </si>
  <si>
    <t>705551-3</t>
  </si>
  <si>
    <t>705433-8</t>
  </si>
  <si>
    <t>ZDBXBJCH2000AKK</t>
  </si>
  <si>
    <t>705432-9</t>
  </si>
  <si>
    <t>ZDBXB8GK2A003NZ</t>
  </si>
  <si>
    <t>705431-0</t>
  </si>
  <si>
    <t>ZDBXBJCH200134F</t>
  </si>
  <si>
    <t>705430-1</t>
  </si>
  <si>
    <t>705429-5</t>
  </si>
  <si>
    <t>ZDBXB8GK3A00DDV</t>
  </si>
  <si>
    <t>705428-6</t>
  </si>
  <si>
    <t>705279-2</t>
  </si>
  <si>
    <t>705230-3</t>
  </si>
  <si>
    <t>705070-3</t>
  </si>
  <si>
    <t>705058-1</t>
  </si>
  <si>
    <t>704988-6</t>
  </si>
  <si>
    <t>704968-2</t>
  </si>
  <si>
    <t>704965-5</t>
  </si>
  <si>
    <t>704748-0</t>
  </si>
  <si>
    <t>704664-9</t>
  </si>
  <si>
    <t>704663-0</t>
  </si>
  <si>
    <t>704493-3</t>
  </si>
  <si>
    <t>793H9KY</t>
  </si>
  <si>
    <t>704477-5</t>
  </si>
  <si>
    <t>704450-8</t>
  </si>
  <si>
    <t>704426-1</t>
  </si>
  <si>
    <t>704328-0</t>
  </si>
  <si>
    <t>704291-7</t>
  </si>
  <si>
    <t>704282-9</t>
  </si>
  <si>
    <t>704195-4</t>
  </si>
  <si>
    <t>704192-7</t>
  </si>
  <si>
    <t>704191-8</t>
  </si>
  <si>
    <t>704167-1</t>
  </si>
  <si>
    <t>703864-0</t>
  </si>
  <si>
    <t>703699-8</t>
  </si>
  <si>
    <t>703621-7</t>
  </si>
  <si>
    <t>701771-7</t>
  </si>
  <si>
    <t>698644-7</t>
  </si>
  <si>
    <t>Las Taperitas</t>
  </si>
  <si>
    <t>EL Trebol</t>
  </si>
  <si>
    <t>MXBCM9T1Q7</t>
  </si>
  <si>
    <t>711425-0</t>
  </si>
  <si>
    <t>711311-8</t>
  </si>
  <si>
    <t>711310-9</t>
  </si>
  <si>
    <t>ZDBXBJAG8000FXE</t>
  </si>
  <si>
    <t>711309-3</t>
  </si>
  <si>
    <t>711261-4</t>
  </si>
  <si>
    <t>711241-0</t>
  </si>
  <si>
    <t>710841-7</t>
  </si>
  <si>
    <t>710617-2</t>
  </si>
  <si>
    <t>710401-3</t>
  </si>
  <si>
    <t>710396-2</t>
  </si>
  <si>
    <t>710187-6</t>
  </si>
  <si>
    <t>ZDBXBJFM600067P</t>
  </si>
  <si>
    <t>710186-7</t>
  </si>
  <si>
    <t>ZDBXBJFM60005ZF</t>
  </si>
  <si>
    <t>710185-8</t>
  </si>
  <si>
    <t>ZELLBJFK20007DP</t>
  </si>
  <si>
    <t>710184-9</t>
  </si>
  <si>
    <t>ZDBXBJFJ90005PN</t>
  </si>
  <si>
    <t>710141-4</t>
  </si>
  <si>
    <t>710114-0</t>
  </si>
  <si>
    <t>710110-4</t>
  </si>
  <si>
    <t>709970-2</t>
  </si>
  <si>
    <t>709908-5</t>
  </si>
  <si>
    <t>709822-6</t>
  </si>
  <si>
    <t>709787-4</t>
  </si>
  <si>
    <t>709738-8</t>
  </si>
  <si>
    <t>709647-7</t>
  </si>
  <si>
    <t>Exolgan</t>
  </si>
  <si>
    <t>Villa Constitución (Santa Fe)</t>
  </si>
  <si>
    <t>076UBJFG80003EB</t>
  </si>
  <si>
    <t>709596-4</t>
  </si>
  <si>
    <t>709574-2</t>
  </si>
  <si>
    <t>709472-5</t>
  </si>
  <si>
    <t>709268-4</t>
  </si>
  <si>
    <t>709267-5</t>
  </si>
  <si>
    <t>709266-6</t>
  </si>
  <si>
    <t>709186-1</t>
  </si>
  <si>
    <t>709168-5</t>
  </si>
  <si>
    <t>Virginia Gamboa</t>
  </si>
  <si>
    <t>CNBM277044</t>
  </si>
  <si>
    <t>709020-6</t>
  </si>
  <si>
    <t>ZDBXB8GK1F00K4P</t>
  </si>
  <si>
    <t>709019-0</t>
  </si>
  <si>
    <t>ZDBXB8GK1F000HW</t>
  </si>
  <si>
    <t>709018-1</t>
  </si>
  <si>
    <t>ZDBXB8GK1F000GA</t>
  </si>
  <si>
    <t>709017-2</t>
  </si>
  <si>
    <t>709014-5</t>
  </si>
  <si>
    <t>709013-6</t>
  </si>
  <si>
    <t>708939-8</t>
  </si>
  <si>
    <t>708680-5</t>
  </si>
  <si>
    <t>708670-8</t>
  </si>
  <si>
    <t>Rosario - Santa Fe 1345</t>
  </si>
  <si>
    <t>CNC1P6H00D</t>
  </si>
  <si>
    <t>708531-0</t>
  </si>
  <si>
    <t>708529-5</t>
  </si>
  <si>
    <t>708487-0</t>
  </si>
  <si>
    <t>708353-4</t>
  </si>
  <si>
    <t>708352-5</t>
  </si>
  <si>
    <t>8W91B1CZ800008H</t>
  </si>
  <si>
    <t>708283-6</t>
  </si>
  <si>
    <t>076UBJFG80003CM</t>
  </si>
  <si>
    <t>708279-3</t>
  </si>
  <si>
    <t>708277-5</t>
  </si>
  <si>
    <t>708213-7</t>
  </si>
  <si>
    <t>708174-9</t>
  </si>
  <si>
    <t>708024-5</t>
  </si>
  <si>
    <t>708011-1</t>
  </si>
  <si>
    <t>708010-2</t>
  </si>
  <si>
    <t>707855-0</t>
  </si>
  <si>
    <t>707395-3</t>
  </si>
  <si>
    <t>707355-5</t>
  </si>
  <si>
    <t>707066-4</t>
  </si>
  <si>
    <t>706864-1</t>
  </si>
  <si>
    <t>706854-4</t>
  </si>
  <si>
    <t>Rosario - ENTRE RIOS 864</t>
  </si>
  <si>
    <t>076UBJFH100005J</t>
  </si>
  <si>
    <t>706853-5</t>
  </si>
  <si>
    <t>076UBJFH100040V</t>
  </si>
  <si>
    <t>706816-4</t>
  </si>
  <si>
    <t>706732-3</t>
  </si>
  <si>
    <t>076UBJFJA0006VP</t>
  </si>
  <si>
    <t>706634-2</t>
  </si>
  <si>
    <t>706620-9</t>
  </si>
  <si>
    <t>Rosario - CORDOBA 1026 -3º PISO</t>
  </si>
  <si>
    <t>076UBJFH10008WJ</t>
  </si>
  <si>
    <t>706619-3</t>
  </si>
  <si>
    <t>076UBJFJA0004LJ</t>
  </si>
  <si>
    <t>706389-5</t>
  </si>
  <si>
    <t>79G3LCH</t>
  </si>
  <si>
    <t>706316-9</t>
  </si>
  <si>
    <t>705881-1</t>
  </si>
  <si>
    <t>704668-5</t>
  </si>
  <si>
    <t>ZDBXBJAH30005KT</t>
  </si>
  <si>
    <t>704667-6</t>
  </si>
  <si>
    <t>704666-7</t>
  </si>
  <si>
    <t>693396-8</t>
  </si>
  <si>
    <t>076UBJFJ300038J</t>
  </si>
  <si>
    <t>Domicilio</t>
  </si>
  <si>
    <t>Localidad</t>
  </si>
  <si>
    <t>Provincia</t>
  </si>
  <si>
    <t>Base</t>
  </si>
  <si>
    <t>Kms recorrido</t>
  </si>
  <si>
    <t>Aplica viático</t>
  </si>
  <si>
    <t>Kms a facturar</t>
  </si>
  <si>
    <t>Kms FER</t>
  </si>
  <si>
    <t>Observacion</t>
  </si>
  <si>
    <t>25 de Mayo 1280</t>
  </si>
  <si>
    <t>PUERTO GRAL SAN MARTIN</t>
  </si>
  <si>
    <t>Bordabehere (ex Salta) 3811</t>
  </si>
  <si>
    <t>https://www.google.com/maps/dir/Av.+Bordabehere+3811,+S2002+KNC,+Santa+Fe/Adm+puerto+san+martin,+S2202DMV,+25+de+Mayo+936-1200,+S2202DMV+Puerto+Gral.+San+Martin,+Santa+Fe/Av.+Bordabehere+3811,+S2002+KNC,+Santa+Fe/@-32.8230287,-60.8590941,11z/data=!3m1!4b1!4m20!4m19!1m5!1m1!1s0x95b7ab55726d7baf:0xff0f95afeea1648d!2m2!1d-60.6737762!2d-32.9335525!1m5!1m1!1s0x95b65b5a68a26407:0x52b2939f50e90572!2m2!1d-60.7297273!2d-32.708583!1m5!1m1!1s0x95b7ab55726d7baf:0xff0f95afeea1648d!2m2!1d-60.6737762!2d-32.9335525!3e0</t>
  </si>
  <si>
    <t>Italia 2093 1 A</t>
  </si>
  <si>
    <t>https://www.google.com/maps/dir/Av.+Bordabehere+3811,+S2002+KNC,+Santa+Fe/GCG,+Italia+2093,+Rosario,+Santa+Fe/Av.+Bordabehere+3811,+S2002+KNC,+Santa+Fe/@-32.9467434,-60.6816952,14z/data=!3m1!4b1!4m20!4m19!1m5!1m1!1s0x95b7ab55726d7baf:0xff0f95afeea1648d!2m2!1d-60.6737762!2d-32.9335525!1m5!1m1!1s0x95b7ab0ccd6f67db:0xb0baba49220fd8c7!2m2!1d-60.6516158!2d-32.9600233!1m5!1m1!1s0x95b7ab55726d7baf:0xff0f95afeea1648d!2m2!1d-60.6737762!2d-32.9335525!3e0</t>
  </si>
  <si>
    <t>Rosario II</t>
  </si>
  <si>
    <t>Paraguay N° 777 Piso: 11 A  (Edificio Bolsa de Comercio de Rosario)</t>
  </si>
  <si>
    <t>https://www.google.com/maps/dir/Av.+Bordabehere+3811,+S2002+KNC,+Santa+Fe/Adm+Argentina+Sa,+Corrientes+763,+S2000CTG+Rosario,+Santa+Fe/Av.+Bordabehere+3811,+S2002+KNC,+Santa+Fe/@-32.9408091,-60.6668519,15z/data=!3m1!4b1!4m20!4m19!1m5!1m1!1s0x95b7ab55726d7baf:0xff0f95afeea1648d!2m2!1d-60.6737762!2d-32.9335525!1m5!1m1!1s0x95b7ab17c63bad3f:0xd0e76a47e4c9673e!2m2!1d-60.6423677!2d-32.9451388!1m5!1m1!1s0x95b7ab55726d7baf:0xff0f95afeea1648d!2m2!1d-60.6737762!2d-32.9335525!3e0</t>
  </si>
  <si>
    <t>Ruta 21 Km 277 Arroyo Seco</t>
  </si>
  <si>
    <t>ARROYO SECO</t>
  </si>
  <si>
    <t>España 840</t>
  </si>
  <si>
    <t>https://www.google.com/maps/dir/Av.+Bordabehere+3811,+S2002+KNC,+Santa+Fe/Espa%C3%B1a+840,+Rosario,+Santa+Fe/Av.+Bordabehere+3811,+S2002+KNC,+Santa+Fe/@-32.9396936,-60.6682311,15z/data=!3m1!4b1!4m20!4m19!1m5!1m1!1s0x95b7ab55726d7baf:0xff0f95afeea1648d!2m2!1d-60.6737762!2d-32.9335525!1m5!1m1!1s0x95b7ab15f7a7d43b:0xe1c56ef21bc16a1a!2m2!1d-60.6467791!2d-32.945387!1m5!1m1!1s0x95b7ab55726d7baf:0xff0f95afeea1648d!2m2!1d-60.6737762!2d-32.9335525!3e0</t>
  </si>
  <si>
    <t>Av. Pellegrini 1259 -Piso 9</t>
  </si>
  <si>
    <t>https://www.google.com/maps/dir/Av.+Bordabehere+3811,+S2002+KNC,+Santa+Fe/Av.+Pellegrini+1259,+S2000BTM+Rosario,+Santa+Fe/Av.+Bordabehere+3811,+S2002+KNC,+Santa+Fe/@-32.9453284,-60.6768201,14z/data=!3m1!4b1!4m20!4m19!1m5!1m1!1s0x95b7ab55726d7baf:0xff0f95afeea1648d!2m2!1d-60.6737762!2d-32.9335525!1m5!1m1!1s0x95b7ab0fab4466a5:0xbde90bd65df66d37!2m2!1d-60.6428754!2d-32.9571539!1m5!1m1!1s0x95b7ab55726d7baf:0xff0f95afeea1648d!2m2!1d-60.6737762!2d-32.9335525!3e0</t>
  </si>
  <si>
    <t>Profertil San Martín (PGSM)</t>
  </si>
  <si>
    <t>Héroes de Malvinas 8608</t>
  </si>
  <si>
    <t>https://www.google.com/maps/dir/Av.+Bordabehere+3811,+S2002+KNC,+Santa+Fe/Profertil,+H%C3%A9roes+de+Malvinas,+Puerto+General+San+Martin,+Santa+Fe/Av.+Bordabehere+3811,+S2002+KNC,+Santa+Fe/@-32.7871159,-60.8766738,11z/data=!3m1!4b1!4m20!4m19!1m5!1m1!1s0x95b7ab55726d7baf:0xff0f95afeea1648d!2m2!1d-60.6737762!2d-32.9335525!1m5!1m1!1s0x95b65d4583148be1:0x439a7cd3fe303000!2m2!1d-60.7556014!2d-32.636667!1m5!1m1!1s0x95b7ab55726d7baf:0xff0f95afeea1648d!2m2!1d-60.6737762!2d-32.9335525!3e0</t>
  </si>
  <si>
    <t>Ruta 11 Km 120 (Parque Industrial Victoria)</t>
  </si>
  <si>
    <t>VICTORIA</t>
  </si>
  <si>
    <t>Entre Rios</t>
  </si>
  <si>
    <t>https://www.google.com/maps/dir/Av.+Bordabehere+3811,+S2002+KNC,+Santa+Fe/Agroservicios+Pampeanos+SA,+Victoria,+Entre+R%C3%ADos/Av.+Bordabehere+3811,+S2002+KNC,+Santa+Fe/@-32.7712761,-60.7011409,10z/data=!3m1!4b1!4m20!4m19!1m5!1m1!1s0x95b7ab55726d7baf:0xff0f95afeea1648d!2m2!1d-60.6737762!2d-32.9335525!1m5!1m1!1s0x95b6db57cb0aba89:0xd6da3768421ede04!2m2!1d-60.1173015!2d-32.6309277!1m5!1m1!1s0x95b7ab55726d7baf:0xff0f95afeea1648d!2m2!1d-60.6737762!2d-32.9335525!3e0</t>
  </si>
  <si>
    <t>Ruta Nac. 33 Km 737.5</t>
  </si>
  <si>
    <t>CASILDA</t>
  </si>
  <si>
    <t>https://www.google.com/maps/dir/Av.+Bordabehere+3811,+S2002+KNC,+Santa+Fe/Nutrien+Ag+Solutions+-+Casilda,+Ruta+Nacional+33,+Casilda,+Santa+Fe/Av.+Bordabehere+3811,+S2002+KNC,+Santa+Fe/@-32.9618149,-61.0640473,11z/data=!3m1!4b1!4m20!4m19!1m5!1m1!1s0x95b7ab55726d7baf:0xff0f95afeea1648d!2m2!1d-60.6737762!2d-32.9335525!1m5!1m1!1s0x95b633f121531e2d:0x5ca4c393b9cab942!2m2!1d-61.1323116!2d-33.0391882!1m5!1m1!1s0x95b7ab55726d7baf:0xff0f95afeea1648d!2m2!1d-60.6737762!2d-32.9335525!3e0</t>
  </si>
  <si>
    <t>Ruta Nac. 33 Km 738</t>
  </si>
  <si>
    <t>Ruta Nac. 33 Km 745.5</t>
  </si>
  <si>
    <t>Peyrano - Santa Fe</t>
  </si>
  <si>
    <t>RUTA PROVINCIAL 18 KM. 57</t>
  </si>
  <si>
    <t>PEYRANO</t>
  </si>
  <si>
    <t>https://www.google.com/maps/dir/Av.+Bordabehere+3811,+S2002+KNC,+Santa+Fe/Agroservicios+Pampeanos,+Bv+Ferrocaril+257,+Peyrano,+Santa+Fe/Av.+Bordabehere+3811,+S2002+KNC,+Santa+Fe/@-33.2313877,-61.0127593,10z/data=!3m1!4b1!4m20!4m19!1m5!1m1!1s0x95b7ab55726d7baf:0xff0f95afeea1648d!2m2!1d-60.6737762!2d-32.9335525!1m5!1m1!1s0x95b78f4acafb6c0f:0xc3ebf7339d7a740e!2m2!1d-60.7902798!2d-33.5299431!1m5!1m1!1s0x95b7ab55726d7baf:0xff0f95afeea1648d!2m2!1d-60.6737762!2d-32.9335525!3e0</t>
  </si>
  <si>
    <t>RUTA 168 KM 473,6 - Locales 49 al 56</t>
  </si>
  <si>
    <t>SANTA FE</t>
  </si>
  <si>
    <t>Urquiza 4703</t>
  </si>
  <si>
    <t>https://www.google.com/maps/dir/Urquiza+4703,+EKZ,+Santa+Fe/Dash+Deportes,+Santa+Fe/Urquiza+4703,+S3002+EKZ,+Santa+Fe/@-31.6430873,-60.6892888,13.48z/data=!4m20!4m19!1m5!1m1!1s0x95b5a9db0305adfb:0x1c8db6c9774b3259!2m2!1d-60.7066956!2d-31.6229525!1m5!1m1!1s0x95b453ae3f676c79:0xbd94bc08ede4e042!2m2!1d-60.6567783!2d-31.6416673!1m5!1m1!1s0x95b5a9db0305adfb:0x1c8db6c9774b3259!2m2!1d-60.7066956!2d-31.6229525!3e0</t>
  </si>
  <si>
    <t>Av. Circunvalación y Sorrento</t>
  </si>
  <si>
    <t>https://www.google.com/maps/dir/Av.+Bordabehere+3811,+S2002+KNC,+Santa+Fe/Paso+del+Bosque+Premium+Outlet,+Avenida+Sorrento,+Rosario,+Santa+Fe/Av.+Bordabehere+3811,+S2002+KNC,+Santa+Fe/@-32.9221008,-60.716135,14z/data=!3m1!4b1!4m20!4m19!1m5!1m1!1s0x95b7ab55726d7baf:0xff0f95afeea1648d!2m2!1d-60.6737762!2d-32.9335525!1m5!1m1!1s0x95b65301e337beb9:0x9f0f1aec1cb43dea!2m2!1d-60.7210484!2d-32.9069733!1m5!1m1!1s0x95b7ab55726d7baf:0xff0f95afeea1648d!2m2!1d-60.6737762!2d-32.9335525!3e0</t>
  </si>
  <si>
    <t>Av. Córdoba 1643</t>
  </si>
  <si>
    <t>https://www.google.com/maps/dir/Av.+Bordabehere+3811,+S2002+KNC,+Santa+Fe/Av.+C%C3%B3rdoba+1643,+Rosario,+Santa+Fe/Av.+Bordabehere+3811,+S2002+KNC,+Santa+Fe/@-32.9393614,-60.6682359,15z/data=!3m1!4b1!4m20!4m19!1m5!1m1!1s0x95b7ab55726d7baf:0xff0f95afeea1648d!2m2!1d-60.6737762!2d-32.9335525!1m5!1m1!1s0x95b7ab160731cdfd:0xd15bab3c4c88c9fc!2m2!1d-60.6458378!2d-32.9453966!1m5!1m1!1s0x95b7ab55726d7baf:0xff0f95afeea1648d!2m2!1d-60.6737762!2d-32.9335525!3e0</t>
  </si>
  <si>
    <t>Av. Eva Perón 5862 y Rouillon</t>
  </si>
  <si>
    <t>https://www.google.com/maps/dir/Av.+Bordabehere+3811,+S2002+KNC,+Santa+Fe/Av.+Eva+Per%C3%B3n+5862,+Rosario,+Santa+Fe/Av.+Bordabehere+3811,+S2002+KNC,+Santa+Fe/@-32.9360073,-60.6980778,15z/data=!3m1!4b1!4m20!4m19!1m5!1m1!1s0x95b7ab55726d7baf:0xff0f95afeea1648d!2m2!1d-60.6737762!2d-32.9335525!1m5!1m1!1s0x95b65334165a2aef:0x65a0aeff559c3b36!2m2!1d-60.702714!2d-32.934702!1m5!1m1!1s0x95b7ab55726d7baf:0xff0f95afeea1648d!2m2!1d-60.6737762!2d-32.9335525!3e0</t>
  </si>
  <si>
    <t>Bvd. Oroño y Av. Battle - Ordoñez</t>
  </si>
  <si>
    <t>https://www.google.com/maps/dir/Av.+Bordabehere+3811,+S2002+KNC,+Santa+Fe/Libertad,+Boulevard+Oro%C3%B1o,+Rosario,+Santa+Fe/Av.+Bordabehere+3811,+S2002+KNC,+Santa+Fe/@-32.9746383,-60.7282863,13z/data=!3m1!4b1!4m20!4m19!1m5!1m1!1s0x95b7ab55726d7baf:0xff0f95afeea1648d!2m2!1d-60.6737762!2d-32.9335525!1m5!1m1!1s0x95b7abfcf49b1cd5:0xacc3c654c2b8e9c2!2m2!1d-60.6666374!2d-33.007904!1m5!1m1!1s0x95b7ab55726d7baf:0xff0f95afeea1648d!2m2!1d-60.6737762!2d-32.9335525!3e0</t>
  </si>
  <si>
    <t>Córdoba 1001</t>
  </si>
  <si>
    <t>https://www.google.com/maps/dir/Av.+Bordabehere+3811,+S2002+KNC,+Santa+Fe/C%C3%B3rdoba+1001,+S2000AWM+Rosario,+Santa+Fe/Av.+Bordabehere+3811,+S2002+KNC,+Santa+Fe/@-32.9404971,-60.6642994,15z/data=!3m1!4b1!4m20!4m19!1m5!1m1!1s0x95b7ab55726d7baf:0xff0f95afeea1648d!2m2!1d-60.6737762!2d-32.9335525!1m5!1m1!1s0x95b7ab19740e2ad3:0x3f5448f7ca21b031!2m2!1d-60.6369004!2d-32.9468295!1m5!1m1!1s0x95b7ab55726d7baf:0xff0f95afeea1648d!2m2!1d-60.6737762!2d-32.9335525!3e0</t>
  </si>
  <si>
    <t>Junín 501 Local 117</t>
  </si>
  <si>
    <t>https://www.google.com/maps/dir/Av.+Bordabehere+3811,+S2002+KNC,+Santa+Fe/Jun%C3%ADn+501,+Rosario,+Santa+Fe/Av.+Bordabehere+3811,+S2002+KNC,+Santa+Fe/@-32.9312956,-60.6723267,16z/data=!3m1!4b1!4m20!4m19!1m5!1m1!1s0x95b7ab55726d7baf:0xff0f95afeea1648d!2m2!1d-60.6737762!2d-32.9335525!1m5!1m1!1s0x95b654abc3ab1d5f:0x356ed1fcddfbf5d0!2m2!1d-60.6677963!2d-32.9280378!1m5!1m1!1s0x95b7ab55726d7baf:0xff0f95afeea1648d!2m2!1d-60.6737762!2d-32.9335525!3e0</t>
  </si>
  <si>
    <t>Nansen 323 - Local 2141</t>
  </si>
  <si>
    <t>https://www.google.com/maps/dir/Av.+Bordabehere+3811,+S2002+KNC,+Santa+Fe/Nansen+323,+Rosario,+Santa+Fe/Av.+Bordabehere+3811,+S2002+KNC,+Santa+Fe/@-32.9223253,-60.695903,14z/data=!3m1!4b1!4m20!4m19!1m5!1m1!1s0x95b7ab55726d7baf:0xff0f95afeea1648d!2m2!1d-60.6737762!2d-32.9335525!1m5!1m1!1s0x95b65366fba6c377:0xc8f292ffeac0174f!2m2!1d-60.6833145!2d-32.9105441!1m5!1m1!1s0x95b7ab55726d7baf:0xff0f95afeea1648d!2m2!1d-60.6737762!2d-32.9335525!3e0</t>
  </si>
  <si>
    <t>Pellegrini 1402</t>
  </si>
  <si>
    <t>https://www.google.com/maps/dir/Av.+Bordabehere+3811,+S2002+KNC,+Santa+Fe/Avenida+Pellegrini+1402,+Rosario,+Santa+Fe/Av.+Bordabehere+3811,+S2002+KNC,+Santa+Fe/@-32.946075,-60.6789249,14z/data=!3m1!4b1!4m20!4m19!1m5!1m1!1s0x95b7ab55726d7baf:0xff0f95afeea1648d!2m2!1d-60.6737762!2d-32.9335525!1m5!1m1!1s0x95b7ab0e127f019f:0x53298e1c944477eb!2m2!1d-60.645248!2d-32.9562966!1m5!1m1!1s0x95b7ab55726d7baf:0xff0f95afeea1648d!2m2!1d-60.6737762!2d-32.9335525!3e0</t>
  </si>
  <si>
    <t>Vera Mujica 732</t>
  </si>
  <si>
    <t>https://www.google.com/maps/dir/Av.+Bordabehere+3811,+S2002+KNC,+Santa+Fe/Vera+Mujica+732,+Rosario,+Santa+Fe/Av.+Bordabehere+3811,+S2002+KNC,+Santa+Fe/@-32.9373638,-60.6758646,16z/data=!3m1!4b1!4m20!4m19!1m5!1m1!1s0x95b7ab55726d7baf:0xff0f95afeea1648d!2m2!1d-60.6737762!2d-32.9335525!1m5!1m1!1s0x95b7ab5a762da6d9:0xad83d7d8c86f6c94!2m2!1d-60.6670931!2d-32.9402187!1m5!1m1!1s0x95b7ab55726d7baf:0xff0f95afeea1648d!2m2!1d-60.6737762!2d-32.9335525!3e0</t>
  </si>
  <si>
    <t>Implant (CABA)</t>
  </si>
  <si>
    <t>San Martin 816 2ª Piso Of. 1 y 2</t>
  </si>
  <si>
    <t>https://www.google.com/maps/dir/Av.+Bordabehere+3811,+S2002+KNC,+Santa+Fe/Avenida+San+Mart%C3%ADn+816,+Rosario,+Santa+Fe/Av.+Bordabehere+3811,+S2002+KNC,+Santa+Fe/@-32.9414446,-60.6723817,14z/data=!3m1!4b1!4m20!4m19!1m5!1m1!1s0x95b7ab55726d7baf:0xff0f95afeea1648d!2m2!1d-60.6737762!2d-32.9335525!1m5!1m1!1s0x95b7ab1973efc609:0x5fad84773c321196!2m2!1d-60.6368475!2d-32.9469976!1m5!1m1!1s0x95b7ab55726d7baf:0xff0f95afeea1648d!2m2!1d-60.6737762!2d-32.9335525!3e0</t>
  </si>
  <si>
    <t>San Martin 816 Piso 2</t>
  </si>
  <si>
    <t>385 - San Genaro</t>
  </si>
  <si>
    <t>Av. A. Igobone 1201</t>
  </si>
  <si>
    <t>SAN GENARO</t>
  </si>
  <si>
    <t>https://www.google.com/maps/dir/Av.+Bordabehere+3811,+S2002+KNC,+Santa+Fe/Av.+Angel+S+Igobone+1201,+San+Genaro,+Santa+Fe/Av.+Bordabehere+3811,+S2002+KNC,+Santa+Fe/@-32.6522841,-61.2956901,10z/data=!3m1!4b1!4m20!4m19!1m5!1m1!1s0x95b7ab55726d7baf:0xff0f95afeea1648d!2m2!1d-60.6737762!2d-32.9335525!1m5!1m1!1s0x95ca00cfad6f7265:0xcc7e479a4469916e!2m2!1d-61.3595982!2d-32.36747!1m5!1m1!1s0x95b7ab55726d7baf:0xff0f95afeea1648d!2m2!1d-60.6737762!2d-32.9335525!3e0</t>
  </si>
  <si>
    <t>Av. Arijon 320</t>
  </si>
  <si>
    <t>https://www.google.com/maps/dir/Av.+Bordabehere+3811,+S2002+KNC,+Santa+Fe/Av.+Arij%C3%B3n+320,+Rosario,+Santa+Fe/Av.+Bordabehere+3811,+S2002+KNC,+Santa+Fe/@-32.9680176,-60.6804625,13z/data=!3m1!4b1!4m20!4m19!1m5!1m1!1s0x95b7ab55726d7baf:0xff0f95afeea1648d!2m2!1d-60.6737762!2d-32.9335525!1m5!1m1!1s0x95b7abd645eaa2af:0xf01f2755f3802556!2m2!1d-60.6364047!2d-33.0026016!1m5!1m1!1s0x95b7ab55726d7baf:0xff0f95afeea1648d!2m2!1d-60.6737762!2d-32.9335525!3e0</t>
  </si>
  <si>
    <t>Av. Juan Domingo Peron 2199</t>
  </si>
  <si>
    <t>VILLA GOBERNADOR GALVEZ</t>
  </si>
  <si>
    <t>https://www.google.com/maps/dir/Av.+Bordabehere+3811,+S2002+KNC,+Santa+Fe/Av.+Juan+Domingo+Per%C3%B3n+2199,+Villa+Gobernador+Galvez,+Santa+Fe/Av.+Bordabehere+3811,+S2002+KNC,+Santa+Fe/@-32.9797187,-60.7145524,12z/data=!3m1!4b1!4m20!4m19!1m5!1m1!1s0x95b7ab55726d7baf:0xff0f95afeea1648d!2m2!1d-60.6737762!2d-32.9335525!1m5!1m1!1s0x95b7a9a116a0199b:0x37e53b40b59e674a!2m2!1d-60.624522!2d-33.025402!1m5!1m1!1s0x95b7ab55726d7baf:0xff0f95afeea1648d!2m2!1d-60.6737762!2d-32.9335525!3e0</t>
  </si>
  <si>
    <t>Belgrano 31</t>
  </si>
  <si>
    <t>GRANADERO BAIGORRIA</t>
  </si>
  <si>
    <t>https://www.google.com/maps/dir/Av.+Bordabehere+3811,+S2002+KNC,+Santa+Fe/Belgrano+31,+Granadero+Baigorria,+Santa+Fe/Av.+Bordabehere+3811,+S2002+KNC,+Santa+Fe/@-32.8996905,-60.7219591,13z/data=!3m1!4b1!4m20!4m19!1m5!1m1!1s0x95b7ab55726d7baf:0xff0f95afeea1648d!2m2!1d-60.6737762!2d-32.9335525!1m5!1m1!1s0x95b653dc5c2120bb:0x5fd035939d630110!2m2!1d-60.7023016!2d-32.8639078!1m5!1m1!1s0x95b7ab55726d7baf:0xff0f95afeea1648d!2m2!1d-60.6737762!2d-32.9335525!3e0</t>
  </si>
  <si>
    <t>Bernardino Rivadavia 1457</t>
  </si>
  <si>
    <t>BIGAND</t>
  </si>
  <si>
    <t>https://www.google.com/maps/dir/Av.+Bordabehere+3811,+S2002+KNC,+Santa+Fe/Rivadavia+1457,+Bigand,+Santa+Fe/Av.+Bordabehere+3811,+S2002+KNC,+Santa+Fe/@-33.1555032,-61.2102029,10z/data=!3m1!4b1!4m20!4m19!1m5!1m1!1s0x95b7ab55726d7baf:0xff0f95afeea1648d!2m2!1d-60.6737762!2d-32.9335525!1m5!1m1!1s0x95b7dd75e73e8ff1:0xafb89f22d808a6bc!2m2!1d-61.1855865!2d-33.3752014!1m5!1m1!1s0x95b7ab55726d7baf:0xff0f95afeea1648d!2m2!1d-60.6737762!2d-32.9335525!3e0</t>
  </si>
  <si>
    <t>Brig. E. Lopez 1106</t>
  </si>
  <si>
    <t>SOLDINI</t>
  </si>
  <si>
    <t>https://www.google.com/maps/dir/Av.+Bordabehere+3811,+S2002+KNC,+Santa+Fe/Cajero+Automatico+Banco+Credicoop+Soldini,+Estanislao+Lopez,+AIX,+Santa+Fe/Av.+Bordabehere+3811,+S2002+KNC,+Santa+Fe/@-32.9794232,-60.7854252,12z/data=!3m1!4b1!4m20!4m19!1m5!1m1!1s0x95b7ab55726d7baf:0xff0f95afeea1648d!2m2!1d-60.6737762!2d-32.9335525!1m5!1m1!1s0x95b7adc9714b2447:0x1a1ad84b58a4293e!2m2!1d-60.756127!2d-33.0218016!1m5!1m1!1s0x95b7ab55726d7baf:0xff0f95afeea1648d!2m2!1d-60.6737762!2d-32.9335525!3e0</t>
  </si>
  <si>
    <t>Buenos Aires 2068</t>
  </si>
  <si>
    <t>https://www.google.com/maps/dir/Av.+Bordabehere+3811,+S2002+KNC,+Santa+Fe/Buenos+Aires+2068,+Casilda,+Santa+Fe/Av.+Bordabehere+3811,+S2002+KNC,+Santa+Fe/@-32.9645299,-61.0640473,11z/data=!3m1!4b1!4m20!4m19!1m5!1m1!1s0x95b7ab55726d7baf:0xff0f95afeea1648d!2m2!1d-60.6737762!2d-32.9335525!1m5!1m1!1s0x95b62d385a043601:0x5beca4158b48b0b0!2m2!1d-61.165781!2d-33.044015!1m5!1m1!1s0x95b7ab55726d7baf:0xff0f95afeea1648d!2m2!1d-60.6737762!2d-32.9335525!3e0</t>
  </si>
  <si>
    <t>Bv. 27 De Febrero 1501</t>
  </si>
  <si>
    <t>https://www.google.com/maps/dir/Av.+Bordabehere+3811,+S2002+KNC,+Santa+Fe/Boulevard+27+de+Febrero+1501,+Rosario,+Santa+Fe/Av.+Bordabehere+3811,+S2002+KNC,+Santa+Fe/@-32.9500471,-60.6809245,14z/data=!3m1!4b1!4m20!4m19!1m5!1m1!1s0x95b7ab55726d7baf:0xff0f95afeea1648d!2m2!1d-60.6737762!2d-32.9335525!1m5!1m1!1s0x95b7aba07bfe840f:0xf0fc59c94eb7ff7!2m2!1d-60.649216!2d-32.9667699!1m5!1m1!1s0x95b7ab55726d7baf:0xff0f95afeea1648d!2m2!1d-60.6737762!2d-32.9335525!3e0</t>
  </si>
  <si>
    <t>266 - El Trebol</t>
  </si>
  <si>
    <t>Bv. America 963</t>
  </si>
  <si>
    <t>EL TREBOL</t>
  </si>
  <si>
    <t>Bv. Gral Jose Rondeau 3422</t>
  </si>
  <si>
    <t>https://www.google.com/maps/dir/Av.+Bordabehere+3811,+S2002+KNC,+Santa+Fe/Boulevard+Rondeau+3422,+Rosario,+Santa+Fe/Av.+Bordabehere+3811,+S2002+KNC,+Santa+Fe/@-32.90837,-60.7185127,13z/data=!3m1!4b1!4m20!4m19!1m5!1m1!1s0x95b7ab55726d7baf:0xff0f95afeea1648d!2m2!1d-60.6737762!2d-32.9335525!1m5!1m1!1s0x95b65397a9ca5cd1:0xc0388d0a0e58fa71!2m2!1d-60.6952265!2d-32.8836913!1m5!1m1!1s0x95b7ab55726d7baf:0xff0f95afeea1648d!2m2!1d-60.6737762!2d-32.9335525!3e0</t>
  </si>
  <si>
    <t>Calle 20 Nro 920</t>
  </si>
  <si>
    <t>LAS PAREJAS</t>
  </si>
  <si>
    <t>370 - Bombal</t>
  </si>
  <si>
    <t>Circ. Islas Malvinas 368</t>
  </si>
  <si>
    <t>BOMBAL</t>
  </si>
  <si>
    <t>https://www.google.com/maps/dir/Av.+Bordabehere+3811,+S2002+KNC,+Santa+Fe/Islas+Malvinas,+Bombal,+Santa+Fe/Av.+Bordabehere+3811,+S2002+KNC,+Santa+Fe/@-33.1958715,-61.2767642,10z/data=!3m1!4b1!4m20!4m19!1m5!1m1!1s0x95b7ab55726d7baf:0xff0f95afeea1648d!2m2!1d-60.6737762!2d-32.9335525!1m5!1m1!1s0x95b7e02f1c6ce18f:0xb41c53019cd94c98!2m2!1d-61.3179402!2d-33.4583535!1m5!1m1!1s0x95b7ab55726d7baf:0xff0f95afeea1648d!2m2!1d-60.6737762!2d-32.9335525!3e0</t>
  </si>
  <si>
    <t>262 - Centeno</t>
  </si>
  <si>
    <t>Dr. Jose M. Lipnik 1395</t>
  </si>
  <si>
    <t>CENTENO</t>
  </si>
  <si>
    <t>https://www.google.com/maps/dir/Av.+Bordabehere+3811,+S2002+KNC,+Santa+Fe/Filial+Centeno,+Centeno+Santa+Fe+AR,+Dr.+Jos%C3%A9+M.+Lipnik+1395,+S2148+AEG/Av.+Bordabehere+3811,+S2002+KNC,+Santa+Fe/@-32.6171018,-61.3231235,10z/data=!3m1!4b1!4m20!4m19!1m5!1m1!1s0x95b7ab55726d7baf:0xff0f95afeea1648d!2m2!1d-60.6737762!2d-32.9335525!1m5!1m1!1s0x95ca073a79fa341f:0x8a1699b3831e2895!2m2!1d-61.411052!2d-32.297105!1m5!1m1!1s0x95b7ab55726d7baf:0xff0f95afeea1648d!2m2!1d-60.6737762!2d-32.9335525!3e0</t>
  </si>
  <si>
    <t>General E. Lopez 839</t>
  </si>
  <si>
    <t>MARIA SUSANA</t>
  </si>
  <si>
    <t>https://www.google.com/maps/dir/Av.+Bordabehere+3811,+S2002+KNC,+Santa+Fe/Banco+Credicoop+Coop+Ltdo,+General+E.+Lopez,+839,+S2527BNE+Mar%C3%ADa+Susana,+Santa+Fe/Av.+Bordabehere+3811,+S2002+KNC,+Santa+Fe/@-32.6029714,-61.8574806,9z/data=!3m1!4b1!4m20!4m19!1m5!1m1!1s0x95b7ab55726d7baf:0xff0f95afeea1648d!2m2!1d-60.6737762!2d-32.9335525!1m5!1m1!1s0x95ca37bf53dd6ca9:0xf3bc8448e0accb6c!2m2!1d-61.919!2d-32.2618!1m5!1m1!1s0x95b7ab55726d7baf:0xff0f95afeea1648d!2m2!1d-60.6737762!2d-32.9335525!3e0</t>
  </si>
  <si>
    <t>Hipolito Yrigoyen 298</t>
  </si>
  <si>
    <t>https://www.google.com/maps/dir/Av.+Bordabehere+3811,+S2002+KNC,+Santa+Fe/Banco+Credicoop,+Villa+Constituci%C3%B3n,+Constituci%C3%B3n,+Santa+Fe/Av.+Bordabehere+3811,+S2002+KNC,+Santa+Fe/@-33.1098919,-60.6637416,11z/data=!3m1!4b1!4m20!4m19!1m5!1m1!1s0x95b7ab55726d7baf:0xff0f95afeea1648d!2m2!1d-60.6737762!2d-32.9335525!1m5!1m1!1s0x95b76c4b533dbc93:0x3b219493d89501bb!2m2!1d-60.329!2d-33.2272!1m5!1m1!1s0x95b7ab55726d7baf:0xff0f95afeea1648d!2m2!1d-60.6737762!2d-32.9335525!3e0</t>
  </si>
  <si>
    <t>Italia 298</t>
  </si>
  <si>
    <t>LAS ROSAS</t>
  </si>
  <si>
    <t>https://www.google.com/maps/dir/Av.+Bordabehere+3811,+S2002+KNC,+Santa+Fe/Italia+298,+S2520BNF+Las+Rosas,+Santa+Fe/Av.+Bordabehere+3811,+S2002+KNC,+Santa+Fe/@-32.7128716,-61.4073727,10z/data=!3m1!4b1!4m20!4m19!1m5!1m1!1s0x95b7ab55726d7baf:0xff0f95afeea1648d!2m2!1d-60.6737762!2d-32.9335525!1m5!1m1!1s0x95ca1d9645401e67:0xddb43671597c0d02!2m2!1d-61.5764261!2d-32.4768319!1m5!1m1!1s0x95b7ab55726d7baf:0xff0f95afeea1648d!2m2!1d-60.6737762!2d-32.9335525!3e0</t>
  </si>
  <si>
    <t>Juan B. Alberdi 1121</t>
  </si>
  <si>
    <t>PUEBLO ESTHER</t>
  </si>
  <si>
    <t>https://www.google.com/maps/dir/Av.+Bordabehere+3811,+S2002+KNC,+Santa+Fe/Alberdi+1121,+Pueblo+Esther,+Santa+Fe/Av.+Bordabehere+3811,+S2002+KNC,+Santa+Fe/@-33.0025249,-60.7045381,12z/data=!3m1!4b1!4m20!4m19!1m5!1m1!1s0x95b7ab55726d7baf:0xff0f95afeea1648d!2m2!1d-60.6737762!2d-32.9335525!1m5!1m1!1s0x95b707ffd128dd2b:0x1c5366092955a8cc!2m2!1d-60.579692!2d-33.071545!1m5!1m1!1s0x95b7ab55726d7baf:0xff0f95afeea1648d!2m2!1d-60.6737762!2d-32.9335525!3e0</t>
  </si>
  <si>
    <t>368 - Los Cardos</t>
  </si>
  <si>
    <t>Lisandro De La Torre 301</t>
  </si>
  <si>
    <t>LOS CARDOS</t>
  </si>
  <si>
    <t>https://www.google.com/maps/dir/Av.+Bordabehere+3811,+S2002+KNC,+Santa+Fe/Lisandro+De+La+Torre+301,+Los+Cardos,+Santa+Fe/Av.+Bordabehere+3811,+S2002+KNC,+Santa+Fe/@-32.6362161,-61.4352801,10z/data=!3m1!4b1!4m20!4m19!1m5!1m1!1s0x95b7ab55726d7baf:0xff0f95afeea1648d!2m2!1d-60.6737762!2d-32.9335525!1m5!1m1!1s0x95ca176aa2471c43:0x348c1ccb797c188d!2m2!1d-61.630897!2d-32.323336!1m5!1m1!1s0x95b7ab55726d7baf:0xff0f95afeea1648d!2m2!1d-60.6737762!2d-32.9335525!3e0</t>
  </si>
  <si>
    <t>516 - Echesortu</t>
  </si>
  <si>
    <t>Mendoza 3430 - Bo. Echesortu</t>
  </si>
  <si>
    <t>https://www.google.com/maps/dir/Av.+Bordabehere+3811,+S2002+KNC,+Santa+Fe/Mendoza+3430,+Rosario,+Santa+Fe/Av.+Bordabehere+3811,+S2002+KNC,+Santa+Fe/@-32.9396708,-60.6822652,15z/data=!3m1!4b1!4m20!4m19!1m5!1m1!1s0x95b7ab55726d7baf:0xff0f95afeea1648d!2m2!1d-60.6737762!2d-32.9335525!1m5!1m1!1s0x95b7ab592574729f:0x17537bd9ab6d4f10!2m2!1d-60.671497!2d-32.945724!1m5!1m1!1s0x95b7ab55726d7baf:0xff0f95afeea1648d!2m2!1d-60.6737762!2d-32.9335525!3e0</t>
  </si>
  <si>
    <t>Mitre 304</t>
  </si>
  <si>
    <t>https://www.google.com/maps/dir/Av.+Bordabehere+3811,+S2002+KNC,+Santa+Fe/General+Mitre+304,+Arroyo+Seco,+Santa+Fe/Av.+Bordabehere+3811,+S2002+KNC,+Santa+Fe/@-33.0509505,-60.7566676,11z/data=!3m1!4b1!4m20!4m19!1m5!1m1!1s0x95b7ab55726d7baf:0xff0f95afeea1648d!2m2!1d-60.6737762!2d-32.9335525!1m5!1m1!1s0x95b70beaca2a6197:0x2a4091f4a0aeb84b!2m2!1d-60.5107646!2d-33.1564161!1m5!1m1!1s0x95b7ab55726d7baf:0xff0f95afeea1648d!2m2!1d-60.6737762!2d-32.9335525!3e0</t>
  </si>
  <si>
    <t>Ocampo 978</t>
  </si>
  <si>
    <t>https://www.google.com/maps/dir/Av.+Bordabehere+3811,+S2002+KNC,+Santa+Fe/Ocampo+978,+Ca%C3%B1ada+de+Gomez,+Santa+Fe/Av.+Bordabehere+3811,+S2002+KNC,+Santa+Fe/@-32.8838803,-61.3163113,10z/data=!3m1!4b1!4m20!4m19!1m5!1m1!1s0x95b7ab55726d7baf:0xff0f95afeea1648d!2m2!1d-60.6737762!2d-32.9335525!1m5!1m1!1s0x95c9de5df1b28a8f:0xf7b00a92f4864bca!2m2!1d-61.3962656!2d-32.8189526!1m5!1m1!1s0x95b7ab55726d7baf:0xff0f95afeea1648d!2m2!1d-60.6737762!2d-32.9335525!3e0</t>
  </si>
  <si>
    <t>Ovidio Lagos 132</t>
  </si>
  <si>
    <t>https://www.google.com/maps/dir/Av.+Bordabehere+3811,+S2002+KNC,+Santa+Fe/Avenida+Ovidio+Lagos+132,+Rosario,+Santa+Fe/Av.+Bordabehere+3811,+S2002+KNC,+Santa+Fe/@-32.9348834,-60.6702659,16z/data=!3m1!4b1!4m20!4m19!1m5!1m1!1s0x95b7ab55726d7baf:0xff0f95afeea1648d!2m2!1d-60.6737762!2d-32.9335525!1m5!1m1!1s0x95b7ab4eed4973d7:0x1fe434b87bfdc587!2m2!1d-60.6596522!2d-32.9344113!1m5!1m1!1s0x95b7ab55726d7baf:0xff0f95afeea1648d!2m2!1d-60.6737762!2d-32.9335525!3e0</t>
  </si>
  <si>
    <t>091 - Ovidio Lagos</t>
  </si>
  <si>
    <t>Ovidio Lagos 3605</t>
  </si>
  <si>
    <t>https://www.google.com/maps/dir/Av.+Bordabehere+3811,+S2002+KNC,+Santa+Fe/Avenida+Ovidio+Lagos+3605,+Rosario,+Santa+Fe/Av.+Bordabehere+3811,+S2002+KNC,+Santa+Fe/@-32.954734,-60.6910002,14z/data=!3m1!4b1!4m20!4m19!1m5!1m1!1s0x95b7ab55726d7baf:0xff0f95afeea1648d!2m2!1d-60.6737762!2d-32.9335525!1m5!1m1!1s0x95b7ab8161ea35ed:0xad5bd3b516bd37da!2m2!1d-60.669231!2d-32.975181!1m5!1m1!1s0x95b7ab55726d7baf:0xff0f95afeea1648d!2m2!1d-60.6737762!2d-32.9335525!3e0</t>
  </si>
  <si>
    <t>Pte. Julio A. Roca 946</t>
  </si>
  <si>
    <t>https://www.google.com/maps/dir/Av.+Bordabehere+3811,+S2002+KNC,+Santa+Fe/Presidente+Roca+946,+Rosario,+Santa+Fe/Av.+Bordabehere+3811,+S2002+KNC,+Santa+Fe/@-32.9405652,-60.6682359,15z/data=!3m1!4b1!4m20!4m19!1m5!1m1!1s0x95b7ab55726d7baf:0xff0f95afeea1648d!2m2!1d-60.6737762!2d-32.9335525!1m5!1m1!1s0x95b7ab16783b8a79:0x303b7a4542873b70!2m2!1d-60.645823!2d-32.9469769!1m5!1m1!1s0x95b7ab55726d7baf:0xff0f95afeea1648d!2m2!1d-60.6737762!2d-32.9335525!3e0</t>
  </si>
  <si>
    <t>Pueyrredon 954</t>
  </si>
  <si>
    <t>FIGHIERA</t>
  </si>
  <si>
    <t>https://www.google.com/maps/dir/Av.+Bordabehere+3811,+S2002+KNC,+Santa+Fe/Pueyrred%C3%B3n+954,+Fighiera,+Santa+Fe/Av.+Bordabehere+3811,+S2002+KNC,+Santa+Fe/@-33.0677075,-60.7360196,11z/data=!3m1!4b1!4m20!4m19!1m5!1m1!1s0x95b7ab55726d7baf:0xff0f95afeea1648d!2m2!1d-60.6737762!2d-32.9335525!1m5!1m1!1s0x95b70cb92017384d:0x596cdd1c03c9b2a!2m2!1d-60.469!2d-33.1933!1m5!1m1!1s0x95b7ab55726d7baf:0xff0f95afeea1648d!2m2!1d-60.6737762!2d-32.9335525!3e0</t>
  </si>
  <si>
    <t>San Martin 1846</t>
  </si>
  <si>
    <t>PEREZ</t>
  </si>
  <si>
    <t>https://www.google.com/maps/dir/Av.+Bordabehere+3811,+S2002+KNC,+Santa+Fe/Av.+Jos%C3%A9+de+San+Mart%C3%ADn+1846,+P%C3%A9rez,+Santa+Fe/Av.+Bordabehere+3811,+S2002+KNC,+Santa+Fe/@-32.9667233,-60.7587721,13z/data=!3m1!4b1!4m20!4m19!1m5!1m1!1s0x95b7ab55726d7baf:0xff0f95afeea1648d!2m2!1d-60.6737762!2d-32.9335525!1m5!1m1!1s0x95b7b27e764626e9:0xb2791ba25594ab39!2m2!1d-60.7737287!2d-32.9998181!1m5!1m1!1s0x95b7ab55726d7baf:0xff0f95afeea1648d!2m2!1d-60.6737762!2d-32.9335525!3e0</t>
  </si>
  <si>
    <t>San Martin 671</t>
  </si>
  <si>
    <t>GENERAL LAGOS</t>
  </si>
  <si>
    <t>https://www.google.com/maps/dir/Av.+Bordabehere+3811,+S2002+KNC,+Santa+Fe/Avenida+San+Mart%C3%ADn+671,+General+Lagos,+Santa+Fe/Av.+Bordabehere+3811,+S2002+KNC,+Santa+Fe/@-33.0264287,-60.7841821,11z/data=!3m1!4b1!4m20!4m19!1m5!1m1!1s0x95b7ab55726d7baf:0xff0f95afeea1648d!2m2!1d-60.6737762!2d-32.9335525!1m5!1m1!1s0x95b709ccb5cbc3d1:0x878c87a2df2f63b7!2m2!1d-60.5659285!2d-33.1097587!1m5!1m1!1s0x95b7ab55726d7baf:0xff0f95afeea1648d!2m2!1d-60.6737762!2d-32.9335525!3e0</t>
  </si>
  <si>
    <t>380 - Villa Mugueta</t>
  </si>
  <si>
    <t>San Martin 767</t>
  </si>
  <si>
    <t>VILLA MUGUETA</t>
  </si>
  <si>
    <t>https://www.google.com/maps/dir/Av.+Bordabehere+3811,+S2002+KNC,+Santa+Fe/San+Mart%C3%ADn+767,+Villa+Mugueta,+Santa+Fe/Av.+Bordabehere+3811,+S2002+KNC,+Santa+Fe/@-33.1220089,-61.1451642,10z/data=!3m1!4b1!4m20!4m19!1m5!1m1!1s0x95b7ab55726d7baf:0xff0f95afeea1648d!2m2!1d-60.6737762!2d-32.9335525!1m5!1m1!1s0x95b7c3d19cf3decb:0xcef22482ae5d441!2m2!1d-61.0561203!2d-33.3111845!1m5!1m1!1s0x95b7ab55726d7baf:0xff0f95afeea1648d!2m2!1d-60.6737762!2d-32.9335525!3e0</t>
  </si>
  <si>
    <t>Santa Fe 1056</t>
  </si>
  <si>
    <t>https://www.google.com/maps/dir/Av.+Bordabehere+3811,+S2002+KNC,+Santa+Fe/Santa+Fe+1056,+Rosario,+Santa+Fe/Av.+Bordabehere+3811,+S2002+KNC,+Santa+Fe/@-32.9404246,-60.6695246,14z/data=!3m1!4b1!4m20!4m19!1m5!1m1!1s0x95b7ab55726d7baf:0xff0f95afeea1648d!2m2!1d-60.6737762!2d-32.9335525!1m5!1m1!1s0x95b7ab18557ef893:0x107226956f483c91!2m2!1d-60.6372302!2d-32.9452079!1m5!1m1!1s0x95b7ab55726d7baf:0xff0f95afeea1648d!2m2!1d-60.6737762!2d-32.9335525!3e0</t>
  </si>
  <si>
    <t>331 - Piamonte</t>
  </si>
  <si>
    <t>Sarmiento 1264</t>
  </si>
  <si>
    <t>PIAMONTE</t>
  </si>
  <si>
    <t>https://www.google.com/maps/dir/Av.+Bordabehere+3811,+S2002+KNC,+Santa+Fe/Sarmiento+1264,+Piamonte,+Santa+Fe/Av.+Bordabehere+3811,+S2002+KNC,+Santa+Fe/@-32.5438319,-61.8886401,9z/data=!3m1!4b1!4m20!4m19!1m5!1m1!1s0x95b7ab55726d7baf:0xff0f95afeea1648d!2m2!1d-60.6737762!2d-32.9335525!1m5!1m1!1s0x95ca4e821d92cabb:0x2ab62d5c6d077bb9!2m2!1d-61.9802773!2d-32.1403623!1m5!1m1!1s0x95b7ab55726d7baf:0xff0f95afeea1648d!2m2!1d-60.6737762!2d-32.9335525!3e0</t>
  </si>
  <si>
    <t>Urquiza 699</t>
  </si>
  <si>
    <t>1° DE MAYO 2060</t>
  </si>
  <si>
    <t>https://www.google.com/maps/dir/Av.+Bordabehere+3811,+S2002+KNC,+Santa+Fe/1+de+Mayo+2060,+Casilda,+Santa+Fe/Av.+Bordabehere+3811,+S2002+KNC,+Santa+Fe/@-32.9641991,-61.0640473,11z/data=!3m1!4b1!4m20!4m19!1m5!1m1!1s0x95b7ab55726d7baf:0xff0f95afeea1648d!2m2!1d-60.6737762!2d-32.9335525!1m5!1m1!1s0x95b62d39b5b6567b:0x93003716a03cc119!2m2!1d-61.1667882!2d-33.0450222!1m5!1m1!1s0x95b7ab55726d7baf:0xff0f95afeea1648d!2m2!1d-60.6737762!2d-32.9335525!3e0</t>
  </si>
  <si>
    <t>ALBERDI 859</t>
  </si>
  <si>
    <t>https://www.google.com/maps/dir/Av.+Bordabehere+3811,+S2002+KNC,+Santa+Fe/Av.+Alberdi+859,+Rosario,+Santa+Fe/Av.+Bordabehere+3811,+S2002+KNC,+Santa+Fe/@-32.9259735,-60.6864888,15z/data=!3m1!4b1!4m20!4m19!1m5!1m1!1s0x95b7ab55726d7baf:0xff0f95afeea1648d!2m2!1d-60.6737762!2d-32.9335525!1m5!1m1!1s0x95b6535c8a0435df:0xa16dc5e24d66db66!2m2!1d-60.6838469!2d-32.9177913!1m5!1m1!1s0x95b7ab55726d7baf:0xff0f95afeea1648d!2m2!1d-60.6737762!2d-32.9335525!3e0</t>
  </si>
  <si>
    <t>AV. MADRES DE PLAZA 25 DE MAYO 3</t>
  </si>
  <si>
    <t>https://www.google.com/maps/dir/Av.+Bordabehere+3811,+S2002+KNC,+Santa+Fe/Madres+de+Plaza+25+de+Mayo+3020,+Rosario,+Santa+Fe/Av.+Bordabehere+3811,+S2002+KNC,+Santa+Fe/@-32.929997,-60.6700976,16z/data=!3m1!4b1!4m20!4m19!1m5!1m1!1s0x95b7ab55726d7baf:0xff0f95afeea1648d!2m2!1d-60.6737762!2d-32.9335525!1m5!1m1!1s0x95b654b2e22bd429:0xd67e3ea1eb2d19d4!2m2!1d-60.6604713!2d-32.9266635!1m5!1m1!1s0x95b7ab55726d7baf:0xff0f95afeea1648d!2m2!1d-60.6737762!2d-32.9335525!3e0</t>
  </si>
  <si>
    <t>AV. SAN MARTIN 1066</t>
  </si>
  <si>
    <t>https://www.google.com/maps/dir/Av.+Bordabehere+3811,+S2002+KNC,+Santa+Fe/Av.+San+Mart%C3%ADn+1066,+San+Lorenzo,+Santa+Fe/Av.+Bordabehere+3811,+S2002+KNC,+Santa+Fe/@-32.8412122,-60.856016,11z/data=!3m1!4b1!4m20!4m19!1m5!1m1!1s0x95b7ab55726d7baf:0xff0f95afeea1648d!2m2!1d-60.6737762!2d-32.9335525!1m5!1m1!1s0x95b65ae55b8dacfd:0xd6e66fef3e5c9b37!2m2!1d-60.7340916!2d-32.7508478!1m5!1m1!1s0x95b7ab55726d7baf:0xff0f95afeea1648d!2m2!1d-60.6737762!2d-32.9335525!3e0</t>
  </si>
  <si>
    <t>AV.SANTA FE 1594</t>
  </si>
  <si>
    <t>FUNES</t>
  </si>
  <si>
    <t>AVDA. EVA PERON 7672</t>
  </si>
  <si>
    <t>https://www.google.com/maps/dir/Av.+Bordabehere+3811,+S2002+KNC,+Santa+Fe/Avenida+Eva+Per%C3%B3n+7672,+Rosario,+Santa+Fe/Av.+Bordabehere+3811,+S2002+KNC,+Santa+Fe/@-32.9339795,-60.7181188,14z/data=!3m1!4b1!4m20!4m19!1m5!1m1!1s0x95b7ab55726d7baf:0xff0f95afeea1648d!2m2!1d-60.6737762!2d-32.9335525!1m5!1m1!1s0x95b652d950829fa9:0x4713e503350bf20c!2m2!1d-60.7267263!2d-32.9303475!1m5!1m1!1s0x95b7ab55726d7baf:0xff0f95afeea1648d!2m2!1d-60.6737762!2d-32.9335525!3e0</t>
  </si>
  <si>
    <t>AVDA. PELLEGRINI 1865</t>
  </si>
  <si>
    <t>https://www.google.com/maps/dir/Av.+Bordabehere+3811,+S2002+KNC,+Santa+Fe/Av.+Pellegrini+1865,+S2000BUF+Rosario,+Santa+Fe/Av.+Bordabehere+3811,+S2002+KNC,+Santa+Fe/@-32.9445895,-60.6810065,14z/data=!3m1!4b1!4m20!4m19!1m5!1m1!1s0x95b7ab55726d7baf:0xff0f95afeea1648d!2m2!1d-60.6737762!2d-32.9335525!1m5!1m1!1s0x95b7ab12b7a7fe73:0xcc11fcc9a95720fb!2m2!1d-60.6515574!2d-32.9555865!1m5!1m1!1s0x95b7ab55726d7baf:0xff0f95afeea1648d!2m2!1d-60.6737762!2d-32.9335525!3e0</t>
  </si>
  <si>
    <t>463 - VILLA CONSTITUCION</t>
  </si>
  <si>
    <t>BELGRANO 1198</t>
  </si>
  <si>
    <t>https://www.google.com/maps/dir/Av.+Bordabehere+3811,+S2002+KNC,+Santa+Fe/Belgrano+1198,+Villa+Constituci%C3%B3n,+Santa+Fe/Av.+Bordabehere+3811,+S2002+KNC,+Santa+Fe/@-33.1098919,-60.6649732,11z/data=!3m1!4b1!4m20!4m19!1m5!1m1!1s0x95b7ab55726d7baf:0xff0f95afeea1648d!2m2!1d-60.6737762!2d-32.9335525!1m5!1m1!1s0x95b76c416602a479:0xba64c30a9c21b39c!2m2!1d-60.3309122!2d-33.2285003!1m5!1m1!1s0x95b7ab55726d7baf:0xff0f95afeea1648d!2m2!1d-60.6737762!2d-32.9335525!3e0</t>
  </si>
  <si>
    <t>BLVD OROÑO 759</t>
  </si>
  <si>
    <t>https://www.google.com/maps/dir/Av.+Bordabehere+3811,+S2002+KNC,+Santa+Fe/Oro%C3%B1o+Boulevard+759,+Rosario,+Santa+Fe/Av.+Bordabehere+3811,+S2002+KNC,+Santa+Fe/@-32.938524,-60.6715397,15z/data=!3m1!4b1!4m20!4m19!1m5!1m1!1s0x95b7ab55726d7baf:0xff0f95afeea1648d!2m2!1d-60.6737762!2d-32.9335525!1m5!1m1!1s0x95b7ab40943617c7:0xa118241a845af467!2m2!1d-60.652892!2d-32.9430627!1m5!1m1!1s0x95b7ab55726d7baf:0xff0f95afeea1648d!2m2!1d-60.6737762!2d-32.9335525!3e0</t>
  </si>
  <si>
    <t>Boulevard Oroño 981</t>
  </si>
  <si>
    <t>https://www.google.com/maps/dir/Av.+Bordabehere+3811,+S2002+KNC,+Santa+Fe/Bv.+Oro%C3%B1o+981,+S2000+Rosario,+Santa+Fe/Av.+Bordabehere+3811,+S2002+KNC,+Santa+Fe/@-32.9398364,-60.6715397,15z/data=!3m1!4b1!4m20!4m19!1m5!1m1!1s0x95b7ab55726d7baf:0xff0f95afeea1648d!2m2!1d-60.6737762!2d-32.9335525!1m5!1m1!1s0x95b7ab404618b14f:0x95a6d7ff28587a7c!2m2!1d-60.6536194!2d-32.9460666!1m5!1m1!1s0x95b7ab55726d7baf:0xff0f95afeea1648d!2m2!1d-60.6737762!2d-32.9335525!3e0</t>
  </si>
  <si>
    <t>https://www.google.com/maps/dir/Av.+Bordabehere+3811,+S2002+KNC,+Santa+Fe/Bv.+Oro%C3%B1o+981,+S2000+Rosario,+Santa+Fe/Av.+Bordabehere+3811,+S2002+KNC,+Santa+Fe/@-32.938524,-60.6715397,15z/data=!4m20!4m19!1m5!1m1!1s0x95b7ab55726d7baf:0xff0f95afeea1648d!2m2!1d-60.6737762!2d-32.9335525!1m5!1m1!1s0x95b7ab404618b14f:0x95a6d7ff28587a7c!2m2!1d-60.6536194!2d-32.9460666!1m5!1m1!1s0x95b7ab55726d7baf:0xff0f95afeea1648d!2m2!1d-60.6737762!2d-32.9335525!3e0</t>
  </si>
  <si>
    <t>Banca Privada Rosario</t>
  </si>
  <si>
    <t>Bv Oroño 1053</t>
  </si>
  <si>
    <t>https://www.google.com/maps/dir/Av.+Bordabehere+3811,+S2002+KNC,+Santa+Fe/Bv.+Oro%C3%B1o+1053,+S2000+Rosario,+Santa+Fe/Av.+Bordabehere+3811,+S2002+KNC,+Santa+Fe/@-32.9411038,-60.6709724,15z/data=!3m1!4b1!4m20!4m19!1m5!1m1!1s0x95b7ab55726d7baf:0xff0f95afeea1648d!2m2!1d-60.6737762!2d-32.9335525!1m5!1m1!1s0x95b7ab4027dbdacd:0x43d33cbf9e6514b1!2m2!1d-60.6538557!2d-32.9469591!1m5!1m1!1s0x95b7ab55726d7baf:0xff0f95afeea1648d!2m2!1d-60.6737762!2d-32.9335525!3e0</t>
  </si>
  <si>
    <t>BV SAN MARTIN 1825</t>
  </si>
  <si>
    <t>https://www.google.com/maps/dir/Av.+Bordabehere+3811,+S2002+KNC,+Santa+Fe/Av.+Jos%C3%A9+de+San+Mart%C3%ADn+1825,+P%C3%A9rez,+Santa+Fe/Av.+Bordabehere+3811,+S2002+KNC,+Santa+Fe/@-32.9667455,-60.7586007,13z/data=!3m1!4b1!4m20!4m19!1m5!1m1!1s0x95b7ab55726d7baf:0xff0f95afeea1648d!2m2!1d-60.6737762!2d-32.9335525!1m5!1m1!1s0x95b7b27e764626e9:0xd159ede7ac243976!2m2!1d-60.7732711!2d-33.0000403!1m5!1m1!1s0x95b7ab55726d7baf:0xff0f95afeea1648d!2m2!1d-60.6737762!2d-32.9335525!3e0</t>
  </si>
  <si>
    <t>CORDOBA 1669/71</t>
  </si>
  <si>
    <t>https://www.google.com/maps/dir/Av.+Bordabehere+3811,+S2002+KNC,+Santa+Fe/C%C3%B3rdoba+1669,+S2000AWY+Rosario,+Santa+Fe/Av.+Bordabehere+3811,+S2002+KNC,+Santa+Fe/@-32.939272,-60.6682359,15z/data=!3m1!4b1!4m20!4m19!1m5!1m1!1s0x95b7ab55726d7baf:0xff0f95afeea1648d!2m2!1d-60.6737762!2d-32.9335525!1m5!1m1!1s0x95b7ab15ff191aef:0x40394624a4792ae7!2m2!1d-60.646187!2d-32.9452179!1m5!1m1!1s0x95b7ab55726d7baf:0xff0f95afeea1648d!2m2!1d-60.6737762!2d-32.9335525!3e0</t>
  </si>
  <si>
    <t>Eva Perón 7672</t>
  </si>
  <si>
    <t>https://www.google.com/maps/dir/Av.+Bordabehere+3811,+S2002+KNC,+Santa+Fe/Avenida+Eva+Per%C3%B3n+7672,+EET,+Santa+Fe/Av.+Bordabehere+3811,+S2002+KNC,+Santa+Fe/@-32.9339795,-60.7181188,14z/data=!3m1!4b1!4m20!4m19!1m5!1m1!1s0x95b7ab55726d7baf:0xff0f95afeea1648d!2m2!1d-60.6737762!2d-32.9335525!1m5!1m1!1s0x95b652d950829fa9:0x4713e503350bf20c!2m2!1d-60.7267263!2d-32.9303475!1m5!1m1!1s0x95b7ab55726d7baf:0xff0f95afeea1648d!2m2!1d-60.6737762!2d-32.9335525!3e0</t>
  </si>
  <si>
    <t>EZPELETA 76</t>
  </si>
  <si>
    <t>https://www.google.com/maps/dir/Av.+Bordabehere+3811,+S2002+KNC,+Santa+Fe/Ezpeleta+76,+Victoria,+Entre+R%C3%ADos/Av.+Bordabehere+3811,+S2002+KNC,+Santa+Fe/@-32.7718706,-60.5803708,11z/data=!3m1!4b1!4m20!4m19!1m5!1m1!1s0x95b7ab55726d7baf:0xff0f95afeea1648d!2m2!1d-60.6737762!2d-32.9335525!1m5!1m1!1s0x95b6c3267e4cd7d5:0x8c5cd88577aa1f1e!2m2!1d-60.1591768!2d-32.6212333!1m5!1m1!1s0x95b7ab55726d7baf:0xff0f95afeea1648d!2m2!1d-60.6737762!2d-32.9335525!3e0</t>
  </si>
  <si>
    <t>411 - EL TREBOL</t>
  </si>
  <si>
    <t>ITALIA 893</t>
  </si>
  <si>
    <t>https://www.google.com/maps/dir/Av.+Bordabehere+3811,+S2002+KNC,+Santa+Fe/Italia+893,+El+Trebol,+Santa+Fe/Av.+Bordabehere+3811,+S2002+KNC,+Santa+Fe/@-32.5741517,-61.7498581,9z/data=!3m1!4b1!4m20!4m19!1m5!1m1!1s0x95b7ab55726d7baf:0xff0f95afeea1648d!2m2!1d-60.6737762!2d-32.9335525!1m5!1m1!1s0x95ca3ffd76384aef:0xb5a4bd4e1c0eefd4!2m2!1d-61.7013384!2d-32.20117!1m5!1m1!1s0x95b7ab55726d7baf:0xff0f95afeea1648d!2m2!1d-60.6737762!2d-32.9335525!3e0</t>
  </si>
  <si>
    <t>MENDOZA 3940</t>
  </si>
  <si>
    <t>https://www.google.com/maps/dir/Av.+Bordabehere+3811,+S2002+KNC,+Santa+Fe/Mendoza+3940,+Rosario,+Santa+Fe/Av.+Bordabehere+3811,+S2002+KNC,+Santa+Fe/@-32.9397097,-60.6851703,15z/data=!3m1!4b1!4m20!4m19!1m5!1m1!1s0x95b7ab55726d7baf:0xff0f95afeea1648d!2m2!1d-60.6737762!2d-32.9335525!1m5!1m1!1s0x95b7aca648414e33:0xea5f8d33dc324f2c!2m2!1d-60.678484!2d-32.944463!1m5!1m1!1s0x95b7ab55726d7baf:0xff0f95afeea1648d!2m2!1d-60.6737762!2d-32.9335525!3e0</t>
  </si>
  <si>
    <t>MITRE 277</t>
  </si>
  <si>
    <t>https://www.google.com/maps/dir/Av.+Bordabehere+3811,+S2002+KNC,+Santa+Fe/General+Mitre+277,+Arroyo+Seco,+Santa+Fe/Av.+Bordabehere+3811,+S2002+KNC,+Santa+Fe/@-33.0509505,-60.7566676,11z/data=!3m1!4b1!4m20!4m19!1m5!1m1!1s0x95b7ab55726d7baf:0xff0f95afeea1648d!2m2!1d-60.6737762!2d-32.9335525!1m5!1m1!1s0x95b70beab4302aed:0x43d2234204925b35!2m2!1d-60.511343!2d-33.156605!1m5!1m1!1s0x95b7ab55726d7baf:0xff0f95afeea1648d!2m2!1d-60.6737762!2d-32.9335525!3e0</t>
  </si>
  <si>
    <t>OCAMPO 954</t>
  </si>
  <si>
    <t>https://www.google.com/maps/dir/Av.+Bordabehere+3811,+S2002+KNC,+Santa+Fe/Ocampo+954,+Ca%C3%B1ada+de+Gomez,+Santa+Fe/Av.+Bordabehere+3811,+S2002+KNC,+Santa+Fe/@-32.8838803,-61.3163113,10z/data=!3m1!4b1!4m20!4m19!1m5!1m1!1s0x95b7ab55726d7baf:0xff0f95afeea1648d!2m2!1d-60.6737762!2d-32.9335525!1m5!1m1!1s0x95c9de5df0240ba5:0x7705cd979e37bf6!2m2!1d-61.396158!2d-32.8189829!1m5!1m1!1s0x95b7ab55726d7baf:0xff0f95afeea1648d!2m2!1d-60.6737762!2d-32.9335525!3e0</t>
  </si>
  <si>
    <t>INST UNIV DEL GRAN ROSARIO</t>
  </si>
  <si>
    <t>OVIDIO LAGOS 944</t>
  </si>
  <si>
    <t>https://www.google.com/maps/dir/Av.+Bordabehere+3811,+S2002+KNC,+Santa+Fe/Avenida+Ovidio+Lagos+944,+Rosario,+Santa+Fe/Av.+Bordabehere+3811,+S2002+KNC,+Santa+Fe/@-32.9396736,-60.6756935,15z/data=!3m1!4b1!4m20!4m19!1m5!1m1!1s0x95b7ab55726d7baf:0xff0f95afeea1648d!2m2!1d-60.6737762!2d-32.9335525!1m5!1m1!1s0x95b7ab44a757625d:0x89616d1be8d3acd8!2m2!1d-60.6623064!2d-32.9440356!1m5!1m1!1s0x95b7ab55726d7baf:0xff0f95afeea1648d!2m2!1d-60.6737762!2d-32.9335525!3e0</t>
  </si>
  <si>
    <t>SALTA 2440</t>
  </si>
  <si>
    <t>https://www.google.com/maps/dir/Av.+Bordabehere+3811,+S2002+KNC,+Santa+Fe/Salta+2440,+Rosario,+Santa+Fe/Av.+Bordabehere+3811,+S2002+KNC,+Santa+Fe/@-32.9353713,-60.6727626,15z/data=!3m1!4b1!4m20!4m19!1m5!1m1!1s0x95b7ab55726d7baf:0xff0f95afeea1648d!2m2!1d-60.6737762!2d-32.9335525!1m5!1m1!1s0x95b7ab488ae321af:0x83f75d670cff24ec!2m2!1d-60.6548431!2d-32.935911!1m5!1m1!1s0x95b7ab55726d7baf:0xff0f95afeea1648d!2m2!1d-60.6737762!2d-32.9335525!3e0</t>
  </si>
  <si>
    <t>SAN MARTIN 144</t>
  </si>
  <si>
    <t>SAN MARTIN 173</t>
  </si>
  <si>
    <t>https://www.google.com/maps/dir/Av.+Bordabehere+3811,+S2002+KNC,+Santa+Fe/San+Mart%C3%ADn+173,+S2520CYC+Las+Rosas,+Santa+Fe/Av.+Bordabehere+3811,+S2002+KNC,+Santa+Fe/@-32.7119923,-61.4045031,10z/data=!3m1!4b1!4m20!4m19!1m5!1m1!1s0x95b7ab55726d7baf:0xff0f95afeea1648d!2m2!1d-60.6737762!2d-32.9335525!1m5!1m1!1s0x95ca1d97b8396641:0xd63d5b9d2919666e!2m2!1d-61.5746683!2d-32.4761776!1m5!1m1!1s0x95b7ab55726d7baf:0xff0f95afeea1648d!2m2!1d-60.6737762!2d-32.9335525!3e0</t>
  </si>
  <si>
    <t>SANTA FE 1260</t>
  </si>
  <si>
    <t>https://www.google.com/maps/dir/Av.+Bordabehere+3811,+S2002+KNC,+Santa+Fe/Santa+Fe+1260,+Rosario,+Santa+Fe/Av.+Bordabehere+3811,+S2002+KNC,+Santa+Fe/@-32.9392323,-60.6643656,15z/data=!3m1!4b1!4m20!4m19!1m5!1m1!1s0x95b7ab55726d7baf:0xff0f95afeea1648d!2m2!1d-60.6737762!2d-32.9335525!1m5!1m1!1s0x95b7ab1818b3f9ff:0x1f9cc3c7edfc761!2m2!1d-60.640048!2d-32.944533!1m5!1m1!1s0x95b7ab55726d7baf:0xff0f95afeea1648d!2m2!1d-60.6737762!2d-32.9335525!3e0</t>
  </si>
  <si>
    <t>Urquiza 1441</t>
  </si>
  <si>
    <t>https://www.google.com/maps/dir/Av.+Bordabehere+3811,+S2002+KNC,+Santa+Fe/Urquiza+1441,+Rosario,+Santa+Fe/Av.+Bordabehere+3811,+S2002+KNC,+Santa+Fe/@-32.9383571,-60.6665872,15z/data=!3m1!4b1!4m20!4m19!1m5!1m1!1s0x95b7ab55726d7baf:0xff0f95afeea1648d!2m2!1d-60.6737762!2d-32.9335525!1m5!1m1!1s0x95b7ab3d100c0fa1:0x8fb392bec096c60d!2m2!1d-60.642144!2d-32.9421869!1m5!1m1!1s0x95b7ab55726d7baf:0xff0f95afeea1648d!2m2!1d-60.6737762!2d-32.9335525!3e0</t>
  </si>
  <si>
    <t>Sarmiento 3039</t>
  </si>
  <si>
    <t>https://www.google.com/maps/dir/Av.+Bordabehere+3811,+S2002+KNC,+Santa+Fe/SBI,+Sarmiento+3039,+Rosario,+Santa+Fe/Av.+Bordabehere+3811,+S2002+KNC,+Santa+Fe/@-32.9533272,-60.6787262,14z/data=!3m1!4b1!4m20!4m19!1m5!1m1!1s0x95b7ab55726d7baf:0xff0f95afeea1648d!2m2!1d-60.6737762!2d-32.9335525!1m5!1m1!1s0x95b7aba4612769e3:0x2ead60689ded7aa1!2m2!1d-60.6446623!2d-32.9727161!1m5!1m1!1s0x95b7ab55726d7baf:0xff0f95afeea1648d!2m2!1d-60.6737762!2d-32.9335525!3e0</t>
  </si>
  <si>
    <t>Paraguay 755 PB</t>
  </si>
  <si>
    <t>https://www.google.com/maps/dir/Av.+Bordabehere+3811,+S2002+KNC,+Santa+Fe/Paraguay+755,+Rosario,+Santa+Fe/Av.+Bordabehere+3811,+S2002+KNC,+Santa+Fe/@-32.9399596,-60.666827,15z/data=!3m1!4b1!4m20!4m19!1m5!1m1!1s0x95b7ab55726d7baf:0xff0f95afeea1648d!2m2!1d-60.6737762!2d-32.9335525!1m5!1m1!1s0x95b7ab162e923a8d:0xb955249ab9ce7242!2m2!1d-60.6434702!2d-32.9448082!1m5!1m1!1s0x95b7ab55726d7baf:0xff0f95afeea1648d!2m2!1d-60.6737762!2d-32.9335525!3e0</t>
  </si>
  <si>
    <t>Av Las Palmeras 1452</t>
  </si>
  <si>
    <t>https://www.google.com/maps/dir/Av.+Bordabehere+3811,+S2002+KNC,+Santa+Fe/Av.+de+Las+Palmeras+1452,+S2121+P%C3%A9rez,+Santa+Fe/Av.+Bordabehere+3811,+S2002+KNC,+Santa+Fe/@-32.9606446,-60.7404247,13z/data=!3m1!4b1!4m20!4m19!1m5!1m1!1s0x95b7ab55726d7baf:0xff0f95afeea1648d!2m2!1d-60.6737762!2d-32.9335525!1m5!1m1!1s0x95b7ad09c6d40615:0x22b8ea62e31309e!2m2!1d-60.7370306!2d-32.9878385!1m5!1m1!1s0x95b7ab55726d7baf:0xff0f95afeea1648d!2m2!1d-60.6737762!2d-32.9335525!3e0</t>
  </si>
  <si>
    <t>Vucetich y Combate Punta Quebracho</t>
  </si>
  <si>
    <t>PUERTO DE SAN LORENZO</t>
  </si>
  <si>
    <t>https://www.google.com/maps/dir/Av.+Bordabehere+3811,+S2002+KNC,+Santa+Fe/Vucetich+%26+Combate+Punta+Quebracho,+Santa+Fe/Av.+Bordabehere+3811,+S2002+KNC,+Santa+Fe/@-32.8014633,-60.8590941,11z/data=!3m1!4b1!4m20!4m19!1m5!1m1!1s0x95b7ab55726d7baf:0xff0f95afeea1648d!2m2!1d-60.6737762!2d-32.9335525!1m5!1m1!1s0x95b65cd8dfaa2575:0xb16763d329494c7e!2m2!1d-60.7517199!2d-32.6653619!1m5!1m1!1s0x95b7ab55726d7baf:0xff0f95afeea1648d!2m2!1d-60.6737762!2d-32.9335525!3e0</t>
  </si>
  <si>
    <t>CORDOBA 721</t>
  </si>
  <si>
    <t>https://www.google.com/maps/dir/Av.+Bordabehere+3811,+S2002+KNC,+Santa+Fe/C%C3%B3rdoba+721,+Rosario,+Santa+Fe/Av.+Bordabehere+3811,+S2002+KNC,+Santa+Fe/@-32.9404476,-60.6709059,14z/data=!3m1!4b1!4m20!4m19!1m5!1m1!1s0x95b7ab55726d7baf:0xff0f95afeea1648d!2m2!1d-60.6737762!2d-32.9335525!1m5!1m1!1s0x95b7ab1c177479b9:0x93b9c459ec4e9fde!2m2!1d-60.633067!2d-32.9475709!1m5!1m1!1s0x95b7ab55726d7baf:0xff0f95afeea1648d!2m2!1d-60.6737762!2d-32.9335525!3e0</t>
  </si>
  <si>
    <t>MENDOZA 2430</t>
  </si>
  <si>
    <t>https://www.google.com/maps/dir/Av.+Bordabehere+3811,+S2002+KNC,+Santa+Fe/Mendoza+2430,+Rosario,+Santa+Fe/Av.+Bordabehere+3811,+S2002+KNC,+Santa+Fe/@-32.9409671,-60.6727262,15z/data=!3m1!4b1!4m20!4m19!1m5!1m1!1s0x95b7ab55726d7baf:0xff0f95afeea1648d!2m2!1d-60.6737762!2d-32.9335525!1m5!1m1!1s0x95b7ab69fe53593f:0xd358213ef5dd1e82!2m2!1d-60.657728!2d-32.9481857!1m5!1m1!1s0x95b7ab55726d7baf:0xff0f95afeea1648d!2m2!1d-60.6737762!2d-32.9335525!3e0</t>
  </si>
  <si>
    <t>Humberto Primo 1255</t>
  </si>
  <si>
    <t>https://www.google.com/maps/dir/Av.+Bordabehere+3811,+S2002+KNC,+Santa+Fe/Humberto+Primo+1255,+Rosario,+Santa+Fe/Av.+Bordabehere+3811,+S2002+KNC,+Santa+Fe/@-32.9321239,-60.6838086,16z/data=!3m1!4b1!4m20!4m19!1m5!1m1!1s0x95b7ab55726d7baf:0xff0f95afeea1648d!2m2!1d-60.6737762!2d-32.9335525!1m5!1m1!1s0x95b653538d0e9f69:0xf1eca3c5676b6c45!2m2!1d-60.681385!2d-32.9298069!1m5!1m1!1s0x95b7ab55726d7baf:0xff0f95afeea1648d!2m2!1d-60.6737762!2d-32.9335525!3e0</t>
  </si>
  <si>
    <t>Junin 501 - Shopping Alto Rosario</t>
  </si>
  <si>
    <t>https://www.google.com/maps/dir/Av.+Bordabehere+3811,+S2002+KNC,+Santa+Fe/Alto+Rosario+Shopping,+Jun%C3%ADn+501,+Rosario,+Santa+Fe/Av.+Bordabehere+3811,+S2002+KNC,+Santa+Fe/@-32.930699,-60.6723267,16z/data=!3m1!4b1!4m20!4m19!1m5!1m1!1s0x95b7ab55726d7baf:0xff0f95afeea1648d!2m2!1d-60.6737762!2d-32.9335525!1m5!1m1!1s0x95b654abc3ab1d5f:0x2f90ce97db2c5a6!2m2!1d-60.6677465!2d-32.9268445!1m5!1m1!1s0x95b7ab55726d7baf:0xff0f95afeea1648d!2m2!1d-60.6737762!2d-32.9335525!3e0</t>
  </si>
  <si>
    <t>Mendoza 8081</t>
  </si>
  <si>
    <t>https://www.google.com/maps/dir/Av.+Bordabehere+3811,+S2002+KNC,+Santa+Fe/Mendoza+8081,+Rosario,+Santa+Fe/Av.+Bordabehere+3811,+S2002+KNC,+Santa+Fe/@-32.9381399,-60.7237357,14z/data=!3m1!4b1!4m20!4m19!1m5!1m1!1s0x95b7ab55726d7baf:0xff0f95afeea1648d!2m2!1d-60.6737762!2d-32.9335525!1m5!1m1!1s0x95b652ce5f2c2ed9:0x1ccc360687fb4673!2m2!1d-60.7358117!2d-32.9407271!1m5!1m1!1s0x95b7ab55726d7baf:0xff0f95afeea1648d!2m2!1d-60.6737762!2d-32.9335525!3e0</t>
  </si>
  <si>
    <t>San Luis 1324</t>
  </si>
  <si>
    <t>https://www.google.com/maps/dir/Av.+Bordabehere+3811,+S2002+KNC,+Santa+Fe/San+Luis+1324,+Rosario,+Santa+Fe/Av.+Bordabehere+3811,+S2002+KNC,+Santa+Fe/@-32.9410669,-60.6654615,15z/data=!3m1!4b1!4m20!4m19!1m5!1m1!1s0x95b7ab55726d7baf:0xff0f95afeea1648d!2m2!1d-60.6737762!2d-32.9335525!1m5!1m1!1s0x95b7ab173910da13:0xef5dfba592128da6!2m2!1d-60.6419591!2d-32.9483192!1m5!1m1!1s0x95b7ab55726d7baf:0xff0f95afeea1648d!2m2!1d-60.6737762!2d-32.9335525!3e0</t>
  </si>
  <si>
    <t>Av. Las Palmeras 1452 Parque Industrial Metropolitano - LogÃ­stica Calico</t>
  </si>
  <si>
    <t>https://www.google.com/maps/dir/Av.+Bordabehere+3811,+S2002+KNC,+Santa+Fe/Parque+Industrial+Metropolitano+S.A.,+Camino+Limite+de+Municipio,+Rosario,+Santa+Fe/Av.+Bordabehere+3811,+S2002+KNC,+Santa+Fe/@-32.9603487,-60.7399577,13z/data=!3m1!4b1!4m20!4m19!1m5!1m1!1s0x95b7ab55726d7baf:0xff0f95afeea1648d!2m2!1d-60.6737762!2d-32.9335525!1m5!1m1!1s0x95b7ad0847d14f8d:0x5b93ed226d3ade1c!2m2!1d-60.7352097!2d-32.9870548!1m5!1m1!1s0x95b7ab55726d7baf:0xff0f95afeea1648d!2m2!1d-60.6737762!2d-32.9335525!3e0</t>
  </si>
  <si>
    <t>FME Santa Fe</t>
  </si>
  <si>
    <t>Mariano Comas 2449</t>
  </si>
  <si>
    <t>https://www.google.com/maps/dir/Urquiza+4703,+EKZ,+Santa+Fe/Mariano+Comas+2449,+S3002+Santa+Fe/Urquiza+4703,+S3002+EKZ,+Santa+Fe/@-31.6280458,-60.7131434,15z/data=!3m1!4b1!4m20!4m19!1m5!1m1!1s0x95b5a9db0305adfb:0x1c8db6c9774b3259!2m2!1d-60.7066956!2d-31.6229525!1m5!1m1!1s0x95b5a9c087e4b251:0x2704b40c63a23f50!2m2!1d-60.7011715!2d-31.6334377!1m5!1m1!1s0x95b5a9db0305adfb:0x1c8db6c9774b3259!2m2!1d-60.7066956!2d-31.6229525!3e0</t>
  </si>
  <si>
    <t>OCAMPO 3110</t>
  </si>
  <si>
    <t>https://www.google.com/maps/dir/Av.+Bordabehere+3811,+S2002+KNC,+Santa+Fe/Ocampo+3110,+S2000+Rosario,+Santa+Fe/Av.+Bordabehere+3811,+S2002+KNC,+Santa+Fe/@-32.9475135,-60.6882876,14z/data=!3m1!4b1!4m20!4m19!1m5!1m1!1s0x95b7ab55726d7baf:0xff0f95afeea1648d!2m2!1d-60.6737762!2d-32.9335525!1m5!1m1!1s0x95b7ab6333fb6191:0x9b1820425e0a29b2!2m2!1d-60.6708474!2d-32.9613924!1m5!1m1!1s0x95b7ab55726d7baf:0xff0f95afeea1648d!2m2!1d-60.6737762!2d-32.9335525!3e0</t>
  </si>
  <si>
    <t>Sarmiento 3150</t>
  </si>
  <si>
    <t>https://www.google.com/maps/dir/Av.+Bordabehere+3811,+S2002+KNC,+Santa+Fe/Sarmiento+3150,+Rosario,+Santa+Fe/Av.+Bordabehere+3811,+S2002+KNC,+Santa+Fe/@-32.9544872,-60.6787262,14z/data=!3m1!4b1!4m20!4m19!1m5!1m1!1s0x95b7ab55726d7baf:0xff0f95afeea1648d!2m2!1d-60.6737762!2d-32.9335525!1m5!1m1!1s0x95b7aba49ac1793b:0xfe416090123e7847!2m2!1d-60.6453387!2d-32.9738391!1m5!1m1!1s0x95b7ab55726d7baf:0xff0f95afeea1648d!2m2!1d-60.6737762!2d-32.9335525!3e0</t>
  </si>
  <si>
    <t>Av. San Martin 1017</t>
  </si>
  <si>
    <t>https://www.google.com/maps/dir/Av.+Bordabehere+3811,+S2002+KNC,+Santa+Fe/Av.+San+Mart%C3%ADn+1017,+San+Lorenzo,+Santa+Fe/Av.+Bordabehere+3811,+S2002+KNC,+Santa+Fe/@-32.8423961,-60.855472,11z/data=!3m1!4b1!4m20!4m19!1m5!1m1!1s0x95b7ab55726d7baf:0xff0f95afeea1648d!2m2!1d-60.6737762!2d-32.9335525!1m5!1m1!1s0x95b65ae55fdee1b5:0xb480a11b418bfd9c!2m2!1d-60.7345314!2d-32.7512683!1m5!1m1!1s0x95b7ab55726d7baf:0xff0f95afeea1648d!2m2!1d-60.6737762!2d-32.9335525!3e0</t>
  </si>
  <si>
    <t>Bv. Nicasio Orono 873</t>
  </si>
  <si>
    <t>https://www.google.com/maps/dir/Av.+Bordabehere+3811,+S2002+KNC,+Santa+Fe/Boulevard+Oro%C3%B1o+873,+Rosario,+Santa+Fe/Av.+Bordabehere+3811,+S2002+KNC,+Santa+Fe/@-32.9392293,-60.6709391,15z/data=!3m1!4b1!4m20!4m19!1m5!1m1!1s0x95b7ab55726d7baf:0xff0f95afeea1648d!2m2!1d-60.6737762!2d-32.9335525!1m5!1m1!1s0x95b7ab405e94d6eb:0xa5194ae4f50f6aac!2m2!1d-60.6533231!2d-32.9445716!1m5!1m1!1s0x95b7ab55726d7baf:0xff0f95afeea1648d!2m2!1d-60.6737762!2d-32.9335525!3e0</t>
  </si>
  <si>
    <t>Salta 1556</t>
  </si>
  <si>
    <t>https://www.google.com/maps/dir/Av.+Bordabehere+3811,+S2002+KNC,+Santa+Fe/Salta+1556,+Rosario,+Santa+Fe/Av.+Bordabehere+3811,+S2002+KNC,+Santa+Fe/@-32.9364825,-60.666622,15z/data=!3m1!4b1!4m20!4m19!1m5!1m1!1s0x95b7ab55726d7baf:0xff0f95afeea1648d!2m2!1d-60.6737762!2d-32.9335525!1m5!1m1!1s0x95b7ab3b773acb41:0x304422f92318b489!2m2!1d-60.6427143!2d-32.9382852!1m5!1m1!1s0x95b7ab55726d7baf:0xff0f95afeea1648d!2m2!1d-60.6737762!2d-32.9335525!3e0</t>
  </si>
  <si>
    <t>Av. Pte. Perón 8190</t>
  </si>
  <si>
    <t>https://www.google.com/maps/dir/Av.+Bordabehere+3811,+S2002+KNC,+Santa+Fe/Av.+Pres.+Per%C3%B3n+8190,+Rosario,+Santa+Fe/Av.+Bordabehere+3811,+S2002+KNC,+Santa+Fe/@-32.9569321,-60.7399577,13z/data=!3m1!4b1!4m20!4m19!1m5!1m1!1s0x95b7ab55726d7baf:0xff0f95afeea1648d!2m2!1d-60.6737762!2d-32.9335525!1m5!1m1!1s0x95b7ad0fe53bdf05:0x3549e244845ad9cb!2m2!1d-60.733844!2d-32.978381!1m5!1m1!1s0x95b7ab55726d7baf:0xff0f95afeea1648d!2m2!1d-60.6737762!2d-32.9335525!3e0</t>
  </si>
  <si>
    <t>Orsetti 481</t>
  </si>
  <si>
    <t>https://www.google.com/maps/dir/Av.+Bordabehere+3811,+S2002+KNC,+Santa+Fe/J.+C.+Orsetti+481,+Granadero+Baigorria,+Santa+Fe/Av.+Bordabehere+3811,+S2002+KNC,+Santa+Fe/@-32.8996905,-60.7250655,13z/data=!3m1!4b1!4m20!4m19!1m5!1m1!1s0x95b7ab55726d7baf:0xff0f95afeea1648d!2m2!1d-60.6737762!2d-32.9335525!1m5!1m1!1s0x95b653da6f8fe353:0x42a46e0db1420689!2m2!1d-60.7095204!2d-32.8652571!1m5!1m1!1s0x95b7ab55726d7baf:0xff0f95afeea1648d!2m2!1d-60.6737762!2d-32.9335525!3e0</t>
  </si>
  <si>
    <t>Villa Gobernador Galvez 2</t>
  </si>
  <si>
    <t>San Martín 3532</t>
  </si>
  <si>
    <t>https://www.google.com/maps/dir/Av.+Bordabehere+3811,+S2002+KNC,+Santa+Fe/Av.+San+Mart%C3%ADn+3532,+S2000+Rosario,+Santa+Fe/Av.+Bordabehere+3811,+S2002+KNC,+Santa+Fe/@-32.9563229,-60.6959532,13z/data=!3m1!4b1!4m20!4m19!1m5!1m1!1s0x95b7ab55726d7baf:0xff0f95afeea1648d!2m2!1d-60.6737762!2d-32.9335525!1m5!1m1!1s0x95b7abbbbccd7893:0x52cdb7e02e524872!2m2!1d-60.644471!2d-32.9786242!1m5!1m1!1s0x95b7ab55726d7baf:0xff0f95afeea1648d!2m2!1d-60.6737762!2d-32.9335525!3e0</t>
  </si>
  <si>
    <t>Av. Independencia 358</t>
  </si>
  <si>
    <t>Ruta Prov. 13 - Km. 38 - ENTRADA AL OESTE</t>
  </si>
  <si>
    <t>https://www.google.com/maps/dir/Av.+Bordabehere+3811,+S2002+KNC,+Santa+Fe/Las+Taperitas+Sa,+Ruta+Provincial+13,+El+Trebol,+Santa+Fe/Av.+Bordabehere+3811,+S2002+KNC,+Santa+Fe/@-32.5003669,-61.7945618,9z/data=!3m1!4b1!4m20!4m19!1m5!1m1!1s0x95b7ab55726d7baf:0xff0f95afeea1648d!2m2!1d-60.6737762!2d-32.9335525!1m5!1m1!1s0x95ca44aa08964293:0x6da939c90a83c306!2m2!1d-61.7943878!2d-32.0534306!1m5!1m1!1s0x95b7ab55726d7baf:0xff0f95afeea1648d!2m2!1d-60.6737762!2d-32.9335525!3e0</t>
  </si>
  <si>
    <t>Cordoba 1130</t>
  </si>
  <si>
    <t>https://www.google.com/maps/dir/Av.+Bordabehere+3811,+S2002+KNC,+Santa+Fe/C%C3%B3rdoba+1130,+Rosario,+Santa+Fe/Av.+Bordabehere+3811,+S2002+KNC,+Santa+Fe/@-32.9404971,-60.6643656,15z/data=!3m1!4b1!4m20!4m19!1m5!1m1!1s0x95b7ab55726d7baf:0xff0f95afeea1648d!2m2!1d-60.6737762!2d-32.9335525!1m5!1m1!1s0x95b7ab19b7992969:0xdc33c9bd799c6916!2m2!1d-60.638513!2d-32.9462599!1m5!1m1!1s0x95b7ab55726d7baf:0xff0f95afeea1648d!2m2!1d-60.6737762!2d-32.9335525!3e0</t>
  </si>
  <si>
    <t>Sarmiento 1031 PB</t>
  </si>
  <si>
    <t>https://www.google.com/maps/dir/Av.+Bordabehere+3811,+S2002+KNC,+Santa+Fe/Sarmiento+1031,+Rosario,+Santa+Fe/Av.+Bordabehere+3811,+S2002+KNC,+Santa+Fe/@-32.941744,-60.6652843,15z/data=!3m1!4b1!4m20!4m19!1m5!1m1!1s0x95b7ab55726d7baf:0xff0f95afeea1648d!2m2!1d-60.6737762!2d-32.9335525!1m5!1m1!1s0x95b7ab1a149abe81:0xc2c236a5a8ffbc4d!2m2!1d-60.6388702!2d-32.9494039!1m5!1m1!1s0x95b7ab55726d7baf:0xff0f95afeea1648d!2m2!1d-60.6737762!2d-32.9335525!3e0</t>
  </si>
  <si>
    <t>Junin 501</t>
  </si>
  <si>
    <t>Tucumán 1239</t>
  </si>
  <si>
    <t>https://www.google.com/maps/dir/Av.+Bordabehere+3811,+S2002+KNC,+Santa+Fe/AMG,+Tucum%C3%A1n+1239,+Rosario,+Santa+Fe/Av.+Bordabehere+3811,+S2002+KNC,+Santa+Fe/@-32.9374567,-60.6646842,15z/data=!3m1!4b1!4m20!4m19!1m5!1m1!1s0x95b7ab55726d7baf:0xff0f95afeea1648d!2m2!1d-60.6737762!2d-32.9335525!1m5!1m1!1s0x95b7ab22c3eaf6f5:0x9ec7228b292ebb16!2m2!1d-60.6389497!2d-32.9415478!1m5!1m1!1s0x95b7ab55726d7baf:0xff0f95afeea1648d!2m2!1d-60.6737762!2d-32.9335525!3e0</t>
  </si>
  <si>
    <t>Av. San Marti­n 2809</t>
  </si>
  <si>
    <t>https://www.google.com.ar/maps/dir/Avenida+Bordabehere+3811,+KNC,+Provincia+de+Santa+Fe/Avenida+San+Mart%C3%ADn+2809,+Granadero+Baigorria,+Provincia+de+Santa+Fe/@-32.8891321,-60.7673584,12z/data=!3m1!4b1!4m14!4m13!1m5!1m1!1s0x95b7ab55726d7baf:0xff0f95afeea1648d!2m2!1d-60.6737762!2d-32.9335525!1m5!1m1!1s0x95b6516de26c74f7:0x11513ad901abba7b!2m2!1d-60.708835!2d-32.842673!3e0</t>
  </si>
  <si>
    <t>Salta 3508</t>
  </si>
  <si>
    <t>https://www.google.com/maps/dir/Av.+Bordabehere+3811,+S2002+KNC,+Santa+Fe/Salta+3508,+Rosario,+Santa+Fe/Av.+Bordabehere+3811,+S2002+KNC,+Santa+Fe/@-32.9342873,-60.6723148,17z/data=!3m1!4b1!4m20!4m19!1m5!1m1!1s0x95b7ab55726d7baf:0xff0f95afeea1648d!2m2!1d-60.6737762!2d-32.9335525!1m5!1m1!1s0x95b7ab54788e5bc5:0xfb10360bf63a7fb3!2m2!1d-60.669218!2d-32.933436!1m5!1m1!1s0x95b7ab55726d7baf:0xff0f95afeea1648d!2m2!1d-60.6737762!2d-32.9335525!3e0</t>
  </si>
  <si>
    <t>Fabiana Berlazzo</t>
  </si>
  <si>
    <t>3 de Febrero 1567</t>
  </si>
  <si>
    <t>https://www.google.com/maps/dir/Av.+Bordabehere+3811,+S2002+KNC,+Santa+Fe/3+de+Febrero+1567,+Rosario,+Santa+Fe/Av.+Bordabehere+3811,+S2002+KNC,+Santa+Fe/@-32.9425517,-60.666827,15z/data=!3m1!4b1!4m20!4m19!1m5!1m1!1s0x95b7ab55726d7baf:0xff0f95afeea1648d!2m2!1d-60.6737762!2d-32.9335525!1m5!1m1!1s0x95b7ab13debf45a3:0x5cb135e3ef7317b7!2m2!1d-60.6462044!2d-32.9517772!1m5!1m1!1s0x95b7ab55726d7baf:0xff0f95afeea1648d!2m2!1d-60.6737762!2d-32.9335525!3e0</t>
  </si>
  <si>
    <t>Ameghino 657</t>
  </si>
  <si>
    <t>SAN NICOLAS DE LOS ARROYOS</t>
  </si>
  <si>
    <t>Buenos Aires</t>
  </si>
  <si>
    <t>https://www.google.com/maps/dir/Av.+Bordabehere+3811,+S2002+KNC,+Santa+Fe/Ameghino+657,+San+Nicol%C3%A1s+de+Los+Arroyos,+Provincia+de+Buenos+Aires/Av.+Bordabehere+3811,+S2002+KNC,+Santa+Fe/@-33.1491233,-60.7527722,10z/data=!3m1!4b1!4m20!4m19!1m5!1m1!1s0x95b7ab55726d7baf:0xff0f95afeea1648d!2m2!1d-60.6737762!2d-32.9335525!1m5!1m1!1s0x95b7679b565d309b:0x3c591c8ce5f64de7!2m2!1d-60.2231265!2d-33.3427032!1m5!1m1!1s0x95b7ab55726d7baf:0xff0f95afeea1648d!2m2!1d-60.6737762!2d-32.9335525!3e0</t>
  </si>
  <si>
    <t>Azcuénaga 8373 3° Depto 1 (presionar el OK para que suene)</t>
  </si>
  <si>
    <t>https://www.google.com/maps/dir/Av.+Bordabehere+3811,+S2002+KNC,+Santa+Fe/Avenida+Azcu%C3%A9naga+8373,+Rosario,+Santa+Fe/Av.+Bordabehere+3811,+S2002+KNC,+Santa+Fe/@-32.9324042,-60.7264918,14z/data=!3m1!4b1!4m20!4m19!1m5!1m1!1s0x95b7ab55726d7baf:0xff0f95afeea1648d!2m2!1d-60.6737762!2d-32.9335525!1m5!1m1!1s0x95b652eb2ecf83db:0x53561c11e6231c57!2m2!1d-60.7441881!2d-32.9260803!1m5!1m1!1s0x95b7ab55726d7baf:0xff0f95afeea1648d!2m2!1d-60.6737762!2d-32.9335525!3e0</t>
  </si>
  <si>
    <t>Bv. Rondeau 586 - TORRE 2, Piso 2, Dpto 2</t>
  </si>
  <si>
    <t>https://www.google.com/maps/dir/Av.+Bordabehere+3811,+S2002+KNC,+Santa+Fe/Boulevard+Rondeau+586,+Rosario,+Santa+Fe/Av.+Bordabehere+3811,+S2002+KNC,+Santa+Fe/@-32.921371,-60.6971052,14z/data=!3m1!4b1!4m20!4m19!1m5!1m1!1s0x95b7ab55726d7baf:0xff0f95afeea1648d!2m2!1d-60.6737762!2d-32.9335525!1m5!1m1!1s0x95b65368bb48f18d:0xd8c6ea3bb0a8a823!2m2!1d-60.6873036!2d-32.9102192!1m5!1m1!1s0x95b7ab55726d7baf:0xff0f95afeea1648d!2m2!1d-60.6737762!2d-32.9335525!3e0</t>
  </si>
  <si>
    <t>CORDOBA 3021 1° PA</t>
  </si>
  <si>
    <t>https://www.google.com/maps/dir/Av.+Bordabehere+3811,+S2002+KNC,+Santa+Fe/C%C3%B3rdoba+3021,+Rosario,+Santa+Fe/Av.+Bordabehere+3811,+S2002+KNC,+Santa+Fe/@-32.937733,-60.6735682,16z/data=!3m1!4b1!4m20!4m19!1m5!1m1!1s0x95b7ab55726d7baf:0xff0f95afeea1648d!2m2!1d-60.6737762!2d-32.9335525!1m5!1m1!1s0x95b7ab5adebdb615:0xd4583997c61cb553!2m2!1d-60.6645199!2d-32.9418045!1m5!1m1!1s0x95b7ab55726d7baf:0xff0f95afeea1648d!2m2!1d-60.6737762!2d-32.9335525!3e0</t>
  </si>
  <si>
    <t>David Peña 1020</t>
  </si>
  <si>
    <t>https://www.google.com/maps/dir/Av.+Bordabehere+3811,+S2002+KNC,+Santa+Fe/David+Pe%C3%B1a+1020,+Rosario,+Santa+Fe/Av.+Bordabehere+3811,+S2002+KNC,+Santa+Fe/@-32.9425517,-60.666827,15z/data=!4m20!4m19!1m5!1m1!1s0x95b7ab55726d7baf:0xff0f95afeea1648d!2m2!1d-60.6737762!2d-32.9335525!1m5!1m1!1s0x95b653be3841689f:0x5c7eb97be7c58176!2m2!1d-60.6995444!2d-32.8797251!1m5!1m1!1s0x95b7ab55726d7baf:0xff0f95afeea1648d!2m2!1d-60.6737762!2d-32.9335525!3e0</t>
  </si>
  <si>
    <t>Dr Zavalla 3294, Depto 4</t>
  </si>
  <si>
    <t>https://www.google.com/maps/dir/Urquiza+4703,+EKZ,+Santa+Fe/Dr.+Zavalla+3294,+S3000GVU+Santa+Fe/Urquiza+4703,+S3002+EKZ,+Santa+Fe/@-31.6290444,-60.7210291,15z/data=!3m1!4b1!4m20!4m19!1m5!1m1!1s0x95b5a9db0305adfb:0x1c8db6c9774b3259!2m2!1d-60.7066956!2d-31.6229525!1m5!1m1!1s0x95b5a9cbb4af7755:0xe4c5b9c82f8fef3!2m2!1d-60.7169555!2d-31.6350767!1m5!1m1!1s0x95b5a9db0305adfb:0x1c8db6c9774b3259!2m2!1d-60.7066956!2d-31.6229525!3e0</t>
  </si>
  <si>
    <t>Ecuador 947</t>
  </si>
  <si>
    <t>https://www.google.com/maps/dir/Av.+Bordabehere+3811,+S2002+KNC,+Santa+Fe/Ecuador+947,+S2008JCK+Rosario,+Santa+Fe/Av.+Bordabehere+3811,+S2002+KNC,+Santa+Fe/@-32.93573,-60.6685507,15z/data=!4m20!4m19!1m5!1m1!1s0x95b7ab55726d7baf:0xff0f95afeea1648d!2m2!1d-60.6737762!2d-32.9335525!1m5!1m1!1s0x95b6532c71995df7:0x38f2b264df075de7!2m2!1d-60.7148333!2d-32.9386309!1m5!1m1!1s0x95b7ab55726d7baf:0xff0f95afeea1648d!2m2!1d-60.6737762!2d-32.9335525!3e0</t>
  </si>
  <si>
    <t>Jujuy 1815</t>
  </si>
  <si>
    <t>https://www.google.com/maps/dir/Av.+Bordabehere+3811,+S2002+KNC,+Santa+Fe/AGM,+Jujuy+1815,+Rosario,+Santa+Fe/Av.+Bordabehere+3811,+S2002+KNC,+Santa+Fe/@-32.93573,-60.6685507,15z/data=!3m1!4b1!4m20!4m19!1m5!1m1!1s0x95b7ab55726d7baf:0xff0f95afeea1648d!2m2!1d-60.6737762!2d-32.9335525!1m5!1m1!1s0x95b7ab3988ffe87d:0x9f6f49214a3611b4!2m2!1d-60.6461149!2d-32.9365479!1m5!1m1!1s0x95b7ab55726d7baf:0xff0f95afeea1648d!2m2!1d-60.6737762!2d-32.9335525!3e0</t>
  </si>
  <si>
    <t>Maipu 1332 6°B</t>
  </si>
  <si>
    <t>https://www.google.com/maps/dir/Av.+Bordabehere+3811,+S2002+KNC,+Santa+Fe/CGR,+Maip%C3%BA+1332,+Rosario,+Santa+Fe/Av.+Bordabehere+3811,+S2002+KNC,+Santa+Fe/@-32.9438412,-60.6721021,14z/data=!3m1!4b1!4m20!4m19!1m5!1m1!1s0x95b7ab55726d7baf:0xff0f95afeea1648d!2m2!1d-60.6737762!2d-32.9335525!1m5!1m1!1s0x95b7ab04d9d61ac3:0xb9dacb1ae1da0adc!2m2!1d-60.637131!2d-32.9536166!1m5!1m1!1s0x95b7ab55726d7baf:0xff0f95afeea1648d!2m2!1d-60.6737762!2d-32.9335525!3e0</t>
  </si>
  <si>
    <t>Montevideo 2034 6°A</t>
  </si>
  <si>
    <t>https://www.google.com/maps/dir/Av.+Bordabehere+3811,+S2002+KNC,+Santa+Fe/Montevideo+2034,+BSP,+Santa+Fe/Av.+Bordabehere+3811,+S2002+KNC,+Santa+Fe/@-32.9436355,-60.6709724,15z/data=!3m1!4b1!4m20!4m19!1m5!1m1!1s0x95b7ab55726d7baf:0xff0f95afeea1648d!2m2!1d-60.6737762!2d-32.9335525!1m5!1m1!1s0x95b7ab6ce94c517f:0x9f49cc062856547b!2m2!1d-60.6535367!2d-32.9537739!1m5!1m1!1s0x95b7ab55726d7baf:0xff0f95afeea1648d!2m2!1d-60.6737762!2d-32.9335525!3e0</t>
  </si>
  <si>
    <t>Pje Isaacs BIS 337</t>
  </si>
  <si>
    <t>https://www.google.com/maps/dir/Av.+Bordabehere+3811,+S2002+KNC,+Santa+Fe/Isaacs+337,+Rosario,+Santa+Fe/Av.+Bordabehere+3811,+S2002+KNC,+Santa+Fe/@-32.9306425,-60.7102042,14z/data=!3m1!4b1!4m20!4m19!1m5!1m1!1s0x95b7ab55726d7baf:0xff0f95afeea1648d!2m2!1d-60.6737762!2d-32.9335525!1m5!1m1!1s0x95b65323948a6a43:0xc4f2fc4ecd0eea88!2m2!1d-60.7139979!2d-32.9254108!1m5!1m1!1s0x95b7ab55726d7baf:0xff0f95afeea1648d!2m2!1d-60.6737762!2d-32.9335525!3e0</t>
  </si>
  <si>
    <t>Pje Madariaga 4468</t>
  </si>
  <si>
    <t>https://www.google.com/maps/dir/Av.+Bordabehere+3811,+S2002+KNC,+Santa+Fe/Madariaga+4468,+S2002+Rosario,+Santa+Fe/Av.+Bordabehere+3811,+S2002+KNC,+Santa+Fe/@-32.9410072,-60.6891651,15z/data=!3m1!4b1!4m20!4m19!1m5!1m1!1s0x95b7ab55726d7baf:0xff0f95afeea1648d!2m2!1d-60.6737762!2d-32.9335525!1m5!1m1!1s0x95b7aca54843c07f:0x64e8a3569c586400!2m2!1d-60.6859667!2d-32.9460513!1m5!1m1!1s0x95b7ab55726d7baf:0xff0f95afeea1648d!2m2!1d-60.6737762!2d-32.9335525!3e0</t>
  </si>
  <si>
    <t>RODRIGUEZ 147 PLANTA ALTA</t>
  </si>
  <si>
    <t>https://www.google.com/maps/dir/Av.+Bordabehere+3811,+S2002+KNC,+Santa+Fe/Mart%C3%ADn+Rodr%C3%ADguez+147,+Rosario,+Santa+Fe/Av.+Bordabehere+3811,+S2002+KNC,+Santa+Fe/@-32.9351218,-60.6689402,16z/data=!3m1!4b1!4m20!4m19!1m5!1m1!1s0x95b7ab55726d7baf:0xff0f95afeea1648d!2m2!1d-60.6737762!2d-32.9335525!1m5!1m1!1s0x95b7ab48d9c000df:0x5fd2c1b416563d6!2m2!1d-60.6567265!2d-32.9351672!1m5!1m1!1s0x95b7ab55726d7baf:0xff0f95afeea1648d!2m2!1d-60.6737762!2d-32.9335525!3e0</t>
  </si>
  <si>
    <t>San Jerónimo 3766 7°B</t>
  </si>
  <si>
    <t>https://www.google.com/maps/dir/Urquiza+4703,+EKZ,+Santa+Fe/San+Jer%C3%B3nimo+3766,+S3002+Santa+Fe/Urquiza+4703,+S3002+EKZ,+Santa+Fe/@-31.6273675,-60.7102975,16z/data=!3m1!4b1!4m20!4m19!1m5!1m1!1s0x95b5a9db0305adfb:0x1c8db6c9774b3259!2m2!1d-60.7066956!2d-31.6229525!1m5!1m1!1s0x95b5a9c0d5af008f:0x98429234793d4160!2m2!1d-60.7035099!2d-31.6319849!1m5!1m1!1s0x95b5a9db0305adfb:0x1c8db6c9774b3259!2m2!1d-60.7066956!2d-31.6229525!3e0</t>
  </si>
  <si>
    <t>San Juan 3841 1° Depto 3</t>
  </si>
  <si>
    <t>https://www.google.com/maps/dir/Av.+Bordabehere+3811,+S2002+KNC,+Santa+Fe/San+Juan+3841,+Rosario,+Santa+Fe/Av.+Bordabehere+3811,+S2002+KNC,+Santa+Fe/@-32.9386368,-60.6806307,16z/data=!3m1!4b1!4m20!4m19!1m5!1m1!1s0x95b7ab55726d7baf:0xff0f95afeea1648d!2m2!1d-60.6737762!2d-32.9335525!1m5!1m1!1s0x95b7aca7c190bdf9:0xe1048244aef042e7!2m2!1d-60.6765308!2d-32.9436032!1m5!1m1!1s0x95b7ab55726d7baf:0xff0f95afeea1648d!2m2!1d-60.6737762!2d-32.9335525!3e0</t>
  </si>
  <si>
    <t>Sargento Cabral 116 (516) 4°</t>
  </si>
  <si>
    <t>https://www.google.com/maps/dir/Av.+Bordabehere+3811,+S2002+KNC,+Santa+Fe/Sgto.+Cabral,+S2000+Rosario,+Santa+Fe/Av.+Bordabehere+3811,+S2002+KNC,+Santa+Fe/@-32.9385212,-60.6717237,14z/data=!3m1!4b1!4m20!4m19!1m5!1m1!1s0x95b7ab55726d7baf:0xff0f95afeea1648d!2m2!1d-60.6737762!2d-32.9335525!1m5!1m1!1s0x95b7ab18ce8bfb0d:0xc56a9f084e258496!2m2!1d-60.6348955!2d-32.9437181!1m5!1m1!1s0x95b7ab55726d7baf:0xff0f95afeea1648d!2m2!1d-60.6737762!2d-32.9335525!3e0</t>
  </si>
  <si>
    <t>SARMIENTO 4309</t>
  </si>
  <si>
    <t>https://www.google.com/maps/dir/Av.+Bordabehere+3811,+S2002+KNC,+Santa+Fe/Sarmiento+4309,+S2001IDC+Rosario,+Santa+Fe/Av.+Bordabehere+3811,+S2002+KNC,+Santa+Fe/@-32.9613747,-60.6971069,13z/data=!3m1!4b1!4m20!4m19!1m5!1m1!1s0x95b7ab55726d7baf:0xff0f95afeea1648d!2m2!1d-60.6737762!2d-32.9335525!1m5!1m1!1s0x95b7abc088af148f:0xe5f815c21a1dac00!2m2!1d-60.6481724!2d-32.9873643!1m5!1m1!1s0x95b7ab55726d7baf:0xff0f95afeea1648d!2m2!1d-60.6737762!2d-32.9335525!3e0</t>
  </si>
  <si>
    <t>Tucumán 2860</t>
  </si>
  <si>
    <t>https://www.google.com/maps/dir/Urquiza+4703,+EKZ,+Santa+Fe/Tucum%C3%A1n+2860,+S3000CAM+Santa+Fe/Urquiza+4703,+S3002+EKZ,+Santa+Fe/@-31.6341595,-60.7264193,14z/data=!3m1!4b1!4m20!4m19!1m5!1m1!1s0x95b5a9db0305adfb:0x1c8db6c9774b3259!2m2!1d-60.7066956!2d-31.6229525!1m5!1m1!1s0x95b5a9b00887b5fb:0x6a6f7f47e54dca06!2m2!1d-60.7098916!2d-31.6458935!1m5!1m1!1s0x95b5a9db0305adfb:0x1c8db6c9774b3259!2m2!1d-60.7066956!2d-31.6229525!3e0</t>
  </si>
  <si>
    <t>Urquiza 2559, piso 6 dpto B</t>
  </si>
  <si>
    <t>https://www.google.com/maps/dir/Urquiza+4703,+EKZ,+Santa+Fe/Urquiza+2559,+S3000FFL,+Santa+Fe/Urquiza+4703,+S3002+EKZ,+Santa+Fe/@-31.634233,-60.7280032,14z/data=!3m1!4b1!4m20!4m19!1m5!1m1!1s0x95b5a9db0305adfb:0x1c8db6c9774b3259!2m2!1d-60.7066956!2d-31.6229525!1m5!1m1!1s0x95b5a9b1016ca94d:0x78539fd3a8c9c923!2m2!1d-60.71297!2d-31.6445876!1m5!1m1!1s0x95b5a9db0305adfb:0x1c8db6c9774b3259!2m2!1d-60.7066956!2d-31.6229525!3e0</t>
  </si>
  <si>
    <t>URQUIZA 320</t>
  </si>
  <si>
    <t>https://www.google.com/maps/dir/Av.+Bordabehere+3811,+S2002+KNC,+Santa+Fe/Urquiza+320,+San+Nicol%C3%A1s+de+Los+Arroyos,+Provincia+de+Buenos+Aires/Av.+Bordabehere+3811,+S2002+KNC,+Santa+Fe/@-33.1414339,-60.7535514,10z/data=!3m1!4b1!4m20!4m19!1m5!1m1!1s0x95b7ab55726d7baf:0xff0f95afeea1648d!2m2!1d-60.6737762!2d-32.9335525!1m5!1m1!1s0x95b767ed035f2881:0xb765dfffa316e47e!2m2!1d-60.2251975!2d-33.3260687!1m5!1m1!1s0x95b7ab55726d7baf:0xff0f95afeea1648d!2m2!1d-60.6737762!2d-32.9335525!3e0</t>
  </si>
  <si>
    <t>Uspallata 1421</t>
  </si>
  <si>
    <t>ROLDAN</t>
  </si>
  <si>
    <t>https://www.google.com/maps/dir/Av.+Bordabehere+3811,+S2002+KNC,+Santa+Fe/Uspallata+1421,+Rold%C3%A1n,+Santa+Fe/Av.+Bordabehere+3811,+S2002+KNC,+Santa+Fe/@-32.9230406,-60.8576096,12z/data=!3m1!4b1!4m20!4m19!1m5!1m1!1s0x95b7ab55726d7baf:0xff0f95afeea1648d!2m2!1d-60.6737762!2d-32.9335525!1m5!1m1!1s0x95b6495773e73129:0xa527ce3e7391a78a!2m2!1d-60.8713662!2d-32.8963325!1m5!1m1!1s0x95b7ab55726d7baf:0xff0f95afeea1648d!2m2!1d-60.6737762!2d-32.9335525!3e0</t>
  </si>
  <si>
    <t>Violeta Parra 4616</t>
  </si>
  <si>
    <t>SAN JOSE DEL RINCON</t>
  </si>
  <si>
    <t>Buenos Aires 3380</t>
  </si>
  <si>
    <t>https://www.google.com/maps/dir/Av.+Bordabehere+3811,+S2002+KNC,+Santa+Fe/Buenos+Aires+3380,+Rosario,+Santa+Fe/Av.+Bordabehere+3811,+S2002+KNC,+Santa+Fe/@-32.9555277,-60.6929273,13z/data=!3m1!4b1!4m20!4m19!1m5!1m1!1s0x95b7ab55726d7baf:0xff0f95afeea1648d!2m2!1d-60.6737762!2d-32.9335525!1m5!1m1!1s0x95b7abba796ed667:0xf6d273c44f8f40f5!2m2!1d-60.6404167!2d-32.9774565!1m5!1m1!1s0x95b7ab55726d7baf:0xff0f95afeea1648d!2m2!1d-60.6737762!2d-32.9335525!3e0</t>
  </si>
  <si>
    <t>Corrientes 746</t>
  </si>
  <si>
    <t>https://www.google.com/maps/dir/Av.+Bordabehere+3811,+S2002+KNC,+Santa+Fe/Corrientes+746,+Rosario,+Santa+Fe/Av.+Bordabehere+3811,+S2002+KNC,+Santa+Fe/@-32.9408091,-60.6668519,15z/data=!3m1!4b1!4m20!4m19!1m5!1m1!1s0x95b7ab55726d7baf:0xff0f95afeea1648d!2m2!1d-60.6737762!2d-32.9335525!1m5!1m1!1s0x95b7ab17cf989889:0x2722b7a1e22ac297!2m2!1d-60.6425034!2d-32.9448823!1m5!1m1!1s0x95b7ab55726d7baf:0xff0f95afeea1648d!2m2!1d-60.6737762!2d-32.9335525!3e0</t>
  </si>
  <si>
    <t>Dorrego 1598</t>
  </si>
  <si>
    <t>https://www.google.com/maps/dir/Av.+Bordabehere+3811,+S2002+KNC,+Santa+Fe/Avenida+Dorrego+1598,+San+Lorenzo,+Santa+Fe/Av.+Bordabehere+3811,+S2002+KNC,+Santa+Fe/@-32.8417296,-60.856016,11z/data=!3m1!4b1!4m20!4m19!1m5!1m1!1s0x95b7ab55726d7baf:0xff0f95afeea1648d!2m2!1d-60.6737762!2d-32.9335525!1m5!1m1!1s0x95b65ae39472e737:0x6d53fc8a806a8efd!2m2!1d-60.7371262!2d-32.7458967!1m5!1m1!1s0x95b7ab55726d7baf:0xff0f95afeea1648d!2m2!1d-60.6737762!2d-32.9335525!3e0</t>
  </si>
  <si>
    <t>España 180</t>
  </si>
  <si>
    <t>https://www.google.com/maps/dir/Av.+Bordabehere+3811,+S2002+KNC,+Santa+Fe/Espa%C3%B1a+180,+Ca%C3%B1ada+de+Gomez,+Santa+Fe/Av.+Bordabehere+3811,+S2002+KNC,+Santa+Fe/@-32.883671,-61.3139252,10z/data=!3m1!4b1!4m20!4m19!1m5!1m1!1s0x95b7ab55726d7baf:0xff0f95afeea1648d!2m2!1d-60.6737762!2d-32.9335525!1m5!1m1!1s0x95c9de5e853c24c1:0xd73a7c8029c16d97!2m2!1d-61.3932952!2d-32.8196349!1m5!1m1!1s0x95b7ab55726d7baf:0xff0f95afeea1648d!2m2!1d-60.6737762!2d-32.9335525!3e0</t>
  </si>
  <si>
    <t>Hipólito Yrigoyen y Sarmiento</t>
  </si>
  <si>
    <t>https://www.google.com/maps/dir/Av.+Bordabehere+3811,+S2002+KNC,+Santa+Fe/OCA+SRL,+Irigoyen,+Villa+Constituci%C3%B3n,+Santa+Fe/Av.+Bordabehere+3811,+S2002+KNC,+Santa+Fe/@-33.1098919,-60.6637416,11z/data=!3m1!4b1!4m20!4m19!1m5!1m1!1s0x95b7ab55726d7baf:0xff0f95afeea1648d!2m2!1d-60.6737762!2d-32.9335525!1m5!1m1!1s0x95b76c421893de25:0x31bc238d4e881be8!2m2!1d-60.3282492!2d-33.2267441!1m5!1m1!1s0x95b7ab55726d7baf:0xff0f95afeea1648d!2m2!1d-60.6737762!2d-32.9335525!3e0</t>
  </si>
  <si>
    <t xml:space="preserve">OCA </t>
  </si>
  <si>
    <t>Santiago 360/380, Esq. Tucumán</t>
  </si>
  <si>
    <t>https://www.google.com/maps/dir/Av.+Bordabehere+3811,+S2002+KNC,+Santa+Fe/Santiago+360,+LFH,+Santa+Fe/Av.+Bordabehere+3811,+S2002+KNC,+Santa+Fe/@-32.9358362,-60.6692206,16z/data=!3m1!4b1!4m20!4m19!1m5!1m1!1s0x95b7ab55726d7baf:0xff0f95afeea1648d!2m2!1d-60.6737762!2d-32.9335525!1m5!1m1!1s0x95b7ab461adc750f:0x7ce932b16c1ae207!2m2!1d-60.6567826!2d-32.9381068!1m5!1m1!1s0x95b7ab55726d7baf:0xff0f95afeea1648d!2m2!1d-60.6737762!2d-32.9335525!3e0</t>
  </si>
  <si>
    <t>Santiago 6370</t>
  </si>
  <si>
    <t>https://www.google.com/maps/dir/Av.+Bordabehere+3811,+S2002+KNC,+Santa+Fe/Santiago+6370,+S2000+Rosario,+Santa+Fe/Av.+Bordabehere+3811,+S2002+KNC,+Santa+Fe/@-32.9746383,-60.7282863,13z/data=!3m1!4b1!4m20!4m19!1m5!1m1!1s0x95b7ab55726d7baf:0xff0f95afeea1648d!2m2!1d-60.6737762!2d-32.9335525!1m5!1m1!1s0x95b7abfdbc2dc37f:0x728402883b09ab0d!2m2!1d-60.6673335!2d-33.010367!1m5!1m1!1s0x95b7ab55726d7baf:0xff0f95afeea1648d!2m2!1d-60.6737762!2d-32.9335525!3e0</t>
  </si>
  <si>
    <t>Av. Carlos Pellegrini 1668</t>
  </si>
  <si>
    <t>https://www.google.com/maps/dir/Av.+Bordabehere+3811,+S2002+KNC,+Santa+Fe/Av.+Carlos+Pellegrini+1668,+BUQ,+Santa+Fe/Av.+Bordabehere+3811,+S2002+KNC,+Santa+Fe/@-32.9447662,-60.6794898,14z/data=!3m1!4b1!4m20!4m19!1m5!1m1!1s0x95b7ab55726d7baf:0xff0f95afeea1648d!2m2!1d-60.6737762!2d-32.9335525!1m5!1m1!1s0x95b7ab127e72f79f:0xfb6fec4b894d8882!2m2!1d-60.6487305!2d-32.9557366!1m5!1m1!1s0x95b7ab55726d7baf:0xff0f95afeea1648d!2m2!1d-60.6737762!2d-32.9335525!3e0</t>
  </si>
  <si>
    <t>San Lorenzo 1501</t>
  </si>
  <si>
    <t>https://www.google.com/maps/dir/Av.+Bordabehere+3811,+S2002+KNC,+Santa+Fe/San+Lorenzo+1501,+Rosario,+Santa+Fe/Av.+Bordabehere+3811,+S2002+KNC,+Santa+Fe/@-32.9383571,-60.6665872,15z/data=!3m1!4b1!4m20!4m19!1m5!1m1!1s0x95b7ab55726d7baf:0xff0f95afeea1648d!2m2!1d-60.6737762!2d-32.9335525!1m5!1m1!1s0x95b7ab3d9f22a529:0x735510a98b3e5fa1!2m2!1d-60.6433!2d-32.9431809!1m5!1m1!1s0x95b7ab55726d7baf:0xff0f95afeea1648d!2m2!1d-60.6737762!2d-32.9335525!3e0</t>
  </si>
  <si>
    <t>25 De Mayo Bis 762</t>
  </si>
  <si>
    <t>https://www.google.com/maps/dir/Av.+Bordabehere+3811,+S2002+KNC,+Santa+Fe/Av.+Circunvalaci%C3%B3n+25+de+Mayo,+Rosario,+Santa+Fe/Av.+Bordabehere+3811,+S2002+KNC,+Santa+Fe/@-32.9406438,-60.7160188,14z/data=!3m1!4b1!4m20!4m19!1m5!1m1!1s0x95b7ab55726d7baf:0xff0f95afeea1648d!2m2!1d-60.6737762!2d-32.9335525!1m5!1m1!1s0x95b7aca61dbd5ebf:0xc64264103b7e0611!2m2!1d-60.7220185!2d-32.9466783!1m5!1m1!1s0x95b7ab55726d7baf:0xff0f95afeea1648d!2m2!1d-60.6737762!2d-32.9335525!3e0</t>
  </si>
  <si>
    <t>Puerto San Martin</t>
  </si>
  <si>
    <t>Av. Belgrano 1549</t>
  </si>
  <si>
    <t>https://www.google.com/maps/dir/Av.+Bordabehere+3811,+S2002+KNC,+Santa+Fe/Av.+Manuel+Belgrano+1549,+Puerto+General+San+Martin,+Santa+Fe/Av.+Bordabehere+3811,+S2002+KNC,+Santa+Fe/@-32.8213056,-60.8590941,11z/data=!3m1!4b1!4m20!4m19!1m5!1m1!1s0x95b7ab55726d7baf:0xff0f95afeea1648d!2m2!1d-60.6737762!2d-32.9335525!1m5!1m1!1s0x95b65b7b4dc962b3:0x22171b43d108c81b!2m2!1d-60.7327668!2d-32.705292!1m5!1m1!1s0x95b7ab55726d7baf:0xff0f95afeea1648d!2m2!1d-60.6737762!2d-32.9335525!3e0</t>
  </si>
  <si>
    <t>Sarmiento 1802</t>
  </si>
  <si>
    <t>https://www.google.com/maps/dir/Av.+Bordabehere+3811,+S2002+KNC,+Santa+Fe/FVD,+Sarmiento+1802,+Rosario,+Santa+Fe/Av.+Bordabehere+3811,+S2002+KNC,+Santa+Fe/@-32.9406438,-60.7160188,14z/data=!4m20!4m19!1m5!1m1!1s0x95b7ab55726d7baf:0xff0f95afeea1648d!2m2!1d-60.6737762!2d-32.9335525!1m5!1m1!1s0x95b7ab0f46729b17:0x88287925fd78db5e!2m2!1d-60.6413435!2d-32.958539!1m5!1m1!1s0x95b7ab55726d7baf:0xff0f95afeea1648d!2m2!1d-60.6737762!2d-32.9335525!3e0</t>
  </si>
  <si>
    <t>Dr. Jonas Salk 945</t>
  </si>
  <si>
    <t>RN33 KM 744</t>
  </si>
  <si>
    <t>Renova</t>
  </si>
  <si>
    <t>Central</t>
  </si>
  <si>
    <t>Av. Brigadier Lopez 10500</t>
  </si>
  <si>
    <t>TIMBUES</t>
  </si>
  <si>
    <t>https://www.google.com/maps/dir/Av.+Bordabehere+3811,+S2002+KNC,+Santa+Fe/Renova+SA,+Ruta+Nacional+%26+Scapigliatti+11,+S2200+San+Lorenzo,+Santa+Fe/Av.+Bordabehere+3811,+S2002+KNC,+Santa+Fe/@-32.5968532,-60.8080258,13.34z/data=!4m20!4m19!1m5!1m1!1s0x95b7ab55726d7baf:0xff0f95afeea1648d!2m2!1d-60.6737762!2d-32.9335525!1m5!1m1!1s0x95b642e1b16203f3:0x6570b53ec4cfbc04!2m2!1d-60.7859848!2d-32.5846053!1m5!1m1!1s0x95b7ab55726d7baf:0xff0f95afeea1648d!2m2!1d-60.6737762!2d-32.9335525!3e0</t>
  </si>
  <si>
    <t>Iriondo 468</t>
  </si>
  <si>
    <t>https://www.google.com/maps/dir/Av.+Bordabehere+3811,+S2002+KNC,+Santa+Fe/Iriondo+468,+Rosario,+Santa+Fe/Av.+Bordabehere+3811,+S2002+KNC,+Santa+Fe/@-32.9354469,-60.6723148,17z/data=!3m1!4b1!4m20!4m19!1m5!1m1!1s0x95b7ab55726d7baf:0xff0f95afeea1648d!2m2!1d-60.6737762!2d-32.9335525!1m5!1m1!1s0x95b7ab513562ac07:0x5a87cb38a10e1f49!2m2!1d-60.6689127!2d-32.9368131!1m5!1m1!1s0x95b7ab55726d7baf:0xff0f95afeea1648d!2m2!1d-60.6737762!2d-32.9335525!3e0</t>
  </si>
  <si>
    <t>3 de Febrero 2363</t>
  </si>
  <si>
    <t>https://www.google.com/maps/dir/Av.+Bordabehere+3811,+S2002+KNC,+Santa+Fe/3+de+Febrero+2363,+S2000PFC+Rosario,+Santa+Fe/Av.+Bordabehere+3811,+S2002+KNC,+Santa+Fe/@-32.9421069,-60.6739816,15z/data=!3m1!4b1!4m20!4m19!1m5!1m1!1s0x95b7ab55726d7baf:0xff0f95afeea1648d!2m2!1d-60.6737762!2d-32.9335525!1m5!1m1!1s0x95b7ab6a245175f3:0x106c6cf9cd8c832a!2m2!1d-60.6571548!2d-32.949859!1m5!1m1!1s0x95b7ab55726d7baf:0xff0f95afeea1648d!2m2!1d-60.6737762!2d-32.9335525!3e0</t>
  </si>
  <si>
    <t>Victor Cue 935 Bis ( Entre Almafuerte y Jose Ingenieros)</t>
  </si>
  <si>
    <t>https://www.google.com/maps/dir/Av.+Bordabehere+3811,+S2002+KNC,+Santa+Fe/Dr.+Cu%C3%A9+935,+Rosario,+Santa+Fe/Av.+Bordabehere+3811,+S2002+KNC,+Santa+Fe/@-32.9264253,-60.6930723,15z/data=!3m1!4b1!4m20!4m19!1m5!1m1!1s0x95b7ab55726d7baf:0xff0f95afeea1648d!2m2!1d-60.6737762!2d-32.9335525!1m5!1m1!1s0x95b653401c700383:0x6733d8e7d8a4d2ae!2m2!1d-60.6972438!2d-32.9172891!1m5!1m1!1s0x95b7ab55726d7baf:0xff0f95afeea1648d!2m2!1d-60.6737762!2d-32.9335525!3e0</t>
  </si>
  <si>
    <t>Ruta A012 km 2,5</t>
  </si>
  <si>
    <t>Simpress</t>
  </si>
  <si>
    <t>Av. Jorge Newbery s/n</t>
  </si>
  <si>
    <t>https://www.google.com/maps/dir/Av.+Bordabehere+3811,+S2002+KNC,+Santa+Fe/Aeropuerto+Rosario+%2F+Islas+Malvinas+(ROS+-+SAAR),+Avenida+Jorge+Newbery,+Rosario,+Santa+Fe/Av.+Bordabehere+3811,+S2002+KNC,+Santa+Fe/@-32.9178095,-60.7798406,16.12z/data=!4m20!4m19!1m5!1m1!1s0x95b7ab55726d7baf:0xff0f95afeea1648d!2m2!1d-60.6737762!2d-32.9335525!1m5!1m1!1s0x95b64d9d60520c87:0x81dec36122bfe72e!2m2!1d-60.7803944!2d-32.9169538!1m5!1m1!1s0x95b7ab55726d7baf:0xff0f95afeea1648d!2m2!1d-60.6737762!2d-32.9335525!3e0</t>
  </si>
  <si>
    <t>Corrientes 931 Piso 6 Of A</t>
  </si>
  <si>
    <t>https://www.google.com/maps/dir/Av.+Bordabehere+3811,+S2002+KNC,+Santa+Fe/Corrientes+931,+Rosario,+Santa+Fe/Av.+Bordabehere+3811,+S2002+KNC,+Santa+Fe/@-32.9408091,-60.6668519,15z/data=!3m1!4b1!4m20!4m19!1m5!1m1!1s0x95b7ab55726d7baf:0xff0f95afeea1648d!2m2!1d-60.6737762!2d-32.9335525!1m5!1m1!1s0x95b7ab1704a863b1:0x9ff4ef9c13531eda!2m2!1d-60.6426517!2d-32.947355!1m5!1m1!1s0x95b7ab55726d7baf:0xff0f95afeea1648d!2m2!1d-60.6737762!2d-32.9335525!3e0</t>
  </si>
  <si>
    <t>Bv. Rondeau 3856</t>
  </si>
  <si>
    <t>https://www.google.com/maps/dir/Av.+Bordabehere+3811,+S2002+KNC,+Santa+Fe/Boulevard+Rondeau+3856,+Rosario,+Santa+Fe/Av.+Bordabehere+3811,+S2002+KNC,+Santa+Fe/@-32.9061804,-60.719089,13z/data=!3m1!4b1!4m20!4m19!1m5!1m1!1s0x95b7ab55726d7baf:0xff0f95afeea1648d!2m2!1d-60.6737762!2d-32.9335525!1m5!1m1!1s0x95b65395c11f2dcf:0x4ee207814fe4305a!2m2!1d-60.6965198!2d-32.879698!1m5!1m1!1s0x95b7ab55726d7baf:0xff0f95afeea1648d!2m2!1d-60.6737762!2d-32.9335525!3e0</t>
  </si>
  <si>
    <t>Av. Jorge Newbery S/n (AEROPUERTO)</t>
  </si>
  <si>
    <t>Tasa Logística</t>
  </si>
  <si>
    <t>QUILMES Rosario</t>
  </si>
  <si>
    <t>Av. Provincias Unidas 333 bis</t>
  </si>
  <si>
    <t>https://www.google.com/maps/dir/Av.+Bordabehere+3811,+S2002+KNC,+Santa+Fe/Av.+Provincias+Unidas+333,+S2008BQF+Rosario,+Santa+Fe/Av.+Bordabehere+3811,+S2002+KNC,+Santa+Fe/@-32.9347146,-60.710923,14z/data=!3m1!4b1!4m20!4m19!1m5!1m1!1s0x95b7ab55726d7baf:0xff0f95afeea1648d!2m2!1d-60.6737762!2d-32.9335525!1m5!1m1!1s0x95b6532f77144afd:0xa9c19c29deb1c49b!2m2!1d-60.7127229!2d-32.9319148!1m5!1m1!1s0x95b7ab55726d7baf:0xff0f95afeea1648d!2m2!1d-60.6737762!2d-32.9335525!3e0</t>
  </si>
  <si>
    <t>Av. Cacique Mangore 12.580</t>
  </si>
  <si>
    <t>https://www.google.com/maps/dir/Av.+Bordabehere+3811,+S2002+KNC,+Santa+Fe/Central+Termoel%C3%A9ctrica+Timb%C3%BAes+-+Termoel%C3%A9ctrica+Jos%C3%A9+de+San+Mart%C3%ADn+S.A.,+Timb%C3%BAes,+Santa+Fe/Av.+Bordabehere+3811,+S2002+KNC,+Santa+Fe/@-32.7565205,-61.0256419,10z/data=!3m1!4b1!4m20!4m19!1m5!1m1!1s0x95b7ab55726d7baf:0xff0f95afeea1648d!2m2!1d-60.6737762!2d-32.9335525!1m5!1m1!1s0x95b66892bbfb8353:0x9670a1a5ab1d9fbc!2m2!1d-60.7902793!2d-32.5785675!1m5!1m1!1s0x95b7ab55726d7baf:0xff0f95afeea1648d!2m2!1d-60.6737762!2d-32.9335525!3e0</t>
  </si>
  <si>
    <t>TERNIUM</t>
  </si>
  <si>
    <t>CENTRO INDUSTRIAL SAN NICOLÁS (Planta Gral. Savio)</t>
  </si>
  <si>
    <t>Av. Savio s/n</t>
  </si>
  <si>
    <t>https://www.google.com/maps/dir/Av.+Bordabehere+3811,+S2002+KNC,+Santa+Fe/Ternium+Siderar+-+Planta+General+Savio,+Avenida+Savio,+San+Nicol%C3%A1s,+Provincia+de+Buenos+Aires/Av.+Bordabehere+3811,+S2002+KNC,+Santa+Fe/@-33.1619087,-60.721833,10z/data=!3m1!4b1!4m20!4m19!1m5!1m1!1s0x95b7ab55726d7baf:0xff0f95afeea1648d!2m2!1d-60.6737762!2d-32.9335525!1m5!1m1!1s0x95b75d5846d485fd:0xfc84b0329c6e2d52!2m2!1d-60.1600338!2d-33.373199!1m5!1m1!1s0x95b7ab55726d7baf:0xff0f95afeea1648d!2m2!1d-60.6737762!2d-32.9335525!3e0</t>
  </si>
  <si>
    <t>Rio Negro 6442</t>
  </si>
  <si>
    <t>https://www.google.com/maps/dir/Av.+Bordabehere+3811,+S2002+KNC,+Santa+Fe/R%C3%ADo+Negro+6442,+IHH,+Santa+Fe/Av.+Bordabehere+3811,+S2002+KNC,+Santa+Fe/@-32.9386555,-60.7005833,15z/data=!3m1!4b1!4m20!4m19!1m5!1m1!1s0x95b7ab55726d7baf:0xff0f95afeea1648d!2m2!1d-60.6737762!2d-32.9335525!1m5!1m1!1s0x95b7accd8758b921:0xc2921004b98a659a!2m2!1d-60.7098809!2d-32.9437059!1m5!1m1!1s0x95b7ab55726d7baf:0xff0f95afeea1648d!2m2!1d-60.6737762!2d-32.9335525!3e0</t>
  </si>
  <si>
    <t>Dean Funes 150</t>
  </si>
  <si>
    <t>https://www.google.com/maps/dir/Av.+Bordabehere+3811,+S2002+KNC,+Santa+Fe/De%C3%A1n+Funes+150,+S2000+Rosario,+Santa+Fe/Av.+Bordabehere+3811,+S2002+KNC,+Santa+Fe/@-32.9386555,-60.7005833,15z/data=!4m20!4m19!1m5!1m1!1s0x95b7ab55726d7baf:0xff0f95afeea1648d!2m2!1d-60.6737762!2d-32.9335525!1m5!1m1!1s0x95b7abb477154c4b:0xffb94037ef518cd3!2m2!1d-60.6320473!2d-32.9776967!1m5!1m1!1s0x95b7ab55726d7baf:0xff0f95afeea1648d!2m2!1d-60.6737762!2d-32.9335525!3e0</t>
  </si>
  <si>
    <t>Entre Ríos 729 Piso 7º Oficina 1</t>
  </si>
  <si>
    <t>https://www.google.com/maps/dir/Av.+Bordabehere+3811,+S2002+KNC,+Santa+Fe/Entre+R%C3%ADos+729,+Rosario,+Santa+Fe/Av.+Bordabehere+3811,+S2002+KNC,+Santa+Fe/@-32.9402215,-60.6660442,15z/data=!3m1!4b1!4m20!4m19!1m5!1m1!1s0x95b7ab55726d7baf:0xff0f95afeea1648d!2m2!1d-60.6737762!2d-32.9335525!1m5!1m1!1s0x95b7ab178c7fecf7:0x6059a9a8ae9b6f34!2m2!1d-60.6405074!2d-32.9450932!1m5!1m1!1s0x95b7ab55726d7baf:0xff0f95afeea1648d!2m2!1d-60.6737762!2d-32.9335525!3e0</t>
  </si>
  <si>
    <t>Av. Blas Parera 5851</t>
  </si>
  <si>
    <t>https://www.google.com/maps/dir/Urquiza+4703,+EKZ,+Santa+Fe/Av.+Blas+Parera+5851,+Santa+Fe/Urquiza+4703,+S3002+EKZ,+Santa+Fe/@-31.6145429,-60.7216761,15z/data=!3m1!4b1!4m20!4m19!1m5!1m1!1s0x95b5a9db0305adfb:0x1c8db6c9774b3259!2m2!1d-60.7066956!2d-31.6229525!1m5!1m1!1s0x95b507784654d959:0x1dc2621bf20bce34!2m2!1d-60.7194264!2d-31.6088671!1m5!1m1!1s0x95b5a9db0305adfb:0x1c8db6c9774b3259!2m2!1d-60.7066956!2d-31.6229525!3e0</t>
  </si>
  <si>
    <t>Rivadavia 1701</t>
  </si>
  <si>
    <t>https://www.google.com/maps/dir/Av.+Bordabehere+3811,+S2002+KNC,+Santa+Fe/Yara+Argentina+S.A.+-+San+Nicol%C3%A1s,+Doctor+Rom%C3%A1n+Subiza,+San+Nicol%C3%A1s+de+Los+Arroyos,+Provincia+de+Buenos+Aires/Av.+Bordabehere+3811,+S2002+KNC,+Santa+Fe/@-33.1619087,-60.7312886,10z/data=!3m1!4b1!4m20!4m19!1m5!1m1!1s0x95b7ab55726d7baf:0xff0f95afeea1648d!2m2!1d-60.6737762!2d-32.9335525!1m5!1m1!1s0x95b75db815916bff:0x44e0e63065b16974!2m2!1d-60.1791564!2d-33.3556043!1m5!1m1!1s0x95b7ab55726d7baf:0xff0f95afeea1648d!2m2!1d-60.6737762!2d-32.9335525!3e0</t>
  </si>
  <si>
    <t>714479-2</t>
  </si>
  <si>
    <t>713899-5</t>
  </si>
  <si>
    <t>ZDBXBJCH1000GKA</t>
  </si>
  <si>
    <t>713880-7</t>
  </si>
  <si>
    <t>713622-5</t>
  </si>
  <si>
    <t>713491-7</t>
  </si>
  <si>
    <t>713398-1</t>
  </si>
  <si>
    <t>713267-2</t>
  </si>
  <si>
    <t>712913-7</t>
  </si>
  <si>
    <t>712868-8</t>
  </si>
  <si>
    <t>712867-9</t>
  </si>
  <si>
    <t>712866-0</t>
  </si>
  <si>
    <t>712865-1</t>
  </si>
  <si>
    <t>712864-2</t>
  </si>
  <si>
    <t>712863-3</t>
  </si>
  <si>
    <t>712862-4</t>
  </si>
  <si>
    <t>712861-5</t>
  </si>
  <si>
    <t>712860-6</t>
  </si>
  <si>
    <t>712859-0</t>
  </si>
  <si>
    <t>712763-4</t>
  </si>
  <si>
    <t>712762-5</t>
  </si>
  <si>
    <t>712761-6</t>
  </si>
  <si>
    <t>712502-5</t>
  </si>
  <si>
    <t>712501-6</t>
  </si>
  <si>
    <t>712500-7</t>
  </si>
  <si>
    <t>712499-2</t>
  </si>
  <si>
    <t>712498-3</t>
  </si>
  <si>
    <t>712497-4</t>
  </si>
  <si>
    <t>712496-5</t>
  </si>
  <si>
    <t>712495-6</t>
  </si>
  <si>
    <t>712491-0</t>
  </si>
  <si>
    <t>712490-1</t>
  </si>
  <si>
    <t>712489-5</t>
  </si>
  <si>
    <t>712488-6</t>
  </si>
  <si>
    <t>712486-8</t>
  </si>
  <si>
    <t>712483-1</t>
  </si>
  <si>
    <t>712482-2</t>
  </si>
  <si>
    <t>712481-3</t>
  </si>
  <si>
    <t>712480-4</t>
  </si>
  <si>
    <t>712477-0</t>
  </si>
  <si>
    <t>712476-1</t>
  </si>
  <si>
    <t>712475-2</t>
  </si>
  <si>
    <t>712401-7</t>
  </si>
  <si>
    <t>712199-5</t>
  </si>
  <si>
    <t>712196-8</t>
  </si>
  <si>
    <t>712194-0</t>
  </si>
  <si>
    <t>712193-1</t>
  </si>
  <si>
    <t>712192-2</t>
  </si>
  <si>
    <t>712191-3</t>
  </si>
  <si>
    <t>ZDBXBJFM6000RAJ</t>
  </si>
  <si>
    <t>712190-4</t>
  </si>
  <si>
    <t>712189-8</t>
  </si>
  <si>
    <t>712188-9</t>
  </si>
  <si>
    <t>712187-0</t>
  </si>
  <si>
    <t>712091-4</t>
  </si>
  <si>
    <t>ZDBXBJEJ9000BAV</t>
  </si>
  <si>
    <t>712063-1</t>
  </si>
  <si>
    <t>712062-2</t>
  </si>
  <si>
    <t>712046-4</t>
  </si>
  <si>
    <t>712045-5</t>
  </si>
  <si>
    <t>712044-6</t>
  </si>
  <si>
    <t>712043-7</t>
  </si>
  <si>
    <t>712042-8</t>
  </si>
  <si>
    <t>712041-9</t>
  </si>
  <si>
    <t>712040-0</t>
  </si>
  <si>
    <t>712039-4</t>
  </si>
  <si>
    <t>712038-5</t>
  </si>
  <si>
    <t>712037-6</t>
  </si>
  <si>
    <t>712036-7</t>
  </si>
  <si>
    <t>712035-8</t>
  </si>
  <si>
    <t>712034-9</t>
  </si>
  <si>
    <t>712033-0</t>
  </si>
  <si>
    <t>712032-1</t>
  </si>
  <si>
    <t>712031-2</t>
  </si>
  <si>
    <t>711975-0</t>
  </si>
  <si>
    <t>711974-1</t>
  </si>
  <si>
    <t>Rosario -Logistica Calico</t>
  </si>
  <si>
    <t>711973-2</t>
  </si>
  <si>
    <t>711972-3</t>
  </si>
  <si>
    <t>Z8PMB3BC600231W</t>
  </si>
  <si>
    <t>711971-4</t>
  </si>
  <si>
    <t>711970-5</t>
  </si>
  <si>
    <t>711969-9</t>
  </si>
  <si>
    <t>711968-0</t>
  </si>
  <si>
    <t>711967-1</t>
  </si>
  <si>
    <t>711947-7</t>
  </si>
  <si>
    <t>711891-9</t>
  </si>
  <si>
    <t>711800-7</t>
  </si>
  <si>
    <t>8W91B1CZ700009V</t>
  </si>
  <si>
    <t>711784-0</t>
  </si>
  <si>
    <t>711681-4</t>
  </si>
  <si>
    <t>711680-5</t>
  </si>
  <si>
    <t>711679-9</t>
  </si>
  <si>
    <t>ZDBXBJCH20002DL</t>
  </si>
  <si>
    <t>711678-0</t>
  </si>
  <si>
    <t>711677-1</t>
  </si>
  <si>
    <t>711674-4</t>
  </si>
  <si>
    <t>711627-6</t>
  </si>
  <si>
    <t>711626-7</t>
  </si>
  <si>
    <t>711625-8</t>
  </si>
  <si>
    <t>711622-1</t>
  </si>
  <si>
    <t>711621-2</t>
  </si>
  <si>
    <t>711619-7</t>
  </si>
  <si>
    <t>711618-8</t>
  </si>
  <si>
    <t>711617-9</t>
  </si>
  <si>
    <t>79G4MG1</t>
  </si>
  <si>
    <t>711614-2</t>
  </si>
  <si>
    <t>711613-3</t>
  </si>
  <si>
    <t>711612-4</t>
  </si>
  <si>
    <t>711611-5</t>
  </si>
  <si>
    <t>711585-1</t>
  </si>
  <si>
    <t>711401-0</t>
  </si>
  <si>
    <t>711294-2</t>
  </si>
  <si>
    <t>Nueva Cotar de la Gente</t>
  </si>
  <si>
    <t>710786-1</t>
  </si>
  <si>
    <t>Cartocor</t>
  </si>
  <si>
    <t>Oficina Santa Fe (Ventas)</t>
  </si>
  <si>
    <t>MXBC179G4Y</t>
  </si>
  <si>
    <t>710785-2</t>
  </si>
  <si>
    <t>BRBSPDM0PH</t>
  </si>
  <si>
    <t>710591-5</t>
  </si>
  <si>
    <t>709972-0</t>
  </si>
  <si>
    <t>8W91B1AZ700118E</t>
  </si>
  <si>
    <t>709032-1</t>
  </si>
  <si>
    <t>ZELLBJFJB00047T</t>
  </si>
  <si>
    <t>709031-2</t>
  </si>
  <si>
    <t>717505-7</t>
  </si>
  <si>
    <t>717429-8</t>
  </si>
  <si>
    <t>717282-9</t>
  </si>
  <si>
    <t>717280-1</t>
  </si>
  <si>
    <t>717275-9</t>
  </si>
  <si>
    <t>717273-1</t>
  </si>
  <si>
    <t>717163-5</t>
  </si>
  <si>
    <t>717083-0</t>
  </si>
  <si>
    <t>717061-8</t>
  </si>
  <si>
    <t>717060-9</t>
  </si>
  <si>
    <t>717059-3</t>
  </si>
  <si>
    <t>717058-4</t>
  </si>
  <si>
    <t>717057-5</t>
  </si>
  <si>
    <t>717056-6</t>
  </si>
  <si>
    <t>717055-7</t>
  </si>
  <si>
    <t>717054-8</t>
  </si>
  <si>
    <t>717053-9</t>
  </si>
  <si>
    <t>717051-1</t>
  </si>
  <si>
    <t>717050-2</t>
  </si>
  <si>
    <t>717049-6</t>
  </si>
  <si>
    <t>716999-5</t>
  </si>
  <si>
    <t>716997-7</t>
  </si>
  <si>
    <t>716996-8</t>
  </si>
  <si>
    <t>716995-9</t>
  </si>
  <si>
    <t>716994-0</t>
  </si>
  <si>
    <t>716914-4</t>
  </si>
  <si>
    <t>716888-0</t>
  </si>
  <si>
    <t>716877-4</t>
  </si>
  <si>
    <t>ZDBXBJCF700081X</t>
  </si>
  <si>
    <t>716823-3</t>
  </si>
  <si>
    <t>716822-4</t>
  </si>
  <si>
    <t>716817-2</t>
  </si>
  <si>
    <t>716816-3</t>
  </si>
  <si>
    <t>716815-4</t>
  </si>
  <si>
    <t>716814-5</t>
  </si>
  <si>
    <t>716813-6</t>
  </si>
  <si>
    <t>790FWFF</t>
  </si>
  <si>
    <t>716811-8</t>
  </si>
  <si>
    <t>716810-9</t>
  </si>
  <si>
    <t>716640-2</t>
  </si>
  <si>
    <t>716608-6</t>
  </si>
  <si>
    <t>Z8PMB3BC600269M</t>
  </si>
  <si>
    <t>716543-0</t>
  </si>
  <si>
    <t>716536-0</t>
  </si>
  <si>
    <t>0ACTBJFJ40003LT</t>
  </si>
  <si>
    <t>716514-8</t>
  </si>
  <si>
    <t>716513-9</t>
  </si>
  <si>
    <t>716512-0</t>
  </si>
  <si>
    <t>716511-1</t>
  </si>
  <si>
    <t>716510-2</t>
  </si>
  <si>
    <t>716444-0</t>
  </si>
  <si>
    <t>716443-1</t>
  </si>
  <si>
    <t>716442-2</t>
  </si>
  <si>
    <t>716440-4</t>
  </si>
  <si>
    <t>716439-8</t>
  </si>
  <si>
    <t>716431-6</t>
  </si>
  <si>
    <t>716430-7</t>
  </si>
  <si>
    <t>716429-1</t>
  </si>
  <si>
    <t>716428-2</t>
  </si>
  <si>
    <t>716427-3</t>
  </si>
  <si>
    <t>716426-4</t>
  </si>
  <si>
    <t>716424-6</t>
  </si>
  <si>
    <t>0C52BJFK10000MH</t>
  </si>
  <si>
    <t>716423-7</t>
  </si>
  <si>
    <t>0C52BJFK10000JL</t>
  </si>
  <si>
    <t>716422-8</t>
  </si>
  <si>
    <t>0C52BJFK100009J</t>
  </si>
  <si>
    <t>716421-9</t>
  </si>
  <si>
    <t>0C52BJFK100008Z</t>
  </si>
  <si>
    <t>716413-0</t>
  </si>
  <si>
    <t>716387-6</t>
  </si>
  <si>
    <t>716348-7</t>
  </si>
  <si>
    <t>716283-1</t>
  </si>
  <si>
    <t>716260-0</t>
  </si>
  <si>
    <t>ZELLBJEJ50003KN</t>
  </si>
  <si>
    <t>716259-4</t>
  </si>
  <si>
    <t>ZELLBJEJ50002CV</t>
  </si>
  <si>
    <t>716257-6</t>
  </si>
  <si>
    <t>ZELLBJEJ400024E</t>
  </si>
  <si>
    <t>716255-8</t>
  </si>
  <si>
    <t>716254-9</t>
  </si>
  <si>
    <t>Z6J1B1BDA0001PD</t>
  </si>
  <si>
    <t>716253-0</t>
  </si>
  <si>
    <t>716252-1</t>
  </si>
  <si>
    <t>BRBSM6S4YT</t>
  </si>
  <si>
    <t>716251-2</t>
  </si>
  <si>
    <t>BRBSM6S4YD</t>
  </si>
  <si>
    <t>716250-3</t>
  </si>
  <si>
    <t>BRBSM6S4Y3</t>
  </si>
  <si>
    <t>716249-7</t>
  </si>
  <si>
    <t>BRBSM6S4XL</t>
  </si>
  <si>
    <t>716248-8</t>
  </si>
  <si>
    <t>BRBSM6S4V0</t>
  </si>
  <si>
    <t>716185-0</t>
  </si>
  <si>
    <t>716131-9</t>
  </si>
  <si>
    <t>117 - FIRMAT</t>
  </si>
  <si>
    <t>076UBJFG800005B</t>
  </si>
  <si>
    <t>716125-8</t>
  </si>
  <si>
    <t>716124-9</t>
  </si>
  <si>
    <t>ZDBXB8GK1F0094H</t>
  </si>
  <si>
    <t>715942-0</t>
  </si>
  <si>
    <t>715803-2</t>
  </si>
  <si>
    <t>715650-2</t>
  </si>
  <si>
    <t>715643-2</t>
  </si>
  <si>
    <t>076UBJFJ30004XJ</t>
  </si>
  <si>
    <t>715450-4</t>
  </si>
  <si>
    <t>715410-6</t>
  </si>
  <si>
    <t>715383-3</t>
  </si>
  <si>
    <t>CPCEPBA</t>
  </si>
  <si>
    <t>Delegación San Nicolás</t>
  </si>
  <si>
    <t>ZELLBJEJ500047B</t>
  </si>
  <si>
    <t>714930-8</t>
  </si>
  <si>
    <t>714629-5</t>
  </si>
  <si>
    <t>714547-2</t>
  </si>
  <si>
    <t>714538-4</t>
  </si>
  <si>
    <t>714468-6</t>
  </si>
  <si>
    <t>714266-0</t>
  </si>
  <si>
    <t>714259-0</t>
  </si>
  <si>
    <t>713724-2</t>
  </si>
  <si>
    <t>713530-5</t>
  </si>
  <si>
    <t>713522-6</t>
  </si>
  <si>
    <t>710782-5</t>
  </si>
  <si>
    <t>Oficina Rosario (Ventas)</t>
  </si>
  <si>
    <t>MXBC17QG6V</t>
  </si>
  <si>
    <t>710781-6</t>
  </si>
  <si>
    <t>BRBSPDM0J1</t>
  </si>
  <si>
    <r>
      <t> </t>
    </r>
    <r>
      <rPr>
        <b/>
        <sz val="8"/>
        <color rgb="FF333333"/>
        <rFont val="Arial"/>
        <family val="2"/>
      </rPr>
      <t>Pellegrini N° 224</t>
    </r>
  </si>
  <si>
    <t>Mitre 483</t>
  </si>
  <si>
    <t>BUENOS AIRES 902</t>
  </si>
  <si>
    <t>FIRMAT</t>
  </si>
  <si>
    <t>https://www.google.com/maps/dir/Avenida+Bordabehere+3811,+KNC,+Santa+Fe/Pellegrini+224,+San+Nicol%C3%A1s+de+Los+Arroyos,+Provincia+de+Buenos+Aires/Av.+Bordabehere+3811,+S2002PBP+S2002PBP+S2002PBP,+Santa+Fe/@</t>
  </si>
  <si>
    <t>60.7494548,10z/data=!3m1!4b1!4m20!4m19!1m5!1m1!1s0x95b7ab55726d7baf:0xff0f95afeea1648d!2m2!1d</t>
  </si>
  <si>
    <t>60.6737762!2d</t>
  </si>
  <si>
    <t>32.9335525!1m5!1m1!1s0x95b7678933417e23:0xa49fe3e244f5a52c!2m2!1d</t>
  </si>
  <si>
    <t>60.2167863!2d</t>
  </si>
  <si>
    <t>33.3326067!1m5!1m1!1s0x95b7ab557222f8f5:0x712180d3c2c8239f!2m2!1d</t>
  </si>
  <si>
    <t>60.6738423!2d</t>
  </si>
  <si>
    <t>32.9336179!3e0</t>
  </si>
  <si>
    <t>https://www.google.com/maps/dir/Avenida+Bordabehere+3811,+KNC,+Santa+Fe/Bartolom%C3%A9+Mitre+483,+San+Nicol%C3%A1s+de+Los+Arroyos,+Provincia+de+Buenos+Aires/Av.+Bordabehere+3811,+S2002PBP+S2002PBP+S2002PBP,+Santa+Fe/@</t>
  </si>
  <si>
    <t>60.7530351,10z/data=!3m1!4b1!4m20!4m19!1m5!1m1!1s0x95b7ab55726d7baf:0xff0f95afeea1648d!2m2!1d</t>
  </si>
  <si>
    <t>32.9335525!1m5!1m1!1s0x95b767904934abc5:0xd486627d1a00faf!2m2!1d</t>
  </si>
  <si>
    <t>60.224462!2d</t>
  </si>
  <si>
    <t>33.33594!1m5!1m1!1s0x95b7ab557222f8f5:0x712180d3c2c8239f!2m2!1d</t>
  </si>
  <si>
    <t>https://www.google.com/maps/dir/Avenida+Bordabehere+3811,+KNC,+Santa+Fe/Buenos+Aires+902,+Firmat,+Santa+Fe/Av.+Bordabehere+3811,+S2002PBP+S2002PBP+S2002PBP,+Santa+Fe/@</t>
  </si>
  <si>
    <t>61.3619763,10z/data=!3m1!4b1!4m20!4m19!1m5!1m1!1s0x95b7ab55726d7baf:0xff0f95afeea1648d!2m2!1d</t>
  </si>
  <si>
    <t>32.9335525!1m5!1m1!1s0x95c822991b122b63:0x3de98bced769d2a0!2m2!1d</t>
  </si>
  <si>
    <t>61.4871701!2d</t>
  </si>
  <si>
    <t>33.45942!1m5!1m1!1s0x95b7ab557222f8f5:0x712180d3c2c8239f!2m2!1d</t>
  </si>
  <si>
    <t>720777-2</t>
  </si>
  <si>
    <t>720776-3</t>
  </si>
  <si>
    <t>720775-4</t>
  </si>
  <si>
    <t>791YFTK</t>
  </si>
  <si>
    <t>720774-5</t>
  </si>
  <si>
    <t>720773-6</t>
  </si>
  <si>
    <t>ZELLBJAH70003GN</t>
  </si>
  <si>
    <t>720772-7</t>
  </si>
  <si>
    <t>720639-3</t>
  </si>
  <si>
    <t>ZDBXBJCH20005HZ</t>
  </si>
  <si>
    <t>720638-4</t>
  </si>
  <si>
    <t>720637-5</t>
  </si>
  <si>
    <t>076UBJFH20006ZW</t>
  </si>
  <si>
    <t>720623-2</t>
  </si>
  <si>
    <t>224 - San Nicolas</t>
  </si>
  <si>
    <t>076UBJFJ300046B</t>
  </si>
  <si>
    <t>720583-5</t>
  </si>
  <si>
    <t>720582-6</t>
  </si>
  <si>
    <t>720581-7</t>
  </si>
  <si>
    <t>Z8PMB3BC600089M</t>
  </si>
  <si>
    <t>720482-7</t>
  </si>
  <si>
    <t>720481-8</t>
  </si>
  <si>
    <t>720479-3</t>
  </si>
  <si>
    <t>720478-4</t>
  </si>
  <si>
    <t>720477-5</t>
  </si>
  <si>
    <t>720435-9</t>
  </si>
  <si>
    <t>720392-5</t>
  </si>
  <si>
    <t>ZDBXB8GK1F00J2V</t>
  </si>
  <si>
    <t>720149-5</t>
  </si>
  <si>
    <t>720074-2</t>
  </si>
  <si>
    <t>ZDBXBJCF700010N</t>
  </si>
  <si>
    <t>720064-5</t>
  </si>
  <si>
    <t>720026-5</t>
  </si>
  <si>
    <t>ZELLBJFK20006XN</t>
  </si>
  <si>
    <t>720025-6</t>
  </si>
  <si>
    <t>720024-7</t>
  </si>
  <si>
    <t>720023-8</t>
  </si>
  <si>
    <t>720022-9</t>
  </si>
  <si>
    <t>720021-0</t>
  </si>
  <si>
    <t>720020-1</t>
  </si>
  <si>
    <t>720019-5</t>
  </si>
  <si>
    <t>720018-6</t>
  </si>
  <si>
    <t>ZDBXB8GK1F00HNY</t>
  </si>
  <si>
    <t>720017-7</t>
  </si>
  <si>
    <t>ZDBXB8GK1F00BWH</t>
  </si>
  <si>
    <t>720016-8</t>
  </si>
  <si>
    <t>ZDBXB8GK1F0073F</t>
  </si>
  <si>
    <t>720015-9</t>
  </si>
  <si>
    <t>719886-3</t>
  </si>
  <si>
    <t>719885-4</t>
  </si>
  <si>
    <t>719853-5</t>
  </si>
  <si>
    <t>719771-2</t>
  </si>
  <si>
    <t>719746-6</t>
  </si>
  <si>
    <t>719687-4</t>
  </si>
  <si>
    <t>ZDBXB8GH2F001ZA</t>
  </si>
  <si>
    <t>719338-1</t>
  </si>
  <si>
    <t>719336-3</t>
  </si>
  <si>
    <t>719209-0</t>
  </si>
  <si>
    <t>719166-6</t>
  </si>
  <si>
    <t>719084-3</t>
  </si>
  <si>
    <t>719051-5</t>
  </si>
  <si>
    <t>718931-5</t>
  </si>
  <si>
    <t>718930-6</t>
  </si>
  <si>
    <t>718928-1</t>
  </si>
  <si>
    <t>718831-6</t>
  </si>
  <si>
    <t>718779-7</t>
  </si>
  <si>
    <t>718757-5</t>
  </si>
  <si>
    <t>718756-6</t>
  </si>
  <si>
    <t>718755-7</t>
  </si>
  <si>
    <t>718753-9</t>
  </si>
  <si>
    <t>718752-0</t>
  </si>
  <si>
    <t>718514-2</t>
  </si>
  <si>
    <t>718513-3</t>
  </si>
  <si>
    <t>718442-6</t>
  </si>
  <si>
    <t>718418-9</t>
  </si>
  <si>
    <t>718129-8</t>
  </si>
  <si>
    <t>718039-6</t>
  </si>
  <si>
    <t>718019-2</t>
  </si>
  <si>
    <t>ZDBXB8GK2F0030P</t>
  </si>
  <si>
    <t>717896-6</t>
  </si>
  <si>
    <t>Rosario 2</t>
  </si>
  <si>
    <t>79G3Z69</t>
  </si>
  <si>
    <t>717791-2</t>
  </si>
  <si>
    <t>717790-3</t>
  </si>
  <si>
    <t>717662-1</t>
  </si>
  <si>
    <t>717530-3</t>
  </si>
  <si>
    <t>717523-3</t>
  </si>
  <si>
    <t>717495-1</t>
  </si>
  <si>
    <t>717368-8</t>
  </si>
  <si>
    <t>Jorgelina Aprile</t>
  </si>
  <si>
    <t>PF32D9CL</t>
  </si>
  <si>
    <t>717290-8</t>
  </si>
  <si>
    <t>076UBJFJA0007AJ</t>
  </si>
  <si>
    <t>717289-2</t>
  </si>
  <si>
    <t>076UBJFJA0006JX</t>
  </si>
  <si>
    <t>717272-2</t>
  </si>
  <si>
    <t>712786-5</t>
  </si>
  <si>
    <t>697008-4</t>
  </si>
  <si>
    <t>https://www.google.com.ar/maps/dir/Avenida+Bordabehere+3811,+KNC,+Provincia+de+Santa+Fe/Rivadavia+1150,+San+Nicol%C3%A1s+de+Los+Arroyos,+Provincia+de+Buenos+Aires/Av.+Bordabehere+3811,+S2002+KNC,+Santa+Fe/@-33.1619087,-60.7348274,10z/data=!3m1!4b1!4m20!4m19!1m5!1m1!1s0x95b7ab55726d7baf:0xff0f95afeea1648d!2m2!1d-60.6737762!2d-32.9335525!1m5!1m1!1s0x95b75d980ff0c3ff:0x4fd93bc2ac6fc872!2m2!1d-60.1889539!2d-33.3479812!1m5!1m1!1s0x95b7ab55726d7baf:0xff0f95afeea1648d!2m2!1d-60.6737762!2d-32.9335525!3e0</t>
  </si>
  <si>
    <t>Rivadavia 1150</t>
  </si>
  <si>
    <t>723257-4</t>
  </si>
  <si>
    <t>723036-3</t>
  </si>
  <si>
    <t>722938-5</t>
  </si>
  <si>
    <t>722760-6</t>
  </si>
  <si>
    <t>722758-1</t>
  </si>
  <si>
    <t>722510-3</t>
  </si>
  <si>
    <t>076UBJFJA00051D</t>
  </si>
  <si>
    <t>722509-7</t>
  </si>
  <si>
    <t>076UBJFJA00052Z</t>
  </si>
  <si>
    <t>722485-8</t>
  </si>
  <si>
    <t>722410-4</t>
  </si>
  <si>
    <t>Brenda Michaut</t>
  </si>
  <si>
    <t>PF31JMA4</t>
  </si>
  <si>
    <t>722188-8</t>
  </si>
  <si>
    <t>722167-5</t>
  </si>
  <si>
    <t>722084-3</t>
  </si>
  <si>
    <t>722060-3</t>
  </si>
  <si>
    <t>SP000727</t>
  </si>
  <si>
    <t>721988-3</t>
  </si>
  <si>
    <t>721950-0</t>
  </si>
  <si>
    <t>721921-8</t>
  </si>
  <si>
    <t>721906-9</t>
  </si>
  <si>
    <t>721878-7</t>
  </si>
  <si>
    <t>721877-8</t>
  </si>
  <si>
    <t>721876-9</t>
  </si>
  <si>
    <t>721875-0</t>
  </si>
  <si>
    <t>721874-1</t>
  </si>
  <si>
    <t>721873-2</t>
  </si>
  <si>
    <t>721871-4</t>
  </si>
  <si>
    <t>721870-5</t>
  </si>
  <si>
    <t>721868-0</t>
  </si>
  <si>
    <t>721867-1</t>
  </si>
  <si>
    <t>721866-2</t>
  </si>
  <si>
    <t>721829-1</t>
  </si>
  <si>
    <t>79G49C9</t>
  </si>
  <si>
    <t>721823-7</t>
  </si>
  <si>
    <t>721805-1</t>
  </si>
  <si>
    <t>721740-5</t>
  </si>
  <si>
    <t>721702-5</t>
  </si>
  <si>
    <t>076UBJFJ90000JY</t>
  </si>
  <si>
    <t>721623-9</t>
  </si>
  <si>
    <t>721536-4</t>
  </si>
  <si>
    <t>721297-8</t>
  </si>
  <si>
    <t>720821-2</t>
  </si>
  <si>
    <t>720820-3</t>
  </si>
  <si>
    <t>720782-4</t>
  </si>
  <si>
    <t>720621-4</t>
  </si>
  <si>
    <t>720516-3</t>
  </si>
  <si>
    <t>720438-6</t>
  </si>
  <si>
    <t>79G3Z6X</t>
  </si>
  <si>
    <t>719860-5</t>
  </si>
  <si>
    <t>719633-3</t>
  </si>
  <si>
    <t>Bartolome Mitre 329</t>
  </si>
  <si>
    <t>https://www.google.com/maps/dir/Av.+Bordabehere+3811,+S2002+KNC,+Santa+Fe/Bartolom%C3%A9+Mitre+329,+San+Nicol%C3%A1s+de+Los+Arroyos,+Provincia+de+Buenos+Aires/Av.+Bordabehere+3811,+S2002+KNC,+Santa+Fe/@-33.1491233,-60.751559,10z/data=!3m1!4b1!4m19!4m18!1m5!1m1!1s0x95b7ab55726d7baf:0xff0f95afeea1648d!2m2!1d-60.6737762!2d-32.9335525!1m5!1m1!1s0x95b7678e12b1f9b7:0x13122feee905c131!2m2!1d-60.22123!2d-33.3327979!1m5!1m1!1s0x95b7ab55726d7baf:0xff0f95afeea1648d!2m2!1d-60.6737762!2d-32.9335525</t>
  </si>
  <si>
    <t>726411-1</t>
  </si>
  <si>
    <t>726134-5</t>
  </si>
  <si>
    <t>726060-1</t>
  </si>
  <si>
    <t>725953-5</t>
  </si>
  <si>
    <t>725929-8</t>
  </si>
  <si>
    <t>725775-9</t>
  </si>
  <si>
    <t>725756-4</t>
  </si>
  <si>
    <t>725746-7</t>
  </si>
  <si>
    <t>725305-4</t>
  </si>
  <si>
    <t>725134-8</t>
  </si>
  <si>
    <t>076UBJFJ30002RN</t>
  </si>
  <si>
    <t>725132-0</t>
  </si>
  <si>
    <t>076UBJFJ90000SV</t>
  </si>
  <si>
    <t>725130-2</t>
  </si>
  <si>
    <t>MXBC18NGRX</t>
  </si>
  <si>
    <t>725129-6</t>
  </si>
  <si>
    <t>MXBCQ7T158</t>
  </si>
  <si>
    <t>724857-5</t>
  </si>
  <si>
    <t>724725-7</t>
  </si>
  <si>
    <t>724422-3</t>
  </si>
  <si>
    <t>724421-4</t>
  </si>
  <si>
    <t>724049-4</t>
  </si>
  <si>
    <t>723955-9</t>
  </si>
  <si>
    <t>723908-1</t>
  </si>
  <si>
    <t>7946KW7</t>
  </si>
  <si>
    <t>723780-7</t>
  </si>
  <si>
    <t>723669-5</t>
  </si>
  <si>
    <t>723517-3</t>
  </si>
  <si>
    <t>723373-1</t>
  </si>
  <si>
    <t>723368-9</t>
  </si>
  <si>
    <t>723367-0</t>
  </si>
  <si>
    <t>723364-3</t>
  </si>
  <si>
    <t>723351-9</t>
  </si>
  <si>
    <t>723014-1</t>
  </si>
  <si>
    <t>722252-2</t>
  </si>
  <si>
    <t>ZDBXBJCH1000HBV</t>
  </si>
  <si>
    <t>720138-9</t>
  </si>
  <si>
    <t>720137-0</t>
  </si>
  <si>
    <t>720136-1</t>
  </si>
  <si>
    <t>ZDBXBJAH20002WD</t>
  </si>
  <si>
    <t>720133-4</t>
  </si>
  <si>
    <t>720132-5</t>
  </si>
  <si>
    <t>720131-6</t>
  </si>
  <si>
    <t>720129-1</t>
  </si>
  <si>
    <t>720127-3</t>
  </si>
  <si>
    <t>728375-4</t>
  </si>
  <si>
    <t>728369-3</t>
  </si>
  <si>
    <t>728368-4</t>
  </si>
  <si>
    <t>728366-6</t>
  </si>
  <si>
    <t>728293-1</t>
  </si>
  <si>
    <t>728292-2</t>
  </si>
  <si>
    <t>728291-3</t>
  </si>
  <si>
    <t>728290-4</t>
  </si>
  <si>
    <t>728287-0</t>
  </si>
  <si>
    <t>728286-1</t>
  </si>
  <si>
    <t>728285-2</t>
  </si>
  <si>
    <t>728283-4</t>
  </si>
  <si>
    <t>728282-5</t>
  </si>
  <si>
    <t>728281-6</t>
  </si>
  <si>
    <t>728280-7</t>
  </si>
  <si>
    <t>728279-1</t>
  </si>
  <si>
    <t>727961-8</t>
  </si>
  <si>
    <t>727824-8</t>
  </si>
  <si>
    <t>727776-2</t>
  </si>
  <si>
    <t>727679-0</t>
  </si>
  <si>
    <t>727656-9</t>
  </si>
  <si>
    <t>727618-9</t>
  </si>
  <si>
    <t>727571-9</t>
  </si>
  <si>
    <t>727501-0</t>
  </si>
  <si>
    <t>727489-9</t>
  </si>
  <si>
    <t>727419-0</t>
  </si>
  <si>
    <t>727324-3</t>
  </si>
  <si>
    <t>Z8PMB3BC600399Z</t>
  </si>
  <si>
    <t>727312-8</t>
  </si>
  <si>
    <t>727244-8</t>
  </si>
  <si>
    <t>ZDBXBJAG8000DWH</t>
  </si>
  <si>
    <t>727243-9</t>
  </si>
  <si>
    <t>076UBJFH200048T</t>
  </si>
  <si>
    <t>727242-0</t>
  </si>
  <si>
    <t>727167-0</t>
  </si>
  <si>
    <t>727166-1</t>
  </si>
  <si>
    <t>727141-2</t>
  </si>
  <si>
    <t>727130-6</t>
  </si>
  <si>
    <t>727129-0</t>
  </si>
  <si>
    <t>727126-3</t>
  </si>
  <si>
    <t>727125-4</t>
  </si>
  <si>
    <t>727122-7</t>
  </si>
  <si>
    <t>727121-8</t>
  </si>
  <si>
    <t>727120-9</t>
  </si>
  <si>
    <t>727118-4</t>
  </si>
  <si>
    <t>727117-5</t>
  </si>
  <si>
    <t>726682-7</t>
  </si>
  <si>
    <t>CNB1N3T4LR</t>
  </si>
  <si>
    <t>726671-1</t>
  </si>
  <si>
    <t>726648-3</t>
  </si>
  <si>
    <t>726620-7</t>
  </si>
  <si>
    <t>0C52BJFK10000FY</t>
  </si>
  <si>
    <t>726561-5</t>
  </si>
  <si>
    <t>726205-2</t>
  </si>
  <si>
    <t>726187-7</t>
  </si>
  <si>
    <t>726141-5</t>
  </si>
  <si>
    <t>730685-1</t>
  </si>
  <si>
    <t>730684-2</t>
  </si>
  <si>
    <t>730663-9</t>
  </si>
  <si>
    <t>730662-0</t>
  </si>
  <si>
    <t>730661-1</t>
  </si>
  <si>
    <t>730660-2</t>
  </si>
  <si>
    <t>730659-6</t>
  </si>
  <si>
    <t>730658-7</t>
  </si>
  <si>
    <t>730655-0</t>
  </si>
  <si>
    <t>730654-1</t>
  </si>
  <si>
    <t>730653-2</t>
  </si>
  <si>
    <t>730652-3</t>
  </si>
  <si>
    <t>730651-4</t>
  </si>
  <si>
    <t>730650-5</t>
  </si>
  <si>
    <t>730649-9</t>
  </si>
  <si>
    <t>730648-0</t>
  </si>
  <si>
    <t>730647-1</t>
  </si>
  <si>
    <t>730646-2</t>
  </si>
  <si>
    <t>730645-3</t>
  </si>
  <si>
    <t>730635-6</t>
  </si>
  <si>
    <t>730618-9</t>
  </si>
  <si>
    <t>730476-5</t>
  </si>
  <si>
    <t>730381-8</t>
  </si>
  <si>
    <t>ROSARIO CI Shopping PORTAL</t>
  </si>
  <si>
    <t>730363-2</t>
  </si>
  <si>
    <t>730283-7</t>
  </si>
  <si>
    <t>730251-8</t>
  </si>
  <si>
    <t>730161-6</t>
  </si>
  <si>
    <t>730094-5</t>
  </si>
  <si>
    <t>730056-5</t>
  </si>
  <si>
    <t>729995-9</t>
  </si>
  <si>
    <t>729988-9</t>
  </si>
  <si>
    <t>729984-3</t>
  </si>
  <si>
    <t>729873-8</t>
  </si>
  <si>
    <t>729862-2</t>
  </si>
  <si>
    <t>729797-9</t>
  </si>
  <si>
    <t>729736-8</t>
  </si>
  <si>
    <t>729152-2</t>
  </si>
  <si>
    <t>729115-1</t>
  </si>
  <si>
    <t>729016-1</t>
  </si>
  <si>
    <t>728721-9</t>
  </si>
  <si>
    <t>728720-0</t>
  </si>
  <si>
    <t>728718-5</t>
  </si>
  <si>
    <t>728717-6</t>
  </si>
  <si>
    <t>728716-7</t>
  </si>
  <si>
    <t>728715-8</t>
  </si>
  <si>
    <t>728683-0</t>
  </si>
  <si>
    <t>728337-4</t>
  </si>
  <si>
    <t>728314-3</t>
  </si>
  <si>
    <t>728185-3</t>
  </si>
  <si>
    <t>728060-5</t>
  </si>
  <si>
    <t>726881-6</t>
  </si>
  <si>
    <t>14/2 - 17/2 - 17/3</t>
  </si>
  <si>
    <t>733293-5</t>
  </si>
  <si>
    <t>733268-9</t>
  </si>
  <si>
    <t>733259-1</t>
  </si>
  <si>
    <t>733235-1</t>
  </si>
  <si>
    <t>733139-8</t>
  </si>
  <si>
    <t>79G1318</t>
  </si>
  <si>
    <t>733110-3</t>
  </si>
  <si>
    <t>733109-7</t>
  </si>
  <si>
    <t>733064-5</t>
  </si>
  <si>
    <t>733062-7</t>
  </si>
  <si>
    <t>732841-9</t>
  </si>
  <si>
    <t>732834-9</t>
  </si>
  <si>
    <t>732815-4</t>
  </si>
  <si>
    <t>732805-7</t>
  </si>
  <si>
    <t>732804-8</t>
  </si>
  <si>
    <t>732803-9</t>
  </si>
  <si>
    <t>732802-0</t>
  </si>
  <si>
    <t>732801-1</t>
  </si>
  <si>
    <t>732800-2</t>
  </si>
  <si>
    <t>732799-7</t>
  </si>
  <si>
    <t>732798-8</t>
  </si>
  <si>
    <t>732797-9</t>
  </si>
  <si>
    <t>732796-0</t>
  </si>
  <si>
    <t>732795-1</t>
  </si>
  <si>
    <t>732794-2</t>
  </si>
  <si>
    <t>732793-3</t>
  </si>
  <si>
    <t>732792-4</t>
  </si>
  <si>
    <t>732791-5</t>
  </si>
  <si>
    <t>732790-6</t>
  </si>
  <si>
    <t>732789-0</t>
  </si>
  <si>
    <t>732788-1</t>
  </si>
  <si>
    <t>732787-2</t>
  </si>
  <si>
    <t>732786-3</t>
  </si>
  <si>
    <t>732785-4</t>
  </si>
  <si>
    <t>732784-5</t>
  </si>
  <si>
    <t>732646-6</t>
  </si>
  <si>
    <t>732642-0</t>
  </si>
  <si>
    <t>732585-6</t>
  </si>
  <si>
    <t>732583-8</t>
  </si>
  <si>
    <t>732393-7</t>
  </si>
  <si>
    <t>732374-2</t>
  </si>
  <si>
    <t>731999-8</t>
  </si>
  <si>
    <t>731918-3</t>
  </si>
  <si>
    <t>731662-7</t>
  </si>
  <si>
    <t>731605-2</t>
  </si>
  <si>
    <t>731508-0</t>
  </si>
  <si>
    <t>731501-7</t>
  </si>
  <si>
    <t>731500-8</t>
  </si>
  <si>
    <t>731499-3</t>
  </si>
  <si>
    <t>731498-4</t>
  </si>
  <si>
    <t>731497-5</t>
  </si>
  <si>
    <t>731496-6</t>
  </si>
  <si>
    <t>731495-7</t>
  </si>
  <si>
    <t>731494-8</t>
  </si>
  <si>
    <t>731493-9</t>
  </si>
  <si>
    <t>731492-0</t>
  </si>
  <si>
    <t>731358-7</t>
  </si>
  <si>
    <t>731179-2</t>
  </si>
  <si>
    <t>731151-6</t>
  </si>
  <si>
    <t>076UBJFH200080W</t>
  </si>
  <si>
    <t>731136-7</t>
  </si>
  <si>
    <t>730335-9</t>
  </si>
  <si>
    <t>736327-2</t>
  </si>
  <si>
    <t>736257-4</t>
  </si>
  <si>
    <t>736256-5</t>
  </si>
  <si>
    <t>736255-6</t>
  </si>
  <si>
    <t>736254-7</t>
  </si>
  <si>
    <t>736253-8</t>
  </si>
  <si>
    <t>736249-5</t>
  </si>
  <si>
    <t>736248-6</t>
  </si>
  <si>
    <t>736246-8</t>
  </si>
  <si>
    <t>736245-9</t>
  </si>
  <si>
    <t>736244-0</t>
  </si>
  <si>
    <t>736243-1</t>
  </si>
  <si>
    <t>736242-2</t>
  </si>
  <si>
    <t>736111-3</t>
  </si>
  <si>
    <t>736067-3</t>
  </si>
  <si>
    <t>735625-4</t>
  </si>
  <si>
    <t>735624-5</t>
  </si>
  <si>
    <t>735623-6</t>
  </si>
  <si>
    <t>735621-8</t>
  </si>
  <si>
    <t>735619-3</t>
  </si>
  <si>
    <t>735618-4</t>
  </si>
  <si>
    <t>735617-5</t>
  </si>
  <si>
    <t>735616-6</t>
  </si>
  <si>
    <t>735615-7</t>
  </si>
  <si>
    <t>735614-8</t>
  </si>
  <si>
    <t>735612-0</t>
  </si>
  <si>
    <t>735611-1</t>
  </si>
  <si>
    <t>735610-2</t>
  </si>
  <si>
    <t>735396-5</t>
  </si>
  <si>
    <t>735356-7</t>
  </si>
  <si>
    <t>735349-7</t>
  </si>
  <si>
    <t>734974-0</t>
  </si>
  <si>
    <t>734965-2</t>
  </si>
  <si>
    <t>734919-3</t>
  </si>
  <si>
    <t>79G3Z7X</t>
  </si>
  <si>
    <t>734828-2</t>
  </si>
  <si>
    <t>734815-8</t>
  </si>
  <si>
    <t>734451-4</t>
  </si>
  <si>
    <t>734438-3</t>
  </si>
  <si>
    <t>734366-7</t>
  </si>
  <si>
    <t>734320-5</t>
  </si>
  <si>
    <t>076UBJFJA0009BM</t>
  </si>
  <si>
    <t>734268-6</t>
  </si>
  <si>
    <t>734191-5</t>
  </si>
  <si>
    <t>734165-0</t>
  </si>
  <si>
    <t>734093-4</t>
  </si>
  <si>
    <t>734052-7</t>
  </si>
  <si>
    <t>734041-1</t>
  </si>
  <si>
    <t>734040-2</t>
  </si>
  <si>
    <t>734039-6</t>
  </si>
  <si>
    <t>734020-8</t>
  </si>
  <si>
    <t>734019-2</t>
  </si>
  <si>
    <t>734018-3</t>
  </si>
  <si>
    <t>734017-4</t>
  </si>
  <si>
    <t>733622-3</t>
  </si>
  <si>
    <t>733547-3</t>
  </si>
  <si>
    <t>733308-6</t>
  </si>
  <si>
    <t>733274-0</t>
  </si>
  <si>
    <t>733255-5</t>
  </si>
  <si>
    <t>732823-3</t>
  </si>
  <si>
    <t>0ACTBJFK400001D</t>
  </si>
  <si>
    <t>732734-0</t>
  </si>
  <si>
    <t>ZELLBJFK9000W3Z</t>
  </si>
  <si>
    <t>732098-5</t>
  </si>
  <si>
    <t>ZDBXB8GK1F0097X</t>
  </si>
  <si>
    <t>692612-6</t>
  </si>
  <si>
    <t>7946PBN</t>
  </si>
  <si>
    <t>BARTOLOME MITRE 293</t>
  </si>
  <si>
    <t>738544-1</t>
  </si>
  <si>
    <t>738502-5</t>
  </si>
  <si>
    <t>738237-4</t>
  </si>
  <si>
    <t>738132-0</t>
  </si>
  <si>
    <t>738121-4</t>
  </si>
  <si>
    <t>737886-7</t>
  </si>
  <si>
    <t>737869-0</t>
  </si>
  <si>
    <t>737821-0</t>
  </si>
  <si>
    <t>737777-0</t>
  </si>
  <si>
    <t>737769-1</t>
  </si>
  <si>
    <t>737512-5</t>
  </si>
  <si>
    <t>737511-6</t>
  </si>
  <si>
    <t>737510-7</t>
  </si>
  <si>
    <t>737509-1</t>
  </si>
  <si>
    <t>737508-2</t>
  </si>
  <si>
    <t>076UBJFJA00088M</t>
  </si>
  <si>
    <t>737479-1</t>
  </si>
  <si>
    <t>737362-2</t>
  </si>
  <si>
    <t>737353-4</t>
  </si>
  <si>
    <t>737330-3</t>
  </si>
  <si>
    <t>737319-0</t>
  </si>
  <si>
    <t>737269-6</t>
  </si>
  <si>
    <t>737223-4</t>
  </si>
  <si>
    <t>737055-5</t>
  </si>
  <si>
    <t>736996-6</t>
  </si>
  <si>
    <t>736990-2</t>
  </si>
  <si>
    <t>736941-6</t>
  </si>
  <si>
    <t>736856-9</t>
  </si>
  <si>
    <t>736826-8</t>
  </si>
  <si>
    <t>736797-7</t>
  </si>
  <si>
    <t>736753-3</t>
  </si>
  <si>
    <t>736736-6</t>
  </si>
  <si>
    <t>736643-7</t>
  </si>
  <si>
    <t>736504-9</t>
  </si>
  <si>
    <t>736301-4</t>
  </si>
  <si>
    <t>736260-8</t>
  </si>
  <si>
    <t>736259-2</t>
  </si>
  <si>
    <t>736258-3</t>
  </si>
  <si>
    <t>736147-8</t>
  </si>
  <si>
    <t>736146-9</t>
  </si>
  <si>
    <t>736071-6</t>
  </si>
  <si>
    <t>734721-0</t>
  </si>
  <si>
    <t>734545-2</t>
  </si>
  <si>
    <t>Absorvido por el inc 736071-6</t>
  </si>
  <si>
    <t>Absorvido por el inc 736753-3</t>
  </si>
  <si>
    <t>ok</t>
  </si>
  <si>
    <t>Repetido con el 737055-5</t>
  </si>
  <si>
    <t>Cambiar kms a 35 por el viaje a Las Rosas (ASP La California)</t>
  </si>
  <si>
    <t>Absorvido por el inc 737269-6</t>
  </si>
  <si>
    <t>741293-0</t>
  </si>
  <si>
    <t>741292-1</t>
  </si>
  <si>
    <t>741291-2</t>
  </si>
  <si>
    <t>741196-8</t>
  </si>
  <si>
    <t>741194-0</t>
  </si>
  <si>
    <t>741193-1</t>
  </si>
  <si>
    <t>741192-2</t>
  </si>
  <si>
    <t>EFECTIVO SI - Rosario</t>
  </si>
  <si>
    <t>741191-3</t>
  </si>
  <si>
    <t>741190-4</t>
  </si>
  <si>
    <t>741188-9</t>
  </si>
  <si>
    <t>741187-0</t>
  </si>
  <si>
    <t>741186-1</t>
  </si>
  <si>
    <t>741185-2</t>
  </si>
  <si>
    <t>741184-3</t>
  </si>
  <si>
    <t>741183-4</t>
  </si>
  <si>
    <t>741182-5</t>
  </si>
  <si>
    <t>741089-9</t>
  </si>
  <si>
    <t>741082-6</t>
  </si>
  <si>
    <t>740770-7</t>
  </si>
  <si>
    <t>740747-9</t>
  </si>
  <si>
    <t>740678-0</t>
  </si>
  <si>
    <t>740662-9</t>
  </si>
  <si>
    <t>TPF - Torre Puerto Santa Fe</t>
  </si>
  <si>
    <t>ZDBXBJCF70009SF</t>
  </si>
  <si>
    <t>740465-8</t>
  </si>
  <si>
    <t>740428-7</t>
  </si>
  <si>
    <t>740345-5</t>
  </si>
  <si>
    <t>740278-4</t>
  </si>
  <si>
    <t>740229-8</t>
  </si>
  <si>
    <t>740218-2</t>
  </si>
  <si>
    <t>740206-7</t>
  </si>
  <si>
    <t>740043-0</t>
  </si>
  <si>
    <t>740024-5</t>
  </si>
  <si>
    <t>739779-2</t>
  </si>
  <si>
    <t>739754-3</t>
  </si>
  <si>
    <t>739542-0</t>
  </si>
  <si>
    <t>739541-1</t>
  </si>
  <si>
    <t>739448-5</t>
  </si>
  <si>
    <t>739310-3</t>
  </si>
  <si>
    <t>739204-3</t>
  </si>
  <si>
    <t>739122-0</t>
  </si>
  <si>
    <t>739074-4</t>
  </si>
  <si>
    <t>739018-8</t>
  </si>
  <si>
    <t>739005-4</t>
  </si>
  <si>
    <t>Recorrido 195, se deben colocar 46 kms a este caso</t>
  </si>
  <si>
    <t>revisar si no fueron el mismo dia</t>
  </si>
  <si>
    <t>744536-3</t>
  </si>
  <si>
    <t>744535-4</t>
  </si>
  <si>
    <t>744533-6</t>
  </si>
  <si>
    <t>744425-8</t>
  </si>
  <si>
    <t>076UBJFJA0000PF</t>
  </si>
  <si>
    <t>744294-0</t>
  </si>
  <si>
    <t>744291-3</t>
  </si>
  <si>
    <t>744290-4</t>
  </si>
  <si>
    <t>744289-8</t>
  </si>
  <si>
    <t>744283-4</t>
  </si>
  <si>
    <t>744281-6</t>
  </si>
  <si>
    <t>744280-7</t>
  </si>
  <si>
    <t>744279-1</t>
  </si>
  <si>
    <t>744278-2</t>
  </si>
  <si>
    <t>744277-3</t>
  </si>
  <si>
    <t>744276-4</t>
  </si>
  <si>
    <t>744275-5</t>
  </si>
  <si>
    <t>744274-6</t>
  </si>
  <si>
    <t>744273-7</t>
  </si>
  <si>
    <t>744272-8</t>
  </si>
  <si>
    <t>744271-9</t>
  </si>
  <si>
    <t>744270-0</t>
  </si>
  <si>
    <t>744269-4</t>
  </si>
  <si>
    <t>744268-5</t>
  </si>
  <si>
    <t>744267-6</t>
  </si>
  <si>
    <t>744266-7</t>
  </si>
  <si>
    <t>744265-8</t>
  </si>
  <si>
    <t>744264-9</t>
  </si>
  <si>
    <t>744236-6</t>
  </si>
  <si>
    <t>744166-8</t>
  </si>
  <si>
    <t>744162-2</t>
  </si>
  <si>
    <t>744156-1</t>
  </si>
  <si>
    <t>744127-9</t>
  </si>
  <si>
    <t>744085-4</t>
  </si>
  <si>
    <t>744009-4</t>
  </si>
  <si>
    <t>744008-5</t>
  </si>
  <si>
    <t>744007-6</t>
  </si>
  <si>
    <t>744006-7</t>
  </si>
  <si>
    <t>ZDBXBJEJ90009BD</t>
  </si>
  <si>
    <t>744005-8</t>
  </si>
  <si>
    <t>744004-9</t>
  </si>
  <si>
    <t>744003-0</t>
  </si>
  <si>
    <t>744002-1</t>
  </si>
  <si>
    <t>744001-2</t>
  </si>
  <si>
    <t>744000-3</t>
  </si>
  <si>
    <t>743999-1</t>
  </si>
  <si>
    <t>743998-2</t>
  </si>
  <si>
    <t>743997-3</t>
  </si>
  <si>
    <t>743996-4</t>
  </si>
  <si>
    <t>743989-4</t>
  </si>
  <si>
    <t>743955-7</t>
  </si>
  <si>
    <t>ZDBXB8GK2A00EWB</t>
  </si>
  <si>
    <t>743954-8</t>
  </si>
  <si>
    <t>743917-7</t>
  </si>
  <si>
    <t>743916-8</t>
  </si>
  <si>
    <t>743720-3</t>
  </si>
  <si>
    <t>743626-8</t>
  </si>
  <si>
    <t>Pedidos Ya</t>
  </si>
  <si>
    <t>AR_68_Rosario_ll</t>
  </si>
  <si>
    <t>8W91B1CBA00072L</t>
  </si>
  <si>
    <t>743577-3</t>
  </si>
  <si>
    <t>743576-4</t>
  </si>
  <si>
    <t>743521-4</t>
  </si>
  <si>
    <t>273 - SANTA FE-ARISTOBULO DEL VA</t>
  </si>
  <si>
    <t>076UBJFGC00009N</t>
  </si>
  <si>
    <t>743520-5</t>
  </si>
  <si>
    <t>076UBJFGC00002W</t>
  </si>
  <si>
    <t>743513-5</t>
  </si>
  <si>
    <t>ZDBXBJAGC0002DH</t>
  </si>
  <si>
    <t>743500-1</t>
  </si>
  <si>
    <t>156 - SANTA FE</t>
  </si>
  <si>
    <t>ZDBXBJCH20003BZ</t>
  </si>
  <si>
    <t>743499-6</t>
  </si>
  <si>
    <t>076UBJFH20002XX</t>
  </si>
  <si>
    <t>743494-1</t>
  </si>
  <si>
    <t>743493-2</t>
  </si>
  <si>
    <t>743492-3</t>
  </si>
  <si>
    <t>743491-4</t>
  </si>
  <si>
    <t>743488-0</t>
  </si>
  <si>
    <t>743487-1</t>
  </si>
  <si>
    <t>743484-4</t>
  </si>
  <si>
    <t>743483-5</t>
  </si>
  <si>
    <t>743482-6</t>
  </si>
  <si>
    <t>743481-7</t>
  </si>
  <si>
    <t>743469-5</t>
  </si>
  <si>
    <t>743438-5</t>
  </si>
  <si>
    <t>076UBJFH200042B</t>
  </si>
  <si>
    <t>743382-7</t>
  </si>
  <si>
    <t>AR_55_SANTA_FE</t>
  </si>
  <si>
    <t>Z8PMB3BC600193Z</t>
  </si>
  <si>
    <t>743350-8</t>
  </si>
  <si>
    <t>743342-9</t>
  </si>
  <si>
    <t>743302-1</t>
  </si>
  <si>
    <t>743296-1</t>
  </si>
  <si>
    <t>743240-2</t>
  </si>
  <si>
    <t>742988-8</t>
  </si>
  <si>
    <t>742987-9</t>
  </si>
  <si>
    <t>742986-0</t>
  </si>
  <si>
    <t>742984-2</t>
  </si>
  <si>
    <t>ZDBXBJCH2000ESP</t>
  </si>
  <si>
    <t>742983-3</t>
  </si>
  <si>
    <t>742961-1</t>
  </si>
  <si>
    <t>742931-0</t>
  </si>
  <si>
    <t>076UBJFH20002TL</t>
  </si>
  <si>
    <t>742916-1</t>
  </si>
  <si>
    <t>742854-2</t>
  </si>
  <si>
    <t>742852-4</t>
  </si>
  <si>
    <t>742722-4</t>
  </si>
  <si>
    <t>742676-6</t>
  </si>
  <si>
    <t>Rosario -Logistica Calico (El horario de recepción de los insumos , es de 5 AM a 13 PM)</t>
  </si>
  <si>
    <t>742587-3</t>
  </si>
  <si>
    <t>742367-1</t>
  </si>
  <si>
    <t>742366-2</t>
  </si>
  <si>
    <t>742161-9</t>
  </si>
  <si>
    <t>742082-3</t>
  </si>
  <si>
    <t>742055-9</t>
  </si>
  <si>
    <t>741894-3</t>
  </si>
  <si>
    <t>741893-4</t>
  </si>
  <si>
    <t>741415-0</t>
  </si>
  <si>
    <t>741391-1</t>
  </si>
  <si>
    <t>741262-0</t>
  </si>
  <si>
    <t>MXCCKCF0LH</t>
  </si>
  <si>
    <t>740877-9</t>
  </si>
  <si>
    <t>739447-6</t>
  </si>
  <si>
    <t>0ACTBJFK20007LJ</t>
  </si>
  <si>
    <t>Eliminar este viatico, comparte recorrido con inc 741893-4</t>
  </si>
  <si>
    <t>746820-3</t>
  </si>
  <si>
    <t>746819-7</t>
  </si>
  <si>
    <t>746815-1</t>
  </si>
  <si>
    <t>746814-2</t>
  </si>
  <si>
    <t>ZDBXBJFJ900069V</t>
  </si>
  <si>
    <t>746812-4</t>
  </si>
  <si>
    <t>746809-0</t>
  </si>
  <si>
    <t>746808-1</t>
  </si>
  <si>
    <t>746807-2</t>
  </si>
  <si>
    <t>746805-4</t>
  </si>
  <si>
    <t>746801-8</t>
  </si>
  <si>
    <t>746800-9</t>
  </si>
  <si>
    <t>746799-4</t>
  </si>
  <si>
    <t>746761-1</t>
  </si>
  <si>
    <t>0ACTBJFH90003KY</t>
  </si>
  <si>
    <t>746657-9</t>
  </si>
  <si>
    <t>746477-5</t>
  </si>
  <si>
    <t>746439-5</t>
  </si>
  <si>
    <t>746436-8</t>
  </si>
  <si>
    <t>746435-9</t>
  </si>
  <si>
    <t>746434-0</t>
  </si>
  <si>
    <t>746433-1</t>
  </si>
  <si>
    <t>746432-2</t>
  </si>
  <si>
    <t>746431-3</t>
  </si>
  <si>
    <t>746430-4</t>
  </si>
  <si>
    <t>746426-1</t>
  </si>
  <si>
    <t>746320-8</t>
  </si>
  <si>
    <t>746318-3</t>
  </si>
  <si>
    <t>746317-4</t>
  </si>
  <si>
    <t>746311-0</t>
  </si>
  <si>
    <t>746310-1</t>
  </si>
  <si>
    <t>746307-7</t>
  </si>
  <si>
    <t>EFECTIVO SI - Santa Fe</t>
  </si>
  <si>
    <t>0ACTBJFHB0001BF</t>
  </si>
  <si>
    <t>746306-8</t>
  </si>
  <si>
    <t>0ACTBJFH900009T</t>
  </si>
  <si>
    <t>746260-7</t>
  </si>
  <si>
    <t>746259-1</t>
  </si>
  <si>
    <t>746258-2</t>
  </si>
  <si>
    <t>746257-3</t>
  </si>
  <si>
    <t>746256-4</t>
  </si>
  <si>
    <t>746255-5</t>
  </si>
  <si>
    <t>746254-6</t>
  </si>
  <si>
    <t>746253-7</t>
  </si>
  <si>
    <t>746252-8</t>
  </si>
  <si>
    <t>746251-9</t>
  </si>
  <si>
    <t>746249-4</t>
  </si>
  <si>
    <t>746211-1</t>
  </si>
  <si>
    <t>537 - FRANCK</t>
  </si>
  <si>
    <t>ZDBXBJCH20004PF</t>
  </si>
  <si>
    <t>746210-2</t>
  </si>
  <si>
    <t>076UBJFH60000ZY</t>
  </si>
  <si>
    <t>746188-4</t>
  </si>
  <si>
    <t>746121-9</t>
  </si>
  <si>
    <t>746046-9</t>
  </si>
  <si>
    <t>CHR - CLUB HIPICO ROSARIO</t>
  </si>
  <si>
    <t>ZDBXBJCF70000LH</t>
  </si>
  <si>
    <t>745997-7</t>
  </si>
  <si>
    <t>745996-8</t>
  </si>
  <si>
    <t>745995-9</t>
  </si>
  <si>
    <t>745994-0</t>
  </si>
  <si>
    <t>745992-2</t>
  </si>
  <si>
    <t>745927-8</t>
  </si>
  <si>
    <t>745924-1</t>
  </si>
  <si>
    <t>076UBJFH60001WD</t>
  </si>
  <si>
    <t>745853-4</t>
  </si>
  <si>
    <t>ZDBXBJCFA00045E</t>
  </si>
  <si>
    <t>745852-5</t>
  </si>
  <si>
    <t>ZDBXBJCFA0003HD</t>
  </si>
  <si>
    <t>745851-6</t>
  </si>
  <si>
    <t>BRBS81TG6T</t>
  </si>
  <si>
    <t>745850-7</t>
  </si>
  <si>
    <t>745820-6</t>
  </si>
  <si>
    <t>ZELLBJFK40001YF</t>
  </si>
  <si>
    <t>745754-4</t>
  </si>
  <si>
    <t>745748-3</t>
  </si>
  <si>
    <t>ZELLBJEJ50003HH</t>
  </si>
  <si>
    <t>745747-4</t>
  </si>
  <si>
    <t>745746-5</t>
  </si>
  <si>
    <t>745745-6</t>
  </si>
  <si>
    <t>745743-8</t>
  </si>
  <si>
    <t>ZDBXB8GK2A0066Y</t>
  </si>
  <si>
    <t>745742-9</t>
  </si>
  <si>
    <t>745741-0</t>
  </si>
  <si>
    <t>745740-1</t>
  </si>
  <si>
    <t>745708-5</t>
  </si>
  <si>
    <t>745704-9</t>
  </si>
  <si>
    <t>745703-0</t>
  </si>
  <si>
    <t>745702-1</t>
  </si>
  <si>
    <t>745701-2</t>
  </si>
  <si>
    <t>745700-3</t>
  </si>
  <si>
    <t>745599-9</t>
  </si>
  <si>
    <t>745598-0</t>
  </si>
  <si>
    <t>745583-8</t>
  </si>
  <si>
    <t>745522-7</t>
  </si>
  <si>
    <t>745505-0</t>
  </si>
  <si>
    <t>745433-4</t>
  </si>
  <si>
    <t>745379-7</t>
  </si>
  <si>
    <t>745146-1</t>
  </si>
  <si>
    <t>745136-4</t>
  </si>
  <si>
    <t>79G13R2</t>
  </si>
  <si>
    <t>745119-7</t>
  </si>
  <si>
    <t>744958-1</t>
  </si>
  <si>
    <t>744950-9</t>
  </si>
  <si>
    <t>744944-8</t>
  </si>
  <si>
    <t>744914-7</t>
  </si>
  <si>
    <t>744853-7</t>
  </si>
  <si>
    <t>379 - ESPERANZA</t>
  </si>
  <si>
    <t>ZDBXBJCH2000BEW</t>
  </si>
  <si>
    <t>744728-2</t>
  </si>
  <si>
    <t>744716-7</t>
  </si>
  <si>
    <t>744658-4</t>
  </si>
  <si>
    <t>744622-9</t>
  </si>
  <si>
    <t>744591-0</t>
  </si>
  <si>
    <t>076UBJFJ500001F</t>
  </si>
  <si>
    <t>744440-7</t>
  </si>
  <si>
    <t>076UBJFH30004DH</t>
  </si>
  <si>
    <t>744417-9</t>
  </si>
  <si>
    <t>744180-8</t>
  </si>
  <si>
    <t>741895-2</t>
  </si>
  <si>
    <t>741181-6</t>
  </si>
  <si>
    <t>739547-5</t>
  </si>
  <si>
    <t>739546-6</t>
  </si>
  <si>
    <t>739545-7</t>
  </si>
  <si>
    <t>746091-9</t>
  </si>
  <si>
    <t>746309-5</t>
  </si>
  <si>
    <t>79246L8</t>
  </si>
  <si>
    <t>RIVADAVIA 2192</t>
  </si>
  <si>
    <r>
      <t>ESPERANZA</t>
    </r>
    <r>
      <rPr>
        <sz val="8"/>
        <color rgb="FF333333"/>
        <rFont val="Arial"/>
        <family val="2"/>
      </rPr>
      <t> </t>
    </r>
  </si>
  <si>
    <t>https://www.google.com/maps/dir/Urquiza+4703,+Santa+Fe+de+la+Vera+Cruz,+Santa+Fe/Rivadavia+2192,+Esperanza,+Santa+Fe/Urquiza+4703,+S3002EKZ+Santa+Fe+de+la+Vera+Cruz,+Santa+Fe/@-31.5359965,-60.9825444,11z/data=!3m1!4b1!4m20!4m19!1m5!1m1!1s0x95b5a9db02e31df5:0x14cb4291f5edb791!2m2!1d-60.7067352!2d-31.622989!1m5!1m1!1s0x95b51317a9bdc8a9:0x17e533326ff0e639!2m2!1d-60.9279274!2d-31.4485153!1m5!1m1!1s0x95b5a9db02e31df5:0x14cb4291f5edb791!2m2!1d-60.7067352!2d-31.622989!3e0?entry=ttu</t>
  </si>
  <si>
    <t>FRANCK</t>
  </si>
  <si>
    <t>SAN MARTIN 2407</t>
  </si>
  <si>
    <t>https://www.google.com/maps/dir/Urquiza+4703,+Santa+Fe+de+la+Vera+Cruz,+Santa+Fe/San+Martin+2407,+Esperanza,+Santa+Fe/Urquiza+4703,+S3002EKZ+Santa+Fe+de+la+Vera+Cruz,+Santa+Fe/@-31.6259692,-60.9971713,11z/data=!3m1!4b1!4m20!4m19!1m5!1m1!1s0x95b5a9db02e31df5:0x14cb4291f5edb791!2m2!1d-60.7067352!2d-31.622989!1m5!1m1!1s0x95b50ca6a1a837bb:0xd5d90a27cf06f70b!2m2!1d-60.9381576!2d-31.5840295!1m5!1m1!1s0x95b5a9db02e31df5:0x14cb4291f5edb791!2m2!1d-60.7067352!2d-31.622989!3e0?entry=ttu</t>
  </si>
  <si>
    <t>Ruta 11 Km 452,5 - Frente al Pque. Industrial</t>
  </si>
  <si>
    <t>https://www.google.com/maps/dir/Urquiza+4703,+S3002EKZ+Santa+Fe+de+la+Vera+Cruz,+Santa+Fe/Aeropuerto+Sauce+Viejo+-+Santa+Fe,+Sauce+Viejo,+Santa+Fe/Urquiza+4703,+S3002EKZ+Santa+Fe+de+la+Vera+Cruz,+Santa+Fe/@-31.6657702,-60.8435677,12z/data=!3m1!4b1!4m20!4m19!1m5!1m1!1s0x95b5a9db02e31df5:0x14cb4291f5edb791!2m2!1d-60.7067352!2d-31.622989!1m5!1m1!1s0x95b5a663fc0b51e1:0xf2c67122a6fbe44!2m2!1d-60.8061275!2d-31.7092904!1m5!1m1!1s0x95b5a9db02e31df5:0x14cb4291f5edb791!2m2!1d-60.7067352!2d-31.622989!3e0?entry=ttu</t>
  </si>
  <si>
    <t>749356-4</t>
  </si>
  <si>
    <t>338 - Pergamino</t>
  </si>
  <si>
    <t>076UBJFJ30005EJ</t>
  </si>
  <si>
    <t>749318-4</t>
  </si>
  <si>
    <t>749317-5</t>
  </si>
  <si>
    <t>749316-6</t>
  </si>
  <si>
    <t>749272-3</t>
  </si>
  <si>
    <t>749200-6</t>
  </si>
  <si>
    <t>ZELLBJFK20002FT</t>
  </si>
  <si>
    <t>749199-1</t>
  </si>
  <si>
    <t>749198-2</t>
  </si>
  <si>
    <t>749197-3</t>
  </si>
  <si>
    <t>749196-4</t>
  </si>
  <si>
    <t>749195-5</t>
  </si>
  <si>
    <t>749194-6</t>
  </si>
  <si>
    <t>749193-7</t>
  </si>
  <si>
    <t>749187-6</t>
  </si>
  <si>
    <t>749128-3</t>
  </si>
  <si>
    <t>076UBJFJ30002ED</t>
  </si>
  <si>
    <t>749046-0</t>
  </si>
  <si>
    <t>Diarco</t>
  </si>
  <si>
    <t>Pergamino</t>
  </si>
  <si>
    <t>ZDBXB8GJ7A0033A</t>
  </si>
  <si>
    <t>749045-1</t>
  </si>
  <si>
    <t>ZDBXB8GJ7A0030K</t>
  </si>
  <si>
    <t>749044-2</t>
  </si>
  <si>
    <t>ZDBXB8GJ7A002ZL</t>
  </si>
  <si>
    <t>749043-3</t>
  </si>
  <si>
    <t>0BLQBJLJA00005K</t>
  </si>
  <si>
    <t>748868-7</t>
  </si>
  <si>
    <t>748735-0</t>
  </si>
  <si>
    <t>748701-3</t>
  </si>
  <si>
    <t>748683-8</t>
  </si>
  <si>
    <t>748682-9</t>
  </si>
  <si>
    <t>748681-0</t>
  </si>
  <si>
    <t>748680-1</t>
  </si>
  <si>
    <t>748679-5</t>
  </si>
  <si>
    <t>748678-6</t>
  </si>
  <si>
    <t>748670-4</t>
  </si>
  <si>
    <t>748625-4</t>
  </si>
  <si>
    <t>748624-5</t>
  </si>
  <si>
    <t>748623-6</t>
  </si>
  <si>
    <t>748622-7</t>
  </si>
  <si>
    <t>748621-8</t>
  </si>
  <si>
    <t>748619-3</t>
  </si>
  <si>
    <t>748562-6</t>
  </si>
  <si>
    <t>748547-7</t>
  </si>
  <si>
    <t>Exologística</t>
  </si>
  <si>
    <t>79G3Z53</t>
  </si>
  <si>
    <t>748523-7</t>
  </si>
  <si>
    <t>A06 - DASH Pergamino</t>
  </si>
  <si>
    <t>8W91B1BB700062F</t>
  </si>
  <si>
    <t>748511-2</t>
  </si>
  <si>
    <t>748510-3</t>
  </si>
  <si>
    <t>748509-7</t>
  </si>
  <si>
    <t>748508-8</t>
  </si>
  <si>
    <t>748507-9</t>
  </si>
  <si>
    <t>748506-0</t>
  </si>
  <si>
    <t>748505-1</t>
  </si>
  <si>
    <t>748502-4</t>
  </si>
  <si>
    <t>748501-5</t>
  </si>
  <si>
    <t>748500-6</t>
  </si>
  <si>
    <t>748499-1</t>
  </si>
  <si>
    <t>748430-8</t>
  </si>
  <si>
    <t>748428-3</t>
  </si>
  <si>
    <t>748367-3</t>
  </si>
  <si>
    <t>748346-0</t>
  </si>
  <si>
    <t>748143-5</t>
  </si>
  <si>
    <t>748139-2</t>
  </si>
  <si>
    <t>747986-5</t>
  </si>
  <si>
    <t>747935-1</t>
  </si>
  <si>
    <t>747909-6</t>
  </si>
  <si>
    <t>Lisicki Litvin</t>
  </si>
  <si>
    <t>ZELLBJFK90004JK</t>
  </si>
  <si>
    <t>747908-7</t>
  </si>
  <si>
    <t>Salto</t>
  </si>
  <si>
    <t>ZDBXB8GK2A00CHK</t>
  </si>
  <si>
    <t>747840-4</t>
  </si>
  <si>
    <t>747839-8</t>
  </si>
  <si>
    <t>747816-7</t>
  </si>
  <si>
    <t>ZDBXB8GK2A00CBZ</t>
  </si>
  <si>
    <t>747788-5</t>
  </si>
  <si>
    <t>747779-7</t>
  </si>
  <si>
    <t>747734-4</t>
  </si>
  <si>
    <t>747732-6</t>
  </si>
  <si>
    <t>747729-2</t>
  </si>
  <si>
    <t>747442-6</t>
  </si>
  <si>
    <t>747062-4</t>
  </si>
  <si>
    <t>747056-3</t>
  </si>
  <si>
    <t>7954HKR</t>
  </si>
  <si>
    <t>747032-3</t>
  </si>
  <si>
    <t>746951-2</t>
  </si>
  <si>
    <t>746839-1</t>
  </si>
  <si>
    <t>Planta Arrecifes</t>
  </si>
  <si>
    <t>ZDBXB8GK1F00NTX</t>
  </si>
  <si>
    <t>746680-7</t>
  </si>
  <si>
    <t>746546-4</t>
  </si>
  <si>
    <t>746367-9</t>
  </si>
  <si>
    <t>746366-0</t>
  </si>
  <si>
    <t>746279-5</t>
  </si>
  <si>
    <t>745903-8</t>
  </si>
  <si>
    <t>ZDBXB8GK2A00CKX</t>
  </si>
  <si>
    <t>Repetido con el 746279-5</t>
  </si>
  <si>
    <t>Repetido con el 747732-6</t>
  </si>
  <si>
    <t>Repetido con el 745903-8 y son 376 kms de recorrido</t>
  </si>
  <si>
    <t>120 kms por mapa</t>
  </si>
  <si>
    <t>Repetido con el 749128-3</t>
  </si>
  <si>
    <t>es del 30/10</t>
  </si>
  <si>
    <t>751832-2</t>
  </si>
  <si>
    <t>751772-1</t>
  </si>
  <si>
    <t>751614-8</t>
  </si>
  <si>
    <t>751587-5</t>
  </si>
  <si>
    <t>751586-6</t>
  </si>
  <si>
    <t>751585-7</t>
  </si>
  <si>
    <t>751584-8</t>
  </si>
  <si>
    <t>751583-9</t>
  </si>
  <si>
    <t>751582-0</t>
  </si>
  <si>
    <t>751581-1</t>
  </si>
  <si>
    <t>751536-1</t>
  </si>
  <si>
    <t>751535-2</t>
  </si>
  <si>
    <t>751386-8</t>
  </si>
  <si>
    <t>751368-2</t>
  </si>
  <si>
    <t>751367-3</t>
  </si>
  <si>
    <t>751366-4</t>
  </si>
  <si>
    <t>751365-5</t>
  </si>
  <si>
    <t>751363-7</t>
  </si>
  <si>
    <t>751361-9</t>
  </si>
  <si>
    <t>751360-0</t>
  </si>
  <si>
    <t>751359-4</t>
  </si>
  <si>
    <t>751358-5</t>
  </si>
  <si>
    <t>ZDBXBJFM60000MN</t>
  </si>
  <si>
    <t>751318-7</t>
  </si>
  <si>
    <t>751215-1</t>
  </si>
  <si>
    <t>751020-5</t>
  </si>
  <si>
    <t>751015-3</t>
  </si>
  <si>
    <t>342 - Rojas</t>
  </si>
  <si>
    <t>076UBJFJ900003B</t>
  </si>
  <si>
    <t>750992-6</t>
  </si>
  <si>
    <t>076UBJFH200045E</t>
  </si>
  <si>
    <t>750982-9</t>
  </si>
  <si>
    <t>750914-8</t>
  </si>
  <si>
    <t>750913-9</t>
  </si>
  <si>
    <t>750773-3</t>
  </si>
  <si>
    <t>MXBCQCK0GP</t>
  </si>
  <si>
    <t>750760-9</t>
  </si>
  <si>
    <t>750687-7</t>
  </si>
  <si>
    <t>750685-9</t>
  </si>
  <si>
    <t>750476-3</t>
  </si>
  <si>
    <t>750238-5</t>
  </si>
  <si>
    <t>750054-5</t>
  </si>
  <si>
    <t>750016-5</t>
  </si>
  <si>
    <t>350 - Salto</t>
  </si>
  <si>
    <t>076UBJFJ90001LT</t>
  </si>
  <si>
    <t>749854-1</t>
  </si>
  <si>
    <t>749779-1</t>
  </si>
  <si>
    <t>749778-2</t>
  </si>
  <si>
    <t>749775-5</t>
  </si>
  <si>
    <t>749709-2</t>
  </si>
  <si>
    <t>749663-1</t>
  </si>
  <si>
    <t>749620-6</t>
  </si>
  <si>
    <t>749617-2</t>
  </si>
  <si>
    <t>749615-4</t>
  </si>
  <si>
    <t>749613-6</t>
  </si>
  <si>
    <t>749610-9</t>
  </si>
  <si>
    <t>749482-8</t>
  </si>
  <si>
    <t>749279-6</t>
  </si>
  <si>
    <t>076UBJFJ30002KB</t>
  </si>
  <si>
    <t>749189-4</t>
  </si>
  <si>
    <t>749179-7</t>
  </si>
  <si>
    <t>749151-1</t>
  </si>
  <si>
    <t>749121-0</t>
  </si>
  <si>
    <t>749106-1</t>
  </si>
  <si>
    <t>749098-3</t>
  </si>
  <si>
    <t>749097-4</t>
  </si>
  <si>
    <t>749092-9</t>
  </si>
  <si>
    <t>749091-0</t>
  </si>
  <si>
    <t>749089-5</t>
  </si>
  <si>
    <t>749088-6</t>
  </si>
  <si>
    <t>749087-7</t>
  </si>
  <si>
    <t>749086-8</t>
  </si>
  <si>
    <t>749085-9</t>
  </si>
  <si>
    <t>749084-0</t>
  </si>
  <si>
    <t>749083-1</t>
  </si>
  <si>
    <t>749082-2</t>
  </si>
  <si>
    <t>749081-3</t>
  </si>
  <si>
    <t>749080-4</t>
  </si>
  <si>
    <t>748788-2</t>
  </si>
  <si>
    <t>748779-4</t>
  </si>
  <si>
    <t>748462-7</t>
  </si>
  <si>
    <t>Granja Tres Arroyos</t>
  </si>
  <si>
    <t>Planta Colon</t>
  </si>
  <si>
    <t>7954HLZ</t>
  </si>
  <si>
    <t>Buenos Aires 502</t>
  </si>
  <si>
    <t>https://www.google.com/maps/dir/Av.+Bordabehere+3811,+S2002+KNC,+Santa+Fe/Buenos+Aires+502,+Salto,+Provincia+de+Buenos+Aires/Av.+Bordabehere+3811,+S2002+KNC,+Santa+Fe/@-33.6127327,-61.0663425,9z/data=!3m1!4b1!4m20!4m19!1m5!1m1!1s0x95b7ab55726d7baf:0xff0f95afeea1648d!2m2!1d-60.6737505!2d-32.9335742!1m5!1m1!1s0x95b91281ee228517:0x785db74ac3507c5f!2m2!1d-60.2523594!2d-34.2924712!1m5!1m1!1s0x95b7ab55726d7baf:0xff0f95afeea1648d!2m2!1d-60.6737505!2d-32.9335742!3e0?entry=ttu</t>
  </si>
  <si>
    <t>PERGAMINO</t>
  </si>
  <si>
    <t>Av. San Nicolas 900</t>
  </si>
  <si>
    <t>https://www.google.com/maps/dir/Av.+Bordabehere+3811,+S2002+KNC,+Santa+Fe/LAR,+San+Nicol%C3%A1s+900,+Pergamino,+Provincia+de+Buenos+Aires/Av.+Bordabehere+3811,+S2002+KNC,+Santa+Fe/@-33.4129068,-61.3402532,9z/data=!3m1!4b1!4m20!4m19!1m5!1m1!1s0x95b7ab55726d7baf:0xff0f95afeea1648d!2m2!1d-60.6737505!2d-32.9335742!1m5!1m1!1s0x95b9b551bbb4525b:0x870f6a7a1c1c66c8!2m2!1d-60.5742911!2d-33.8974399!1m5!1m1!1s0x95b7ab55726d7baf:0xff0f95afeea1648d!2m2!1d-60.6737505!2d-32.9335742!3e0?entry=ttu</t>
  </si>
  <si>
    <t>Julio Iribarne 387</t>
  </si>
  <si>
    <t>ROJAS</t>
  </si>
  <si>
    <t>https://www.google.com/maps/dir/Av.+Bordabehere+3811,+S2002+KNC,+Santa+Fe/Cajero+Automatico+Banco+Credicoop+Rojas,+Iribarne,+ACG,+Provincia+de+Buenos+Aires/Av.+Bordabehere+3811,+S2002+KNC,+Santa+Fe/@-33.5636554,-61.3245131,9z/data=!3m1!4b1!4m20!4m19!1m5!1m1!1s0x95b7ab55726d7baf:0xff0f95afeea1648d!2m2!1d-60.6737505!2d-32.9335742!1m5!1m1!1s0x95b85733e1e9725f:0x4eff3f06fd2392c4!2m2!1d-60.7336324!2d-34.19715!1m5!1m1!1s0x95b7ab55726d7baf:0xff0f95afeea1648d!2m2!1d-60.6737505!2d-32.9335742!3e0?entry=ttu</t>
  </si>
  <si>
    <t>754085-3</t>
  </si>
  <si>
    <t>753640-7</t>
  </si>
  <si>
    <t>753470-0</t>
  </si>
  <si>
    <t>753309-3</t>
  </si>
  <si>
    <t>753304-8</t>
  </si>
  <si>
    <t>753242-9</t>
  </si>
  <si>
    <t>753128-0</t>
  </si>
  <si>
    <t>753051-9</t>
  </si>
  <si>
    <t>753047-6</t>
  </si>
  <si>
    <t>753039-7</t>
  </si>
  <si>
    <t>752954-0</t>
  </si>
  <si>
    <t>752893-0</t>
  </si>
  <si>
    <t>ZDBXBJAG8000J5B</t>
  </si>
  <si>
    <t>752892-1</t>
  </si>
  <si>
    <t>752891-2</t>
  </si>
  <si>
    <t>752890-3</t>
  </si>
  <si>
    <t>752888-8</t>
  </si>
  <si>
    <t>752887-9</t>
  </si>
  <si>
    <t>752886-0</t>
  </si>
  <si>
    <t>752885-1</t>
  </si>
  <si>
    <t>752884-2</t>
  </si>
  <si>
    <t>752881-5</t>
  </si>
  <si>
    <t>752880-6</t>
  </si>
  <si>
    <t>752850-5</t>
  </si>
  <si>
    <t>752723-2</t>
  </si>
  <si>
    <t>752643-7</t>
  </si>
  <si>
    <t>BZM2H4LMC00076Z</t>
  </si>
  <si>
    <t>752164-5</t>
  </si>
  <si>
    <t>751849-2</t>
  </si>
  <si>
    <t>751776-7</t>
  </si>
  <si>
    <t>751727-1</t>
  </si>
  <si>
    <t>751383-1</t>
  </si>
  <si>
    <t>BRBSH4DQMT</t>
  </si>
  <si>
    <t>751023-2</t>
  </si>
  <si>
    <t>750577-1</t>
  </si>
  <si>
    <r>
      <t> </t>
    </r>
    <r>
      <rPr>
        <b/>
        <sz val="8"/>
        <color rgb="FF333333"/>
        <rFont val="Arial"/>
        <family val="2"/>
      </rPr>
      <t>Bartolome Mitre 201</t>
    </r>
  </si>
  <si>
    <t>757087-2</t>
  </si>
  <si>
    <t>757086-3</t>
  </si>
  <si>
    <t>757084-5</t>
  </si>
  <si>
    <t>756936-2</t>
  </si>
  <si>
    <t>756875-2</t>
  </si>
  <si>
    <t>756780-5</t>
  </si>
  <si>
    <t>756409-3</t>
  </si>
  <si>
    <t>756261-5</t>
  </si>
  <si>
    <t>756260-6</t>
  </si>
  <si>
    <t>756132-4</t>
  </si>
  <si>
    <t>756131-5</t>
  </si>
  <si>
    <t>756088-4</t>
  </si>
  <si>
    <t>755946-2</t>
  </si>
  <si>
    <t>755848-1</t>
  </si>
  <si>
    <t>755627-0</t>
  </si>
  <si>
    <t>755620-7</t>
  </si>
  <si>
    <t>755597-0</t>
  </si>
  <si>
    <t>755596-1</t>
  </si>
  <si>
    <t>ZDBXB8GK2A002ZY</t>
  </si>
  <si>
    <t>755586-4</t>
  </si>
  <si>
    <t>755553-6</t>
  </si>
  <si>
    <t>SP000601</t>
  </si>
  <si>
    <t>755538-7</t>
  </si>
  <si>
    <t>Maria Soledad D´Adamo</t>
  </si>
  <si>
    <t>PF32CM93</t>
  </si>
  <si>
    <t>755500-4</t>
  </si>
  <si>
    <t>755186-8</t>
  </si>
  <si>
    <t>755184-0</t>
  </si>
  <si>
    <t>755183-1</t>
  </si>
  <si>
    <t>755182-2</t>
  </si>
  <si>
    <t>755181-3</t>
  </si>
  <si>
    <t>755180-4</t>
  </si>
  <si>
    <t>755179-8</t>
  </si>
  <si>
    <t>755178-9</t>
  </si>
  <si>
    <t>794VFL5</t>
  </si>
  <si>
    <t>755177-0</t>
  </si>
  <si>
    <t>755176-1</t>
  </si>
  <si>
    <t>755175-2</t>
  </si>
  <si>
    <t>755174-3</t>
  </si>
  <si>
    <t>755165-5</t>
  </si>
  <si>
    <t>754898-9</t>
  </si>
  <si>
    <t>754896-1</t>
  </si>
  <si>
    <t>754759-1</t>
  </si>
  <si>
    <t>CNBRR4M5Y0</t>
  </si>
  <si>
    <t>754756-4</t>
  </si>
  <si>
    <t>754755-5</t>
  </si>
  <si>
    <t>754754-6</t>
  </si>
  <si>
    <t>754753-7</t>
  </si>
  <si>
    <t>754752-8</t>
  </si>
  <si>
    <t>754751-9</t>
  </si>
  <si>
    <t>754739-7</t>
  </si>
  <si>
    <t>754359-5</t>
  </si>
  <si>
    <t>754356-8</t>
  </si>
  <si>
    <t>754285-1</t>
  </si>
  <si>
    <t>753977-8</t>
  </si>
  <si>
    <t>ZDBXBJCF70002EB</t>
  </si>
  <si>
    <t>753975-0</t>
  </si>
  <si>
    <t>ZDBXBJAG800024J</t>
  </si>
  <si>
    <t>749616-3</t>
  </si>
  <si>
    <t>749612-7</t>
  </si>
  <si>
    <t>759073-3</t>
  </si>
  <si>
    <t>759072-4</t>
  </si>
  <si>
    <t>759071-5</t>
  </si>
  <si>
    <t>759070-6</t>
  </si>
  <si>
    <t>759069-0</t>
  </si>
  <si>
    <t>759068-1</t>
  </si>
  <si>
    <t>759067-2</t>
  </si>
  <si>
    <t>759066-3</t>
  </si>
  <si>
    <t>759065-4</t>
  </si>
  <si>
    <t>759064-5</t>
  </si>
  <si>
    <t>759063-6</t>
  </si>
  <si>
    <t>759062-7</t>
  </si>
  <si>
    <t>758867-7</t>
  </si>
  <si>
    <t>758729-8</t>
  </si>
  <si>
    <t>758586-5</t>
  </si>
  <si>
    <t>758326-5</t>
  </si>
  <si>
    <t>758255-8</t>
  </si>
  <si>
    <t>758213-2</t>
  </si>
  <si>
    <t>758091-2</t>
  </si>
  <si>
    <t>757735-2</t>
  </si>
  <si>
    <t>757687-6</t>
  </si>
  <si>
    <t>757486-9</t>
  </si>
  <si>
    <t>757316-1</t>
  </si>
  <si>
    <t>CT Brigadier Lopez Santa Fe</t>
  </si>
  <si>
    <t>CN997DK0J2</t>
  </si>
  <si>
    <t>757269-4</t>
  </si>
  <si>
    <t>SP000903</t>
  </si>
  <si>
    <t>757194-1</t>
  </si>
  <si>
    <t>ZDBXBJCH20016ZF</t>
  </si>
  <si>
    <t>757136-7</t>
  </si>
  <si>
    <t>757135-8</t>
  </si>
  <si>
    <t>756997-3</t>
  </si>
  <si>
    <t>597 Oficina De Promocion UNL Sede Esperanza</t>
  </si>
  <si>
    <t>076UBJFJ30002WX</t>
  </si>
  <si>
    <t>756915-9</t>
  </si>
  <si>
    <t>756407-5</t>
  </si>
  <si>
    <t>CNB1N4F15H</t>
  </si>
  <si>
    <t>755386-6</t>
  </si>
  <si>
    <t>755385-7</t>
  </si>
  <si>
    <t>761454-7</t>
  </si>
  <si>
    <t>761374-2</t>
  </si>
  <si>
    <t>761296-5</t>
  </si>
  <si>
    <t>761295-6</t>
  </si>
  <si>
    <t>761107-2</t>
  </si>
  <si>
    <t>760959-0</t>
  </si>
  <si>
    <t>760942-0</t>
  </si>
  <si>
    <t>760872-2</t>
  </si>
  <si>
    <t>760871-3</t>
  </si>
  <si>
    <t>760870-4</t>
  </si>
  <si>
    <t>760866-1</t>
  </si>
  <si>
    <t>760865-2</t>
  </si>
  <si>
    <t>760837-9</t>
  </si>
  <si>
    <t>760815-7</t>
  </si>
  <si>
    <t>760810-2</t>
  </si>
  <si>
    <t>760808-7</t>
  </si>
  <si>
    <t>760807-8</t>
  </si>
  <si>
    <t>760806-9</t>
  </si>
  <si>
    <t>760805-0</t>
  </si>
  <si>
    <t>760804-1</t>
  </si>
  <si>
    <t>760803-2</t>
  </si>
  <si>
    <t>760802-3</t>
  </si>
  <si>
    <t>760801-4</t>
  </si>
  <si>
    <t>760800-5</t>
  </si>
  <si>
    <t>760799-0</t>
  </si>
  <si>
    <t>760798-1</t>
  </si>
  <si>
    <t>760797-2</t>
  </si>
  <si>
    <t>760796-3</t>
  </si>
  <si>
    <t>760795-4</t>
  </si>
  <si>
    <t>760794-5</t>
  </si>
  <si>
    <t>760791-8</t>
  </si>
  <si>
    <t>760790-9</t>
  </si>
  <si>
    <t>760789-3</t>
  </si>
  <si>
    <t>760774-1</t>
  </si>
  <si>
    <t>760535-4</t>
  </si>
  <si>
    <t>760451-3</t>
  </si>
  <si>
    <t>760297-7</t>
  </si>
  <si>
    <t>760296-8</t>
  </si>
  <si>
    <t>760205-6</t>
  </si>
  <si>
    <t>760196-9</t>
  </si>
  <si>
    <t>760115-4</t>
  </si>
  <si>
    <t>760093-3</t>
  </si>
  <si>
    <t>760046-5</t>
  </si>
  <si>
    <t>760045-6</t>
  </si>
  <si>
    <t>760044-7</t>
  </si>
  <si>
    <t>760043-8</t>
  </si>
  <si>
    <t>760042-9</t>
  </si>
  <si>
    <t>760041-0</t>
  </si>
  <si>
    <t>760040-1</t>
  </si>
  <si>
    <t>760039-5</t>
  </si>
  <si>
    <t>760038-6</t>
  </si>
  <si>
    <t>760037-7</t>
  </si>
  <si>
    <t>759936-3</t>
  </si>
  <si>
    <t>759799-4</t>
  </si>
  <si>
    <t>759553-4</t>
  </si>
  <si>
    <t>759546-4</t>
  </si>
  <si>
    <t>759533-0</t>
  </si>
  <si>
    <t>759531-2</t>
  </si>
  <si>
    <t>SP000599</t>
  </si>
  <si>
    <t>759244-9</t>
  </si>
  <si>
    <t>759007-0</t>
  </si>
  <si>
    <t>758861-3</t>
  </si>
  <si>
    <t>758784-5</t>
  </si>
  <si>
    <t>758668-8</t>
  </si>
  <si>
    <t>758400-6</t>
  </si>
  <si>
    <t>756201-3</t>
  </si>
  <si>
    <t>IRSA</t>
  </si>
  <si>
    <t>VNC3P01344</t>
  </si>
  <si>
    <t>764097-7</t>
  </si>
  <si>
    <t>763974-0</t>
  </si>
  <si>
    <t>763973-1</t>
  </si>
  <si>
    <t>763972-2</t>
  </si>
  <si>
    <t>763971-3</t>
  </si>
  <si>
    <t>ZDBXBJCH20017XM</t>
  </si>
  <si>
    <t>763672-5</t>
  </si>
  <si>
    <t>763643-3</t>
  </si>
  <si>
    <t>763632-7</t>
  </si>
  <si>
    <t>763518-8</t>
  </si>
  <si>
    <t>763517-9</t>
  </si>
  <si>
    <t>763516-0</t>
  </si>
  <si>
    <t>763432-9</t>
  </si>
  <si>
    <t>763187-2</t>
  </si>
  <si>
    <t>763003-1</t>
  </si>
  <si>
    <t>763002-2</t>
  </si>
  <si>
    <t>762934-5</t>
  </si>
  <si>
    <t>762932-7</t>
  </si>
  <si>
    <t>762843-4</t>
  </si>
  <si>
    <t>762707-3</t>
  </si>
  <si>
    <t>762582-6</t>
  </si>
  <si>
    <t>762580-8</t>
  </si>
  <si>
    <t>595 Oficina Promocion UNL Cuidad Universitaria</t>
  </si>
  <si>
    <t>076UBJFJ30003CH</t>
  </si>
  <si>
    <t>762540-0</t>
  </si>
  <si>
    <t>762493-3</t>
  </si>
  <si>
    <t>RECREO</t>
  </si>
  <si>
    <t>ZDBXB8GK2F0034L</t>
  </si>
  <si>
    <t>762463-2</t>
  </si>
  <si>
    <t>762407-6</t>
  </si>
  <si>
    <t>762390-7</t>
  </si>
  <si>
    <t>762368-8</t>
  </si>
  <si>
    <t>762305-9</t>
  </si>
  <si>
    <t>762263-4</t>
  </si>
  <si>
    <t>762257-3</t>
  </si>
  <si>
    <t>762252-8</t>
  </si>
  <si>
    <t>762229-0</t>
  </si>
  <si>
    <t>762218-4</t>
  </si>
  <si>
    <t>762174-1</t>
  </si>
  <si>
    <t>762100-6</t>
  </si>
  <si>
    <t>761972-8</t>
  </si>
  <si>
    <t>761921-4</t>
  </si>
  <si>
    <t>761816-3</t>
  </si>
  <si>
    <t>761616-5</t>
  </si>
  <si>
    <t>761588-3</t>
  </si>
  <si>
    <t>ZDBXBJCH2000BPA</t>
  </si>
  <si>
    <t>761580-1</t>
  </si>
  <si>
    <t>761469-9</t>
  </si>
  <si>
    <t>761373-3</t>
  </si>
  <si>
    <t>761328-3</t>
  </si>
  <si>
    <t>761108-1</t>
  </si>
  <si>
    <t>761106-3</t>
  </si>
  <si>
    <t>761104-5</t>
  </si>
  <si>
    <t>761100-9</t>
  </si>
  <si>
    <t>761008-2</t>
  </si>
  <si>
    <t>Depósito MTR - Ramallo - Bs. As.</t>
  </si>
  <si>
    <t>0ACTBJFJ900010T</t>
  </si>
  <si>
    <t>760817-5</t>
  </si>
  <si>
    <t>760814-8</t>
  </si>
  <si>
    <t>760813-9</t>
  </si>
  <si>
    <t>760812-0</t>
  </si>
  <si>
    <t>760558-5</t>
  </si>
  <si>
    <t>758031-0</t>
  </si>
  <si>
    <t>Mas Vision</t>
  </si>
  <si>
    <t>SP000919</t>
  </si>
  <si>
    <t>https://www.google.com.ar/maps/dir/Avenida+Bordabehere+3811,+KNC,+Provincia+de+Santa+Fe/Parque+Industrial+Comirsa,+Parque+industrial+Comirsa,+Ramallo,+Provincia+de+Buenos+Aires/Av.+Bordabehere+3811,+S2002+KNC,+Santa+Fe/@-33.1618262,-60.6063063,11z/data=!3m1!4b1!4m20!4m19!1m5!1m1!1s0x95b7ab55726d7baf:0xff0f95afeea1648d!2m2!1d-60.6737505!2d-32.9335742!1m5!1m1!1s0x95b75e8ffdc85ff3:0x83e3cec687c49e41!2m2!1d-60.1598278!2d-33.3780379!1m5!1m1!1s0x95b7ab55726d7baf:0xff0f95afeea1648d!2m2!1d-60.6737505!2d-32.9335742!3e0?entry=ttu</t>
  </si>
  <si>
    <t>Av. Industria Nacional 650 - Parque Industrial Comirsa Ramallo</t>
  </si>
  <si>
    <t>RAMALLO</t>
  </si>
  <si>
    <t>Ponce de Leon 473</t>
  </si>
  <si>
    <t>https://www.google.com/maps/dir/Avenida+Bordabehere+3811,+KNC,+Provincia+de+Santa+Fe/Avenida+Ponce+de+Le%C3%B3n+473,+San+Nicol%C3%A1s+de+los+Arroyos,+Provincia+de+Buenos+Aires/Av.+Bordabehere+3811,+KNC,+Provincia+de+Santa+Fe/@-33.1617879,-60.7862018,10z/data=!3m1!4b1!4m20!4m19!1m5!1m1!1s0x95b7ab55726d7baf:0xff0f95afeea1648d!2m2!1d-60.6737505!2d-32.9335742!1m5!1m1!1s0x95b75d8fe3ba3c73:0x6699072947d4aafd!2m2!1d-60.1997348!2d-33.3528663!1m5!1m1!1s0x95b7ab55726d7baf:0xff0f95afeea1648d!2m2!1d-60.6737505!2d-32.9335742!3e0?entry=ttu</t>
  </si>
  <si>
    <t>766660-1</t>
  </si>
  <si>
    <t>766528-6</t>
  </si>
  <si>
    <t>766451-5</t>
  </si>
  <si>
    <t>766282-7</t>
  </si>
  <si>
    <t>766198-9</t>
  </si>
  <si>
    <t>766154-5</t>
  </si>
  <si>
    <t>766060-7</t>
  </si>
  <si>
    <t>766021-8</t>
  </si>
  <si>
    <t>765996-6</t>
  </si>
  <si>
    <t>ZDBXBJBF10002DT</t>
  </si>
  <si>
    <t>765922-1</t>
  </si>
  <si>
    <t>765888-8</t>
  </si>
  <si>
    <t>765826-8</t>
  </si>
  <si>
    <t>765718-0</t>
  </si>
  <si>
    <t>765657-0</t>
  </si>
  <si>
    <t>765479-4</t>
  </si>
  <si>
    <t>07QWB9UFAA001GW</t>
  </si>
  <si>
    <t>765317-5</t>
  </si>
  <si>
    <t>765177-9</t>
  </si>
  <si>
    <t>CNB1N3T4ML</t>
  </si>
  <si>
    <t>765077-0</t>
  </si>
  <si>
    <t>765075-2</t>
  </si>
  <si>
    <t>764840-1</t>
  </si>
  <si>
    <t>764738-7</t>
  </si>
  <si>
    <t>764707-7</t>
  </si>
  <si>
    <t>Z83DBJEF900005K</t>
  </si>
  <si>
    <t>764653-7</t>
  </si>
  <si>
    <t>764255-9</t>
  </si>
  <si>
    <t>764130-1</t>
  </si>
  <si>
    <t>764122-2</t>
  </si>
  <si>
    <t>764109-1</t>
  </si>
  <si>
    <t>CNB1N3T4NN</t>
  </si>
  <si>
    <t>764108-2</t>
  </si>
  <si>
    <t>CNB1N4F15L</t>
  </si>
  <si>
    <t>764106-4</t>
  </si>
  <si>
    <t>ZDBXBJCH2000ENH</t>
  </si>
  <si>
    <t>764105-5</t>
  </si>
  <si>
    <t>ZDBXBJCH2000VDR</t>
  </si>
  <si>
    <t>764081-6</t>
  </si>
  <si>
    <t>763642-4</t>
  </si>
  <si>
    <t>CNB1N2SYLL</t>
  </si>
  <si>
    <t>763641-5</t>
  </si>
  <si>
    <t>763041-1</t>
  </si>
  <si>
    <t>763038-7</t>
  </si>
  <si>
    <t>768575-8</t>
  </si>
  <si>
    <t>768574-9</t>
  </si>
  <si>
    <t>768382-0</t>
  </si>
  <si>
    <t>768337-0</t>
  </si>
  <si>
    <t>768124-8</t>
  </si>
  <si>
    <t>768069-2</t>
  </si>
  <si>
    <t>768010-6</t>
  </si>
  <si>
    <t>767868-8</t>
  </si>
  <si>
    <t>767780-1</t>
  </si>
  <si>
    <t>767779-5</t>
  </si>
  <si>
    <t>767705-0</t>
  </si>
  <si>
    <t>076UBJFJ90001AV</t>
  </si>
  <si>
    <t>767682-0</t>
  </si>
  <si>
    <t>767457-6</t>
  </si>
  <si>
    <t>0ACTBJFH90001WF</t>
  </si>
  <si>
    <t>767456-7</t>
  </si>
  <si>
    <t>767455-8</t>
  </si>
  <si>
    <t>767452-1</t>
  </si>
  <si>
    <t>767451-2</t>
  </si>
  <si>
    <t>767448-8</t>
  </si>
  <si>
    <t>0ACTBJFH70000FN</t>
  </si>
  <si>
    <t>767343-4</t>
  </si>
  <si>
    <t>767299-4</t>
  </si>
  <si>
    <t>767265-7</t>
  </si>
  <si>
    <t>767255-0</t>
  </si>
  <si>
    <t>767185-2</t>
  </si>
  <si>
    <t>7955B8R</t>
  </si>
  <si>
    <t>767158-8</t>
  </si>
  <si>
    <t>767102-9</t>
  </si>
  <si>
    <t>767092-3</t>
  </si>
  <si>
    <t>767056-1</t>
  </si>
  <si>
    <t>076UBJFJ90000LR</t>
  </si>
  <si>
    <t>767044-6</t>
  </si>
  <si>
    <t>766879-7</t>
  </si>
  <si>
    <t>766817-7</t>
  </si>
  <si>
    <t>GENERACION LITORAL</t>
  </si>
  <si>
    <t>CNB8K8W160</t>
  </si>
  <si>
    <t>766810-4</t>
  </si>
  <si>
    <t>766771-6</t>
  </si>
  <si>
    <t>766635-5</t>
  </si>
  <si>
    <t>766541-7</t>
  </si>
  <si>
    <t>766409-2</t>
  </si>
  <si>
    <t>766305-7</t>
  </si>
  <si>
    <t>771634-0</t>
  </si>
  <si>
    <t>771417-5</t>
  </si>
  <si>
    <t>771366-2</t>
  </si>
  <si>
    <t>771249-6</t>
  </si>
  <si>
    <t>771217-7</t>
  </si>
  <si>
    <t>771102-6</t>
  </si>
  <si>
    <t>ZDBXB8GK2F003BB</t>
  </si>
  <si>
    <t>771093-9</t>
  </si>
  <si>
    <t>771082-3</t>
  </si>
  <si>
    <t>770983-6</t>
  </si>
  <si>
    <t>770977-5</t>
  </si>
  <si>
    <t>770917-3</t>
  </si>
  <si>
    <t>770884-6</t>
  </si>
  <si>
    <t>770851-8</t>
  </si>
  <si>
    <t>770792-6</t>
  </si>
  <si>
    <t>770743-0</t>
  </si>
  <si>
    <t>770619-4</t>
  </si>
  <si>
    <t>770533-5</t>
  </si>
  <si>
    <t>076UBJFJ300048E</t>
  </si>
  <si>
    <t>770512-2</t>
  </si>
  <si>
    <t>770469-1</t>
  </si>
  <si>
    <t>770448-8</t>
  </si>
  <si>
    <t>770428-4</t>
  </si>
  <si>
    <t>770418-7</t>
  </si>
  <si>
    <t>770417-8</t>
  </si>
  <si>
    <t>770416-9</t>
  </si>
  <si>
    <t>770385-0</t>
  </si>
  <si>
    <t>770301-8</t>
  </si>
  <si>
    <t>770298-5</t>
  </si>
  <si>
    <t>770232-9</t>
  </si>
  <si>
    <t>770174-6</t>
  </si>
  <si>
    <t>770156-0</t>
  </si>
  <si>
    <t>770132-0</t>
  </si>
  <si>
    <t>770068-6</t>
  </si>
  <si>
    <t>770067-7</t>
  </si>
  <si>
    <t>ZDBXB8GH2F00AQJ</t>
  </si>
  <si>
    <t>770052-5</t>
  </si>
  <si>
    <t>770021-5</t>
  </si>
  <si>
    <t>769885-9</t>
  </si>
  <si>
    <t>769864-6</t>
  </si>
  <si>
    <t>769775-3</t>
  </si>
  <si>
    <t>769721-2</t>
  </si>
  <si>
    <t>769657-8</t>
  </si>
  <si>
    <t>769651-4</t>
  </si>
  <si>
    <t>769643-5</t>
  </si>
  <si>
    <t>769636-5</t>
  </si>
  <si>
    <t>769500-1</t>
  </si>
  <si>
    <t>769390-6</t>
  </si>
  <si>
    <t>769383-6</t>
  </si>
  <si>
    <t>769223-5</t>
  </si>
  <si>
    <t>769081-1</t>
  </si>
  <si>
    <t>768925-9</t>
  </si>
  <si>
    <t>ZELLBJEJ500055F</t>
  </si>
  <si>
    <t>768876-4</t>
  </si>
  <si>
    <t>768865-8</t>
  </si>
  <si>
    <t>MXBCM862D0</t>
  </si>
  <si>
    <t>768830-2</t>
  </si>
  <si>
    <t>768828-7</t>
  </si>
  <si>
    <t>768813-5</t>
  </si>
  <si>
    <t>CNC1M3D069</t>
  </si>
  <si>
    <t>767187-0</t>
  </si>
  <si>
    <t>774549-4</t>
  </si>
  <si>
    <t>774545-8</t>
  </si>
  <si>
    <t>774418-5</t>
  </si>
  <si>
    <t>774417-6</t>
  </si>
  <si>
    <t>774416-7</t>
  </si>
  <si>
    <t>774415-8</t>
  </si>
  <si>
    <t>774414-9</t>
  </si>
  <si>
    <t>774413-0</t>
  </si>
  <si>
    <t>774412-1</t>
  </si>
  <si>
    <t>774411-2</t>
  </si>
  <si>
    <t>774099-4</t>
  </si>
  <si>
    <t>774097-6</t>
  </si>
  <si>
    <t>774010-7</t>
  </si>
  <si>
    <t>79G3BPT</t>
  </si>
  <si>
    <t>773926-2</t>
  </si>
  <si>
    <t>773642-3</t>
  </si>
  <si>
    <t>773589-5</t>
  </si>
  <si>
    <t>773469-2</t>
  </si>
  <si>
    <t>773408-1</t>
  </si>
  <si>
    <t>773293-1</t>
  </si>
  <si>
    <t>773286-1</t>
  </si>
  <si>
    <t>Monte Verde S.A.</t>
  </si>
  <si>
    <t>Delegación Comercial Santa Fe</t>
  </si>
  <si>
    <t>ZDBXBJCH2000F0J</t>
  </si>
  <si>
    <t>773285-2</t>
  </si>
  <si>
    <t>773264-9</t>
  </si>
  <si>
    <t>773172-9</t>
  </si>
  <si>
    <t>773156-1</t>
  </si>
  <si>
    <t>772832-7</t>
  </si>
  <si>
    <t>772829-3</t>
  </si>
  <si>
    <t>772826-6</t>
  </si>
  <si>
    <t>772819-6</t>
  </si>
  <si>
    <t>772793-9</t>
  </si>
  <si>
    <t>772782-3</t>
  </si>
  <si>
    <t>772766-5</t>
  </si>
  <si>
    <t>772764-7</t>
  </si>
  <si>
    <t>ZDBXBJAG8000E8E</t>
  </si>
  <si>
    <t>772763-8</t>
  </si>
  <si>
    <t>772762-9</t>
  </si>
  <si>
    <t>772715-1</t>
  </si>
  <si>
    <t>772591-3</t>
  </si>
  <si>
    <t>772479-2</t>
  </si>
  <si>
    <t>772330-4</t>
  </si>
  <si>
    <t>772306-7</t>
  </si>
  <si>
    <t>772211-0</t>
  </si>
  <si>
    <t>772185-6</t>
  </si>
  <si>
    <t>772180-1</t>
  </si>
  <si>
    <t>772179-5</t>
  </si>
  <si>
    <t>772162-5</t>
  </si>
  <si>
    <t>772057-4</t>
  </si>
  <si>
    <t>771997-6</t>
  </si>
  <si>
    <t>771987-9</t>
  </si>
  <si>
    <t>771898-6</t>
  </si>
  <si>
    <t>771703-9</t>
  </si>
  <si>
    <t>771348-6</t>
  </si>
  <si>
    <t>ZDBXBJFM60006LN</t>
  </si>
  <si>
    <t>771234-4</t>
  </si>
  <si>
    <t>770841-1</t>
  </si>
  <si>
    <t>732179-9</t>
  </si>
  <si>
    <t>732177-1</t>
  </si>
  <si>
    <t>732175-3</t>
  </si>
  <si>
    <t>793G8DT</t>
  </si>
  <si>
    <t>60.8021928,13z/data=!3m1!4b1!4m20!4m19!1m5!1m1!1s0x95b5a9db02e31df5:0x14cb4291f5edb791!2m2!1d</t>
  </si>
  <si>
    <t>60.7067158!2d</t>
  </si>
  <si>
    <t>31.6229663!1m5!1m1!1s0x95b5a66545158845:0x64fc5078ea5ed5e1!2m2!1d</t>
  </si>
  <si>
    <t>60.8035994!2d</t>
  </si>
  <si>
    <t>31.7110192!1m5!1m1!1s0x95b5a9db02e31df5:0x14cb4291f5edb791!2m2!1d</t>
  </si>
  <si>
    <t>31.6229663!3e0?entry=ttu&amp;g_ep=EgoyMDI0MDkwMy4wIKXMDSoASAFQAw%3D%3D</t>
  </si>
  <si>
    <t>https://www.google.com/maps/dir/Urquiza+4703,+Santa+Fe+de+la+Vera+Cruz,+Santa+Fe/Parque+industrial+de+Sauce+Viejo,+RN11,+Santa+Fe+de+la+Vera+Cruz,+Santa+Fe/Urquiza+4703,+S3002EKZ+Santa+Fe+de+la+Vera+Cruz,+Santa+Fe/@-31.667757,-60.8021928,13z/data=!3m1!4b1!4m20!4m19!1m5!1m1!1s0x95b5a9db02e31df5:0x14cb4291f5edb791!2m2!1d-60.7067158!2d-31.6229663!1m5!1m1!1s0x95b5a66545158845:0x64fc5078ea5ed5e1!2m2!1d-60.8035994!2d-31.7110192!1m5!1m1!1s0x95b5a9db02e31df5:0x14cb4291f5edb791!2m2!1d-60.7067158!2d-31.6229663!3e0?entry=ttu&amp;g_ep=EgoyMDI0MDkwMy4wIKXMDSoASAFQAw%3D%3D</t>
  </si>
  <si>
    <t>Ruta Nacional N°11 Km. 455, Parque Industrial Sauce Viejo</t>
  </si>
  <si>
    <t>SAUCE VIEJO</t>
  </si>
  <si>
    <t>Ruta provincial N° 5, km 0,5</t>
  </si>
  <si>
    <t>60.742249,13z/data=!3m1!4b1!4m20!4m19!1m5!1m1!1s0x95b5a9db02e31df5:0x14cb4291f5edb791!2m2!1d</t>
  </si>
  <si>
    <t>31.6229663!1m5!1m1!1s0x95b5042a017d1909:0xd9bcd0cf4275e29f!2m2!1d</t>
  </si>
  <si>
    <t>60.7158469!2d</t>
  </si>
  <si>
    <t>31.5332573!1m5!1m1!1s0x95b5a9db02e31df5:0x14cb4291f5edb791!2m2!1d</t>
  </si>
  <si>
    <t>Santa fe</t>
  </si>
  <si>
    <t>776923-6</t>
  </si>
  <si>
    <t>776920-9</t>
  </si>
  <si>
    <t>776912-0</t>
  </si>
  <si>
    <t>776853-8</t>
  </si>
  <si>
    <t>776798-2</t>
  </si>
  <si>
    <t>776655-8</t>
  </si>
  <si>
    <t>776601-7</t>
  </si>
  <si>
    <t>776445-3</t>
  </si>
  <si>
    <t>776370-0</t>
  </si>
  <si>
    <t>Mercado Libre</t>
  </si>
  <si>
    <t>BRBSS1B02V</t>
  </si>
  <si>
    <t>776185-4</t>
  </si>
  <si>
    <t>776115-5</t>
  </si>
  <si>
    <t>CNCRS416BD</t>
  </si>
  <si>
    <t>776114-6</t>
  </si>
  <si>
    <t>776053-6</t>
  </si>
  <si>
    <t>776051-8</t>
  </si>
  <si>
    <t>776032-3</t>
  </si>
  <si>
    <t>0ACTBJFJ500017N</t>
  </si>
  <si>
    <t>776025-3</t>
  </si>
  <si>
    <t>776024-4</t>
  </si>
  <si>
    <t>776012-9</t>
  </si>
  <si>
    <t>775976-1</t>
  </si>
  <si>
    <t>775954-9</t>
  </si>
  <si>
    <t>775815-1</t>
  </si>
  <si>
    <t>775788-8</t>
  </si>
  <si>
    <t>775787-9</t>
  </si>
  <si>
    <t>775786-0</t>
  </si>
  <si>
    <t>775691-3</t>
  </si>
  <si>
    <t>8W91B1CBA00191X</t>
  </si>
  <si>
    <t>775293-5</t>
  </si>
  <si>
    <t>775286-5</t>
  </si>
  <si>
    <t>775266-1</t>
  </si>
  <si>
    <t>774991-3</t>
  </si>
  <si>
    <t>774857-0</t>
  </si>
  <si>
    <t>774634-1</t>
  </si>
  <si>
    <t>774582-9</t>
  </si>
  <si>
    <t>SP000456</t>
  </si>
  <si>
    <t>774570-4</t>
  </si>
  <si>
    <t>774424-6</t>
  </si>
  <si>
    <t>774228-4</t>
  </si>
  <si>
    <t>774192-0</t>
  </si>
  <si>
    <t>Sonia Ruiz</t>
  </si>
  <si>
    <t>PF31J069</t>
  </si>
  <si>
    <t>780444-1</t>
  </si>
  <si>
    <t>780443-2</t>
  </si>
  <si>
    <t>780442-3</t>
  </si>
  <si>
    <t>780440-5</t>
  </si>
  <si>
    <t>780439-9</t>
  </si>
  <si>
    <t>780423-8</t>
  </si>
  <si>
    <t>780352-1</t>
  </si>
  <si>
    <t>780351-2</t>
  </si>
  <si>
    <t>780267-4</t>
  </si>
  <si>
    <t>780239-1</t>
  </si>
  <si>
    <t>780238-2</t>
  </si>
  <si>
    <t>780237-3</t>
  </si>
  <si>
    <t>780236-4</t>
  </si>
  <si>
    <t>780128-6</t>
  </si>
  <si>
    <t>BRDSPCS09R</t>
  </si>
  <si>
    <t>780125-9</t>
  </si>
  <si>
    <t>780124-0</t>
  </si>
  <si>
    <t>780123-1</t>
  </si>
  <si>
    <t>780122-2</t>
  </si>
  <si>
    <t>ZDBHBJEJ900008M</t>
  </si>
  <si>
    <t>779955-6</t>
  </si>
  <si>
    <t>CNNCN8D06K</t>
  </si>
  <si>
    <t>779822-9</t>
  </si>
  <si>
    <t>779821-0</t>
  </si>
  <si>
    <t>779820-1</t>
  </si>
  <si>
    <t>779819-5</t>
  </si>
  <si>
    <t>779818-6</t>
  </si>
  <si>
    <t>779817-7</t>
  </si>
  <si>
    <t>779784-0</t>
  </si>
  <si>
    <t>779747-9</t>
  </si>
  <si>
    <t>779745-1</t>
  </si>
  <si>
    <t>779744-2</t>
  </si>
  <si>
    <t>779743-3</t>
  </si>
  <si>
    <t>779742-4</t>
  </si>
  <si>
    <t>779741-5</t>
  </si>
  <si>
    <t>779740-6</t>
  </si>
  <si>
    <t>779739-0</t>
  </si>
  <si>
    <t>779738-1</t>
  </si>
  <si>
    <t>779737-2</t>
  </si>
  <si>
    <t>779692-0</t>
  </si>
  <si>
    <t>779686-9</t>
  </si>
  <si>
    <t>779437-5</t>
  </si>
  <si>
    <t>779410-8</t>
  </si>
  <si>
    <t>779407-4</t>
  </si>
  <si>
    <t>779288-1</t>
  </si>
  <si>
    <t>779287-2</t>
  </si>
  <si>
    <t>779286-3</t>
  </si>
  <si>
    <t>779285-4</t>
  </si>
  <si>
    <t>779284-5</t>
  </si>
  <si>
    <t>779283-6</t>
  </si>
  <si>
    <t>779280-9</t>
  </si>
  <si>
    <t>779279-3</t>
  </si>
  <si>
    <t>779277-5</t>
  </si>
  <si>
    <t>Z83DBJEJ50000JT</t>
  </si>
  <si>
    <t>779276-6</t>
  </si>
  <si>
    <t>CNB1N2SYJ6</t>
  </si>
  <si>
    <t>779275-7</t>
  </si>
  <si>
    <t>779274-8</t>
  </si>
  <si>
    <t>779273-9</t>
  </si>
  <si>
    <t>779271-1</t>
  </si>
  <si>
    <t>779270-2</t>
  </si>
  <si>
    <t>779269-6</t>
  </si>
  <si>
    <t>779267-8</t>
  </si>
  <si>
    <t>779266-9</t>
  </si>
  <si>
    <t>779265-0</t>
  </si>
  <si>
    <t>779264-1</t>
  </si>
  <si>
    <t>779263-2</t>
  </si>
  <si>
    <t>779260-5</t>
  </si>
  <si>
    <t>779255-3</t>
  </si>
  <si>
    <t>779209-4</t>
  </si>
  <si>
    <t>Generación Litoral</t>
  </si>
  <si>
    <t>779186-4</t>
  </si>
  <si>
    <t>779160-6</t>
  </si>
  <si>
    <t>779142-0</t>
  </si>
  <si>
    <t>779141-1</t>
  </si>
  <si>
    <t>779140-2</t>
  </si>
  <si>
    <t>779138-7</t>
  </si>
  <si>
    <t>779137-8</t>
  </si>
  <si>
    <t>779136-9</t>
  </si>
  <si>
    <t>779135-0</t>
  </si>
  <si>
    <t>779134-1</t>
  </si>
  <si>
    <t>779054-6</t>
  </si>
  <si>
    <t>794Y5WY</t>
  </si>
  <si>
    <t>779021-8</t>
  </si>
  <si>
    <t>779016-6</t>
  </si>
  <si>
    <t>778786-1</t>
  </si>
  <si>
    <t>778741-8</t>
  </si>
  <si>
    <t>778697-8</t>
  </si>
  <si>
    <t>778691-4</t>
  </si>
  <si>
    <t>778658-9</t>
  </si>
  <si>
    <t>778396-2</t>
  </si>
  <si>
    <t>778202-4</t>
  </si>
  <si>
    <t>778121-0</t>
  </si>
  <si>
    <t>778110-4</t>
  </si>
  <si>
    <t>Generación Mediterránea</t>
  </si>
  <si>
    <t>MXBCS6V00K</t>
  </si>
  <si>
    <t>778109-8</t>
  </si>
  <si>
    <t>CNCRS4L072</t>
  </si>
  <si>
    <t>778058-5</t>
  </si>
  <si>
    <t>777810-0</t>
  </si>
  <si>
    <t>CNB1R4C0QJ</t>
  </si>
  <si>
    <t>777809-4</t>
  </si>
  <si>
    <t>CNB1R4C0QB</t>
  </si>
  <si>
    <t>777808-5</t>
  </si>
  <si>
    <t>CNB1R4C0QC</t>
  </si>
  <si>
    <t>777807-6</t>
  </si>
  <si>
    <t>ZDBXBJFM6000C2X</t>
  </si>
  <si>
    <t>777806-7</t>
  </si>
  <si>
    <t>ZDBXBJFM6000BXK</t>
  </si>
  <si>
    <t>777805-8</t>
  </si>
  <si>
    <t>ZDBXBJFM6000BZB</t>
  </si>
  <si>
    <t>777740-2</t>
  </si>
  <si>
    <t>777739-6</t>
  </si>
  <si>
    <t>777405-2</t>
  </si>
  <si>
    <t>777403-4</t>
  </si>
  <si>
    <t>777324-8</t>
  </si>
  <si>
    <t>777259-5</t>
  </si>
  <si>
    <t>776966-1</t>
  </si>
  <si>
    <t>776894-5</t>
  </si>
  <si>
    <t>776870-5</t>
  </si>
  <si>
    <t>774919-9</t>
  </si>
  <si>
    <t>San Nicolás</t>
  </si>
  <si>
    <t>0ACTBJFH900047B</t>
  </si>
  <si>
    <t>https://www.google.com/maps/dir/Av.+Bordabehere+3811,+S2002+KNC,+Santa+Fe/Avenida+Savio+2900,+San+Nicol%C3%A1s+de+Los+Arroyos,+Provincia+de+Buenos+Aires/Av.+Bordabehere+3811,+S2002+KNC,+Santa+Fe/@</t>
  </si>
  <si>
    <t>60.7712918,10z/data=!3m1!4b1!4m20!4m19!1m5!1m1!1s0x95b7ab55726d7baf:0xff0f95afeea1648d!2m2!1d</t>
  </si>
  <si>
    <t>60.6737505!2d</t>
  </si>
  <si>
    <t>32.9335742!1m5!1m1!1s0x95b75e81ec045f7f:0xd559d636d78aba07!2m2!1d</t>
  </si>
  <si>
    <t>60.1600338!2d</t>
  </si>
  <si>
    <t>33.373199!1m5!1m1!1s0x95b7ab55726d7baf:0xff0f95afeea1648d!2m2!1d</t>
  </si>
  <si>
    <t>32.9335742!3e0?entry=ttu&amp;g_ep=EgoyMDI0MTAyOS4wIKXMDSoASAFQAw%3D%3D</t>
  </si>
  <si>
    <t>Av. Savio 2900</t>
  </si>
  <si>
    <t>Brigadier Lopez 10500</t>
  </si>
  <si>
    <t>https://www.google.com/maps/dir/Av.+Bordabehere+3811,+S2002+KNC,+Santa+Fe/Albanesi+</t>
  </si>
  <si>
    <t>+Planta+Generadora+Timbues,+San+Lorenzo,+Santa+Fe/Av.+Bordabehere+3811,+S2002+KNC,+Santa+Fe/@</t>
  </si>
  <si>
    <t>60.9149835,11z/data=!3m1!4b1!4m20!4m19!1m5!1m1!1s0x95b7ab55726d7baf:0xff0f95afeea1648d!2m2!1d</t>
  </si>
  <si>
    <t>32.9335742!1m5!1m1!1s0x95b6688b211a3681:0x6d5af55957059e61!2m2!1d</t>
  </si>
  <si>
    <t>60.7932392!2d</t>
  </si>
  <si>
    <t>32.587258!1m5!1m1!1s0x95b7ab55726d7baf:0xff0f95afeea1648d!2m2!1d</t>
  </si>
  <si>
    <t>32.9335742!3e0?entry=ttu&amp;g_ep=EgoyMDI0MTEwNS4wIKXMDSoASAFQAw%3D%3D</t>
  </si>
  <si>
    <t>https://www.google.com.ar/maps/dir/Avenida+Bordabehere+3811,+KNC,+Provincia+de+Santa+Fe/Juan+XXIII+3185,+S2124+Villa+Gdor.+Galvez,+Santa+Fe/Av.+Bordabehere+3811,+S2002+KNC,+Santa+Fe/@</t>
  </si>
  <si>
    <t>60.7290729,13z/data=!3m1!4b1!4m20!4m19!1m5!1m1!1s0x95b7ab55726d7baf:0xff0f95afeea1648d!2m2!1d</t>
  </si>
  <si>
    <t>32.9335742!1m5!1m1!1s0x95b7a93af3a474b5:0x1a536bab0457cdf0!2m2!1d</t>
  </si>
  <si>
    <t>60.6616347!2d</t>
  </si>
  <si>
    <t>33.0406566!1m5!1m1!1s0x95b7ab55726d7baf:0xff0f95afeea1648d!2m2!1d</t>
  </si>
  <si>
    <t>Juan XXIII 3185</t>
  </si>
  <si>
    <t> Villa Gobernador Galvez</t>
  </si>
  <si>
    <t>782769-1</t>
  </si>
  <si>
    <t>782752-1</t>
  </si>
  <si>
    <t>ZDBXBJCH2001DCK</t>
  </si>
  <si>
    <t>782751-2</t>
  </si>
  <si>
    <t>782750-3</t>
  </si>
  <si>
    <t>782749-7</t>
  </si>
  <si>
    <t>782748-8</t>
  </si>
  <si>
    <t>782747-9</t>
  </si>
  <si>
    <t>782745-1</t>
  </si>
  <si>
    <t>ZDBXBJCH300069E</t>
  </si>
  <si>
    <t>782744-2</t>
  </si>
  <si>
    <t>782743-3</t>
  </si>
  <si>
    <t>782742-4</t>
  </si>
  <si>
    <t>782741-5</t>
  </si>
  <si>
    <t>782740-6</t>
  </si>
  <si>
    <t>782739-0</t>
  </si>
  <si>
    <t>782737-2</t>
  </si>
  <si>
    <t>782736-3</t>
  </si>
  <si>
    <t>782735-4</t>
  </si>
  <si>
    <t>782734-5</t>
  </si>
  <si>
    <t>782733-6</t>
  </si>
  <si>
    <t>782731-8</t>
  </si>
  <si>
    <t>782729-3</t>
  </si>
  <si>
    <t>782677-1</t>
  </si>
  <si>
    <t>782666-5</t>
  </si>
  <si>
    <t>782325-1</t>
  </si>
  <si>
    <t>782290-6</t>
  </si>
  <si>
    <t>782264-1</t>
  </si>
  <si>
    <t>782259-9</t>
  </si>
  <si>
    <t>782250-8</t>
  </si>
  <si>
    <t>782237-7</t>
  </si>
  <si>
    <t>Galeno - COLONOS</t>
  </si>
  <si>
    <t>782236-8</t>
  </si>
  <si>
    <t>782235-9</t>
  </si>
  <si>
    <t>782234-0</t>
  </si>
  <si>
    <t>782233-1</t>
  </si>
  <si>
    <t>782231-3</t>
  </si>
  <si>
    <t>782230-4</t>
  </si>
  <si>
    <t>782229-8</t>
  </si>
  <si>
    <t>782228-9</t>
  </si>
  <si>
    <t>782160-6</t>
  </si>
  <si>
    <t>782125-3</t>
  </si>
  <si>
    <t>782124-4</t>
  </si>
  <si>
    <t>782122-6</t>
  </si>
  <si>
    <t>782121-7</t>
  </si>
  <si>
    <t>782119-2</t>
  </si>
  <si>
    <t>782117-4</t>
  </si>
  <si>
    <t>782116-5</t>
  </si>
  <si>
    <t>782093-5</t>
  </si>
  <si>
    <t>782041-2</t>
  </si>
  <si>
    <t>782040-3</t>
  </si>
  <si>
    <t>782036-0</t>
  </si>
  <si>
    <t>781808-2</t>
  </si>
  <si>
    <t>781728-7</t>
  </si>
  <si>
    <t>781720-5</t>
  </si>
  <si>
    <t>781667-7</t>
  </si>
  <si>
    <t>781666-8</t>
  </si>
  <si>
    <t>781665-9</t>
  </si>
  <si>
    <t>781664-0</t>
  </si>
  <si>
    <t>781663-1</t>
  </si>
  <si>
    <t>781662-2</t>
  </si>
  <si>
    <t>781631-2</t>
  </si>
  <si>
    <t>781230-7</t>
  </si>
  <si>
    <t>781212-1</t>
  </si>
  <si>
    <t>781198-2</t>
  </si>
  <si>
    <t>781197-3</t>
  </si>
  <si>
    <t>781121-0</t>
  </si>
  <si>
    <t>781120-1</t>
  </si>
  <si>
    <t>ZDBXB8GH2F009GL</t>
  </si>
  <si>
    <t>781119-5</t>
  </si>
  <si>
    <t>780928-8</t>
  </si>
  <si>
    <t>ZDBXB8GJBA000QV</t>
  </si>
  <si>
    <t>780751-8</t>
  </si>
  <si>
    <t>780714-7</t>
  </si>
  <si>
    <t>780535-2</t>
  </si>
  <si>
    <t>780474-2</t>
  </si>
  <si>
    <t>780405-2</t>
  </si>
  <si>
    <t>780347-9</t>
  </si>
  <si>
    <t>780345-1</t>
  </si>
  <si>
    <t>780344-2</t>
  </si>
  <si>
    <t>780343-3</t>
  </si>
  <si>
    <t>780339-0</t>
  </si>
  <si>
    <t>780297-5</t>
  </si>
  <si>
    <t>780226-7</t>
  </si>
  <si>
    <t>780126-8</t>
  </si>
  <si>
    <t>779496-8</t>
  </si>
  <si>
    <t>779268-7</t>
  </si>
  <si>
    <t>778104-3</t>
  </si>
  <si>
    <t>MXBCS6P02Z</t>
  </si>
  <si>
    <t>Rivadavia y Acceso Prefectura Nac.</t>
  </si>
  <si>
    <t>MAPS</t>
  </si>
  <si>
    <t>El promedio de kms para las tres empresas da 120 kms</t>
  </si>
  <si>
    <t>785319-1</t>
  </si>
  <si>
    <t>785318-2</t>
  </si>
  <si>
    <t>785317-3</t>
  </si>
  <si>
    <t>785252-7</t>
  </si>
  <si>
    <t>785251-8</t>
  </si>
  <si>
    <t>785171-3</t>
  </si>
  <si>
    <t>79G3PZC</t>
  </si>
  <si>
    <t>784934-7</t>
  </si>
  <si>
    <t>784825-0</t>
  </si>
  <si>
    <t>KFC137 PASEO DEL BOSQUE</t>
  </si>
  <si>
    <t>SP001171</t>
  </si>
  <si>
    <t>784824-1</t>
  </si>
  <si>
    <t>SP001170</t>
  </si>
  <si>
    <t>784823-2</t>
  </si>
  <si>
    <t>SP001169</t>
  </si>
  <si>
    <t>784822-3</t>
  </si>
  <si>
    <t>SP001168</t>
  </si>
  <si>
    <t>784583-7</t>
  </si>
  <si>
    <t>784542-0</t>
  </si>
  <si>
    <t>784397-2</t>
  </si>
  <si>
    <t>784348-6</t>
  </si>
  <si>
    <t>784223-8</t>
  </si>
  <si>
    <t>784154-9</t>
  </si>
  <si>
    <t>076UBJFH200071N</t>
  </si>
  <si>
    <t>784092-0</t>
  </si>
  <si>
    <t>784090-2</t>
  </si>
  <si>
    <t>783910-0</t>
  </si>
  <si>
    <t>783612-1</t>
  </si>
  <si>
    <t>783487-7</t>
  </si>
  <si>
    <t>783477-0</t>
  </si>
  <si>
    <t>783468-2</t>
  </si>
  <si>
    <t>783304-5</t>
  </si>
  <si>
    <t>783298-5</t>
  </si>
  <si>
    <t>783105-6</t>
  </si>
  <si>
    <t>783104-7</t>
  </si>
  <si>
    <t>783101-0</t>
  </si>
  <si>
    <t>CEVA</t>
  </si>
  <si>
    <t>79G3PYV</t>
  </si>
  <si>
    <t>783099-6</t>
  </si>
  <si>
    <t>ZELLBJEJ50004BR</t>
  </si>
  <si>
    <t>783096-9</t>
  </si>
  <si>
    <t>783095-0</t>
  </si>
  <si>
    <t>783093-2</t>
  </si>
  <si>
    <t>783091-4</t>
  </si>
  <si>
    <t>783090-5</t>
  </si>
  <si>
    <t>783089-9</t>
  </si>
  <si>
    <t>783088-0</t>
  </si>
  <si>
    <t>783086-2</t>
  </si>
  <si>
    <t>783085-3</t>
  </si>
  <si>
    <t>783084-4</t>
  </si>
  <si>
    <t>783083-5</t>
  </si>
  <si>
    <t>783080-8</t>
  </si>
  <si>
    <t>783073-8</t>
  </si>
  <si>
    <t>782993-6</t>
  </si>
  <si>
    <t>782963-5</t>
  </si>
  <si>
    <t>782904-2</t>
  </si>
  <si>
    <t>782875-1</t>
  </si>
  <si>
    <t>782866-3</t>
  </si>
  <si>
    <t>782865-4</t>
  </si>
  <si>
    <t>782864-5</t>
  </si>
  <si>
    <t>782754-9</t>
  </si>
  <si>
    <t>ZFP6B1BH100016K</t>
  </si>
  <si>
    <t>782652-2</t>
  </si>
  <si>
    <t>782280-9</t>
  </si>
  <si>
    <t>782263-2</t>
  </si>
  <si>
    <t>781275-0</t>
  </si>
  <si>
    <t>780342-4</t>
  </si>
  <si>
    <t>787155-9</t>
  </si>
  <si>
    <t>787122-1</t>
  </si>
  <si>
    <t>787121-2</t>
  </si>
  <si>
    <t>787120-3</t>
  </si>
  <si>
    <t>787119-7</t>
  </si>
  <si>
    <t>787021-3</t>
  </si>
  <si>
    <t>787020-4</t>
  </si>
  <si>
    <t>787019-8</t>
  </si>
  <si>
    <t>787018-9</t>
  </si>
  <si>
    <t>787017-0</t>
  </si>
  <si>
    <t>787016-1</t>
  </si>
  <si>
    <t>787014-3</t>
  </si>
  <si>
    <t>787013-4</t>
  </si>
  <si>
    <t>ZDBXBJAG80008YX</t>
  </si>
  <si>
    <t>787012-5</t>
  </si>
  <si>
    <t>787011-6</t>
  </si>
  <si>
    <t>787009-1</t>
  </si>
  <si>
    <t>787008-2</t>
  </si>
  <si>
    <t>787007-3</t>
  </si>
  <si>
    <t>786865-2</t>
  </si>
  <si>
    <t>786742-2</t>
  </si>
  <si>
    <t>786741-3</t>
  </si>
  <si>
    <t>786621-0</t>
  </si>
  <si>
    <t>786620-1</t>
  </si>
  <si>
    <t>786619-5</t>
  </si>
  <si>
    <t>786538-1</t>
  </si>
  <si>
    <t>786457-7</t>
  </si>
  <si>
    <t>786387-9</t>
  </si>
  <si>
    <t>786386-0</t>
  </si>
  <si>
    <t>786366-6</t>
  </si>
  <si>
    <t>786287-0</t>
  </si>
  <si>
    <t>786163-1</t>
  </si>
  <si>
    <t>786152-5</t>
  </si>
  <si>
    <t>786130-3</t>
  </si>
  <si>
    <t>786128-8</t>
  </si>
  <si>
    <t>786085-4</t>
  </si>
  <si>
    <t>785999-1</t>
  </si>
  <si>
    <t>Celsur Logistica S.A.</t>
  </si>
  <si>
    <t>Saint Gobain Rosario (Weber)</t>
  </si>
  <si>
    <t>ZDBXB8GJ7F0014W</t>
  </si>
  <si>
    <t>785986-7</t>
  </si>
  <si>
    <t>ZDBXBJFM60002LZ</t>
  </si>
  <si>
    <t>785959-3</t>
  </si>
  <si>
    <t>785918-6</t>
  </si>
  <si>
    <t>785895-6</t>
  </si>
  <si>
    <t>785852-1</t>
  </si>
  <si>
    <t>785823-9</t>
  </si>
  <si>
    <t>785698-5</t>
  </si>
  <si>
    <t>785619-8</t>
  </si>
  <si>
    <t>785611-6</t>
  </si>
  <si>
    <t>785600-0</t>
  </si>
  <si>
    <t>785572-8</t>
  </si>
  <si>
    <t>785520-5</t>
  </si>
  <si>
    <t>ZELLBJEJ50001SK</t>
  </si>
  <si>
    <t>785495-0</t>
  </si>
  <si>
    <t>785435-8</t>
  </si>
  <si>
    <t>785432-1</t>
  </si>
  <si>
    <t>785367-8</t>
  </si>
  <si>
    <t>785231-4</t>
  </si>
  <si>
    <t>785143-0</t>
  </si>
  <si>
    <t>784828-7</t>
  </si>
  <si>
    <t>ZELLBJFJB0007CE</t>
  </si>
  <si>
    <t>Ruta Nacional 9; Km 279 (Colectora Oeste)</t>
  </si>
  <si>
    <t>ALVEAR</t>
  </si>
  <si>
    <t>789231-2</t>
  </si>
  <si>
    <t>789230-3</t>
  </si>
  <si>
    <t>789229-7</t>
  </si>
  <si>
    <t>789227-9</t>
  </si>
  <si>
    <t>789226-0</t>
  </si>
  <si>
    <t>789225-1</t>
  </si>
  <si>
    <t>789224-2</t>
  </si>
  <si>
    <t>789128-9</t>
  </si>
  <si>
    <t>789116-4</t>
  </si>
  <si>
    <t>788634-8</t>
  </si>
  <si>
    <t>788540-0</t>
  </si>
  <si>
    <t>788481-8</t>
  </si>
  <si>
    <t>788374-9</t>
  </si>
  <si>
    <t>788357-2</t>
  </si>
  <si>
    <t>Supermayorista Vital</t>
  </si>
  <si>
    <t>Sucursal Santa Fe</t>
  </si>
  <si>
    <t>ZDBXBJFM6000FDD</t>
  </si>
  <si>
    <t>788356-3</t>
  </si>
  <si>
    <t>ZDBXBJFM6000F0Y</t>
  </si>
  <si>
    <t>788355-4</t>
  </si>
  <si>
    <t>ZDBXBJFM6000EMF</t>
  </si>
  <si>
    <t>788354-5</t>
  </si>
  <si>
    <t>ZDBXBJFM6000EGY</t>
  </si>
  <si>
    <t>788353-6</t>
  </si>
  <si>
    <t>ZDBXBJFM6000ECP</t>
  </si>
  <si>
    <t>788352-7</t>
  </si>
  <si>
    <t>ZDBXBJFM60007YA</t>
  </si>
  <si>
    <t>788351-8</t>
  </si>
  <si>
    <t>ZDBXB8GK3F009EX</t>
  </si>
  <si>
    <t>788349-3</t>
  </si>
  <si>
    <t>ZDBXB8GK3F0098T</t>
  </si>
  <si>
    <t>788348-4</t>
  </si>
  <si>
    <t>ZDBXB8GK3F0097A</t>
  </si>
  <si>
    <t>788347-5</t>
  </si>
  <si>
    <t>ZDBXB8GK3F0093P</t>
  </si>
  <si>
    <t>788346-6</t>
  </si>
  <si>
    <t>ZDBXB8GK3F0091W</t>
  </si>
  <si>
    <t>788345-7</t>
  </si>
  <si>
    <t>ZDBXB8GK3F008WH</t>
  </si>
  <si>
    <t>788344-8</t>
  </si>
  <si>
    <t>ZDBXB8GK3F008TY</t>
  </si>
  <si>
    <t>788343-9</t>
  </si>
  <si>
    <t>ZDBXB8GK3F008RJ</t>
  </si>
  <si>
    <t>788342-0</t>
  </si>
  <si>
    <t>ZDBXB8GK3F008NE</t>
  </si>
  <si>
    <t>788341-1</t>
  </si>
  <si>
    <t>ZDBXB8GK3F008LB</t>
  </si>
  <si>
    <t>788340-2</t>
  </si>
  <si>
    <t>ZDBXB8GK3F008JF</t>
  </si>
  <si>
    <t>788339-6</t>
  </si>
  <si>
    <t>ZDBXB8GK3F008ER</t>
  </si>
  <si>
    <t>788338-7</t>
  </si>
  <si>
    <t>ZDBXB8GK3F0088Y</t>
  </si>
  <si>
    <t>788337-8</t>
  </si>
  <si>
    <t>ZDBXB8GK2A00EPK</t>
  </si>
  <si>
    <t>788336-9</t>
  </si>
  <si>
    <t>ZDBXB8GK1F00N1D</t>
  </si>
  <si>
    <t>788335-0</t>
  </si>
  <si>
    <t>MXBC16NG9W</t>
  </si>
  <si>
    <t>788333-2</t>
  </si>
  <si>
    <t>0ACTBJFH700017V</t>
  </si>
  <si>
    <t>788319-2</t>
  </si>
  <si>
    <t>791TNF0</t>
  </si>
  <si>
    <t>788308-6</t>
  </si>
  <si>
    <t>ZDBXB8GK3F0089L</t>
  </si>
  <si>
    <t>788306-8</t>
  </si>
  <si>
    <t>ZDBXB8GK3F008AH</t>
  </si>
  <si>
    <t>788278-6</t>
  </si>
  <si>
    <t>788253-7</t>
  </si>
  <si>
    <t>788204-1</t>
  </si>
  <si>
    <t>788188-4</t>
  </si>
  <si>
    <t>788187-5</t>
  </si>
  <si>
    <t>788166-2</t>
  </si>
  <si>
    <t>788095-5</t>
  </si>
  <si>
    <t>788088-5</t>
  </si>
  <si>
    <t>788078-8</t>
  </si>
  <si>
    <t>787998-6</t>
  </si>
  <si>
    <t>787822-4</t>
  </si>
  <si>
    <t>0ACTBJFHB00015D</t>
  </si>
  <si>
    <t>787805-7</t>
  </si>
  <si>
    <t>787334-4</t>
  </si>
  <si>
    <t>787333-5</t>
  </si>
  <si>
    <t>787202-6</t>
  </si>
  <si>
    <t>787192-0</t>
  </si>
  <si>
    <t>786609-8</t>
  </si>
  <si>
    <t>779429-6</t>
  </si>
  <si>
    <t>ZDBXB8GK3F009AN</t>
  </si>
  <si>
    <t>791763-9</t>
  </si>
  <si>
    <t>791762-0</t>
  </si>
  <si>
    <t>791761-1</t>
  </si>
  <si>
    <t>791760-2</t>
  </si>
  <si>
    <t>791759-6</t>
  </si>
  <si>
    <t>791757-8</t>
  </si>
  <si>
    <t>791756-9</t>
  </si>
  <si>
    <t>791755-0</t>
  </si>
  <si>
    <t>791754-1</t>
  </si>
  <si>
    <t>791699-5</t>
  </si>
  <si>
    <t>08PKHNKM600002</t>
  </si>
  <si>
    <t>791470-2</t>
  </si>
  <si>
    <t>791453-5</t>
  </si>
  <si>
    <t>791406-7</t>
  </si>
  <si>
    <t>791405-8</t>
  </si>
  <si>
    <t>791404-9</t>
  </si>
  <si>
    <t>791403-0</t>
  </si>
  <si>
    <t>791398-9</t>
  </si>
  <si>
    <t>791334-1</t>
  </si>
  <si>
    <t>791322-6</t>
  </si>
  <si>
    <t>791301-3</t>
  </si>
  <si>
    <t>791300-4</t>
  </si>
  <si>
    <t>791211-1</t>
  </si>
  <si>
    <t>791179-6</t>
  </si>
  <si>
    <t>ZDBXBJCH2001JAX</t>
  </si>
  <si>
    <t>791173-2</t>
  </si>
  <si>
    <t>790378-8</t>
  </si>
  <si>
    <t>790251-2</t>
  </si>
  <si>
    <t>790162-9</t>
  </si>
  <si>
    <t>790161-0</t>
  </si>
  <si>
    <t>789998-0</t>
  </si>
  <si>
    <t>789951-9</t>
  </si>
  <si>
    <t>789949-4</t>
  </si>
  <si>
    <t>789948-5</t>
  </si>
  <si>
    <t>789947-6</t>
  </si>
  <si>
    <t>789946-7</t>
  </si>
  <si>
    <t>789945-8</t>
  </si>
  <si>
    <t>789944-9</t>
  </si>
  <si>
    <t>789943-0</t>
  </si>
  <si>
    <t>789942-1</t>
  </si>
  <si>
    <t>789941-2</t>
  </si>
  <si>
    <t>789940-3</t>
  </si>
  <si>
    <t>789939-7</t>
  </si>
  <si>
    <t>789883-9</t>
  </si>
  <si>
    <t>789853-8</t>
  </si>
  <si>
    <t>789825-5</t>
  </si>
  <si>
    <t>789650-3</t>
  </si>
  <si>
    <t>789543-4</t>
  </si>
  <si>
    <t>ZDBXBJCH2000EPW</t>
  </si>
  <si>
    <t>789475-4</t>
  </si>
  <si>
    <t>789440-8</t>
  </si>
  <si>
    <t>789142-9</t>
  </si>
  <si>
    <t>788928-4</t>
  </si>
  <si>
    <t>785013-0</t>
  </si>
  <si>
    <t>maps</t>
  </si>
  <si>
    <t>251 KMS TOTALES</t>
  </si>
  <si>
    <t>168 kms totales</t>
  </si>
  <si>
    <t>794731-1</t>
  </si>
  <si>
    <t>794694-1</t>
  </si>
  <si>
    <t>ZDBXBJFJ90000RB</t>
  </si>
  <si>
    <t>794693-2</t>
  </si>
  <si>
    <t>794558-0</t>
  </si>
  <si>
    <t>794492-5</t>
  </si>
  <si>
    <t>794461-5</t>
  </si>
  <si>
    <t>794460-6</t>
  </si>
  <si>
    <t>794456-3</t>
  </si>
  <si>
    <t>794410-1</t>
  </si>
  <si>
    <t>Mercado Libre SRL</t>
  </si>
  <si>
    <t>794409-5</t>
  </si>
  <si>
    <t>794408-6</t>
  </si>
  <si>
    <t>794402-2</t>
  </si>
  <si>
    <t>794394-4</t>
  </si>
  <si>
    <t>794393-5</t>
  </si>
  <si>
    <t>794392-6</t>
  </si>
  <si>
    <t>794391-7</t>
  </si>
  <si>
    <t>794390-8</t>
  </si>
  <si>
    <t>794389-2</t>
  </si>
  <si>
    <t>794388-3</t>
  </si>
  <si>
    <t>794387-4</t>
  </si>
  <si>
    <t>794386-5</t>
  </si>
  <si>
    <t>794385-6</t>
  </si>
  <si>
    <t>794384-7</t>
  </si>
  <si>
    <t>794383-8</t>
  </si>
  <si>
    <t>794382-9</t>
  </si>
  <si>
    <t>794381-0</t>
  </si>
  <si>
    <t>794235-2</t>
  </si>
  <si>
    <t>794234-3</t>
  </si>
  <si>
    <t>794233-4</t>
  </si>
  <si>
    <t>794231-6</t>
  </si>
  <si>
    <t>794230-7</t>
  </si>
  <si>
    <t>794227-3</t>
  </si>
  <si>
    <t>794226-4</t>
  </si>
  <si>
    <t>794224-6</t>
  </si>
  <si>
    <t>794223-7</t>
  </si>
  <si>
    <t>794221-9</t>
  </si>
  <si>
    <t>794036-3</t>
  </si>
  <si>
    <t>793946-4</t>
  </si>
  <si>
    <t>793916-3</t>
  </si>
  <si>
    <t>793829-8</t>
  </si>
  <si>
    <t>ZELLBJEK700001X</t>
  </si>
  <si>
    <t>793828-9</t>
  </si>
  <si>
    <t>793825-2</t>
  </si>
  <si>
    <t>793823-4</t>
  </si>
  <si>
    <t>793822-5</t>
  </si>
  <si>
    <t>793699-9</t>
  </si>
  <si>
    <t>793526-4</t>
  </si>
  <si>
    <t>793496-4</t>
  </si>
  <si>
    <t>793495-5</t>
  </si>
  <si>
    <t>793494-6</t>
  </si>
  <si>
    <t>793493-7</t>
  </si>
  <si>
    <t>79G3Z68</t>
  </si>
  <si>
    <t>793416-8</t>
  </si>
  <si>
    <t>793301-7</t>
  </si>
  <si>
    <t>793300-8</t>
  </si>
  <si>
    <t>793116-1</t>
  </si>
  <si>
    <t>792970-4</t>
  </si>
  <si>
    <t>792942-1</t>
  </si>
  <si>
    <t>792931-5</t>
  </si>
  <si>
    <t>792898-1</t>
  </si>
  <si>
    <t>792887-5</t>
  </si>
  <si>
    <t>792879-6</t>
  </si>
  <si>
    <t>792878-7</t>
  </si>
  <si>
    <t>792689-5</t>
  </si>
  <si>
    <t>792643-3</t>
  </si>
  <si>
    <t>792642-4</t>
  </si>
  <si>
    <t>792641-5</t>
  </si>
  <si>
    <t>792640-6</t>
  </si>
  <si>
    <t>792638-1</t>
  </si>
  <si>
    <t>792617-8</t>
  </si>
  <si>
    <t>792604-4</t>
  </si>
  <si>
    <t>792603-5</t>
  </si>
  <si>
    <t>792583-2</t>
  </si>
  <si>
    <t>792581-4</t>
  </si>
  <si>
    <t>792516-0</t>
  </si>
  <si>
    <t>792483-3</t>
  </si>
  <si>
    <t>792482-4</t>
  </si>
  <si>
    <t>792481-5</t>
  </si>
  <si>
    <t>792468-4</t>
  </si>
  <si>
    <t>792467-5</t>
  </si>
  <si>
    <t>ZDBXB8GK1F00HYX</t>
  </si>
  <si>
    <t>792456-9</t>
  </si>
  <si>
    <t>792455-0</t>
  </si>
  <si>
    <t>792453-2</t>
  </si>
  <si>
    <t>792449-9</t>
  </si>
  <si>
    <t>792448-0</t>
  </si>
  <si>
    <t>792446-2</t>
  </si>
  <si>
    <t>792445-3</t>
  </si>
  <si>
    <t>792444-4</t>
  </si>
  <si>
    <t>792443-5</t>
  </si>
  <si>
    <t>792107-6</t>
  </si>
  <si>
    <t>792106-7</t>
  </si>
  <si>
    <t>792076-7</t>
  </si>
  <si>
    <t>792042-0</t>
  </si>
  <si>
    <t>792004-0</t>
  </si>
  <si>
    <t>791897-5</t>
  </si>
  <si>
    <t>791834-6</t>
  </si>
  <si>
    <t>791795-8</t>
  </si>
  <si>
    <t>791794-9</t>
  </si>
  <si>
    <t>791758-7</t>
  </si>
  <si>
    <t>791287-4</t>
  </si>
  <si>
    <t>791242-1</t>
  </si>
  <si>
    <t>790890-5</t>
  </si>
  <si>
    <t>788334-1</t>
  </si>
  <si>
    <t>MXBC16EG9Y</t>
  </si>
  <si>
    <t>781278-7</t>
  </si>
  <si>
    <t>0ACTBJFH70001LF</t>
  </si>
  <si>
    <t>El recorrido da 251 kms, hay que corregir 792878-7 a 47 kms</t>
  </si>
  <si>
    <t>797600-3</t>
  </si>
  <si>
    <t>797551-8</t>
  </si>
  <si>
    <t>797550-9</t>
  </si>
  <si>
    <t>797549-3</t>
  </si>
  <si>
    <t>797548-4</t>
  </si>
  <si>
    <t>797547-5</t>
  </si>
  <si>
    <t>797546-6</t>
  </si>
  <si>
    <t>797545-7</t>
  </si>
  <si>
    <t>797420-9</t>
  </si>
  <si>
    <t>797419-3</t>
  </si>
  <si>
    <t>797418-4</t>
  </si>
  <si>
    <t>797417-5</t>
  </si>
  <si>
    <t>797414-8</t>
  </si>
  <si>
    <t>797413-9</t>
  </si>
  <si>
    <t>797412-0</t>
  </si>
  <si>
    <t>797411-1</t>
  </si>
  <si>
    <t>797314-9</t>
  </si>
  <si>
    <t>797313-0</t>
  </si>
  <si>
    <t>797312-1</t>
  </si>
  <si>
    <t>797109-9</t>
  </si>
  <si>
    <t>797108-0</t>
  </si>
  <si>
    <t>797107-1</t>
  </si>
  <si>
    <t>797106-2</t>
  </si>
  <si>
    <t>797105-3</t>
  </si>
  <si>
    <t>797099-3</t>
  </si>
  <si>
    <t>796882-8</t>
  </si>
  <si>
    <t>796576-0</t>
  </si>
  <si>
    <t>796472-5</t>
  </si>
  <si>
    <t>796443-3</t>
  </si>
  <si>
    <t>796382-3</t>
  </si>
  <si>
    <t>796377-1</t>
  </si>
  <si>
    <t>796305-4</t>
  </si>
  <si>
    <t>796259-6</t>
  </si>
  <si>
    <t>796145-4</t>
  </si>
  <si>
    <t>796064-0</t>
  </si>
  <si>
    <t>796063-1</t>
  </si>
  <si>
    <t>796060-4</t>
  </si>
  <si>
    <t>796059-8</t>
  </si>
  <si>
    <t>796053-4</t>
  </si>
  <si>
    <t>796052-5</t>
  </si>
  <si>
    <t>796017-2</t>
  </si>
  <si>
    <t>796016-3</t>
  </si>
  <si>
    <t>795883-0</t>
  </si>
  <si>
    <t>795882-1</t>
  </si>
  <si>
    <t>795881-2</t>
  </si>
  <si>
    <t>795880-3</t>
  </si>
  <si>
    <t>795879-7</t>
  </si>
  <si>
    <t>795878-8</t>
  </si>
  <si>
    <t>795877-9</t>
  </si>
  <si>
    <t>795876-0</t>
  </si>
  <si>
    <t>795875-1</t>
  </si>
  <si>
    <t>795874-2</t>
  </si>
  <si>
    <t>795873-3</t>
  </si>
  <si>
    <t>795872-4</t>
  </si>
  <si>
    <t>795870-6</t>
  </si>
  <si>
    <t>795869-0</t>
  </si>
  <si>
    <t>795868-1</t>
  </si>
  <si>
    <t>795743-3</t>
  </si>
  <si>
    <t>795736-3</t>
  </si>
  <si>
    <t>795591-2</t>
  </si>
  <si>
    <t>Nutrien</t>
  </si>
  <si>
    <t>795590-3</t>
  </si>
  <si>
    <t>795589-7</t>
  </si>
  <si>
    <t>795588-8</t>
  </si>
  <si>
    <t>795587-9</t>
  </si>
  <si>
    <t>795586-0</t>
  </si>
  <si>
    <t>795585-1</t>
  </si>
  <si>
    <t>795584-2</t>
  </si>
  <si>
    <t>795583-3</t>
  </si>
  <si>
    <t>795582-4</t>
  </si>
  <si>
    <t>795580-6</t>
  </si>
  <si>
    <t>795579-0</t>
  </si>
  <si>
    <t>795578-1</t>
  </si>
  <si>
    <t>795577-2</t>
  </si>
  <si>
    <t>795575-4</t>
  </si>
  <si>
    <t>795574-5</t>
  </si>
  <si>
    <t>795573-6</t>
  </si>
  <si>
    <t>795572-7</t>
  </si>
  <si>
    <t>795571-8</t>
  </si>
  <si>
    <t>795570-9</t>
  </si>
  <si>
    <t>795568-4</t>
  </si>
  <si>
    <t>795355-2</t>
  </si>
  <si>
    <t>795351-6</t>
  </si>
  <si>
    <t>795348-2</t>
  </si>
  <si>
    <t>795334-9</t>
  </si>
  <si>
    <t>795235-9</t>
  </si>
  <si>
    <t>794900-9</t>
  </si>
  <si>
    <t>794890-3</t>
  </si>
  <si>
    <t>794889-7</t>
  </si>
  <si>
    <t>794867-5</t>
  </si>
  <si>
    <t>794764-9</t>
  </si>
  <si>
    <t>794753-3</t>
  </si>
  <si>
    <t>794672-9</t>
  </si>
  <si>
    <t>794595-1</t>
  </si>
  <si>
    <t>794594-2</t>
  </si>
  <si>
    <t>794593-3</t>
  </si>
  <si>
    <t>ZDBXB8GK1F000AM</t>
  </si>
  <si>
    <t>794439-6</t>
  </si>
  <si>
    <t>794220-0</t>
  </si>
  <si>
    <t>80 KMS RECORRIDO TOTAL</t>
  </si>
  <si>
    <t>800427-9</t>
  </si>
  <si>
    <t>800342-9</t>
  </si>
  <si>
    <t>800304-9</t>
  </si>
  <si>
    <t>800282-8</t>
  </si>
  <si>
    <t>800169-8</t>
  </si>
  <si>
    <t>800131-5</t>
  </si>
  <si>
    <t>800118-4</t>
  </si>
  <si>
    <t>800033-4</t>
  </si>
  <si>
    <t>800032-5</t>
  </si>
  <si>
    <t>800029-1</t>
  </si>
  <si>
    <t>800026-4</t>
  </si>
  <si>
    <t>799985-5</t>
  </si>
  <si>
    <t>799982-8</t>
  </si>
  <si>
    <t>799981-9</t>
  </si>
  <si>
    <t>799979-4</t>
  </si>
  <si>
    <t>799977-6</t>
  </si>
  <si>
    <t>799976-7</t>
  </si>
  <si>
    <t>Z83DBJEF90000FY</t>
  </si>
  <si>
    <t>799975-8</t>
  </si>
  <si>
    <t>799974-9</t>
  </si>
  <si>
    <t>799973-0</t>
  </si>
  <si>
    <t>799972-1</t>
  </si>
  <si>
    <t>799971-2</t>
  </si>
  <si>
    <t>799970-3</t>
  </si>
  <si>
    <t>799969-7</t>
  </si>
  <si>
    <t>799850-0</t>
  </si>
  <si>
    <t>799846-7</t>
  </si>
  <si>
    <t>799845-8</t>
  </si>
  <si>
    <t>799773-2</t>
  </si>
  <si>
    <t>799772-3</t>
  </si>
  <si>
    <t>799771-4</t>
  </si>
  <si>
    <t>799770-5</t>
  </si>
  <si>
    <t>799769-9</t>
  </si>
  <si>
    <t>799765-3</t>
  </si>
  <si>
    <t>799763-5</t>
  </si>
  <si>
    <t>799762-6</t>
  </si>
  <si>
    <t>799761-7</t>
  </si>
  <si>
    <t>799757-4</t>
  </si>
  <si>
    <t>799756-5</t>
  </si>
  <si>
    <t>799755-6</t>
  </si>
  <si>
    <t>799752-9</t>
  </si>
  <si>
    <t>799751-0</t>
  </si>
  <si>
    <t>799739-8</t>
  </si>
  <si>
    <t>799704-2</t>
  </si>
  <si>
    <t>799674-2</t>
  </si>
  <si>
    <t>799631-7</t>
  </si>
  <si>
    <t>799621-0</t>
  </si>
  <si>
    <t>799613-1</t>
  </si>
  <si>
    <t>799604-3</t>
  </si>
  <si>
    <t>799372-7</t>
  </si>
  <si>
    <t>799357-8</t>
  </si>
  <si>
    <t>799346-2</t>
  </si>
  <si>
    <t>799338-3</t>
  </si>
  <si>
    <t>799263-0</t>
  </si>
  <si>
    <t>799259-7</t>
  </si>
  <si>
    <t>799230-2</t>
  </si>
  <si>
    <t>799083-6</t>
  </si>
  <si>
    <t>799037-7</t>
  </si>
  <si>
    <t>799031-3</t>
  </si>
  <si>
    <t>799030-4</t>
  </si>
  <si>
    <t>798984-9</t>
  </si>
  <si>
    <t>ZDBXBJFM6000QCK</t>
  </si>
  <si>
    <t>798940-5</t>
  </si>
  <si>
    <t>798787-8</t>
  </si>
  <si>
    <t>CNBRS9W604</t>
  </si>
  <si>
    <t>798786-9</t>
  </si>
  <si>
    <t>CNBRS9W65M</t>
  </si>
  <si>
    <t>798755-9</t>
  </si>
  <si>
    <t>798688-8</t>
  </si>
  <si>
    <t>798687-9</t>
  </si>
  <si>
    <t>798686-0</t>
  </si>
  <si>
    <t>798684-2</t>
  </si>
  <si>
    <t>798683-3</t>
  </si>
  <si>
    <t>798682-4</t>
  </si>
  <si>
    <t>798681-5</t>
  </si>
  <si>
    <t>798489-9</t>
  </si>
  <si>
    <t>798406-6</t>
  </si>
  <si>
    <t>798330-4</t>
  </si>
  <si>
    <t>798301-2</t>
  </si>
  <si>
    <t>798300-3</t>
  </si>
  <si>
    <t>798299-8</t>
  </si>
  <si>
    <t>798264-2</t>
  </si>
  <si>
    <t>798259-0</t>
  </si>
  <si>
    <t>798249-3</t>
  </si>
  <si>
    <t>798245-7</t>
  </si>
  <si>
    <t>798069-9</t>
  </si>
  <si>
    <t>798043-1</t>
  </si>
  <si>
    <t>798000-6</t>
  </si>
  <si>
    <t>797937-4</t>
  </si>
  <si>
    <t>797554-5</t>
  </si>
  <si>
    <t>797259-3</t>
  </si>
  <si>
    <t>797194-7</t>
  </si>
  <si>
    <t>797032-8</t>
  </si>
  <si>
    <t>796581-2</t>
  </si>
  <si>
    <t>794443-9</t>
  </si>
  <si>
    <t>794407-7</t>
  </si>
  <si>
    <t>794406-8</t>
  </si>
  <si>
    <t>794405-9</t>
  </si>
  <si>
    <t>794404-0</t>
  </si>
  <si>
    <t>794403-1</t>
  </si>
  <si>
    <t>785982-1</t>
  </si>
  <si>
    <t>803284-7</t>
  </si>
  <si>
    <t>803261-6</t>
  </si>
  <si>
    <t>803260-7</t>
  </si>
  <si>
    <t>803258-2</t>
  </si>
  <si>
    <t>803257-3</t>
  </si>
  <si>
    <t>803256-4</t>
  </si>
  <si>
    <t>803158-3</t>
  </si>
  <si>
    <t>802971-9</t>
  </si>
  <si>
    <t>802962-1</t>
  </si>
  <si>
    <t>802816-3</t>
  </si>
  <si>
    <t>802611-0</t>
  </si>
  <si>
    <t>802540-3</t>
  </si>
  <si>
    <t>KFC139 Del Siglo</t>
  </si>
  <si>
    <t>SP001283</t>
  </si>
  <si>
    <t>802539-7</t>
  </si>
  <si>
    <t>SP001282</t>
  </si>
  <si>
    <t>802538-8</t>
  </si>
  <si>
    <t>SP001281</t>
  </si>
  <si>
    <t>802537-9</t>
  </si>
  <si>
    <t>SP001255</t>
  </si>
  <si>
    <t>802535-1</t>
  </si>
  <si>
    <t>SP001254</t>
  </si>
  <si>
    <t>802499-0</t>
  </si>
  <si>
    <t>802485-7</t>
  </si>
  <si>
    <t>Tech Pack S.R.L.</t>
  </si>
  <si>
    <t>SVC Rosario</t>
  </si>
  <si>
    <t>BRBSS650HY</t>
  </si>
  <si>
    <t>802484-8</t>
  </si>
  <si>
    <t>BRBSS650HP</t>
  </si>
  <si>
    <t>802474-1</t>
  </si>
  <si>
    <t>802466-2</t>
  </si>
  <si>
    <t>802423-7</t>
  </si>
  <si>
    <t>802418-5</t>
  </si>
  <si>
    <t>802417-6</t>
  </si>
  <si>
    <t>802416-7</t>
  </si>
  <si>
    <t>802415-8</t>
  </si>
  <si>
    <t>802414-9</t>
  </si>
  <si>
    <t>802413-0</t>
  </si>
  <si>
    <t>802412-1</t>
  </si>
  <si>
    <t>802411-2</t>
  </si>
  <si>
    <t>802329-2</t>
  </si>
  <si>
    <t>802199-3</t>
  </si>
  <si>
    <t>802173-5</t>
  </si>
  <si>
    <t>801998-9</t>
  </si>
  <si>
    <t>801997-0</t>
  </si>
  <si>
    <t>801957-2</t>
  </si>
  <si>
    <t>801929-9</t>
  </si>
  <si>
    <t>801644-1</t>
  </si>
  <si>
    <t>801550-3</t>
  </si>
  <si>
    <t>801539-0</t>
  </si>
  <si>
    <t>801480-5</t>
  </si>
  <si>
    <t>801479-9</t>
  </si>
  <si>
    <t>801478-0</t>
  </si>
  <si>
    <t>801477-1</t>
  </si>
  <si>
    <t>801458-6</t>
  </si>
  <si>
    <t>801374-5</t>
  </si>
  <si>
    <t>Banco Industrial</t>
  </si>
  <si>
    <t>ROSARIO - 33</t>
  </si>
  <si>
    <t>XC75028181</t>
  </si>
  <si>
    <t>801373-6</t>
  </si>
  <si>
    <t>XC75028188</t>
  </si>
  <si>
    <t>801372-7</t>
  </si>
  <si>
    <t>XC75028139</t>
  </si>
  <si>
    <t>801336-5</t>
  </si>
  <si>
    <t>801332-9</t>
  </si>
  <si>
    <t>801219-9</t>
  </si>
  <si>
    <t>801151-6</t>
  </si>
  <si>
    <t>801112-7</t>
  </si>
  <si>
    <t>801017-3</t>
  </si>
  <si>
    <t>801016-4</t>
  </si>
  <si>
    <t>800938-0</t>
  </si>
  <si>
    <t>800837-2</t>
  </si>
  <si>
    <t>800791-1</t>
  </si>
  <si>
    <t>800660-2</t>
  </si>
  <si>
    <t>800550-6</t>
  </si>
  <si>
    <t>800515-3</t>
  </si>
  <si>
    <t>800426-0</t>
  </si>
  <si>
    <t>800425-1</t>
  </si>
  <si>
    <t>800267-9</t>
  </si>
  <si>
    <t>800246-6</t>
  </si>
  <si>
    <t>799500-8</t>
  </si>
  <si>
    <t>797416-6</t>
  </si>
  <si>
    <t>797415-7</t>
  </si>
  <si>
    <t>796559-3</t>
  </si>
  <si>
    <t>796558-4</t>
  </si>
  <si>
    <t>796557-5</t>
  </si>
  <si>
    <t>796062-2</t>
  </si>
  <si>
    <t>Redondeo</t>
  </si>
  <si>
    <t>32 (redondeo)</t>
  </si>
  <si>
    <t>806328-1</t>
  </si>
  <si>
    <t>806327-2</t>
  </si>
  <si>
    <t>806326-3</t>
  </si>
  <si>
    <t>806324-5</t>
  </si>
  <si>
    <t>806322-7</t>
  </si>
  <si>
    <t>806321-8</t>
  </si>
  <si>
    <t>806320-9</t>
  </si>
  <si>
    <t>806255-6</t>
  </si>
  <si>
    <t>806254-7</t>
  </si>
  <si>
    <t>806221-9</t>
  </si>
  <si>
    <t>806220-0</t>
  </si>
  <si>
    <t>806219-4</t>
  </si>
  <si>
    <t>806218-5</t>
  </si>
  <si>
    <t>805944-6</t>
  </si>
  <si>
    <t>805815-5</t>
  </si>
  <si>
    <t>805766-0</t>
  </si>
  <si>
    <t>805688-3</t>
  </si>
  <si>
    <t>805675-9</t>
  </si>
  <si>
    <t>805664-3</t>
  </si>
  <si>
    <t>805663-4</t>
  </si>
  <si>
    <t>805551-0</t>
  </si>
  <si>
    <t>805536-1</t>
  </si>
  <si>
    <t>805519-4</t>
  </si>
  <si>
    <t>805487-6</t>
  </si>
  <si>
    <t>805325-7</t>
  </si>
  <si>
    <t>805057-9</t>
  </si>
  <si>
    <t>805019-9</t>
  </si>
  <si>
    <t>805015-3</t>
  </si>
  <si>
    <t>Dia %</t>
  </si>
  <si>
    <t>Tienda 1059 Santa Fe</t>
  </si>
  <si>
    <t>PHC5R19334</t>
  </si>
  <si>
    <t>805014-4</t>
  </si>
  <si>
    <t>Tienda 1068 Santo Tome</t>
  </si>
  <si>
    <t>PHC5R18715</t>
  </si>
  <si>
    <t>805004-7</t>
  </si>
  <si>
    <t>Tienda 6017 Villa Constitucion</t>
  </si>
  <si>
    <t>PHC5R18763</t>
  </si>
  <si>
    <t>805002-9</t>
  </si>
  <si>
    <t>Tienda 6045 Rosario</t>
  </si>
  <si>
    <t>PHC5R18714</t>
  </si>
  <si>
    <t>804982-9</t>
  </si>
  <si>
    <t>Tienda 0438 Funes</t>
  </si>
  <si>
    <t>PHC5R18720</t>
  </si>
  <si>
    <t>804974-0</t>
  </si>
  <si>
    <t>Tienda 0282 Arroyo Seco</t>
  </si>
  <si>
    <t>PHC5R18822</t>
  </si>
  <si>
    <t>804973-1</t>
  </si>
  <si>
    <t>Tienda 0280 San Nicolas De Los Arroyos</t>
  </si>
  <si>
    <t>PHC5R18821</t>
  </si>
  <si>
    <t>804968-9</t>
  </si>
  <si>
    <t>Tienda 0211 Villa Constitucion</t>
  </si>
  <si>
    <t>PHC5R18823</t>
  </si>
  <si>
    <t>804948-5</t>
  </si>
  <si>
    <t>804947-6</t>
  </si>
  <si>
    <t>804700-7</t>
  </si>
  <si>
    <t>804626-6</t>
  </si>
  <si>
    <t>804584-1</t>
  </si>
  <si>
    <t>804582-3</t>
  </si>
  <si>
    <t>SAN LORENZO COLZO</t>
  </si>
  <si>
    <t>ZDBXBJCH1000ALA</t>
  </si>
  <si>
    <t>804581-4</t>
  </si>
  <si>
    <t>804326-9</t>
  </si>
  <si>
    <t>804325-0</t>
  </si>
  <si>
    <t>804324-1</t>
  </si>
  <si>
    <t>804323-2</t>
  </si>
  <si>
    <t>804319-9</t>
  </si>
  <si>
    <t>Z68LBJED60000FH</t>
  </si>
  <si>
    <t>804180-9</t>
  </si>
  <si>
    <t>804133-1</t>
  </si>
  <si>
    <t>804132-2</t>
  </si>
  <si>
    <t>804117-3</t>
  </si>
  <si>
    <t>804079-4</t>
  </si>
  <si>
    <t>803852-2</t>
  </si>
  <si>
    <t>803491-5</t>
  </si>
  <si>
    <t>803356-3</t>
  </si>
  <si>
    <t>803027-4</t>
  </si>
  <si>
    <t>802751-7</t>
  </si>
  <si>
    <t>802542-1</t>
  </si>
  <si>
    <t>801021-6</t>
  </si>
  <si>
    <t>801020-7</t>
  </si>
  <si>
    <t>801019-1</t>
  </si>
  <si>
    <t>Pellegrini 328</t>
  </si>
  <si>
    <t>Dorrego 3114</t>
  </si>
  <si>
    <t>809937-4</t>
  </si>
  <si>
    <t>809936-5</t>
  </si>
  <si>
    <t>809935-6</t>
  </si>
  <si>
    <t>809702-0</t>
  </si>
  <si>
    <t>809631-3</t>
  </si>
  <si>
    <t>809580-0</t>
  </si>
  <si>
    <t>809579-4</t>
  </si>
  <si>
    <t>809578-5</t>
  </si>
  <si>
    <t>809453-7</t>
  </si>
  <si>
    <t>809404-1</t>
  </si>
  <si>
    <t>Z83DBJEK100005T</t>
  </si>
  <si>
    <t>809385-7</t>
  </si>
  <si>
    <t>809384-8</t>
  </si>
  <si>
    <t>809383-9</t>
  </si>
  <si>
    <t>809382-0</t>
  </si>
  <si>
    <t>809381-1</t>
  </si>
  <si>
    <t>809380-2</t>
  </si>
  <si>
    <t>809379-6</t>
  </si>
  <si>
    <t>809378-7</t>
  </si>
  <si>
    <t>809377-8</t>
  </si>
  <si>
    <t>809243-2</t>
  </si>
  <si>
    <t>809072-6</t>
  </si>
  <si>
    <t>809013-3</t>
  </si>
  <si>
    <t>809000-9</t>
  </si>
  <si>
    <t>808966-9</t>
  </si>
  <si>
    <t>808965-0</t>
  </si>
  <si>
    <t>808962-3</t>
  </si>
  <si>
    <t>808961-4</t>
  </si>
  <si>
    <t>808959-9</t>
  </si>
  <si>
    <t>808958-0</t>
  </si>
  <si>
    <t>808957-1</t>
  </si>
  <si>
    <t>808956-2</t>
  </si>
  <si>
    <t>808953-5</t>
  </si>
  <si>
    <t>808952-6</t>
  </si>
  <si>
    <t>808924-3</t>
  </si>
  <si>
    <t>SantaFe</t>
  </si>
  <si>
    <t>808568-1</t>
  </si>
  <si>
    <t>808555-7</t>
  </si>
  <si>
    <t>808533-5</t>
  </si>
  <si>
    <t>808268-4</t>
  </si>
  <si>
    <t>808197-7</t>
  </si>
  <si>
    <t>808196-8</t>
  </si>
  <si>
    <t>807937-0</t>
  </si>
  <si>
    <t>807780-4</t>
  </si>
  <si>
    <t>807616-0</t>
  </si>
  <si>
    <t>807615-1</t>
  </si>
  <si>
    <t>807614-2</t>
  </si>
  <si>
    <t>807613-3</t>
  </si>
  <si>
    <t>807612-4</t>
  </si>
  <si>
    <t>807611-5</t>
  </si>
  <si>
    <t>076UBJFH10006TB</t>
  </si>
  <si>
    <t>807457-9</t>
  </si>
  <si>
    <t>BRBST7905V</t>
  </si>
  <si>
    <t>807456-0</t>
  </si>
  <si>
    <t>BRBST7905D</t>
  </si>
  <si>
    <t>807455-1</t>
  </si>
  <si>
    <t>BRBST1205N</t>
  </si>
  <si>
    <t>807392-3</t>
  </si>
  <si>
    <t>807390-5</t>
  </si>
  <si>
    <t>807208-5</t>
  </si>
  <si>
    <t>807176-7</t>
  </si>
  <si>
    <t>807170-3</t>
  </si>
  <si>
    <t>807113-8</t>
  </si>
  <si>
    <t>CN84OHY054</t>
  </si>
  <si>
    <t>807100-4</t>
  </si>
  <si>
    <t>807066-1</t>
  </si>
  <si>
    <t>807055-5</t>
  </si>
  <si>
    <t>807034-2</t>
  </si>
  <si>
    <t>807021-8</t>
  </si>
  <si>
    <t>806725-0</t>
  </si>
  <si>
    <t>806474-9</t>
  </si>
  <si>
    <t>806472-1</t>
  </si>
  <si>
    <t>804954-6</t>
  </si>
  <si>
    <t>804952-8</t>
  </si>
  <si>
    <t>804951-9</t>
  </si>
  <si>
    <t>804950-0</t>
  </si>
  <si>
    <t>804949-4</t>
  </si>
  <si>
    <t>Mendoza 3343</t>
  </si>
  <si>
    <t>por este habiamos redondeado en 32</t>
  </si>
  <si>
    <t>son 111 según la planilla</t>
  </si>
  <si>
    <t>son 77</t>
  </si>
  <si>
    <t>813976-0</t>
  </si>
  <si>
    <t>813862-8</t>
  </si>
  <si>
    <t>369 - Rafaela</t>
  </si>
  <si>
    <t>076UBJFJ30003TJ</t>
  </si>
  <si>
    <t>813624-0</t>
  </si>
  <si>
    <t>Rafaela</t>
  </si>
  <si>
    <t>MXBCM9T0W1</t>
  </si>
  <si>
    <t>813623-1</t>
  </si>
  <si>
    <t>CN846HY0H3</t>
  </si>
  <si>
    <t>813622-2</t>
  </si>
  <si>
    <t>813621-3</t>
  </si>
  <si>
    <t>813620-4</t>
  </si>
  <si>
    <t>813619-8</t>
  </si>
  <si>
    <t>ZDBXBJCFA0002QA</t>
  </si>
  <si>
    <t>813462-2</t>
  </si>
  <si>
    <t>813387-2</t>
  </si>
  <si>
    <t>RAFAELA</t>
  </si>
  <si>
    <t>ZELLBJEJA00020E</t>
  </si>
  <si>
    <t>813221-7</t>
  </si>
  <si>
    <t>813008-8</t>
  </si>
  <si>
    <t>813005-1</t>
  </si>
  <si>
    <t>813004-2</t>
  </si>
  <si>
    <t>813003-3</t>
  </si>
  <si>
    <t>812944-4</t>
  </si>
  <si>
    <t>812942-6</t>
  </si>
  <si>
    <t>812941-7</t>
  </si>
  <si>
    <t>812862-1</t>
  </si>
  <si>
    <t>Planta de Bella Italia</t>
  </si>
  <si>
    <t>ZDBXB8GK6A00AAF</t>
  </si>
  <si>
    <t>812861-2</t>
  </si>
  <si>
    <t>ZDBXB8GK5F000SD</t>
  </si>
  <si>
    <t>812860-3</t>
  </si>
  <si>
    <t>ZDBXB8GK5F000LT</t>
  </si>
  <si>
    <t>812859-7</t>
  </si>
  <si>
    <t>ZDBXB8GK5F000KK</t>
  </si>
  <si>
    <t>812858-8</t>
  </si>
  <si>
    <t>ZDBXB8GK3A00GCE</t>
  </si>
  <si>
    <t>812857-9</t>
  </si>
  <si>
    <t>ZDBXB8GK3A00FBT</t>
  </si>
  <si>
    <t>812856-0</t>
  </si>
  <si>
    <t>ZDBXB8GK1F00JVL</t>
  </si>
  <si>
    <t>812855-1</t>
  </si>
  <si>
    <t>ZDBXB8GK1F009AZ</t>
  </si>
  <si>
    <t>812854-2</t>
  </si>
  <si>
    <t>MXCCLBR0KY</t>
  </si>
  <si>
    <t>812853-3</t>
  </si>
  <si>
    <t>CN97GJY060</t>
  </si>
  <si>
    <t>812852-4</t>
  </si>
  <si>
    <t>CN84OHY00X</t>
  </si>
  <si>
    <t>812851-5</t>
  </si>
  <si>
    <t>CN84OHY00S</t>
  </si>
  <si>
    <t>812850-6</t>
  </si>
  <si>
    <t>CN84OHY00B</t>
  </si>
  <si>
    <t>812849-0</t>
  </si>
  <si>
    <t>07QWB9UFAA0027D</t>
  </si>
  <si>
    <t>812832-0</t>
  </si>
  <si>
    <t>ZELLBJEJ500018T</t>
  </si>
  <si>
    <t>812691-5</t>
  </si>
  <si>
    <t>812690-6</t>
  </si>
  <si>
    <t>812689-0</t>
  </si>
  <si>
    <t>812688-1</t>
  </si>
  <si>
    <t>812502-2</t>
  </si>
  <si>
    <t>ZDBXBJFM6000JPW</t>
  </si>
  <si>
    <t>812493-5</t>
  </si>
  <si>
    <t>ZDBXBJCF700060H</t>
  </si>
  <si>
    <t>812492-6</t>
  </si>
  <si>
    <t>7954HVT</t>
  </si>
  <si>
    <t>812490-8</t>
  </si>
  <si>
    <t>Rafaela - Santa Fé</t>
  </si>
  <si>
    <t>ZDBXBJCH20011ST</t>
  </si>
  <si>
    <t>812489-2</t>
  </si>
  <si>
    <t>076UBJFJA0008GK</t>
  </si>
  <si>
    <t>812459-1</t>
  </si>
  <si>
    <t>812434-2</t>
  </si>
  <si>
    <t>812383-9</t>
  </si>
  <si>
    <t>812379-6</t>
  </si>
  <si>
    <t>BRBST79011</t>
  </si>
  <si>
    <t>812378-7</t>
  </si>
  <si>
    <t>BRBST78060</t>
  </si>
  <si>
    <t>812377-8</t>
  </si>
  <si>
    <t>BRBST120YG</t>
  </si>
  <si>
    <t>812353-8</t>
  </si>
  <si>
    <t>812352-9</t>
  </si>
  <si>
    <t>812351-0</t>
  </si>
  <si>
    <t>812344-0</t>
  </si>
  <si>
    <t>812186-8</t>
  </si>
  <si>
    <t>812176-1</t>
  </si>
  <si>
    <t>812169-1</t>
  </si>
  <si>
    <t>BRBST7807Y</t>
  </si>
  <si>
    <t>812168-2</t>
  </si>
  <si>
    <t>BRBST78087</t>
  </si>
  <si>
    <t>812167-3</t>
  </si>
  <si>
    <t>BRBSS8M087</t>
  </si>
  <si>
    <t>812152-1</t>
  </si>
  <si>
    <t>812143-3</t>
  </si>
  <si>
    <t>ZDBXBJEJ90005XV</t>
  </si>
  <si>
    <t>812061-0</t>
  </si>
  <si>
    <t>BRBST78085</t>
  </si>
  <si>
    <t>812060-1</t>
  </si>
  <si>
    <t>BRBST7805C</t>
  </si>
  <si>
    <t>812059-5</t>
  </si>
  <si>
    <t>BRBST120WW</t>
  </si>
  <si>
    <t>811867-9</t>
  </si>
  <si>
    <t>811866-0</t>
  </si>
  <si>
    <t>811865-1</t>
  </si>
  <si>
    <t>811864-2</t>
  </si>
  <si>
    <t>811863-3</t>
  </si>
  <si>
    <t>811857-2</t>
  </si>
  <si>
    <t>811722-7</t>
  </si>
  <si>
    <t>811721-8</t>
  </si>
  <si>
    <t>811720-9</t>
  </si>
  <si>
    <t>811719-3</t>
  </si>
  <si>
    <t>811717-5</t>
  </si>
  <si>
    <t>BRBST2L1LP</t>
  </si>
  <si>
    <t>811716-6</t>
  </si>
  <si>
    <t>811715-7</t>
  </si>
  <si>
    <t>811682-0</t>
  </si>
  <si>
    <t>811527-4</t>
  </si>
  <si>
    <t>811520-1</t>
  </si>
  <si>
    <t>811398-4</t>
  </si>
  <si>
    <t>811397-5</t>
  </si>
  <si>
    <t>811396-6</t>
  </si>
  <si>
    <t>811395-7</t>
  </si>
  <si>
    <t>BRBST780DP</t>
  </si>
  <si>
    <t>811394-8</t>
  </si>
  <si>
    <t>BRBST79054</t>
  </si>
  <si>
    <t>811393-9</t>
  </si>
  <si>
    <t>BRBSSB80KF</t>
  </si>
  <si>
    <t>811375-3</t>
  </si>
  <si>
    <t>811256-9</t>
  </si>
  <si>
    <t>174 - RAFAELA</t>
  </si>
  <si>
    <t>BRBST7808G</t>
  </si>
  <si>
    <t>811255-0</t>
  </si>
  <si>
    <t>BRBST7806B</t>
  </si>
  <si>
    <t>811254-1</t>
  </si>
  <si>
    <t>BRBST120YF</t>
  </si>
  <si>
    <t>811128-7</t>
  </si>
  <si>
    <t>811039-4</t>
  </si>
  <si>
    <t>811022-4</t>
  </si>
  <si>
    <t>811019-0</t>
  </si>
  <si>
    <t>810994-5</t>
  </si>
  <si>
    <t>810993-6</t>
  </si>
  <si>
    <t>810992-7</t>
  </si>
  <si>
    <t>810991-8</t>
  </si>
  <si>
    <t>810990-9</t>
  </si>
  <si>
    <t>810989-3</t>
  </si>
  <si>
    <t>810988-4</t>
  </si>
  <si>
    <t>810985-7</t>
  </si>
  <si>
    <t>810984-8</t>
  </si>
  <si>
    <t>810983-9</t>
  </si>
  <si>
    <t>810982-0</t>
  </si>
  <si>
    <t>810850-2</t>
  </si>
  <si>
    <t>810845-0</t>
  </si>
  <si>
    <t>BRBST7903Q</t>
  </si>
  <si>
    <t>810844-1</t>
  </si>
  <si>
    <t>BRBST6501Y</t>
  </si>
  <si>
    <t>810843-2</t>
  </si>
  <si>
    <t>BRBSSB80JH</t>
  </si>
  <si>
    <t>810840-5</t>
  </si>
  <si>
    <t>810835-3</t>
  </si>
  <si>
    <t>810832-6</t>
  </si>
  <si>
    <t>810831-7</t>
  </si>
  <si>
    <t>810692-0</t>
  </si>
  <si>
    <t>810508-2</t>
  </si>
  <si>
    <t>810442-7</t>
  </si>
  <si>
    <t>810420-5</t>
  </si>
  <si>
    <t>718 - Rosario Centro</t>
  </si>
  <si>
    <t>BRBST6504B</t>
  </si>
  <si>
    <t>810419-9</t>
  </si>
  <si>
    <t>BRBST6503B</t>
  </si>
  <si>
    <t>810418-0</t>
  </si>
  <si>
    <t>BRBST120ZB</t>
  </si>
  <si>
    <t>810389-9</t>
  </si>
  <si>
    <t>810179-4</t>
  </si>
  <si>
    <t>810176-7</t>
  </si>
  <si>
    <t>809800-1</t>
  </si>
  <si>
    <t>273 - SANTA FE - ARISTOBULO DEL VALLE</t>
  </si>
  <si>
    <t>809799-6</t>
  </si>
  <si>
    <t>809798-7</t>
  </si>
  <si>
    <t>809797-8</t>
  </si>
  <si>
    <t>BRBST7906D</t>
  </si>
  <si>
    <t>809796-9</t>
  </si>
  <si>
    <t>BRBST79000</t>
  </si>
  <si>
    <t>809795-0</t>
  </si>
  <si>
    <t>BRBST120ZM</t>
  </si>
  <si>
    <t>809153-0</t>
  </si>
  <si>
    <t>BRBST780FL</t>
  </si>
  <si>
    <t>809152-1</t>
  </si>
  <si>
    <t>BRBST7802S</t>
  </si>
  <si>
    <t>809151-2</t>
  </si>
  <si>
    <t>BRBST1210X</t>
  </si>
  <si>
    <t>808960-5</t>
  </si>
  <si>
    <t>808392-0</t>
  </si>
  <si>
    <t>BRBST6502K</t>
  </si>
  <si>
    <t>808391-1</t>
  </si>
  <si>
    <t>BRBST780C7</t>
  </si>
  <si>
    <t>808390-2</t>
  </si>
  <si>
    <t>BRBST12103</t>
  </si>
  <si>
    <t>808080-8</t>
  </si>
  <si>
    <t>802424-6</t>
  </si>
  <si>
    <t>793265-6</t>
  </si>
  <si>
    <t>CN84OHY01B</t>
  </si>
  <si>
    <t xml:space="preserve">El recorrido da 369 haciendo Ilolay y luego Casilda </t>
  </si>
  <si>
    <t>Angelome 2066</t>
  </si>
  <si>
    <r>
      <t>FUNES</t>
    </r>
    <r>
      <rPr>
        <sz val="10"/>
        <color rgb="FF333333"/>
        <rFont val="Arial"/>
        <family val="2"/>
      </rPr>
      <t> </t>
    </r>
  </si>
  <si>
    <t>Alvear 391</t>
  </si>
  <si>
    <t>816694-0</t>
  </si>
  <si>
    <t>$26.412,00</t>
  </si>
  <si>
    <t>$627,10</t>
  </si>
  <si>
    <t>816693-1</t>
  </si>
  <si>
    <t>816692-2</t>
  </si>
  <si>
    <t>816584-4</t>
  </si>
  <si>
    <t>$52.844,00</t>
  </si>
  <si>
    <t>816567-7</t>
  </si>
  <si>
    <t>Parana</t>
  </si>
  <si>
    <t>ZDBXBJEJ90000MZ</t>
  </si>
  <si>
    <t>816384-6</t>
  </si>
  <si>
    <t>816285-6</t>
  </si>
  <si>
    <t>816262-5</t>
  </si>
  <si>
    <t>816261-6</t>
  </si>
  <si>
    <t>816260-7</t>
  </si>
  <si>
    <t>816259-1</t>
  </si>
  <si>
    <t>816258-2</t>
  </si>
  <si>
    <t>816257-3</t>
  </si>
  <si>
    <t>816256-4</t>
  </si>
  <si>
    <t>816254-6</t>
  </si>
  <si>
    <t>816252-8</t>
  </si>
  <si>
    <t>816251-9</t>
  </si>
  <si>
    <t>816180-2</t>
  </si>
  <si>
    <t>0BLQBJKJ900008M</t>
  </si>
  <si>
    <t>$67,00</t>
  </si>
  <si>
    <t>$42.015,70</t>
  </si>
  <si>
    <t>$94.859,70</t>
  </si>
  <si>
    <t>815892-3</t>
  </si>
  <si>
    <t>815722-5</t>
  </si>
  <si>
    <t>Smurfit Westrock</t>
  </si>
  <si>
    <t>Sunchales</t>
  </si>
  <si>
    <t>ZDBXBJCH10007ET</t>
  </si>
  <si>
    <t>815721-6</t>
  </si>
  <si>
    <t>ZDBXB8GM6A0007X</t>
  </si>
  <si>
    <t>815720-7</t>
  </si>
  <si>
    <t>ZDBXB8GK2A004CK</t>
  </si>
  <si>
    <t>815719-1</t>
  </si>
  <si>
    <t>79G15N0</t>
  </si>
  <si>
    <t>815718-2</t>
  </si>
  <si>
    <t>795669M</t>
  </si>
  <si>
    <t>815717-3</t>
  </si>
  <si>
    <t>7946KV4</t>
  </si>
  <si>
    <t>815679-4</t>
  </si>
  <si>
    <t>$76,00</t>
  </si>
  <si>
    <t>$47.659,60</t>
  </si>
  <si>
    <t>$100.503,60</t>
  </si>
  <si>
    <t>815678-5</t>
  </si>
  <si>
    <t>815674-9</t>
  </si>
  <si>
    <t>BRBSTB7076</t>
  </si>
  <si>
    <t>815673-0</t>
  </si>
  <si>
    <t>BRBSSD80K9</t>
  </si>
  <si>
    <t>815590-8</t>
  </si>
  <si>
    <t>815359-3</t>
  </si>
  <si>
    <t>79G2RVM</t>
  </si>
  <si>
    <t>815355-7</t>
  </si>
  <si>
    <t>BRBSTB70FZ</t>
  </si>
  <si>
    <t>815354-8</t>
  </si>
  <si>
    <t>BRBSTB70F5</t>
  </si>
  <si>
    <t>815353-9</t>
  </si>
  <si>
    <t>BRBSSD80L8</t>
  </si>
  <si>
    <t>815102-7</t>
  </si>
  <si>
    <t>814959-0</t>
  </si>
  <si>
    <t>BRBSTB7079</t>
  </si>
  <si>
    <t>814958-1</t>
  </si>
  <si>
    <t>BRBSTB7097</t>
  </si>
  <si>
    <t>814957-2</t>
  </si>
  <si>
    <t>BRBSSD80PG</t>
  </si>
  <si>
    <t>814812-0</t>
  </si>
  <si>
    <t>CN84OHY007</t>
  </si>
  <si>
    <t>814546-0</t>
  </si>
  <si>
    <t>BRBSTB70B4</t>
  </si>
  <si>
    <t>814545-1</t>
  </si>
  <si>
    <t>BRBSTB709H</t>
  </si>
  <si>
    <t>814544-2</t>
  </si>
  <si>
    <t>BRBSSD80LX</t>
  </si>
  <si>
    <t>$148,00</t>
  </si>
  <si>
    <t>$92.810,80</t>
  </si>
  <si>
    <t>$145.654,80</t>
  </si>
  <si>
    <t>814519-6</t>
  </si>
  <si>
    <t>CNB1N2SYNZ</t>
  </si>
  <si>
    <t>$43.897,00</t>
  </si>
  <si>
    <t>$96.741,00</t>
  </si>
  <si>
    <t>814518-7</t>
  </si>
  <si>
    <t>814517-8</t>
  </si>
  <si>
    <t>814516-9</t>
  </si>
  <si>
    <t>814515-0</t>
  </si>
  <si>
    <t>814514-1</t>
  </si>
  <si>
    <t>814513-2</t>
  </si>
  <si>
    <t>814512-3</t>
  </si>
  <si>
    <t>814511-4</t>
  </si>
  <si>
    <t>814451-3</t>
  </si>
  <si>
    <t>BRBSTB70D2</t>
  </si>
  <si>
    <t>814450-4</t>
  </si>
  <si>
    <t>BRBSTB70CD</t>
  </si>
  <si>
    <t>814449-8</t>
  </si>
  <si>
    <t>BRBSSD80MZ</t>
  </si>
  <si>
    <t>$58,00</t>
  </si>
  <si>
    <t>$36.371,80</t>
  </si>
  <si>
    <t>$89.215,80</t>
  </si>
  <si>
    <t>814448-9</t>
  </si>
  <si>
    <t>814386-0</t>
  </si>
  <si>
    <t>814267-6</t>
  </si>
  <si>
    <t>814051-7</t>
  </si>
  <si>
    <t>365 - San Cristobal-Santa Fe</t>
  </si>
  <si>
    <t>076UBJFJ300003H</t>
  </si>
  <si>
    <t>$222,00</t>
  </si>
  <si>
    <t>$139.216,20</t>
  </si>
  <si>
    <t>$192.060,20</t>
  </si>
  <si>
    <t>814042-9</t>
  </si>
  <si>
    <t>$204,00</t>
  </si>
  <si>
    <t>$127.928,40</t>
  </si>
  <si>
    <t>$180.772,40</t>
  </si>
  <si>
    <t>813987-6</t>
  </si>
  <si>
    <t>813982-1</t>
  </si>
  <si>
    <t>$240,00</t>
  </si>
  <si>
    <t>$150.504,00</t>
  </si>
  <si>
    <t>$203.348,00</t>
  </si>
  <si>
    <t>813981-2</t>
  </si>
  <si>
    <t>813867-3</t>
  </si>
  <si>
    <t>Tienda 5274 Ramallo</t>
  </si>
  <si>
    <t>PHC5R19629</t>
  </si>
  <si>
    <t>813866-4</t>
  </si>
  <si>
    <t>Tienda 5169 Ramallo</t>
  </si>
  <si>
    <t>PHC5R19627</t>
  </si>
  <si>
    <t>$68.353,90</t>
  </si>
  <si>
    <t>$121.197,90</t>
  </si>
  <si>
    <t>813846-0</t>
  </si>
  <si>
    <t>CNBRSDR01L</t>
  </si>
  <si>
    <t>813035-2</t>
  </si>
  <si>
    <t>BRBST780D6</t>
  </si>
  <si>
    <t>813034-3</t>
  </si>
  <si>
    <t>BRBST780D2</t>
  </si>
  <si>
    <t>813033-4</t>
  </si>
  <si>
    <t>BRBSSD80QV</t>
  </si>
  <si>
    <t>812819-9</t>
  </si>
  <si>
    <t>811974-8</t>
  </si>
  <si>
    <t>$69,00</t>
  </si>
  <si>
    <t>$43.269,90</t>
  </si>
  <si>
    <t>$96.113,90</t>
  </si>
  <si>
    <t>811936-8</t>
  </si>
  <si>
    <t>CN84OHY00K</t>
  </si>
  <si>
    <t>811861-5</t>
  </si>
  <si>
    <t>811859-0</t>
  </si>
  <si>
    <t>https://www.google.com/maps/dir/Av.+Almafuerte+5395,+E3100+Paran%C3%A1,+Entre+R%C3%ADos/Urquiza+4703,+S3002EKZ+Santa+Fe+de+la+Vera+Cruz,+Santa+Fe/@-31.6917015,-60.6648943,12z/data=!3m1!4b1!4m14!4m13!1m5!1m1!1s0x95b44ef650e0e715:0x35f792b7c4ac853c!2m2!1d-60.4579278!2d-31.76207!1m5!1m1!1s0x95b5a9db02e31df5:0x14cb4291f5edb791!2m2!1d-60.7067158!2d-31.6229663!3e0?entry=ttu&amp;g_ep=EgoyMDI1MTEyMy4xIKXMDSoASAFQAw%3D%3D</t>
  </si>
  <si>
    <t>Av. Almafuerte 5395 </t>
  </si>
  <si>
    <t>Smurfit</t>
  </si>
  <si>
    <t>General Ricchieri 369</t>
  </si>
  <si>
    <t>Alvear 662</t>
  </si>
  <si>
    <t>San Cristobal</t>
  </si>
  <si>
    <t>https://www.google.com/maps/dir/Alvear+662,+S3070+San+Cristobal,+Santa+Fe/CCM,+Alvear+391,+Rafaela,+Santa+Fe/@-30.779596,-61.7584711,10z/data=!3m1!4b1!4m14!4m13!1m5!1m1!1s0x944a7bfd8955f355:0xd98677c9a70904fa!2m2!1d-61.233212!2d-30.310724!1m5!1m1!1s0x95caae470cdd3d25:0xad2a71c255fc1902!2m2!1d-61.4887207!2d-31.2495334!3e0?entry=ttu&amp;g_ep=EgoyMDI1MTEyMy4xIKXMDSoASAFQAw%3D%3D</t>
  </si>
  <si>
    <t>San Martin 1345</t>
  </si>
  <si>
    <t>Ramallo</t>
  </si>
  <si>
    <t>https://www.google.com/maps/dir/Av.+San+Mart%C3%ADn+1345,+B2914+Villa+Ramallo,+Provincia+de+Buenos+Aires/Av.+Bordabehere+3811,+S2002+KNC,+Santa+Fe/@-33.2337671,-60.7025243,10z/data=!3m1!4b1!4m14!4m13!1m5!1m1!1s0x95b9e36c0b124df7:0xe898389d5f4873f1!2m2!1d-60.0550857!2d-33.4915994!1m5!1m1!1s0x95b7ab557243a6e1:0xbd7f2d64e4f223c9!2m2!1d-60.6737254!2d-32.9336163!3e0?entry=ttu&amp;g_ep=EgoyMDI1MTEyMy4xIKXMDSoASAFQAw%3D%3D</t>
  </si>
  <si>
    <t>Adicional Saputo -Ilolay</t>
  </si>
  <si>
    <t>820022-6</t>
  </si>
  <si>
    <t>820004-0</t>
  </si>
  <si>
    <t>ZDBXBJCH3000FYW</t>
  </si>
  <si>
    <t>819956-8</t>
  </si>
  <si>
    <t>819955-9</t>
  </si>
  <si>
    <t>819763-0</t>
  </si>
  <si>
    <t>819752-4</t>
  </si>
  <si>
    <t>819695-0</t>
  </si>
  <si>
    <t>819660-4</t>
  </si>
  <si>
    <t>819621-5</t>
  </si>
  <si>
    <t>819579-3</t>
  </si>
  <si>
    <t>819577-5</t>
  </si>
  <si>
    <t>CNCRS416B3</t>
  </si>
  <si>
    <t>819568-7</t>
  </si>
  <si>
    <t>819540-1</t>
  </si>
  <si>
    <t>819531-3</t>
  </si>
  <si>
    <t>819530-4</t>
  </si>
  <si>
    <t>819529-8</t>
  </si>
  <si>
    <t>Santa Fe Paqueteria</t>
  </si>
  <si>
    <t>819528-9</t>
  </si>
  <si>
    <t>819527-0</t>
  </si>
  <si>
    <t>819340-3</t>
  </si>
  <si>
    <t>ZELLBJEJ40000KZ</t>
  </si>
  <si>
    <t>819213-0</t>
  </si>
  <si>
    <t>819007-1</t>
  </si>
  <si>
    <t>Z83DBJEJ500006A</t>
  </si>
  <si>
    <t>818958-9</t>
  </si>
  <si>
    <t>818936-7</t>
  </si>
  <si>
    <t>818907-5</t>
  </si>
  <si>
    <t>818793-4</t>
  </si>
  <si>
    <t>818792-5</t>
  </si>
  <si>
    <t>818722-6</t>
  </si>
  <si>
    <t>818688-3</t>
  </si>
  <si>
    <t>818679-5</t>
  </si>
  <si>
    <t>818678-6</t>
  </si>
  <si>
    <t>818677-7</t>
  </si>
  <si>
    <t>818676-8</t>
  </si>
  <si>
    <t>818675-9</t>
  </si>
  <si>
    <t>818674-0</t>
  </si>
  <si>
    <t>818653-7</t>
  </si>
  <si>
    <t>818652-8</t>
  </si>
  <si>
    <t>818544-0</t>
  </si>
  <si>
    <t>SVC Santa Fe</t>
  </si>
  <si>
    <t>BRBSS650H2</t>
  </si>
  <si>
    <t>818543-1</t>
  </si>
  <si>
    <t>BRBSS650H0</t>
  </si>
  <si>
    <t>818522-8</t>
  </si>
  <si>
    <t>818521-9</t>
  </si>
  <si>
    <t>818517-6</t>
  </si>
  <si>
    <t>818516-7</t>
  </si>
  <si>
    <t>818515-8</t>
  </si>
  <si>
    <t>818514-9</t>
  </si>
  <si>
    <t>818513-0</t>
  </si>
  <si>
    <t>818512-1</t>
  </si>
  <si>
    <t>818482-1</t>
  </si>
  <si>
    <t>ZDBXBJFJ90005EF</t>
  </si>
  <si>
    <t>818481-2</t>
  </si>
  <si>
    <t>ZDBXB8GK2A005WP</t>
  </si>
  <si>
    <t>818480-3</t>
  </si>
  <si>
    <t>ZDBXB8GK2A004HV</t>
  </si>
  <si>
    <t>818479-7</t>
  </si>
  <si>
    <t>ZDBXB8GK1F00BET</t>
  </si>
  <si>
    <t>818478-8</t>
  </si>
  <si>
    <t>ZDBXB8GH2F00AAE</t>
  </si>
  <si>
    <t>818477-9</t>
  </si>
  <si>
    <t>ZDBXB8GH2F007KD</t>
  </si>
  <si>
    <t>818459-3</t>
  </si>
  <si>
    <t>ZDBXB8GH2F005FH</t>
  </si>
  <si>
    <t>818449-6</t>
  </si>
  <si>
    <t>ZDBXBJCH200191A</t>
  </si>
  <si>
    <t>818447-8</t>
  </si>
  <si>
    <t>ZDBXBJCH20004XH</t>
  </si>
  <si>
    <t>818433-5</t>
  </si>
  <si>
    <t>ZDBXBJCH20013BH</t>
  </si>
  <si>
    <t>818431-7</t>
  </si>
  <si>
    <t>818430-8</t>
  </si>
  <si>
    <t>ZDBXBJCF7000AMZ</t>
  </si>
  <si>
    <t>818429-2</t>
  </si>
  <si>
    <t>ZDBXBJCF70006CP</t>
  </si>
  <si>
    <t>818428-3</t>
  </si>
  <si>
    <t>ZDBXBJAH20003WV</t>
  </si>
  <si>
    <t>818427-4</t>
  </si>
  <si>
    <t>ZDBXB8GK2A0068E</t>
  </si>
  <si>
    <t>817994-4</t>
  </si>
  <si>
    <t>0ACTBJFK20000DL</t>
  </si>
  <si>
    <t>817983-8</t>
  </si>
  <si>
    <t>817982-9</t>
  </si>
  <si>
    <t>817981-0</t>
  </si>
  <si>
    <t>817876-9</t>
  </si>
  <si>
    <t>817875-0</t>
  </si>
  <si>
    <t>817874-1</t>
  </si>
  <si>
    <t>817873-2</t>
  </si>
  <si>
    <t>817872-3</t>
  </si>
  <si>
    <t>817871-4</t>
  </si>
  <si>
    <t>817870-5</t>
  </si>
  <si>
    <t>Parque Industrial Metropolitano</t>
  </si>
  <si>
    <t>817869-9</t>
  </si>
  <si>
    <t>817868-0</t>
  </si>
  <si>
    <t>817756-6</t>
  </si>
  <si>
    <t>817735-3</t>
  </si>
  <si>
    <t>817732-6</t>
  </si>
  <si>
    <t>817731-7</t>
  </si>
  <si>
    <t>817729-2</t>
  </si>
  <si>
    <t>817727-4</t>
  </si>
  <si>
    <t>817726-5</t>
  </si>
  <si>
    <t>817725-6</t>
  </si>
  <si>
    <t>817724-7</t>
  </si>
  <si>
    <t>817723-8</t>
  </si>
  <si>
    <t>817722-9</t>
  </si>
  <si>
    <t>817721-0</t>
  </si>
  <si>
    <t>817720-1</t>
  </si>
  <si>
    <t>817719-5</t>
  </si>
  <si>
    <t>817630-9</t>
  </si>
  <si>
    <t>817565-6</t>
  </si>
  <si>
    <t>817546-1</t>
  </si>
  <si>
    <t>817545-2</t>
  </si>
  <si>
    <t>817544-3</t>
  </si>
  <si>
    <t>817543-4</t>
  </si>
  <si>
    <t>817542-5</t>
  </si>
  <si>
    <t>817541-6</t>
  </si>
  <si>
    <t>817540-7</t>
  </si>
  <si>
    <t>817539-1</t>
  </si>
  <si>
    <t>817318-0</t>
  </si>
  <si>
    <t>817166-9</t>
  </si>
  <si>
    <t>817163-2</t>
  </si>
  <si>
    <t>817075-8</t>
  </si>
  <si>
    <t>816910-5</t>
  </si>
  <si>
    <t>ROSARIO UFO SUR</t>
  </si>
  <si>
    <t>816866-5</t>
  </si>
  <si>
    <t>816857-7</t>
  </si>
  <si>
    <t>816856-8</t>
  </si>
  <si>
    <t>816855-9</t>
  </si>
  <si>
    <t>816854-0</t>
  </si>
  <si>
    <t>816851-3</t>
  </si>
  <si>
    <t>816850-4</t>
  </si>
  <si>
    <t>816848-9</t>
  </si>
  <si>
    <t>816847-0</t>
  </si>
  <si>
    <t>816846-1</t>
  </si>
  <si>
    <t>816845-2</t>
  </si>
  <si>
    <t>816844-3</t>
  </si>
  <si>
    <t>816843-4</t>
  </si>
  <si>
    <t>816842-5</t>
  </si>
  <si>
    <t>816841-6</t>
  </si>
  <si>
    <t>816795-8</t>
  </si>
  <si>
    <t>816766-6</t>
  </si>
  <si>
    <t>816724-0</t>
  </si>
  <si>
    <t>Conectar SRL</t>
  </si>
  <si>
    <t>Sunchales 1</t>
  </si>
  <si>
    <t>8W91B1CSC00087J</t>
  </si>
  <si>
    <t>816565-9</t>
  </si>
  <si>
    <t>816564-0</t>
  </si>
  <si>
    <t>816255-5</t>
  </si>
  <si>
    <t>814997-0</t>
  </si>
  <si>
    <t>813013-0</t>
  </si>
  <si>
    <t>813012-1</t>
  </si>
  <si>
    <t>811862-4</t>
  </si>
  <si>
    <t>811860-6</t>
  </si>
  <si>
    <t>811858-1</t>
  </si>
  <si>
    <t>811856-3</t>
  </si>
  <si>
    <t>811855-4</t>
  </si>
  <si>
    <t>794411-0</t>
  </si>
  <si>
    <t>RN 19 km 5.5</t>
  </si>
  <si>
    <t>Ruta provincial N° 5, km 0,5 </t>
  </si>
  <si>
    <r>
      <t>RECREO</t>
    </r>
    <r>
      <rPr>
        <sz val="10"/>
        <color rgb="FF333333"/>
        <rFont val="Arial"/>
        <family val="2"/>
      </rPr>
      <t> </t>
    </r>
  </si>
  <si>
    <r>
      <t>SUNCHALES</t>
    </r>
    <r>
      <rPr>
        <sz val="10"/>
        <color rgb="FF333333"/>
        <rFont val="Arial"/>
        <family val="2"/>
      </rPr>
      <t> </t>
    </r>
  </si>
  <si>
    <t>Tte. Gral. Richieri Y Mitri</t>
  </si>
  <si>
    <t>El recorrido completo a Smurfitt y Conectar da 85 kms; dejar los kms a uno solo</t>
  </si>
  <si>
    <t>822604-8</t>
  </si>
  <si>
    <t>822601-1</t>
  </si>
  <si>
    <t>822492-5</t>
  </si>
  <si>
    <t>822491-6</t>
  </si>
  <si>
    <t>822490-7</t>
  </si>
  <si>
    <t>822488-2</t>
  </si>
  <si>
    <t>822485-5</t>
  </si>
  <si>
    <t>822484-6</t>
  </si>
  <si>
    <t>822305-0</t>
  </si>
  <si>
    <t>Deposito Cerdan</t>
  </si>
  <si>
    <t>ZDBXBJCH20007DF</t>
  </si>
  <si>
    <t>822185-8</t>
  </si>
  <si>
    <t>822184-9</t>
  </si>
  <si>
    <t>822183-0</t>
  </si>
  <si>
    <t>822078-9</t>
  </si>
  <si>
    <t>076UBJFH100049K</t>
  </si>
  <si>
    <t>822074-3</t>
  </si>
  <si>
    <t>822072-5</t>
  </si>
  <si>
    <t>822071-6</t>
  </si>
  <si>
    <t>BRBSTC60PD</t>
  </si>
  <si>
    <t>822070-7</t>
  </si>
  <si>
    <t>BRBSTC60NL</t>
  </si>
  <si>
    <t>822063-7</t>
  </si>
  <si>
    <t>ZELLBJFK7000MRX</t>
  </si>
  <si>
    <t>822059-4</t>
  </si>
  <si>
    <t>821977-4</t>
  </si>
  <si>
    <t>821975-6</t>
  </si>
  <si>
    <t>821974-7</t>
  </si>
  <si>
    <t>BRBSTC704V</t>
  </si>
  <si>
    <t>821973-8</t>
  </si>
  <si>
    <t>BRBSTC702M</t>
  </si>
  <si>
    <t>821972-9</t>
  </si>
  <si>
    <t>BRBSSD80S4</t>
  </si>
  <si>
    <t>821937-6</t>
  </si>
  <si>
    <t>821923-3</t>
  </si>
  <si>
    <t>821922-4</t>
  </si>
  <si>
    <t>821868-7</t>
  </si>
  <si>
    <t>821834-0</t>
  </si>
  <si>
    <t>821833-1</t>
  </si>
  <si>
    <t>821827-0</t>
  </si>
  <si>
    <t>821808-5</t>
  </si>
  <si>
    <t>821806-7</t>
  </si>
  <si>
    <t>821805-8</t>
  </si>
  <si>
    <t>821804-9</t>
  </si>
  <si>
    <t>821802-1</t>
  </si>
  <si>
    <t>821801-2</t>
  </si>
  <si>
    <t>821767-9</t>
  </si>
  <si>
    <t>821565-3</t>
  </si>
  <si>
    <t>821209-0</t>
  </si>
  <si>
    <t>821208-1</t>
  </si>
  <si>
    <t>821207-2</t>
  </si>
  <si>
    <t>821206-3</t>
  </si>
  <si>
    <t>821205-4</t>
  </si>
  <si>
    <t>821201-8</t>
  </si>
  <si>
    <t>Rafaela (Santa Fé)</t>
  </si>
  <si>
    <t>ZDBXB8GK1F000ZE</t>
  </si>
  <si>
    <t>821199-4</t>
  </si>
  <si>
    <t>821097-7</t>
  </si>
  <si>
    <t>821056-0</t>
  </si>
  <si>
    <t>ZDBXB8GH2F004PX</t>
  </si>
  <si>
    <t>820984-7</t>
  </si>
  <si>
    <t>820862-6</t>
  </si>
  <si>
    <t>820861-7</t>
  </si>
  <si>
    <t>ADIUM</t>
  </si>
  <si>
    <t>820860-8</t>
  </si>
  <si>
    <t>820854-7</t>
  </si>
  <si>
    <t>820853-8</t>
  </si>
  <si>
    <t>820852-9</t>
  </si>
  <si>
    <t>820793-7</t>
  </si>
  <si>
    <t>790RBV9</t>
  </si>
  <si>
    <t>820729-2</t>
  </si>
  <si>
    <t>820626-6</t>
  </si>
  <si>
    <t>820596-6</t>
  </si>
  <si>
    <t>820460-2</t>
  </si>
  <si>
    <t>820360-3</t>
  </si>
  <si>
    <t>820359-7</t>
  </si>
  <si>
    <t>820257-0</t>
  </si>
  <si>
    <t>820185-4</t>
  </si>
  <si>
    <t>820184-5</t>
  </si>
  <si>
    <t>820183-6</t>
  </si>
  <si>
    <t>820139-5</t>
  </si>
  <si>
    <t>820138-6</t>
  </si>
  <si>
    <t>820018-3</t>
  </si>
  <si>
    <t>819937-3</t>
  </si>
  <si>
    <t>ZDBXB8GK5F000AB</t>
  </si>
  <si>
    <t>819936-4</t>
  </si>
  <si>
    <t>819935-5</t>
  </si>
  <si>
    <t>MXCCLBR0L4</t>
  </si>
  <si>
    <t>819934-6</t>
  </si>
  <si>
    <t>CN84OHY00F</t>
  </si>
  <si>
    <t>819874-5</t>
  </si>
  <si>
    <t>VNC5700052</t>
  </si>
  <si>
    <t>819872-7</t>
  </si>
  <si>
    <t>819691-4</t>
  </si>
  <si>
    <t>818472-4</t>
  </si>
  <si>
    <t>ZDBXBJCFA0001TT</t>
  </si>
  <si>
    <t>818471-5</t>
  </si>
  <si>
    <t>ZDBXBJCF70005WD</t>
  </si>
  <si>
    <t>818469-0</t>
  </si>
  <si>
    <t>0ACTBJFK200030N</t>
  </si>
  <si>
    <t>818439-9</t>
  </si>
  <si>
    <t>818438-0</t>
  </si>
  <si>
    <t>818437-1</t>
  </si>
  <si>
    <t>818426-5</t>
  </si>
  <si>
    <t>818425-6</t>
  </si>
  <si>
    <t>818424-7</t>
  </si>
  <si>
    <t>818423-8</t>
  </si>
  <si>
    <t>815821-5</t>
  </si>
  <si>
    <t>BRBSTB709V</t>
  </si>
  <si>
    <t>815820-6</t>
  </si>
  <si>
    <t>BRBSTB70BD</t>
  </si>
  <si>
    <t>815819-0</t>
  </si>
  <si>
    <t>BRBSSD902J</t>
  </si>
  <si>
    <t>Ricchieri 564</t>
  </si>
  <si>
    <t>ok, se acordó redondear en 32</t>
  </si>
  <si>
    <t>825129-3</t>
  </si>
  <si>
    <t>824944-7</t>
  </si>
  <si>
    <t>824943-8</t>
  </si>
  <si>
    <t>824941-0</t>
  </si>
  <si>
    <t>824860-6</t>
  </si>
  <si>
    <t>824858-1</t>
  </si>
  <si>
    <t>824857-2</t>
  </si>
  <si>
    <t>824830-5</t>
  </si>
  <si>
    <t>824827-1</t>
  </si>
  <si>
    <t>824826-2</t>
  </si>
  <si>
    <t>824825-3</t>
  </si>
  <si>
    <t>824824-4</t>
  </si>
  <si>
    <t>824729-0</t>
  </si>
  <si>
    <t>824728-1</t>
  </si>
  <si>
    <t>824673-2</t>
  </si>
  <si>
    <t>824672-3</t>
  </si>
  <si>
    <t>824671-4</t>
  </si>
  <si>
    <t>824670-5</t>
  </si>
  <si>
    <t>824669-9</t>
  </si>
  <si>
    <t>824668-0</t>
  </si>
  <si>
    <t>824667-1</t>
  </si>
  <si>
    <t>824666-2</t>
  </si>
  <si>
    <t>824665-3</t>
  </si>
  <si>
    <t>CN97GJY08Z</t>
  </si>
  <si>
    <t>824664-4</t>
  </si>
  <si>
    <t>824521-0</t>
  </si>
  <si>
    <t>824343-4</t>
  </si>
  <si>
    <t>824306-3</t>
  </si>
  <si>
    <t>824157-9</t>
  </si>
  <si>
    <t>824154-2</t>
  </si>
  <si>
    <t>824140-9</t>
  </si>
  <si>
    <t>Sunchales 2</t>
  </si>
  <si>
    <t>Z8PMB3BC600615J</t>
  </si>
  <si>
    <t>824139-3</t>
  </si>
  <si>
    <t>7927TNF</t>
  </si>
  <si>
    <t>824138-4</t>
  </si>
  <si>
    <t>ZELLBJFJB00089P</t>
  </si>
  <si>
    <t>824136-6</t>
  </si>
  <si>
    <t>ZDBXBJCH1000M7R</t>
  </si>
  <si>
    <t>824135-7</t>
  </si>
  <si>
    <t>ZDBXBJAH20003CY</t>
  </si>
  <si>
    <t>824134-8</t>
  </si>
  <si>
    <t>ZDBXBJAH20002ZW</t>
  </si>
  <si>
    <t>824133-9</t>
  </si>
  <si>
    <t>ZDBXB8GK1F004EZ</t>
  </si>
  <si>
    <t>824132-0</t>
  </si>
  <si>
    <t>824131-1</t>
  </si>
  <si>
    <t>79176CM</t>
  </si>
  <si>
    <t>824130-2</t>
  </si>
  <si>
    <t>79100KW</t>
  </si>
  <si>
    <t>824129-6</t>
  </si>
  <si>
    <t>824128-7</t>
  </si>
  <si>
    <t>790FWM5</t>
  </si>
  <si>
    <t>824127-8</t>
  </si>
  <si>
    <t>790FWF9</t>
  </si>
  <si>
    <t>824122-3</t>
  </si>
  <si>
    <t>824121-4</t>
  </si>
  <si>
    <t>824120-5</t>
  </si>
  <si>
    <t>824119-9</t>
  </si>
  <si>
    <t>824118-0</t>
  </si>
  <si>
    <t>824117-1</t>
  </si>
  <si>
    <t>Z831BJEFA0000CM</t>
  </si>
  <si>
    <t>823819-5</t>
  </si>
  <si>
    <t>823660-1</t>
  </si>
  <si>
    <t>823552-3</t>
  </si>
  <si>
    <t>823468-5</t>
  </si>
  <si>
    <t>823460-3</t>
  </si>
  <si>
    <t>340 - Santa Fe</t>
  </si>
  <si>
    <t>076UBJFJ300021M</t>
  </si>
  <si>
    <t>823427-8</t>
  </si>
  <si>
    <t>823411-7</t>
  </si>
  <si>
    <t>823291-5</t>
  </si>
  <si>
    <t>823242-9</t>
  </si>
  <si>
    <t>823121-7</t>
  </si>
  <si>
    <t>823120-8</t>
  </si>
  <si>
    <t>ZDBXB8GK6A00ACE</t>
  </si>
  <si>
    <t>823119-2</t>
  </si>
  <si>
    <t>07QWB9UG3A003LW</t>
  </si>
  <si>
    <t>823118-3</t>
  </si>
  <si>
    <t>BRBST290D1</t>
  </si>
  <si>
    <t>823117-4</t>
  </si>
  <si>
    <t>CNMCL1L08V</t>
  </si>
  <si>
    <t>823116-5</t>
  </si>
  <si>
    <t>07QWB9UG3A0021B</t>
  </si>
  <si>
    <t>823115-6</t>
  </si>
  <si>
    <t>ZDBXB8GK1F00K1F</t>
  </si>
  <si>
    <t>823114-7</t>
  </si>
  <si>
    <t>ZDBXBJEJ90008YY</t>
  </si>
  <si>
    <t>823113-8</t>
  </si>
  <si>
    <t>823112-9</t>
  </si>
  <si>
    <t>822799-5</t>
  </si>
  <si>
    <t>822715-3</t>
  </si>
  <si>
    <t>AR_517_SANTA_FE</t>
  </si>
  <si>
    <t>8W91B1BBA00009X</t>
  </si>
  <si>
    <t>822704-7</t>
  </si>
  <si>
    <t>822486-4</t>
  </si>
  <si>
    <t>821768-8</t>
  </si>
  <si>
    <t>818524-6</t>
  </si>
  <si>
    <t>818518-5</t>
  </si>
  <si>
    <t>801018-2</t>
  </si>
  <si>
    <t>ok,  redondeo en 32</t>
  </si>
  <si>
    <t>05/02 - 18/02</t>
  </si>
  <si>
    <t>Son 85 kms</t>
  </si>
  <si>
    <t>87 (redondeo)</t>
  </si>
  <si>
    <t>828684-6</t>
  </si>
  <si>
    <t>828264-6</t>
  </si>
  <si>
    <t>828095-8</t>
  </si>
  <si>
    <t>828026-8</t>
  </si>
  <si>
    <t>827970-3</t>
  </si>
  <si>
    <t>ZELLBJFK9000HYR</t>
  </si>
  <si>
    <t>827927-1</t>
  </si>
  <si>
    <t>827926-2</t>
  </si>
  <si>
    <t>827925-3</t>
  </si>
  <si>
    <t>827922-6</t>
  </si>
  <si>
    <t>827921-7</t>
  </si>
  <si>
    <t>827920-8</t>
  </si>
  <si>
    <t>827787-5</t>
  </si>
  <si>
    <t>827761-7</t>
  </si>
  <si>
    <t>827749-5</t>
  </si>
  <si>
    <t>Facturación</t>
  </si>
  <si>
    <t>ZDBXBJCH200046V</t>
  </si>
  <si>
    <t>827689-4</t>
  </si>
  <si>
    <t>827629-2</t>
  </si>
  <si>
    <t>827609-8</t>
  </si>
  <si>
    <t>ZDBHBJEJ50000LA</t>
  </si>
  <si>
    <t>827557-6</t>
  </si>
  <si>
    <t>827477-1</t>
  </si>
  <si>
    <t>827476-2</t>
  </si>
  <si>
    <t>827475-3</t>
  </si>
  <si>
    <t>827473-5</t>
  </si>
  <si>
    <t>827472-6</t>
  </si>
  <si>
    <t>827471-7</t>
  </si>
  <si>
    <t>827470-8</t>
  </si>
  <si>
    <t>827469-2</t>
  </si>
  <si>
    <t>827468-3</t>
  </si>
  <si>
    <t>827467-4</t>
  </si>
  <si>
    <t>827466-5</t>
  </si>
  <si>
    <t>827245-4</t>
  </si>
  <si>
    <t>827144-6</t>
  </si>
  <si>
    <t>827124-2</t>
  </si>
  <si>
    <t>827103-9</t>
  </si>
  <si>
    <t>827001-2</t>
  </si>
  <si>
    <t>826948-7</t>
  </si>
  <si>
    <t>Despacho AMPS</t>
  </si>
  <si>
    <t>ZDBXBJAFA0004VF</t>
  </si>
  <si>
    <t>826861-9</t>
  </si>
  <si>
    <t>826857-6</t>
  </si>
  <si>
    <t>826674-5</t>
  </si>
  <si>
    <t>826662-0</t>
  </si>
  <si>
    <t>826618-9</t>
  </si>
  <si>
    <t>826341-0</t>
  </si>
  <si>
    <t>826340-1</t>
  </si>
  <si>
    <t>826339-5</t>
  </si>
  <si>
    <t>826337-7</t>
  </si>
  <si>
    <t>826336-8</t>
  </si>
  <si>
    <t>826335-9</t>
  </si>
  <si>
    <t>826334-0</t>
  </si>
  <si>
    <t>826333-1</t>
  </si>
  <si>
    <t>826332-2</t>
  </si>
  <si>
    <t>826318-2</t>
  </si>
  <si>
    <t>826271-2</t>
  </si>
  <si>
    <t>826148-5</t>
  </si>
  <si>
    <t>826144-9</t>
  </si>
  <si>
    <t>826118-4</t>
  </si>
  <si>
    <t>826117-5</t>
  </si>
  <si>
    <t>826116-6</t>
  </si>
  <si>
    <t>826115-7</t>
  </si>
  <si>
    <t>826114-8</t>
  </si>
  <si>
    <t>825965-7</t>
  </si>
  <si>
    <t>825956-9</t>
  </si>
  <si>
    <t>825953-2</t>
  </si>
  <si>
    <t>297 - SAN PEDRO</t>
  </si>
  <si>
    <t>ZDBXBJCH30009AR</t>
  </si>
  <si>
    <t>825952-3</t>
  </si>
  <si>
    <t>076UBJFH30004RE</t>
  </si>
  <si>
    <t>825951-4</t>
  </si>
  <si>
    <t>076UBJFH20004ZM</t>
  </si>
  <si>
    <t>825950-5</t>
  </si>
  <si>
    <t>BRBSTC60DK</t>
  </si>
  <si>
    <t>825949-9</t>
  </si>
  <si>
    <t>BRBSTC60F6</t>
  </si>
  <si>
    <t>825948-0</t>
  </si>
  <si>
    <t>BRBSSD807G</t>
  </si>
  <si>
    <t>825931-0</t>
  </si>
  <si>
    <t>825873-7</t>
  </si>
  <si>
    <t>825872-8</t>
  </si>
  <si>
    <t>825838-4</t>
  </si>
  <si>
    <t>825679-3</t>
  </si>
  <si>
    <t>825666-9</t>
  </si>
  <si>
    <t>825627-0</t>
  </si>
  <si>
    <t>825450-0</t>
  </si>
  <si>
    <t>794Y62T</t>
  </si>
  <si>
    <t>825178-9</t>
  </si>
  <si>
    <t>824718-4</t>
  </si>
  <si>
    <t>824717-5</t>
  </si>
  <si>
    <t>ZDBXBJCH1000JDP</t>
  </si>
  <si>
    <t>824126-9</t>
  </si>
  <si>
    <t>0ACTBJFJC0000NB</t>
  </si>
  <si>
    <t>824123-2</t>
  </si>
  <si>
    <t>ZDBXB8GH2F0047V</t>
  </si>
  <si>
    <t>822073-4</t>
  </si>
  <si>
    <t>822069-1</t>
  </si>
  <si>
    <t>BRBSSD80RD</t>
  </si>
  <si>
    <t>820859-2</t>
  </si>
  <si>
    <t>CNBRS6P2FQ</t>
  </si>
  <si>
    <t>749161-8</t>
  </si>
  <si>
    <t>831917-1</t>
  </si>
  <si>
    <t>831916-2</t>
  </si>
  <si>
    <t>831915-3</t>
  </si>
  <si>
    <t>831914-4</t>
  </si>
  <si>
    <t>831692-5</t>
  </si>
  <si>
    <t>831681-9</t>
  </si>
  <si>
    <t>831680-0</t>
  </si>
  <si>
    <t>831679-4</t>
  </si>
  <si>
    <t>831033-8</t>
  </si>
  <si>
    <t>831002-8</t>
  </si>
  <si>
    <t>830754-7</t>
  </si>
  <si>
    <t>830753-8</t>
  </si>
  <si>
    <t>830642-3</t>
  </si>
  <si>
    <t>Susana</t>
  </si>
  <si>
    <t>MXBCM9R3PF</t>
  </si>
  <si>
    <t>830570-7</t>
  </si>
  <si>
    <t>830467-4</t>
  </si>
  <si>
    <t>830432-8</t>
  </si>
  <si>
    <t>830431-9</t>
  </si>
  <si>
    <t>830430-0</t>
  </si>
  <si>
    <t>830429-4</t>
  </si>
  <si>
    <t>830428-5</t>
  </si>
  <si>
    <t>830304-6</t>
  </si>
  <si>
    <t>830191-4</t>
  </si>
  <si>
    <t>830025-2</t>
  </si>
  <si>
    <t>830024-3</t>
  </si>
  <si>
    <t>830020-7</t>
  </si>
  <si>
    <t>830017-3</t>
  </si>
  <si>
    <t>830016-4</t>
  </si>
  <si>
    <t>830015-5</t>
  </si>
  <si>
    <t>830014-6</t>
  </si>
  <si>
    <t>830004-9</t>
  </si>
  <si>
    <t>829910-5</t>
  </si>
  <si>
    <t>829909-9</t>
  </si>
  <si>
    <t>829908-0</t>
  </si>
  <si>
    <t>829906-2</t>
  </si>
  <si>
    <t>829905-3</t>
  </si>
  <si>
    <t>829904-4</t>
  </si>
  <si>
    <t>829875-3</t>
  </si>
  <si>
    <t>829872-6</t>
  </si>
  <si>
    <t>ZDBXB8GK1F005JJ</t>
  </si>
  <si>
    <t>829815-1</t>
  </si>
  <si>
    <t>829814-2</t>
  </si>
  <si>
    <t>829813-3</t>
  </si>
  <si>
    <t>829812-4</t>
  </si>
  <si>
    <t>829811-5</t>
  </si>
  <si>
    <t>829808-1</t>
  </si>
  <si>
    <t>829799-4</t>
  </si>
  <si>
    <t>829666-7</t>
  </si>
  <si>
    <t>829665-8</t>
  </si>
  <si>
    <t>829664-9</t>
  </si>
  <si>
    <t>829663-0</t>
  </si>
  <si>
    <t>829662-1</t>
  </si>
  <si>
    <t>829661-2</t>
  </si>
  <si>
    <t>829637-5</t>
  </si>
  <si>
    <t>829505-7</t>
  </si>
  <si>
    <t>829504-8</t>
  </si>
  <si>
    <t>829503-9</t>
  </si>
  <si>
    <t>829502-0</t>
  </si>
  <si>
    <t>829501-1</t>
  </si>
  <si>
    <t>829500-2</t>
  </si>
  <si>
    <t>829499-7</t>
  </si>
  <si>
    <t>829498-8</t>
  </si>
  <si>
    <t>829497-9</t>
  </si>
  <si>
    <t>829496-0</t>
  </si>
  <si>
    <t>829495-1</t>
  </si>
  <si>
    <t>829494-2</t>
  </si>
  <si>
    <t>829482-7</t>
  </si>
  <si>
    <t>829410-0</t>
  </si>
  <si>
    <t>829263-4</t>
  </si>
  <si>
    <t>829217-5</t>
  </si>
  <si>
    <t>829010-4</t>
  </si>
  <si>
    <t>829006-1</t>
  </si>
  <si>
    <t>828953-3</t>
  </si>
  <si>
    <t>828918-0</t>
  </si>
  <si>
    <t>828917-1</t>
  </si>
  <si>
    <t>828916-2</t>
  </si>
  <si>
    <t>828915-3</t>
  </si>
  <si>
    <t>828914-4</t>
  </si>
  <si>
    <t>828913-5</t>
  </si>
  <si>
    <t>828912-6</t>
  </si>
  <si>
    <t>828911-7</t>
  </si>
  <si>
    <t>828707-6</t>
  </si>
  <si>
    <t>KFC155 - PORTAL ROSARIO</t>
  </si>
  <si>
    <t>ZELLBJFK9000EQB</t>
  </si>
  <si>
    <t>827802-3</t>
  </si>
  <si>
    <t>827474-4</t>
  </si>
  <si>
    <t>827333-8</t>
  </si>
  <si>
    <t>825459-1</t>
  </si>
  <si>
    <t>824674-1</t>
  </si>
  <si>
    <t>813463-1</t>
  </si>
  <si>
    <t>811742-1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</si>
</sst>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_-* #,##0.00\ &quot;€&quot;_-;\-* #,##0.00\ &quot;€&quot;_-;_-* &quot;-&quot;??\ &quot;€&quot;_-;_-@_-"/>
    <numFmt numFmtId="165" formatCode="&quot;$&quot;\ #,##0.00;[Red]&quot;$&quot;\ \-#,##0.00"/>
    <numFmt numFmtId="166" formatCode="_ &quot;$&quot;\ * #,##0.00_ ;_ &quot;$&quot;\ * \-#,##0.00_ ;_ &quot;$&quot;\ * &quot;-&quot;??_ ;_ @_ "/>
    <numFmt numFmtId="167" formatCode="[$$-2C0A]\ #,##0.00"/>
    <numFmt numFmtId="168" formatCode="&quot;$&quot;\ #,##0.00"/>
    <numFmt numFmtId="169" formatCode="0.0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b/>
      <sz val="8"/>
      <color indexed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color rgb="FF333333"/>
      <name val="Arial"/>
      <family val="2"/>
    </font>
    <font>
      <u/>
      <sz val="11"/>
      <color theme="10"/>
      <name val="Calibri"/>
      <family val="2"/>
      <scheme val="minor"/>
    </font>
    <font>
      <b/>
      <sz val="7"/>
      <color rgb="FFFFFFFF"/>
      <name val="Tahoma"/>
      <family val="2"/>
    </font>
    <font>
      <b/>
      <sz val="8"/>
      <color rgb="FF333333"/>
      <name val="Arial"/>
      <family val="2"/>
    </font>
    <font>
      <b/>
      <i/>
      <sz val="11"/>
      <color theme="1"/>
      <name val="Calibri"/>
      <family val="2"/>
      <scheme val="minor"/>
    </font>
    <font>
      <b/>
      <sz val="10"/>
      <color rgb="FF333333"/>
      <name val="Arial"/>
      <family val="2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  <font>
      <sz val="10"/>
      <color rgb="FF333333"/>
      <name val="Arial"/>
      <family val="2"/>
    </font>
  </fonts>
  <fills count="5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6F6F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6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2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4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</cellStyleXfs>
  <cellXfs count="299">
    <xf numFmtId="0" fontId="0" fillId="0" borderId="0" xfId="0"/>
    <xf numFmtId="0" fontId="16" fillId="0" borderId="0" xfId="0" applyFont="1"/>
    <xf numFmtId="167" fontId="0" fillId="0" borderId="0" xfId="0" applyNumberFormat="1"/>
    <xf numFmtId="0" fontId="16" fillId="0" borderId="16" xfId="0" applyFont="1" applyBorder="1"/>
    <xf numFmtId="167" fontId="16" fillId="0" borderId="17" xfId="0" applyNumberFormat="1" applyFont="1" applyBorder="1"/>
    <xf numFmtId="167" fontId="16" fillId="0" borderId="18" xfId="0" applyNumberFormat="1" applyFont="1" applyBorder="1"/>
    <xf numFmtId="167" fontId="16" fillId="0" borderId="11" xfId="0" applyNumberFormat="1" applyFont="1" applyBorder="1"/>
    <xf numFmtId="0" fontId="0" fillId="0" borderId="0" xfId="0" applyAlignment="1">
      <alignment horizontal="left"/>
    </xf>
    <xf numFmtId="0" fontId="18" fillId="33" borderId="19" xfId="0" applyFont="1" applyFill="1" applyBorder="1" applyAlignment="1">
      <alignment horizontal="center"/>
    </xf>
    <xf numFmtId="0" fontId="18" fillId="34" borderId="10" xfId="0" applyFont="1" applyFill="1" applyBorder="1" applyAlignment="1">
      <alignment horizontal="center"/>
    </xf>
    <xf numFmtId="166" fontId="18" fillId="34" borderId="10" xfId="1" applyNumberFormat="1" applyFont="1" applyFill="1" applyBorder="1" applyAlignment="1">
      <alignment horizontal="left"/>
    </xf>
    <xf numFmtId="0" fontId="18" fillId="33" borderId="23" xfId="0" applyFont="1" applyFill="1" applyBorder="1" applyAlignment="1">
      <alignment horizontal="center"/>
    </xf>
    <xf numFmtId="0" fontId="18" fillId="33" borderId="24" xfId="0" applyFont="1" applyFill="1" applyBorder="1" applyAlignment="1">
      <alignment horizontal="center"/>
    </xf>
    <xf numFmtId="0" fontId="18" fillId="33" borderId="25" xfId="0" applyFont="1" applyFill="1" applyBorder="1" applyAlignment="1">
      <alignment horizontal="center"/>
    </xf>
    <xf numFmtId="0" fontId="18" fillId="34" borderId="15" xfId="0" applyFont="1" applyFill="1" applyBorder="1" applyAlignment="1">
      <alignment horizontal="center"/>
    </xf>
    <xf numFmtId="0" fontId="18" fillId="34" borderId="15" xfId="0" applyFont="1" applyFill="1" applyBorder="1" applyAlignment="1">
      <alignment horizontal="left"/>
    </xf>
    <xf numFmtId="0" fontId="18" fillId="34" borderId="14" xfId="0" applyFont="1" applyFill="1" applyBorder="1" applyAlignment="1">
      <alignment horizontal="center"/>
    </xf>
    <xf numFmtId="0" fontId="18" fillId="34" borderId="12" xfId="0" applyFont="1" applyFill="1" applyBorder="1" applyAlignment="1">
      <alignment horizontal="center"/>
    </xf>
    <xf numFmtId="0" fontId="18" fillId="34" borderId="35" xfId="0" applyFont="1" applyFill="1" applyBorder="1" applyAlignment="1">
      <alignment horizontal="center"/>
    </xf>
    <xf numFmtId="167" fontId="16" fillId="0" borderId="0" xfId="0" applyNumberFormat="1" applyFont="1"/>
    <xf numFmtId="0" fontId="16" fillId="0" borderId="36" xfId="0" applyFont="1" applyBorder="1"/>
    <xf numFmtId="0" fontId="16" fillId="0" borderId="37" xfId="0" applyFont="1" applyBorder="1"/>
    <xf numFmtId="0" fontId="16" fillId="0" borderId="37" xfId="0" applyFont="1" applyBorder="1" applyAlignment="1">
      <alignment horizontal="left"/>
    </xf>
    <xf numFmtId="0" fontId="16" fillId="0" borderId="38" xfId="0" applyFont="1" applyBorder="1"/>
    <xf numFmtId="167" fontId="16" fillId="0" borderId="37" xfId="0" applyNumberFormat="1" applyFont="1" applyBorder="1"/>
    <xf numFmtId="0" fontId="21" fillId="0" borderId="0" xfId="0" applyFont="1"/>
    <xf numFmtId="0" fontId="14" fillId="0" borderId="0" xfId="0" applyFont="1"/>
    <xf numFmtId="0" fontId="22" fillId="0" borderId="0" xfId="0" applyFont="1"/>
    <xf numFmtId="0" fontId="22" fillId="0" borderId="0" xfId="0" applyFont="1" applyAlignment="1">
      <alignment horizontal="left"/>
    </xf>
    <xf numFmtId="167" fontId="22" fillId="0" borderId="0" xfId="0" applyNumberFormat="1" applyFont="1"/>
    <xf numFmtId="0" fontId="21" fillId="0" borderId="10" xfId="0" applyFont="1" applyBorder="1"/>
    <xf numFmtId="165" fontId="21" fillId="0" borderId="10" xfId="0" applyNumberFormat="1" applyFont="1" applyBorder="1"/>
    <xf numFmtId="0" fontId="21" fillId="35" borderId="10" xfId="0" applyFont="1" applyFill="1" applyBorder="1"/>
    <xf numFmtId="165" fontId="21" fillId="35" borderId="10" xfId="0" applyNumberFormat="1" applyFont="1" applyFill="1" applyBorder="1"/>
    <xf numFmtId="0" fontId="21" fillId="0" borderId="40" xfId="0" applyFont="1" applyBorder="1"/>
    <xf numFmtId="165" fontId="21" fillId="0" borderId="40" xfId="0" applyNumberFormat="1" applyFont="1" applyBorder="1"/>
    <xf numFmtId="0" fontId="21" fillId="0" borderId="43" xfId="0" applyFont="1" applyBorder="1"/>
    <xf numFmtId="165" fontId="21" fillId="0" borderId="43" xfId="0" applyNumberFormat="1" applyFont="1" applyBorder="1"/>
    <xf numFmtId="165" fontId="21" fillId="0" borderId="0" xfId="0" applyNumberFormat="1" applyFont="1"/>
    <xf numFmtId="167" fontId="16" fillId="0" borderId="47" xfId="0" applyNumberFormat="1" applyFont="1" applyBorder="1"/>
    <xf numFmtId="0" fontId="22" fillId="0" borderId="37" xfId="0" applyFont="1" applyBorder="1" applyAlignment="1">
      <alignment horizontal="left"/>
    </xf>
    <xf numFmtId="0" fontId="23" fillId="0" borderId="0" xfId="0" applyFont="1"/>
    <xf numFmtId="0" fontId="21" fillId="35" borderId="0" xfId="0" applyFont="1" applyFill="1"/>
    <xf numFmtId="165" fontId="21" fillId="35" borderId="0" xfId="0" applyNumberFormat="1" applyFont="1" applyFill="1"/>
    <xf numFmtId="8" fontId="21" fillId="0" borderId="10" xfId="0" applyNumberFormat="1" applyFont="1" applyBorder="1"/>
    <xf numFmtId="8" fontId="21" fillId="35" borderId="10" xfId="0" applyNumberFormat="1" applyFont="1" applyFill="1" applyBorder="1"/>
    <xf numFmtId="8" fontId="21" fillId="0" borderId="0" xfId="0" applyNumberFormat="1" applyFont="1"/>
    <xf numFmtId="16" fontId="21" fillId="0" borderId="0" xfId="0" applyNumberFormat="1" applyFont="1"/>
    <xf numFmtId="0" fontId="21" fillId="0" borderId="39" xfId="0" applyFont="1" applyBorder="1"/>
    <xf numFmtId="0" fontId="21" fillId="0" borderId="4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35" borderId="12" xfId="0" applyFont="1" applyFill="1" applyBorder="1"/>
    <xf numFmtId="0" fontId="21" fillId="35" borderId="13" xfId="0" applyFont="1" applyFill="1" applyBorder="1"/>
    <xf numFmtId="0" fontId="21" fillId="0" borderId="42" xfId="0" applyFont="1" applyBorder="1"/>
    <xf numFmtId="0" fontId="21" fillId="0" borderId="44" xfId="0" applyFont="1" applyBorder="1"/>
    <xf numFmtId="6" fontId="21" fillId="0" borderId="0" xfId="0" applyNumberFormat="1" applyFont="1"/>
    <xf numFmtId="168" fontId="22" fillId="0" borderId="0" xfId="0" applyNumberFormat="1" applyFont="1"/>
    <xf numFmtId="168" fontId="21" fillId="0" borderId="0" xfId="0" applyNumberFormat="1" applyFont="1"/>
    <xf numFmtId="168" fontId="21" fillId="35" borderId="0" xfId="0" applyNumberFormat="1" applyFont="1" applyFill="1"/>
    <xf numFmtId="168" fontId="21" fillId="0" borderId="10" xfId="0" applyNumberFormat="1" applyFont="1" applyBorder="1"/>
    <xf numFmtId="168" fontId="21" fillId="35" borderId="10" xfId="0" applyNumberFormat="1" applyFont="1" applyFill="1" applyBorder="1"/>
    <xf numFmtId="168" fontId="21" fillId="0" borderId="40" xfId="0" applyNumberFormat="1" applyFont="1" applyBorder="1"/>
    <xf numFmtId="168" fontId="21" fillId="0" borderId="43" xfId="0" applyNumberFormat="1" applyFont="1" applyBorder="1"/>
    <xf numFmtId="8" fontId="21" fillId="0" borderId="40" xfId="0" applyNumberFormat="1" applyFont="1" applyBorder="1"/>
    <xf numFmtId="8" fontId="21" fillId="0" borderId="43" xfId="0" applyNumberFormat="1" applyFont="1" applyBorder="1"/>
    <xf numFmtId="8" fontId="14" fillId="0" borderId="0" xfId="0" applyNumberFormat="1" applyFont="1"/>
    <xf numFmtId="8" fontId="21" fillId="35" borderId="0" xfId="0" applyNumberFormat="1" applyFont="1" applyFill="1"/>
    <xf numFmtId="44" fontId="0" fillId="0" borderId="0" xfId="0" applyNumberFormat="1"/>
    <xf numFmtId="0" fontId="21" fillId="0" borderId="48" xfId="0" applyFont="1" applyBorder="1"/>
    <xf numFmtId="0" fontId="21" fillId="0" borderId="49" xfId="0" applyFont="1" applyBorder="1"/>
    <xf numFmtId="8" fontId="21" fillId="0" borderId="49" xfId="0" applyNumberFormat="1" applyFont="1" applyBorder="1"/>
    <xf numFmtId="0" fontId="21" fillId="0" borderId="50" xfId="0" applyFont="1" applyBorder="1"/>
    <xf numFmtId="0" fontId="21" fillId="0" borderId="14" xfId="0" applyFont="1" applyBorder="1"/>
    <xf numFmtId="0" fontId="21" fillId="0" borderId="15" xfId="0" applyFont="1" applyBorder="1"/>
    <xf numFmtId="8" fontId="21" fillId="0" borderId="15" xfId="0" applyNumberFormat="1" applyFont="1" applyBorder="1"/>
    <xf numFmtId="0" fontId="21" fillId="0" borderId="51" xfId="0" applyFont="1" applyBorder="1"/>
    <xf numFmtId="0" fontId="21" fillId="35" borderId="39" xfId="0" applyFont="1" applyFill="1" applyBorder="1"/>
    <xf numFmtId="0" fontId="21" fillId="35" borderId="40" xfId="0" applyFont="1" applyFill="1" applyBorder="1"/>
    <xf numFmtId="8" fontId="21" fillId="35" borderId="40" xfId="0" applyNumberFormat="1" applyFont="1" applyFill="1" applyBorder="1"/>
    <xf numFmtId="0" fontId="21" fillId="35" borderId="41" xfId="0" applyFont="1" applyFill="1" applyBorder="1"/>
    <xf numFmtId="8" fontId="16" fillId="0" borderId="16" xfId="0" applyNumberFormat="1" applyFont="1" applyBorder="1"/>
    <xf numFmtId="0" fontId="14" fillId="35" borderId="0" xfId="0" applyFont="1" applyFill="1"/>
    <xf numFmtId="8" fontId="14" fillId="35" borderId="0" xfId="0" applyNumberFormat="1" applyFont="1" applyFill="1"/>
    <xf numFmtId="0" fontId="21" fillId="36" borderId="0" xfId="0" applyFont="1" applyFill="1"/>
    <xf numFmtId="8" fontId="21" fillId="36" borderId="0" xfId="0" applyNumberFormat="1" applyFont="1" applyFill="1"/>
    <xf numFmtId="0" fontId="14" fillId="36" borderId="0" xfId="0" applyFont="1" applyFill="1"/>
    <xf numFmtId="0" fontId="21" fillId="35" borderId="42" xfId="0" applyFont="1" applyFill="1" applyBorder="1"/>
    <xf numFmtId="0" fontId="21" fillId="35" borderId="43" xfId="0" applyFont="1" applyFill="1" applyBorder="1"/>
    <xf numFmtId="8" fontId="21" fillId="35" borderId="43" xfId="0" applyNumberFormat="1" applyFont="1" applyFill="1" applyBorder="1"/>
    <xf numFmtId="0" fontId="21" fillId="35" borderId="44" xfId="0" applyFont="1" applyFill="1" applyBorder="1"/>
    <xf numFmtId="0" fontId="21" fillId="38" borderId="12" xfId="0" applyFont="1" applyFill="1" applyBorder="1"/>
    <xf numFmtId="0" fontId="21" fillId="38" borderId="10" xfId="0" applyFont="1" applyFill="1" applyBorder="1"/>
    <xf numFmtId="8" fontId="21" fillId="38" borderId="10" xfId="0" applyNumberFormat="1" applyFont="1" applyFill="1" applyBorder="1"/>
    <xf numFmtId="0" fontId="21" fillId="38" borderId="13" xfId="0" applyFont="1" applyFill="1" applyBorder="1"/>
    <xf numFmtId="0" fontId="14" fillId="35" borderId="12" xfId="0" applyFont="1" applyFill="1" applyBorder="1"/>
    <xf numFmtId="0" fontId="14" fillId="35" borderId="10" xfId="0" applyFont="1" applyFill="1" applyBorder="1"/>
    <xf numFmtId="8" fontId="14" fillId="35" borderId="10" xfId="0" applyNumberFormat="1" applyFont="1" applyFill="1" applyBorder="1"/>
    <xf numFmtId="0" fontId="14" fillId="35" borderId="13" xfId="0" applyFont="1" applyFill="1" applyBorder="1"/>
    <xf numFmtId="0" fontId="21" fillId="0" borderId="52" xfId="0" applyFont="1" applyBorder="1"/>
    <xf numFmtId="0" fontId="21" fillId="0" borderId="53" xfId="0" applyFont="1" applyBorder="1"/>
    <xf numFmtId="8" fontId="21" fillId="0" borderId="53" xfId="0" applyNumberFormat="1" applyFont="1" applyBorder="1"/>
    <xf numFmtId="0" fontId="21" fillId="0" borderId="54" xfId="0" applyFont="1" applyBorder="1"/>
    <xf numFmtId="0" fontId="21" fillId="38" borderId="14" xfId="0" applyFont="1" applyFill="1" applyBorder="1"/>
    <xf numFmtId="0" fontId="21" fillId="38" borderId="15" xfId="0" applyFont="1" applyFill="1" applyBorder="1"/>
    <xf numFmtId="8" fontId="21" fillId="38" borderId="15" xfId="0" applyNumberFormat="1" applyFont="1" applyFill="1" applyBorder="1"/>
    <xf numFmtId="0" fontId="21" fillId="38" borderId="51" xfId="0" applyFont="1" applyFill="1" applyBorder="1"/>
    <xf numFmtId="0" fontId="21" fillId="38" borderId="39" xfId="0" applyFont="1" applyFill="1" applyBorder="1"/>
    <xf numFmtId="0" fontId="21" fillId="38" borderId="40" xfId="0" applyFont="1" applyFill="1" applyBorder="1"/>
    <xf numFmtId="8" fontId="21" fillId="38" borderId="40" xfId="0" applyNumberFormat="1" applyFont="1" applyFill="1" applyBorder="1"/>
    <xf numFmtId="0" fontId="21" fillId="38" borderId="41" xfId="0" applyFont="1" applyFill="1" applyBorder="1"/>
    <xf numFmtId="0" fontId="16" fillId="0" borderId="11" xfId="0" applyFont="1" applyBorder="1"/>
    <xf numFmtId="0" fontId="16" fillId="0" borderId="11" xfId="0" applyFont="1" applyBorder="1" applyAlignment="1">
      <alignment horizontal="center"/>
    </xf>
    <xf numFmtId="0" fontId="21" fillId="37" borderId="0" xfId="0" applyFont="1" applyFill="1"/>
    <xf numFmtId="8" fontId="21" fillId="37" borderId="0" xfId="0" applyNumberFormat="1" applyFont="1" applyFill="1"/>
    <xf numFmtId="0" fontId="14" fillId="37" borderId="0" xfId="0" applyFont="1" applyFill="1"/>
    <xf numFmtId="0" fontId="14" fillId="39" borderId="0" xfId="0" applyFont="1" applyFill="1"/>
    <xf numFmtId="8" fontId="14" fillId="39" borderId="0" xfId="0" applyNumberFormat="1" applyFont="1" applyFill="1"/>
    <xf numFmtId="0" fontId="21" fillId="39" borderId="0" xfId="0" applyFont="1" applyFill="1"/>
    <xf numFmtId="167" fontId="16" fillId="0" borderId="55" xfId="0" applyNumberFormat="1" applyFont="1" applyBorder="1"/>
    <xf numFmtId="167" fontId="16" fillId="0" borderId="56" xfId="0" applyNumberFormat="1" applyFont="1" applyBorder="1"/>
    <xf numFmtId="0" fontId="14" fillId="0" borderId="12" xfId="0" applyFont="1" applyBorder="1"/>
    <xf numFmtId="0" fontId="14" fillId="0" borderId="10" xfId="0" applyFont="1" applyBorder="1"/>
    <xf numFmtId="8" fontId="14" fillId="0" borderId="10" xfId="0" applyNumberFormat="1" applyFont="1" applyBorder="1"/>
    <xf numFmtId="0" fontId="14" fillId="0" borderId="13" xfId="0" applyFont="1" applyBorder="1"/>
    <xf numFmtId="0" fontId="21" fillId="39" borderId="12" xfId="0" applyFont="1" applyFill="1" applyBorder="1"/>
    <xf numFmtId="0" fontId="21" fillId="39" borderId="10" xfId="0" applyFont="1" applyFill="1" applyBorder="1"/>
    <xf numFmtId="8" fontId="21" fillId="39" borderId="10" xfId="0" applyNumberFormat="1" applyFont="1" applyFill="1" applyBorder="1"/>
    <xf numFmtId="0" fontId="21" fillId="39" borderId="13" xfId="0" applyFont="1" applyFill="1" applyBorder="1"/>
    <xf numFmtId="0" fontId="21" fillId="40" borderId="0" xfId="0" applyFont="1" applyFill="1"/>
    <xf numFmtId="8" fontId="21" fillId="40" borderId="0" xfId="0" applyNumberFormat="1" applyFont="1" applyFill="1"/>
    <xf numFmtId="0" fontId="14" fillId="40" borderId="0" xfId="0" applyFont="1" applyFill="1"/>
    <xf numFmtId="0" fontId="21" fillId="0" borderId="57" xfId="0" applyFont="1" applyBorder="1"/>
    <xf numFmtId="0" fontId="21" fillId="0" borderId="58" xfId="0" applyFont="1" applyBorder="1"/>
    <xf numFmtId="8" fontId="21" fillId="0" borderId="58" xfId="0" applyNumberFormat="1" applyFont="1" applyBorder="1"/>
    <xf numFmtId="0" fontId="21" fillId="0" borderId="59" xfId="0" applyFont="1" applyBorder="1"/>
    <xf numFmtId="0" fontId="21" fillId="41" borderId="12" xfId="0" applyFont="1" applyFill="1" applyBorder="1"/>
    <xf numFmtId="0" fontId="21" fillId="41" borderId="10" xfId="0" applyFont="1" applyFill="1" applyBorder="1"/>
    <xf numFmtId="8" fontId="21" fillId="41" borderId="10" xfId="0" applyNumberFormat="1" applyFont="1" applyFill="1" applyBorder="1"/>
    <xf numFmtId="0" fontId="21" fillId="41" borderId="13" xfId="0" applyFont="1" applyFill="1" applyBorder="1"/>
    <xf numFmtId="0" fontId="21" fillId="41" borderId="39" xfId="0" applyFont="1" applyFill="1" applyBorder="1"/>
    <xf numFmtId="0" fontId="21" fillId="41" borderId="40" xfId="0" applyFont="1" applyFill="1" applyBorder="1"/>
    <xf numFmtId="8" fontId="21" fillId="41" borderId="40" xfId="0" applyNumberFormat="1" applyFont="1" applyFill="1" applyBorder="1"/>
    <xf numFmtId="0" fontId="21" fillId="41" borderId="41" xfId="0" applyFont="1" applyFill="1" applyBorder="1"/>
    <xf numFmtId="0" fontId="14" fillId="0" borderId="42" xfId="0" applyFont="1" applyBorder="1"/>
    <xf numFmtId="0" fontId="14" fillId="0" borderId="43" xfId="0" applyFont="1" applyBorder="1"/>
    <xf numFmtId="8" fontId="14" fillId="0" borderId="43" xfId="0" applyNumberFormat="1" applyFont="1" applyBorder="1"/>
    <xf numFmtId="0" fontId="14" fillId="0" borderId="44" xfId="0" applyFont="1" applyBorder="1"/>
    <xf numFmtId="0" fontId="21" fillId="41" borderId="0" xfId="0" applyFont="1" applyFill="1"/>
    <xf numFmtId="0" fontId="14" fillId="41" borderId="0" xfId="0" applyFont="1" applyFill="1"/>
    <xf numFmtId="0" fontId="25" fillId="42" borderId="0" xfId="0" applyFont="1" applyFill="1" applyAlignment="1">
      <alignment horizontal="center" vertical="center" wrapText="1"/>
    </xf>
    <xf numFmtId="0" fontId="0" fillId="43" borderId="0" xfId="0" applyFill="1"/>
    <xf numFmtId="1" fontId="0" fillId="43" borderId="0" xfId="0" applyNumberFormat="1" applyFill="1" applyAlignment="1">
      <alignment horizontal="center"/>
    </xf>
    <xf numFmtId="0" fontId="0" fillId="43" borderId="0" xfId="0" applyFill="1" applyAlignment="1">
      <alignment horizontal="center"/>
    </xf>
    <xf numFmtId="169" fontId="0" fillId="43" borderId="0" xfId="0" applyNumberFormat="1" applyFill="1" applyAlignment="1">
      <alignment horizontal="center"/>
    </xf>
    <xf numFmtId="0" fontId="21" fillId="43" borderId="0" xfId="0" applyFont="1" applyFill="1" applyAlignment="1">
      <alignment horizontal="left"/>
    </xf>
    <xf numFmtId="1" fontId="0" fillId="0" borderId="0" xfId="0" applyNumberFormat="1" applyAlignment="1">
      <alignment horizontal="center"/>
    </xf>
    <xf numFmtId="1" fontId="0" fillId="35" borderId="0" xfId="0" applyNumberFormat="1" applyFill="1" applyAlignment="1">
      <alignment horizontal="center"/>
    </xf>
    <xf numFmtId="0" fontId="24" fillId="43" borderId="0" xfId="43" applyFill="1" applyAlignment="1">
      <alignment horizontal="left"/>
    </xf>
    <xf numFmtId="0" fontId="0" fillId="41" borderId="0" xfId="0" applyFill="1"/>
    <xf numFmtId="1" fontId="0" fillId="41" borderId="0" xfId="0" applyNumberFormat="1" applyFill="1" applyAlignment="1">
      <alignment horizontal="center"/>
    </xf>
    <xf numFmtId="0" fontId="0" fillId="41" borderId="0" xfId="0" applyFill="1" applyAlignment="1">
      <alignment horizontal="center"/>
    </xf>
    <xf numFmtId="169" fontId="0" fillId="41" borderId="0" xfId="0" applyNumberFormat="1" applyFill="1" applyAlignment="1">
      <alignment horizontal="center"/>
    </xf>
    <xf numFmtId="0" fontId="21" fillId="41" borderId="0" xfId="0" applyFont="1" applyFill="1" applyAlignment="1">
      <alignment horizontal="left"/>
    </xf>
    <xf numFmtId="0" fontId="16" fillId="43" borderId="0" xfId="0" applyFont="1" applyFill="1"/>
    <xf numFmtId="0" fontId="0" fillId="39" borderId="0" xfId="0" applyFill="1"/>
    <xf numFmtId="1" fontId="0" fillId="39" borderId="0" xfId="0" applyNumberFormat="1" applyFill="1" applyAlignment="1">
      <alignment horizontal="center"/>
    </xf>
    <xf numFmtId="0" fontId="0" fillId="39" borderId="0" xfId="0" applyFill="1" applyAlignment="1">
      <alignment horizontal="center"/>
    </xf>
    <xf numFmtId="169" fontId="0" fillId="39" borderId="0" xfId="0" applyNumberFormat="1" applyFill="1" applyAlignment="1">
      <alignment horizontal="center"/>
    </xf>
    <xf numFmtId="0" fontId="21" fillId="39" borderId="0" xfId="0" applyFont="1" applyFill="1" applyAlignment="1">
      <alignment horizontal="left"/>
    </xf>
    <xf numFmtId="1" fontId="21" fillId="0" borderId="0" xfId="0" applyNumberFormat="1" applyFont="1"/>
    <xf numFmtId="1" fontId="14" fillId="0" borderId="0" xfId="0" applyNumberFormat="1" applyFont="1"/>
    <xf numFmtId="1" fontId="21" fillId="35" borderId="0" xfId="0" applyNumberFormat="1" applyFont="1" applyFill="1"/>
    <xf numFmtId="1" fontId="14" fillId="35" borderId="0" xfId="0" applyNumberFormat="1" applyFont="1" applyFill="1"/>
    <xf numFmtId="0" fontId="23" fillId="44" borderId="0" xfId="0" applyFont="1" applyFill="1" applyAlignment="1">
      <alignment horizontal="left" vertical="top" wrapText="1"/>
    </xf>
    <xf numFmtId="0" fontId="26" fillId="0" borderId="0" xfId="0" applyFont="1"/>
    <xf numFmtId="4" fontId="0" fillId="43" borderId="0" xfId="0" applyNumberFormat="1" applyFill="1"/>
    <xf numFmtId="0" fontId="21" fillId="37" borderId="12" xfId="0" applyFont="1" applyFill="1" applyBorder="1"/>
    <xf numFmtId="0" fontId="21" fillId="37" borderId="10" xfId="0" applyFont="1" applyFill="1" applyBorder="1"/>
    <xf numFmtId="8" fontId="21" fillId="37" borderId="10" xfId="0" applyNumberFormat="1" applyFont="1" applyFill="1" applyBorder="1"/>
    <xf numFmtId="0" fontId="21" fillId="37" borderId="13" xfId="0" applyFont="1" applyFill="1" applyBorder="1"/>
    <xf numFmtId="1" fontId="21" fillId="37" borderId="0" xfId="0" applyNumberFormat="1" applyFont="1" applyFill="1"/>
    <xf numFmtId="1" fontId="14" fillId="37" borderId="0" xfId="0" applyNumberFormat="1" applyFont="1" applyFill="1"/>
    <xf numFmtId="0" fontId="21" fillId="45" borderId="12" xfId="0" applyFont="1" applyFill="1" applyBorder="1"/>
    <xf numFmtId="0" fontId="21" fillId="45" borderId="10" xfId="0" applyFont="1" applyFill="1" applyBorder="1"/>
    <xf numFmtId="8" fontId="21" fillId="45" borderId="10" xfId="0" applyNumberFormat="1" applyFont="1" applyFill="1" applyBorder="1"/>
    <xf numFmtId="0" fontId="21" fillId="45" borderId="13" xfId="0" applyFont="1" applyFill="1" applyBorder="1"/>
    <xf numFmtId="0" fontId="27" fillId="0" borderId="0" xfId="0" applyFont="1"/>
    <xf numFmtId="0" fontId="0" fillId="43" borderId="10" xfId="0" applyFill="1" applyBorder="1"/>
    <xf numFmtId="1" fontId="21" fillId="36" borderId="0" xfId="0" applyNumberFormat="1" applyFont="1" applyFill="1"/>
    <xf numFmtId="1" fontId="21" fillId="39" borderId="0" xfId="0" applyNumberFormat="1" applyFont="1" applyFill="1"/>
    <xf numFmtId="1" fontId="21" fillId="40" borderId="0" xfId="0" applyNumberFormat="1" applyFont="1" applyFill="1"/>
    <xf numFmtId="1" fontId="21" fillId="41" borderId="0" xfId="0" applyNumberFormat="1" applyFont="1" applyFill="1"/>
    <xf numFmtId="0" fontId="14" fillId="46" borderId="12" xfId="0" applyFont="1" applyFill="1" applyBorder="1"/>
    <xf numFmtId="0" fontId="14" fillId="46" borderId="10" xfId="0" applyFont="1" applyFill="1" applyBorder="1"/>
    <xf numFmtId="8" fontId="14" fillId="46" borderId="10" xfId="0" applyNumberFormat="1" applyFont="1" applyFill="1" applyBorder="1"/>
    <xf numFmtId="0" fontId="14" fillId="46" borderId="13" xfId="0" applyFont="1" applyFill="1" applyBorder="1"/>
    <xf numFmtId="1" fontId="14" fillId="46" borderId="0" xfId="0" applyNumberFormat="1" applyFont="1" applyFill="1"/>
    <xf numFmtId="0" fontId="14" fillId="46" borderId="0" xfId="0" applyFont="1" applyFill="1"/>
    <xf numFmtId="0" fontId="21" fillId="46" borderId="12" xfId="0" applyFont="1" applyFill="1" applyBorder="1"/>
    <xf numFmtId="0" fontId="21" fillId="46" borderId="10" xfId="0" applyFont="1" applyFill="1" applyBorder="1"/>
    <xf numFmtId="8" fontId="21" fillId="46" borderId="10" xfId="0" applyNumberFormat="1" applyFont="1" applyFill="1" applyBorder="1"/>
    <xf numFmtId="0" fontId="21" fillId="46" borderId="13" xfId="0" applyFont="1" applyFill="1" applyBorder="1"/>
    <xf numFmtId="1" fontId="21" fillId="46" borderId="0" xfId="0" applyNumberFormat="1" applyFont="1" applyFill="1"/>
    <xf numFmtId="0" fontId="21" fillId="46" borderId="0" xfId="0" applyFont="1" applyFill="1"/>
    <xf numFmtId="0" fontId="21" fillId="47" borderId="12" xfId="0" applyFont="1" applyFill="1" applyBorder="1"/>
    <xf numFmtId="0" fontId="21" fillId="47" borderId="10" xfId="0" applyFont="1" applyFill="1" applyBorder="1"/>
    <xf numFmtId="8" fontId="21" fillId="47" borderId="10" xfId="0" applyNumberFormat="1" applyFont="1" applyFill="1" applyBorder="1"/>
    <xf numFmtId="0" fontId="21" fillId="47" borderId="13" xfId="0" applyFont="1" applyFill="1" applyBorder="1"/>
    <xf numFmtId="1" fontId="21" fillId="47" borderId="0" xfId="0" applyNumberFormat="1" applyFont="1" applyFill="1"/>
    <xf numFmtId="1" fontId="14" fillId="47" borderId="0" xfId="0" applyNumberFormat="1" applyFont="1" applyFill="1"/>
    <xf numFmtId="0" fontId="21" fillId="47" borderId="0" xfId="0" applyFont="1" applyFill="1"/>
    <xf numFmtId="8" fontId="14" fillId="0" borderId="40" xfId="0" applyNumberFormat="1" applyFont="1" applyBorder="1"/>
    <xf numFmtId="0" fontId="14" fillId="37" borderId="12" xfId="0" applyFont="1" applyFill="1" applyBorder="1"/>
    <xf numFmtId="0" fontId="14" fillId="37" borderId="10" xfId="0" applyFont="1" applyFill="1" applyBorder="1"/>
    <xf numFmtId="8" fontId="14" fillId="37" borderId="10" xfId="0" applyNumberFormat="1" applyFont="1" applyFill="1" applyBorder="1"/>
    <xf numFmtId="0" fontId="14" fillId="37" borderId="13" xfId="0" applyFont="1" applyFill="1" applyBorder="1"/>
    <xf numFmtId="1" fontId="14" fillId="39" borderId="0" xfId="0" applyNumberFormat="1" applyFont="1" applyFill="1"/>
    <xf numFmtId="0" fontId="21" fillId="37" borderId="39" xfId="0" applyFont="1" applyFill="1" applyBorder="1"/>
    <xf numFmtId="0" fontId="21" fillId="37" borderId="40" xfId="0" applyFont="1" applyFill="1" applyBorder="1"/>
    <xf numFmtId="8" fontId="21" fillId="37" borderId="40" xfId="0" applyNumberFormat="1" applyFont="1" applyFill="1" applyBorder="1"/>
    <xf numFmtId="0" fontId="21" fillId="37" borderId="41" xfId="0" applyFont="1" applyFill="1" applyBorder="1"/>
    <xf numFmtId="0" fontId="21" fillId="48" borderId="12" xfId="0" applyFont="1" applyFill="1" applyBorder="1"/>
    <xf numFmtId="0" fontId="21" fillId="48" borderId="10" xfId="0" applyFont="1" applyFill="1" applyBorder="1"/>
    <xf numFmtId="8" fontId="21" fillId="48" borderId="10" xfId="0" applyNumberFormat="1" applyFont="1" applyFill="1" applyBorder="1"/>
    <xf numFmtId="0" fontId="21" fillId="48" borderId="13" xfId="0" applyFont="1" applyFill="1" applyBorder="1"/>
    <xf numFmtId="0" fontId="14" fillId="48" borderId="10" xfId="0" applyFont="1" applyFill="1" applyBorder="1"/>
    <xf numFmtId="8" fontId="14" fillId="48" borderId="10" xfId="0" applyNumberFormat="1" applyFont="1" applyFill="1" applyBorder="1"/>
    <xf numFmtId="0" fontId="21" fillId="35" borderId="48" xfId="0" applyFont="1" applyFill="1" applyBorder="1"/>
    <xf numFmtId="0" fontId="21" fillId="35" borderId="49" xfId="0" applyFont="1" applyFill="1" applyBorder="1"/>
    <xf numFmtId="8" fontId="21" fillId="35" borderId="49" xfId="0" applyNumberFormat="1" applyFont="1" applyFill="1" applyBorder="1"/>
    <xf numFmtId="0" fontId="21" fillId="35" borderId="50" xfId="0" applyFont="1" applyFill="1" applyBorder="1"/>
    <xf numFmtId="0" fontId="21" fillId="49" borderId="0" xfId="0" applyFont="1" applyFill="1"/>
    <xf numFmtId="8" fontId="21" fillId="49" borderId="0" xfId="0" applyNumberFormat="1" applyFont="1" applyFill="1"/>
    <xf numFmtId="1" fontId="21" fillId="49" borderId="0" xfId="0" applyNumberFormat="1" applyFont="1" applyFill="1"/>
    <xf numFmtId="1" fontId="14" fillId="49" borderId="0" xfId="0" applyNumberFormat="1" applyFont="1" applyFill="1"/>
    <xf numFmtId="0" fontId="21" fillId="48" borderId="0" xfId="0" applyFont="1" applyFill="1"/>
    <xf numFmtId="8" fontId="21" fillId="48" borderId="0" xfId="0" applyNumberFormat="1" applyFont="1" applyFill="1"/>
    <xf numFmtId="1" fontId="21" fillId="48" borderId="0" xfId="0" applyNumberFormat="1" applyFont="1" applyFill="1"/>
    <xf numFmtId="1" fontId="14" fillId="48" borderId="0" xfId="0" applyNumberFormat="1" applyFont="1" applyFill="1"/>
    <xf numFmtId="0" fontId="22" fillId="0" borderId="48" xfId="0" applyFont="1" applyBorder="1"/>
    <xf numFmtId="0" fontId="22" fillId="0" borderId="49" xfId="0" applyFont="1" applyBorder="1"/>
    <xf numFmtId="8" fontId="22" fillId="0" borderId="49" xfId="0" applyNumberFormat="1" applyFont="1" applyBorder="1"/>
    <xf numFmtId="0" fontId="22" fillId="0" borderId="50" xfId="0" applyFont="1" applyBorder="1"/>
    <xf numFmtId="167" fontId="0" fillId="0" borderId="11" xfId="0" applyNumberFormat="1" applyBorder="1"/>
    <xf numFmtId="4" fontId="0" fillId="0" borderId="0" xfId="0" applyNumberFormat="1"/>
    <xf numFmtId="0" fontId="28" fillId="0" borderId="0" xfId="0" applyFont="1"/>
    <xf numFmtId="0" fontId="24" fillId="0" borderId="0" xfId="43"/>
    <xf numFmtId="4" fontId="24" fillId="0" borderId="0" xfId="43" applyNumberFormat="1"/>
    <xf numFmtId="4" fontId="24" fillId="43" borderId="0" xfId="43" applyNumberFormat="1" applyFill="1"/>
    <xf numFmtId="0" fontId="24" fillId="43" borderId="0" xfId="43" applyFill="1"/>
    <xf numFmtId="0" fontId="21" fillId="50" borderId="0" xfId="0" applyFont="1" applyFill="1"/>
    <xf numFmtId="8" fontId="21" fillId="50" borderId="0" xfId="0" applyNumberFormat="1" applyFont="1" applyFill="1"/>
    <xf numFmtId="1" fontId="21" fillId="50" borderId="0" xfId="0" applyNumberFormat="1" applyFont="1" applyFill="1"/>
    <xf numFmtId="1" fontId="14" fillId="50" borderId="0" xfId="0" applyNumberFormat="1" applyFont="1" applyFill="1"/>
    <xf numFmtId="0" fontId="21" fillId="51" borderId="0" xfId="0" applyFont="1" applyFill="1"/>
    <xf numFmtId="8" fontId="21" fillId="51" borderId="0" xfId="0" applyNumberFormat="1" applyFont="1" applyFill="1"/>
    <xf numFmtId="1" fontId="21" fillId="51" borderId="0" xfId="0" applyNumberFormat="1" applyFont="1" applyFill="1"/>
    <xf numFmtId="1" fontId="14" fillId="51" borderId="0" xfId="0" applyNumberFormat="1" applyFont="1" applyFill="1"/>
    <xf numFmtId="0" fontId="21" fillId="43" borderId="0" xfId="0" applyFont="1" applyFill="1"/>
    <xf numFmtId="8" fontId="21" fillId="43" borderId="0" xfId="0" applyNumberFormat="1" applyFont="1" applyFill="1"/>
    <xf numFmtId="0" fontId="24" fillId="35" borderId="0" xfId="43" applyFill="1"/>
    <xf numFmtId="44" fontId="0" fillId="0" borderId="0" xfId="0" applyNumberFormat="1" applyAlignment="1">
      <alignment horizontal="left"/>
    </xf>
    <xf numFmtId="8" fontId="21" fillId="38" borderId="0" xfId="0" applyNumberFormat="1" applyFont="1" applyFill="1"/>
    <xf numFmtId="0" fontId="21" fillId="38" borderId="0" xfId="0" applyFont="1" applyFill="1"/>
    <xf numFmtId="1" fontId="21" fillId="38" borderId="0" xfId="0" applyNumberFormat="1" applyFont="1" applyFill="1"/>
    <xf numFmtId="0" fontId="21" fillId="43" borderId="10" xfId="0" applyFont="1" applyFill="1" applyBorder="1"/>
    <xf numFmtId="0" fontId="21" fillId="43" borderId="43" xfId="0" applyFont="1" applyFill="1" applyBorder="1"/>
    <xf numFmtId="0" fontId="0" fillId="0" borderId="10" xfId="0" applyBorder="1"/>
    <xf numFmtId="0" fontId="0" fillId="43" borderId="40" xfId="0" applyFill="1" applyBorder="1"/>
    <xf numFmtId="0" fontId="0" fillId="0" borderId="40" xfId="0" applyBorder="1"/>
    <xf numFmtId="8" fontId="21" fillId="0" borderId="41" xfId="0" applyNumberFormat="1" applyFont="1" applyBorder="1"/>
    <xf numFmtId="0" fontId="0" fillId="0" borderId="43" xfId="0" applyBorder="1"/>
    <xf numFmtId="0" fontId="0" fillId="35" borderId="10" xfId="0" applyFill="1" applyBorder="1"/>
    <xf numFmtId="0" fontId="21" fillId="43" borderId="49" xfId="0" applyFont="1" applyFill="1" applyBorder="1"/>
    <xf numFmtId="0" fontId="21" fillId="43" borderId="40" xfId="0" applyFont="1" applyFill="1" applyBorder="1"/>
    <xf numFmtId="0" fontId="21" fillId="43" borderId="15" xfId="0" applyFont="1" applyFill="1" applyBorder="1"/>
    <xf numFmtId="8" fontId="14" fillId="35" borderId="40" xfId="0" applyNumberFormat="1" applyFont="1" applyFill="1" applyBorder="1"/>
    <xf numFmtId="0" fontId="14" fillId="0" borderId="39" xfId="0" applyFont="1" applyBorder="1"/>
    <xf numFmtId="0" fontId="14" fillId="0" borderId="40" xfId="0" applyFont="1" applyBorder="1"/>
    <xf numFmtId="0" fontId="14" fillId="43" borderId="40" xfId="0" applyFont="1" applyFill="1" applyBorder="1"/>
    <xf numFmtId="0" fontId="14" fillId="0" borderId="41" xfId="0" applyFont="1" applyBorder="1"/>
    <xf numFmtId="166" fontId="18" fillId="34" borderId="22" xfId="1" applyNumberFormat="1" applyFont="1" applyFill="1" applyBorder="1" applyAlignment="1">
      <alignment horizontal="center"/>
    </xf>
    <xf numFmtId="166" fontId="18" fillId="34" borderId="34" xfId="1" applyNumberFormat="1" applyFont="1" applyFill="1" applyBorder="1" applyAlignment="1">
      <alignment horizontal="center"/>
    </xf>
    <xf numFmtId="166" fontId="20" fillId="33" borderId="26" xfId="0" applyNumberFormat="1" applyFont="1" applyFill="1" applyBorder="1" applyAlignment="1">
      <alignment horizontal="center"/>
    </xf>
    <xf numFmtId="166" fontId="20" fillId="33" borderId="27" xfId="0" applyNumberFormat="1" applyFont="1" applyFill="1" applyBorder="1" applyAlignment="1">
      <alignment horizontal="center"/>
    </xf>
    <xf numFmtId="0" fontId="19" fillId="33" borderId="19" xfId="0" applyFont="1" applyFill="1" applyBorder="1" applyAlignment="1">
      <alignment horizontal="center"/>
    </xf>
    <xf numFmtId="0" fontId="19" fillId="33" borderId="20" xfId="0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/>
    </xf>
    <xf numFmtId="0" fontId="18" fillId="34" borderId="45" xfId="0" applyFont="1" applyFill="1" applyBorder="1" applyAlignment="1">
      <alignment horizontal="center"/>
    </xf>
    <xf numFmtId="0" fontId="18" fillId="34" borderId="46" xfId="0" applyFont="1" applyFill="1" applyBorder="1" applyAlignment="1">
      <alignment horizontal="center"/>
    </xf>
    <xf numFmtId="0" fontId="18" fillId="34" borderId="28" xfId="0" applyFont="1" applyFill="1" applyBorder="1" applyAlignment="1">
      <alignment horizontal="center" vertical="center"/>
    </xf>
    <xf numFmtId="0" fontId="18" fillId="34" borderId="29" xfId="0" applyFont="1" applyFill="1" applyBorder="1" applyAlignment="1">
      <alignment horizontal="center" vertical="center"/>
    </xf>
    <xf numFmtId="0" fontId="18" fillId="34" borderId="30" xfId="0" applyFont="1" applyFill="1" applyBorder="1" applyAlignment="1">
      <alignment horizontal="center" vertical="center"/>
    </xf>
    <xf numFmtId="0" fontId="18" fillId="34" borderId="31" xfId="0" applyFont="1" applyFill="1" applyBorder="1" applyAlignment="1">
      <alignment horizontal="center" vertical="center"/>
    </xf>
    <xf numFmtId="0" fontId="18" fillId="34" borderId="32" xfId="0" applyFont="1" applyFill="1" applyBorder="1" applyAlignment="1">
      <alignment horizontal="center" vertical="center"/>
    </xf>
    <xf numFmtId="0" fontId="18" fillId="34" borderId="33" xfId="0" applyFont="1" applyFill="1" applyBorder="1" applyAlignment="1">
      <alignment horizontal="center" vertical="center"/>
    </xf>
    <xf numFmtId="1" fontId="21" fillId="43" borderId="0" xfId="0" applyNumberFormat="1" applyFont="1" applyFill="1"/>
    <xf numFmtId="0" fontId="21" fillId="43" borderId="53" xfId="0" applyFont="1" applyFill="1" applyBorder="1"/>
  </cellXfs>
  <cellStyles count="52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1 2" xfId="46" xr:uid="{00000000-0005-0000-0000-00000D000000}"/>
    <cellStyle name="60% - Énfasis2" xfId="26" builtinId="36" customBuiltin="1"/>
    <cellStyle name="60% - Énfasis2 2" xfId="47" xr:uid="{00000000-0005-0000-0000-00000F000000}"/>
    <cellStyle name="60% - Énfasis3" xfId="30" builtinId="40" customBuiltin="1"/>
    <cellStyle name="60% - Énfasis3 2" xfId="48" xr:uid="{00000000-0005-0000-0000-000011000000}"/>
    <cellStyle name="60% - Énfasis4" xfId="34" builtinId="44" customBuiltin="1"/>
    <cellStyle name="60% - Énfasis4 2" xfId="49" xr:uid="{00000000-0005-0000-0000-000013000000}"/>
    <cellStyle name="60% - Énfasis5" xfId="38" builtinId="48" customBuiltin="1"/>
    <cellStyle name="60% - Énfasis5 2" xfId="50" xr:uid="{00000000-0005-0000-0000-000015000000}"/>
    <cellStyle name="60% - Énfasis6" xfId="42" builtinId="52" customBuiltin="1"/>
    <cellStyle name="60% - Énfasis6 2" xfId="51" xr:uid="{00000000-0005-0000-0000-000017000000}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Hipervínculo" xfId="43" builtinId="8"/>
    <cellStyle name="Incorrecto" xfId="8" builtinId="27" customBuiltin="1"/>
    <cellStyle name="Moneda" xfId="1" builtinId="4"/>
    <cellStyle name="Neutral" xfId="9" builtinId="28" customBuiltin="1"/>
    <cellStyle name="Neutral 2" xfId="45" xr:uid="{00000000-0005-0000-0000-000029000000}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ítulo 4" xfId="44" xr:uid="{00000000-0005-0000-0000-000032000000}"/>
    <cellStyle name="Total" xfId="18" builtinId="25" customBuiltin="1"/>
  </cellStyles>
  <dxfs count="4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ebagentes.canaldirecto.com.ar/incidents/view/735356-7" TargetMode="External"/><Relationship Id="rId3182" Type="http://schemas.openxmlformats.org/officeDocument/2006/relationships/hyperlink" Target="https://webagentes.canaldirecto.com.ar/incidents/view/790903-8" TargetMode="External"/><Relationship Id="rId3042" Type="http://schemas.openxmlformats.org/officeDocument/2006/relationships/hyperlink" Target="https://webagentes.canaldirecto.com.ar/incidents/view/787019-8" TargetMode="External"/><Relationship Id="rId170" Type="http://schemas.openxmlformats.org/officeDocument/2006/relationships/hyperlink" Target="http://webagentes.canaldirecto.com.ar/incidents/view/656914-3" TargetMode="External"/><Relationship Id="rId3859" Type="http://schemas.openxmlformats.org/officeDocument/2006/relationships/hyperlink" Target="https://webagentes.canaldirecto.com.ar/incidents/view/807021-8" TargetMode="External"/><Relationship Id="rId987" Type="http://schemas.openxmlformats.org/officeDocument/2006/relationships/hyperlink" Target="https://webagentes.canaldirecto.com.ar/incidents/view/692051-1" TargetMode="External"/><Relationship Id="rId2668" Type="http://schemas.openxmlformats.org/officeDocument/2006/relationships/hyperlink" Target="https://webagentes.canaldirecto.com.ar/incidents/view/771102-6" TargetMode="External"/><Relationship Id="rId2875" Type="http://schemas.openxmlformats.org/officeDocument/2006/relationships/hyperlink" Target="https://webagentes.canaldirecto.com.ar/incidents/view/779021-8" TargetMode="External"/><Relationship Id="rId3719" Type="http://schemas.openxmlformats.org/officeDocument/2006/relationships/hyperlink" Target="https://webagentes.canaldirecto.com.ar/incidents/view/801372-7" TargetMode="External"/><Relationship Id="rId847" Type="http://schemas.openxmlformats.org/officeDocument/2006/relationships/hyperlink" Target="https://webagentes.canaldirecto.com.ar/liquidations/removeIncident/686011-2" TargetMode="External"/><Relationship Id="rId1477" Type="http://schemas.openxmlformats.org/officeDocument/2006/relationships/hyperlink" Target="https://webagentes.canaldirecto.com.ar/incidents/view/715803-2" TargetMode="External"/><Relationship Id="rId1684" Type="http://schemas.openxmlformats.org/officeDocument/2006/relationships/hyperlink" Target="https://webagentes.canaldirecto.com.ar/incidents/view/727120-9" TargetMode="External"/><Relationship Id="rId1891" Type="http://schemas.openxmlformats.org/officeDocument/2006/relationships/hyperlink" Target="https://webagentes.canaldirecto.com.ar/incidents/view/737353-4" TargetMode="External"/><Relationship Id="rId2528" Type="http://schemas.openxmlformats.org/officeDocument/2006/relationships/hyperlink" Target="https://webagentes.canaldirecto.com.ar/incidents/view/762707-3" TargetMode="External"/><Relationship Id="rId2735" Type="http://schemas.openxmlformats.org/officeDocument/2006/relationships/hyperlink" Target="https://webagentes.canaldirecto.com.ar/incidents/view/773286-1" TargetMode="External"/><Relationship Id="rId2942" Type="http://schemas.openxmlformats.org/officeDocument/2006/relationships/hyperlink" Target="https://webagentes.canaldirecto.com.ar/incidents/view/782122-6" TargetMode="External"/><Relationship Id="rId707" Type="http://schemas.openxmlformats.org/officeDocument/2006/relationships/hyperlink" Target="https://webagentes.canaldirecto.com.ar/incidents/view/673635-6" TargetMode="External"/><Relationship Id="rId914" Type="http://schemas.openxmlformats.org/officeDocument/2006/relationships/hyperlink" Target="https://webagentes.canaldirecto.com.ar/incidents/view/683547-1" TargetMode="External"/><Relationship Id="rId1337" Type="http://schemas.openxmlformats.org/officeDocument/2006/relationships/hyperlink" Target="https://webagentes.canaldirecto.com.ar/incidents/view/712193-1" TargetMode="External"/><Relationship Id="rId1544" Type="http://schemas.openxmlformats.org/officeDocument/2006/relationships/hyperlink" Target="https://webagentes.canaldirecto.com.ar/incidents/view/718757-5" TargetMode="External"/><Relationship Id="rId1751" Type="http://schemas.openxmlformats.org/officeDocument/2006/relationships/hyperlink" Target="https://webagentes.canaldirecto.com.ar/incidents/view/732834-9" TargetMode="External"/><Relationship Id="rId2802" Type="http://schemas.openxmlformats.org/officeDocument/2006/relationships/hyperlink" Target="https://webagentes.canaldirecto.com.ar/incidents/view/780444-1" TargetMode="External"/><Relationship Id="rId43" Type="http://schemas.openxmlformats.org/officeDocument/2006/relationships/hyperlink" Target="http://webagentes.canaldirecto.com.ar/incidents/view/649180-6" TargetMode="External"/><Relationship Id="rId1404" Type="http://schemas.openxmlformats.org/officeDocument/2006/relationships/hyperlink" Target="https://webagentes.canaldirecto.com.ar/incidents/view/717273-1" TargetMode="External"/><Relationship Id="rId1611" Type="http://schemas.openxmlformats.org/officeDocument/2006/relationships/hyperlink" Target="https://webagentes.canaldirecto.com.ar/incidents/view/726060-1" TargetMode="External"/><Relationship Id="rId3369" Type="http://schemas.openxmlformats.org/officeDocument/2006/relationships/hyperlink" Target="https://webagentes.canaldirecto.com.ar/incidents/view/792481-5" TargetMode="External"/><Relationship Id="rId3576" Type="http://schemas.openxmlformats.org/officeDocument/2006/relationships/hyperlink" Target="https://webagentes.canaldirecto.com.ar/incidents/view/794593-3" TargetMode="External"/><Relationship Id="rId497" Type="http://schemas.openxmlformats.org/officeDocument/2006/relationships/hyperlink" Target="https://webagentes.canaldirecto.com.ar/incidents/view/673122-7" TargetMode="External"/><Relationship Id="rId2178" Type="http://schemas.openxmlformats.org/officeDocument/2006/relationships/hyperlink" Target="https://webagentes.canaldirecto.com.ar/incidents/view/749316-6" TargetMode="External"/><Relationship Id="rId2385" Type="http://schemas.openxmlformats.org/officeDocument/2006/relationships/hyperlink" Target="https://webagentes.canaldirecto.com.ar/incidents/view/754898-9" TargetMode="External"/><Relationship Id="rId3229" Type="http://schemas.openxmlformats.org/officeDocument/2006/relationships/hyperlink" Target="https://webagentes.canaldirecto.com.ar/incidents/view/789057-2" TargetMode="External"/><Relationship Id="rId3783" Type="http://schemas.openxmlformats.org/officeDocument/2006/relationships/hyperlink" Target="https://webagentes.canaldirecto.com.ar/incidents/view/804326-9" TargetMode="External"/><Relationship Id="rId357" Type="http://schemas.openxmlformats.org/officeDocument/2006/relationships/hyperlink" Target="https://webagentes.canaldirecto.com.ar/incidents/view/664040-2" TargetMode="External"/><Relationship Id="rId1194" Type="http://schemas.openxmlformats.org/officeDocument/2006/relationships/hyperlink" Target="https://webagentes.canaldirecto.com.ar/incidents/view/705433-8" TargetMode="External"/><Relationship Id="rId2038" Type="http://schemas.openxmlformats.org/officeDocument/2006/relationships/hyperlink" Target="https://webagentes.canaldirecto.com.ar/incidents/view/743494-1" TargetMode="External"/><Relationship Id="rId2592" Type="http://schemas.openxmlformats.org/officeDocument/2006/relationships/hyperlink" Target="https://webagentes.canaldirecto.com.ar/incidents/view/760812-0" TargetMode="External"/><Relationship Id="rId3436" Type="http://schemas.openxmlformats.org/officeDocument/2006/relationships/hyperlink" Target="https://webagentes.canaldirecto.com.ar/incidents/view/797107-1" TargetMode="External"/><Relationship Id="rId3643" Type="http://schemas.openxmlformats.org/officeDocument/2006/relationships/hyperlink" Target="https://webagentes.canaldirecto.com.ar/incidents/view/798687-9" TargetMode="External"/><Relationship Id="rId3850" Type="http://schemas.openxmlformats.org/officeDocument/2006/relationships/hyperlink" Target="https://webagentes.canaldirecto.com.ar/incidents/view/807390-5" TargetMode="External"/><Relationship Id="rId217" Type="http://schemas.openxmlformats.org/officeDocument/2006/relationships/hyperlink" Target="http://webagentes.canaldirecto.com.ar/liquidations/removeIncident/655386-9" TargetMode="External"/><Relationship Id="rId564" Type="http://schemas.openxmlformats.org/officeDocument/2006/relationships/hyperlink" Target="https://webagentes.canaldirecto.com.ar/liquidations/removeIncident/670842-3" TargetMode="External"/><Relationship Id="rId771" Type="http://schemas.openxmlformats.org/officeDocument/2006/relationships/hyperlink" Target="https://webagentes.canaldirecto.com.ar/incidents/view/677404-6" TargetMode="External"/><Relationship Id="rId2245" Type="http://schemas.openxmlformats.org/officeDocument/2006/relationships/hyperlink" Target="https://webagentes.canaldirecto.com.ar/incidents/view/746839-1" TargetMode="External"/><Relationship Id="rId2452" Type="http://schemas.openxmlformats.org/officeDocument/2006/relationships/hyperlink" Target="https://webagentes.canaldirecto.com.ar/incidents/view/760801-4" TargetMode="External"/><Relationship Id="rId3503" Type="http://schemas.openxmlformats.org/officeDocument/2006/relationships/hyperlink" Target="https://webagentes.canaldirecto.com.ar/liquidations/removeIncident/795868-1" TargetMode="External"/><Relationship Id="rId3710" Type="http://schemas.openxmlformats.org/officeDocument/2006/relationships/hyperlink" Target="https://webagentes.canaldirecto.com.ar/incidents/view/801550-3" TargetMode="External"/><Relationship Id="rId424" Type="http://schemas.openxmlformats.org/officeDocument/2006/relationships/hyperlink" Target="https://webagentes.canaldirecto.com.ar/liquidations/removeIncident/669018-8" TargetMode="External"/><Relationship Id="rId631" Type="http://schemas.openxmlformats.org/officeDocument/2006/relationships/hyperlink" Target="https://webagentes.canaldirecto.com.ar/incidents/view/676797-6" TargetMode="External"/><Relationship Id="rId1054" Type="http://schemas.openxmlformats.org/officeDocument/2006/relationships/hyperlink" Target="https://webagentes.canaldirecto.com.ar/incidents/view/693194-2" TargetMode="External"/><Relationship Id="rId1261" Type="http://schemas.openxmlformats.org/officeDocument/2006/relationships/hyperlink" Target="https://webagentes.canaldirecto.com.ar/incidents/view/708680-5" TargetMode="External"/><Relationship Id="rId2105" Type="http://schemas.openxmlformats.org/officeDocument/2006/relationships/hyperlink" Target="https://webagentes.canaldirecto.com.ar/incidents/view/746310-1" TargetMode="External"/><Relationship Id="rId2312" Type="http://schemas.openxmlformats.org/officeDocument/2006/relationships/hyperlink" Target="https://webagentes.canaldirecto.com.ar/incidents/view/749085-9" TargetMode="External"/><Relationship Id="rId1121" Type="http://schemas.openxmlformats.org/officeDocument/2006/relationships/hyperlink" Target="https://webagentes.canaldirecto.com.ar/incidents/view/697772-2" TargetMode="External"/><Relationship Id="rId3086" Type="http://schemas.openxmlformats.org/officeDocument/2006/relationships/hyperlink" Target="https://webagentes.canaldirecto.com.ar/incidents/view/785231-4" TargetMode="External"/><Relationship Id="rId3293" Type="http://schemas.openxmlformats.org/officeDocument/2006/relationships/hyperlink" Target="https://webagentes.canaldirecto.com.ar/incidents/view/789543-4" TargetMode="External"/><Relationship Id="rId1938" Type="http://schemas.openxmlformats.org/officeDocument/2006/relationships/hyperlink" Target="https://webagentes.canaldirecto.com.ar/incidents/view/741293-0" TargetMode="External"/><Relationship Id="rId3153" Type="http://schemas.openxmlformats.org/officeDocument/2006/relationships/hyperlink" Target="https://webagentes.canaldirecto.com.ar/incidents/view/791431-3" TargetMode="External"/><Relationship Id="rId3360" Type="http://schemas.openxmlformats.org/officeDocument/2006/relationships/hyperlink" Target="https://webagentes.canaldirecto.com.ar/incidents/view/792640-6" TargetMode="External"/><Relationship Id="rId281" Type="http://schemas.openxmlformats.org/officeDocument/2006/relationships/hyperlink" Target="https://webagentes.canaldirecto.com.ar/incidents/view/662860-4" TargetMode="External"/><Relationship Id="rId3013" Type="http://schemas.openxmlformats.org/officeDocument/2006/relationships/hyperlink" Target="https://webagentes.canaldirecto.com.ar/incidents/view/783093-2" TargetMode="External"/><Relationship Id="rId141" Type="http://schemas.openxmlformats.org/officeDocument/2006/relationships/hyperlink" Target="http://webagentes.canaldirecto.com.ar/liquidations/removeIncident/657515-3" TargetMode="External"/><Relationship Id="rId3220" Type="http://schemas.openxmlformats.org/officeDocument/2006/relationships/hyperlink" Target="https://webagentes.canaldirecto.com.ar/incidents/view/789481-5" TargetMode="External"/><Relationship Id="rId7" Type="http://schemas.openxmlformats.org/officeDocument/2006/relationships/hyperlink" Target="http://webagentes.canaldirecto.com.ar/incidents/view/652063-0" TargetMode="External"/><Relationship Id="rId2779" Type="http://schemas.openxmlformats.org/officeDocument/2006/relationships/hyperlink" Target="https://webagentes.canaldirecto.com.ar/incidents/view/776114-6" TargetMode="External"/><Relationship Id="rId2986" Type="http://schemas.openxmlformats.org/officeDocument/2006/relationships/hyperlink" Target="https://webagentes.canaldirecto.com.ar/incidents/view/785251-8" TargetMode="External"/><Relationship Id="rId958" Type="http://schemas.openxmlformats.org/officeDocument/2006/relationships/hyperlink" Target="https://webagentes.canaldirecto.com.ar/incidents/view/688193-9" TargetMode="External"/><Relationship Id="rId1588" Type="http://schemas.openxmlformats.org/officeDocument/2006/relationships/hyperlink" Target="https://webagentes.canaldirecto.com.ar/incidents/view/721874-1" TargetMode="External"/><Relationship Id="rId1795" Type="http://schemas.openxmlformats.org/officeDocument/2006/relationships/hyperlink" Target="https://webagentes.canaldirecto.com.ar/incidents/view/731179-2" TargetMode="External"/><Relationship Id="rId2639" Type="http://schemas.openxmlformats.org/officeDocument/2006/relationships/hyperlink" Target="https://webagentes.canaldirecto.com.ar/incidents/view/767705-0" TargetMode="External"/><Relationship Id="rId2846" Type="http://schemas.openxmlformats.org/officeDocument/2006/relationships/hyperlink" Target="https://webagentes.canaldirecto.com.ar/incidents/view/779284-5" TargetMode="External"/><Relationship Id="rId87" Type="http://schemas.openxmlformats.org/officeDocument/2006/relationships/hyperlink" Target="http://webagentes.canaldirecto.com.ar/liquidations/removeIncident/653686-2" TargetMode="External"/><Relationship Id="rId818" Type="http://schemas.openxmlformats.org/officeDocument/2006/relationships/hyperlink" Target="https://webagentes.canaldirecto.com.ar/incidents/view/686944-1" TargetMode="External"/><Relationship Id="rId1448" Type="http://schemas.openxmlformats.org/officeDocument/2006/relationships/hyperlink" Target="https://webagentes.canaldirecto.com.ar/incidents/view/716431-6" TargetMode="External"/><Relationship Id="rId1655" Type="http://schemas.openxmlformats.org/officeDocument/2006/relationships/hyperlink" Target="https://webagentes.canaldirecto.com.ar/incidents/view/728285-2" TargetMode="External"/><Relationship Id="rId2706" Type="http://schemas.openxmlformats.org/officeDocument/2006/relationships/hyperlink" Target="https://webagentes.canaldirecto.com.ar/incidents/view/769500-1" TargetMode="External"/><Relationship Id="rId1308" Type="http://schemas.openxmlformats.org/officeDocument/2006/relationships/hyperlink" Target="https://webagentes.canaldirecto.com.ar/incidents/view/712861-5" TargetMode="External"/><Relationship Id="rId1862" Type="http://schemas.openxmlformats.org/officeDocument/2006/relationships/hyperlink" Target="https://webagentes.canaldirecto.com.ar/liquidations/removeIncident/738237-4" TargetMode="External"/><Relationship Id="rId2913" Type="http://schemas.openxmlformats.org/officeDocument/2006/relationships/hyperlink" Target="https://webagentes.canaldirecto.com.ar/incidents/view/782741-5" TargetMode="External"/><Relationship Id="rId1515" Type="http://schemas.openxmlformats.org/officeDocument/2006/relationships/hyperlink" Target="https://webagentes.canaldirecto.com.ar/incidents/view/720074-2" TargetMode="External"/><Relationship Id="rId1722" Type="http://schemas.openxmlformats.org/officeDocument/2006/relationships/hyperlink" Target="https://webagentes.canaldirecto.com.ar/incidents/view/729988-9" TargetMode="External"/><Relationship Id="rId14" Type="http://schemas.openxmlformats.org/officeDocument/2006/relationships/hyperlink" Target="http://webagentes.canaldirecto.com.ar/incidents/view/652056-0" TargetMode="External"/><Relationship Id="rId3687" Type="http://schemas.openxmlformats.org/officeDocument/2006/relationships/hyperlink" Target="https://webagentes.canaldirecto.com.ar/incidents/view/802537-9" TargetMode="External"/><Relationship Id="rId2289" Type="http://schemas.openxmlformats.org/officeDocument/2006/relationships/hyperlink" Target="https://webagentes.canaldirecto.com.ar/incidents/view/749778-2" TargetMode="External"/><Relationship Id="rId2496" Type="http://schemas.openxmlformats.org/officeDocument/2006/relationships/hyperlink" Target="https://webagentes.canaldirecto.com.ar/incidents/view/763973-1" TargetMode="External"/><Relationship Id="rId3547" Type="http://schemas.openxmlformats.org/officeDocument/2006/relationships/hyperlink" Target="https://webagentes.canaldirecto.com.ar/liquidations/removeIncident/795568-4" TargetMode="External"/><Relationship Id="rId3754" Type="http://schemas.openxmlformats.org/officeDocument/2006/relationships/hyperlink" Target="https://webagentes.canaldirecto.com.ar/incidents/view/806218-5" TargetMode="External"/><Relationship Id="rId468" Type="http://schemas.openxmlformats.org/officeDocument/2006/relationships/hyperlink" Target="https://webagentes.canaldirecto.com.ar/liquidations/removeIncident/667699-3" TargetMode="External"/><Relationship Id="rId675" Type="http://schemas.openxmlformats.org/officeDocument/2006/relationships/hyperlink" Target="https://webagentes.canaldirecto.com.ar/incidents/view/674855-5" TargetMode="External"/><Relationship Id="rId882" Type="http://schemas.openxmlformats.org/officeDocument/2006/relationships/hyperlink" Target="https://webagentes.canaldirecto.com.ar/incidents/view/684412-3" TargetMode="External"/><Relationship Id="rId1098" Type="http://schemas.openxmlformats.org/officeDocument/2006/relationships/hyperlink" Target="https://webagentes.canaldirecto.com.ar/incidents/view/700441-2" TargetMode="External"/><Relationship Id="rId2149" Type="http://schemas.openxmlformats.org/officeDocument/2006/relationships/hyperlink" Target="https://webagentes.canaldirecto.com.ar/incidents/view/745700-3" TargetMode="External"/><Relationship Id="rId2356" Type="http://schemas.openxmlformats.org/officeDocument/2006/relationships/hyperlink" Target="https://webagentes.canaldirecto.com.ar/incidents/view/756780-5" TargetMode="External"/><Relationship Id="rId2563" Type="http://schemas.openxmlformats.org/officeDocument/2006/relationships/hyperlink" Target="https://webagentes.canaldirecto.com.ar/liquidations/removeIncident/761921-4" TargetMode="External"/><Relationship Id="rId2770" Type="http://schemas.openxmlformats.org/officeDocument/2006/relationships/hyperlink" Target="https://webagentes.canaldirecto.com.ar/incidents/view/776912-0" TargetMode="External"/><Relationship Id="rId3407" Type="http://schemas.openxmlformats.org/officeDocument/2006/relationships/hyperlink" Target="https://webagentes.canaldirecto.com.ar/liquidations/removeIncident/797546-6" TargetMode="External"/><Relationship Id="rId3614" Type="http://schemas.openxmlformats.org/officeDocument/2006/relationships/hyperlink" Target="https://webagentes.canaldirecto.com.ar/incidents/view/799761-7" TargetMode="External"/><Relationship Id="rId3821" Type="http://schemas.openxmlformats.org/officeDocument/2006/relationships/hyperlink" Target="https://webagentes.canaldirecto.com.ar/incidents/view/809013-3" TargetMode="External"/><Relationship Id="rId328" Type="http://schemas.openxmlformats.org/officeDocument/2006/relationships/hyperlink" Target="https://webagentes.canaldirecto.com.ar/incidents/view/667017-5" TargetMode="External"/><Relationship Id="rId535" Type="http://schemas.openxmlformats.org/officeDocument/2006/relationships/hyperlink" Target="https://webagentes.canaldirecto.com.ar/incidents/view/671937-7" TargetMode="External"/><Relationship Id="rId742" Type="http://schemas.openxmlformats.org/officeDocument/2006/relationships/hyperlink" Target="https://webagentes.canaldirecto.com.ar/incidents/view/678238-2" TargetMode="External"/><Relationship Id="rId1165" Type="http://schemas.openxmlformats.org/officeDocument/2006/relationships/hyperlink" Target="https://webagentes.canaldirecto.com.ar/incidents/view/701775-3" TargetMode="External"/><Relationship Id="rId1372" Type="http://schemas.openxmlformats.org/officeDocument/2006/relationships/hyperlink" Target="https://webagentes.canaldirecto.com.ar/incidents/view/711800-7" TargetMode="External"/><Relationship Id="rId2009" Type="http://schemas.openxmlformats.org/officeDocument/2006/relationships/hyperlink" Target="https://webagentes.canaldirecto.com.ar/incidents/view/744127-9" TargetMode="External"/><Relationship Id="rId2216" Type="http://schemas.openxmlformats.org/officeDocument/2006/relationships/hyperlink" Target="https://webagentes.canaldirecto.com.ar/incidents/view/748507-9" TargetMode="External"/><Relationship Id="rId2423" Type="http://schemas.openxmlformats.org/officeDocument/2006/relationships/hyperlink" Target="https://webagentes.canaldirecto.com.ar/incidents/view/757269-4" TargetMode="External"/><Relationship Id="rId2630" Type="http://schemas.openxmlformats.org/officeDocument/2006/relationships/hyperlink" Target="https://webagentes.canaldirecto.com.ar/incidents/view/768574-9" TargetMode="External"/><Relationship Id="rId602" Type="http://schemas.openxmlformats.org/officeDocument/2006/relationships/hyperlink" Target="https://webagentes.canaldirecto.com.ar/liquidations/removeIncident/669756-1" TargetMode="External"/><Relationship Id="rId1025" Type="http://schemas.openxmlformats.org/officeDocument/2006/relationships/hyperlink" Target="https://webagentes.canaldirecto.com.ar/incidents/view/689246-7" TargetMode="External"/><Relationship Id="rId1232" Type="http://schemas.openxmlformats.org/officeDocument/2006/relationships/hyperlink" Target="https://webagentes.canaldirecto.com.ar/incidents/view/710401-3" TargetMode="External"/><Relationship Id="rId3197" Type="http://schemas.openxmlformats.org/officeDocument/2006/relationships/hyperlink" Target="https://webagentes.canaldirecto.com.ar/incidents/view/790526-3" TargetMode="External"/><Relationship Id="rId3057" Type="http://schemas.openxmlformats.org/officeDocument/2006/relationships/hyperlink" Target="https://webagentes.canaldirecto.com.ar/incidents/view/786620-1" TargetMode="External"/><Relationship Id="rId185" Type="http://schemas.openxmlformats.org/officeDocument/2006/relationships/hyperlink" Target="http://webagentes.canaldirecto.com.ar/liquidations/removeIncident/656613-7" TargetMode="External"/><Relationship Id="rId1909" Type="http://schemas.openxmlformats.org/officeDocument/2006/relationships/hyperlink" Target="https://webagentes.canaldirecto.com.ar/liquidations/removeIncident/736856-9" TargetMode="External"/><Relationship Id="rId3264" Type="http://schemas.openxmlformats.org/officeDocument/2006/relationships/hyperlink" Target="https://webagentes.canaldirecto.com.ar/incidents/view/791403-0" TargetMode="External"/><Relationship Id="rId3471" Type="http://schemas.openxmlformats.org/officeDocument/2006/relationships/hyperlink" Target="https://webagentes.canaldirecto.com.ar/liquidations/removeIncident/796052-5" TargetMode="External"/><Relationship Id="rId392" Type="http://schemas.openxmlformats.org/officeDocument/2006/relationships/hyperlink" Target="https://webagentes.canaldirecto.com.ar/liquidations/removeIncident/669385-7" TargetMode="External"/><Relationship Id="rId2073" Type="http://schemas.openxmlformats.org/officeDocument/2006/relationships/hyperlink" Target="https://webagentes.canaldirecto.com.ar/incidents/view/741894-3" TargetMode="External"/><Relationship Id="rId2280" Type="http://schemas.openxmlformats.org/officeDocument/2006/relationships/hyperlink" Target="https://webagentes.canaldirecto.com.ar/incidents/view/750760-9" TargetMode="External"/><Relationship Id="rId3124" Type="http://schemas.openxmlformats.org/officeDocument/2006/relationships/hyperlink" Target="https://webagentes.canaldirecto.com.ar/incidents/view/788308-6" TargetMode="External"/><Relationship Id="rId3331" Type="http://schemas.openxmlformats.org/officeDocument/2006/relationships/hyperlink" Target="https://webagentes.canaldirecto.com.ar/incidents/view/794221-9" TargetMode="External"/><Relationship Id="rId252" Type="http://schemas.openxmlformats.org/officeDocument/2006/relationships/hyperlink" Target="http://webagentes.canaldirecto.com.ar/incidents/view/660055-6" TargetMode="External"/><Relationship Id="rId2140" Type="http://schemas.openxmlformats.org/officeDocument/2006/relationships/hyperlink" Target="https://webagentes.canaldirecto.com.ar/incidents/view/745743-8" TargetMode="External"/><Relationship Id="rId112" Type="http://schemas.openxmlformats.org/officeDocument/2006/relationships/hyperlink" Target="http://webagentes.canaldirecto.com.ar/incidents/view/658013-7" TargetMode="External"/><Relationship Id="rId1699" Type="http://schemas.openxmlformats.org/officeDocument/2006/relationships/hyperlink" Target="https://webagentes.canaldirecto.com.ar/incidents/view/730659-6" TargetMode="External"/><Relationship Id="rId2000" Type="http://schemas.openxmlformats.org/officeDocument/2006/relationships/hyperlink" Target="https://webagentes.canaldirecto.com.ar/incidents/view/744269-4" TargetMode="External"/><Relationship Id="rId2957" Type="http://schemas.openxmlformats.org/officeDocument/2006/relationships/hyperlink" Target="https://webagentes.canaldirecto.com.ar/incidents/view/781663-1" TargetMode="External"/><Relationship Id="rId929" Type="http://schemas.openxmlformats.org/officeDocument/2006/relationships/hyperlink" Target="https://webagentes.canaldirecto.com.ar/incidents/view/689537-6" TargetMode="External"/><Relationship Id="rId1559" Type="http://schemas.openxmlformats.org/officeDocument/2006/relationships/hyperlink" Target="https://webagentes.canaldirecto.com.ar/incidents/view/717662-1" TargetMode="External"/><Relationship Id="rId1766" Type="http://schemas.openxmlformats.org/officeDocument/2006/relationships/hyperlink" Target="https://webagentes.canaldirecto.com.ar/incidents/view/732791-5" TargetMode="External"/><Relationship Id="rId1973" Type="http://schemas.openxmlformats.org/officeDocument/2006/relationships/hyperlink" Target="https://webagentes.canaldirecto.com.ar/incidents/view/739448-5" TargetMode="External"/><Relationship Id="rId2817" Type="http://schemas.openxmlformats.org/officeDocument/2006/relationships/hyperlink" Target="https://webagentes.canaldirecto.com.ar/incidents/view/780124-0" TargetMode="External"/><Relationship Id="rId58" Type="http://schemas.openxmlformats.org/officeDocument/2006/relationships/hyperlink" Target="http://webagentes.canaldirecto.com.ar/incidents/view/655087-1" TargetMode="External"/><Relationship Id="rId1419" Type="http://schemas.openxmlformats.org/officeDocument/2006/relationships/hyperlink" Target="https://webagentes.canaldirecto.com.ar/incidents/view/716999-5" TargetMode="External"/><Relationship Id="rId1626" Type="http://schemas.openxmlformats.org/officeDocument/2006/relationships/hyperlink" Target="https://webagentes.canaldirecto.com.ar/incidents/view/724049-4" TargetMode="External"/><Relationship Id="rId1833" Type="http://schemas.openxmlformats.org/officeDocument/2006/relationships/hyperlink" Target="https://webagentes.canaldirecto.com.ar/incidents/view/734815-8" TargetMode="External"/><Relationship Id="rId1900" Type="http://schemas.openxmlformats.org/officeDocument/2006/relationships/hyperlink" Target="https://webagentes.canaldirecto.com.ar/liquidations/removeIncident/737223-4" TargetMode="External"/><Relationship Id="rId3798" Type="http://schemas.openxmlformats.org/officeDocument/2006/relationships/hyperlink" Target="https://webagentes.canaldirecto.com.ar/incidents/view/801021-6" TargetMode="External"/><Relationship Id="rId3658" Type="http://schemas.openxmlformats.org/officeDocument/2006/relationships/hyperlink" Target="https://webagentes.canaldirecto.com.ar/incidents/view/798069-9" TargetMode="External"/><Relationship Id="rId3865" Type="http://schemas.openxmlformats.org/officeDocument/2006/relationships/hyperlink" Target="https://webagentes.canaldirecto.com.ar/incidents/view/804951-9" TargetMode="External"/><Relationship Id="rId579" Type="http://schemas.openxmlformats.org/officeDocument/2006/relationships/hyperlink" Target="https://webagentes.canaldirecto.com.ar/incidents/view/670272-0" TargetMode="External"/><Relationship Id="rId786" Type="http://schemas.openxmlformats.org/officeDocument/2006/relationships/hyperlink" Target="https://webagentes.canaldirecto.com.ar/incidents/view/683203-0" TargetMode="External"/><Relationship Id="rId993" Type="http://schemas.openxmlformats.org/officeDocument/2006/relationships/hyperlink" Target="https://webagentes.canaldirecto.com.ar/incidents/view/691841-9" TargetMode="External"/><Relationship Id="rId2467" Type="http://schemas.openxmlformats.org/officeDocument/2006/relationships/hyperlink" Target="https://webagentes.canaldirecto.com.ar/incidents/view/760205-6" TargetMode="External"/><Relationship Id="rId2674" Type="http://schemas.openxmlformats.org/officeDocument/2006/relationships/hyperlink" Target="https://webagentes.canaldirecto.com.ar/incidents/view/770884-6" TargetMode="External"/><Relationship Id="rId3518" Type="http://schemas.openxmlformats.org/officeDocument/2006/relationships/hyperlink" Target="https://webagentes.canaldirecto.com.ar/incidents/view/795586-0" TargetMode="External"/><Relationship Id="rId439" Type="http://schemas.openxmlformats.org/officeDocument/2006/relationships/hyperlink" Target="https://webagentes.canaldirecto.com.ar/incidents/view/668599-1" TargetMode="External"/><Relationship Id="rId646" Type="http://schemas.openxmlformats.org/officeDocument/2006/relationships/hyperlink" Target="https://webagentes.canaldirecto.com.ar/incidents/view/675713-7" TargetMode="External"/><Relationship Id="rId1069" Type="http://schemas.openxmlformats.org/officeDocument/2006/relationships/hyperlink" Target="https://webagentes.canaldirecto.com.ar/incidents/view/691255-8" TargetMode="External"/><Relationship Id="rId1276" Type="http://schemas.openxmlformats.org/officeDocument/2006/relationships/hyperlink" Target="https://webagentes.canaldirecto.com.ar/incidents/view/707395-3" TargetMode="External"/><Relationship Id="rId1483" Type="http://schemas.openxmlformats.org/officeDocument/2006/relationships/hyperlink" Target="https://webagentes.canaldirecto.com.ar/incidents/view/714930-8" TargetMode="External"/><Relationship Id="rId2327" Type="http://schemas.openxmlformats.org/officeDocument/2006/relationships/hyperlink" Target="https://webagentes.canaldirecto.com.ar/incidents/view/753051-9" TargetMode="External"/><Relationship Id="rId2881" Type="http://schemas.openxmlformats.org/officeDocument/2006/relationships/hyperlink" Target="https://webagentes.canaldirecto.com.ar/incidents/view/778658-9" TargetMode="External"/><Relationship Id="rId3725" Type="http://schemas.openxmlformats.org/officeDocument/2006/relationships/hyperlink" Target="https://webagentes.canaldirecto.com.ar/incidents/view/801016-4" TargetMode="External"/><Relationship Id="rId506" Type="http://schemas.openxmlformats.org/officeDocument/2006/relationships/hyperlink" Target="https://webagentes.canaldirecto.com.ar/liquidations/removeIncident/672645-6" TargetMode="External"/><Relationship Id="rId853" Type="http://schemas.openxmlformats.org/officeDocument/2006/relationships/hyperlink" Target="https://webagentes.canaldirecto.com.ar/liquidations/removeIncident/686007-9" TargetMode="External"/><Relationship Id="rId1136" Type="http://schemas.openxmlformats.org/officeDocument/2006/relationships/hyperlink" Target="https://webagentes.canaldirecto.com.ar/incidents/view/703478-7" TargetMode="External"/><Relationship Id="rId1690" Type="http://schemas.openxmlformats.org/officeDocument/2006/relationships/hyperlink" Target="https://webagentes.canaldirecto.com.ar/incidents/view/726620-7" TargetMode="External"/><Relationship Id="rId2534" Type="http://schemas.openxmlformats.org/officeDocument/2006/relationships/hyperlink" Target="https://webagentes.canaldirecto.com.ar/incidents/view/762540-0" TargetMode="External"/><Relationship Id="rId2741" Type="http://schemas.openxmlformats.org/officeDocument/2006/relationships/hyperlink" Target="https://webagentes.canaldirecto.com.ar/incidents/view/772826-6" TargetMode="External"/><Relationship Id="rId713" Type="http://schemas.openxmlformats.org/officeDocument/2006/relationships/hyperlink" Target="https://webagentes.canaldirecto.com.ar/incidents/view/664513-3" TargetMode="External"/><Relationship Id="rId920" Type="http://schemas.openxmlformats.org/officeDocument/2006/relationships/hyperlink" Target="https://webagentes.canaldirecto.com.ar/incidents/view/683543-5" TargetMode="External"/><Relationship Id="rId1343" Type="http://schemas.openxmlformats.org/officeDocument/2006/relationships/hyperlink" Target="https://webagentes.canaldirecto.com.ar/incidents/view/712091-4" TargetMode="External"/><Relationship Id="rId1550" Type="http://schemas.openxmlformats.org/officeDocument/2006/relationships/hyperlink" Target="https://webagentes.canaldirecto.com.ar/incidents/view/718513-3" TargetMode="External"/><Relationship Id="rId2601" Type="http://schemas.openxmlformats.org/officeDocument/2006/relationships/hyperlink" Target="https://webagentes.canaldirecto.com.ar/incidents/view/766154-5" TargetMode="External"/><Relationship Id="rId1203" Type="http://schemas.openxmlformats.org/officeDocument/2006/relationships/hyperlink" Target="https://webagentes.canaldirecto.com.ar/incidents/view/705058-1" TargetMode="External"/><Relationship Id="rId1410" Type="http://schemas.openxmlformats.org/officeDocument/2006/relationships/hyperlink" Target="https://webagentes.canaldirecto.com.ar/incidents/view/717058-4" TargetMode="External"/><Relationship Id="rId3168" Type="http://schemas.openxmlformats.org/officeDocument/2006/relationships/hyperlink" Target="https://webagentes.canaldirecto.com.ar/incidents/view/791017-7" TargetMode="External"/><Relationship Id="rId3375" Type="http://schemas.openxmlformats.org/officeDocument/2006/relationships/hyperlink" Target="https://webagentes.canaldirecto.com.ar/incidents/view/792449-9" TargetMode="External"/><Relationship Id="rId3582" Type="http://schemas.openxmlformats.org/officeDocument/2006/relationships/hyperlink" Target="https://webagentes.canaldirecto.com.ar/incidents/view/800304-9" TargetMode="External"/><Relationship Id="rId296" Type="http://schemas.openxmlformats.org/officeDocument/2006/relationships/hyperlink" Target="https://webagentes.canaldirecto.com.ar/incidents/view/662602-2" TargetMode="External"/><Relationship Id="rId2184" Type="http://schemas.openxmlformats.org/officeDocument/2006/relationships/hyperlink" Target="https://webagentes.canaldirecto.com.ar/incidents/view/749196-4" TargetMode="External"/><Relationship Id="rId2391" Type="http://schemas.openxmlformats.org/officeDocument/2006/relationships/hyperlink" Target="https://webagentes.canaldirecto.com.ar/incidents/view/754753-7" TargetMode="External"/><Relationship Id="rId3028" Type="http://schemas.openxmlformats.org/officeDocument/2006/relationships/hyperlink" Target="https://webagentes.canaldirecto.com.ar/incidents/view/782866-3" TargetMode="External"/><Relationship Id="rId3235" Type="http://schemas.openxmlformats.org/officeDocument/2006/relationships/hyperlink" Target="https://webagentes.canaldirecto.com.ar/incidents/view/788523-3" TargetMode="External"/><Relationship Id="rId3442" Type="http://schemas.openxmlformats.org/officeDocument/2006/relationships/hyperlink" Target="https://webagentes.canaldirecto.com.ar/incidents/view/796882-8" TargetMode="External"/><Relationship Id="rId156" Type="http://schemas.openxmlformats.org/officeDocument/2006/relationships/hyperlink" Target="http://webagentes.canaldirecto.com.ar/incidents/view/656984-2" TargetMode="External"/><Relationship Id="rId363" Type="http://schemas.openxmlformats.org/officeDocument/2006/relationships/hyperlink" Target="https://webagentes.canaldirecto.com.ar/incidents/view/670082-9" TargetMode="External"/><Relationship Id="rId570" Type="http://schemas.openxmlformats.org/officeDocument/2006/relationships/hyperlink" Target="https://webagentes.canaldirecto.com.ar/liquidations/removeIncident/670606-3" TargetMode="External"/><Relationship Id="rId2044" Type="http://schemas.openxmlformats.org/officeDocument/2006/relationships/hyperlink" Target="https://webagentes.canaldirecto.com.ar/incidents/view/743484-4" TargetMode="External"/><Relationship Id="rId2251" Type="http://schemas.openxmlformats.org/officeDocument/2006/relationships/hyperlink" Target="https://webagentes.canaldirecto.com.ar/incidents/view/751772-1" TargetMode="External"/><Relationship Id="rId3302" Type="http://schemas.openxmlformats.org/officeDocument/2006/relationships/hyperlink" Target="https://webagentes.canaldirecto.com.ar/incidents/view/794461-5" TargetMode="External"/><Relationship Id="rId223" Type="http://schemas.openxmlformats.org/officeDocument/2006/relationships/hyperlink" Target="http://webagentes.canaldirecto.com.ar/liquidations/removeIncident/655161-2" TargetMode="External"/><Relationship Id="rId430" Type="http://schemas.openxmlformats.org/officeDocument/2006/relationships/hyperlink" Target="https://webagentes.canaldirecto.com.ar/liquidations/removeIncident/668837-8" TargetMode="External"/><Relationship Id="rId1060" Type="http://schemas.openxmlformats.org/officeDocument/2006/relationships/hyperlink" Target="https://webagentes.canaldirecto.com.ar/incidents/view/692552-5" TargetMode="External"/><Relationship Id="rId2111" Type="http://schemas.openxmlformats.org/officeDocument/2006/relationships/hyperlink" Target="https://webagentes.canaldirecto.com.ar/incidents/view/746257-3" TargetMode="External"/><Relationship Id="rId1877" Type="http://schemas.openxmlformats.org/officeDocument/2006/relationships/hyperlink" Target="https://webagentes.canaldirecto.com.ar/incidents/view/737512-5" TargetMode="External"/><Relationship Id="rId2928" Type="http://schemas.openxmlformats.org/officeDocument/2006/relationships/hyperlink" Target="https://webagentes.canaldirecto.com.ar/incidents/view/782259-9" TargetMode="External"/><Relationship Id="rId1737" Type="http://schemas.openxmlformats.org/officeDocument/2006/relationships/hyperlink" Target="https://webagentes.canaldirecto.com.ar/incidents/view/728683-0" TargetMode="External"/><Relationship Id="rId1944" Type="http://schemas.openxmlformats.org/officeDocument/2006/relationships/hyperlink" Target="https://webagentes.canaldirecto.com.ar/incidents/view/741192-2" TargetMode="External"/><Relationship Id="rId3092" Type="http://schemas.openxmlformats.org/officeDocument/2006/relationships/hyperlink" Target="https://webagentes.canaldirecto.com.ar/incidents/view/789226-0" TargetMode="External"/><Relationship Id="rId29" Type="http://schemas.openxmlformats.org/officeDocument/2006/relationships/hyperlink" Target="http://webagentes.canaldirecto.com.ar/incidents/view/651558-6" TargetMode="External"/><Relationship Id="rId1804" Type="http://schemas.openxmlformats.org/officeDocument/2006/relationships/hyperlink" Target="https://webagentes.canaldirecto.com.ar/incidents/view/736249-5" TargetMode="External"/><Relationship Id="rId3769" Type="http://schemas.openxmlformats.org/officeDocument/2006/relationships/hyperlink" Target="https://webagentes.canaldirecto.com.ar/incidents/view/805014-4" TargetMode="External"/><Relationship Id="rId897" Type="http://schemas.openxmlformats.org/officeDocument/2006/relationships/hyperlink" Target="https://webagentes.canaldirecto.com.ar/liquidations/removeIncident/684164-9" TargetMode="External"/><Relationship Id="rId2578" Type="http://schemas.openxmlformats.org/officeDocument/2006/relationships/hyperlink" Target="https://webagentes.canaldirecto.com.ar/incidents/view/761108-1" TargetMode="External"/><Relationship Id="rId2785" Type="http://schemas.openxmlformats.org/officeDocument/2006/relationships/hyperlink" Target="https://webagentes.canaldirecto.com.ar/incidents/view/776012-9" TargetMode="External"/><Relationship Id="rId2992" Type="http://schemas.openxmlformats.org/officeDocument/2006/relationships/hyperlink" Target="https://webagentes.canaldirecto.com.ar/incidents/view/784822-3" TargetMode="External"/><Relationship Id="rId3629" Type="http://schemas.openxmlformats.org/officeDocument/2006/relationships/hyperlink" Target="https://webagentes.canaldirecto.com.ar/incidents/view/799338-3" TargetMode="External"/><Relationship Id="rId3836" Type="http://schemas.openxmlformats.org/officeDocument/2006/relationships/hyperlink" Target="https://webagentes.canaldirecto.com.ar/incidents/view/808268-4" TargetMode="External"/><Relationship Id="rId757" Type="http://schemas.openxmlformats.org/officeDocument/2006/relationships/hyperlink" Target="https://webagentes.canaldirecto.com.ar/incidents/view/678082-5" TargetMode="External"/><Relationship Id="rId964" Type="http://schemas.openxmlformats.org/officeDocument/2006/relationships/hyperlink" Target="https://webagentes.canaldirecto.com.ar/incidents/view/688152-2" TargetMode="External"/><Relationship Id="rId1387" Type="http://schemas.openxmlformats.org/officeDocument/2006/relationships/hyperlink" Target="https://webagentes.canaldirecto.com.ar/incidents/view/711617-9" TargetMode="External"/><Relationship Id="rId1594" Type="http://schemas.openxmlformats.org/officeDocument/2006/relationships/hyperlink" Target="https://webagentes.canaldirecto.com.ar/incidents/view/721829-1" TargetMode="External"/><Relationship Id="rId2438" Type="http://schemas.openxmlformats.org/officeDocument/2006/relationships/hyperlink" Target="https://webagentes.canaldirecto.com.ar/incidents/view/760871-3" TargetMode="External"/><Relationship Id="rId2645" Type="http://schemas.openxmlformats.org/officeDocument/2006/relationships/hyperlink" Target="https://webagentes.canaldirecto.com.ar/incidents/view/767451-2" TargetMode="External"/><Relationship Id="rId2852" Type="http://schemas.openxmlformats.org/officeDocument/2006/relationships/hyperlink" Target="https://webagentes.canaldirecto.com.ar/incidents/view/779274-8" TargetMode="External"/><Relationship Id="rId93" Type="http://schemas.openxmlformats.org/officeDocument/2006/relationships/hyperlink" Target="http://webagentes.canaldirecto.com.ar/liquidations/removeIncident/653429-9" TargetMode="External"/><Relationship Id="rId617" Type="http://schemas.openxmlformats.org/officeDocument/2006/relationships/hyperlink" Target="https://webagentes.canaldirecto.com.ar/incidents/view/677729-2" TargetMode="External"/><Relationship Id="rId824" Type="http://schemas.openxmlformats.org/officeDocument/2006/relationships/hyperlink" Target="https://webagentes.canaldirecto.com.ar/incidents/view/686430-3" TargetMode="External"/><Relationship Id="rId1247" Type="http://schemas.openxmlformats.org/officeDocument/2006/relationships/hyperlink" Target="https://webagentes.canaldirecto.com.ar/incidents/view/709596-4" TargetMode="External"/><Relationship Id="rId1454" Type="http://schemas.openxmlformats.org/officeDocument/2006/relationships/hyperlink" Target="https://webagentes.canaldirecto.com.ar/incidents/view/716424-6" TargetMode="External"/><Relationship Id="rId1661" Type="http://schemas.openxmlformats.org/officeDocument/2006/relationships/hyperlink" Target="https://webagentes.canaldirecto.com.ar/incidents/view/727961-8" TargetMode="External"/><Relationship Id="rId2505" Type="http://schemas.openxmlformats.org/officeDocument/2006/relationships/hyperlink" Target="https://webagentes.canaldirecto.com.ar/liquidations/removeIncident/763643-3" TargetMode="External"/><Relationship Id="rId2712" Type="http://schemas.openxmlformats.org/officeDocument/2006/relationships/hyperlink" Target="https://webagentes.canaldirecto.com.ar/incidents/view/768865-8" TargetMode="External"/><Relationship Id="rId1107" Type="http://schemas.openxmlformats.org/officeDocument/2006/relationships/hyperlink" Target="https://webagentes.canaldirecto.com.ar/incidents/view/699535-7" TargetMode="External"/><Relationship Id="rId1314" Type="http://schemas.openxmlformats.org/officeDocument/2006/relationships/hyperlink" Target="https://webagentes.canaldirecto.com.ar/incidents/view/712502-5" TargetMode="External"/><Relationship Id="rId1521" Type="http://schemas.openxmlformats.org/officeDocument/2006/relationships/hyperlink" Target="https://webagentes.canaldirecto.com.ar/incidents/view/720021-0" TargetMode="External"/><Relationship Id="rId3279" Type="http://schemas.openxmlformats.org/officeDocument/2006/relationships/hyperlink" Target="https://webagentes.canaldirecto.com.ar/incidents/view/789948-5" TargetMode="External"/><Relationship Id="rId3486" Type="http://schemas.openxmlformats.org/officeDocument/2006/relationships/hyperlink" Target="https://webagentes.canaldirecto.com.ar/incidents/view/795878-8" TargetMode="External"/><Relationship Id="rId3693" Type="http://schemas.openxmlformats.org/officeDocument/2006/relationships/hyperlink" Target="https://webagentes.canaldirecto.com.ar/incidents/view/802466-2" TargetMode="External"/><Relationship Id="rId20" Type="http://schemas.openxmlformats.org/officeDocument/2006/relationships/hyperlink" Target="http://webagentes.canaldirecto.com.ar/incidents/view/651988-3" TargetMode="External"/><Relationship Id="rId2088" Type="http://schemas.openxmlformats.org/officeDocument/2006/relationships/hyperlink" Target="https://webagentes.canaldirecto.com.ar/incidents/view/746800-9" TargetMode="External"/><Relationship Id="rId2295" Type="http://schemas.openxmlformats.org/officeDocument/2006/relationships/hyperlink" Target="https://webagentes.canaldirecto.com.ar/incidents/view/749615-4" TargetMode="External"/><Relationship Id="rId3139" Type="http://schemas.openxmlformats.org/officeDocument/2006/relationships/hyperlink" Target="https://webagentes.canaldirecto.com.ar/incidents/view/787202-6" TargetMode="External"/><Relationship Id="rId3346" Type="http://schemas.openxmlformats.org/officeDocument/2006/relationships/hyperlink" Target="https://webagentes.canaldirecto.com.ar/incidents/view/793301-7" TargetMode="External"/><Relationship Id="rId267" Type="http://schemas.openxmlformats.org/officeDocument/2006/relationships/hyperlink" Target="http://webagentes.canaldirecto.com.ar/incidents/view/658483-2" TargetMode="External"/><Relationship Id="rId474" Type="http://schemas.openxmlformats.org/officeDocument/2006/relationships/hyperlink" Target="https://webagentes.canaldirecto.com.ar/liquidations/removeIncident/667606-3" TargetMode="External"/><Relationship Id="rId2155" Type="http://schemas.openxmlformats.org/officeDocument/2006/relationships/hyperlink" Target="https://webagentes.canaldirecto.com.ar/incidents/view/745379-7" TargetMode="External"/><Relationship Id="rId3553" Type="http://schemas.openxmlformats.org/officeDocument/2006/relationships/hyperlink" Target="https://webagentes.canaldirecto.com.ar/liquidations/removeIncident/795348-2" TargetMode="External"/><Relationship Id="rId3760" Type="http://schemas.openxmlformats.org/officeDocument/2006/relationships/hyperlink" Target="https://webagentes.canaldirecto.com.ar/incidents/view/805664-3" TargetMode="External"/><Relationship Id="rId127" Type="http://schemas.openxmlformats.org/officeDocument/2006/relationships/hyperlink" Target="http://webagentes.canaldirecto.com.ar/liquidations/removeIncident/658004-9" TargetMode="External"/><Relationship Id="rId681" Type="http://schemas.openxmlformats.org/officeDocument/2006/relationships/hyperlink" Target="https://webagentes.canaldirecto.com.ar/incidents/view/674660-9" TargetMode="External"/><Relationship Id="rId2362" Type="http://schemas.openxmlformats.org/officeDocument/2006/relationships/hyperlink" Target="https://webagentes.canaldirecto.com.ar/incidents/view/756088-4" TargetMode="External"/><Relationship Id="rId3206" Type="http://schemas.openxmlformats.org/officeDocument/2006/relationships/hyperlink" Target="https://webagentes.canaldirecto.com.ar/incidents/view/790360-9" TargetMode="External"/><Relationship Id="rId3413" Type="http://schemas.openxmlformats.org/officeDocument/2006/relationships/hyperlink" Target="https://webagentes.canaldirecto.com.ar/liquidations/removeIncident/797419-3" TargetMode="External"/><Relationship Id="rId3620" Type="http://schemas.openxmlformats.org/officeDocument/2006/relationships/hyperlink" Target="https://webagentes.canaldirecto.com.ar/incidents/view/799739-8" TargetMode="External"/><Relationship Id="rId334" Type="http://schemas.openxmlformats.org/officeDocument/2006/relationships/hyperlink" Target="https://webagentes.canaldirecto.com.ar/incidents/view/666606-6" TargetMode="External"/><Relationship Id="rId541" Type="http://schemas.openxmlformats.org/officeDocument/2006/relationships/hyperlink" Target="https://webagentes.canaldirecto.com.ar/incidents/view/670931-6" TargetMode="External"/><Relationship Id="rId1171" Type="http://schemas.openxmlformats.org/officeDocument/2006/relationships/hyperlink" Target="https://webagentes.canaldirecto.com.ar/incidents/view/700641-0" TargetMode="External"/><Relationship Id="rId2015" Type="http://schemas.openxmlformats.org/officeDocument/2006/relationships/hyperlink" Target="https://webagentes.canaldirecto.com.ar/incidents/view/744005-8" TargetMode="External"/><Relationship Id="rId2222" Type="http://schemas.openxmlformats.org/officeDocument/2006/relationships/hyperlink" Target="https://webagentes.canaldirecto.com.ar/incidents/view/748499-1" TargetMode="External"/><Relationship Id="rId401" Type="http://schemas.openxmlformats.org/officeDocument/2006/relationships/hyperlink" Target="https://webagentes.canaldirecto.com.ar/incidents/view/669380-2" TargetMode="External"/><Relationship Id="rId1031" Type="http://schemas.openxmlformats.org/officeDocument/2006/relationships/hyperlink" Target="https://webagentes.canaldirecto.com.ar/incidents/view/695012-3" TargetMode="External"/><Relationship Id="rId1988" Type="http://schemas.openxmlformats.org/officeDocument/2006/relationships/hyperlink" Target="https://webagentes.canaldirecto.com.ar/incidents/view/744281-6" TargetMode="External"/><Relationship Id="rId1848" Type="http://schemas.openxmlformats.org/officeDocument/2006/relationships/hyperlink" Target="https://webagentes.canaldirecto.com.ar/incidents/view/734017-4" TargetMode="External"/><Relationship Id="rId3063" Type="http://schemas.openxmlformats.org/officeDocument/2006/relationships/hyperlink" Target="https://webagentes.canaldirecto.com.ar/incidents/view/786366-6" TargetMode="External"/><Relationship Id="rId3270" Type="http://schemas.openxmlformats.org/officeDocument/2006/relationships/hyperlink" Target="https://webagentes.canaldirecto.com.ar/incidents/view/791211-1" TargetMode="External"/><Relationship Id="rId191" Type="http://schemas.openxmlformats.org/officeDocument/2006/relationships/hyperlink" Target="http://webagentes.canaldirecto.com.ar/liquidations/removeIncident/656359-2" TargetMode="External"/><Relationship Id="rId1708" Type="http://schemas.openxmlformats.org/officeDocument/2006/relationships/hyperlink" Target="https://webagentes.canaldirecto.com.ar/incidents/view/730648-0" TargetMode="External"/><Relationship Id="rId1915" Type="http://schemas.openxmlformats.org/officeDocument/2006/relationships/hyperlink" Target="https://webagentes.canaldirecto.com.ar/liquidations/removeIncident/736753-3" TargetMode="External"/><Relationship Id="rId3130" Type="http://schemas.openxmlformats.org/officeDocument/2006/relationships/hyperlink" Target="https://webagentes.canaldirecto.com.ar/incidents/view/788187-5" TargetMode="External"/><Relationship Id="rId2689" Type="http://schemas.openxmlformats.org/officeDocument/2006/relationships/hyperlink" Target="https://webagentes.canaldirecto.com.ar/incidents/view/770298-5" TargetMode="External"/><Relationship Id="rId2896" Type="http://schemas.openxmlformats.org/officeDocument/2006/relationships/hyperlink" Target="https://webagentes.canaldirecto.com.ar/incidents/view/777405-2" TargetMode="External"/><Relationship Id="rId868" Type="http://schemas.openxmlformats.org/officeDocument/2006/relationships/hyperlink" Target="https://webagentes.canaldirecto.com.ar/incidents/view/684977-5" TargetMode="External"/><Relationship Id="rId1498" Type="http://schemas.openxmlformats.org/officeDocument/2006/relationships/hyperlink" Target="https://webagentes.canaldirecto.com.ar/incidents/view/720773-6" TargetMode="External"/><Relationship Id="rId2549" Type="http://schemas.openxmlformats.org/officeDocument/2006/relationships/hyperlink" Target="https://webagentes.canaldirecto.com.ar/liquidations/removeIncident/762257-3" TargetMode="External"/><Relationship Id="rId2756" Type="http://schemas.openxmlformats.org/officeDocument/2006/relationships/hyperlink" Target="https://webagentes.canaldirecto.com.ar/incidents/view/772180-1" TargetMode="External"/><Relationship Id="rId2963" Type="http://schemas.openxmlformats.org/officeDocument/2006/relationships/hyperlink" Target="https://webagentes.canaldirecto.com.ar/incidents/view/781197-3" TargetMode="External"/><Relationship Id="rId3807" Type="http://schemas.openxmlformats.org/officeDocument/2006/relationships/hyperlink" Target="https://webagentes.canaldirecto.com.ar/incidents/view/809578-5" TargetMode="External"/><Relationship Id="rId728" Type="http://schemas.openxmlformats.org/officeDocument/2006/relationships/hyperlink" Target="https://webagentes.canaldirecto.com.ar/incidents/view/679180-3" TargetMode="External"/><Relationship Id="rId935" Type="http://schemas.openxmlformats.org/officeDocument/2006/relationships/hyperlink" Target="https://webagentes.canaldirecto.com.ar/incidents/view/689531-2" TargetMode="External"/><Relationship Id="rId1358" Type="http://schemas.openxmlformats.org/officeDocument/2006/relationships/hyperlink" Target="https://webagentes.canaldirecto.com.ar/incidents/view/712034-9" TargetMode="External"/><Relationship Id="rId1565" Type="http://schemas.openxmlformats.org/officeDocument/2006/relationships/hyperlink" Target="https://webagentes.canaldirecto.com.ar/incidents/view/717289-2" TargetMode="External"/><Relationship Id="rId1772" Type="http://schemas.openxmlformats.org/officeDocument/2006/relationships/hyperlink" Target="https://webagentes.canaldirecto.com.ar/incidents/view/732785-4" TargetMode="External"/><Relationship Id="rId2409" Type="http://schemas.openxmlformats.org/officeDocument/2006/relationships/hyperlink" Target="https://webagentes.canaldirecto.com.ar/incidents/view/759064-5" TargetMode="External"/><Relationship Id="rId2616" Type="http://schemas.openxmlformats.org/officeDocument/2006/relationships/hyperlink" Target="https://webagentes.canaldirecto.com.ar/incidents/view/764738-7" TargetMode="External"/><Relationship Id="rId64" Type="http://schemas.openxmlformats.org/officeDocument/2006/relationships/hyperlink" Target="http://webagentes.canaldirecto.com.ar/incidents/view/654663-8" TargetMode="External"/><Relationship Id="rId1218" Type="http://schemas.openxmlformats.org/officeDocument/2006/relationships/hyperlink" Target="https://webagentes.canaldirecto.com.ar/incidents/view/704192-7" TargetMode="External"/><Relationship Id="rId1425" Type="http://schemas.openxmlformats.org/officeDocument/2006/relationships/hyperlink" Target="https://webagentes.canaldirecto.com.ar/incidents/view/716877-4" TargetMode="External"/><Relationship Id="rId2823" Type="http://schemas.openxmlformats.org/officeDocument/2006/relationships/hyperlink" Target="https://webagentes.canaldirecto.com.ar/incidents/view/779820-1" TargetMode="External"/><Relationship Id="rId1632" Type="http://schemas.openxmlformats.org/officeDocument/2006/relationships/hyperlink" Target="https://webagentes.canaldirecto.com.ar/incidents/view/723373-1" TargetMode="External"/><Relationship Id="rId2199" Type="http://schemas.openxmlformats.org/officeDocument/2006/relationships/hyperlink" Target="https://webagentes.canaldirecto.com.ar/incidents/view/748680-1" TargetMode="External"/><Relationship Id="rId3597" Type="http://schemas.openxmlformats.org/officeDocument/2006/relationships/hyperlink" Target="https://webagentes.canaldirecto.com.ar/incidents/view/799975-8" TargetMode="External"/><Relationship Id="rId3457" Type="http://schemas.openxmlformats.org/officeDocument/2006/relationships/hyperlink" Target="https://webagentes.canaldirecto.com.ar/liquidations/removeIncident/796259-6" TargetMode="External"/><Relationship Id="rId3664" Type="http://schemas.openxmlformats.org/officeDocument/2006/relationships/hyperlink" Target="https://webagentes.canaldirecto.com.ar/incidents/view/797194-7" TargetMode="External"/><Relationship Id="rId378" Type="http://schemas.openxmlformats.org/officeDocument/2006/relationships/hyperlink" Target="https://webagentes.canaldirecto.com.ar/liquidations/removeIncident/669754-3" TargetMode="External"/><Relationship Id="rId585" Type="http://schemas.openxmlformats.org/officeDocument/2006/relationships/hyperlink" Target="https://webagentes.canaldirecto.com.ar/incidents/view/670211-9" TargetMode="External"/><Relationship Id="rId792" Type="http://schemas.openxmlformats.org/officeDocument/2006/relationships/hyperlink" Target="https://webagentes.canaldirecto.com.ar/incidents/view/682257-4" TargetMode="External"/><Relationship Id="rId2059" Type="http://schemas.openxmlformats.org/officeDocument/2006/relationships/hyperlink" Target="https://webagentes.canaldirecto.com.ar/incidents/view/742983-3" TargetMode="External"/><Relationship Id="rId2266" Type="http://schemas.openxmlformats.org/officeDocument/2006/relationships/hyperlink" Target="https://webagentes.canaldirecto.com.ar/incidents/view/751365-5" TargetMode="External"/><Relationship Id="rId2473" Type="http://schemas.openxmlformats.org/officeDocument/2006/relationships/hyperlink" Target="https://webagentes.canaldirecto.com.ar/incidents/view/760044-7" TargetMode="External"/><Relationship Id="rId2680" Type="http://schemas.openxmlformats.org/officeDocument/2006/relationships/hyperlink" Target="https://webagentes.canaldirecto.com.ar/incidents/view/770512-2" TargetMode="External"/><Relationship Id="rId3317" Type="http://schemas.openxmlformats.org/officeDocument/2006/relationships/hyperlink" Target="https://webagentes.canaldirecto.com.ar/incidents/view/794386-5" TargetMode="External"/><Relationship Id="rId3524" Type="http://schemas.openxmlformats.org/officeDocument/2006/relationships/hyperlink" Target="https://webagentes.canaldirecto.com.ar/incidents/view/795583-3" TargetMode="External"/><Relationship Id="rId3731" Type="http://schemas.openxmlformats.org/officeDocument/2006/relationships/hyperlink" Target="https://webagentes.canaldirecto.com.ar/incidents/view/800515-3" TargetMode="External"/><Relationship Id="rId238" Type="http://schemas.openxmlformats.org/officeDocument/2006/relationships/hyperlink" Target="http://webagentes.canaldirecto.com.ar/incidents/view/660796-6" TargetMode="External"/><Relationship Id="rId445" Type="http://schemas.openxmlformats.org/officeDocument/2006/relationships/hyperlink" Target="https://webagentes.canaldirecto.com.ar/incidents/view/668511-3" TargetMode="External"/><Relationship Id="rId652" Type="http://schemas.openxmlformats.org/officeDocument/2006/relationships/hyperlink" Target="https://webagentes.canaldirecto.com.ar/incidents/view/675617-4" TargetMode="External"/><Relationship Id="rId1075" Type="http://schemas.openxmlformats.org/officeDocument/2006/relationships/hyperlink" Target="https://webagentes.canaldirecto.com.ar/incidents/view/697264-8" TargetMode="External"/><Relationship Id="rId1282" Type="http://schemas.openxmlformats.org/officeDocument/2006/relationships/hyperlink" Target="https://webagentes.canaldirecto.com.ar/incidents/view/706816-4" TargetMode="External"/><Relationship Id="rId2126" Type="http://schemas.openxmlformats.org/officeDocument/2006/relationships/hyperlink" Target="https://webagentes.canaldirecto.com.ar/incidents/view/745994-0" TargetMode="External"/><Relationship Id="rId2333" Type="http://schemas.openxmlformats.org/officeDocument/2006/relationships/hyperlink" Target="https://webagentes.canaldirecto.com.ar/incidents/view/752891-2" TargetMode="External"/><Relationship Id="rId2540" Type="http://schemas.openxmlformats.org/officeDocument/2006/relationships/hyperlink" Target="https://webagentes.canaldirecto.com.ar/incidents/view/762390-7" TargetMode="External"/><Relationship Id="rId305" Type="http://schemas.openxmlformats.org/officeDocument/2006/relationships/hyperlink" Target="https://webagentes.canaldirecto.com.ar/incidents/view/662422-8" TargetMode="External"/><Relationship Id="rId512" Type="http://schemas.openxmlformats.org/officeDocument/2006/relationships/hyperlink" Target="https://webagentes.canaldirecto.com.ar/liquidations/removeIncident/672641-0" TargetMode="External"/><Relationship Id="rId1142" Type="http://schemas.openxmlformats.org/officeDocument/2006/relationships/hyperlink" Target="https://webagentes.canaldirecto.com.ar/incidents/view/703253-0" TargetMode="External"/><Relationship Id="rId2400" Type="http://schemas.openxmlformats.org/officeDocument/2006/relationships/hyperlink" Target="https://webagentes.canaldirecto.com.ar/incidents/view/759073-3" TargetMode="External"/><Relationship Id="rId1002" Type="http://schemas.openxmlformats.org/officeDocument/2006/relationships/hyperlink" Target="https://webagentes.canaldirecto.com.ar/incidents/view/690857-3" TargetMode="External"/><Relationship Id="rId1959" Type="http://schemas.openxmlformats.org/officeDocument/2006/relationships/hyperlink" Target="https://webagentes.canaldirecto.com.ar/incidents/view/740662-9" TargetMode="External"/><Relationship Id="rId3174" Type="http://schemas.openxmlformats.org/officeDocument/2006/relationships/hyperlink" Target="https://webagentes.canaldirecto.com.ar/incidents/view/790911-7" TargetMode="External"/><Relationship Id="rId1819" Type="http://schemas.openxmlformats.org/officeDocument/2006/relationships/hyperlink" Target="https://webagentes.canaldirecto.com.ar/incidents/view/735617-5" TargetMode="External"/><Relationship Id="rId3381" Type="http://schemas.openxmlformats.org/officeDocument/2006/relationships/hyperlink" Target="https://webagentes.canaldirecto.com.ar/incidents/view/792107-6" TargetMode="External"/><Relationship Id="rId2190" Type="http://schemas.openxmlformats.org/officeDocument/2006/relationships/hyperlink" Target="https://webagentes.canaldirecto.com.ar/incidents/view/749046-0" TargetMode="External"/><Relationship Id="rId3034" Type="http://schemas.openxmlformats.org/officeDocument/2006/relationships/hyperlink" Target="https://webagentes.canaldirecto.com.ar/incidents/view/781275-0" TargetMode="External"/><Relationship Id="rId3241" Type="http://schemas.openxmlformats.org/officeDocument/2006/relationships/hyperlink" Target="https://webagentes.canaldirecto.com.ar/incidents/view/781638-5" TargetMode="External"/><Relationship Id="rId162" Type="http://schemas.openxmlformats.org/officeDocument/2006/relationships/hyperlink" Target="http://webagentes.canaldirecto.com.ar/incidents/view/656980-6" TargetMode="External"/><Relationship Id="rId2050" Type="http://schemas.openxmlformats.org/officeDocument/2006/relationships/hyperlink" Target="https://webagentes.canaldirecto.com.ar/incidents/view/743382-7" TargetMode="External"/><Relationship Id="rId3101" Type="http://schemas.openxmlformats.org/officeDocument/2006/relationships/hyperlink" Target="https://webagentes.canaldirecto.com.ar/incidents/view/788357-2" TargetMode="External"/><Relationship Id="rId979" Type="http://schemas.openxmlformats.org/officeDocument/2006/relationships/hyperlink" Target="https://webagentes.canaldirecto.com.ar/incidents/view/687519-6" TargetMode="External"/><Relationship Id="rId839" Type="http://schemas.openxmlformats.org/officeDocument/2006/relationships/hyperlink" Target="https://webagentes.canaldirecto.com.ar/liquidations/removeIncident/686015-8" TargetMode="External"/><Relationship Id="rId1469" Type="http://schemas.openxmlformats.org/officeDocument/2006/relationships/hyperlink" Target="https://webagentes.canaldirecto.com.ar/incidents/view/716251-2" TargetMode="External"/><Relationship Id="rId2867" Type="http://schemas.openxmlformats.org/officeDocument/2006/relationships/hyperlink" Target="https://webagentes.canaldirecto.com.ar/incidents/view/779142-0" TargetMode="External"/><Relationship Id="rId1676" Type="http://schemas.openxmlformats.org/officeDocument/2006/relationships/hyperlink" Target="https://webagentes.canaldirecto.com.ar/incidents/view/727166-1" TargetMode="External"/><Relationship Id="rId1883" Type="http://schemas.openxmlformats.org/officeDocument/2006/relationships/hyperlink" Target="https://webagentes.canaldirecto.com.ar/incidents/view/737509-1" TargetMode="External"/><Relationship Id="rId2727" Type="http://schemas.openxmlformats.org/officeDocument/2006/relationships/hyperlink" Target="https://webagentes.canaldirecto.com.ar/incidents/view/774097-6" TargetMode="External"/><Relationship Id="rId2934" Type="http://schemas.openxmlformats.org/officeDocument/2006/relationships/hyperlink" Target="https://webagentes.canaldirecto.com.ar/incidents/view/782233-1" TargetMode="External"/><Relationship Id="rId906" Type="http://schemas.openxmlformats.org/officeDocument/2006/relationships/hyperlink" Target="https://webagentes.canaldirecto.com.ar/incidents/view/683551-4" TargetMode="External"/><Relationship Id="rId1329" Type="http://schemas.openxmlformats.org/officeDocument/2006/relationships/hyperlink" Target="https://webagentes.canaldirecto.com.ar/incidents/view/712480-4" TargetMode="External"/><Relationship Id="rId1536" Type="http://schemas.openxmlformats.org/officeDocument/2006/relationships/hyperlink" Target="https://webagentes.canaldirecto.com.ar/incidents/view/719209-0" TargetMode="External"/><Relationship Id="rId1743" Type="http://schemas.openxmlformats.org/officeDocument/2006/relationships/hyperlink" Target="https://webagentes.canaldirecto.com.ar/incidents/view/733259-1" TargetMode="External"/><Relationship Id="rId1950" Type="http://schemas.openxmlformats.org/officeDocument/2006/relationships/hyperlink" Target="https://webagentes.canaldirecto.com.ar/incidents/view/741185-2" TargetMode="External"/><Relationship Id="rId35" Type="http://schemas.openxmlformats.org/officeDocument/2006/relationships/hyperlink" Target="http://webagentes.canaldirecto.com.ar/incidents/view/650793-0" TargetMode="External"/><Relationship Id="rId1603" Type="http://schemas.openxmlformats.org/officeDocument/2006/relationships/hyperlink" Target="https://webagentes.canaldirecto.com.ar/incidents/view/720820-3" TargetMode="External"/><Relationship Id="rId1810" Type="http://schemas.openxmlformats.org/officeDocument/2006/relationships/hyperlink" Target="https://webagentes.canaldirecto.com.ar/incidents/view/736242-2" TargetMode="External"/><Relationship Id="rId3568" Type="http://schemas.openxmlformats.org/officeDocument/2006/relationships/hyperlink" Target="https://webagentes.canaldirecto.com.ar/incidents/view/794753-3" TargetMode="External"/><Relationship Id="rId3775" Type="http://schemas.openxmlformats.org/officeDocument/2006/relationships/hyperlink" Target="https://webagentes.canaldirecto.com.ar/incidents/view/804968-9" TargetMode="External"/><Relationship Id="rId489" Type="http://schemas.openxmlformats.org/officeDocument/2006/relationships/hyperlink" Target="https://webagentes.canaldirecto.com.ar/incidents/view/673496-9" TargetMode="External"/><Relationship Id="rId696" Type="http://schemas.openxmlformats.org/officeDocument/2006/relationships/hyperlink" Target="https://webagentes.canaldirecto.com.ar/incidents/view/674128-8" TargetMode="External"/><Relationship Id="rId2377" Type="http://schemas.openxmlformats.org/officeDocument/2006/relationships/hyperlink" Target="https://webagentes.canaldirecto.com.ar/incidents/view/755180-4" TargetMode="External"/><Relationship Id="rId2584" Type="http://schemas.openxmlformats.org/officeDocument/2006/relationships/hyperlink" Target="https://webagentes.canaldirecto.com.ar/incidents/view/761100-9" TargetMode="External"/><Relationship Id="rId2791" Type="http://schemas.openxmlformats.org/officeDocument/2006/relationships/hyperlink" Target="https://webagentes.canaldirecto.com.ar/incidents/view/775786-0" TargetMode="External"/><Relationship Id="rId3428" Type="http://schemas.openxmlformats.org/officeDocument/2006/relationships/hyperlink" Target="https://webagentes.canaldirecto.com.ar/incidents/view/797313-0" TargetMode="External"/><Relationship Id="rId3635" Type="http://schemas.openxmlformats.org/officeDocument/2006/relationships/hyperlink" Target="https://webagentes.canaldirecto.com.ar/incidents/view/799031-3" TargetMode="External"/><Relationship Id="rId349" Type="http://schemas.openxmlformats.org/officeDocument/2006/relationships/hyperlink" Target="https://webagentes.canaldirecto.com.ar/incidents/view/665254-0" TargetMode="External"/><Relationship Id="rId556" Type="http://schemas.openxmlformats.org/officeDocument/2006/relationships/hyperlink" Target="https://webagentes.canaldirecto.com.ar/liquidations/removeIncident/670915-8" TargetMode="External"/><Relationship Id="rId763" Type="http://schemas.openxmlformats.org/officeDocument/2006/relationships/hyperlink" Target="https://webagentes.canaldirecto.com.ar/incidents/view/677727-4" TargetMode="External"/><Relationship Id="rId1186" Type="http://schemas.openxmlformats.org/officeDocument/2006/relationships/hyperlink" Target="https://webagentes.canaldirecto.com.ar/incidents/view/705883-9" TargetMode="External"/><Relationship Id="rId1393" Type="http://schemas.openxmlformats.org/officeDocument/2006/relationships/hyperlink" Target="https://webagentes.canaldirecto.com.ar/incidents/view/711294-2" TargetMode="External"/><Relationship Id="rId2237" Type="http://schemas.openxmlformats.org/officeDocument/2006/relationships/hyperlink" Target="https://webagentes.canaldirecto.com.ar/incidents/view/747734-4" TargetMode="External"/><Relationship Id="rId2444" Type="http://schemas.openxmlformats.org/officeDocument/2006/relationships/hyperlink" Target="https://webagentes.canaldirecto.com.ar/incidents/view/760810-2" TargetMode="External"/><Relationship Id="rId3842" Type="http://schemas.openxmlformats.org/officeDocument/2006/relationships/hyperlink" Target="https://webagentes.canaldirecto.com.ar/incidents/view/807615-1" TargetMode="External"/><Relationship Id="rId209" Type="http://schemas.openxmlformats.org/officeDocument/2006/relationships/hyperlink" Target="http://webagentes.canaldirecto.com.ar/liquidations/removeIncident/655519-5" TargetMode="External"/><Relationship Id="rId416" Type="http://schemas.openxmlformats.org/officeDocument/2006/relationships/hyperlink" Target="https://webagentes.canaldirecto.com.ar/liquidations/removeIncident/669252-0" TargetMode="External"/><Relationship Id="rId970" Type="http://schemas.openxmlformats.org/officeDocument/2006/relationships/hyperlink" Target="https://webagentes.canaldirecto.com.ar/incidents/view/687989-1" TargetMode="External"/><Relationship Id="rId1046" Type="http://schemas.openxmlformats.org/officeDocument/2006/relationships/hyperlink" Target="https://webagentes.canaldirecto.com.ar/incidents/view/693810-3" TargetMode="External"/><Relationship Id="rId1253" Type="http://schemas.openxmlformats.org/officeDocument/2006/relationships/hyperlink" Target="https://webagentes.canaldirecto.com.ar/incidents/view/709168-5" TargetMode="External"/><Relationship Id="rId2651" Type="http://schemas.openxmlformats.org/officeDocument/2006/relationships/hyperlink" Target="https://webagentes.canaldirecto.com.ar/incidents/view/767185-2" TargetMode="External"/><Relationship Id="rId3702" Type="http://schemas.openxmlformats.org/officeDocument/2006/relationships/hyperlink" Target="https://webagentes.canaldirecto.com.ar/incidents/view/802329-2" TargetMode="External"/><Relationship Id="rId623" Type="http://schemas.openxmlformats.org/officeDocument/2006/relationships/hyperlink" Target="https://webagentes.canaldirecto.com.ar/incidents/view/676924-8" TargetMode="External"/><Relationship Id="rId830" Type="http://schemas.openxmlformats.org/officeDocument/2006/relationships/hyperlink" Target="https://webagentes.canaldirecto.com.ar/incidents/view/686165-2" TargetMode="External"/><Relationship Id="rId1460" Type="http://schemas.openxmlformats.org/officeDocument/2006/relationships/hyperlink" Target="https://webagentes.canaldirecto.com.ar/incidents/view/716348-7" TargetMode="External"/><Relationship Id="rId2304" Type="http://schemas.openxmlformats.org/officeDocument/2006/relationships/hyperlink" Target="https://webagentes.canaldirecto.com.ar/incidents/view/749098-3" TargetMode="External"/><Relationship Id="rId2511" Type="http://schemas.openxmlformats.org/officeDocument/2006/relationships/hyperlink" Target="https://webagentes.canaldirecto.com.ar/liquidations/removeIncident/763517-9" TargetMode="External"/><Relationship Id="rId1113" Type="http://schemas.openxmlformats.org/officeDocument/2006/relationships/hyperlink" Target="https://webagentes.canaldirecto.com.ar/incidents/view/699148-5" TargetMode="External"/><Relationship Id="rId1320" Type="http://schemas.openxmlformats.org/officeDocument/2006/relationships/hyperlink" Target="https://webagentes.canaldirecto.com.ar/incidents/view/712495-6" TargetMode="External"/><Relationship Id="rId3078" Type="http://schemas.openxmlformats.org/officeDocument/2006/relationships/hyperlink" Target="https://webagentes.canaldirecto.com.ar/incidents/view/785619-8" TargetMode="External"/><Relationship Id="rId3285" Type="http://schemas.openxmlformats.org/officeDocument/2006/relationships/hyperlink" Target="https://webagentes.canaldirecto.com.ar/incidents/view/789942-1" TargetMode="External"/><Relationship Id="rId3492" Type="http://schemas.openxmlformats.org/officeDocument/2006/relationships/hyperlink" Target="https://webagentes.canaldirecto.com.ar/incidents/view/795874-2" TargetMode="External"/><Relationship Id="rId2094" Type="http://schemas.openxmlformats.org/officeDocument/2006/relationships/hyperlink" Target="https://webagentes.canaldirecto.com.ar/incidents/view/746436-8" TargetMode="External"/><Relationship Id="rId3145" Type="http://schemas.openxmlformats.org/officeDocument/2006/relationships/hyperlink" Target="https://webagentes.canaldirecto.com.ar/incidents/view/791624-1" TargetMode="External"/><Relationship Id="rId3352" Type="http://schemas.openxmlformats.org/officeDocument/2006/relationships/hyperlink" Target="https://webagentes.canaldirecto.com.ar/incidents/view/792898-1" TargetMode="External"/><Relationship Id="rId273" Type="http://schemas.openxmlformats.org/officeDocument/2006/relationships/hyperlink" Target="http://webagentes.canaldirecto.com.ar/incidents/view/657335-9" TargetMode="External"/><Relationship Id="rId480" Type="http://schemas.openxmlformats.org/officeDocument/2006/relationships/hyperlink" Target="https://webagentes.canaldirecto.com.ar/liquidations/removeIncident/665800-3" TargetMode="External"/><Relationship Id="rId2161" Type="http://schemas.openxmlformats.org/officeDocument/2006/relationships/hyperlink" Target="https://webagentes.canaldirecto.com.ar/incidents/view/744944-8" TargetMode="External"/><Relationship Id="rId3005" Type="http://schemas.openxmlformats.org/officeDocument/2006/relationships/hyperlink" Target="https://webagentes.canaldirecto.com.ar/incidents/view/783468-2" TargetMode="External"/><Relationship Id="rId3212" Type="http://schemas.openxmlformats.org/officeDocument/2006/relationships/hyperlink" Target="https://webagentes.canaldirecto.com.ar/incidents/view/789649-7" TargetMode="External"/><Relationship Id="rId133" Type="http://schemas.openxmlformats.org/officeDocument/2006/relationships/hyperlink" Target="http://webagentes.canaldirecto.com.ar/liquidations/removeIncident/658001-2" TargetMode="External"/><Relationship Id="rId340" Type="http://schemas.openxmlformats.org/officeDocument/2006/relationships/hyperlink" Target="https://webagentes.canaldirecto.com.ar/incidents/view/665766-0" TargetMode="External"/><Relationship Id="rId2021" Type="http://schemas.openxmlformats.org/officeDocument/2006/relationships/hyperlink" Target="https://webagentes.canaldirecto.com.ar/incidents/view/743999-1" TargetMode="External"/><Relationship Id="rId200" Type="http://schemas.openxmlformats.org/officeDocument/2006/relationships/hyperlink" Target="http://webagentes.canaldirecto.com.ar/incidents/view/655861-5" TargetMode="External"/><Relationship Id="rId2978" Type="http://schemas.openxmlformats.org/officeDocument/2006/relationships/hyperlink" Target="https://webagentes.canaldirecto.com.ar/incidents/view/780226-7" TargetMode="External"/><Relationship Id="rId1787" Type="http://schemas.openxmlformats.org/officeDocument/2006/relationships/hyperlink" Target="https://webagentes.canaldirecto.com.ar/incidents/view/731499-3" TargetMode="External"/><Relationship Id="rId1994" Type="http://schemas.openxmlformats.org/officeDocument/2006/relationships/hyperlink" Target="https://webagentes.canaldirecto.com.ar/incidents/view/744275-5" TargetMode="External"/><Relationship Id="rId2838" Type="http://schemas.openxmlformats.org/officeDocument/2006/relationships/hyperlink" Target="https://webagentes.canaldirecto.com.ar/incidents/view/779686-9" TargetMode="External"/><Relationship Id="rId79" Type="http://schemas.openxmlformats.org/officeDocument/2006/relationships/hyperlink" Target="http://webagentes.canaldirecto.com.ar/liquidations/removeIncident/653815-2" TargetMode="External"/><Relationship Id="rId1647" Type="http://schemas.openxmlformats.org/officeDocument/2006/relationships/hyperlink" Target="https://webagentes.canaldirecto.com.ar/incidents/view/728368-4" TargetMode="External"/><Relationship Id="rId1854" Type="http://schemas.openxmlformats.org/officeDocument/2006/relationships/hyperlink" Target="https://webagentes.canaldirecto.com.ar/incidents/view/732823-3" TargetMode="External"/><Relationship Id="rId2905" Type="http://schemas.openxmlformats.org/officeDocument/2006/relationships/hyperlink" Target="https://webagentes.canaldirecto.com.ar/incidents/view/782750-3" TargetMode="External"/><Relationship Id="rId1507" Type="http://schemas.openxmlformats.org/officeDocument/2006/relationships/hyperlink" Target="https://webagentes.canaldirecto.com.ar/incidents/view/720482-7" TargetMode="External"/><Relationship Id="rId1714" Type="http://schemas.openxmlformats.org/officeDocument/2006/relationships/hyperlink" Target="https://webagentes.canaldirecto.com.ar/incidents/view/730476-5" TargetMode="External"/><Relationship Id="rId1921" Type="http://schemas.openxmlformats.org/officeDocument/2006/relationships/hyperlink" Target="https://webagentes.canaldirecto.com.ar/liquidations/removeIncident/736504-9" TargetMode="External"/><Relationship Id="rId3679" Type="http://schemas.openxmlformats.org/officeDocument/2006/relationships/hyperlink" Target="https://webagentes.canaldirecto.com.ar/incidents/view/803158-3" TargetMode="External"/><Relationship Id="rId2488" Type="http://schemas.openxmlformats.org/officeDocument/2006/relationships/hyperlink" Target="https://webagentes.canaldirecto.com.ar/incidents/view/758861-3" TargetMode="External"/><Relationship Id="rId1297" Type="http://schemas.openxmlformats.org/officeDocument/2006/relationships/hyperlink" Target="https://webagentes.canaldirecto.com.ar/incidents/view/713491-7" TargetMode="External"/><Relationship Id="rId2695" Type="http://schemas.openxmlformats.org/officeDocument/2006/relationships/hyperlink" Target="https://webagentes.canaldirecto.com.ar/incidents/view/770067-7" TargetMode="External"/><Relationship Id="rId3539" Type="http://schemas.openxmlformats.org/officeDocument/2006/relationships/hyperlink" Target="https://webagentes.canaldirecto.com.ar/liquidations/removeIncident/795573-6" TargetMode="External"/><Relationship Id="rId3746" Type="http://schemas.openxmlformats.org/officeDocument/2006/relationships/hyperlink" Target="https://webagentes.canaldirecto.com.ar/incidents/view/806322-7" TargetMode="External"/><Relationship Id="rId667" Type="http://schemas.openxmlformats.org/officeDocument/2006/relationships/hyperlink" Target="https://webagentes.canaldirecto.com.ar/incidents/view/674956-3" TargetMode="External"/><Relationship Id="rId874" Type="http://schemas.openxmlformats.org/officeDocument/2006/relationships/hyperlink" Target="https://webagentes.canaldirecto.com.ar/incidents/view/684632-5" TargetMode="External"/><Relationship Id="rId2348" Type="http://schemas.openxmlformats.org/officeDocument/2006/relationships/hyperlink" Target="https://webagentes.canaldirecto.com.ar/incidents/view/751727-1" TargetMode="External"/><Relationship Id="rId2555" Type="http://schemas.openxmlformats.org/officeDocument/2006/relationships/hyperlink" Target="https://webagentes.canaldirecto.com.ar/liquidations/removeIncident/762218-4" TargetMode="External"/><Relationship Id="rId2762" Type="http://schemas.openxmlformats.org/officeDocument/2006/relationships/hyperlink" Target="https://webagentes.canaldirecto.com.ar/incidents/view/771898-6" TargetMode="External"/><Relationship Id="rId3606" Type="http://schemas.openxmlformats.org/officeDocument/2006/relationships/hyperlink" Target="https://webagentes.canaldirecto.com.ar/incidents/view/799773-2" TargetMode="External"/><Relationship Id="rId3813" Type="http://schemas.openxmlformats.org/officeDocument/2006/relationships/hyperlink" Target="https://webagentes.canaldirecto.com.ar/incidents/view/809382-0" TargetMode="External"/><Relationship Id="rId527" Type="http://schemas.openxmlformats.org/officeDocument/2006/relationships/hyperlink" Target="https://webagentes.canaldirecto.com.ar/incidents/view/672105-3" TargetMode="External"/><Relationship Id="rId734" Type="http://schemas.openxmlformats.org/officeDocument/2006/relationships/hyperlink" Target="https://webagentes.canaldirecto.com.ar/incidents/view/678933-0" TargetMode="External"/><Relationship Id="rId941" Type="http://schemas.openxmlformats.org/officeDocument/2006/relationships/hyperlink" Target="https://webagentes.canaldirecto.com.ar/incidents/view/689378-5" TargetMode="External"/><Relationship Id="rId1157" Type="http://schemas.openxmlformats.org/officeDocument/2006/relationships/hyperlink" Target="https://webagentes.canaldirecto.com.ar/incidents/view/702220-5" TargetMode="External"/><Relationship Id="rId1364" Type="http://schemas.openxmlformats.org/officeDocument/2006/relationships/hyperlink" Target="https://webagentes.canaldirecto.com.ar/incidents/view/711973-2" TargetMode="External"/><Relationship Id="rId1571" Type="http://schemas.openxmlformats.org/officeDocument/2006/relationships/hyperlink" Target="https://webagentes.canaldirecto.com.ar/incidents/view/722758-1" TargetMode="External"/><Relationship Id="rId2208" Type="http://schemas.openxmlformats.org/officeDocument/2006/relationships/hyperlink" Target="https://webagentes.canaldirecto.com.ar/incidents/view/748619-3" TargetMode="External"/><Relationship Id="rId2415" Type="http://schemas.openxmlformats.org/officeDocument/2006/relationships/hyperlink" Target="https://webagentes.canaldirecto.com.ar/incidents/view/758326-5" TargetMode="External"/><Relationship Id="rId2622" Type="http://schemas.openxmlformats.org/officeDocument/2006/relationships/hyperlink" Target="https://webagentes.canaldirecto.com.ar/incidents/view/764108-2" TargetMode="External"/><Relationship Id="rId70" Type="http://schemas.openxmlformats.org/officeDocument/2006/relationships/hyperlink" Target="http://webagentes.canaldirecto.com.ar/incidents/view/654117-4" TargetMode="External"/><Relationship Id="rId801" Type="http://schemas.openxmlformats.org/officeDocument/2006/relationships/hyperlink" Target="https://webagentes.canaldirecto.com.ar/incidents/view/680996-2" TargetMode="External"/><Relationship Id="rId1017" Type="http://schemas.openxmlformats.org/officeDocument/2006/relationships/hyperlink" Target="https://webagentes.canaldirecto.com.ar/incidents/view/690269-4" TargetMode="External"/><Relationship Id="rId1224" Type="http://schemas.openxmlformats.org/officeDocument/2006/relationships/hyperlink" Target="https://webagentes.canaldirecto.com.ar/incidents/view/711425-0" TargetMode="External"/><Relationship Id="rId1431" Type="http://schemas.openxmlformats.org/officeDocument/2006/relationships/hyperlink" Target="https://webagentes.canaldirecto.com.ar/incidents/view/716814-5" TargetMode="External"/><Relationship Id="rId3189" Type="http://schemas.openxmlformats.org/officeDocument/2006/relationships/hyperlink" Target="https://webagentes.canaldirecto.com.ar/incidents/view/790795-1" TargetMode="External"/><Relationship Id="rId3396" Type="http://schemas.openxmlformats.org/officeDocument/2006/relationships/hyperlink" Target="https://webagentes.canaldirecto.com.ar/incidents/view/797551-8" TargetMode="External"/><Relationship Id="rId3049" Type="http://schemas.openxmlformats.org/officeDocument/2006/relationships/hyperlink" Target="https://webagentes.canaldirecto.com.ar/incidents/view/787011-6" TargetMode="External"/><Relationship Id="rId3256" Type="http://schemas.openxmlformats.org/officeDocument/2006/relationships/hyperlink" Target="https://webagentes.canaldirecto.com.ar/incidents/view/791755-0" TargetMode="External"/><Relationship Id="rId3463" Type="http://schemas.openxmlformats.org/officeDocument/2006/relationships/hyperlink" Target="https://webagentes.canaldirecto.com.ar/liquidations/removeIncident/796063-1" TargetMode="External"/><Relationship Id="rId177" Type="http://schemas.openxmlformats.org/officeDocument/2006/relationships/hyperlink" Target="http://webagentes.canaldirecto.com.ar/liquidations/removeIncident/656692-4" TargetMode="External"/><Relationship Id="rId384" Type="http://schemas.openxmlformats.org/officeDocument/2006/relationships/hyperlink" Target="https://webagentes.canaldirecto.com.ar/liquidations/removeIncident/669393-6" TargetMode="External"/><Relationship Id="rId591" Type="http://schemas.openxmlformats.org/officeDocument/2006/relationships/hyperlink" Target="https://webagentes.canaldirecto.com.ar/incidents/view/670031-5" TargetMode="External"/><Relationship Id="rId2065" Type="http://schemas.openxmlformats.org/officeDocument/2006/relationships/hyperlink" Target="https://webagentes.canaldirecto.com.ar/incidents/view/742722-4" TargetMode="External"/><Relationship Id="rId2272" Type="http://schemas.openxmlformats.org/officeDocument/2006/relationships/hyperlink" Target="https://webagentes.canaldirecto.com.ar/incidents/view/751318-7" TargetMode="External"/><Relationship Id="rId3116" Type="http://schemas.openxmlformats.org/officeDocument/2006/relationships/hyperlink" Target="https://webagentes.canaldirecto.com.ar/incidents/view/788340-2" TargetMode="External"/><Relationship Id="rId3670" Type="http://schemas.openxmlformats.org/officeDocument/2006/relationships/hyperlink" Target="https://webagentes.canaldirecto.com.ar/incidents/view/794405-9" TargetMode="External"/><Relationship Id="rId244" Type="http://schemas.openxmlformats.org/officeDocument/2006/relationships/hyperlink" Target="http://webagentes.canaldirecto.com.ar/incidents/view/660790-2" TargetMode="External"/><Relationship Id="rId1081" Type="http://schemas.openxmlformats.org/officeDocument/2006/relationships/hyperlink" Target="https://webagentes.canaldirecto.com.ar/incidents/view/696568-4" TargetMode="External"/><Relationship Id="rId3323" Type="http://schemas.openxmlformats.org/officeDocument/2006/relationships/hyperlink" Target="https://webagentes.canaldirecto.com.ar/incidents/view/794234-3" TargetMode="External"/><Relationship Id="rId3530" Type="http://schemas.openxmlformats.org/officeDocument/2006/relationships/hyperlink" Target="https://webagentes.canaldirecto.com.ar/incidents/view/795579-0" TargetMode="External"/><Relationship Id="rId451" Type="http://schemas.openxmlformats.org/officeDocument/2006/relationships/hyperlink" Target="https://webagentes.canaldirecto.com.ar/incidents/view/668256-9" TargetMode="External"/><Relationship Id="rId2132" Type="http://schemas.openxmlformats.org/officeDocument/2006/relationships/hyperlink" Target="https://webagentes.canaldirecto.com.ar/incidents/view/745851-6" TargetMode="External"/><Relationship Id="rId104" Type="http://schemas.openxmlformats.org/officeDocument/2006/relationships/hyperlink" Target="http://webagentes.canaldirecto.com.ar/incidents/view/648808-8" TargetMode="External"/><Relationship Id="rId311" Type="http://schemas.openxmlformats.org/officeDocument/2006/relationships/hyperlink" Target="https://webagentes.canaldirecto.com.ar/incidents/view/662357-5" TargetMode="External"/><Relationship Id="rId1898" Type="http://schemas.openxmlformats.org/officeDocument/2006/relationships/hyperlink" Target="https://webagentes.canaldirecto.com.ar/liquidations/removeIncident/737269-6" TargetMode="External"/><Relationship Id="rId2949" Type="http://schemas.openxmlformats.org/officeDocument/2006/relationships/hyperlink" Target="https://webagentes.canaldirecto.com.ar/incidents/view/782040-3" TargetMode="External"/><Relationship Id="rId1758" Type="http://schemas.openxmlformats.org/officeDocument/2006/relationships/hyperlink" Target="https://webagentes.canaldirecto.com.ar/incidents/view/732800-2" TargetMode="External"/><Relationship Id="rId2809" Type="http://schemas.openxmlformats.org/officeDocument/2006/relationships/hyperlink" Target="https://webagentes.canaldirecto.com.ar/incidents/view/780351-2" TargetMode="External"/><Relationship Id="rId1965" Type="http://schemas.openxmlformats.org/officeDocument/2006/relationships/hyperlink" Target="https://webagentes.canaldirecto.com.ar/incidents/view/740218-2" TargetMode="External"/><Relationship Id="rId3180" Type="http://schemas.openxmlformats.org/officeDocument/2006/relationships/hyperlink" Target="https://webagentes.canaldirecto.com.ar/incidents/view/790905-6" TargetMode="External"/><Relationship Id="rId1618" Type="http://schemas.openxmlformats.org/officeDocument/2006/relationships/hyperlink" Target="https://webagentes.canaldirecto.com.ar/incidents/view/725134-8" TargetMode="External"/><Relationship Id="rId1825" Type="http://schemas.openxmlformats.org/officeDocument/2006/relationships/hyperlink" Target="https://webagentes.canaldirecto.com.ar/incidents/view/735610-2" TargetMode="External"/><Relationship Id="rId3040" Type="http://schemas.openxmlformats.org/officeDocument/2006/relationships/hyperlink" Target="https://webagentes.canaldirecto.com.ar/incidents/view/787021-3" TargetMode="External"/><Relationship Id="rId2599" Type="http://schemas.openxmlformats.org/officeDocument/2006/relationships/hyperlink" Target="https://webagentes.canaldirecto.com.ar/incidents/view/766282-7" TargetMode="External"/><Relationship Id="rId3857" Type="http://schemas.openxmlformats.org/officeDocument/2006/relationships/hyperlink" Target="https://webagentes.canaldirecto.com.ar/incidents/view/807055-5" TargetMode="External"/><Relationship Id="rId778" Type="http://schemas.openxmlformats.org/officeDocument/2006/relationships/hyperlink" Target="https://webagentes.canaldirecto.com.ar/incidents/view/669757-0" TargetMode="External"/><Relationship Id="rId985" Type="http://schemas.openxmlformats.org/officeDocument/2006/relationships/hyperlink" Target="https://webagentes.canaldirecto.com.ar/incidents/view/692563-1" TargetMode="External"/><Relationship Id="rId2459" Type="http://schemas.openxmlformats.org/officeDocument/2006/relationships/hyperlink" Target="https://webagentes.canaldirecto.com.ar/incidents/view/760791-8" TargetMode="External"/><Relationship Id="rId2666" Type="http://schemas.openxmlformats.org/officeDocument/2006/relationships/hyperlink" Target="https://webagentes.canaldirecto.com.ar/incidents/view/771249-6" TargetMode="External"/><Relationship Id="rId2873" Type="http://schemas.openxmlformats.org/officeDocument/2006/relationships/hyperlink" Target="https://webagentes.canaldirecto.com.ar/incidents/view/779135-0" TargetMode="External"/><Relationship Id="rId3717" Type="http://schemas.openxmlformats.org/officeDocument/2006/relationships/hyperlink" Target="https://webagentes.canaldirecto.com.ar/incidents/view/801374-5" TargetMode="External"/><Relationship Id="rId638" Type="http://schemas.openxmlformats.org/officeDocument/2006/relationships/hyperlink" Target="https://webagentes.canaldirecto.com.ar/incidents/view/676201-4" TargetMode="External"/><Relationship Id="rId845" Type="http://schemas.openxmlformats.org/officeDocument/2006/relationships/hyperlink" Target="https://webagentes.canaldirecto.com.ar/liquidations/removeIncident/686012-1" TargetMode="External"/><Relationship Id="rId1268" Type="http://schemas.openxmlformats.org/officeDocument/2006/relationships/hyperlink" Target="https://webagentes.canaldirecto.com.ar/incidents/view/708283-6" TargetMode="External"/><Relationship Id="rId1475" Type="http://schemas.openxmlformats.org/officeDocument/2006/relationships/hyperlink" Target="https://webagentes.canaldirecto.com.ar/incidents/view/716124-9" TargetMode="External"/><Relationship Id="rId1682" Type="http://schemas.openxmlformats.org/officeDocument/2006/relationships/hyperlink" Target="https://webagentes.canaldirecto.com.ar/incidents/view/727122-7" TargetMode="External"/><Relationship Id="rId2319" Type="http://schemas.openxmlformats.org/officeDocument/2006/relationships/hyperlink" Target="https://webagentes.canaldirecto.com.ar/incidents/view/748779-4" TargetMode="External"/><Relationship Id="rId2526" Type="http://schemas.openxmlformats.org/officeDocument/2006/relationships/hyperlink" Target="https://webagentes.canaldirecto.com.ar/incidents/view/762843-4" TargetMode="External"/><Relationship Id="rId2733" Type="http://schemas.openxmlformats.org/officeDocument/2006/relationships/hyperlink" Target="https://webagentes.canaldirecto.com.ar/incidents/view/773408-1" TargetMode="External"/><Relationship Id="rId705" Type="http://schemas.openxmlformats.org/officeDocument/2006/relationships/hyperlink" Target="https://webagentes.canaldirecto.com.ar/incidents/view/673686-0" TargetMode="External"/><Relationship Id="rId1128" Type="http://schemas.openxmlformats.org/officeDocument/2006/relationships/hyperlink" Target="https://webagentes.canaldirecto.com.ar/incidents/view/697584-9" TargetMode="External"/><Relationship Id="rId1335" Type="http://schemas.openxmlformats.org/officeDocument/2006/relationships/hyperlink" Target="https://webagentes.canaldirecto.com.ar/incidents/view/712196-8" TargetMode="External"/><Relationship Id="rId1542" Type="http://schemas.openxmlformats.org/officeDocument/2006/relationships/hyperlink" Target="https://webagentes.canaldirecto.com.ar/incidents/view/718831-6" TargetMode="External"/><Relationship Id="rId2940" Type="http://schemas.openxmlformats.org/officeDocument/2006/relationships/hyperlink" Target="https://webagentes.canaldirecto.com.ar/incidents/view/782125-3" TargetMode="External"/><Relationship Id="rId912" Type="http://schemas.openxmlformats.org/officeDocument/2006/relationships/hyperlink" Target="https://webagentes.canaldirecto.com.ar/incidents/view/683548-0" TargetMode="External"/><Relationship Id="rId2800" Type="http://schemas.openxmlformats.org/officeDocument/2006/relationships/hyperlink" Target="https://webagentes.canaldirecto.com.ar/incidents/view/774424-6" TargetMode="External"/><Relationship Id="rId41" Type="http://schemas.openxmlformats.org/officeDocument/2006/relationships/hyperlink" Target="http://webagentes.canaldirecto.com.ar/incidents/view/649795-2" TargetMode="External"/><Relationship Id="rId1402" Type="http://schemas.openxmlformats.org/officeDocument/2006/relationships/hyperlink" Target="https://webagentes.canaldirecto.com.ar/incidents/view/717280-1" TargetMode="External"/><Relationship Id="rId288" Type="http://schemas.openxmlformats.org/officeDocument/2006/relationships/hyperlink" Target="https://webagentes.canaldirecto.com.ar/incidents/view/662711-9" TargetMode="External"/><Relationship Id="rId3367" Type="http://schemas.openxmlformats.org/officeDocument/2006/relationships/hyperlink" Target="https://webagentes.canaldirecto.com.ar/incidents/view/792516-0" TargetMode="External"/><Relationship Id="rId3574" Type="http://schemas.openxmlformats.org/officeDocument/2006/relationships/hyperlink" Target="https://webagentes.canaldirecto.com.ar/incidents/view/794594-2" TargetMode="External"/><Relationship Id="rId3781" Type="http://schemas.openxmlformats.org/officeDocument/2006/relationships/hyperlink" Target="https://webagentes.canaldirecto.com.ar/incidents/view/804582-3" TargetMode="External"/><Relationship Id="rId495" Type="http://schemas.openxmlformats.org/officeDocument/2006/relationships/hyperlink" Target="https://webagentes.canaldirecto.com.ar/incidents/view/673123-6" TargetMode="External"/><Relationship Id="rId2176" Type="http://schemas.openxmlformats.org/officeDocument/2006/relationships/hyperlink" Target="https://webagentes.canaldirecto.com.ar/incidents/view/749318-4" TargetMode="External"/><Relationship Id="rId2383" Type="http://schemas.openxmlformats.org/officeDocument/2006/relationships/hyperlink" Target="https://webagentes.canaldirecto.com.ar/incidents/view/755174-3" TargetMode="External"/><Relationship Id="rId2590" Type="http://schemas.openxmlformats.org/officeDocument/2006/relationships/hyperlink" Target="https://webagentes.canaldirecto.com.ar/incidents/view/760813-9" TargetMode="External"/><Relationship Id="rId3227" Type="http://schemas.openxmlformats.org/officeDocument/2006/relationships/hyperlink" Target="https://webagentes.canaldirecto.com.ar/incidents/view/789167-8" TargetMode="External"/><Relationship Id="rId3434" Type="http://schemas.openxmlformats.org/officeDocument/2006/relationships/hyperlink" Target="https://webagentes.canaldirecto.com.ar/incidents/view/797108-0" TargetMode="External"/><Relationship Id="rId3641" Type="http://schemas.openxmlformats.org/officeDocument/2006/relationships/hyperlink" Target="https://webagentes.canaldirecto.com.ar/incidents/view/798755-9" TargetMode="External"/><Relationship Id="rId148" Type="http://schemas.openxmlformats.org/officeDocument/2006/relationships/hyperlink" Target="http://webagentes.canaldirecto.com.ar/incidents/view/657157-3" TargetMode="External"/><Relationship Id="rId355" Type="http://schemas.openxmlformats.org/officeDocument/2006/relationships/hyperlink" Target="https://webagentes.canaldirecto.com.ar/incidents/view/664529-4" TargetMode="External"/><Relationship Id="rId562" Type="http://schemas.openxmlformats.org/officeDocument/2006/relationships/hyperlink" Target="https://webagentes.canaldirecto.com.ar/liquidations/removeIncident/670843-2" TargetMode="External"/><Relationship Id="rId1192" Type="http://schemas.openxmlformats.org/officeDocument/2006/relationships/hyperlink" Target="https://webagentes.canaldirecto.com.ar/incidents/view/705596-6" TargetMode="External"/><Relationship Id="rId2036" Type="http://schemas.openxmlformats.org/officeDocument/2006/relationships/hyperlink" Target="https://webagentes.canaldirecto.com.ar/incidents/view/743500-1" TargetMode="External"/><Relationship Id="rId2243" Type="http://schemas.openxmlformats.org/officeDocument/2006/relationships/hyperlink" Target="https://webagentes.canaldirecto.com.ar/incidents/view/747032-3" TargetMode="External"/><Relationship Id="rId2450" Type="http://schemas.openxmlformats.org/officeDocument/2006/relationships/hyperlink" Target="https://webagentes.canaldirecto.com.ar/incidents/view/760803-2" TargetMode="External"/><Relationship Id="rId3501" Type="http://schemas.openxmlformats.org/officeDocument/2006/relationships/hyperlink" Target="https://webagentes.canaldirecto.com.ar/liquidations/removeIncident/795869-0" TargetMode="External"/><Relationship Id="rId215" Type="http://schemas.openxmlformats.org/officeDocument/2006/relationships/hyperlink" Target="http://webagentes.canaldirecto.com.ar/liquidations/removeIncident/655446-0" TargetMode="External"/><Relationship Id="rId422" Type="http://schemas.openxmlformats.org/officeDocument/2006/relationships/hyperlink" Target="https://webagentes.canaldirecto.com.ar/liquidations/removeIncident/669077-1" TargetMode="External"/><Relationship Id="rId1052" Type="http://schemas.openxmlformats.org/officeDocument/2006/relationships/hyperlink" Target="https://webagentes.canaldirecto.com.ar/incidents/view/693386-1" TargetMode="External"/><Relationship Id="rId2103" Type="http://schemas.openxmlformats.org/officeDocument/2006/relationships/hyperlink" Target="https://webagentes.canaldirecto.com.ar/incidents/view/746317-4" TargetMode="External"/><Relationship Id="rId2310" Type="http://schemas.openxmlformats.org/officeDocument/2006/relationships/hyperlink" Target="https://webagentes.canaldirecto.com.ar/incidents/view/749087-7" TargetMode="External"/><Relationship Id="rId1869" Type="http://schemas.openxmlformats.org/officeDocument/2006/relationships/hyperlink" Target="https://webagentes.canaldirecto.com.ar/incidents/view/737869-0" TargetMode="External"/><Relationship Id="rId3084" Type="http://schemas.openxmlformats.org/officeDocument/2006/relationships/hyperlink" Target="https://webagentes.canaldirecto.com.ar/incidents/view/785432-1" TargetMode="External"/><Relationship Id="rId3291" Type="http://schemas.openxmlformats.org/officeDocument/2006/relationships/hyperlink" Target="https://webagentes.canaldirecto.com.ar/incidents/view/789825-5" TargetMode="External"/><Relationship Id="rId1729" Type="http://schemas.openxmlformats.org/officeDocument/2006/relationships/hyperlink" Target="https://webagentes.canaldirecto.com.ar/incidents/view/729115-1" TargetMode="External"/><Relationship Id="rId1936" Type="http://schemas.openxmlformats.org/officeDocument/2006/relationships/hyperlink" Target="https://webagentes.canaldirecto.com.ar/incidents/view/734721-0" TargetMode="External"/><Relationship Id="rId3151" Type="http://schemas.openxmlformats.org/officeDocument/2006/relationships/hyperlink" Target="https://webagentes.canaldirecto.com.ar/incidents/view/791617-1" TargetMode="External"/><Relationship Id="rId3011" Type="http://schemas.openxmlformats.org/officeDocument/2006/relationships/hyperlink" Target="https://webagentes.canaldirecto.com.ar/incidents/view/783096-9" TargetMode="External"/><Relationship Id="rId5" Type="http://schemas.openxmlformats.org/officeDocument/2006/relationships/hyperlink" Target="http://webagentes.canaldirecto.com.ar/incidents/view/652199-4" TargetMode="External"/><Relationship Id="rId237" Type="http://schemas.openxmlformats.org/officeDocument/2006/relationships/hyperlink" Target="http://webagentes.canaldirecto.com.ar/liquidations/removeIncident/654293-3" TargetMode="External"/><Relationship Id="rId791" Type="http://schemas.openxmlformats.org/officeDocument/2006/relationships/hyperlink" Target="https://webagentes.canaldirecto.com.ar/incidents/view/682491-6" TargetMode="External"/><Relationship Id="rId889" Type="http://schemas.openxmlformats.org/officeDocument/2006/relationships/hyperlink" Target="https://webagentes.canaldirecto.com.ar/liquidations/removeIncident/684341-6" TargetMode="External"/><Relationship Id="rId1074" Type="http://schemas.openxmlformats.org/officeDocument/2006/relationships/hyperlink" Target="https://webagentes.canaldirecto.com.ar/incidents/view/697270-9" TargetMode="External"/><Relationship Id="rId2472" Type="http://schemas.openxmlformats.org/officeDocument/2006/relationships/hyperlink" Target="https://webagentes.canaldirecto.com.ar/incidents/view/760045-6" TargetMode="External"/><Relationship Id="rId2777" Type="http://schemas.openxmlformats.org/officeDocument/2006/relationships/hyperlink" Target="https://webagentes.canaldirecto.com.ar/incidents/view/776185-4" TargetMode="External"/><Relationship Id="rId3316" Type="http://schemas.openxmlformats.org/officeDocument/2006/relationships/hyperlink" Target="https://webagentes.canaldirecto.com.ar/incidents/view/794387-4" TargetMode="External"/><Relationship Id="rId3523" Type="http://schemas.openxmlformats.org/officeDocument/2006/relationships/hyperlink" Target="https://webagentes.canaldirecto.com.ar/liquidations/removeIncident/795584-2" TargetMode="External"/><Relationship Id="rId3730" Type="http://schemas.openxmlformats.org/officeDocument/2006/relationships/hyperlink" Target="https://webagentes.canaldirecto.com.ar/incidents/view/800550-6" TargetMode="External"/><Relationship Id="rId444" Type="http://schemas.openxmlformats.org/officeDocument/2006/relationships/hyperlink" Target="https://webagentes.canaldirecto.com.ar/liquidations/removeIncident/668592-8" TargetMode="External"/><Relationship Id="rId651" Type="http://schemas.openxmlformats.org/officeDocument/2006/relationships/hyperlink" Target="https://webagentes.canaldirecto.com.ar/incidents/view/675618-3" TargetMode="External"/><Relationship Id="rId749" Type="http://schemas.openxmlformats.org/officeDocument/2006/relationships/hyperlink" Target="https://webagentes.canaldirecto.com.ar/incidents/view/678128-6" TargetMode="External"/><Relationship Id="rId1281" Type="http://schemas.openxmlformats.org/officeDocument/2006/relationships/hyperlink" Target="https://webagentes.canaldirecto.com.ar/incidents/view/706853-5" TargetMode="External"/><Relationship Id="rId1379" Type="http://schemas.openxmlformats.org/officeDocument/2006/relationships/hyperlink" Target="https://webagentes.canaldirecto.com.ar/incidents/view/711674-4" TargetMode="External"/><Relationship Id="rId1586" Type="http://schemas.openxmlformats.org/officeDocument/2006/relationships/hyperlink" Target="https://webagentes.canaldirecto.com.ar/incidents/view/721876-9" TargetMode="External"/><Relationship Id="rId2125" Type="http://schemas.openxmlformats.org/officeDocument/2006/relationships/hyperlink" Target="https://webagentes.canaldirecto.com.ar/incidents/view/745996-8" TargetMode="External"/><Relationship Id="rId2332" Type="http://schemas.openxmlformats.org/officeDocument/2006/relationships/hyperlink" Target="https://webagentes.canaldirecto.com.ar/incidents/view/752892-1" TargetMode="External"/><Relationship Id="rId2984" Type="http://schemas.openxmlformats.org/officeDocument/2006/relationships/hyperlink" Target="https://webagentes.canaldirecto.com.ar/incidents/view/785317-3" TargetMode="External"/><Relationship Id="rId3828" Type="http://schemas.openxmlformats.org/officeDocument/2006/relationships/hyperlink" Target="https://webagentes.canaldirecto.com.ar/incidents/view/808957-1" TargetMode="External"/><Relationship Id="rId304" Type="http://schemas.openxmlformats.org/officeDocument/2006/relationships/hyperlink" Target="https://webagentes.canaldirecto.com.ar/incidents/view/662423-7" TargetMode="External"/><Relationship Id="rId511" Type="http://schemas.openxmlformats.org/officeDocument/2006/relationships/hyperlink" Target="https://webagentes.canaldirecto.com.ar/incidents/view/672641-0" TargetMode="External"/><Relationship Id="rId609" Type="http://schemas.openxmlformats.org/officeDocument/2006/relationships/hyperlink" Target="https://webagentes.canaldirecto.com.ar/incidents/view/662362-7" TargetMode="External"/><Relationship Id="rId956" Type="http://schemas.openxmlformats.org/officeDocument/2006/relationships/hyperlink" Target="https://webagentes.canaldirecto.com.ar/incidents/view/688647-5" TargetMode="External"/><Relationship Id="rId1141" Type="http://schemas.openxmlformats.org/officeDocument/2006/relationships/hyperlink" Target="https://webagentes.canaldirecto.com.ar/incidents/view/703336-2" TargetMode="External"/><Relationship Id="rId1239" Type="http://schemas.openxmlformats.org/officeDocument/2006/relationships/hyperlink" Target="https://webagentes.canaldirecto.com.ar/incidents/view/710114-0" TargetMode="External"/><Relationship Id="rId1793" Type="http://schemas.openxmlformats.org/officeDocument/2006/relationships/hyperlink" Target="https://webagentes.canaldirecto.com.ar/incidents/view/731492-0" TargetMode="External"/><Relationship Id="rId2637" Type="http://schemas.openxmlformats.org/officeDocument/2006/relationships/hyperlink" Target="https://webagentes.canaldirecto.com.ar/incidents/view/767780-1" TargetMode="External"/><Relationship Id="rId2844" Type="http://schemas.openxmlformats.org/officeDocument/2006/relationships/hyperlink" Target="https://webagentes.canaldirecto.com.ar/incidents/view/779286-3" TargetMode="External"/><Relationship Id="rId85" Type="http://schemas.openxmlformats.org/officeDocument/2006/relationships/hyperlink" Target="http://webagentes.canaldirecto.com.ar/liquidations/removeIncident/653740-9" TargetMode="External"/><Relationship Id="rId816" Type="http://schemas.openxmlformats.org/officeDocument/2006/relationships/hyperlink" Target="https://webagentes.canaldirecto.com.ar/incidents/view/686963-6" TargetMode="External"/><Relationship Id="rId1001" Type="http://schemas.openxmlformats.org/officeDocument/2006/relationships/hyperlink" Target="https://webagentes.canaldirecto.com.ar/incidents/view/691032-9" TargetMode="External"/><Relationship Id="rId1446" Type="http://schemas.openxmlformats.org/officeDocument/2006/relationships/hyperlink" Target="https://webagentes.canaldirecto.com.ar/incidents/view/716442-2" TargetMode="External"/><Relationship Id="rId1653" Type="http://schemas.openxmlformats.org/officeDocument/2006/relationships/hyperlink" Target="https://webagentes.canaldirecto.com.ar/incidents/view/728287-0" TargetMode="External"/><Relationship Id="rId1860" Type="http://schemas.openxmlformats.org/officeDocument/2006/relationships/hyperlink" Target="https://webagentes.canaldirecto.com.ar/liquidations/removeIncident/738502-5" TargetMode="External"/><Relationship Id="rId2704" Type="http://schemas.openxmlformats.org/officeDocument/2006/relationships/hyperlink" Target="https://webagentes.canaldirecto.com.ar/incidents/view/769643-5" TargetMode="External"/><Relationship Id="rId2911" Type="http://schemas.openxmlformats.org/officeDocument/2006/relationships/hyperlink" Target="https://webagentes.canaldirecto.com.ar/incidents/view/782743-3" TargetMode="External"/><Relationship Id="rId1306" Type="http://schemas.openxmlformats.org/officeDocument/2006/relationships/hyperlink" Target="https://webagentes.canaldirecto.com.ar/incidents/view/712863-3" TargetMode="External"/><Relationship Id="rId1513" Type="http://schemas.openxmlformats.org/officeDocument/2006/relationships/hyperlink" Target="https://webagentes.canaldirecto.com.ar/incidents/view/720392-5" TargetMode="External"/><Relationship Id="rId1720" Type="http://schemas.openxmlformats.org/officeDocument/2006/relationships/hyperlink" Target="https://webagentes.canaldirecto.com.ar/incidents/view/730056-5" TargetMode="External"/><Relationship Id="rId1958" Type="http://schemas.openxmlformats.org/officeDocument/2006/relationships/hyperlink" Target="https://webagentes.canaldirecto.com.ar/incidents/view/740678-0" TargetMode="External"/><Relationship Id="rId3173" Type="http://schemas.openxmlformats.org/officeDocument/2006/relationships/hyperlink" Target="https://webagentes.canaldirecto.com.ar/incidents/view/790912-6" TargetMode="External"/><Relationship Id="rId3380" Type="http://schemas.openxmlformats.org/officeDocument/2006/relationships/hyperlink" Target="https://webagentes.canaldirecto.com.ar/incidents/view/792443-5" TargetMode="External"/><Relationship Id="rId12" Type="http://schemas.openxmlformats.org/officeDocument/2006/relationships/hyperlink" Target="http://webagentes.canaldirecto.com.ar/incidents/view/652058-8" TargetMode="External"/><Relationship Id="rId1818" Type="http://schemas.openxmlformats.org/officeDocument/2006/relationships/hyperlink" Target="https://webagentes.canaldirecto.com.ar/incidents/view/735618-4" TargetMode="External"/><Relationship Id="rId3033" Type="http://schemas.openxmlformats.org/officeDocument/2006/relationships/hyperlink" Target="https://webagentes.canaldirecto.com.ar/incidents/view/782263-2" TargetMode="External"/><Relationship Id="rId3240" Type="http://schemas.openxmlformats.org/officeDocument/2006/relationships/hyperlink" Target="https://webagentes.canaldirecto.com.ar/incidents/view/781639-4" TargetMode="External"/><Relationship Id="rId3478" Type="http://schemas.openxmlformats.org/officeDocument/2006/relationships/hyperlink" Target="https://webagentes.canaldirecto.com.ar/incidents/view/795882-1" TargetMode="External"/><Relationship Id="rId3685" Type="http://schemas.openxmlformats.org/officeDocument/2006/relationships/hyperlink" Target="https://webagentes.canaldirecto.com.ar/incidents/view/802539-7" TargetMode="External"/><Relationship Id="rId161" Type="http://schemas.openxmlformats.org/officeDocument/2006/relationships/hyperlink" Target="http://webagentes.canaldirecto.com.ar/liquidations/removeIncident/656981-5" TargetMode="External"/><Relationship Id="rId399" Type="http://schemas.openxmlformats.org/officeDocument/2006/relationships/hyperlink" Target="https://webagentes.canaldirecto.com.ar/incidents/view/669381-1" TargetMode="External"/><Relationship Id="rId2287" Type="http://schemas.openxmlformats.org/officeDocument/2006/relationships/hyperlink" Target="https://webagentes.canaldirecto.com.ar/incidents/view/749854-1" TargetMode="External"/><Relationship Id="rId2494" Type="http://schemas.openxmlformats.org/officeDocument/2006/relationships/hyperlink" Target="https://webagentes.canaldirecto.com.ar/incidents/view/763974-0" TargetMode="External"/><Relationship Id="rId3338" Type="http://schemas.openxmlformats.org/officeDocument/2006/relationships/hyperlink" Target="https://webagentes.canaldirecto.com.ar/incidents/view/793823-4" TargetMode="External"/><Relationship Id="rId3545" Type="http://schemas.openxmlformats.org/officeDocument/2006/relationships/hyperlink" Target="https://webagentes.canaldirecto.com.ar/liquidations/removeIncident/795570-9" TargetMode="External"/><Relationship Id="rId3752" Type="http://schemas.openxmlformats.org/officeDocument/2006/relationships/hyperlink" Target="https://webagentes.canaldirecto.com.ar/incidents/view/806220-0" TargetMode="External"/><Relationship Id="rId259" Type="http://schemas.openxmlformats.org/officeDocument/2006/relationships/hyperlink" Target="http://webagentes.canaldirecto.com.ar/incidents/view/659389-4" TargetMode="External"/><Relationship Id="rId466" Type="http://schemas.openxmlformats.org/officeDocument/2006/relationships/hyperlink" Target="https://webagentes.canaldirecto.com.ar/liquidations/removeIncident/667719-6" TargetMode="External"/><Relationship Id="rId673" Type="http://schemas.openxmlformats.org/officeDocument/2006/relationships/hyperlink" Target="https://webagentes.canaldirecto.com.ar/incidents/view/674857-3" TargetMode="External"/><Relationship Id="rId880" Type="http://schemas.openxmlformats.org/officeDocument/2006/relationships/hyperlink" Target="https://webagentes.canaldirecto.com.ar/incidents/view/684413-2" TargetMode="External"/><Relationship Id="rId1096" Type="http://schemas.openxmlformats.org/officeDocument/2006/relationships/hyperlink" Target="https://webagentes.canaldirecto.com.ar/incidents/view/700495-3" TargetMode="External"/><Relationship Id="rId2147" Type="http://schemas.openxmlformats.org/officeDocument/2006/relationships/hyperlink" Target="https://webagentes.canaldirecto.com.ar/incidents/view/745702-1" TargetMode="External"/><Relationship Id="rId2354" Type="http://schemas.openxmlformats.org/officeDocument/2006/relationships/hyperlink" Target="https://webagentes.canaldirecto.com.ar/incidents/view/756936-2" TargetMode="External"/><Relationship Id="rId2561" Type="http://schemas.openxmlformats.org/officeDocument/2006/relationships/hyperlink" Target="https://webagentes.canaldirecto.com.ar/liquidations/removeIncident/761972-8" TargetMode="External"/><Relationship Id="rId2799" Type="http://schemas.openxmlformats.org/officeDocument/2006/relationships/hyperlink" Target="https://webagentes.canaldirecto.com.ar/incidents/view/774570-4" TargetMode="External"/><Relationship Id="rId3100" Type="http://schemas.openxmlformats.org/officeDocument/2006/relationships/hyperlink" Target="https://webagentes.canaldirecto.com.ar/incidents/view/788374-9" TargetMode="External"/><Relationship Id="rId3405" Type="http://schemas.openxmlformats.org/officeDocument/2006/relationships/hyperlink" Target="https://webagentes.canaldirecto.com.ar/liquidations/removeIncident/797547-5" TargetMode="External"/><Relationship Id="rId119" Type="http://schemas.openxmlformats.org/officeDocument/2006/relationships/hyperlink" Target="http://webagentes.canaldirecto.com.ar/liquidations/removeIncident/658010-0" TargetMode="External"/><Relationship Id="rId326" Type="http://schemas.openxmlformats.org/officeDocument/2006/relationships/hyperlink" Target="https://webagentes.canaldirecto.com.ar/incidents/view/660828-4" TargetMode="External"/><Relationship Id="rId533" Type="http://schemas.openxmlformats.org/officeDocument/2006/relationships/hyperlink" Target="https://webagentes.canaldirecto.com.ar/incidents/view/672100-8" TargetMode="External"/><Relationship Id="rId978" Type="http://schemas.openxmlformats.org/officeDocument/2006/relationships/hyperlink" Target="https://webagentes.canaldirecto.com.ar/incidents/view/687530-9" TargetMode="External"/><Relationship Id="rId1163" Type="http://schemas.openxmlformats.org/officeDocument/2006/relationships/hyperlink" Target="https://webagentes.canaldirecto.com.ar/incidents/view/701779-9" TargetMode="External"/><Relationship Id="rId1370" Type="http://schemas.openxmlformats.org/officeDocument/2006/relationships/hyperlink" Target="https://webagentes.canaldirecto.com.ar/incidents/view/711947-7" TargetMode="External"/><Relationship Id="rId2007" Type="http://schemas.openxmlformats.org/officeDocument/2006/relationships/hyperlink" Target="https://webagentes.canaldirecto.com.ar/incidents/view/744162-2" TargetMode="External"/><Relationship Id="rId2214" Type="http://schemas.openxmlformats.org/officeDocument/2006/relationships/hyperlink" Target="https://webagentes.canaldirecto.com.ar/incidents/view/748509-7" TargetMode="External"/><Relationship Id="rId2659" Type="http://schemas.openxmlformats.org/officeDocument/2006/relationships/hyperlink" Target="https://webagentes.canaldirecto.com.ar/incidents/view/766771-6" TargetMode="External"/><Relationship Id="rId2866" Type="http://schemas.openxmlformats.org/officeDocument/2006/relationships/hyperlink" Target="https://webagentes.canaldirecto.com.ar/incidents/view/779160-6" TargetMode="External"/><Relationship Id="rId3612" Type="http://schemas.openxmlformats.org/officeDocument/2006/relationships/hyperlink" Target="https://webagentes.canaldirecto.com.ar/incidents/view/799763-5" TargetMode="External"/><Relationship Id="rId740" Type="http://schemas.openxmlformats.org/officeDocument/2006/relationships/hyperlink" Target="https://webagentes.canaldirecto.com.ar/incidents/view/678340-6" TargetMode="External"/><Relationship Id="rId838" Type="http://schemas.openxmlformats.org/officeDocument/2006/relationships/hyperlink" Target="https://webagentes.canaldirecto.com.ar/incidents/view/686015-8" TargetMode="External"/><Relationship Id="rId1023" Type="http://schemas.openxmlformats.org/officeDocument/2006/relationships/hyperlink" Target="https://webagentes.canaldirecto.com.ar/incidents/view/690055-3" TargetMode="External"/><Relationship Id="rId1468" Type="http://schemas.openxmlformats.org/officeDocument/2006/relationships/hyperlink" Target="https://webagentes.canaldirecto.com.ar/incidents/view/716252-1" TargetMode="External"/><Relationship Id="rId1675" Type="http://schemas.openxmlformats.org/officeDocument/2006/relationships/hyperlink" Target="https://webagentes.canaldirecto.com.ar/incidents/view/727167-0" TargetMode="External"/><Relationship Id="rId1882" Type="http://schemas.openxmlformats.org/officeDocument/2006/relationships/hyperlink" Target="https://webagentes.canaldirecto.com.ar/liquidations/removeIncident/737510-7" TargetMode="External"/><Relationship Id="rId2421" Type="http://schemas.openxmlformats.org/officeDocument/2006/relationships/hyperlink" Target="https://webagentes.canaldirecto.com.ar/incidents/view/757486-9" TargetMode="External"/><Relationship Id="rId2519" Type="http://schemas.openxmlformats.org/officeDocument/2006/relationships/hyperlink" Target="https://webagentes.canaldirecto.com.ar/liquidations/removeIncident/763003-1" TargetMode="External"/><Relationship Id="rId2726" Type="http://schemas.openxmlformats.org/officeDocument/2006/relationships/hyperlink" Target="https://webagentes.canaldirecto.com.ar/incidents/view/774099-4" TargetMode="External"/><Relationship Id="rId600" Type="http://schemas.openxmlformats.org/officeDocument/2006/relationships/hyperlink" Target="https://webagentes.canaldirecto.com.ar/liquidations/removeIncident/669762-2" TargetMode="External"/><Relationship Id="rId1230" Type="http://schemas.openxmlformats.org/officeDocument/2006/relationships/hyperlink" Target="https://webagentes.canaldirecto.com.ar/incidents/view/710841-7" TargetMode="External"/><Relationship Id="rId1328" Type="http://schemas.openxmlformats.org/officeDocument/2006/relationships/hyperlink" Target="https://webagentes.canaldirecto.com.ar/incidents/view/712481-3" TargetMode="External"/><Relationship Id="rId1535" Type="http://schemas.openxmlformats.org/officeDocument/2006/relationships/hyperlink" Target="https://webagentes.canaldirecto.com.ar/incidents/view/719336-3" TargetMode="External"/><Relationship Id="rId2933" Type="http://schemas.openxmlformats.org/officeDocument/2006/relationships/hyperlink" Target="https://webagentes.canaldirecto.com.ar/incidents/view/782234-0" TargetMode="External"/><Relationship Id="rId905" Type="http://schemas.openxmlformats.org/officeDocument/2006/relationships/hyperlink" Target="https://webagentes.canaldirecto.com.ar/liquidations/removeIncident/683552-3" TargetMode="External"/><Relationship Id="rId1742" Type="http://schemas.openxmlformats.org/officeDocument/2006/relationships/hyperlink" Target="https://webagentes.canaldirecto.com.ar/incidents/view/733268-9" TargetMode="External"/><Relationship Id="rId3195" Type="http://schemas.openxmlformats.org/officeDocument/2006/relationships/hyperlink" Target="https://webagentes.canaldirecto.com.ar/incidents/view/790616-5" TargetMode="External"/><Relationship Id="rId34" Type="http://schemas.openxmlformats.org/officeDocument/2006/relationships/hyperlink" Target="http://webagentes.canaldirecto.com.ar/incidents/view/651052-7" TargetMode="External"/><Relationship Id="rId1602" Type="http://schemas.openxmlformats.org/officeDocument/2006/relationships/hyperlink" Target="https://webagentes.canaldirecto.com.ar/incidents/view/720821-2" TargetMode="External"/><Relationship Id="rId3055" Type="http://schemas.openxmlformats.org/officeDocument/2006/relationships/hyperlink" Target="https://webagentes.canaldirecto.com.ar/incidents/view/786741-3" TargetMode="External"/><Relationship Id="rId3262" Type="http://schemas.openxmlformats.org/officeDocument/2006/relationships/hyperlink" Target="https://webagentes.canaldirecto.com.ar/incidents/view/791405-8" TargetMode="External"/><Relationship Id="rId183" Type="http://schemas.openxmlformats.org/officeDocument/2006/relationships/hyperlink" Target="http://webagentes.canaldirecto.com.ar/liquidations/removeIncident/656674-8" TargetMode="External"/><Relationship Id="rId390" Type="http://schemas.openxmlformats.org/officeDocument/2006/relationships/hyperlink" Target="https://webagentes.canaldirecto.com.ar/liquidations/removeIncident/669386-6" TargetMode="External"/><Relationship Id="rId1907" Type="http://schemas.openxmlformats.org/officeDocument/2006/relationships/hyperlink" Target="https://webagentes.canaldirecto.com.ar/liquidations/removeIncident/736941-6" TargetMode="External"/><Relationship Id="rId2071" Type="http://schemas.openxmlformats.org/officeDocument/2006/relationships/hyperlink" Target="https://webagentes.canaldirecto.com.ar/incidents/view/742082-3" TargetMode="External"/><Relationship Id="rId3122" Type="http://schemas.openxmlformats.org/officeDocument/2006/relationships/hyperlink" Target="https://webagentes.canaldirecto.com.ar/incidents/view/788333-2" TargetMode="External"/><Relationship Id="rId3567" Type="http://schemas.openxmlformats.org/officeDocument/2006/relationships/hyperlink" Target="https://webagentes.canaldirecto.com.ar/liquidations/removeIncident/794764-9" TargetMode="External"/><Relationship Id="rId3774" Type="http://schemas.openxmlformats.org/officeDocument/2006/relationships/hyperlink" Target="https://webagentes.canaldirecto.com.ar/incidents/view/804973-1" TargetMode="External"/><Relationship Id="rId250" Type="http://schemas.openxmlformats.org/officeDocument/2006/relationships/hyperlink" Target="http://webagentes.canaldirecto.com.ar/incidents/view/660745-2" TargetMode="External"/><Relationship Id="rId488" Type="http://schemas.openxmlformats.org/officeDocument/2006/relationships/hyperlink" Target="https://webagentes.canaldirecto.com.ar/liquidations/removeIncident/673497-8" TargetMode="External"/><Relationship Id="rId695" Type="http://schemas.openxmlformats.org/officeDocument/2006/relationships/hyperlink" Target="https://webagentes.canaldirecto.com.ar/incidents/view/674129-7" TargetMode="External"/><Relationship Id="rId2169" Type="http://schemas.openxmlformats.org/officeDocument/2006/relationships/hyperlink" Target="https://webagentes.canaldirecto.com.ar/incidents/view/744440-7" TargetMode="External"/><Relationship Id="rId2376" Type="http://schemas.openxmlformats.org/officeDocument/2006/relationships/hyperlink" Target="https://webagentes.canaldirecto.com.ar/incidents/view/755181-3" TargetMode="External"/><Relationship Id="rId2583" Type="http://schemas.openxmlformats.org/officeDocument/2006/relationships/hyperlink" Target="https://webagentes.canaldirecto.com.ar/liquidations/removeIncident/761104-5" TargetMode="External"/><Relationship Id="rId2790" Type="http://schemas.openxmlformats.org/officeDocument/2006/relationships/hyperlink" Target="https://webagentes.canaldirecto.com.ar/incidents/view/775787-9" TargetMode="External"/><Relationship Id="rId3427" Type="http://schemas.openxmlformats.org/officeDocument/2006/relationships/hyperlink" Target="https://webagentes.canaldirecto.com.ar/liquidations/removeIncident/797314-9" TargetMode="External"/><Relationship Id="rId3634" Type="http://schemas.openxmlformats.org/officeDocument/2006/relationships/hyperlink" Target="https://webagentes.canaldirecto.com.ar/incidents/view/799037-7" TargetMode="External"/><Relationship Id="rId3841" Type="http://schemas.openxmlformats.org/officeDocument/2006/relationships/hyperlink" Target="https://webagentes.canaldirecto.com.ar/incidents/view/807616-0" TargetMode="External"/><Relationship Id="rId110" Type="http://schemas.openxmlformats.org/officeDocument/2006/relationships/hyperlink" Target="http://webagentes.canaldirecto.com.ar/incidents/view/658029-8" TargetMode="External"/><Relationship Id="rId348" Type="http://schemas.openxmlformats.org/officeDocument/2006/relationships/hyperlink" Target="https://webagentes.canaldirecto.com.ar/incidents/view/665260-1" TargetMode="External"/><Relationship Id="rId555" Type="http://schemas.openxmlformats.org/officeDocument/2006/relationships/hyperlink" Target="https://webagentes.canaldirecto.com.ar/incidents/view/670915-8" TargetMode="External"/><Relationship Id="rId762" Type="http://schemas.openxmlformats.org/officeDocument/2006/relationships/hyperlink" Target="https://webagentes.canaldirecto.com.ar/incidents/view/677929-0" TargetMode="External"/><Relationship Id="rId1185" Type="http://schemas.openxmlformats.org/officeDocument/2006/relationships/hyperlink" Target="https://webagentes.canaldirecto.com.ar/incidents/view/705902-3" TargetMode="External"/><Relationship Id="rId1392" Type="http://schemas.openxmlformats.org/officeDocument/2006/relationships/hyperlink" Target="https://webagentes.canaldirecto.com.ar/incidents/view/711401-0" TargetMode="External"/><Relationship Id="rId2029" Type="http://schemas.openxmlformats.org/officeDocument/2006/relationships/hyperlink" Target="https://webagentes.canaldirecto.com.ar/incidents/view/743720-3" TargetMode="External"/><Relationship Id="rId2236" Type="http://schemas.openxmlformats.org/officeDocument/2006/relationships/hyperlink" Target="https://webagentes.canaldirecto.com.ar/incidents/view/747779-7" TargetMode="External"/><Relationship Id="rId2443" Type="http://schemas.openxmlformats.org/officeDocument/2006/relationships/hyperlink" Target="https://webagentes.canaldirecto.com.ar/incidents/view/760815-7" TargetMode="External"/><Relationship Id="rId2650" Type="http://schemas.openxmlformats.org/officeDocument/2006/relationships/hyperlink" Target="https://webagentes.canaldirecto.com.ar/incidents/view/767255-0" TargetMode="External"/><Relationship Id="rId2888" Type="http://schemas.openxmlformats.org/officeDocument/2006/relationships/hyperlink" Target="https://webagentes.canaldirecto.com.ar/incidents/view/777810-0" TargetMode="External"/><Relationship Id="rId3701" Type="http://schemas.openxmlformats.org/officeDocument/2006/relationships/hyperlink" Target="https://webagentes.canaldirecto.com.ar/incidents/view/802411-2" TargetMode="External"/><Relationship Id="rId208" Type="http://schemas.openxmlformats.org/officeDocument/2006/relationships/hyperlink" Target="http://webagentes.canaldirecto.com.ar/incidents/view/655519-5" TargetMode="External"/><Relationship Id="rId415" Type="http://schemas.openxmlformats.org/officeDocument/2006/relationships/hyperlink" Target="https://webagentes.canaldirecto.com.ar/incidents/view/669252-0" TargetMode="External"/><Relationship Id="rId622" Type="http://schemas.openxmlformats.org/officeDocument/2006/relationships/hyperlink" Target="https://webagentes.canaldirecto.com.ar/incidents/view/676925-7" TargetMode="External"/><Relationship Id="rId1045" Type="http://schemas.openxmlformats.org/officeDocument/2006/relationships/hyperlink" Target="https://webagentes.canaldirecto.com.ar/incidents/view/694074-6" TargetMode="External"/><Relationship Id="rId1252" Type="http://schemas.openxmlformats.org/officeDocument/2006/relationships/hyperlink" Target="https://webagentes.canaldirecto.com.ar/incidents/view/709186-1" TargetMode="External"/><Relationship Id="rId1697" Type="http://schemas.openxmlformats.org/officeDocument/2006/relationships/hyperlink" Target="https://webagentes.canaldirecto.com.ar/incidents/view/730661-1" TargetMode="External"/><Relationship Id="rId2303" Type="http://schemas.openxmlformats.org/officeDocument/2006/relationships/hyperlink" Target="https://webagentes.canaldirecto.com.ar/incidents/view/749106-1" TargetMode="External"/><Relationship Id="rId2510" Type="http://schemas.openxmlformats.org/officeDocument/2006/relationships/hyperlink" Target="https://webagentes.canaldirecto.com.ar/incidents/view/763517-9" TargetMode="External"/><Relationship Id="rId2748" Type="http://schemas.openxmlformats.org/officeDocument/2006/relationships/hyperlink" Target="https://webagentes.canaldirecto.com.ar/incidents/view/772762-9" TargetMode="External"/><Relationship Id="rId2955" Type="http://schemas.openxmlformats.org/officeDocument/2006/relationships/hyperlink" Target="https://webagentes.canaldirecto.com.ar/incidents/view/781665-9" TargetMode="External"/><Relationship Id="rId927" Type="http://schemas.openxmlformats.org/officeDocument/2006/relationships/hyperlink" Target="https://webagentes.canaldirecto.com.ar/incidents/view/689644-5" TargetMode="External"/><Relationship Id="rId1112" Type="http://schemas.openxmlformats.org/officeDocument/2006/relationships/hyperlink" Target="https://webagentes.canaldirecto.com.ar/incidents/view/699253-6" TargetMode="External"/><Relationship Id="rId1557" Type="http://schemas.openxmlformats.org/officeDocument/2006/relationships/hyperlink" Target="https://webagentes.canaldirecto.com.ar/incidents/view/717791-2" TargetMode="External"/><Relationship Id="rId1764" Type="http://schemas.openxmlformats.org/officeDocument/2006/relationships/hyperlink" Target="https://webagentes.canaldirecto.com.ar/incidents/view/732794-2" TargetMode="External"/><Relationship Id="rId1971" Type="http://schemas.openxmlformats.org/officeDocument/2006/relationships/hyperlink" Target="https://webagentes.canaldirecto.com.ar/incidents/view/739542-0" TargetMode="External"/><Relationship Id="rId2608" Type="http://schemas.openxmlformats.org/officeDocument/2006/relationships/hyperlink" Target="https://webagentes.canaldirecto.com.ar/incidents/view/765718-0" TargetMode="External"/><Relationship Id="rId2815" Type="http://schemas.openxmlformats.org/officeDocument/2006/relationships/hyperlink" Target="https://webagentes.canaldirecto.com.ar/incidents/view/780128-6" TargetMode="External"/><Relationship Id="rId56" Type="http://schemas.openxmlformats.org/officeDocument/2006/relationships/hyperlink" Target="http://webagentes.canaldirecto.com.ar/incidents/view/655118-0" TargetMode="External"/><Relationship Id="rId1417" Type="http://schemas.openxmlformats.org/officeDocument/2006/relationships/hyperlink" Target="https://webagentes.canaldirecto.com.ar/incidents/view/717050-2" TargetMode="External"/><Relationship Id="rId1624" Type="http://schemas.openxmlformats.org/officeDocument/2006/relationships/hyperlink" Target="https://webagentes.canaldirecto.com.ar/incidents/view/724422-3" TargetMode="External"/><Relationship Id="rId1831" Type="http://schemas.openxmlformats.org/officeDocument/2006/relationships/hyperlink" Target="https://webagentes.canaldirecto.com.ar/incidents/view/734919-3" TargetMode="External"/><Relationship Id="rId3077" Type="http://schemas.openxmlformats.org/officeDocument/2006/relationships/hyperlink" Target="https://webagentes.canaldirecto.com.ar/incidents/view/785698-5" TargetMode="External"/><Relationship Id="rId3284" Type="http://schemas.openxmlformats.org/officeDocument/2006/relationships/hyperlink" Target="https://webagentes.canaldirecto.com.ar/incidents/view/789943-0" TargetMode="External"/><Relationship Id="rId1929" Type="http://schemas.openxmlformats.org/officeDocument/2006/relationships/hyperlink" Target="https://webagentes.canaldirecto.com.ar/liquidations/removeIncident/736258-3" TargetMode="External"/><Relationship Id="rId2093" Type="http://schemas.openxmlformats.org/officeDocument/2006/relationships/hyperlink" Target="https://webagentes.canaldirecto.com.ar/incidents/view/746439-5" TargetMode="External"/><Relationship Id="rId3491" Type="http://schemas.openxmlformats.org/officeDocument/2006/relationships/hyperlink" Target="https://webagentes.canaldirecto.com.ar/liquidations/removeIncident/795875-1" TargetMode="External"/><Relationship Id="rId3589" Type="http://schemas.openxmlformats.org/officeDocument/2006/relationships/hyperlink" Target="https://webagentes.canaldirecto.com.ar/incidents/view/800029-1" TargetMode="External"/><Relationship Id="rId3796" Type="http://schemas.openxmlformats.org/officeDocument/2006/relationships/hyperlink" Target="https://webagentes.canaldirecto.com.ar/incidents/view/802751-7" TargetMode="External"/><Relationship Id="rId2398" Type="http://schemas.openxmlformats.org/officeDocument/2006/relationships/hyperlink" Target="https://webagentes.canaldirecto.com.ar/incidents/view/753977-8" TargetMode="External"/><Relationship Id="rId3144" Type="http://schemas.openxmlformats.org/officeDocument/2006/relationships/hyperlink" Target="https://webagentes.canaldirecto.com.ar/incidents/view/791625-0" TargetMode="External"/><Relationship Id="rId3351" Type="http://schemas.openxmlformats.org/officeDocument/2006/relationships/hyperlink" Target="https://webagentes.canaldirecto.com.ar/incidents/view/792931-5" TargetMode="External"/><Relationship Id="rId3449" Type="http://schemas.openxmlformats.org/officeDocument/2006/relationships/hyperlink" Target="https://webagentes.canaldirecto.com.ar/liquidations/removeIncident/796443-3" TargetMode="External"/><Relationship Id="rId272" Type="http://schemas.openxmlformats.org/officeDocument/2006/relationships/hyperlink" Target="http://webagentes.canaldirecto.com.ar/incidents/view/657336-8" TargetMode="External"/><Relationship Id="rId577" Type="http://schemas.openxmlformats.org/officeDocument/2006/relationships/hyperlink" Target="https://webagentes.canaldirecto.com.ar/incidents/view/670273-9" TargetMode="External"/><Relationship Id="rId2160" Type="http://schemas.openxmlformats.org/officeDocument/2006/relationships/hyperlink" Target="https://webagentes.canaldirecto.com.ar/incidents/view/744950-9" TargetMode="External"/><Relationship Id="rId2258" Type="http://schemas.openxmlformats.org/officeDocument/2006/relationships/hyperlink" Target="https://webagentes.canaldirecto.com.ar/incidents/view/751582-0" TargetMode="External"/><Relationship Id="rId3004" Type="http://schemas.openxmlformats.org/officeDocument/2006/relationships/hyperlink" Target="https://webagentes.canaldirecto.com.ar/incidents/view/783477-0" TargetMode="External"/><Relationship Id="rId3211" Type="http://schemas.openxmlformats.org/officeDocument/2006/relationships/hyperlink" Target="https://webagentes.canaldirecto.com.ar/incidents/view/789858-3" TargetMode="External"/><Relationship Id="rId3656" Type="http://schemas.openxmlformats.org/officeDocument/2006/relationships/hyperlink" Target="https://webagentes.canaldirecto.com.ar/incidents/view/798249-3" TargetMode="External"/><Relationship Id="rId3863" Type="http://schemas.openxmlformats.org/officeDocument/2006/relationships/hyperlink" Target="https://webagentes.canaldirecto.com.ar/incidents/view/804954-6" TargetMode="External"/><Relationship Id="rId132" Type="http://schemas.openxmlformats.org/officeDocument/2006/relationships/hyperlink" Target="http://webagentes.canaldirecto.com.ar/incidents/view/658001-2" TargetMode="External"/><Relationship Id="rId784" Type="http://schemas.openxmlformats.org/officeDocument/2006/relationships/hyperlink" Target="https://webagentes.canaldirecto.com.ar/incidents/view/683566-6" TargetMode="External"/><Relationship Id="rId991" Type="http://schemas.openxmlformats.org/officeDocument/2006/relationships/hyperlink" Target="https://webagentes.canaldirecto.com.ar/incidents/view/691978-2" TargetMode="External"/><Relationship Id="rId1067" Type="http://schemas.openxmlformats.org/officeDocument/2006/relationships/hyperlink" Target="https://webagentes.canaldirecto.com.ar/incidents/view/691257-6" TargetMode="External"/><Relationship Id="rId2020" Type="http://schemas.openxmlformats.org/officeDocument/2006/relationships/hyperlink" Target="https://webagentes.canaldirecto.com.ar/incidents/view/744000-3" TargetMode="External"/><Relationship Id="rId2465" Type="http://schemas.openxmlformats.org/officeDocument/2006/relationships/hyperlink" Target="https://webagentes.canaldirecto.com.ar/incidents/view/760297-7" TargetMode="External"/><Relationship Id="rId2672" Type="http://schemas.openxmlformats.org/officeDocument/2006/relationships/hyperlink" Target="https://webagentes.canaldirecto.com.ar/incidents/view/770977-5" TargetMode="External"/><Relationship Id="rId3309" Type="http://schemas.openxmlformats.org/officeDocument/2006/relationships/hyperlink" Target="https://webagentes.canaldirecto.com.ar/incidents/view/794394-4" TargetMode="External"/><Relationship Id="rId3516" Type="http://schemas.openxmlformats.org/officeDocument/2006/relationships/hyperlink" Target="https://webagentes.canaldirecto.com.ar/incidents/view/795587-9" TargetMode="External"/><Relationship Id="rId3723" Type="http://schemas.openxmlformats.org/officeDocument/2006/relationships/hyperlink" Target="https://webagentes.canaldirecto.com.ar/incidents/view/801112-7" TargetMode="External"/><Relationship Id="rId437" Type="http://schemas.openxmlformats.org/officeDocument/2006/relationships/hyperlink" Target="https://webagentes.canaldirecto.com.ar/incidents/view/668712-0" TargetMode="External"/><Relationship Id="rId644" Type="http://schemas.openxmlformats.org/officeDocument/2006/relationships/hyperlink" Target="https://webagentes.canaldirecto.com.ar/incidents/view/675715-5" TargetMode="External"/><Relationship Id="rId851" Type="http://schemas.openxmlformats.org/officeDocument/2006/relationships/hyperlink" Target="https://webagentes.canaldirecto.com.ar/liquidations/removeIncident/686008-8" TargetMode="External"/><Relationship Id="rId1274" Type="http://schemas.openxmlformats.org/officeDocument/2006/relationships/hyperlink" Target="https://webagentes.canaldirecto.com.ar/incidents/view/708010-2" TargetMode="External"/><Relationship Id="rId1481" Type="http://schemas.openxmlformats.org/officeDocument/2006/relationships/hyperlink" Target="https://webagentes.canaldirecto.com.ar/incidents/view/715410-6" TargetMode="External"/><Relationship Id="rId1579" Type="http://schemas.openxmlformats.org/officeDocument/2006/relationships/hyperlink" Target="https://webagentes.canaldirecto.com.ar/incidents/view/722060-3" TargetMode="External"/><Relationship Id="rId2118" Type="http://schemas.openxmlformats.org/officeDocument/2006/relationships/hyperlink" Target="https://webagentes.canaldirecto.com.ar/incidents/view/746249-4" TargetMode="External"/><Relationship Id="rId2325" Type="http://schemas.openxmlformats.org/officeDocument/2006/relationships/hyperlink" Target="https://webagentes.canaldirecto.com.ar/incidents/view/753242-9" TargetMode="External"/><Relationship Id="rId2532" Type="http://schemas.openxmlformats.org/officeDocument/2006/relationships/hyperlink" Target="https://webagentes.canaldirecto.com.ar/incidents/view/762580-8" TargetMode="External"/><Relationship Id="rId2977" Type="http://schemas.openxmlformats.org/officeDocument/2006/relationships/hyperlink" Target="https://webagentes.canaldirecto.com.ar/incidents/view/780297-5" TargetMode="External"/><Relationship Id="rId504" Type="http://schemas.openxmlformats.org/officeDocument/2006/relationships/hyperlink" Target="https://webagentes.canaldirecto.com.ar/liquidations/removeIncident/672774-7" TargetMode="External"/><Relationship Id="rId711" Type="http://schemas.openxmlformats.org/officeDocument/2006/relationships/hyperlink" Target="https://webagentes.canaldirecto.com.ar/incidents/view/664518-8" TargetMode="External"/><Relationship Id="rId949" Type="http://schemas.openxmlformats.org/officeDocument/2006/relationships/hyperlink" Target="https://webagentes.canaldirecto.com.ar/incidents/view/689369-7" TargetMode="External"/><Relationship Id="rId1134" Type="http://schemas.openxmlformats.org/officeDocument/2006/relationships/hyperlink" Target="https://webagentes.canaldirecto.com.ar/incidents/view/703620-8" TargetMode="External"/><Relationship Id="rId1341" Type="http://schemas.openxmlformats.org/officeDocument/2006/relationships/hyperlink" Target="https://webagentes.canaldirecto.com.ar/incidents/view/712188-9" TargetMode="External"/><Relationship Id="rId1786" Type="http://schemas.openxmlformats.org/officeDocument/2006/relationships/hyperlink" Target="https://webagentes.canaldirecto.com.ar/incidents/view/731500-8" TargetMode="External"/><Relationship Id="rId1993" Type="http://schemas.openxmlformats.org/officeDocument/2006/relationships/hyperlink" Target="https://webagentes.canaldirecto.com.ar/incidents/view/744276-4" TargetMode="External"/><Relationship Id="rId2837" Type="http://schemas.openxmlformats.org/officeDocument/2006/relationships/hyperlink" Target="https://webagentes.canaldirecto.com.ar/incidents/view/779692-0" TargetMode="External"/><Relationship Id="rId78" Type="http://schemas.openxmlformats.org/officeDocument/2006/relationships/hyperlink" Target="http://webagentes.canaldirecto.com.ar/incidents/view/653815-2" TargetMode="External"/><Relationship Id="rId809" Type="http://schemas.openxmlformats.org/officeDocument/2006/relationships/hyperlink" Target="https://webagentes.canaldirecto.com.ar/liquidations/removeIncident/687273-7" TargetMode="External"/><Relationship Id="rId1201" Type="http://schemas.openxmlformats.org/officeDocument/2006/relationships/hyperlink" Target="https://webagentes.canaldirecto.com.ar/incidents/view/705230-3" TargetMode="External"/><Relationship Id="rId1439" Type="http://schemas.openxmlformats.org/officeDocument/2006/relationships/hyperlink" Target="https://webagentes.canaldirecto.com.ar/incidents/view/716514-8" TargetMode="External"/><Relationship Id="rId1646" Type="http://schemas.openxmlformats.org/officeDocument/2006/relationships/hyperlink" Target="https://webagentes.canaldirecto.com.ar/incidents/view/728369-3" TargetMode="External"/><Relationship Id="rId1853" Type="http://schemas.openxmlformats.org/officeDocument/2006/relationships/hyperlink" Target="https://webagentes.canaldirecto.com.ar/incidents/view/733255-5" TargetMode="External"/><Relationship Id="rId2904" Type="http://schemas.openxmlformats.org/officeDocument/2006/relationships/hyperlink" Target="https://webagentes.canaldirecto.com.ar/incidents/view/782751-2" TargetMode="External"/><Relationship Id="rId3099" Type="http://schemas.openxmlformats.org/officeDocument/2006/relationships/hyperlink" Target="https://webagentes.canaldirecto.com.ar/incidents/view/788481-8" TargetMode="External"/><Relationship Id="rId1506" Type="http://schemas.openxmlformats.org/officeDocument/2006/relationships/hyperlink" Target="https://webagentes.canaldirecto.com.ar/incidents/view/720581-7" TargetMode="External"/><Relationship Id="rId1713" Type="http://schemas.openxmlformats.org/officeDocument/2006/relationships/hyperlink" Target="https://webagentes.canaldirecto.com.ar/incidents/view/730618-9" TargetMode="External"/><Relationship Id="rId1920" Type="http://schemas.openxmlformats.org/officeDocument/2006/relationships/hyperlink" Target="https://webagentes.canaldirecto.com.ar/incidents/view/736504-9" TargetMode="External"/><Relationship Id="rId3166" Type="http://schemas.openxmlformats.org/officeDocument/2006/relationships/hyperlink" Target="https://webagentes.canaldirecto.com.ar/incidents/view/791184-8" TargetMode="External"/><Relationship Id="rId3373" Type="http://schemas.openxmlformats.org/officeDocument/2006/relationships/hyperlink" Target="https://webagentes.canaldirecto.com.ar/incidents/view/792455-0" TargetMode="External"/><Relationship Id="rId3580" Type="http://schemas.openxmlformats.org/officeDocument/2006/relationships/hyperlink" Target="https://webagentes.canaldirecto.com.ar/incidents/view/800427-9" TargetMode="External"/><Relationship Id="rId294" Type="http://schemas.openxmlformats.org/officeDocument/2006/relationships/hyperlink" Target="https://webagentes.canaldirecto.com.ar/incidents/view/662691-6" TargetMode="External"/><Relationship Id="rId2182" Type="http://schemas.openxmlformats.org/officeDocument/2006/relationships/hyperlink" Target="https://webagentes.canaldirecto.com.ar/incidents/view/749198-2" TargetMode="External"/><Relationship Id="rId3026" Type="http://schemas.openxmlformats.org/officeDocument/2006/relationships/hyperlink" Target="https://webagentes.canaldirecto.com.ar/incidents/view/782904-2" TargetMode="External"/><Relationship Id="rId3233" Type="http://schemas.openxmlformats.org/officeDocument/2006/relationships/hyperlink" Target="https://webagentes.canaldirecto.com.ar/incidents/view/788766-6" TargetMode="External"/><Relationship Id="rId3678" Type="http://schemas.openxmlformats.org/officeDocument/2006/relationships/hyperlink" Target="https://webagentes.canaldirecto.com.ar/incidents/view/803256-4" TargetMode="External"/><Relationship Id="rId154" Type="http://schemas.openxmlformats.org/officeDocument/2006/relationships/hyperlink" Target="http://webagentes.canaldirecto.com.ar/incidents/view/656985-1" TargetMode="External"/><Relationship Id="rId361" Type="http://schemas.openxmlformats.org/officeDocument/2006/relationships/hyperlink" Target="https://webagentes.canaldirecto.com.ar/incidents/view/670921-9" TargetMode="External"/><Relationship Id="rId599" Type="http://schemas.openxmlformats.org/officeDocument/2006/relationships/hyperlink" Target="https://webagentes.canaldirecto.com.ar/incidents/view/669762-2" TargetMode="External"/><Relationship Id="rId2042" Type="http://schemas.openxmlformats.org/officeDocument/2006/relationships/hyperlink" Target="https://webagentes.canaldirecto.com.ar/incidents/view/743488-0" TargetMode="External"/><Relationship Id="rId2487" Type="http://schemas.openxmlformats.org/officeDocument/2006/relationships/hyperlink" Target="https://webagentes.canaldirecto.com.ar/incidents/view/759007-0" TargetMode="External"/><Relationship Id="rId2694" Type="http://schemas.openxmlformats.org/officeDocument/2006/relationships/hyperlink" Target="https://webagentes.canaldirecto.com.ar/incidents/view/770068-6" TargetMode="External"/><Relationship Id="rId3440" Type="http://schemas.openxmlformats.org/officeDocument/2006/relationships/hyperlink" Target="https://webagentes.canaldirecto.com.ar/incidents/view/797105-3" TargetMode="External"/><Relationship Id="rId3538" Type="http://schemas.openxmlformats.org/officeDocument/2006/relationships/hyperlink" Target="https://webagentes.canaldirecto.com.ar/incidents/view/795573-6" TargetMode="External"/><Relationship Id="rId3745" Type="http://schemas.openxmlformats.org/officeDocument/2006/relationships/hyperlink" Target="https://webagentes.canaldirecto.com.ar/incidents/view/806324-5" TargetMode="External"/><Relationship Id="rId459" Type="http://schemas.openxmlformats.org/officeDocument/2006/relationships/hyperlink" Target="https://webagentes.canaldirecto.com.ar/incidents/view/667922-8" TargetMode="External"/><Relationship Id="rId666" Type="http://schemas.openxmlformats.org/officeDocument/2006/relationships/hyperlink" Target="https://webagentes.canaldirecto.com.ar/incidents/view/674965-1" TargetMode="External"/><Relationship Id="rId873" Type="http://schemas.openxmlformats.org/officeDocument/2006/relationships/hyperlink" Target="https://webagentes.canaldirecto.com.ar/liquidations/removeIncident/684749-4" TargetMode="External"/><Relationship Id="rId1089" Type="http://schemas.openxmlformats.org/officeDocument/2006/relationships/hyperlink" Target="https://webagentes.canaldirecto.com.ar/incidents/view/695167-2" TargetMode="External"/><Relationship Id="rId1296" Type="http://schemas.openxmlformats.org/officeDocument/2006/relationships/hyperlink" Target="https://webagentes.canaldirecto.com.ar/incidents/view/713622-5" TargetMode="External"/><Relationship Id="rId2347" Type="http://schemas.openxmlformats.org/officeDocument/2006/relationships/hyperlink" Target="https://webagentes.canaldirecto.com.ar/incidents/view/751776-7" TargetMode="External"/><Relationship Id="rId2554" Type="http://schemas.openxmlformats.org/officeDocument/2006/relationships/hyperlink" Target="https://webagentes.canaldirecto.com.ar/incidents/view/762218-4" TargetMode="External"/><Relationship Id="rId2999" Type="http://schemas.openxmlformats.org/officeDocument/2006/relationships/hyperlink" Target="https://webagentes.canaldirecto.com.ar/incidents/view/784092-0" TargetMode="External"/><Relationship Id="rId3300" Type="http://schemas.openxmlformats.org/officeDocument/2006/relationships/hyperlink" Target="https://webagentes.canaldirecto.com.ar/incidents/view/794558-0" TargetMode="External"/><Relationship Id="rId221" Type="http://schemas.openxmlformats.org/officeDocument/2006/relationships/hyperlink" Target="http://webagentes.canaldirecto.com.ar/liquidations/removeIncident/655231-0" TargetMode="External"/><Relationship Id="rId319" Type="http://schemas.openxmlformats.org/officeDocument/2006/relationships/hyperlink" Target="https://webagentes.canaldirecto.com.ar/incidents/view/661778-7" TargetMode="External"/><Relationship Id="rId526" Type="http://schemas.openxmlformats.org/officeDocument/2006/relationships/hyperlink" Target="https://webagentes.canaldirecto.com.ar/liquidations/removeIncident/672146-0" TargetMode="External"/><Relationship Id="rId1156" Type="http://schemas.openxmlformats.org/officeDocument/2006/relationships/hyperlink" Target="https://webagentes.canaldirecto.com.ar/incidents/view/702227-8" TargetMode="External"/><Relationship Id="rId1363" Type="http://schemas.openxmlformats.org/officeDocument/2006/relationships/hyperlink" Target="https://webagentes.canaldirecto.com.ar/incidents/view/711974-1" TargetMode="External"/><Relationship Id="rId2207" Type="http://schemas.openxmlformats.org/officeDocument/2006/relationships/hyperlink" Target="https://webagentes.canaldirecto.com.ar/incidents/view/748621-8" TargetMode="External"/><Relationship Id="rId2761" Type="http://schemas.openxmlformats.org/officeDocument/2006/relationships/hyperlink" Target="https://webagentes.canaldirecto.com.ar/incidents/view/771987-9" TargetMode="External"/><Relationship Id="rId2859" Type="http://schemas.openxmlformats.org/officeDocument/2006/relationships/hyperlink" Target="https://webagentes.canaldirecto.com.ar/incidents/view/779265-0" TargetMode="External"/><Relationship Id="rId3605" Type="http://schemas.openxmlformats.org/officeDocument/2006/relationships/hyperlink" Target="https://webagentes.canaldirecto.com.ar/incidents/view/799845-8" TargetMode="External"/><Relationship Id="rId3812" Type="http://schemas.openxmlformats.org/officeDocument/2006/relationships/hyperlink" Target="https://webagentes.canaldirecto.com.ar/incidents/view/809383-9" TargetMode="External"/><Relationship Id="rId733" Type="http://schemas.openxmlformats.org/officeDocument/2006/relationships/hyperlink" Target="https://webagentes.canaldirecto.com.ar/incidents/view/678962-2" TargetMode="External"/><Relationship Id="rId940" Type="http://schemas.openxmlformats.org/officeDocument/2006/relationships/hyperlink" Target="https://webagentes.canaldirecto.com.ar/incidents/view/689379-4" TargetMode="External"/><Relationship Id="rId1016" Type="http://schemas.openxmlformats.org/officeDocument/2006/relationships/hyperlink" Target="https://webagentes.canaldirecto.com.ar/incidents/view/690310-7" TargetMode="External"/><Relationship Id="rId1570" Type="http://schemas.openxmlformats.org/officeDocument/2006/relationships/hyperlink" Target="https://webagentes.canaldirecto.com.ar/incidents/view/722760-6" TargetMode="External"/><Relationship Id="rId1668" Type="http://schemas.openxmlformats.org/officeDocument/2006/relationships/hyperlink" Target="https://webagentes.canaldirecto.com.ar/incidents/view/727501-0" TargetMode="External"/><Relationship Id="rId1875" Type="http://schemas.openxmlformats.org/officeDocument/2006/relationships/hyperlink" Target="https://webagentes.canaldirecto.com.ar/incidents/view/737769-1" TargetMode="External"/><Relationship Id="rId2414" Type="http://schemas.openxmlformats.org/officeDocument/2006/relationships/hyperlink" Target="https://webagentes.canaldirecto.com.ar/incidents/view/758586-5" TargetMode="External"/><Relationship Id="rId2621" Type="http://schemas.openxmlformats.org/officeDocument/2006/relationships/hyperlink" Target="https://webagentes.canaldirecto.com.ar/incidents/view/764109-1" TargetMode="External"/><Relationship Id="rId2719" Type="http://schemas.openxmlformats.org/officeDocument/2006/relationships/hyperlink" Target="https://webagentes.canaldirecto.com.ar/incidents/view/774417-6" TargetMode="External"/><Relationship Id="rId800" Type="http://schemas.openxmlformats.org/officeDocument/2006/relationships/hyperlink" Target="https://webagentes.canaldirecto.com.ar/incidents/view/681341-5" TargetMode="External"/><Relationship Id="rId1223" Type="http://schemas.openxmlformats.org/officeDocument/2006/relationships/hyperlink" Target="https://webagentes.canaldirecto.com.ar/incidents/view/703621-7" TargetMode="External"/><Relationship Id="rId1430" Type="http://schemas.openxmlformats.org/officeDocument/2006/relationships/hyperlink" Target="https://webagentes.canaldirecto.com.ar/incidents/view/716815-4" TargetMode="External"/><Relationship Id="rId1528" Type="http://schemas.openxmlformats.org/officeDocument/2006/relationships/hyperlink" Target="https://webagentes.canaldirecto.com.ar/incidents/view/719886-3" TargetMode="External"/><Relationship Id="rId2926" Type="http://schemas.openxmlformats.org/officeDocument/2006/relationships/hyperlink" Target="https://webagentes.canaldirecto.com.ar/incidents/view/782290-6" TargetMode="External"/><Relationship Id="rId3090" Type="http://schemas.openxmlformats.org/officeDocument/2006/relationships/hyperlink" Target="https://webagentes.canaldirecto.com.ar/incidents/view/789229-7" TargetMode="External"/><Relationship Id="rId1735" Type="http://schemas.openxmlformats.org/officeDocument/2006/relationships/hyperlink" Target="https://webagentes.canaldirecto.com.ar/incidents/view/728716-7" TargetMode="External"/><Relationship Id="rId1942" Type="http://schemas.openxmlformats.org/officeDocument/2006/relationships/hyperlink" Target="https://webagentes.canaldirecto.com.ar/incidents/view/741194-0" TargetMode="External"/><Relationship Id="rId3188" Type="http://schemas.openxmlformats.org/officeDocument/2006/relationships/hyperlink" Target="https://webagentes.canaldirecto.com.ar/incidents/view/790796-0" TargetMode="External"/><Relationship Id="rId3395" Type="http://schemas.openxmlformats.org/officeDocument/2006/relationships/hyperlink" Target="https://webagentes.canaldirecto.com.ar/liquidations/removeIncident/797600-3" TargetMode="External"/><Relationship Id="rId27" Type="http://schemas.openxmlformats.org/officeDocument/2006/relationships/hyperlink" Target="http://webagentes.canaldirecto.com.ar/incidents/view/651764-5" TargetMode="External"/><Relationship Id="rId1802" Type="http://schemas.openxmlformats.org/officeDocument/2006/relationships/hyperlink" Target="https://webagentes.canaldirecto.com.ar/incidents/view/736254-7" TargetMode="External"/><Relationship Id="rId3048" Type="http://schemas.openxmlformats.org/officeDocument/2006/relationships/hyperlink" Target="https://webagentes.canaldirecto.com.ar/incidents/view/787012-5" TargetMode="External"/><Relationship Id="rId3255" Type="http://schemas.openxmlformats.org/officeDocument/2006/relationships/hyperlink" Target="https://webagentes.canaldirecto.com.ar/incidents/view/791756-9" TargetMode="External"/><Relationship Id="rId3462" Type="http://schemas.openxmlformats.org/officeDocument/2006/relationships/hyperlink" Target="https://webagentes.canaldirecto.com.ar/incidents/view/796063-1" TargetMode="External"/><Relationship Id="rId176" Type="http://schemas.openxmlformats.org/officeDocument/2006/relationships/hyperlink" Target="http://webagentes.canaldirecto.com.ar/incidents/view/656692-4" TargetMode="External"/><Relationship Id="rId383" Type="http://schemas.openxmlformats.org/officeDocument/2006/relationships/hyperlink" Target="https://webagentes.canaldirecto.com.ar/incidents/view/669393-6" TargetMode="External"/><Relationship Id="rId590" Type="http://schemas.openxmlformats.org/officeDocument/2006/relationships/hyperlink" Target="https://webagentes.canaldirecto.com.ar/liquidations/removeIncident/670100-4" TargetMode="External"/><Relationship Id="rId2064" Type="http://schemas.openxmlformats.org/officeDocument/2006/relationships/hyperlink" Target="https://webagentes.canaldirecto.com.ar/incidents/view/742852-4" TargetMode="External"/><Relationship Id="rId2271" Type="http://schemas.openxmlformats.org/officeDocument/2006/relationships/hyperlink" Target="https://webagentes.canaldirecto.com.ar/incidents/view/751358-5" TargetMode="External"/><Relationship Id="rId3115" Type="http://schemas.openxmlformats.org/officeDocument/2006/relationships/hyperlink" Target="https://webagentes.canaldirecto.com.ar/incidents/view/788341-1" TargetMode="External"/><Relationship Id="rId3322" Type="http://schemas.openxmlformats.org/officeDocument/2006/relationships/hyperlink" Target="https://webagentes.canaldirecto.com.ar/incidents/view/794235-2" TargetMode="External"/><Relationship Id="rId3767" Type="http://schemas.openxmlformats.org/officeDocument/2006/relationships/hyperlink" Target="https://webagentes.canaldirecto.com.ar/incidents/view/805019-9" TargetMode="External"/><Relationship Id="rId243" Type="http://schemas.openxmlformats.org/officeDocument/2006/relationships/hyperlink" Target="http://webagentes.canaldirecto.com.ar/incidents/view/660791-1" TargetMode="External"/><Relationship Id="rId450" Type="http://schemas.openxmlformats.org/officeDocument/2006/relationships/hyperlink" Target="https://webagentes.canaldirecto.com.ar/liquidations/removeIncident/668345-2" TargetMode="External"/><Relationship Id="rId688" Type="http://schemas.openxmlformats.org/officeDocument/2006/relationships/hyperlink" Target="https://webagentes.canaldirecto.com.ar/incidents/view/674427-6" TargetMode="External"/><Relationship Id="rId895" Type="http://schemas.openxmlformats.org/officeDocument/2006/relationships/hyperlink" Target="https://webagentes.canaldirecto.com.ar/liquidations/removeIncident/684253-2" TargetMode="External"/><Relationship Id="rId1080" Type="http://schemas.openxmlformats.org/officeDocument/2006/relationships/hyperlink" Target="https://webagentes.canaldirecto.com.ar/incidents/view/696662-9" TargetMode="External"/><Relationship Id="rId2131" Type="http://schemas.openxmlformats.org/officeDocument/2006/relationships/hyperlink" Target="https://webagentes.canaldirecto.com.ar/incidents/view/745852-5" TargetMode="External"/><Relationship Id="rId2369" Type="http://schemas.openxmlformats.org/officeDocument/2006/relationships/hyperlink" Target="https://webagentes.canaldirecto.com.ar/incidents/view/755586-4" TargetMode="External"/><Relationship Id="rId2576" Type="http://schemas.openxmlformats.org/officeDocument/2006/relationships/hyperlink" Target="https://webagentes.canaldirecto.com.ar/incidents/view/761328-3" TargetMode="External"/><Relationship Id="rId2783" Type="http://schemas.openxmlformats.org/officeDocument/2006/relationships/hyperlink" Target="https://webagentes.canaldirecto.com.ar/incidents/view/776025-3" TargetMode="External"/><Relationship Id="rId2990" Type="http://schemas.openxmlformats.org/officeDocument/2006/relationships/hyperlink" Target="https://webagentes.canaldirecto.com.ar/incidents/view/784824-1" TargetMode="External"/><Relationship Id="rId3627" Type="http://schemas.openxmlformats.org/officeDocument/2006/relationships/hyperlink" Target="https://webagentes.canaldirecto.com.ar/incidents/view/799372-7" TargetMode="External"/><Relationship Id="rId3834" Type="http://schemas.openxmlformats.org/officeDocument/2006/relationships/hyperlink" Target="https://webagentes.canaldirecto.com.ar/incidents/view/808555-7" TargetMode="External"/><Relationship Id="rId103" Type="http://schemas.openxmlformats.org/officeDocument/2006/relationships/hyperlink" Target="http://webagentes.canaldirecto.com.ar/liquidations/removeIncident/648809-7" TargetMode="External"/><Relationship Id="rId310" Type="http://schemas.openxmlformats.org/officeDocument/2006/relationships/hyperlink" Target="https://webagentes.canaldirecto.com.ar/incidents/view/662358-4" TargetMode="External"/><Relationship Id="rId548" Type="http://schemas.openxmlformats.org/officeDocument/2006/relationships/hyperlink" Target="https://webagentes.canaldirecto.com.ar/liquidations/removeIncident/670928-2" TargetMode="External"/><Relationship Id="rId755" Type="http://schemas.openxmlformats.org/officeDocument/2006/relationships/hyperlink" Target="https://webagentes.canaldirecto.com.ar/incidents/view/678084-3" TargetMode="External"/><Relationship Id="rId962" Type="http://schemas.openxmlformats.org/officeDocument/2006/relationships/hyperlink" Target="https://webagentes.canaldirecto.com.ar/incidents/view/688189-6" TargetMode="External"/><Relationship Id="rId1178" Type="http://schemas.openxmlformats.org/officeDocument/2006/relationships/hyperlink" Target="https://webagentes.canaldirecto.com.ar/incidents/view/706615-7" TargetMode="External"/><Relationship Id="rId1385" Type="http://schemas.openxmlformats.org/officeDocument/2006/relationships/hyperlink" Target="https://webagentes.canaldirecto.com.ar/incidents/view/711619-7" TargetMode="External"/><Relationship Id="rId1592" Type="http://schemas.openxmlformats.org/officeDocument/2006/relationships/hyperlink" Target="https://webagentes.canaldirecto.com.ar/incidents/view/721867-1" TargetMode="External"/><Relationship Id="rId2229" Type="http://schemas.openxmlformats.org/officeDocument/2006/relationships/hyperlink" Target="https://webagentes.canaldirecto.com.ar/incidents/view/747935-1" TargetMode="External"/><Relationship Id="rId2436" Type="http://schemas.openxmlformats.org/officeDocument/2006/relationships/hyperlink" Target="https://webagentes.canaldirecto.com.ar/incidents/view/760942-0" TargetMode="External"/><Relationship Id="rId2643" Type="http://schemas.openxmlformats.org/officeDocument/2006/relationships/hyperlink" Target="https://webagentes.canaldirecto.com.ar/incidents/view/767455-8" TargetMode="External"/><Relationship Id="rId2850" Type="http://schemas.openxmlformats.org/officeDocument/2006/relationships/hyperlink" Target="https://webagentes.canaldirecto.com.ar/incidents/view/779276-6" TargetMode="External"/><Relationship Id="rId91" Type="http://schemas.openxmlformats.org/officeDocument/2006/relationships/hyperlink" Target="http://webagentes.canaldirecto.com.ar/liquidations/removeIncident/653452-7" TargetMode="External"/><Relationship Id="rId408" Type="http://schemas.openxmlformats.org/officeDocument/2006/relationships/hyperlink" Target="https://webagentes.canaldirecto.com.ar/liquidations/removeIncident/669308-8" TargetMode="External"/><Relationship Id="rId615" Type="http://schemas.openxmlformats.org/officeDocument/2006/relationships/hyperlink" Target="https://webagentes.canaldirecto.com.ar/incidents/view/677731-7" TargetMode="External"/><Relationship Id="rId822" Type="http://schemas.openxmlformats.org/officeDocument/2006/relationships/hyperlink" Target="https://webagentes.canaldirecto.com.ar/incidents/view/686644-4" TargetMode="External"/><Relationship Id="rId1038" Type="http://schemas.openxmlformats.org/officeDocument/2006/relationships/hyperlink" Target="https://webagentes.canaldirecto.com.ar/incidents/view/694839-5" TargetMode="External"/><Relationship Id="rId1245" Type="http://schemas.openxmlformats.org/officeDocument/2006/relationships/hyperlink" Target="https://webagentes.canaldirecto.com.ar/incidents/view/709738-8" TargetMode="External"/><Relationship Id="rId1452" Type="http://schemas.openxmlformats.org/officeDocument/2006/relationships/hyperlink" Target="https://webagentes.canaldirecto.com.ar/incidents/view/716427-3" TargetMode="External"/><Relationship Id="rId1897" Type="http://schemas.openxmlformats.org/officeDocument/2006/relationships/hyperlink" Target="https://webagentes.canaldirecto.com.ar/incidents/view/737269-6" TargetMode="External"/><Relationship Id="rId2503" Type="http://schemas.openxmlformats.org/officeDocument/2006/relationships/hyperlink" Target="https://webagentes.canaldirecto.com.ar/liquidations/removeIncident/763672-5" TargetMode="External"/><Relationship Id="rId2948" Type="http://schemas.openxmlformats.org/officeDocument/2006/relationships/hyperlink" Target="https://webagentes.canaldirecto.com.ar/incidents/view/782041-2" TargetMode="External"/><Relationship Id="rId1105" Type="http://schemas.openxmlformats.org/officeDocument/2006/relationships/hyperlink" Target="https://webagentes.canaldirecto.com.ar/incidents/view/699659-6" TargetMode="External"/><Relationship Id="rId1312" Type="http://schemas.openxmlformats.org/officeDocument/2006/relationships/hyperlink" Target="https://webagentes.canaldirecto.com.ar/incidents/view/712762-5" TargetMode="External"/><Relationship Id="rId1757" Type="http://schemas.openxmlformats.org/officeDocument/2006/relationships/hyperlink" Target="https://webagentes.canaldirecto.com.ar/incidents/view/732801-1" TargetMode="External"/><Relationship Id="rId1964" Type="http://schemas.openxmlformats.org/officeDocument/2006/relationships/hyperlink" Target="https://webagentes.canaldirecto.com.ar/incidents/view/740229-8" TargetMode="External"/><Relationship Id="rId2710" Type="http://schemas.openxmlformats.org/officeDocument/2006/relationships/hyperlink" Target="https://webagentes.canaldirecto.com.ar/incidents/view/769081-1" TargetMode="External"/><Relationship Id="rId2808" Type="http://schemas.openxmlformats.org/officeDocument/2006/relationships/hyperlink" Target="https://webagentes.canaldirecto.com.ar/incidents/view/780352-1" TargetMode="External"/><Relationship Id="rId49" Type="http://schemas.openxmlformats.org/officeDocument/2006/relationships/hyperlink" Target="http://webagentes.canaldirecto.com.ar/incidents/view/655144-5" TargetMode="External"/><Relationship Id="rId1617" Type="http://schemas.openxmlformats.org/officeDocument/2006/relationships/hyperlink" Target="https://webagentes.canaldirecto.com.ar/incidents/view/725305-4" TargetMode="External"/><Relationship Id="rId1824" Type="http://schemas.openxmlformats.org/officeDocument/2006/relationships/hyperlink" Target="https://webagentes.canaldirecto.com.ar/incidents/view/735611-1" TargetMode="External"/><Relationship Id="rId3277" Type="http://schemas.openxmlformats.org/officeDocument/2006/relationships/hyperlink" Target="https://webagentes.canaldirecto.com.ar/incidents/view/789951-9" TargetMode="External"/><Relationship Id="rId198" Type="http://schemas.openxmlformats.org/officeDocument/2006/relationships/hyperlink" Target="http://webagentes.canaldirecto.com.ar/incidents/view/655980-9" TargetMode="External"/><Relationship Id="rId2086" Type="http://schemas.openxmlformats.org/officeDocument/2006/relationships/hyperlink" Target="https://webagentes.canaldirecto.com.ar/incidents/view/746805-4" TargetMode="External"/><Relationship Id="rId3484" Type="http://schemas.openxmlformats.org/officeDocument/2006/relationships/hyperlink" Target="https://webagentes.canaldirecto.com.ar/incidents/view/795879-7" TargetMode="External"/><Relationship Id="rId3691" Type="http://schemas.openxmlformats.org/officeDocument/2006/relationships/hyperlink" Target="https://webagentes.canaldirecto.com.ar/incidents/view/802484-8" TargetMode="External"/><Relationship Id="rId3789" Type="http://schemas.openxmlformats.org/officeDocument/2006/relationships/hyperlink" Target="https://webagentes.canaldirecto.com.ar/incidents/view/804133-1" TargetMode="External"/><Relationship Id="rId2293" Type="http://schemas.openxmlformats.org/officeDocument/2006/relationships/hyperlink" Target="https://webagentes.canaldirecto.com.ar/incidents/view/749620-6" TargetMode="External"/><Relationship Id="rId2598" Type="http://schemas.openxmlformats.org/officeDocument/2006/relationships/hyperlink" Target="https://webagentes.canaldirecto.com.ar/incidents/view/766451-5" TargetMode="External"/><Relationship Id="rId3137" Type="http://schemas.openxmlformats.org/officeDocument/2006/relationships/hyperlink" Target="https://webagentes.canaldirecto.com.ar/incidents/view/787334-4" TargetMode="External"/><Relationship Id="rId3344" Type="http://schemas.openxmlformats.org/officeDocument/2006/relationships/hyperlink" Target="https://webagentes.canaldirecto.com.ar/incidents/view/793494-6" TargetMode="External"/><Relationship Id="rId3551" Type="http://schemas.openxmlformats.org/officeDocument/2006/relationships/hyperlink" Target="https://webagentes.canaldirecto.com.ar/liquidations/removeIncident/795351-6" TargetMode="External"/><Relationship Id="rId265" Type="http://schemas.openxmlformats.org/officeDocument/2006/relationships/hyperlink" Target="http://webagentes.canaldirecto.com.ar/incidents/view/658685-8" TargetMode="External"/><Relationship Id="rId472" Type="http://schemas.openxmlformats.org/officeDocument/2006/relationships/hyperlink" Target="https://webagentes.canaldirecto.com.ar/liquidations/removeIncident/667611-5" TargetMode="External"/><Relationship Id="rId2153" Type="http://schemas.openxmlformats.org/officeDocument/2006/relationships/hyperlink" Target="https://webagentes.canaldirecto.com.ar/incidents/view/745505-0" TargetMode="External"/><Relationship Id="rId2360" Type="http://schemas.openxmlformats.org/officeDocument/2006/relationships/hyperlink" Target="https://webagentes.canaldirecto.com.ar/incidents/view/756132-4" TargetMode="External"/><Relationship Id="rId3204" Type="http://schemas.openxmlformats.org/officeDocument/2006/relationships/hyperlink" Target="https://webagentes.canaldirecto.com.ar/incidents/view/790363-6" TargetMode="External"/><Relationship Id="rId3411" Type="http://schemas.openxmlformats.org/officeDocument/2006/relationships/hyperlink" Target="https://webagentes.canaldirecto.com.ar/liquidations/removeIncident/797420-9" TargetMode="External"/><Relationship Id="rId3649" Type="http://schemas.openxmlformats.org/officeDocument/2006/relationships/hyperlink" Target="https://webagentes.canaldirecto.com.ar/incidents/view/798489-9" TargetMode="External"/><Relationship Id="rId3856" Type="http://schemas.openxmlformats.org/officeDocument/2006/relationships/hyperlink" Target="https://webagentes.canaldirecto.com.ar/incidents/view/807066-1" TargetMode="External"/><Relationship Id="rId125" Type="http://schemas.openxmlformats.org/officeDocument/2006/relationships/hyperlink" Target="http://webagentes.canaldirecto.com.ar/liquidations/removeIncident/658005-8" TargetMode="External"/><Relationship Id="rId332" Type="http://schemas.openxmlformats.org/officeDocument/2006/relationships/hyperlink" Target="https://webagentes.canaldirecto.com.ar/incidents/view/666822-2" TargetMode="External"/><Relationship Id="rId777" Type="http://schemas.openxmlformats.org/officeDocument/2006/relationships/hyperlink" Target="https://webagentes.canaldirecto.com.ar/incidents/view/670919-4" TargetMode="External"/><Relationship Id="rId984" Type="http://schemas.openxmlformats.org/officeDocument/2006/relationships/hyperlink" Target="https://webagentes.canaldirecto.com.ar/incidents/view/660280-0" TargetMode="External"/><Relationship Id="rId2013" Type="http://schemas.openxmlformats.org/officeDocument/2006/relationships/hyperlink" Target="https://webagentes.canaldirecto.com.ar/incidents/view/744007-6" TargetMode="External"/><Relationship Id="rId2220" Type="http://schemas.openxmlformats.org/officeDocument/2006/relationships/hyperlink" Target="https://webagentes.canaldirecto.com.ar/incidents/view/748501-5" TargetMode="External"/><Relationship Id="rId2458" Type="http://schemas.openxmlformats.org/officeDocument/2006/relationships/hyperlink" Target="https://webagentes.canaldirecto.com.ar/incidents/view/760794-5" TargetMode="External"/><Relationship Id="rId2665" Type="http://schemas.openxmlformats.org/officeDocument/2006/relationships/hyperlink" Target="https://webagentes.canaldirecto.com.ar/incidents/view/771366-2" TargetMode="External"/><Relationship Id="rId2872" Type="http://schemas.openxmlformats.org/officeDocument/2006/relationships/hyperlink" Target="https://webagentes.canaldirecto.com.ar/incidents/view/779136-9" TargetMode="External"/><Relationship Id="rId3509" Type="http://schemas.openxmlformats.org/officeDocument/2006/relationships/hyperlink" Target="https://webagentes.canaldirecto.com.ar/liquidations/removeIncident/795591-2" TargetMode="External"/><Relationship Id="rId3716" Type="http://schemas.openxmlformats.org/officeDocument/2006/relationships/hyperlink" Target="https://webagentes.canaldirecto.com.ar/incidents/view/801458-6" TargetMode="External"/><Relationship Id="rId637" Type="http://schemas.openxmlformats.org/officeDocument/2006/relationships/hyperlink" Target="https://webagentes.canaldirecto.com.ar/incidents/view/676202-3" TargetMode="External"/><Relationship Id="rId844" Type="http://schemas.openxmlformats.org/officeDocument/2006/relationships/hyperlink" Target="https://webagentes.canaldirecto.com.ar/incidents/view/686012-1" TargetMode="External"/><Relationship Id="rId1267" Type="http://schemas.openxmlformats.org/officeDocument/2006/relationships/hyperlink" Target="https://webagentes.canaldirecto.com.ar/incidents/view/708352-5" TargetMode="External"/><Relationship Id="rId1474" Type="http://schemas.openxmlformats.org/officeDocument/2006/relationships/hyperlink" Target="https://webagentes.canaldirecto.com.ar/incidents/view/716125-8" TargetMode="External"/><Relationship Id="rId1681" Type="http://schemas.openxmlformats.org/officeDocument/2006/relationships/hyperlink" Target="https://webagentes.canaldirecto.com.ar/incidents/view/727125-4" TargetMode="External"/><Relationship Id="rId2318" Type="http://schemas.openxmlformats.org/officeDocument/2006/relationships/hyperlink" Target="https://webagentes.canaldirecto.com.ar/incidents/view/748788-2" TargetMode="External"/><Relationship Id="rId2525" Type="http://schemas.openxmlformats.org/officeDocument/2006/relationships/hyperlink" Target="https://webagentes.canaldirecto.com.ar/liquidations/removeIncident/762932-7" TargetMode="External"/><Relationship Id="rId2732" Type="http://schemas.openxmlformats.org/officeDocument/2006/relationships/hyperlink" Target="https://webagentes.canaldirecto.com.ar/incidents/view/773469-2" TargetMode="External"/><Relationship Id="rId704" Type="http://schemas.openxmlformats.org/officeDocument/2006/relationships/hyperlink" Target="https://webagentes.canaldirecto.com.ar/incidents/view/673869-1" TargetMode="External"/><Relationship Id="rId911" Type="http://schemas.openxmlformats.org/officeDocument/2006/relationships/hyperlink" Target="https://webagentes.canaldirecto.com.ar/liquidations/removeIncident/683549-9" TargetMode="External"/><Relationship Id="rId1127" Type="http://schemas.openxmlformats.org/officeDocument/2006/relationships/hyperlink" Target="https://webagentes.canaldirecto.com.ar/incidents/view/697765-2" TargetMode="External"/><Relationship Id="rId1334" Type="http://schemas.openxmlformats.org/officeDocument/2006/relationships/hyperlink" Target="https://webagentes.canaldirecto.com.ar/incidents/view/712199-5" TargetMode="External"/><Relationship Id="rId1541" Type="http://schemas.openxmlformats.org/officeDocument/2006/relationships/hyperlink" Target="https://webagentes.canaldirecto.com.ar/incidents/view/718930-6" TargetMode="External"/><Relationship Id="rId1779" Type="http://schemas.openxmlformats.org/officeDocument/2006/relationships/hyperlink" Target="https://webagentes.canaldirecto.com.ar/incidents/view/732374-2" TargetMode="External"/><Relationship Id="rId1986" Type="http://schemas.openxmlformats.org/officeDocument/2006/relationships/hyperlink" Target="https://webagentes.canaldirecto.com.ar/incidents/view/744289-8" TargetMode="External"/><Relationship Id="rId40" Type="http://schemas.openxmlformats.org/officeDocument/2006/relationships/hyperlink" Target="http://webagentes.canaldirecto.com.ar/incidents/view/650417-3" TargetMode="External"/><Relationship Id="rId1401" Type="http://schemas.openxmlformats.org/officeDocument/2006/relationships/hyperlink" Target="https://webagentes.canaldirecto.com.ar/incidents/view/717282-9" TargetMode="External"/><Relationship Id="rId1639" Type="http://schemas.openxmlformats.org/officeDocument/2006/relationships/hyperlink" Target="https://webagentes.canaldirecto.com.ar/incidents/view/720137-0" TargetMode="External"/><Relationship Id="rId1846" Type="http://schemas.openxmlformats.org/officeDocument/2006/relationships/hyperlink" Target="https://webagentes.canaldirecto.com.ar/incidents/view/734020-8" TargetMode="External"/><Relationship Id="rId3061" Type="http://schemas.openxmlformats.org/officeDocument/2006/relationships/hyperlink" Target="https://webagentes.canaldirecto.com.ar/incidents/view/786387-9" TargetMode="External"/><Relationship Id="rId3299" Type="http://schemas.openxmlformats.org/officeDocument/2006/relationships/hyperlink" Target="https://webagentes.canaldirecto.com.ar/incidents/view/794693-2" TargetMode="External"/><Relationship Id="rId1706" Type="http://schemas.openxmlformats.org/officeDocument/2006/relationships/hyperlink" Target="https://webagentes.canaldirecto.com.ar/incidents/view/730650-5" TargetMode="External"/><Relationship Id="rId1913" Type="http://schemas.openxmlformats.org/officeDocument/2006/relationships/hyperlink" Target="https://webagentes.canaldirecto.com.ar/liquidations/removeIncident/736797-7" TargetMode="External"/><Relationship Id="rId3159" Type="http://schemas.openxmlformats.org/officeDocument/2006/relationships/hyperlink" Target="https://webagentes.canaldirecto.com.ar/incidents/view/791425-2" TargetMode="External"/><Relationship Id="rId3366" Type="http://schemas.openxmlformats.org/officeDocument/2006/relationships/hyperlink" Target="https://webagentes.canaldirecto.com.ar/incidents/view/792581-4" TargetMode="External"/><Relationship Id="rId3573" Type="http://schemas.openxmlformats.org/officeDocument/2006/relationships/hyperlink" Target="https://webagentes.canaldirecto.com.ar/liquidations/removeIncident/794595-1" TargetMode="External"/><Relationship Id="rId287" Type="http://schemas.openxmlformats.org/officeDocument/2006/relationships/hyperlink" Target="https://webagentes.canaldirecto.com.ar/incidents/view/662712-8" TargetMode="External"/><Relationship Id="rId494" Type="http://schemas.openxmlformats.org/officeDocument/2006/relationships/hyperlink" Target="https://webagentes.canaldirecto.com.ar/liquidations/removeIncident/673202-2" TargetMode="External"/><Relationship Id="rId2175" Type="http://schemas.openxmlformats.org/officeDocument/2006/relationships/hyperlink" Target="https://webagentes.canaldirecto.com.ar/incidents/view/749356-4" TargetMode="External"/><Relationship Id="rId2382" Type="http://schemas.openxmlformats.org/officeDocument/2006/relationships/hyperlink" Target="https://webagentes.canaldirecto.com.ar/incidents/view/755175-2" TargetMode="External"/><Relationship Id="rId3019" Type="http://schemas.openxmlformats.org/officeDocument/2006/relationships/hyperlink" Target="https://webagentes.canaldirecto.com.ar/incidents/view/783085-3" TargetMode="External"/><Relationship Id="rId3226" Type="http://schemas.openxmlformats.org/officeDocument/2006/relationships/hyperlink" Target="https://webagentes.canaldirecto.com.ar/incidents/view/789169-6" TargetMode="External"/><Relationship Id="rId3780" Type="http://schemas.openxmlformats.org/officeDocument/2006/relationships/hyperlink" Target="https://webagentes.canaldirecto.com.ar/incidents/view/804584-1" TargetMode="External"/><Relationship Id="rId147" Type="http://schemas.openxmlformats.org/officeDocument/2006/relationships/hyperlink" Target="http://webagentes.canaldirecto.com.ar/liquidations/removeIncident/657213-8" TargetMode="External"/><Relationship Id="rId354" Type="http://schemas.openxmlformats.org/officeDocument/2006/relationships/hyperlink" Target="https://webagentes.canaldirecto.com.ar/incidents/view/664610-5" TargetMode="External"/><Relationship Id="rId799" Type="http://schemas.openxmlformats.org/officeDocument/2006/relationships/hyperlink" Target="https://webagentes.canaldirecto.com.ar/incidents/view/681547-7" TargetMode="External"/><Relationship Id="rId1191" Type="http://schemas.openxmlformats.org/officeDocument/2006/relationships/hyperlink" Target="https://webagentes.canaldirecto.com.ar/incidents/view/705684-0" TargetMode="External"/><Relationship Id="rId2035" Type="http://schemas.openxmlformats.org/officeDocument/2006/relationships/hyperlink" Target="https://webagentes.canaldirecto.com.ar/incidents/view/743513-5" TargetMode="External"/><Relationship Id="rId2687" Type="http://schemas.openxmlformats.org/officeDocument/2006/relationships/hyperlink" Target="https://webagentes.canaldirecto.com.ar/incidents/view/770385-0" TargetMode="External"/><Relationship Id="rId2894" Type="http://schemas.openxmlformats.org/officeDocument/2006/relationships/hyperlink" Target="https://webagentes.canaldirecto.com.ar/incidents/view/777740-2" TargetMode="External"/><Relationship Id="rId3433" Type="http://schemas.openxmlformats.org/officeDocument/2006/relationships/hyperlink" Target="https://webagentes.canaldirecto.com.ar/liquidations/removeIncident/797109-9" TargetMode="External"/><Relationship Id="rId3640" Type="http://schemas.openxmlformats.org/officeDocument/2006/relationships/hyperlink" Target="https://webagentes.canaldirecto.com.ar/incidents/view/798786-9" TargetMode="External"/><Relationship Id="rId3738" Type="http://schemas.openxmlformats.org/officeDocument/2006/relationships/hyperlink" Target="https://webagentes.canaldirecto.com.ar/incidents/view/797415-7" TargetMode="External"/><Relationship Id="rId561" Type="http://schemas.openxmlformats.org/officeDocument/2006/relationships/hyperlink" Target="https://webagentes.canaldirecto.com.ar/incidents/view/670843-2" TargetMode="External"/><Relationship Id="rId659" Type="http://schemas.openxmlformats.org/officeDocument/2006/relationships/hyperlink" Target="https://webagentes.canaldirecto.com.ar/incidents/view/675607-7" TargetMode="External"/><Relationship Id="rId866" Type="http://schemas.openxmlformats.org/officeDocument/2006/relationships/hyperlink" Target="https://webagentes.canaldirecto.com.ar/incidents/view/685079-9" TargetMode="External"/><Relationship Id="rId1289" Type="http://schemas.openxmlformats.org/officeDocument/2006/relationships/hyperlink" Target="https://webagentes.canaldirecto.com.ar/incidents/view/705881-1" TargetMode="External"/><Relationship Id="rId1496" Type="http://schemas.openxmlformats.org/officeDocument/2006/relationships/hyperlink" Target="https://webagentes.canaldirecto.com.ar/incidents/view/720775-4" TargetMode="External"/><Relationship Id="rId2242" Type="http://schemas.openxmlformats.org/officeDocument/2006/relationships/hyperlink" Target="https://webagentes.canaldirecto.com.ar/incidents/view/747056-3" TargetMode="External"/><Relationship Id="rId2547" Type="http://schemas.openxmlformats.org/officeDocument/2006/relationships/hyperlink" Target="https://webagentes.canaldirecto.com.ar/liquidations/removeIncident/762263-4" TargetMode="External"/><Relationship Id="rId3500" Type="http://schemas.openxmlformats.org/officeDocument/2006/relationships/hyperlink" Target="https://webagentes.canaldirecto.com.ar/incidents/view/795869-0" TargetMode="External"/><Relationship Id="rId214" Type="http://schemas.openxmlformats.org/officeDocument/2006/relationships/hyperlink" Target="http://webagentes.canaldirecto.com.ar/incidents/view/655446-0" TargetMode="External"/><Relationship Id="rId421" Type="http://schemas.openxmlformats.org/officeDocument/2006/relationships/hyperlink" Target="https://webagentes.canaldirecto.com.ar/incidents/view/669077-1" TargetMode="External"/><Relationship Id="rId519" Type="http://schemas.openxmlformats.org/officeDocument/2006/relationships/hyperlink" Target="https://webagentes.canaldirecto.com.ar/incidents/view/672486-5" TargetMode="External"/><Relationship Id="rId1051" Type="http://schemas.openxmlformats.org/officeDocument/2006/relationships/hyperlink" Target="https://webagentes.canaldirecto.com.ar/incidents/view/693465-7" TargetMode="External"/><Relationship Id="rId1149" Type="http://schemas.openxmlformats.org/officeDocument/2006/relationships/hyperlink" Target="https://webagentes.canaldirecto.com.ar/incidents/view/702678-8" TargetMode="External"/><Relationship Id="rId1356" Type="http://schemas.openxmlformats.org/officeDocument/2006/relationships/hyperlink" Target="https://webagentes.canaldirecto.com.ar/incidents/view/712036-7" TargetMode="External"/><Relationship Id="rId2102" Type="http://schemas.openxmlformats.org/officeDocument/2006/relationships/hyperlink" Target="https://webagentes.canaldirecto.com.ar/incidents/view/746318-3" TargetMode="External"/><Relationship Id="rId2754" Type="http://schemas.openxmlformats.org/officeDocument/2006/relationships/hyperlink" Target="https://webagentes.canaldirecto.com.ar/incidents/view/772211-0" TargetMode="External"/><Relationship Id="rId2961" Type="http://schemas.openxmlformats.org/officeDocument/2006/relationships/hyperlink" Target="https://webagentes.canaldirecto.com.ar/incidents/view/781212-1" TargetMode="External"/><Relationship Id="rId3805" Type="http://schemas.openxmlformats.org/officeDocument/2006/relationships/hyperlink" Target="https://webagentes.canaldirecto.com.ar/incidents/view/809580-0" TargetMode="External"/><Relationship Id="rId726" Type="http://schemas.openxmlformats.org/officeDocument/2006/relationships/hyperlink" Target="https://webagentes.canaldirecto.com.ar/incidents/view/679416-5" TargetMode="External"/><Relationship Id="rId933" Type="http://schemas.openxmlformats.org/officeDocument/2006/relationships/hyperlink" Target="https://webagentes.canaldirecto.com.ar/incidents/view/689533-0" TargetMode="External"/><Relationship Id="rId1009" Type="http://schemas.openxmlformats.org/officeDocument/2006/relationships/hyperlink" Target="https://webagentes.canaldirecto.com.ar/incidents/view/690403-6" TargetMode="External"/><Relationship Id="rId1563" Type="http://schemas.openxmlformats.org/officeDocument/2006/relationships/hyperlink" Target="https://webagentes.canaldirecto.com.ar/incidents/view/717368-8" TargetMode="External"/><Relationship Id="rId1770" Type="http://schemas.openxmlformats.org/officeDocument/2006/relationships/hyperlink" Target="https://webagentes.canaldirecto.com.ar/incidents/view/732787-2" TargetMode="External"/><Relationship Id="rId1868" Type="http://schemas.openxmlformats.org/officeDocument/2006/relationships/hyperlink" Target="https://webagentes.canaldirecto.com.ar/liquidations/removeIncident/737886-7" TargetMode="External"/><Relationship Id="rId2407" Type="http://schemas.openxmlformats.org/officeDocument/2006/relationships/hyperlink" Target="https://webagentes.canaldirecto.com.ar/incidents/view/759066-3" TargetMode="External"/><Relationship Id="rId2614" Type="http://schemas.openxmlformats.org/officeDocument/2006/relationships/hyperlink" Target="https://webagentes.canaldirecto.com.ar/incidents/view/765075-2" TargetMode="External"/><Relationship Id="rId2821" Type="http://schemas.openxmlformats.org/officeDocument/2006/relationships/hyperlink" Target="https://webagentes.canaldirecto.com.ar/incidents/view/779822-9" TargetMode="External"/><Relationship Id="rId62" Type="http://schemas.openxmlformats.org/officeDocument/2006/relationships/hyperlink" Target="http://webagentes.canaldirecto.com.ar/incidents/view/654748-8" TargetMode="External"/><Relationship Id="rId1216" Type="http://schemas.openxmlformats.org/officeDocument/2006/relationships/hyperlink" Target="https://webagentes.canaldirecto.com.ar/incidents/view/704282-9" TargetMode="External"/><Relationship Id="rId1423" Type="http://schemas.openxmlformats.org/officeDocument/2006/relationships/hyperlink" Target="https://webagentes.canaldirecto.com.ar/incidents/view/716914-4" TargetMode="External"/><Relationship Id="rId1630" Type="http://schemas.openxmlformats.org/officeDocument/2006/relationships/hyperlink" Target="https://webagentes.canaldirecto.com.ar/incidents/view/723669-5" TargetMode="External"/><Relationship Id="rId2919" Type="http://schemas.openxmlformats.org/officeDocument/2006/relationships/hyperlink" Target="https://webagentes.canaldirecto.com.ar/incidents/view/782734-5" TargetMode="External"/><Relationship Id="rId3083" Type="http://schemas.openxmlformats.org/officeDocument/2006/relationships/hyperlink" Target="https://webagentes.canaldirecto.com.ar/incidents/view/785495-0" TargetMode="External"/><Relationship Id="rId3290" Type="http://schemas.openxmlformats.org/officeDocument/2006/relationships/hyperlink" Target="https://webagentes.canaldirecto.com.ar/incidents/view/789853-8" TargetMode="External"/><Relationship Id="rId1728" Type="http://schemas.openxmlformats.org/officeDocument/2006/relationships/hyperlink" Target="https://webagentes.canaldirecto.com.ar/incidents/view/729152-2" TargetMode="External"/><Relationship Id="rId1935" Type="http://schemas.openxmlformats.org/officeDocument/2006/relationships/hyperlink" Target="https://webagentes.canaldirecto.com.ar/liquidations/removeIncident/736071-6" TargetMode="External"/><Relationship Id="rId3150" Type="http://schemas.openxmlformats.org/officeDocument/2006/relationships/hyperlink" Target="https://webagentes.canaldirecto.com.ar/incidents/view/791618-0" TargetMode="External"/><Relationship Id="rId3388" Type="http://schemas.openxmlformats.org/officeDocument/2006/relationships/hyperlink" Target="https://webagentes.canaldirecto.com.ar/incidents/view/791795-8" TargetMode="External"/><Relationship Id="rId3595" Type="http://schemas.openxmlformats.org/officeDocument/2006/relationships/hyperlink" Target="https://webagentes.canaldirecto.com.ar/incidents/view/799977-6" TargetMode="External"/><Relationship Id="rId2197" Type="http://schemas.openxmlformats.org/officeDocument/2006/relationships/hyperlink" Target="https://webagentes.canaldirecto.com.ar/incidents/view/748683-8" TargetMode="External"/><Relationship Id="rId3010" Type="http://schemas.openxmlformats.org/officeDocument/2006/relationships/hyperlink" Target="https://webagentes.canaldirecto.com.ar/incidents/view/783099-6" TargetMode="External"/><Relationship Id="rId3248" Type="http://schemas.openxmlformats.org/officeDocument/2006/relationships/hyperlink" Target="https://webagentes.canaldirecto.com.ar/incidents/view/775074-2" TargetMode="External"/><Relationship Id="rId3455" Type="http://schemas.openxmlformats.org/officeDocument/2006/relationships/hyperlink" Target="https://webagentes.canaldirecto.com.ar/liquidations/removeIncident/796305-4" TargetMode="External"/><Relationship Id="rId3662" Type="http://schemas.openxmlformats.org/officeDocument/2006/relationships/hyperlink" Target="https://webagentes.canaldirecto.com.ar/incidents/view/797554-5" TargetMode="External"/><Relationship Id="rId169" Type="http://schemas.openxmlformats.org/officeDocument/2006/relationships/hyperlink" Target="http://webagentes.canaldirecto.com.ar/liquidations/removeIncident/656977-2" TargetMode="External"/><Relationship Id="rId376" Type="http://schemas.openxmlformats.org/officeDocument/2006/relationships/hyperlink" Target="https://webagentes.canaldirecto.com.ar/liquidations/removeIncident/669755-2" TargetMode="External"/><Relationship Id="rId583" Type="http://schemas.openxmlformats.org/officeDocument/2006/relationships/hyperlink" Target="https://webagentes.canaldirecto.com.ar/incidents/view/670227-0" TargetMode="External"/><Relationship Id="rId790" Type="http://schemas.openxmlformats.org/officeDocument/2006/relationships/hyperlink" Target="https://webagentes.canaldirecto.com.ar/incidents/view/682753-3" TargetMode="External"/><Relationship Id="rId2057" Type="http://schemas.openxmlformats.org/officeDocument/2006/relationships/hyperlink" Target="https://webagentes.canaldirecto.com.ar/incidents/view/742986-0" TargetMode="External"/><Relationship Id="rId2264" Type="http://schemas.openxmlformats.org/officeDocument/2006/relationships/hyperlink" Target="https://webagentes.canaldirecto.com.ar/incidents/view/751367-3" TargetMode="External"/><Relationship Id="rId2471" Type="http://schemas.openxmlformats.org/officeDocument/2006/relationships/hyperlink" Target="https://webagentes.canaldirecto.com.ar/incidents/view/760046-5" TargetMode="External"/><Relationship Id="rId3108" Type="http://schemas.openxmlformats.org/officeDocument/2006/relationships/hyperlink" Target="https://webagentes.canaldirecto.com.ar/incidents/view/788349-3" TargetMode="External"/><Relationship Id="rId3315" Type="http://schemas.openxmlformats.org/officeDocument/2006/relationships/hyperlink" Target="https://webagentes.canaldirecto.com.ar/incidents/view/794388-3" TargetMode="External"/><Relationship Id="rId3522" Type="http://schemas.openxmlformats.org/officeDocument/2006/relationships/hyperlink" Target="https://webagentes.canaldirecto.com.ar/incidents/view/795584-2" TargetMode="External"/><Relationship Id="rId4" Type="http://schemas.openxmlformats.org/officeDocument/2006/relationships/hyperlink" Target="http://webagentes.canaldirecto.com.ar/incidents/view/652428-3" TargetMode="External"/><Relationship Id="rId236" Type="http://schemas.openxmlformats.org/officeDocument/2006/relationships/hyperlink" Target="http://webagentes.canaldirecto.com.ar/incidents/view/654293-3" TargetMode="External"/><Relationship Id="rId443" Type="http://schemas.openxmlformats.org/officeDocument/2006/relationships/hyperlink" Target="https://webagentes.canaldirecto.com.ar/incidents/view/668592-8" TargetMode="External"/><Relationship Id="rId650" Type="http://schemas.openxmlformats.org/officeDocument/2006/relationships/hyperlink" Target="https://webagentes.canaldirecto.com.ar/incidents/view/675619-2" TargetMode="External"/><Relationship Id="rId888" Type="http://schemas.openxmlformats.org/officeDocument/2006/relationships/hyperlink" Target="https://webagentes.canaldirecto.com.ar/incidents/view/684341-6" TargetMode="External"/><Relationship Id="rId1073" Type="http://schemas.openxmlformats.org/officeDocument/2006/relationships/hyperlink" Target="https://webagentes.canaldirecto.com.ar/incidents/view/697441-5" TargetMode="External"/><Relationship Id="rId1280" Type="http://schemas.openxmlformats.org/officeDocument/2006/relationships/hyperlink" Target="https://webagentes.canaldirecto.com.ar/incidents/view/706854-4" TargetMode="External"/><Relationship Id="rId2124" Type="http://schemas.openxmlformats.org/officeDocument/2006/relationships/hyperlink" Target="https://webagentes.canaldirecto.com.ar/incidents/view/745997-7" TargetMode="External"/><Relationship Id="rId2331" Type="http://schemas.openxmlformats.org/officeDocument/2006/relationships/hyperlink" Target="https://webagentes.canaldirecto.com.ar/incidents/view/752893-0" TargetMode="External"/><Relationship Id="rId2569" Type="http://schemas.openxmlformats.org/officeDocument/2006/relationships/hyperlink" Target="https://webagentes.canaldirecto.com.ar/liquidations/removeIncident/761588-3" TargetMode="External"/><Relationship Id="rId2776" Type="http://schemas.openxmlformats.org/officeDocument/2006/relationships/hyperlink" Target="https://webagentes.canaldirecto.com.ar/incidents/view/776370-0" TargetMode="External"/><Relationship Id="rId2983" Type="http://schemas.openxmlformats.org/officeDocument/2006/relationships/hyperlink" Target="https://webagentes.canaldirecto.com.ar/incidents/view/785318-2" TargetMode="External"/><Relationship Id="rId3827" Type="http://schemas.openxmlformats.org/officeDocument/2006/relationships/hyperlink" Target="https://webagentes.canaldirecto.com.ar/incidents/view/808958-0" TargetMode="External"/><Relationship Id="rId303" Type="http://schemas.openxmlformats.org/officeDocument/2006/relationships/hyperlink" Target="https://webagentes.canaldirecto.com.ar/incidents/view/662424-6" TargetMode="External"/><Relationship Id="rId748" Type="http://schemas.openxmlformats.org/officeDocument/2006/relationships/hyperlink" Target="https://webagentes.canaldirecto.com.ar/incidents/view/678231-9" TargetMode="External"/><Relationship Id="rId955" Type="http://schemas.openxmlformats.org/officeDocument/2006/relationships/hyperlink" Target="https://webagentes.canaldirecto.com.ar/incidents/view/688648-4" TargetMode="External"/><Relationship Id="rId1140" Type="http://schemas.openxmlformats.org/officeDocument/2006/relationships/hyperlink" Target="https://webagentes.canaldirecto.com.ar/incidents/view/703340-5" TargetMode="External"/><Relationship Id="rId1378" Type="http://schemas.openxmlformats.org/officeDocument/2006/relationships/hyperlink" Target="https://webagentes.canaldirecto.com.ar/incidents/view/711677-1" TargetMode="External"/><Relationship Id="rId1585" Type="http://schemas.openxmlformats.org/officeDocument/2006/relationships/hyperlink" Target="https://webagentes.canaldirecto.com.ar/incidents/view/721877-8" TargetMode="External"/><Relationship Id="rId1792" Type="http://schemas.openxmlformats.org/officeDocument/2006/relationships/hyperlink" Target="https://webagentes.canaldirecto.com.ar/incidents/view/731493-9" TargetMode="External"/><Relationship Id="rId2429" Type="http://schemas.openxmlformats.org/officeDocument/2006/relationships/hyperlink" Target="https://webagentes.canaldirecto.com.ar/incidents/view/755386-6" TargetMode="External"/><Relationship Id="rId2636" Type="http://schemas.openxmlformats.org/officeDocument/2006/relationships/hyperlink" Target="https://webagentes.canaldirecto.com.ar/incidents/view/767868-8" TargetMode="External"/><Relationship Id="rId2843" Type="http://schemas.openxmlformats.org/officeDocument/2006/relationships/hyperlink" Target="https://webagentes.canaldirecto.com.ar/incidents/view/779287-2" TargetMode="External"/><Relationship Id="rId84" Type="http://schemas.openxmlformats.org/officeDocument/2006/relationships/hyperlink" Target="http://webagentes.canaldirecto.com.ar/incidents/view/653740-9" TargetMode="External"/><Relationship Id="rId510" Type="http://schemas.openxmlformats.org/officeDocument/2006/relationships/hyperlink" Target="https://webagentes.canaldirecto.com.ar/liquidations/removeIncident/672642-9" TargetMode="External"/><Relationship Id="rId608" Type="http://schemas.openxmlformats.org/officeDocument/2006/relationships/hyperlink" Target="https://webagentes.canaldirecto.com.ar/liquidations/removeIncident/662364-5" TargetMode="External"/><Relationship Id="rId815" Type="http://schemas.openxmlformats.org/officeDocument/2006/relationships/hyperlink" Target="https://webagentes.canaldirecto.com.ar/liquidations/removeIncident/687056-2" TargetMode="External"/><Relationship Id="rId1238" Type="http://schemas.openxmlformats.org/officeDocument/2006/relationships/hyperlink" Target="https://webagentes.canaldirecto.com.ar/incidents/view/710141-4" TargetMode="External"/><Relationship Id="rId1445" Type="http://schemas.openxmlformats.org/officeDocument/2006/relationships/hyperlink" Target="https://webagentes.canaldirecto.com.ar/incidents/view/716443-1" TargetMode="External"/><Relationship Id="rId1652" Type="http://schemas.openxmlformats.org/officeDocument/2006/relationships/hyperlink" Target="https://webagentes.canaldirecto.com.ar/incidents/view/728290-4" TargetMode="External"/><Relationship Id="rId1000" Type="http://schemas.openxmlformats.org/officeDocument/2006/relationships/hyperlink" Target="https://webagentes.canaldirecto.com.ar/incidents/view/691079-0" TargetMode="External"/><Relationship Id="rId1305" Type="http://schemas.openxmlformats.org/officeDocument/2006/relationships/hyperlink" Target="https://webagentes.canaldirecto.com.ar/incidents/view/712864-2" TargetMode="External"/><Relationship Id="rId1957" Type="http://schemas.openxmlformats.org/officeDocument/2006/relationships/hyperlink" Target="https://webagentes.canaldirecto.com.ar/incidents/view/740747-9" TargetMode="External"/><Relationship Id="rId2703" Type="http://schemas.openxmlformats.org/officeDocument/2006/relationships/hyperlink" Target="https://webagentes.canaldirecto.com.ar/incidents/view/769651-4" TargetMode="External"/><Relationship Id="rId2910" Type="http://schemas.openxmlformats.org/officeDocument/2006/relationships/hyperlink" Target="https://webagentes.canaldirecto.com.ar/incidents/view/782744-2" TargetMode="External"/><Relationship Id="rId1512" Type="http://schemas.openxmlformats.org/officeDocument/2006/relationships/hyperlink" Target="https://webagentes.canaldirecto.com.ar/incidents/view/720435-9" TargetMode="External"/><Relationship Id="rId1817" Type="http://schemas.openxmlformats.org/officeDocument/2006/relationships/hyperlink" Target="https://webagentes.canaldirecto.com.ar/incidents/view/735619-3" TargetMode="External"/><Relationship Id="rId3172" Type="http://schemas.openxmlformats.org/officeDocument/2006/relationships/hyperlink" Target="https://webagentes.canaldirecto.com.ar/incidents/view/790913-5" TargetMode="External"/><Relationship Id="rId11" Type="http://schemas.openxmlformats.org/officeDocument/2006/relationships/hyperlink" Target="http://webagentes.canaldirecto.com.ar/incidents/view/652059-7" TargetMode="External"/><Relationship Id="rId398" Type="http://schemas.openxmlformats.org/officeDocument/2006/relationships/hyperlink" Target="https://webagentes.canaldirecto.com.ar/liquidations/removeIncident/669382-0" TargetMode="External"/><Relationship Id="rId2079" Type="http://schemas.openxmlformats.org/officeDocument/2006/relationships/hyperlink" Target="https://webagentes.canaldirecto.com.ar/incidents/view/746819-7" TargetMode="External"/><Relationship Id="rId3032" Type="http://schemas.openxmlformats.org/officeDocument/2006/relationships/hyperlink" Target="https://webagentes.canaldirecto.com.ar/incidents/view/782280-9" TargetMode="External"/><Relationship Id="rId3477" Type="http://schemas.openxmlformats.org/officeDocument/2006/relationships/hyperlink" Target="https://webagentes.canaldirecto.com.ar/liquidations/removeIncident/795883-0" TargetMode="External"/><Relationship Id="rId3684" Type="http://schemas.openxmlformats.org/officeDocument/2006/relationships/hyperlink" Target="https://webagentes.canaldirecto.com.ar/incidents/view/802540-3" TargetMode="External"/><Relationship Id="rId160" Type="http://schemas.openxmlformats.org/officeDocument/2006/relationships/hyperlink" Target="http://webagentes.canaldirecto.com.ar/incidents/view/656981-5" TargetMode="External"/><Relationship Id="rId2286" Type="http://schemas.openxmlformats.org/officeDocument/2006/relationships/hyperlink" Target="https://webagentes.canaldirecto.com.ar/incidents/view/750016-5" TargetMode="External"/><Relationship Id="rId2493" Type="http://schemas.openxmlformats.org/officeDocument/2006/relationships/hyperlink" Target="https://webagentes.canaldirecto.com.ar/liquidations/removeIncident/764097-7" TargetMode="External"/><Relationship Id="rId3337" Type="http://schemas.openxmlformats.org/officeDocument/2006/relationships/hyperlink" Target="https://webagentes.canaldirecto.com.ar/incidents/view/793825-2" TargetMode="External"/><Relationship Id="rId3544" Type="http://schemas.openxmlformats.org/officeDocument/2006/relationships/hyperlink" Target="https://webagentes.canaldirecto.com.ar/incidents/view/795570-9" TargetMode="External"/><Relationship Id="rId3751" Type="http://schemas.openxmlformats.org/officeDocument/2006/relationships/hyperlink" Target="https://webagentes.canaldirecto.com.ar/incidents/view/806221-9" TargetMode="External"/><Relationship Id="rId258" Type="http://schemas.openxmlformats.org/officeDocument/2006/relationships/hyperlink" Target="http://webagentes.canaldirecto.com.ar/incidents/view/659439-8" TargetMode="External"/><Relationship Id="rId465" Type="http://schemas.openxmlformats.org/officeDocument/2006/relationships/hyperlink" Target="https://webagentes.canaldirecto.com.ar/incidents/view/667719-6" TargetMode="External"/><Relationship Id="rId672" Type="http://schemas.openxmlformats.org/officeDocument/2006/relationships/hyperlink" Target="https://webagentes.canaldirecto.com.ar/incidents/view/674858-2" TargetMode="External"/><Relationship Id="rId1095" Type="http://schemas.openxmlformats.org/officeDocument/2006/relationships/hyperlink" Target="https://webagentes.canaldirecto.com.ar/incidents/view/700518-3" TargetMode="External"/><Relationship Id="rId2146" Type="http://schemas.openxmlformats.org/officeDocument/2006/relationships/hyperlink" Target="https://webagentes.canaldirecto.com.ar/incidents/view/745703-0" TargetMode="External"/><Relationship Id="rId2353" Type="http://schemas.openxmlformats.org/officeDocument/2006/relationships/hyperlink" Target="https://webagentes.canaldirecto.com.ar/incidents/view/757084-5" TargetMode="External"/><Relationship Id="rId2560" Type="http://schemas.openxmlformats.org/officeDocument/2006/relationships/hyperlink" Target="https://webagentes.canaldirecto.com.ar/incidents/view/761972-8" TargetMode="External"/><Relationship Id="rId2798" Type="http://schemas.openxmlformats.org/officeDocument/2006/relationships/hyperlink" Target="https://webagentes.canaldirecto.com.ar/incidents/view/774582-9" TargetMode="External"/><Relationship Id="rId3404" Type="http://schemas.openxmlformats.org/officeDocument/2006/relationships/hyperlink" Target="https://webagentes.canaldirecto.com.ar/incidents/view/797547-5" TargetMode="External"/><Relationship Id="rId3611" Type="http://schemas.openxmlformats.org/officeDocument/2006/relationships/hyperlink" Target="https://webagentes.canaldirecto.com.ar/incidents/view/799765-3" TargetMode="External"/><Relationship Id="rId3849" Type="http://schemas.openxmlformats.org/officeDocument/2006/relationships/hyperlink" Target="https://webagentes.canaldirecto.com.ar/incidents/view/807392-3" TargetMode="External"/><Relationship Id="rId118" Type="http://schemas.openxmlformats.org/officeDocument/2006/relationships/hyperlink" Target="http://webagentes.canaldirecto.com.ar/incidents/view/658010-0" TargetMode="External"/><Relationship Id="rId325" Type="http://schemas.openxmlformats.org/officeDocument/2006/relationships/hyperlink" Target="https://webagentes.canaldirecto.com.ar/incidents/view/661082-7" TargetMode="External"/><Relationship Id="rId532" Type="http://schemas.openxmlformats.org/officeDocument/2006/relationships/hyperlink" Target="https://webagentes.canaldirecto.com.ar/liquidations/removeIncident/672102-6" TargetMode="External"/><Relationship Id="rId977" Type="http://schemas.openxmlformats.org/officeDocument/2006/relationships/hyperlink" Target="https://webagentes.canaldirecto.com.ar/incidents/view/687583-1" TargetMode="External"/><Relationship Id="rId1162" Type="http://schemas.openxmlformats.org/officeDocument/2006/relationships/hyperlink" Target="https://webagentes.canaldirecto.com.ar/incidents/view/701814-1" TargetMode="External"/><Relationship Id="rId2006" Type="http://schemas.openxmlformats.org/officeDocument/2006/relationships/hyperlink" Target="https://webagentes.canaldirecto.com.ar/incidents/view/744166-8" TargetMode="External"/><Relationship Id="rId2213" Type="http://schemas.openxmlformats.org/officeDocument/2006/relationships/hyperlink" Target="https://webagentes.canaldirecto.com.ar/incidents/view/748510-3" TargetMode="External"/><Relationship Id="rId2420" Type="http://schemas.openxmlformats.org/officeDocument/2006/relationships/hyperlink" Target="https://webagentes.canaldirecto.com.ar/incidents/view/757687-6" TargetMode="External"/><Relationship Id="rId2658" Type="http://schemas.openxmlformats.org/officeDocument/2006/relationships/hyperlink" Target="https://webagentes.canaldirecto.com.ar/incidents/view/766810-4" TargetMode="External"/><Relationship Id="rId2865" Type="http://schemas.openxmlformats.org/officeDocument/2006/relationships/hyperlink" Target="https://webagentes.canaldirecto.com.ar/incidents/view/779186-4" TargetMode="External"/><Relationship Id="rId3709" Type="http://schemas.openxmlformats.org/officeDocument/2006/relationships/hyperlink" Target="https://webagentes.canaldirecto.com.ar/incidents/view/801644-1" TargetMode="External"/><Relationship Id="rId837" Type="http://schemas.openxmlformats.org/officeDocument/2006/relationships/hyperlink" Target="https://webagentes.canaldirecto.com.ar/liquidations/removeIncident/686017-6" TargetMode="External"/><Relationship Id="rId1022" Type="http://schemas.openxmlformats.org/officeDocument/2006/relationships/hyperlink" Target="https://webagentes.canaldirecto.com.ar/incidents/view/690263-0" TargetMode="External"/><Relationship Id="rId1467" Type="http://schemas.openxmlformats.org/officeDocument/2006/relationships/hyperlink" Target="https://webagentes.canaldirecto.com.ar/incidents/view/716253-0" TargetMode="External"/><Relationship Id="rId1674" Type="http://schemas.openxmlformats.org/officeDocument/2006/relationships/hyperlink" Target="https://webagentes.canaldirecto.com.ar/incidents/view/727242-0" TargetMode="External"/><Relationship Id="rId1881" Type="http://schemas.openxmlformats.org/officeDocument/2006/relationships/hyperlink" Target="https://webagentes.canaldirecto.com.ar/incidents/view/737510-7" TargetMode="External"/><Relationship Id="rId2518" Type="http://schemas.openxmlformats.org/officeDocument/2006/relationships/hyperlink" Target="https://webagentes.canaldirecto.com.ar/incidents/view/763003-1" TargetMode="External"/><Relationship Id="rId2725" Type="http://schemas.openxmlformats.org/officeDocument/2006/relationships/hyperlink" Target="https://webagentes.canaldirecto.com.ar/incidents/view/774411-2" TargetMode="External"/><Relationship Id="rId2932" Type="http://schemas.openxmlformats.org/officeDocument/2006/relationships/hyperlink" Target="https://webagentes.canaldirecto.com.ar/incidents/view/782235-9" TargetMode="External"/><Relationship Id="rId904" Type="http://schemas.openxmlformats.org/officeDocument/2006/relationships/hyperlink" Target="https://webagentes.canaldirecto.com.ar/incidents/view/683552-3" TargetMode="External"/><Relationship Id="rId1327" Type="http://schemas.openxmlformats.org/officeDocument/2006/relationships/hyperlink" Target="https://webagentes.canaldirecto.com.ar/incidents/view/712482-2" TargetMode="External"/><Relationship Id="rId1534" Type="http://schemas.openxmlformats.org/officeDocument/2006/relationships/hyperlink" Target="https://webagentes.canaldirecto.com.ar/incidents/view/719338-1" TargetMode="External"/><Relationship Id="rId1741" Type="http://schemas.openxmlformats.org/officeDocument/2006/relationships/hyperlink" Target="https://webagentes.canaldirecto.com.ar/incidents/view/733293-5" TargetMode="External"/><Relationship Id="rId1979" Type="http://schemas.openxmlformats.org/officeDocument/2006/relationships/hyperlink" Target="https://webagentes.canaldirecto.com.ar/incidents/view/744536-3" TargetMode="External"/><Relationship Id="rId3194" Type="http://schemas.openxmlformats.org/officeDocument/2006/relationships/hyperlink" Target="https://webagentes.canaldirecto.com.ar/incidents/view/790771-1" TargetMode="External"/><Relationship Id="rId33" Type="http://schemas.openxmlformats.org/officeDocument/2006/relationships/hyperlink" Target="http://webagentes.canaldirecto.com.ar/incidents/view/651127-0" TargetMode="External"/><Relationship Id="rId1601" Type="http://schemas.openxmlformats.org/officeDocument/2006/relationships/hyperlink" Target="https://webagentes.canaldirecto.com.ar/incidents/view/721297-8" TargetMode="External"/><Relationship Id="rId1839" Type="http://schemas.openxmlformats.org/officeDocument/2006/relationships/hyperlink" Target="https://webagentes.canaldirecto.com.ar/incidents/view/734191-5" TargetMode="External"/><Relationship Id="rId3054" Type="http://schemas.openxmlformats.org/officeDocument/2006/relationships/hyperlink" Target="https://webagentes.canaldirecto.com.ar/incidents/view/786742-2" TargetMode="External"/><Relationship Id="rId3499" Type="http://schemas.openxmlformats.org/officeDocument/2006/relationships/hyperlink" Target="https://webagentes.canaldirecto.com.ar/liquidations/removeIncident/795870-6" TargetMode="External"/><Relationship Id="rId182" Type="http://schemas.openxmlformats.org/officeDocument/2006/relationships/hyperlink" Target="http://webagentes.canaldirecto.com.ar/incidents/view/656674-8" TargetMode="External"/><Relationship Id="rId1906" Type="http://schemas.openxmlformats.org/officeDocument/2006/relationships/hyperlink" Target="https://webagentes.canaldirecto.com.ar/incidents/view/736941-6" TargetMode="External"/><Relationship Id="rId3261" Type="http://schemas.openxmlformats.org/officeDocument/2006/relationships/hyperlink" Target="https://webagentes.canaldirecto.com.ar/incidents/view/791406-7" TargetMode="External"/><Relationship Id="rId3359" Type="http://schemas.openxmlformats.org/officeDocument/2006/relationships/hyperlink" Target="https://webagentes.canaldirecto.com.ar/incidents/view/792641-5" TargetMode="External"/><Relationship Id="rId3566" Type="http://schemas.openxmlformats.org/officeDocument/2006/relationships/hyperlink" Target="https://webagentes.canaldirecto.com.ar/incidents/view/794764-9" TargetMode="External"/><Relationship Id="rId487" Type="http://schemas.openxmlformats.org/officeDocument/2006/relationships/hyperlink" Target="https://webagentes.canaldirecto.com.ar/incidents/view/673497-8" TargetMode="External"/><Relationship Id="rId694" Type="http://schemas.openxmlformats.org/officeDocument/2006/relationships/hyperlink" Target="https://webagentes.canaldirecto.com.ar/incidents/view/674130-3" TargetMode="External"/><Relationship Id="rId2070" Type="http://schemas.openxmlformats.org/officeDocument/2006/relationships/hyperlink" Target="https://webagentes.canaldirecto.com.ar/incidents/view/742161-9" TargetMode="External"/><Relationship Id="rId2168" Type="http://schemas.openxmlformats.org/officeDocument/2006/relationships/hyperlink" Target="https://webagentes.canaldirecto.com.ar/incidents/view/744591-0" TargetMode="External"/><Relationship Id="rId2375" Type="http://schemas.openxmlformats.org/officeDocument/2006/relationships/hyperlink" Target="https://webagentes.canaldirecto.com.ar/incidents/view/755182-2" TargetMode="External"/><Relationship Id="rId3121" Type="http://schemas.openxmlformats.org/officeDocument/2006/relationships/hyperlink" Target="https://webagentes.canaldirecto.com.ar/incidents/view/788335-0" TargetMode="External"/><Relationship Id="rId3219" Type="http://schemas.openxmlformats.org/officeDocument/2006/relationships/hyperlink" Target="https://webagentes.canaldirecto.com.ar/incidents/view/789482-4" TargetMode="External"/><Relationship Id="rId3773" Type="http://schemas.openxmlformats.org/officeDocument/2006/relationships/hyperlink" Target="https://webagentes.canaldirecto.com.ar/incidents/view/804974-0" TargetMode="External"/><Relationship Id="rId347" Type="http://schemas.openxmlformats.org/officeDocument/2006/relationships/hyperlink" Target="https://webagentes.canaldirecto.com.ar/incidents/view/665319-6" TargetMode="External"/><Relationship Id="rId999" Type="http://schemas.openxmlformats.org/officeDocument/2006/relationships/hyperlink" Target="https://webagentes.canaldirecto.com.ar/incidents/view/691107-2" TargetMode="External"/><Relationship Id="rId1184" Type="http://schemas.openxmlformats.org/officeDocument/2006/relationships/hyperlink" Target="https://webagentes.canaldirecto.com.ar/incidents/view/705992-6" TargetMode="External"/><Relationship Id="rId2028" Type="http://schemas.openxmlformats.org/officeDocument/2006/relationships/hyperlink" Target="https://webagentes.canaldirecto.com.ar/incidents/view/743916-8" TargetMode="External"/><Relationship Id="rId2582" Type="http://schemas.openxmlformats.org/officeDocument/2006/relationships/hyperlink" Target="https://webagentes.canaldirecto.com.ar/incidents/view/761104-5" TargetMode="External"/><Relationship Id="rId2887" Type="http://schemas.openxmlformats.org/officeDocument/2006/relationships/hyperlink" Target="https://webagentes.canaldirecto.com.ar/incidents/view/778058-5" TargetMode="External"/><Relationship Id="rId3426" Type="http://schemas.openxmlformats.org/officeDocument/2006/relationships/hyperlink" Target="https://webagentes.canaldirecto.com.ar/incidents/view/797314-9" TargetMode="External"/><Relationship Id="rId3633" Type="http://schemas.openxmlformats.org/officeDocument/2006/relationships/hyperlink" Target="https://webagentes.canaldirecto.com.ar/incidents/view/799083-6" TargetMode="External"/><Relationship Id="rId3840" Type="http://schemas.openxmlformats.org/officeDocument/2006/relationships/hyperlink" Target="https://webagentes.canaldirecto.com.ar/incidents/view/807780-4" TargetMode="External"/><Relationship Id="rId554" Type="http://schemas.openxmlformats.org/officeDocument/2006/relationships/hyperlink" Target="https://webagentes.canaldirecto.com.ar/liquidations/removeIncident/670923-7" TargetMode="External"/><Relationship Id="rId761" Type="http://schemas.openxmlformats.org/officeDocument/2006/relationships/hyperlink" Target="https://webagentes.canaldirecto.com.ar/incidents/view/677930-6" TargetMode="External"/><Relationship Id="rId859" Type="http://schemas.openxmlformats.org/officeDocument/2006/relationships/hyperlink" Target="https://webagentes.canaldirecto.com.ar/liquidations/removeIncident/685194-7" TargetMode="External"/><Relationship Id="rId1391" Type="http://schemas.openxmlformats.org/officeDocument/2006/relationships/hyperlink" Target="https://webagentes.canaldirecto.com.ar/incidents/view/711585-1" TargetMode="External"/><Relationship Id="rId1489" Type="http://schemas.openxmlformats.org/officeDocument/2006/relationships/hyperlink" Target="https://webagentes.canaldirecto.com.ar/incidents/view/714259-0" TargetMode="External"/><Relationship Id="rId1696" Type="http://schemas.openxmlformats.org/officeDocument/2006/relationships/hyperlink" Target="https://webagentes.canaldirecto.com.ar/incidents/view/730662-0" TargetMode="External"/><Relationship Id="rId2235" Type="http://schemas.openxmlformats.org/officeDocument/2006/relationships/hyperlink" Target="https://webagentes.canaldirecto.com.ar/incidents/view/747788-5" TargetMode="External"/><Relationship Id="rId2442" Type="http://schemas.openxmlformats.org/officeDocument/2006/relationships/hyperlink" Target="https://webagentes.canaldirecto.com.ar/incidents/view/760837-9" TargetMode="External"/><Relationship Id="rId3700" Type="http://schemas.openxmlformats.org/officeDocument/2006/relationships/hyperlink" Target="https://webagentes.canaldirecto.com.ar/incidents/view/802412-1" TargetMode="External"/><Relationship Id="rId207" Type="http://schemas.openxmlformats.org/officeDocument/2006/relationships/hyperlink" Target="http://webagentes.canaldirecto.com.ar/liquidations/removeIncident/655559-3" TargetMode="External"/><Relationship Id="rId414" Type="http://schemas.openxmlformats.org/officeDocument/2006/relationships/hyperlink" Target="https://webagentes.canaldirecto.com.ar/liquidations/removeIncident/669268-1" TargetMode="External"/><Relationship Id="rId621" Type="http://schemas.openxmlformats.org/officeDocument/2006/relationships/hyperlink" Target="https://webagentes.canaldirecto.com.ar/incidents/view/676927-5" TargetMode="External"/><Relationship Id="rId1044" Type="http://schemas.openxmlformats.org/officeDocument/2006/relationships/hyperlink" Target="https://webagentes.canaldirecto.com.ar/incidents/view/694284-1" TargetMode="External"/><Relationship Id="rId1251" Type="http://schemas.openxmlformats.org/officeDocument/2006/relationships/hyperlink" Target="https://webagentes.canaldirecto.com.ar/incidents/view/709266-6" TargetMode="External"/><Relationship Id="rId1349" Type="http://schemas.openxmlformats.org/officeDocument/2006/relationships/hyperlink" Target="https://webagentes.canaldirecto.com.ar/incidents/view/712043-7" TargetMode="External"/><Relationship Id="rId2302" Type="http://schemas.openxmlformats.org/officeDocument/2006/relationships/hyperlink" Target="https://webagentes.canaldirecto.com.ar/incidents/view/749121-0" TargetMode="External"/><Relationship Id="rId2747" Type="http://schemas.openxmlformats.org/officeDocument/2006/relationships/hyperlink" Target="https://webagentes.canaldirecto.com.ar/incidents/view/772763-8" TargetMode="External"/><Relationship Id="rId2954" Type="http://schemas.openxmlformats.org/officeDocument/2006/relationships/hyperlink" Target="https://webagentes.canaldirecto.com.ar/incidents/view/781666-8" TargetMode="External"/><Relationship Id="rId719" Type="http://schemas.openxmlformats.org/officeDocument/2006/relationships/hyperlink" Target="https://webagentes.canaldirecto.com.ar/incidents/view/680004-0" TargetMode="External"/><Relationship Id="rId926" Type="http://schemas.openxmlformats.org/officeDocument/2006/relationships/hyperlink" Target="https://webagentes.canaldirecto.com.ar/incidents/view/689853-1" TargetMode="External"/><Relationship Id="rId1111" Type="http://schemas.openxmlformats.org/officeDocument/2006/relationships/hyperlink" Target="https://webagentes.canaldirecto.com.ar/incidents/view/699263-3" TargetMode="External"/><Relationship Id="rId1556" Type="http://schemas.openxmlformats.org/officeDocument/2006/relationships/hyperlink" Target="https://webagentes.canaldirecto.com.ar/incidents/view/717896-6" TargetMode="External"/><Relationship Id="rId1763" Type="http://schemas.openxmlformats.org/officeDocument/2006/relationships/hyperlink" Target="https://webagentes.canaldirecto.com.ar/incidents/view/732795-1" TargetMode="External"/><Relationship Id="rId1970" Type="http://schemas.openxmlformats.org/officeDocument/2006/relationships/hyperlink" Target="https://webagentes.canaldirecto.com.ar/incidents/view/739754-3" TargetMode="External"/><Relationship Id="rId2607" Type="http://schemas.openxmlformats.org/officeDocument/2006/relationships/hyperlink" Target="https://webagentes.canaldirecto.com.ar/incidents/view/765826-8" TargetMode="External"/><Relationship Id="rId2814" Type="http://schemas.openxmlformats.org/officeDocument/2006/relationships/hyperlink" Target="https://webagentes.canaldirecto.com.ar/incidents/view/780236-4" TargetMode="External"/><Relationship Id="rId55" Type="http://schemas.openxmlformats.org/officeDocument/2006/relationships/hyperlink" Target="http://webagentes.canaldirecto.com.ar/liquidations/removeIncident/655120-5" TargetMode="External"/><Relationship Id="rId1209" Type="http://schemas.openxmlformats.org/officeDocument/2006/relationships/hyperlink" Target="https://webagentes.canaldirecto.com.ar/incidents/view/704663-0" TargetMode="External"/><Relationship Id="rId1416" Type="http://schemas.openxmlformats.org/officeDocument/2006/relationships/hyperlink" Target="https://webagentes.canaldirecto.com.ar/incidents/view/717051-1" TargetMode="External"/><Relationship Id="rId1623" Type="http://schemas.openxmlformats.org/officeDocument/2006/relationships/hyperlink" Target="https://webagentes.canaldirecto.com.ar/incidents/view/724725-7" TargetMode="External"/><Relationship Id="rId1830" Type="http://schemas.openxmlformats.org/officeDocument/2006/relationships/hyperlink" Target="https://webagentes.canaldirecto.com.ar/incidents/view/734965-2" TargetMode="External"/><Relationship Id="rId3076" Type="http://schemas.openxmlformats.org/officeDocument/2006/relationships/hyperlink" Target="https://webagentes.canaldirecto.com.ar/incidents/view/785823-9" TargetMode="External"/><Relationship Id="rId3283" Type="http://schemas.openxmlformats.org/officeDocument/2006/relationships/hyperlink" Target="https://webagentes.canaldirecto.com.ar/incidents/view/789944-9" TargetMode="External"/><Relationship Id="rId3490" Type="http://schemas.openxmlformats.org/officeDocument/2006/relationships/hyperlink" Target="https://webagentes.canaldirecto.com.ar/incidents/view/795875-1" TargetMode="External"/><Relationship Id="rId1928" Type="http://schemas.openxmlformats.org/officeDocument/2006/relationships/hyperlink" Target="https://webagentes.canaldirecto.com.ar/incidents/view/736258-3" TargetMode="External"/><Relationship Id="rId2092" Type="http://schemas.openxmlformats.org/officeDocument/2006/relationships/hyperlink" Target="https://webagentes.canaldirecto.com.ar/incidents/view/746477-5" TargetMode="External"/><Relationship Id="rId3143" Type="http://schemas.openxmlformats.org/officeDocument/2006/relationships/hyperlink" Target="https://webagentes.canaldirecto.com.ar/incidents/view/791735-6" TargetMode="External"/><Relationship Id="rId3350" Type="http://schemas.openxmlformats.org/officeDocument/2006/relationships/hyperlink" Target="https://webagentes.canaldirecto.com.ar/incidents/view/792942-1" TargetMode="External"/><Relationship Id="rId3588" Type="http://schemas.openxmlformats.org/officeDocument/2006/relationships/hyperlink" Target="https://webagentes.canaldirecto.com.ar/incidents/view/800032-5" TargetMode="External"/><Relationship Id="rId3795" Type="http://schemas.openxmlformats.org/officeDocument/2006/relationships/hyperlink" Target="https://webagentes.canaldirecto.com.ar/incidents/view/803027-4" TargetMode="External"/><Relationship Id="rId271" Type="http://schemas.openxmlformats.org/officeDocument/2006/relationships/hyperlink" Target="http://webagentes.canaldirecto.com.ar/incidents/view/658245-4" TargetMode="External"/><Relationship Id="rId2397" Type="http://schemas.openxmlformats.org/officeDocument/2006/relationships/hyperlink" Target="https://webagentes.canaldirecto.com.ar/incidents/view/754285-1" TargetMode="External"/><Relationship Id="rId3003" Type="http://schemas.openxmlformats.org/officeDocument/2006/relationships/hyperlink" Target="https://webagentes.canaldirecto.com.ar/incidents/view/783487-7" TargetMode="External"/><Relationship Id="rId3448" Type="http://schemas.openxmlformats.org/officeDocument/2006/relationships/hyperlink" Target="https://webagentes.canaldirecto.com.ar/incidents/view/796443-3" TargetMode="External"/><Relationship Id="rId3655" Type="http://schemas.openxmlformats.org/officeDocument/2006/relationships/hyperlink" Target="https://webagentes.canaldirecto.com.ar/incidents/view/798259-0" TargetMode="External"/><Relationship Id="rId3862" Type="http://schemas.openxmlformats.org/officeDocument/2006/relationships/hyperlink" Target="https://webagentes.canaldirecto.com.ar/incidents/view/806472-1" TargetMode="External"/><Relationship Id="rId131" Type="http://schemas.openxmlformats.org/officeDocument/2006/relationships/hyperlink" Target="http://webagentes.canaldirecto.com.ar/liquidations/removeIncident/658002-1" TargetMode="External"/><Relationship Id="rId369" Type="http://schemas.openxmlformats.org/officeDocument/2006/relationships/hyperlink" Target="https://webagentes.canaldirecto.com.ar/incidents/view/669893-1" TargetMode="External"/><Relationship Id="rId576" Type="http://schemas.openxmlformats.org/officeDocument/2006/relationships/hyperlink" Target="https://webagentes.canaldirecto.com.ar/liquidations/removeIncident/670352-5" TargetMode="External"/><Relationship Id="rId783" Type="http://schemas.openxmlformats.org/officeDocument/2006/relationships/hyperlink" Target="https://webagentes.canaldirecto.com.ar/incidents/view/683572-7" TargetMode="External"/><Relationship Id="rId990" Type="http://schemas.openxmlformats.org/officeDocument/2006/relationships/hyperlink" Target="https://webagentes.canaldirecto.com.ar/incidents/view/692028-3" TargetMode="External"/><Relationship Id="rId2257" Type="http://schemas.openxmlformats.org/officeDocument/2006/relationships/hyperlink" Target="https://webagentes.canaldirecto.com.ar/incidents/view/751583-9" TargetMode="External"/><Relationship Id="rId2464" Type="http://schemas.openxmlformats.org/officeDocument/2006/relationships/hyperlink" Target="https://webagentes.canaldirecto.com.ar/incidents/view/760451-3" TargetMode="External"/><Relationship Id="rId2671" Type="http://schemas.openxmlformats.org/officeDocument/2006/relationships/hyperlink" Target="https://webagentes.canaldirecto.com.ar/incidents/view/770983-6" TargetMode="External"/><Relationship Id="rId3210" Type="http://schemas.openxmlformats.org/officeDocument/2006/relationships/hyperlink" Target="https://webagentes.canaldirecto.com.ar/incidents/view/789990-8" TargetMode="External"/><Relationship Id="rId3308" Type="http://schemas.openxmlformats.org/officeDocument/2006/relationships/hyperlink" Target="https://webagentes.canaldirecto.com.ar/incidents/view/794402-2" TargetMode="External"/><Relationship Id="rId3515" Type="http://schemas.openxmlformats.org/officeDocument/2006/relationships/hyperlink" Target="https://webagentes.canaldirecto.com.ar/liquidations/removeIncident/795588-8" TargetMode="External"/><Relationship Id="rId229" Type="http://schemas.openxmlformats.org/officeDocument/2006/relationships/hyperlink" Target="http://webagentes.canaldirecto.com.ar/liquidations/removeIncident/655148-1" TargetMode="External"/><Relationship Id="rId436" Type="http://schemas.openxmlformats.org/officeDocument/2006/relationships/hyperlink" Target="https://webagentes.canaldirecto.com.ar/liquidations/removeIncident/668746-7" TargetMode="External"/><Relationship Id="rId643" Type="http://schemas.openxmlformats.org/officeDocument/2006/relationships/hyperlink" Target="https://webagentes.canaldirecto.com.ar/incidents/view/675716-4" TargetMode="External"/><Relationship Id="rId1066" Type="http://schemas.openxmlformats.org/officeDocument/2006/relationships/hyperlink" Target="https://webagentes.canaldirecto.com.ar/incidents/view/691258-5" TargetMode="External"/><Relationship Id="rId1273" Type="http://schemas.openxmlformats.org/officeDocument/2006/relationships/hyperlink" Target="https://webagentes.canaldirecto.com.ar/incidents/view/708011-1" TargetMode="External"/><Relationship Id="rId1480" Type="http://schemas.openxmlformats.org/officeDocument/2006/relationships/hyperlink" Target="https://webagentes.canaldirecto.com.ar/incidents/view/715450-4" TargetMode="External"/><Relationship Id="rId2117" Type="http://schemas.openxmlformats.org/officeDocument/2006/relationships/hyperlink" Target="https://webagentes.canaldirecto.com.ar/incidents/view/746251-9" TargetMode="External"/><Relationship Id="rId2324" Type="http://schemas.openxmlformats.org/officeDocument/2006/relationships/hyperlink" Target="https://webagentes.canaldirecto.com.ar/incidents/view/753304-8" TargetMode="External"/><Relationship Id="rId2769" Type="http://schemas.openxmlformats.org/officeDocument/2006/relationships/hyperlink" Target="https://webagentes.canaldirecto.com.ar/incidents/view/776920-9" TargetMode="External"/><Relationship Id="rId2976" Type="http://schemas.openxmlformats.org/officeDocument/2006/relationships/hyperlink" Target="https://webagentes.canaldirecto.com.ar/incidents/view/780339-0" TargetMode="External"/><Relationship Id="rId3722" Type="http://schemas.openxmlformats.org/officeDocument/2006/relationships/hyperlink" Target="https://webagentes.canaldirecto.com.ar/incidents/view/801151-6" TargetMode="External"/><Relationship Id="rId850" Type="http://schemas.openxmlformats.org/officeDocument/2006/relationships/hyperlink" Target="https://webagentes.canaldirecto.com.ar/incidents/view/686008-8" TargetMode="External"/><Relationship Id="rId948" Type="http://schemas.openxmlformats.org/officeDocument/2006/relationships/hyperlink" Target="https://webagentes.canaldirecto.com.ar/incidents/view/689370-3" TargetMode="External"/><Relationship Id="rId1133" Type="http://schemas.openxmlformats.org/officeDocument/2006/relationships/hyperlink" Target="https://webagentes.canaldirecto.com.ar/incidents/view/703825-1" TargetMode="External"/><Relationship Id="rId1578" Type="http://schemas.openxmlformats.org/officeDocument/2006/relationships/hyperlink" Target="https://webagentes.canaldirecto.com.ar/incidents/view/722084-3" TargetMode="External"/><Relationship Id="rId1785" Type="http://schemas.openxmlformats.org/officeDocument/2006/relationships/hyperlink" Target="https://webagentes.canaldirecto.com.ar/incidents/view/731501-7" TargetMode="External"/><Relationship Id="rId1992" Type="http://schemas.openxmlformats.org/officeDocument/2006/relationships/hyperlink" Target="https://webagentes.canaldirecto.com.ar/incidents/view/744277-3" TargetMode="External"/><Relationship Id="rId2531" Type="http://schemas.openxmlformats.org/officeDocument/2006/relationships/hyperlink" Target="https://webagentes.canaldirecto.com.ar/liquidations/removeIncident/762582-6" TargetMode="External"/><Relationship Id="rId2629" Type="http://schemas.openxmlformats.org/officeDocument/2006/relationships/hyperlink" Target="https://webagentes.canaldirecto.com.ar/incidents/view/768575-8" TargetMode="External"/><Relationship Id="rId2836" Type="http://schemas.openxmlformats.org/officeDocument/2006/relationships/hyperlink" Target="https://webagentes.canaldirecto.com.ar/incidents/view/779737-2" TargetMode="External"/><Relationship Id="rId77" Type="http://schemas.openxmlformats.org/officeDocument/2006/relationships/hyperlink" Target="http://webagentes.canaldirecto.com.ar/liquidations/removeIncident/653824-0" TargetMode="External"/><Relationship Id="rId503" Type="http://schemas.openxmlformats.org/officeDocument/2006/relationships/hyperlink" Target="https://webagentes.canaldirecto.com.ar/incidents/view/672774-7" TargetMode="External"/><Relationship Id="rId710" Type="http://schemas.openxmlformats.org/officeDocument/2006/relationships/hyperlink" Target="https://webagentes.canaldirecto.com.ar/incidents/view/664520-3" TargetMode="External"/><Relationship Id="rId808" Type="http://schemas.openxmlformats.org/officeDocument/2006/relationships/hyperlink" Target="https://webagentes.canaldirecto.com.ar/incidents/view/687273-7" TargetMode="External"/><Relationship Id="rId1340" Type="http://schemas.openxmlformats.org/officeDocument/2006/relationships/hyperlink" Target="https://webagentes.canaldirecto.com.ar/incidents/view/712190-4" TargetMode="External"/><Relationship Id="rId1438" Type="http://schemas.openxmlformats.org/officeDocument/2006/relationships/hyperlink" Target="https://webagentes.canaldirecto.com.ar/incidents/view/716536-0" TargetMode="External"/><Relationship Id="rId1645" Type="http://schemas.openxmlformats.org/officeDocument/2006/relationships/hyperlink" Target="https://webagentes.canaldirecto.com.ar/incidents/view/728375-4" TargetMode="External"/><Relationship Id="rId3098" Type="http://schemas.openxmlformats.org/officeDocument/2006/relationships/hyperlink" Target="https://webagentes.canaldirecto.com.ar/incidents/view/788540-0" TargetMode="External"/><Relationship Id="rId1200" Type="http://schemas.openxmlformats.org/officeDocument/2006/relationships/hyperlink" Target="https://webagentes.canaldirecto.com.ar/incidents/view/705279-2" TargetMode="External"/><Relationship Id="rId1852" Type="http://schemas.openxmlformats.org/officeDocument/2006/relationships/hyperlink" Target="https://webagentes.canaldirecto.com.ar/incidents/view/733274-0" TargetMode="External"/><Relationship Id="rId2903" Type="http://schemas.openxmlformats.org/officeDocument/2006/relationships/hyperlink" Target="https://webagentes.canaldirecto.com.ar/incidents/view/782752-1" TargetMode="External"/><Relationship Id="rId1505" Type="http://schemas.openxmlformats.org/officeDocument/2006/relationships/hyperlink" Target="https://webagentes.canaldirecto.com.ar/incidents/view/720582-6" TargetMode="External"/><Relationship Id="rId1712" Type="http://schemas.openxmlformats.org/officeDocument/2006/relationships/hyperlink" Target="https://webagentes.canaldirecto.com.ar/incidents/view/730635-6" TargetMode="External"/><Relationship Id="rId3165" Type="http://schemas.openxmlformats.org/officeDocument/2006/relationships/hyperlink" Target="https://webagentes.canaldirecto.com.ar/incidents/view/791198-1" TargetMode="External"/><Relationship Id="rId3372" Type="http://schemas.openxmlformats.org/officeDocument/2006/relationships/hyperlink" Target="https://webagentes.canaldirecto.com.ar/incidents/view/792456-9" TargetMode="External"/><Relationship Id="rId293" Type="http://schemas.openxmlformats.org/officeDocument/2006/relationships/hyperlink" Target="https://webagentes.canaldirecto.com.ar/incidents/view/662705-8" TargetMode="External"/><Relationship Id="rId2181" Type="http://schemas.openxmlformats.org/officeDocument/2006/relationships/hyperlink" Target="https://webagentes.canaldirecto.com.ar/incidents/view/749199-1" TargetMode="External"/><Relationship Id="rId3025" Type="http://schemas.openxmlformats.org/officeDocument/2006/relationships/hyperlink" Target="https://webagentes.canaldirecto.com.ar/incidents/view/782963-5" TargetMode="External"/><Relationship Id="rId3232" Type="http://schemas.openxmlformats.org/officeDocument/2006/relationships/hyperlink" Target="https://webagentes.canaldirecto.com.ar/incidents/view/788959-4" TargetMode="External"/><Relationship Id="rId3677" Type="http://schemas.openxmlformats.org/officeDocument/2006/relationships/hyperlink" Target="https://webagentes.canaldirecto.com.ar/incidents/view/803257-3" TargetMode="External"/><Relationship Id="rId153" Type="http://schemas.openxmlformats.org/officeDocument/2006/relationships/hyperlink" Target="http://webagentes.canaldirecto.com.ar/liquidations/removeIncident/656986-0" TargetMode="External"/><Relationship Id="rId360" Type="http://schemas.openxmlformats.org/officeDocument/2006/relationships/hyperlink" Target="https://webagentes.canaldirecto.com.ar/liquidations/removeIncident/670922-8" TargetMode="External"/><Relationship Id="rId598" Type="http://schemas.openxmlformats.org/officeDocument/2006/relationships/hyperlink" Target="https://webagentes.canaldirecto.com.ar/liquidations/removeIncident/669763-1" TargetMode="External"/><Relationship Id="rId2041" Type="http://schemas.openxmlformats.org/officeDocument/2006/relationships/hyperlink" Target="https://webagentes.canaldirecto.com.ar/incidents/view/743491-4" TargetMode="External"/><Relationship Id="rId2279" Type="http://schemas.openxmlformats.org/officeDocument/2006/relationships/hyperlink" Target="https://webagentes.canaldirecto.com.ar/incidents/view/750773-3" TargetMode="External"/><Relationship Id="rId2486" Type="http://schemas.openxmlformats.org/officeDocument/2006/relationships/hyperlink" Target="https://webagentes.canaldirecto.com.ar/incidents/view/759244-9" TargetMode="External"/><Relationship Id="rId2693" Type="http://schemas.openxmlformats.org/officeDocument/2006/relationships/hyperlink" Target="https://webagentes.canaldirecto.com.ar/incidents/view/770132-0" TargetMode="External"/><Relationship Id="rId3537" Type="http://schemas.openxmlformats.org/officeDocument/2006/relationships/hyperlink" Target="https://webagentes.canaldirecto.com.ar/liquidations/removeIncident/795575-4" TargetMode="External"/><Relationship Id="rId3744" Type="http://schemas.openxmlformats.org/officeDocument/2006/relationships/hyperlink" Target="https://webagentes.canaldirecto.com.ar/incidents/view/806326-3" TargetMode="External"/><Relationship Id="rId220" Type="http://schemas.openxmlformats.org/officeDocument/2006/relationships/hyperlink" Target="http://webagentes.canaldirecto.com.ar/incidents/view/655231-0" TargetMode="External"/><Relationship Id="rId458" Type="http://schemas.openxmlformats.org/officeDocument/2006/relationships/hyperlink" Target="https://webagentes.canaldirecto.com.ar/liquidations/removeIncident/668108-3" TargetMode="External"/><Relationship Id="rId665" Type="http://schemas.openxmlformats.org/officeDocument/2006/relationships/hyperlink" Target="https://webagentes.canaldirecto.com.ar/incidents/view/675130-0" TargetMode="External"/><Relationship Id="rId872" Type="http://schemas.openxmlformats.org/officeDocument/2006/relationships/hyperlink" Target="https://webagentes.canaldirecto.com.ar/incidents/view/684749-4" TargetMode="External"/><Relationship Id="rId1088" Type="http://schemas.openxmlformats.org/officeDocument/2006/relationships/hyperlink" Target="https://webagentes.canaldirecto.com.ar/incidents/view/695705-6" TargetMode="External"/><Relationship Id="rId1295" Type="http://schemas.openxmlformats.org/officeDocument/2006/relationships/hyperlink" Target="https://webagentes.canaldirecto.com.ar/incidents/view/713880-7" TargetMode="External"/><Relationship Id="rId2139" Type="http://schemas.openxmlformats.org/officeDocument/2006/relationships/hyperlink" Target="https://webagentes.canaldirecto.com.ar/incidents/view/745745-6" TargetMode="External"/><Relationship Id="rId2346" Type="http://schemas.openxmlformats.org/officeDocument/2006/relationships/hyperlink" Target="https://webagentes.canaldirecto.com.ar/incidents/view/751849-2" TargetMode="External"/><Relationship Id="rId2553" Type="http://schemas.openxmlformats.org/officeDocument/2006/relationships/hyperlink" Target="https://webagentes.canaldirecto.com.ar/liquidations/removeIncident/762229-0" TargetMode="External"/><Relationship Id="rId2760" Type="http://schemas.openxmlformats.org/officeDocument/2006/relationships/hyperlink" Target="https://webagentes.canaldirecto.com.ar/incidents/view/771997-6" TargetMode="External"/><Relationship Id="rId2998" Type="http://schemas.openxmlformats.org/officeDocument/2006/relationships/hyperlink" Target="https://webagentes.canaldirecto.com.ar/incidents/view/784154-9" TargetMode="External"/><Relationship Id="rId3604" Type="http://schemas.openxmlformats.org/officeDocument/2006/relationships/hyperlink" Target="https://webagentes.canaldirecto.com.ar/incidents/view/799846-7" TargetMode="External"/><Relationship Id="rId3811" Type="http://schemas.openxmlformats.org/officeDocument/2006/relationships/hyperlink" Target="https://webagentes.canaldirecto.com.ar/incidents/view/809384-8" TargetMode="External"/><Relationship Id="rId318" Type="http://schemas.openxmlformats.org/officeDocument/2006/relationships/hyperlink" Target="https://webagentes.canaldirecto.com.ar/incidents/view/662116-0" TargetMode="External"/><Relationship Id="rId525" Type="http://schemas.openxmlformats.org/officeDocument/2006/relationships/hyperlink" Target="https://webagentes.canaldirecto.com.ar/incidents/view/672146-0" TargetMode="External"/><Relationship Id="rId732" Type="http://schemas.openxmlformats.org/officeDocument/2006/relationships/hyperlink" Target="https://webagentes.canaldirecto.com.ar/incidents/view/678993-2" TargetMode="External"/><Relationship Id="rId1155" Type="http://schemas.openxmlformats.org/officeDocument/2006/relationships/hyperlink" Target="https://webagentes.canaldirecto.com.ar/incidents/view/702228-7" TargetMode="External"/><Relationship Id="rId1362" Type="http://schemas.openxmlformats.org/officeDocument/2006/relationships/hyperlink" Target="https://webagentes.canaldirecto.com.ar/incidents/view/711975-0" TargetMode="External"/><Relationship Id="rId2206" Type="http://schemas.openxmlformats.org/officeDocument/2006/relationships/hyperlink" Target="https://webagentes.canaldirecto.com.ar/incidents/view/748622-7" TargetMode="External"/><Relationship Id="rId2413" Type="http://schemas.openxmlformats.org/officeDocument/2006/relationships/hyperlink" Target="https://webagentes.canaldirecto.com.ar/incidents/view/758729-8" TargetMode="External"/><Relationship Id="rId2620" Type="http://schemas.openxmlformats.org/officeDocument/2006/relationships/hyperlink" Target="https://webagentes.canaldirecto.com.ar/incidents/view/764122-2" TargetMode="External"/><Relationship Id="rId2858" Type="http://schemas.openxmlformats.org/officeDocument/2006/relationships/hyperlink" Target="https://webagentes.canaldirecto.com.ar/incidents/view/779266-9" TargetMode="External"/><Relationship Id="rId99" Type="http://schemas.openxmlformats.org/officeDocument/2006/relationships/hyperlink" Target="http://webagentes.canaldirecto.com.ar/liquidations/removeIncident/652379-8" TargetMode="External"/><Relationship Id="rId1015" Type="http://schemas.openxmlformats.org/officeDocument/2006/relationships/hyperlink" Target="https://webagentes.canaldirecto.com.ar/incidents/view/690351-4" TargetMode="External"/><Relationship Id="rId1222" Type="http://schemas.openxmlformats.org/officeDocument/2006/relationships/hyperlink" Target="https://webagentes.canaldirecto.com.ar/incidents/view/703699-8" TargetMode="External"/><Relationship Id="rId1667" Type="http://schemas.openxmlformats.org/officeDocument/2006/relationships/hyperlink" Target="https://webagentes.canaldirecto.com.ar/incidents/view/727571-9" TargetMode="External"/><Relationship Id="rId1874" Type="http://schemas.openxmlformats.org/officeDocument/2006/relationships/hyperlink" Target="https://webagentes.canaldirecto.com.ar/liquidations/removeIncident/737777-0" TargetMode="External"/><Relationship Id="rId2718" Type="http://schemas.openxmlformats.org/officeDocument/2006/relationships/hyperlink" Target="https://webagentes.canaldirecto.com.ar/incidents/view/774418-5" TargetMode="External"/><Relationship Id="rId2925" Type="http://schemas.openxmlformats.org/officeDocument/2006/relationships/hyperlink" Target="https://webagentes.canaldirecto.com.ar/incidents/view/782325-1" TargetMode="External"/><Relationship Id="rId1527" Type="http://schemas.openxmlformats.org/officeDocument/2006/relationships/hyperlink" Target="https://webagentes.canaldirecto.com.ar/incidents/view/720015-9" TargetMode="External"/><Relationship Id="rId1734" Type="http://schemas.openxmlformats.org/officeDocument/2006/relationships/hyperlink" Target="https://webagentes.canaldirecto.com.ar/incidents/view/728717-6" TargetMode="External"/><Relationship Id="rId1941" Type="http://schemas.openxmlformats.org/officeDocument/2006/relationships/hyperlink" Target="https://webagentes.canaldirecto.com.ar/incidents/view/741196-8" TargetMode="External"/><Relationship Id="rId3187" Type="http://schemas.openxmlformats.org/officeDocument/2006/relationships/hyperlink" Target="https://webagentes.canaldirecto.com.ar/incidents/view/790838-5" TargetMode="External"/><Relationship Id="rId3394" Type="http://schemas.openxmlformats.org/officeDocument/2006/relationships/hyperlink" Target="https://webagentes.canaldirecto.com.ar/incidents/view/797600-3" TargetMode="External"/><Relationship Id="rId26" Type="http://schemas.openxmlformats.org/officeDocument/2006/relationships/hyperlink" Target="http://webagentes.canaldirecto.com.ar/incidents/view/651868-0" TargetMode="External"/><Relationship Id="rId3047" Type="http://schemas.openxmlformats.org/officeDocument/2006/relationships/hyperlink" Target="https://webagentes.canaldirecto.com.ar/incidents/view/787013-4" TargetMode="External"/><Relationship Id="rId3699" Type="http://schemas.openxmlformats.org/officeDocument/2006/relationships/hyperlink" Target="https://webagentes.canaldirecto.com.ar/incidents/view/802413-0" TargetMode="External"/><Relationship Id="rId175" Type="http://schemas.openxmlformats.org/officeDocument/2006/relationships/hyperlink" Target="http://webagentes.canaldirecto.com.ar/liquidations/removeIncident/656721-5" TargetMode="External"/><Relationship Id="rId1801" Type="http://schemas.openxmlformats.org/officeDocument/2006/relationships/hyperlink" Target="https://webagentes.canaldirecto.com.ar/incidents/view/736255-6" TargetMode="External"/><Relationship Id="rId3254" Type="http://schemas.openxmlformats.org/officeDocument/2006/relationships/hyperlink" Target="https://webagentes.canaldirecto.com.ar/incidents/view/791757-8" TargetMode="External"/><Relationship Id="rId3461" Type="http://schemas.openxmlformats.org/officeDocument/2006/relationships/hyperlink" Target="https://webagentes.canaldirecto.com.ar/liquidations/removeIncident/796064-0" TargetMode="External"/><Relationship Id="rId3559" Type="http://schemas.openxmlformats.org/officeDocument/2006/relationships/hyperlink" Target="https://webagentes.canaldirecto.com.ar/liquidations/removeIncident/794900-9" TargetMode="External"/><Relationship Id="rId382" Type="http://schemas.openxmlformats.org/officeDocument/2006/relationships/hyperlink" Target="https://webagentes.canaldirecto.com.ar/liquidations/removeIncident/669409-6" TargetMode="External"/><Relationship Id="rId687" Type="http://schemas.openxmlformats.org/officeDocument/2006/relationships/hyperlink" Target="https://webagentes.canaldirecto.com.ar/incidents/view/674428-5" TargetMode="External"/><Relationship Id="rId2063" Type="http://schemas.openxmlformats.org/officeDocument/2006/relationships/hyperlink" Target="https://webagentes.canaldirecto.com.ar/incidents/view/742854-2" TargetMode="External"/><Relationship Id="rId2270" Type="http://schemas.openxmlformats.org/officeDocument/2006/relationships/hyperlink" Target="https://webagentes.canaldirecto.com.ar/incidents/view/751359-4" TargetMode="External"/><Relationship Id="rId2368" Type="http://schemas.openxmlformats.org/officeDocument/2006/relationships/hyperlink" Target="https://webagentes.canaldirecto.com.ar/incidents/view/755596-1" TargetMode="External"/><Relationship Id="rId3114" Type="http://schemas.openxmlformats.org/officeDocument/2006/relationships/hyperlink" Target="https://webagentes.canaldirecto.com.ar/incidents/view/788342-0" TargetMode="External"/><Relationship Id="rId3321" Type="http://schemas.openxmlformats.org/officeDocument/2006/relationships/hyperlink" Target="https://webagentes.canaldirecto.com.ar/incidents/view/794381-0" TargetMode="External"/><Relationship Id="rId3766" Type="http://schemas.openxmlformats.org/officeDocument/2006/relationships/hyperlink" Target="https://webagentes.canaldirecto.com.ar/incidents/view/805057-9" TargetMode="External"/><Relationship Id="rId242" Type="http://schemas.openxmlformats.org/officeDocument/2006/relationships/hyperlink" Target="http://webagentes.canaldirecto.com.ar/incidents/view/660792-0" TargetMode="External"/><Relationship Id="rId894" Type="http://schemas.openxmlformats.org/officeDocument/2006/relationships/hyperlink" Target="https://webagentes.canaldirecto.com.ar/incidents/view/684253-2" TargetMode="External"/><Relationship Id="rId1177" Type="http://schemas.openxmlformats.org/officeDocument/2006/relationships/hyperlink" Target="https://webagentes.canaldirecto.com.ar/incidents/view/706664-3" TargetMode="External"/><Relationship Id="rId2130" Type="http://schemas.openxmlformats.org/officeDocument/2006/relationships/hyperlink" Target="https://webagentes.canaldirecto.com.ar/incidents/view/745853-4" TargetMode="External"/><Relationship Id="rId2575" Type="http://schemas.openxmlformats.org/officeDocument/2006/relationships/hyperlink" Target="https://webagentes.canaldirecto.com.ar/liquidations/removeIncident/761373-3" TargetMode="External"/><Relationship Id="rId2782" Type="http://schemas.openxmlformats.org/officeDocument/2006/relationships/hyperlink" Target="https://webagentes.canaldirecto.com.ar/incidents/view/776032-3" TargetMode="External"/><Relationship Id="rId3419" Type="http://schemas.openxmlformats.org/officeDocument/2006/relationships/hyperlink" Target="https://webagentes.canaldirecto.com.ar/liquidations/removeIncident/797414-8" TargetMode="External"/><Relationship Id="rId3626" Type="http://schemas.openxmlformats.org/officeDocument/2006/relationships/hyperlink" Target="https://webagentes.canaldirecto.com.ar/incidents/view/799604-3" TargetMode="External"/><Relationship Id="rId3833" Type="http://schemas.openxmlformats.org/officeDocument/2006/relationships/hyperlink" Target="https://webagentes.canaldirecto.com.ar/incidents/view/808568-1" TargetMode="External"/><Relationship Id="rId102" Type="http://schemas.openxmlformats.org/officeDocument/2006/relationships/hyperlink" Target="http://webagentes.canaldirecto.com.ar/incidents/view/648809-7" TargetMode="External"/><Relationship Id="rId547" Type="http://schemas.openxmlformats.org/officeDocument/2006/relationships/hyperlink" Target="https://webagentes.canaldirecto.com.ar/incidents/view/670928-2" TargetMode="External"/><Relationship Id="rId754" Type="http://schemas.openxmlformats.org/officeDocument/2006/relationships/hyperlink" Target="https://webagentes.canaldirecto.com.ar/incidents/view/678086-1" TargetMode="External"/><Relationship Id="rId961" Type="http://schemas.openxmlformats.org/officeDocument/2006/relationships/hyperlink" Target="https://webagentes.canaldirecto.com.ar/incidents/view/688190-2" TargetMode="External"/><Relationship Id="rId1384" Type="http://schemas.openxmlformats.org/officeDocument/2006/relationships/hyperlink" Target="https://webagentes.canaldirecto.com.ar/incidents/view/711621-2" TargetMode="External"/><Relationship Id="rId1591" Type="http://schemas.openxmlformats.org/officeDocument/2006/relationships/hyperlink" Target="https://webagentes.canaldirecto.com.ar/incidents/view/721868-0" TargetMode="External"/><Relationship Id="rId1689" Type="http://schemas.openxmlformats.org/officeDocument/2006/relationships/hyperlink" Target="https://webagentes.canaldirecto.com.ar/incidents/view/726648-3" TargetMode="External"/><Relationship Id="rId2228" Type="http://schemas.openxmlformats.org/officeDocument/2006/relationships/hyperlink" Target="https://webagentes.canaldirecto.com.ar/incidents/view/747986-5" TargetMode="External"/><Relationship Id="rId2435" Type="http://schemas.openxmlformats.org/officeDocument/2006/relationships/hyperlink" Target="https://webagentes.canaldirecto.com.ar/incidents/view/760959-0" TargetMode="External"/><Relationship Id="rId2642" Type="http://schemas.openxmlformats.org/officeDocument/2006/relationships/hyperlink" Target="https://webagentes.canaldirecto.com.ar/incidents/view/767456-7" TargetMode="External"/><Relationship Id="rId90" Type="http://schemas.openxmlformats.org/officeDocument/2006/relationships/hyperlink" Target="http://webagentes.canaldirecto.com.ar/incidents/view/653452-7" TargetMode="External"/><Relationship Id="rId407" Type="http://schemas.openxmlformats.org/officeDocument/2006/relationships/hyperlink" Target="https://webagentes.canaldirecto.com.ar/incidents/view/669308-8" TargetMode="External"/><Relationship Id="rId614" Type="http://schemas.openxmlformats.org/officeDocument/2006/relationships/hyperlink" Target="https://webagentes.canaldirecto.com.ar/incidents/view/677732-6" TargetMode="External"/><Relationship Id="rId821" Type="http://schemas.openxmlformats.org/officeDocument/2006/relationships/hyperlink" Target="https://webagentes.canaldirecto.com.ar/liquidations/removeIncident/686803-5" TargetMode="External"/><Relationship Id="rId1037" Type="http://schemas.openxmlformats.org/officeDocument/2006/relationships/hyperlink" Target="https://webagentes.canaldirecto.com.ar/incidents/view/694896-0" TargetMode="External"/><Relationship Id="rId1244" Type="http://schemas.openxmlformats.org/officeDocument/2006/relationships/hyperlink" Target="https://webagentes.canaldirecto.com.ar/incidents/view/709787-4" TargetMode="External"/><Relationship Id="rId1451" Type="http://schemas.openxmlformats.org/officeDocument/2006/relationships/hyperlink" Target="https://webagentes.canaldirecto.com.ar/incidents/view/716428-2" TargetMode="External"/><Relationship Id="rId1896" Type="http://schemas.openxmlformats.org/officeDocument/2006/relationships/hyperlink" Target="https://webagentes.canaldirecto.com.ar/liquidations/removeIncident/737319-0" TargetMode="External"/><Relationship Id="rId2502" Type="http://schemas.openxmlformats.org/officeDocument/2006/relationships/hyperlink" Target="https://webagentes.canaldirecto.com.ar/incidents/view/763672-5" TargetMode="External"/><Relationship Id="rId2947" Type="http://schemas.openxmlformats.org/officeDocument/2006/relationships/hyperlink" Target="https://webagentes.canaldirecto.com.ar/incidents/view/782093-5" TargetMode="External"/><Relationship Id="rId919" Type="http://schemas.openxmlformats.org/officeDocument/2006/relationships/hyperlink" Target="https://webagentes.canaldirecto.com.ar/liquidations/removeIncident/683544-4" TargetMode="External"/><Relationship Id="rId1104" Type="http://schemas.openxmlformats.org/officeDocument/2006/relationships/hyperlink" Target="https://webagentes.canaldirecto.com.ar/incidents/view/699776-2" TargetMode="External"/><Relationship Id="rId1311" Type="http://schemas.openxmlformats.org/officeDocument/2006/relationships/hyperlink" Target="https://webagentes.canaldirecto.com.ar/incidents/view/712763-4" TargetMode="External"/><Relationship Id="rId1549" Type="http://schemas.openxmlformats.org/officeDocument/2006/relationships/hyperlink" Target="https://webagentes.canaldirecto.com.ar/incidents/view/718514-2" TargetMode="External"/><Relationship Id="rId1756" Type="http://schemas.openxmlformats.org/officeDocument/2006/relationships/hyperlink" Target="https://webagentes.canaldirecto.com.ar/incidents/view/732802-0" TargetMode="External"/><Relationship Id="rId1963" Type="http://schemas.openxmlformats.org/officeDocument/2006/relationships/hyperlink" Target="https://webagentes.canaldirecto.com.ar/incidents/view/740278-4" TargetMode="External"/><Relationship Id="rId2807" Type="http://schemas.openxmlformats.org/officeDocument/2006/relationships/hyperlink" Target="https://webagentes.canaldirecto.com.ar/incidents/view/780423-8" TargetMode="External"/><Relationship Id="rId48" Type="http://schemas.openxmlformats.org/officeDocument/2006/relationships/hyperlink" Target="http://webagentes.canaldirecto.com.ar/incidents/view/649085-2" TargetMode="External"/><Relationship Id="rId1409" Type="http://schemas.openxmlformats.org/officeDocument/2006/relationships/hyperlink" Target="https://webagentes.canaldirecto.com.ar/incidents/view/717059-3" TargetMode="External"/><Relationship Id="rId1616" Type="http://schemas.openxmlformats.org/officeDocument/2006/relationships/hyperlink" Target="https://webagentes.canaldirecto.com.ar/incidents/view/725746-7" TargetMode="External"/><Relationship Id="rId1823" Type="http://schemas.openxmlformats.org/officeDocument/2006/relationships/hyperlink" Target="https://webagentes.canaldirecto.com.ar/incidents/view/735612-0" TargetMode="External"/><Relationship Id="rId3069" Type="http://schemas.openxmlformats.org/officeDocument/2006/relationships/hyperlink" Target="https://webagentes.canaldirecto.com.ar/incidents/view/786085-4" TargetMode="External"/><Relationship Id="rId3276" Type="http://schemas.openxmlformats.org/officeDocument/2006/relationships/hyperlink" Target="https://webagentes.canaldirecto.com.ar/incidents/view/789998-0" TargetMode="External"/><Relationship Id="rId3483" Type="http://schemas.openxmlformats.org/officeDocument/2006/relationships/hyperlink" Target="https://webagentes.canaldirecto.com.ar/liquidations/removeIncident/795880-3" TargetMode="External"/><Relationship Id="rId3690" Type="http://schemas.openxmlformats.org/officeDocument/2006/relationships/hyperlink" Target="https://webagentes.canaldirecto.com.ar/incidents/view/802485-7" TargetMode="External"/><Relationship Id="rId197" Type="http://schemas.openxmlformats.org/officeDocument/2006/relationships/hyperlink" Target="http://webagentes.canaldirecto.com.ar/liquidations/removeIncident/656311-2" TargetMode="External"/><Relationship Id="rId2085" Type="http://schemas.openxmlformats.org/officeDocument/2006/relationships/hyperlink" Target="https://webagentes.canaldirecto.com.ar/incidents/view/746807-2" TargetMode="External"/><Relationship Id="rId2292" Type="http://schemas.openxmlformats.org/officeDocument/2006/relationships/hyperlink" Target="https://webagentes.canaldirecto.com.ar/incidents/view/749663-1" TargetMode="External"/><Relationship Id="rId3136" Type="http://schemas.openxmlformats.org/officeDocument/2006/relationships/hyperlink" Target="https://webagentes.canaldirecto.com.ar/incidents/view/787805-7" TargetMode="External"/><Relationship Id="rId3343" Type="http://schemas.openxmlformats.org/officeDocument/2006/relationships/hyperlink" Target="https://webagentes.canaldirecto.com.ar/incidents/view/793495-5" TargetMode="External"/><Relationship Id="rId3788" Type="http://schemas.openxmlformats.org/officeDocument/2006/relationships/hyperlink" Target="https://webagentes.canaldirecto.com.ar/incidents/view/804180-9" TargetMode="External"/><Relationship Id="rId264" Type="http://schemas.openxmlformats.org/officeDocument/2006/relationships/hyperlink" Target="http://webagentes.canaldirecto.com.ar/incidents/view/658746-8" TargetMode="External"/><Relationship Id="rId471" Type="http://schemas.openxmlformats.org/officeDocument/2006/relationships/hyperlink" Target="https://webagentes.canaldirecto.com.ar/incidents/view/667611-5" TargetMode="External"/><Relationship Id="rId2152" Type="http://schemas.openxmlformats.org/officeDocument/2006/relationships/hyperlink" Target="https://webagentes.canaldirecto.com.ar/incidents/view/745522-7" TargetMode="External"/><Relationship Id="rId2597" Type="http://schemas.openxmlformats.org/officeDocument/2006/relationships/hyperlink" Target="https://webagentes.canaldirecto.com.ar/incidents/view/766528-6" TargetMode="External"/><Relationship Id="rId3550" Type="http://schemas.openxmlformats.org/officeDocument/2006/relationships/hyperlink" Target="https://webagentes.canaldirecto.com.ar/incidents/view/795351-6" TargetMode="External"/><Relationship Id="rId3648" Type="http://schemas.openxmlformats.org/officeDocument/2006/relationships/hyperlink" Target="https://webagentes.canaldirecto.com.ar/incidents/view/798681-5" TargetMode="External"/><Relationship Id="rId3855" Type="http://schemas.openxmlformats.org/officeDocument/2006/relationships/hyperlink" Target="https://webagentes.canaldirecto.com.ar/incidents/view/807100-4" TargetMode="External"/><Relationship Id="rId124" Type="http://schemas.openxmlformats.org/officeDocument/2006/relationships/hyperlink" Target="http://webagentes.canaldirecto.com.ar/incidents/view/658005-8" TargetMode="External"/><Relationship Id="rId569" Type="http://schemas.openxmlformats.org/officeDocument/2006/relationships/hyperlink" Target="https://webagentes.canaldirecto.com.ar/incidents/view/670606-3" TargetMode="External"/><Relationship Id="rId776" Type="http://schemas.openxmlformats.org/officeDocument/2006/relationships/hyperlink" Target="https://webagentes.canaldirecto.com.ar/incidents/view/670920-0" TargetMode="External"/><Relationship Id="rId983" Type="http://schemas.openxmlformats.org/officeDocument/2006/relationships/hyperlink" Target="https://webagentes.canaldirecto.com.ar/incidents/view/685586-4" TargetMode="External"/><Relationship Id="rId1199" Type="http://schemas.openxmlformats.org/officeDocument/2006/relationships/hyperlink" Target="https://webagentes.canaldirecto.com.ar/incidents/view/705428-6" TargetMode="External"/><Relationship Id="rId2457" Type="http://schemas.openxmlformats.org/officeDocument/2006/relationships/hyperlink" Target="https://webagentes.canaldirecto.com.ar/incidents/view/760795-4" TargetMode="External"/><Relationship Id="rId2664" Type="http://schemas.openxmlformats.org/officeDocument/2006/relationships/hyperlink" Target="https://webagentes.canaldirecto.com.ar/incidents/view/771417-5" TargetMode="External"/><Relationship Id="rId3203" Type="http://schemas.openxmlformats.org/officeDocument/2006/relationships/hyperlink" Target="https://webagentes.canaldirecto.com.ar/incidents/view/790364-5" TargetMode="External"/><Relationship Id="rId3410" Type="http://schemas.openxmlformats.org/officeDocument/2006/relationships/hyperlink" Target="https://webagentes.canaldirecto.com.ar/incidents/view/797420-9" TargetMode="External"/><Relationship Id="rId3508" Type="http://schemas.openxmlformats.org/officeDocument/2006/relationships/hyperlink" Target="https://webagentes.canaldirecto.com.ar/incidents/view/795591-2" TargetMode="External"/><Relationship Id="rId331" Type="http://schemas.openxmlformats.org/officeDocument/2006/relationships/hyperlink" Target="https://webagentes.canaldirecto.com.ar/incidents/view/666876-3" TargetMode="External"/><Relationship Id="rId429" Type="http://schemas.openxmlformats.org/officeDocument/2006/relationships/hyperlink" Target="https://webagentes.canaldirecto.com.ar/incidents/view/668837-8" TargetMode="External"/><Relationship Id="rId636" Type="http://schemas.openxmlformats.org/officeDocument/2006/relationships/hyperlink" Target="https://webagentes.canaldirecto.com.ar/incidents/view/676205-0" TargetMode="External"/><Relationship Id="rId1059" Type="http://schemas.openxmlformats.org/officeDocument/2006/relationships/hyperlink" Target="https://webagentes.canaldirecto.com.ar/incidents/view/692571-0" TargetMode="External"/><Relationship Id="rId1266" Type="http://schemas.openxmlformats.org/officeDocument/2006/relationships/hyperlink" Target="https://webagentes.canaldirecto.com.ar/incidents/view/708353-4" TargetMode="External"/><Relationship Id="rId1473" Type="http://schemas.openxmlformats.org/officeDocument/2006/relationships/hyperlink" Target="https://webagentes.canaldirecto.com.ar/incidents/view/716131-9" TargetMode="External"/><Relationship Id="rId2012" Type="http://schemas.openxmlformats.org/officeDocument/2006/relationships/hyperlink" Target="https://webagentes.canaldirecto.com.ar/incidents/view/744008-5" TargetMode="External"/><Relationship Id="rId2317" Type="http://schemas.openxmlformats.org/officeDocument/2006/relationships/hyperlink" Target="https://webagentes.canaldirecto.com.ar/incidents/view/749080-4" TargetMode="External"/><Relationship Id="rId2871" Type="http://schemas.openxmlformats.org/officeDocument/2006/relationships/hyperlink" Target="https://webagentes.canaldirecto.com.ar/incidents/view/779137-8" TargetMode="External"/><Relationship Id="rId2969" Type="http://schemas.openxmlformats.org/officeDocument/2006/relationships/hyperlink" Target="https://webagentes.canaldirecto.com.ar/incidents/view/780714-7" TargetMode="External"/><Relationship Id="rId3715" Type="http://schemas.openxmlformats.org/officeDocument/2006/relationships/hyperlink" Target="https://webagentes.canaldirecto.com.ar/incidents/view/801477-1" TargetMode="External"/><Relationship Id="rId843" Type="http://schemas.openxmlformats.org/officeDocument/2006/relationships/hyperlink" Target="https://webagentes.canaldirecto.com.ar/liquidations/removeIncident/686013-0" TargetMode="External"/><Relationship Id="rId1126" Type="http://schemas.openxmlformats.org/officeDocument/2006/relationships/hyperlink" Target="https://webagentes.canaldirecto.com.ar/incidents/view/697767-0" TargetMode="External"/><Relationship Id="rId1680" Type="http://schemas.openxmlformats.org/officeDocument/2006/relationships/hyperlink" Target="https://webagentes.canaldirecto.com.ar/incidents/view/727126-3" TargetMode="External"/><Relationship Id="rId1778" Type="http://schemas.openxmlformats.org/officeDocument/2006/relationships/hyperlink" Target="https://webagentes.canaldirecto.com.ar/incidents/view/732393-7" TargetMode="External"/><Relationship Id="rId1985" Type="http://schemas.openxmlformats.org/officeDocument/2006/relationships/hyperlink" Target="https://webagentes.canaldirecto.com.ar/incidents/view/744290-4" TargetMode="External"/><Relationship Id="rId2524" Type="http://schemas.openxmlformats.org/officeDocument/2006/relationships/hyperlink" Target="https://webagentes.canaldirecto.com.ar/incidents/view/762932-7" TargetMode="External"/><Relationship Id="rId2731" Type="http://schemas.openxmlformats.org/officeDocument/2006/relationships/hyperlink" Target="https://webagentes.canaldirecto.com.ar/incidents/view/773589-5" TargetMode="External"/><Relationship Id="rId2829" Type="http://schemas.openxmlformats.org/officeDocument/2006/relationships/hyperlink" Target="https://webagentes.canaldirecto.com.ar/incidents/view/779744-2" TargetMode="External"/><Relationship Id="rId703" Type="http://schemas.openxmlformats.org/officeDocument/2006/relationships/hyperlink" Target="https://webagentes.canaldirecto.com.ar/incidents/view/673928-3" TargetMode="External"/><Relationship Id="rId910" Type="http://schemas.openxmlformats.org/officeDocument/2006/relationships/hyperlink" Target="https://webagentes.canaldirecto.com.ar/incidents/view/683549-9" TargetMode="External"/><Relationship Id="rId1333" Type="http://schemas.openxmlformats.org/officeDocument/2006/relationships/hyperlink" Target="https://webagentes.canaldirecto.com.ar/incidents/view/712401-7" TargetMode="External"/><Relationship Id="rId1540" Type="http://schemas.openxmlformats.org/officeDocument/2006/relationships/hyperlink" Target="https://webagentes.canaldirecto.com.ar/incidents/view/718931-5" TargetMode="External"/><Relationship Id="rId1638" Type="http://schemas.openxmlformats.org/officeDocument/2006/relationships/hyperlink" Target="https://webagentes.canaldirecto.com.ar/incidents/view/720138-9" TargetMode="External"/><Relationship Id="rId1400" Type="http://schemas.openxmlformats.org/officeDocument/2006/relationships/hyperlink" Target="https://webagentes.canaldirecto.com.ar/incidents/view/717429-8" TargetMode="External"/><Relationship Id="rId1845" Type="http://schemas.openxmlformats.org/officeDocument/2006/relationships/hyperlink" Target="https://webagentes.canaldirecto.com.ar/incidents/view/734039-6" TargetMode="External"/><Relationship Id="rId3060" Type="http://schemas.openxmlformats.org/officeDocument/2006/relationships/hyperlink" Target="https://webagentes.canaldirecto.com.ar/incidents/view/786457-7" TargetMode="External"/><Relationship Id="rId3298" Type="http://schemas.openxmlformats.org/officeDocument/2006/relationships/hyperlink" Target="https://webagentes.canaldirecto.com.ar/incidents/view/794694-1" TargetMode="External"/><Relationship Id="rId1705" Type="http://schemas.openxmlformats.org/officeDocument/2006/relationships/hyperlink" Target="https://webagentes.canaldirecto.com.ar/incidents/view/730651-4" TargetMode="External"/><Relationship Id="rId1912" Type="http://schemas.openxmlformats.org/officeDocument/2006/relationships/hyperlink" Target="https://webagentes.canaldirecto.com.ar/incidents/view/736797-7" TargetMode="External"/><Relationship Id="rId3158" Type="http://schemas.openxmlformats.org/officeDocument/2006/relationships/hyperlink" Target="https://webagentes.canaldirecto.com.ar/incidents/view/791426-1" TargetMode="External"/><Relationship Id="rId3365" Type="http://schemas.openxmlformats.org/officeDocument/2006/relationships/hyperlink" Target="https://webagentes.canaldirecto.com.ar/incidents/view/792583-2" TargetMode="External"/><Relationship Id="rId3572" Type="http://schemas.openxmlformats.org/officeDocument/2006/relationships/hyperlink" Target="https://webagentes.canaldirecto.com.ar/incidents/view/794595-1" TargetMode="External"/><Relationship Id="rId286" Type="http://schemas.openxmlformats.org/officeDocument/2006/relationships/hyperlink" Target="https://webagentes.canaldirecto.com.ar/incidents/view/662713-7" TargetMode="External"/><Relationship Id="rId493" Type="http://schemas.openxmlformats.org/officeDocument/2006/relationships/hyperlink" Target="https://webagentes.canaldirecto.com.ar/incidents/view/673202-2" TargetMode="External"/><Relationship Id="rId2174" Type="http://schemas.openxmlformats.org/officeDocument/2006/relationships/hyperlink" Target="https://webagentes.canaldirecto.com.ar/incidents/view/739546-6" TargetMode="External"/><Relationship Id="rId2381" Type="http://schemas.openxmlformats.org/officeDocument/2006/relationships/hyperlink" Target="https://webagentes.canaldirecto.com.ar/incidents/view/755176-1" TargetMode="External"/><Relationship Id="rId3018" Type="http://schemas.openxmlformats.org/officeDocument/2006/relationships/hyperlink" Target="https://webagentes.canaldirecto.com.ar/incidents/view/783086-2" TargetMode="External"/><Relationship Id="rId3225" Type="http://schemas.openxmlformats.org/officeDocument/2006/relationships/hyperlink" Target="https://webagentes.canaldirecto.com.ar/incidents/view/789170-2" TargetMode="External"/><Relationship Id="rId3432" Type="http://schemas.openxmlformats.org/officeDocument/2006/relationships/hyperlink" Target="https://webagentes.canaldirecto.com.ar/incidents/view/797109-9" TargetMode="External"/><Relationship Id="rId146" Type="http://schemas.openxmlformats.org/officeDocument/2006/relationships/hyperlink" Target="http://webagentes.canaldirecto.com.ar/incidents/view/657213-8" TargetMode="External"/><Relationship Id="rId353" Type="http://schemas.openxmlformats.org/officeDocument/2006/relationships/hyperlink" Target="https://webagentes.canaldirecto.com.ar/incidents/view/664690-1" TargetMode="External"/><Relationship Id="rId560" Type="http://schemas.openxmlformats.org/officeDocument/2006/relationships/hyperlink" Target="https://webagentes.canaldirecto.com.ar/liquidations/removeIncident/670844-1" TargetMode="External"/><Relationship Id="rId798" Type="http://schemas.openxmlformats.org/officeDocument/2006/relationships/hyperlink" Target="https://webagentes.canaldirecto.com.ar/incidents/view/681785-5" TargetMode="External"/><Relationship Id="rId1190" Type="http://schemas.openxmlformats.org/officeDocument/2006/relationships/hyperlink" Target="https://webagentes.canaldirecto.com.ar/incidents/view/705691-0" TargetMode="External"/><Relationship Id="rId2034" Type="http://schemas.openxmlformats.org/officeDocument/2006/relationships/hyperlink" Target="https://webagentes.canaldirecto.com.ar/incidents/view/743520-5" TargetMode="External"/><Relationship Id="rId2241" Type="http://schemas.openxmlformats.org/officeDocument/2006/relationships/hyperlink" Target="https://webagentes.canaldirecto.com.ar/incidents/view/747062-4" TargetMode="External"/><Relationship Id="rId2479" Type="http://schemas.openxmlformats.org/officeDocument/2006/relationships/hyperlink" Target="https://webagentes.canaldirecto.com.ar/incidents/view/760037-7" TargetMode="External"/><Relationship Id="rId2686" Type="http://schemas.openxmlformats.org/officeDocument/2006/relationships/hyperlink" Target="https://webagentes.canaldirecto.com.ar/incidents/view/770416-9" TargetMode="External"/><Relationship Id="rId2893" Type="http://schemas.openxmlformats.org/officeDocument/2006/relationships/hyperlink" Target="https://webagentes.canaldirecto.com.ar/incidents/view/777805-8" TargetMode="External"/><Relationship Id="rId3737" Type="http://schemas.openxmlformats.org/officeDocument/2006/relationships/hyperlink" Target="https://webagentes.canaldirecto.com.ar/incidents/view/797416-6" TargetMode="External"/><Relationship Id="rId213" Type="http://schemas.openxmlformats.org/officeDocument/2006/relationships/hyperlink" Target="http://webagentes.canaldirecto.com.ar/liquidations/removeIncident/655462-8" TargetMode="External"/><Relationship Id="rId420" Type="http://schemas.openxmlformats.org/officeDocument/2006/relationships/hyperlink" Target="https://webagentes.canaldirecto.com.ar/liquidations/removeIncident/669078-0" TargetMode="External"/><Relationship Id="rId658" Type="http://schemas.openxmlformats.org/officeDocument/2006/relationships/hyperlink" Target="https://webagentes.canaldirecto.com.ar/incidents/view/675608-6" TargetMode="External"/><Relationship Id="rId865" Type="http://schemas.openxmlformats.org/officeDocument/2006/relationships/hyperlink" Target="https://webagentes.canaldirecto.com.ar/liquidations/removeIncident/685159-4" TargetMode="External"/><Relationship Id="rId1050" Type="http://schemas.openxmlformats.org/officeDocument/2006/relationships/hyperlink" Target="https://webagentes.canaldirecto.com.ar/incidents/view/693578-0" TargetMode="External"/><Relationship Id="rId1288" Type="http://schemas.openxmlformats.org/officeDocument/2006/relationships/hyperlink" Target="https://webagentes.canaldirecto.com.ar/incidents/view/706316-9" TargetMode="External"/><Relationship Id="rId1495" Type="http://schemas.openxmlformats.org/officeDocument/2006/relationships/hyperlink" Target="https://webagentes.canaldirecto.com.ar/incidents/view/720776-3" TargetMode="External"/><Relationship Id="rId2101" Type="http://schemas.openxmlformats.org/officeDocument/2006/relationships/hyperlink" Target="https://webagentes.canaldirecto.com.ar/incidents/view/746426-1" TargetMode="External"/><Relationship Id="rId2339" Type="http://schemas.openxmlformats.org/officeDocument/2006/relationships/hyperlink" Target="https://webagentes.canaldirecto.com.ar/incidents/view/752884-2" TargetMode="External"/><Relationship Id="rId2546" Type="http://schemas.openxmlformats.org/officeDocument/2006/relationships/hyperlink" Target="https://webagentes.canaldirecto.com.ar/incidents/view/762263-4" TargetMode="External"/><Relationship Id="rId2753" Type="http://schemas.openxmlformats.org/officeDocument/2006/relationships/hyperlink" Target="https://webagentes.canaldirecto.com.ar/incidents/view/772306-7" TargetMode="External"/><Relationship Id="rId2960" Type="http://schemas.openxmlformats.org/officeDocument/2006/relationships/hyperlink" Target="https://webagentes.canaldirecto.com.ar/incidents/view/781230-7" TargetMode="External"/><Relationship Id="rId3804" Type="http://schemas.openxmlformats.org/officeDocument/2006/relationships/hyperlink" Target="https://webagentes.canaldirecto.com.ar/incidents/view/809631-3" TargetMode="External"/><Relationship Id="rId518" Type="http://schemas.openxmlformats.org/officeDocument/2006/relationships/hyperlink" Target="https://webagentes.canaldirecto.com.ar/liquidations/removeIncident/672487-4" TargetMode="External"/><Relationship Id="rId725" Type="http://schemas.openxmlformats.org/officeDocument/2006/relationships/hyperlink" Target="https://webagentes.canaldirecto.com.ar/incidents/view/679417-4" TargetMode="External"/><Relationship Id="rId932" Type="http://schemas.openxmlformats.org/officeDocument/2006/relationships/hyperlink" Target="https://webagentes.canaldirecto.com.ar/incidents/view/689534-9" TargetMode="External"/><Relationship Id="rId1148" Type="http://schemas.openxmlformats.org/officeDocument/2006/relationships/hyperlink" Target="https://webagentes.canaldirecto.com.ar/incidents/view/702784-8" TargetMode="External"/><Relationship Id="rId1355" Type="http://schemas.openxmlformats.org/officeDocument/2006/relationships/hyperlink" Target="https://webagentes.canaldirecto.com.ar/incidents/view/712037-6" TargetMode="External"/><Relationship Id="rId1562" Type="http://schemas.openxmlformats.org/officeDocument/2006/relationships/hyperlink" Target="https://webagentes.canaldirecto.com.ar/incidents/view/717495-1" TargetMode="External"/><Relationship Id="rId2406" Type="http://schemas.openxmlformats.org/officeDocument/2006/relationships/hyperlink" Target="https://webagentes.canaldirecto.com.ar/incidents/view/759067-2" TargetMode="External"/><Relationship Id="rId2613" Type="http://schemas.openxmlformats.org/officeDocument/2006/relationships/hyperlink" Target="https://webagentes.canaldirecto.com.ar/incidents/view/765077-0" TargetMode="External"/><Relationship Id="rId1008" Type="http://schemas.openxmlformats.org/officeDocument/2006/relationships/hyperlink" Target="https://webagentes.canaldirecto.com.ar/incidents/view/690405-4" TargetMode="External"/><Relationship Id="rId1215" Type="http://schemas.openxmlformats.org/officeDocument/2006/relationships/hyperlink" Target="https://webagentes.canaldirecto.com.ar/incidents/view/704291-7" TargetMode="External"/><Relationship Id="rId1422" Type="http://schemas.openxmlformats.org/officeDocument/2006/relationships/hyperlink" Target="https://webagentes.canaldirecto.com.ar/incidents/view/716995-9" TargetMode="External"/><Relationship Id="rId1867" Type="http://schemas.openxmlformats.org/officeDocument/2006/relationships/hyperlink" Target="https://webagentes.canaldirecto.com.ar/incidents/view/737886-7" TargetMode="External"/><Relationship Id="rId2820" Type="http://schemas.openxmlformats.org/officeDocument/2006/relationships/hyperlink" Target="https://webagentes.canaldirecto.com.ar/incidents/view/779955-6" TargetMode="External"/><Relationship Id="rId2918" Type="http://schemas.openxmlformats.org/officeDocument/2006/relationships/hyperlink" Target="https://webagentes.canaldirecto.com.ar/incidents/view/782735-4" TargetMode="External"/><Relationship Id="rId61" Type="http://schemas.openxmlformats.org/officeDocument/2006/relationships/hyperlink" Target="http://webagentes.canaldirecto.com.ar/liquidations/removeIncident/654903-3" TargetMode="External"/><Relationship Id="rId1727" Type="http://schemas.openxmlformats.org/officeDocument/2006/relationships/hyperlink" Target="https://webagentes.canaldirecto.com.ar/incidents/view/729736-8" TargetMode="External"/><Relationship Id="rId1934" Type="http://schemas.openxmlformats.org/officeDocument/2006/relationships/hyperlink" Target="https://webagentes.canaldirecto.com.ar/incidents/view/736071-6" TargetMode="External"/><Relationship Id="rId3082" Type="http://schemas.openxmlformats.org/officeDocument/2006/relationships/hyperlink" Target="https://webagentes.canaldirecto.com.ar/incidents/view/785520-5" TargetMode="External"/><Relationship Id="rId3387" Type="http://schemas.openxmlformats.org/officeDocument/2006/relationships/hyperlink" Target="https://webagentes.canaldirecto.com.ar/incidents/view/791834-6" TargetMode="External"/><Relationship Id="rId19" Type="http://schemas.openxmlformats.org/officeDocument/2006/relationships/hyperlink" Target="http://webagentes.canaldirecto.com.ar/incidents/view/651992-6" TargetMode="External"/><Relationship Id="rId2196" Type="http://schemas.openxmlformats.org/officeDocument/2006/relationships/hyperlink" Target="https://webagentes.canaldirecto.com.ar/incidents/view/748701-3" TargetMode="External"/><Relationship Id="rId3594" Type="http://schemas.openxmlformats.org/officeDocument/2006/relationships/hyperlink" Target="https://webagentes.canaldirecto.com.ar/incidents/view/799979-4" TargetMode="External"/><Relationship Id="rId168" Type="http://schemas.openxmlformats.org/officeDocument/2006/relationships/hyperlink" Target="http://webagentes.canaldirecto.com.ar/incidents/view/656977-2" TargetMode="External"/><Relationship Id="rId3247" Type="http://schemas.openxmlformats.org/officeDocument/2006/relationships/hyperlink" Target="https://webagentes.canaldirecto.com.ar/incidents/view/776876-9" TargetMode="External"/><Relationship Id="rId3454" Type="http://schemas.openxmlformats.org/officeDocument/2006/relationships/hyperlink" Target="https://webagentes.canaldirecto.com.ar/incidents/view/796305-4" TargetMode="External"/><Relationship Id="rId3661" Type="http://schemas.openxmlformats.org/officeDocument/2006/relationships/hyperlink" Target="https://webagentes.canaldirecto.com.ar/incidents/view/797937-4" TargetMode="External"/><Relationship Id="rId375" Type="http://schemas.openxmlformats.org/officeDocument/2006/relationships/hyperlink" Target="https://webagentes.canaldirecto.com.ar/incidents/view/669755-2" TargetMode="External"/><Relationship Id="rId582" Type="http://schemas.openxmlformats.org/officeDocument/2006/relationships/hyperlink" Target="https://webagentes.canaldirecto.com.ar/liquidations/removeIncident/670230-4" TargetMode="External"/><Relationship Id="rId2056" Type="http://schemas.openxmlformats.org/officeDocument/2006/relationships/hyperlink" Target="https://webagentes.canaldirecto.com.ar/incidents/view/742987-9" TargetMode="External"/><Relationship Id="rId2263" Type="http://schemas.openxmlformats.org/officeDocument/2006/relationships/hyperlink" Target="https://webagentes.canaldirecto.com.ar/incidents/view/751368-2" TargetMode="External"/><Relationship Id="rId2470" Type="http://schemas.openxmlformats.org/officeDocument/2006/relationships/hyperlink" Target="https://webagentes.canaldirecto.com.ar/incidents/view/760093-3" TargetMode="External"/><Relationship Id="rId3107" Type="http://schemas.openxmlformats.org/officeDocument/2006/relationships/hyperlink" Target="https://webagentes.canaldirecto.com.ar/incidents/view/788351-8" TargetMode="External"/><Relationship Id="rId3314" Type="http://schemas.openxmlformats.org/officeDocument/2006/relationships/hyperlink" Target="https://webagentes.canaldirecto.com.ar/incidents/view/794389-2" TargetMode="External"/><Relationship Id="rId3521" Type="http://schemas.openxmlformats.org/officeDocument/2006/relationships/hyperlink" Target="https://webagentes.canaldirecto.com.ar/liquidations/removeIncident/795585-1" TargetMode="External"/><Relationship Id="rId3759" Type="http://schemas.openxmlformats.org/officeDocument/2006/relationships/hyperlink" Target="https://webagentes.canaldirecto.com.ar/incidents/view/805675-9" TargetMode="External"/><Relationship Id="rId3" Type="http://schemas.openxmlformats.org/officeDocument/2006/relationships/hyperlink" Target="http://webagentes.canaldirecto.com.ar/incidents/view/652429-2" TargetMode="External"/><Relationship Id="rId235" Type="http://schemas.openxmlformats.org/officeDocument/2006/relationships/hyperlink" Target="http://webagentes.canaldirecto.com.ar/liquidations/removeIncident/654901-5" TargetMode="External"/><Relationship Id="rId442" Type="http://schemas.openxmlformats.org/officeDocument/2006/relationships/hyperlink" Target="https://webagentes.canaldirecto.com.ar/liquidations/removeIncident/668596-4" TargetMode="External"/><Relationship Id="rId887" Type="http://schemas.openxmlformats.org/officeDocument/2006/relationships/hyperlink" Target="https://webagentes.canaldirecto.com.ar/liquidations/removeIncident/684410-5" TargetMode="External"/><Relationship Id="rId1072" Type="http://schemas.openxmlformats.org/officeDocument/2006/relationships/hyperlink" Target="https://webagentes.canaldirecto.com.ar/incidents/view/697607-9" TargetMode="External"/><Relationship Id="rId2123" Type="http://schemas.openxmlformats.org/officeDocument/2006/relationships/hyperlink" Target="https://webagentes.canaldirecto.com.ar/incidents/view/746046-9" TargetMode="External"/><Relationship Id="rId2330" Type="http://schemas.openxmlformats.org/officeDocument/2006/relationships/hyperlink" Target="https://webagentes.canaldirecto.com.ar/incidents/view/752954-0" TargetMode="External"/><Relationship Id="rId2568" Type="http://schemas.openxmlformats.org/officeDocument/2006/relationships/hyperlink" Target="https://webagentes.canaldirecto.com.ar/incidents/view/761588-3" TargetMode="External"/><Relationship Id="rId2775" Type="http://schemas.openxmlformats.org/officeDocument/2006/relationships/hyperlink" Target="https://webagentes.canaldirecto.com.ar/incidents/view/776445-3" TargetMode="External"/><Relationship Id="rId2982" Type="http://schemas.openxmlformats.org/officeDocument/2006/relationships/hyperlink" Target="https://webagentes.canaldirecto.com.ar/incidents/view/785319-1" TargetMode="External"/><Relationship Id="rId3619" Type="http://schemas.openxmlformats.org/officeDocument/2006/relationships/hyperlink" Target="https://webagentes.canaldirecto.com.ar/incidents/view/799751-0" TargetMode="External"/><Relationship Id="rId3826" Type="http://schemas.openxmlformats.org/officeDocument/2006/relationships/hyperlink" Target="https://webagentes.canaldirecto.com.ar/incidents/view/808959-9" TargetMode="External"/><Relationship Id="rId302" Type="http://schemas.openxmlformats.org/officeDocument/2006/relationships/hyperlink" Target="https://webagentes.canaldirecto.com.ar/incidents/view/662504-1" TargetMode="External"/><Relationship Id="rId747" Type="http://schemas.openxmlformats.org/officeDocument/2006/relationships/hyperlink" Target="https://webagentes.canaldirecto.com.ar/incidents/view/678232-8" TargetMode="External"/><Relationship Id="rId954" Type="http://schemas.openxmlformats.org/officeDocument/2006/relationships/hyperlink" Target="https://webagentes.canaldirecto.com.ar/incidents/view/688784-5" TargetMode="External"/><Relationship Id="rId1377" Type="http://schemas.openxmlformats.org/officeDocument/2006/relationships/hyperlink" Target="https://webagentes.canaldirecto.com.ar/incidents/view/711678-0" TargetMode="External"/><Relationship Id="rId1584" Type="http://schemas.openxmlformats.org/officeDocument/2006/relationships/hyperlink" Target="https://webagentes.canaldirecto.com.ar/incidents/view/721878-7" TargetMode="External"/><Relationship Id="rId1791" Type="http://schemas.openxmlformats.org/officeDocument/2006/relationships/hyperlink" Target="https://webagentes.canaldirecto.com.ar/incidents/view/731494-8" TargetMode="External"/><Relationship Id="rId2428" Type="http://schemas.openxmlformats.org/officeDocument/2006/relationships/hyperlink" Target="https://webagentes.canaldirecto.com.ar/incidents/view/756407-5" TargetMode="External"/><Relationship Id="rId2635" Type="http://schemas.openxmlformats.org/officeDocument/2006/relationships/hyperlink" Target="https://webagentes.canaldirecto.com.ar/incidents/view/768010-6" TargetMode="External"/><Relationship Id="rId2842" Type="http://schemas.openxmlformats.org/officeDocument/2006/relationships/hyperlink" Target="https://webagentes.canaldirecto.com.ar/incidents/view/779288-1" TargetMode="External"/><Relationship Id="rId83" Type="http://schemas.openxmlformats.org/officeDocument/2006/relationships/hyperlink" Target="http://webagentes.canaldirecto.com.ar/liquidations/removeIncident/653799-5" TargetMode="External"/><Relationship Id="rId607" Type="http://schemas.openxmlformats.org/officeDocument/2006/relationships/hyperlink" Target="https://webagentes.canaldirecto.com.ar/incidents/view/662364-5" TargetMode="External"/><Relationship Id="rId814" Type="http://schemas.openxmlformats.org/officeDocument/2006/relationships/hyperlink" Target="https://webagentes.canaldirecto.com.ar/incidents/view/687056-2" TargetMode="External"/><Relationship Id="rId1237" Type="http://schemas.openxmlformats.org/officeDocument/2006/relationships/hyperlink" Target="https://webagentes.canaldirecto.com.ar/incidents/view/710184-9" TargetMode="External"/><Relationship Id="rId1444" Type="http://schemas.openxmlformats.org/officeDocument/2006/relationships/hyperlink" Target="https://webagentes.canaldirecto.com.ar/incidents/view/716444-0" TargetMode="External"/><Relationship Id="rId1651" Type="http://schemas.openxmlformats.org/officeDocument/2006/relationships/hyperlink" Target="https://webagentes.canaldirecto.com.ar/incidents/view/728291-3" TargetMode="External"/><Relationship Id="rId1889" Type="http://schemas.openxmlformats.org/officeDocument/2006/relationships/hyperlink" Target="https://webagentes.canaldirecto.com.ar/incidents/view/737362-2" TargetMode="External"/><Relationship Id="rId2702" Type="http://schemas.openxmlformats.org/officeDocument/2006/relationships/hyperlink" Target="https://webagentes.canaldirecto.com.ar/incidents/view/769657-8" TargetMode="External"/><Relationship Id="rId1304" Type="http://schemas.openxmlformats.org/officeDocument/2006/relationships/hyperlink" Target="https://webagentes.canaldirecto.com.ar/incidents/view/712865-1" TargetMode="External"/><Relationship Id="rId1511" Type="http://schemas.openxmlformats.org/officeDocument/2006/relationships/hyperlink" Target="https://webagentes.canaldirecto.com.ar/incidents/view/720477-5" TargetMode="External"/><Relationship Id="rId1749" Type="http://schemas.openxmlformats.org/officeDocument/2006/relationships/hyperlink" Target="https://webagentes.canaldirecto.com.ar/incidents/view/733062-7" TargetMode="External"/><Relationship Id="rId1956" Type="http://schemas.openxmlformats.org/officeDocument/2006/relationships/hyperlink" Target="https://webagentes.canaldirecto.com.ar/incidents/view/740770-7" TargetMode="External"/><Relationship Id="rId3171" Type="http://schemas.openxmlformats.org/officeDocument/2006/relationships/hyperlink" Target="https://webagentes.canaldirecto.com.ar/incidents/view/790927-8" TargetMode="External"/><Relationship Id="rId1609" Type="http://schemas.openxmlformats.org/officeDocument/2006/relationships/hyperlink" Target="https://webagentes.canaldirecto.com.ar/incidents/view/726411-1" TargetMode="External"/><Relationship Id="rId1816" Type="http://schemas.openxmlformats.org/officeDocument/2006/relationships/hyperlink" Target="https://webagentes.canaldirecto.com.ar/incidents/view/735621-8" TargetMode="External"/><Relationship Id="rId3269" Type="http://schemas.openxmlformats.org/officeDocument/2006/relationships/hyperlink" Target="https://webagentes.canaldirecto.com.ar/incidents/view/791300-4" TargetMode="External"/><Relationship Id="rId3476" Type="http://schemas.openxmlformats.org/officeDocument/2006/relationships/hyperlink" Target="https://webagentes.canaldirecto.com.ar/incidents/view/795883-0" TargetMode="External"/><Relationship Id="rId3683" Type="http://schemas.openxmlformats.org/officeDocument/2006/relationships/hyperlink" Target="https://webagentes.canaldirecto.com.ar/incidents/view/802611-0" TargetMode="External"/><Relationship Id="rId10" Type="http://schemas.openxmlformats.org/officeDocument/2006/relationships/hyperlink" Target="http://webagentes.canaldirecto.com.ar/incidents/view/652060-3" TargetMode="External"/><Relationship Id="rId397" Type="http://schemas.openxmlformats.org/officeDocument/2006/relationships/hyperlink" Target="https://webagentes.canaldirecto.com.ar/incidents/view/669382-0" TargetMode="External"/><Relationship Id="rId2078" Type="http://schemas.openxmlformats.org/officeDocument/2006/relationships/hyperlink" Target="https://webagentes.canaldirecto.com.ar/incidents/view/746820-3" TargetMode="External"/><Relationship Id="rId2285" Type="http://schemas.openxmlformats.org/officeDocument/2006/relationships/hyperlink" Target="https://webagentes.canaldirecto.com.ar/incidents/view/750054-5" TargetMode="External"/><Relationship Id="rId2492" Type="http://schemas.openxmlformats.org/officeDocument/2006/relationships/hyperlink" Target="https://webagentes.canaldirecto.com.ar/incidents/view/764097-7" TargetMode="External"/><Relationship Id="rId3031" Type="http://schemas.openxmlformats.org/officeDocument/2006/relationships/hyperlink" Target="https://webagentes.canaldirecto.com.ar/incidents/view/782652-2" TargetMode="External"/><Relationship Id="rId3129" Type="http://schemas.openxmlformats.org/officeDocument/2006/relationships/hyperlink" Target="https://webagentes.canaldirecto.com.ar/incidents/view/788188-4" TargetMode="External"/><Relationship Id="rId3336" Type="http://schemas.openxmlformats.org/officeDocument/2006/relationships/hyperlink" Target="https://webagentes.canaldirecto.com.ar/incidents/view/793828-9" TargetMode="External"/><Relationship Id="rId257" Type="http://schemas.openxmlformats.org/officeDocument/2006/relationships/hyperlink" Target="http://webagentes.canaldirecto.com.ar/incidents/view/659703-0" TargetMode="External"/><Relationship Id="rId464" Type="http://schemas.openxmlformats.org/officeDocument/2006/relationships/hyperlink" Target="https://webagentes.canaldirecto.com.ar/liquidations/removeIncident/667804-3" TargetMode="External"/><Relationship Id="rId1094" Type="http://schemas.openxmlformats.org/officeDocument/2006/relationships/hyperlink" Target="https://webagentes.canaldirecto.com.ar/incidents/view/700970-9" TargetMode="External"/><Relationship Id="rId2145" Type="http://schemas.openxmlformats.org/officeDocument/2006/relationships/hyperlink" Target="https://webagentes.canaldirecto.com.ar/incidents/view/745704-9" TargetMode="External"/><Relationship Id="rId2797" Type="http://schemas.openxmlformats.org/officeDocument/2006/relationships/hyperlink" Target="https://webagentes.canaldirecto.com.ar/incidents/view/774634-1" TargetMode="External"/><Relationship Id="rId3543" Type="http://schemas.openxmlformats.org/officeDocument/2006/relationships/hyperlink" Target="https://webagentes.canaldirecto.com.ar/liquidations/removeIncident/795571-8" TargetMode="External"/><Relationship Id="rId3750" Type="http://schemas.openxmlformats.org/officeDocument/2006/relationships/hyperlink" Target="https://webagentes.canaldirecto.com.ar/incidents/view/806254-7" TargetMode="External"/><Relationship Id="rId3848" Type="http://schemas.openxmlformats.org/officeDocument/2006/relationships/hyperlink" Target="https://webagentes.canaldirecto.com.ar/incidents/view/807455-1" TargetMode="External"/><Relationship Id="rId117" Type="http://schemas.openxmlformats.org/officeDocument/2006/relationships/hyperlink" Target="http://webagentes.canaldirecto.com.ar/liquidations/removeIncident/658011-9" TargetMode="External"/><Relationship Id="rId671" Type="http://schemas.openxmlformats.org/officeDocument/2006/relationships/hyperlink" Target="https://webagentes.canaldirecto.com.ar/incidents/view/674861-6" TargetMode="External"/><Relationship Id="rId769" Type="http://schemas.openxmlformats.org/officeDocument/2006/relationships/hyperlink" Target="https://webagentes.canaldirecto.com.ar/incidents/view/677406-4" TargetMode="External"/><Relationship Id="rId976" Type="http://schemas.openxmlformats.org/officeDocument/2006/relationships/hyperlink" Target="https://webagentes.canaldirecto.com.ar/incidents/view/687647-8" TargetMode="External"/><Relationship Id="rId1399" Type="http://schemas.openxmlformats.org/officeDocument/2006/relationships/hyperlink" Target="https://webagentes.canaldirecto.com.ar/incidents/view/717505-7" TargetMode="External"/><Relationship Id="rId2352" Type="http://schemas.openxmlformats.org/officeDocument/2006/relationships/hyperlink" Target="https://webagentes.canaldirecto.com.ar/incidents/view/757086-3" TargetMode="External"/><Relationship Id="rId2657" Type="http://schemas.openxmlformats.org/officeDocument/2006/relationships/hyperlink" Target="https://webagentes.canaldirecto.com.ar/incidents/view/766817-7" TargetMode="External"/><Relationship Id="rId3403" Type="http://schemas.openxmlformats.org/officeDocument/2006/relationships/hyperlink" Target="https://webagentes.canaldirecto.com.ar/liquidations/removeIncident/797548-4" TargetMode="External"/><Relationship Id="rId3610" Type="http://schemas.openxmlformats.org/officeDocument/2006/relationships/hyperlink" Target="https://webagentes.canaldirecto.com.ar/incidents/view/799769-9" TargetMode="External"/><Relationship Id="rId324" Type="http://schemas.openxmlformats.org/officeDocument/2006/relationships/hyperlink" Target="https://webagentes.canaldirecto.com.ar/incidents/view/661189-9" TargetMode="External"/><Relationship Id="rId531" Type="http://schemas.openxmlformats.org/officeDocument/2006/relationships/hyperlink" Target="https://webagentes.canaldirecto.com.ar/incidents/view/672102-6" TargetMode="External"/><Relationship Id="rId629" Type="http://schemas.openxmlformats.org/officeDocument/2006/relationships/hyperlink" Target="https://webagentes.canaldirecto.com.ar/incidents/view/676800-9" TargetMode="External"/><Relationship Id="rId1161" Type="http://schemas.openxmlformats.org/officeDocument/2006/relationships/hyperlink" Target="https://webagentes.canaldirecto.com.ar/incidents/view/701871-6" TargetMode="External"/><Relationship Id="rId1259" Type="http://schemas.openxmlformats.org/officeDocument/2006/relationships/hyperlink" Target="https://webagentes.canaldirecto.com.ar/incidents/view/709013-6" TargetMode="External"/><Relationship Id="rId1466" Type="http://schemas.openxmlformats.org/officeDocument/2006/relationships/hyperlink" Target="https://webagentes.canaldirecto.com.ar/incidents/view/716254-9" TargetMode="External"/><Relationship Id="rId2005" Type="http://schemas.openxmlformats.org/officeDocument/2006/relationships/hyperlink" Target="https://webagentes.canaldirecto.com.ar/incidents/view/744236-6" TargetMode="External"/><Relationship Id="rId2212" Type="http://schemas.openxmlformats.org/officeDocument/2006/relationships/hyperlink" Target="https://webagentes.canaldirecto.com.ar/incidents/view/748511-2" TargetMode="External"/><Relationship Id="rId2864" Type="http://schemas.openxmlformats.org/officeDocument/2006/relationships/hyperlink" Target="https://webagentes.canaldirecto.com.ar/incidents/view/779209-4" TargetMode="External"/><Relationship Id="rId3708" Type="http://schemas.openxmlformats.org/officeDocument/2006/relationships/hyperlink" Target="https://webagentes.canaldirecto.com.ar/incidents/view/801929-9" TargetMode="External"/><Relationship Id="rId836" Type="http://schemas.openxmlformats.org/officeDocument/2006/relationships/hyperlink" Target="https://webagentes.canaldirecto.com.ar/incidents/view/686017-6" TargetMode="External"/><Relationship Id="rId1021" Type="http://schemas.openxmlformats.org/officeDocument/2006/relationships/hyperlink" Target="https://webagentes.canaldirecto.com.ar/incidents/view/690265-8" TargetMode="External"/><Relationship Id="rId1119" Type="http://schemas.openxmlformats.org/officeDocument/2006/relationships/hyperlink" Target="https://webagentes.canaldirecto.com.ar/incidents/view/698167-3" TargetMode="External"/><Relationship Id="rId1673" Type="http://schemas.openxmlformats.org/officeDocument/2006/relationships/hyperlink" Target="https://webagentes.canaldirecto.com.ar/incidents/view/727243-9" TargetMode="External"/><Relationship Id="rId1880" Type="http://schemas.openxmlformats.org/officeDocument/2006/relationships/hyperlink" Target="https://webagentes.canaldirecto.com.ar/liquidations/removeIncident/737511-6" TargetMode="External"/><Relationship Id="rId1978" Type="http://schemas.openxmlformats.org/officeDocument/2006/relationships/hyperlink" Target="https://webagentes.canaldirecto.com.ar/incidents/view/739018-8" TargetMode="External"/><Relationship Id="rId2517" Type="http://schemas.openxmlformats.org/officeDocument/2006/relationships/hyperlink" Target="https://webagentes.canaldirecto.com.ar/liquidations/removeIncident/763187-2" TargetMode="External"/><Relationship Id="rId2724" Type="http://schemas.openxmlformats.org/officeDocument/2006/relationships/hyperlink" Target="https://webagentes.canaldirecto.com.ar/incidents/view/774412-1" TargetMode="External"/><Relationship Id="rId2931" Type="http://schemas.openxmlformats.org/officeDocument/2006/relationships/hyperlink" Target="https://webagentes.canaldirecto.com.ar/incidents/view/782236-8" TargetMode="External"/><Relationship Id="rId903" Type="http://schemas.openxmlformats.org/officeDocument/2006/relationships/hyperlink" Target="https://webagentes.canaldirecto.com.ar/liquidations/removeIncident/683553-2" TargetMode="External"/><Relationship Id="rId1326" Type="http://schemas.openxmlformats.org/officeDocument/2006/relationships/hyperlink" Target="https://webagentes.canaldirecto.com.ar/incidents/view/712483-1" TargetMode="External"/><Relationship Id="rId1533" Type="http://schemas.openxmlformats.org/officeDocument/2006/relationships/hyperlink" Target="https://webagentes.canaldirecto.com.ar/incidents/view/719687-4" TargetMode="External"/><Relationship Id="rId1740" Type="http://schemas.openxmlformats.org/officeDocument/2006/relationships/hyperlink" Target="https://webagentes.canaldirecto.com.ar/incidents/view/728185-3" TargetMode="External"/><Relationship Id="rId3193" Type="http://schemas.openxmlformats.org/officeDocument/2006/relationships/hyperlink" Target="https://webagentes.canaldirecto.com.ar/incidents/view/790772-0" TargetMode="External"/><Relationship Id="rId32" Type="http://schemas.openxmlformats.org/officeDocument/2006/relationships/hyperlink" Target="http://webagentes.canaldirecto.com.ar/incidents/view/651234-9" TargetMode="External"/><Relationship Id="rId1600" Type="http://schemas.openxmlformats.org/officeDocument/2006/relationships/hyperlink" Target="https://webagentes.canaldirecto.com.ar/incidents/view/721536-4" TargetMode="External"/><Relationship Id="rId1838" Type="http://schemas.openxmlformats.org/officeDocument/2006/relationships/hyperlink" Target="https://webagentes.canaldirecto.com.ar/incidents/view/734268-6" TargetMode="External"/><Relationship Id="rId3053" Type="http://schemas.openxmlformats.org/officeDocument/2006/relationships/hyperlink" Target="https://webagentes.canaldirecto.com.ar/incidents/view/786865-2" TargetMode="External"/><Relationship Id="rId3260" Type="http://schemas.openxmlformats.org/officeDocument/2006/relationships/hyperlink" Target="https://webagentes.canaldirecto.com.ar/incidents/view/791453-5" TargetMode="External"/><Relationship Id="rId3498" Type="http://schemas.openxmlformats.org/officeDocument/2006/relationships/hyperlink" Target="https://webagentes.canaldirecto.com.ar/incidents/view/795870-6" TargetMode="External"/><Relationship Id="rId181" Type="http://schemas.openxmlformats.org/officeDocument/2006/relationships/hyperlink" Target="http://webagentes.canaldirecto.com.ar/liquidations/removeIncident/656682-7" TargetMode="External"/><Relationship Id="rId1905" Type="http://schemas.openxmlformats.org/officeDocument/2006/relationships/hyperlink" Target="https://webagentes.canaldirecto.com.ar/incidents/view/736990-2" TargetMode="External"/><Relationship Id="rId3120" Type="http://schemas.openxmlformats.org/officeDocument/2006/relationships/hyperlink" Target="https://webagentes.canaldirecto.com.ar/incidents/view/788336-9" TargetMode="External"/><Relationship Id="rId3358" Type="http://schemas.openxmlformats.org/officeDocument/2006/relationships/hyperlink" Target="https://webagentes.canaldirecto.com.ar/incidents/view/792642-4" TargetMode="External"/><Relationship Id="rId3565" Type="http://schemas.openxmlformats.org/officeDocument/2006/relationships/hyperlink" Target="https://webagentes.canaldirecto.com.ar/liquidations/removeIncident/794867-5" TargetMode="External"/><Relationship Id="rId3772" Type="http://schemas.openxmlformats.org/officeDocument/2006/relationships/hyperlink" Target="https://webagentes.canaldirecto.com.ar/incidents/view/804982-9" TargetMode="External"/><Relationship Id="rId279" Type="http://schemas.openxmlformats.org/officeDocument/2006/relationships/hyperlink" Target="https://webagentes.canaldirecto.com.ar/incidents/view/663096-4" TargetMode="External"/><Relationship Id="rId486" Type="http://schemas.openxmlformats.org/officeDocument/2006/relationships/hyperlink" Target="https://webagentes.canaldirecto.com.ar/liquidations/removeIncident/673498-7" TargetMode="External"/><Relationship Id="rId693" Type="http://schemas.openxmlformats.org/officeDocument/2006/relationships/hyperlink" Target="https://webagentes.canaldirecto.com.ar/incidents/view/674131-2" TargetMode="External"/><Relationship Id="rId2167" Type="http://schemas.openxmlformats.org/officeDocument/2006/relationships/hyperlink" Target="https://webagentes.canaldirecto.com.ar/incidents/view/744622-9" TargetMode="External"/><Relationship Id="rId2374" Type="http://schemas.openxmlformats.org/officeDocument/2006/relationships/hyperlink" Target="https://webagentes.canaldirecto.com.ar/incidents/view/755184-0" TargetMode="External"/><Relationship Id="rId2581" Type="http://schemas.openxmlformats.org/officeDocument/2006/relationships/hyperlink" Target="https://webagentes.canaldirecto.com.ar/liquidations/removeIncident/761106-3" TargetMode="External"/><Relationship Id="rId3218" Type="http://schemas.openxmlformats.org/officeDocument/2006/relationships/hyperlink" Target="https://webagentes.canaldirecto.com.ar/incidents/view/789553-1" TargetMode="External"/><Relationship Id="rId3425" Type="http://schemas.openxmlformats.org/officeDocument/2006/relationships/hyperlink" Target="https://webagentes.canaldirecto.com.ar/liquidations/removeIncident/797411-1" TargetMode="External"/><Relationship Id="rId3632" Type="http://schemas.openxmlformats.org/officeDocument/2006/relationships/hyperlink" Target="https://webagentes.canaldirecto.com.ar/incidents/view/799230-2" TargetMode="External"/><Relationship Id="rId139" Type="http://schemas.openxmlformats.org/officeDocument/2006/relationships/hyperlink" Target="http://webagentes.canaldirecto.com.ar/liquidations/removeIncident/657535-7" TargetMode="External"/><Relationship Id="rId346" Type="http://schemas.openxmlformats.org/officeDocument/2006/relationships/hyperlink" Target="https://webagentes.canaldirecto.com.ar/incidents/view/665326-6" TargetMode="External"/><Relationship Id="rId553" Type="http://schemas.openxmlformats.org/officeDocument/2006/relationships/hyperlink" Target="https://webagentes.canaldirecto.com.ar/incidents/view/670923-7" TargetMode="External"/><Relationship Id="rId760" Type="http://schemas.openxmlformats.org/officeDocument/2006/relationships/hyperlink" Target="https://webagentes.canaldirecto.com.ar/incidents/view/677942-1" TargetMode="External"/><Relationship Id="rId998" Type="http://schemas.openxmlformats.org/officeDocument/2006/relationships/hyperlink" Target="https://webagentes.canaldirecto.com.ar/incidents/view/691151-3" TargetMode="External"/><Relationship Id="rId1183" Type="http://schemas.openxmlformats.org/officeDocument/2006/relationships/hyperlink" Target="https://webagentes.canaldirecto.com.ar/incidents/view/706011-7" TargetMode="External"/><Relationship Id="rId1390" Type="http://schemas.openxmlformats.org/officeDocument/2006/relationships/hyperlink" Target="https://webagentes.canaldirecto.com.ar/incidents/view/711611-5" TargetMode="External"/><Relationship Id="rId2027" Type="http://schemas.openxmlformats.org/officeDocument/2006/relationships/hyperlink" Target="https://webagentes.canaldirecto.com.ar/incidents/view/743917-7" TargetMode="External"/><Relationship Id="rId2234" Type="http://schemas.openxmlformats.org/officeDocument/2006/relationships/hyperlink" Target="https://webagentes.canaldirecto.com.ar/incidents/view/747816-7" TargetMode="External"/><Relationship Id="rId2441" Type="http://schemas.openxmlformats.org/officeDocument/2006/relationships/hyperlink" Target="https://webagentes.canaldirecto.com.ar/incidents/view/760865-2" TargetMode="External"/><Relationship Id="rId2679" Type="http://schemas.openxmlformats.org/officeDocument/2006/relationships/hyperlink" Target="https://webagentes.canaldirecto.com.ar/incidents/view/770533-5" TargetMode="External"/><Relationship Id="rId2886" Type="http://schemas.openxmlformats.org/officeDocument/2006/relationships/hyperlink" Target="https://webagentes.canaldirecto.com.ar/incidents/view/778109-8" TargetMode="External"/><Relationship Id="rId206" Type="http://schemas.openxmlformats.org/officeDocument/2006/relationships/hyperlink" Target="http://webagentes.canaldirecto.com.ar/incidents/view/655559-3" TargetMode="External"/><Relationship Id="rId413" Type="http://schemas.openxmlformats.org/officeDocument/2006/relationships/hyperlink" Target="https://webagentes.canaldirecto.com.ar/incidents/view/669268-1" TargetMode="External"/><Relationship Id="rId858" Type="http://schemas.openxmlformats.org/officeDocument/2006/relationships/hyperlink" Target="https://webagentes.canaldirecto.com.ar/incidents/view/685194-7" TargetMode="External"/><Relationship Id="rId1043" Type="http://schemas.openxmlformats.org/officeDocument/2006/relationships/hyperlink" Target="https://webagentes.canaldirecto.com.ar/incidents/view/694298-4" TargetMode="External"/><Relationship Id="rId1488" Type="http://schemas.openxmlformats.org/officeDocument/2006/relationships/hyperlink" Target="https://webagentes.canaldirecto.com.ar/incidents/view/714266-0" TargetMode="External"/><Relationship Id="rId1695" Type="http://schemas.openxmlformats.org/officeDocument/2006/relationships/hyperlink" Target="https://webagentes.canaldirecto.com.ar/incidents/view/730663-9" TargetMode="External"/><Relationship Id="rId2539" Type="http://schemas.openxmlformats.org/officeDocument/2006/relationships/hyperlink" Target="https://webagentes.canaldirecto.com.ar/liquidations/removeIncident/762463-2" TargetMode="External"/><Relationship Id="rId2746" Type="http://schemas.openxmlformats.org/officeDocument/2006/relationships/hyperlink" Target="https://webagentes.canaldirecto.com.ar/incidents/view/772764-7" TargetMode="External"/><Relationship Id="rId2953" Type="http://schemas.openxmlformats.org/officeDocument/2006/relationships/hyperlink" Target="https://webagentes.canaldirecto.com.ar/incidents/view/781667-7" TargetMode="External"/><Relationship Id="rId620" Type="http://schemas.openxmlformats.org/officeDocument/2006/relationships/hyperlink" Target="https://webagentes.canaldirecto.com.ar/incidents/view/676928-4" TargetMode="External"/><Relationship Id="rId718" Type="http://schemas.openxmlformats.org/officeDocument/2006/relationships/hyperlink" Target="https://webagentes.canaldirecto.com.ar/incidents/view/680185-4" TargetMode="External"/><Relationship Id="rId925" Type="http://schemas.openxmlformats.org/officeDocument/2006/relationships/hyperlink" Target="https://webagentes.canaldirecto.com.ar/incidents/view/689954-9" TargetMode="External"/><Relationship Id="rId1250" Type="http://schemas.openxmlformats.org/officeDocument/2006/relationships/hyperlink" Target="https://webagentes.canaldirecto.com.ar/incidents/view/709267-5" TargetMode="External"/><Relationship Id="rId1348" Type="http://schemas.openxmlformats.org/officeDocument/2006/relationships/hyperlink" Target="https://webagentes.canaldirecto.com.ar/incidents/view/712044-6" TargetMode="External"/><Relationship Id="rId1555" Type="http://schemas.openxmlformats.org/officeDocument/2006/relationships/hyperlink" Target="https://webagentes.canaldirecto.com.ar/incidents/view/718019-2" TargetMode="External"/><Relationship Id="rId1762" Type="http://schemas.openxmlformats.org/officeDocument/2006/relationships/hyperlink" Target="https://webagentes.canaldirecto.com.ar/incidents/view/732796-0" TargetMode="External"/><Relationship Id="rId2301" Type="http://schemas.openxmlformats.org/officeDocument/2006/relationships/hyperlink" Target="https://webagentes.canaldirecto.com.ar/incidents/view/749151-1" TargetMode="External"/><Relationship Id="rId2606" Type="http://schemas.openxmlformats.org/officeDocument/2006/relationships/hyperlink" Target="https://webagentes.canaldirecto.com.ar/incidents/view/765888-8" TargetMode="External"/><Relationship Id="rId1110" Type="http://schemas.openxmlformats.org/officeDocument/2006/relationships/hyperlink" Target="https://webagentes.canaldirecto.com.ar/incidents/view/699365-0" TargetMode="External"/><Relationship Id="rId1208" Type="http://schemas.openxmlformats.org/officeDocument/2006/relationships/hyperlink" Target="https://webagentes.canaldirecto.com.ar/incidents/view/704664-9" TargetMode="External"/><Relationship Id="rId1415" Type="http://schemas.openxmlformats.org/officeDocument/2006/relationships/hyperlink" Target="https://webagentes.canaldirecto.com.ar/incidents/view/717053-9" TargetMode="External"/><Relationship Id="rId2813" Type="http://schemas.openxmlformats.org/officeDocument/2006/relationships/hyperlink" Target="https://webagentes.canaldirecto.com.ar/incidents/view/780237-3" TargetMode="External"/><Relationship Id="rId54" Type="http://schemas.openxmlformats.org/officeDocument/2006/relationships/hyperlink" Target="http://webagentes.canaldirecto.com.ar/incidents/view/655120-5" TargetMode="External"/><Relationship Id="rId1622" Type="http://schemas.openxmlformats.org/officeDocument/2006/relationships/hyperlink" Target="https://webagentes.canaldirecto.com.ar/incidents/view/724857-5" TargetMode="External"/><Relationship Id="rId1927" Type="http://schemas.openxmlformats.org/officeDocument/2006/relationships/hyperlink" Target="https://webagentes.canaldirecto.com.ar/liquidations/removeIncident/736259-2" TargetMode="External"/><Relationship Id="rId3075" Type="http://schemas.openxmlformats.org/officeDocument/2006/relationships/hyperlink" Target="https://webagentes.canaldirecto.com.ar/incidents/view/785852-1" TargetMode="External"/><Relationship Id="rId3282" Type="http://schemas.openxmlformats.org/officeDocument/2006/relationships/hyperlink" Target="https://webagentes.canaldirecto.com.ar/incidents/view/789945-8" TargetMode="External"/><Relationship Id="rId2091" Type="http://schemas.openxmlformats.org/officeDocument/2006/relationships/hyperlink" Target="https://webagentes.canaldirecto.com.ar/incidents/view/746657-9" TargetMode="External"/><Relationship Id="rId2189" Type="http://schemas.openxmlformats.org/officeDocument/2006/relationships/hyperlink" Target="https://webagentes.canaldirecto.com.ar/incidents/view/749128-3" TargetMode="External"/><Relationship Id="rId3142" Type="http://schemas.openxmlformats.org/officeDocument/2006/relationships/hyperlink" Target="https://webagentes.canaldirecto.com.ar/incidents/view/791736-5" TargetMode="External"/><Relationship Id="rId3587" Type="http://schemas.openxmlformats.org/officeDocument/2006/relationships/hyperlink" Target="https://webagentes.canaldirecto.com.ar/incidents/view/800033-4" TargetMode="External"/><Relationship Id="rId3794" Type="http://schemas.openxmlformats.org/officeDocument/2006/relationships/hyperlink" Target="https://webagentes.canaldirecto.com.ar/incidents/view/803356-3" TargetMode="External"/><Relationship Id="rId270" Type="http://schemas.openxmlformats.org/officeDocument/2006/relationships/hyperlink" Target="http://webagentes.canaldirecto.com.ar/incidents/view/658294-0" TargetMode="External"/><Relationship Id="rId2396" Type="http://schemas.openxmlformats.org/officeDocument/2006/relationships/hyperlink" Target="https://webagentes.canaldirecto.com.ar/incidents/view/754356-8" TargetMode="External"/><Relationship Id="rId3002" Type="http://schemas.openxmlformats.org/officeDocument/2006/relationships/hyperlink" Target="https://webagentes.canaldirecto.com.ar/incidents/view/783612-1" TargetMode="External"/><Relationship Id="rId3447" Type="http://schemas.openxmlformats.org/officeDocument/2006/relationships/hyperlink" Target="https://webagentes.canaldirecto.com.ar/liquidations/removeIncident/796472-5" TargetMode="External"/><Relationship Id="rId3654" Type="http://schemas.openxmlformats.org/officeDocument/2006/relationships/hyperlink" Target="https://webagentes.canaldirecto.com.ar/incidents/view/798264-2" TargetMode="External"/><Relationship Id="rId3861" Type="http://schemas.openxmlformats.org/officeDocument/2006/relationships/hyperlink" Target="https://webagentes.canaldirecto.com.ar/incidents/view/806474-9" TargetMode="External"/><Relationship Id="rId130" Type="http://schemas.openxmlformats.org/officeDocument/2006/relationships/hyperlink" Target="http://webagentes.canaldirecto.com.ar/incidents/view/658002-1" TargetMode="External"/><Relationship Id="rId368" Type="http://schemas.openxmlformats.org/officeDocument/2006/relationships/hyperlink" Target="https://webagentes.canaldirecto.com.ar/liquidations/removeIncident/669980-6" TargetMode="External"/><Relationship Id="rId575" Type="http://schemas.openxmlformats.org/officeDocument/2006/relationships/hyperlink" Target="https://webagentes.canaldirecto.com.ar/incidents/view/670352-5" TargetMode="External"/><Relationship Id="rId782" Type="http://schemas.openxmlformats.org/officeDocument/2006/relationships/hyperlink" Target="https://webagentes.canaldirecto.com.ar/incidents/view/683692-0" TargetMode="External"/><Relationship Id="rId2049" Type="http://schemas.openxmlformats.org/officeDocument/2006/relationships/hyperlink" Target="https://webagentes.canaldirecto.com.ar/incidents/view/743438-5" TargetMode="External"/><Relationship Id="rId2256" Type="http://schemas.openxmlformats.org/officeDocument/2006/relationships/hyperlink" Target="https://webagentes.canaldirecto.com.ar/incidents/view/751584-8" TargetMode="External"/><Relationship Id="rId2463" Type="http://schemas.openxmlformats.org/officeDocument/2006/relationships/hyperlink" Target="https://webagentes.canaldirecto.com.ar/incidents/view/760535-4" TargetMode="External"/><Relationship Id="rId2670" Type="http://schemas.openxmlformats.org/officeDocument/2006/relationships/hyperlink" Target="https://webagentes.canaldirecto.com.ar/incidents/view/771082-3" TargetMode="External"/><Relationship Id="rId3307" Type="http://schemas.openxmlformats.org/officeDocument/2006/relationships/hyperlink" Target="https://webagentes.canaldirecto.com.ar/incidents/view/794408-6" TargetMode="External"/><Relationship Id="rId3514" Type="http://schemas.openxmlformats.org/officeDocument/2006/relationships/hyperlink" Target="https://webagentes.canaldirecto.com.ar/incidents/view/795588-8" TargetMode="External"/><Relationship Id="rId3721" Type="http://schemas.openxmlformats.org/officeDocument/2006/relationships/hyperlink" Target="https://webagentes.canaldirecto.com.ar/incidents/view/801219-9" TargetMode="External"/><Relationship Id="rId228" Type="http://schemas.openxmlformats.org/officeDocument/2006/relationships/hyperlink" Target="http://webagentes.canaldirecto.com.ar/incidents/view/655148-1" TargetMode="External"/><Relationship Id="rId435" Type="http://schemas.openxmlformats.org/officeDocument/2006/relationships/hyperlink" Target="https://webagentes.canaldirecto.com.ar/incidents/view/668746-7" TargetMode="External"/><Relationship Id="rId642" Type="http://schemas.openxmlformats.org/officeDocument/2006/relationships/hyperlink" Target="https://webagentes.canaldirecto.com.ar/incidents/view/676196-3" TargetMode="External"/><Relationship Id="rId1065" Type="http://schemas.openxmlformats.org/officeDocument/2006/relationships/hyperlink" Target="https://webagentes.canaldirecto.com.ar/incidents/view/691259-4" TargetMode="External"/><Relationship Id="rId1272" Type="http://schemas.openxmlformats.org/officeDocument/2006/relationships/hyperlink" Target="https://webagentes.canaldirecto.com.ar/incidents/view/708024-5" TargetMode="External"/><Relationship Id="rId2116" Type="http://schemas.openxmlformats.org/officeDocument/2006/relationships/hyperlink" Target="https://webagentes.canaldirecto.com.ar/incidents/view/746252-8" TargetMode="External"/><Relationship Id="rId2323" Type="http://schemas.openxmlformats.org/officeDocument/2006/relationships/hyperlink" Target="https://webagentes.canaldirecto.com.ar/incidents/view/753309-3" TargetMode="External"/><Relationship Id="rId2530" Type="http://schemas.openxmlformats.org/officeDocument/2006/relationships/hyperlink" Target="https://webagentes.canaldirecto.com.ar/incidents/view/762582-6" TargetMode="External"/><Relationship Id="rId2768" Type="http://schemas.openxmlformats.org/officeDocument/2006/relationships/hyperlink" Target="https://webagentes.canaldirecto.com.ar/incidents/view/776923-6" TargetMode="External"/><Relationship Id="rId2975" Type="http://schemas.openxmlformats.org/officeDocument/2006/relationships/hyperlink" Target="https://webagentes.canaldirecto.com.ar/incidents/view/780343-3" TargetMode="External"/><Relationship Id="rId3819" Type="http://schemas.openxmlformats.org/officeDocument/2006/relationships/hyperlink" Target="https://webagentes.canaldirecto.com.ar/incidents/view/809243-2" TargetMode="External"/><Relationship Id="rId502" Type="http://schemas.openxmlformats.org/officeDocument/2006/relationships/hyperlink" Target="https://webagentes.canaldirecto.com.ar/liquidations/removeIncident/672819-9" TargetMode="External"/><Relationship Id="rId947" Type="http://schemas.openxmlformats.org/officeDocument/2006/relationships/hyperlink" Target="https://webagentes.canaldirecto.com.ar/incidents/view/689371-2" TargetMode="External"/><Relationship Id="rId1132" Type="http://schemas.openxmlformats.org/officeDocument/2006/relationships/hyperlink" Target="https://webagentes.canaldirecto.com.ar/incidents/view/703933-9" TargetMode="External"/><Relationship Id="rId1577" Type="http://schemas.openxmlformats.org/officeDocument/2006/relationships/hyperlink" Target="https://webagentes.canaldirecto.com.ar/incidents/view/722167-5" TargetMode="External"/><Relationship Id="rId1784" Type="http://schemas.openxmlformats.org/officeDocument/2006/relationships/hyperlink" Target="https://webagentes.canaldirecto.com.ar/incidents/view/731508-0" TargetMode="External"/><Relationship Id="rId1991" Type="http://schemas.openxmlformats.org/officeDocument/2006/relationships/hyperlink" Target="https://webagentes.canaldirecto.com.ar/incidents/view/744278-2" TargetMode="External"/><Relationship Id="rId2628" Type="http://schemas.openxmlformats.org/officeDocument/2006/relationships/hyperlink" Target="https://webagentes.canaldirecto.com.ar/incidents/view/763041-1" TargetMode="External"/><Relationship Id="rId2835" Type="http://schemas.openxmlformats.org/officeDocument/2006/relationships/hyperlink" Target="https://webagentes.canaldirecto.com.ar/incidents/view/779738-1" TargetMode="External"/><Relationship Id="rId76" Type="http://schemas.openxmlformats.org/officeDocument/2006/relationships/hyperlink" Target="http://webagentes.canaldirecto.com.ar/incidents/view/653824-0" TargetMode="External"/><Relationship Id="rId807" Type="http://schemas.openxmlformats.org/officeDocument/2006/relationships/hyperlink" Target="https://webagentes.canaldirecto.com.ar/liquidations/removeIncident/687704-2" TargetMode="External"/><Relationship Id="rId1437" Type="http://schemas.openxmlformats.org/officeDocument/2006/relationships/hyperlink" Target="https://webagentes.canaldirecto.com.ar/incidents/view/716543-0" TargetMode="External"/><Relationship Id="rId1644" Type="http://schemas.openxmlformats.org/officeDocument/2006/relationships/hyperlink" Target="https://webagentes.canaldirecto.com.ar/incidents/view/720129-1" TargetMode="External"/><Relationship Id="rId1851" Type="http://schemas.openxmlformats.org/officeDocument/2006/relationships/hyperlink" Target="https://webagentes.canaldirecto.com.ar/incidents/view/733308-6" TargetMode="External"/><Relationship Id="rId2902" Type="http://schemas.openxmlformats.org/officeDocument/2006/relationships/hyperlink" Target="https://webagentes.canaldirecto.com.ar/incidents/view/782769-1" TargetMode="External"/><Relationship Id="rId3097" Type="http://schemas.openxmlformats.org/officeDocument/2006/relationships/hyperlink" Target="https://webagentes.canaldirecto.com.ar/incidents/view/788634-8" TargetMode="External"/><Relationship Id="rId1504" Type="http://schemas.openxmlformats.org/officeDocument/2006/relationships/hyperlink" Target="https://webagentes.canaldirecto.com.ar/incidents/view/720583-5" TargetMode="External"/><Relationship Id="rId1711" Type="http://schemas.openxmlformats.org/officeDocument/2006/relationships/hyperlink" Target="https://webagentes.canaldirecto.com.ar/incidents/view/730645-3" TargetMode="External"/><Relationship Id="rId1949" Type="http://schemas.openxmlformats.org/officeDocument/2006/relationships/hyperlink" Target="https://webagentes.canaldirecto.com.ar/incidents/view/741186-1" TargetMode="External"/><Relationship Id="rId3164" Type="http://schemas.openxmlformats.org/officeDocument/2006/relationships/hyperlink" Target="https://webagentes.canaldirecto.com.ar/incidents/view/791199-0" TargetMode="External"/><Relationship Id="rId292" Type="http://schemas.openxmlformats.org/officeDocument/2006/relationships/hyperlink" Target="https://webagentes.canaldirecto.com.ar/incidents/view/662707-6" TargetMode="External"/><Relationship Id="rId1809" Type="http://schemas.openxmlformats.org/officeDocument/2006/relationships/hyperlink" Target="https://webagentes.canaldirecto.com.ar/incidents/view/736243-1" TargetMode="External"/><Relationship Id="rId3371" Type="http://schemas.openxmlformats.org/officeDocument/2006/relationships/hyperlink" Target="https://webagentes.canaldirecto.com.ar/incidents/view/792467-5" TargetMode="External"/><Relationship Id="rId3469" Type="http://schemas.openxmlformats.org/officeDocument/2006/relationships/hyperlink" Target="https://webagentes.canaldirecto.com.ar/liquidations/removeIncident/796053-4" TargetMode="External"/><Relationship Id="rId3676" Type="http://schemas.openxmlformats.org/officeDocument/2006/relationships/hyperlink" Target="https://webagentes.canaldirecto.com.ar/incidents/view/803258-2" TargetMode="External"/><Relationship Id="rId597" Type="http://schemas.openxmlformats.org/officeDocument/2006/relationships/hyperlink" Target="https://webagentes.canaldirecto.com.ar/incidents/view/669763-1" TargetMode="External"/><Relationship Id="rId2180" Type="http://schemas.openxmlformats.org/officeDocument/2006/relationships/hyperlink" Target="https://webagentes.canaldirecto.com.ar/incidents/view/749200-6" TargetMode="External"/><Relationship Id="rId2278" Type="http://schemas.openxmlformats.org/officeDocument/2006/relationships/hyperlink" Target="https://webagentes.canaldirecto.com.ar/incidents/view/750913-9" TargetMode="External"/><Relationship Id="rId2485" Type="http://schemas.openxmlformats.org/officeDocument/2006/relationships/hyperlink" Target="https://webagentes.canaldirecto.com.ar/incidents/view/759531-2" TargetMode="External"/><Relationship Id="rId3024" Type="http://schemas.openxmlformats.org/officeDocument/2006/relationships/hyperlink" Target="https://webagentes.canaldirecto.com.ar/incidents/view/782993-6" TargetMode="External"/><Relationship Id="rId3231" Type="http://schemas.openxmlformats.org/officeDocument/2006/relationships/hyperlink" Target="https://webagentes.canaldirecto.com.ar/incidents/view/788960-0" TargetMode="External"/><Relationship Id="rId3329" Type="http://schemas.openxmlformats.org/officeDocument/2006/relationships/hyperlink" Target="https://webagentes.canaldirecto.com.ar/incidents/view/794224-6" TargetMode="External"/><Relationship Id="rId152" Type="http://schemas.openxmlformats.org/officeDocument/2006/relationships/hyperlink" Target="http://webagentes.canaldirecto.com.ar/incidents/view/656986-0" TargetMode="External"/><Relationship Id="rId457" Type="http://schemas.openxmlformats.org/officeDocument/2006/relationships/hyperlink" Target="https://webagentes.canaldirecto.com.ar/incidents/view/668108-3" TargetMode="External"/><Relationship Id="rId1087" Type="http://schemas.openxmlformats.org/officeDocument/2006/relationships/hyperlink" Target="https://webagentes.canaldirecto.com.ar/incidents/view/695858-7" TargetMode="External"/><Relationship Id="rId1294" Type="http://schemas.openxmlformats.org/officeDocument/2006/relationships/hyperlink" Target="https://webagentes.canaldirecto.com.ar/incidents/view/713899-5" TargetMode="External"/><Relationship Id="rId2040" Type="http://schemas.openxmlformats.org/officeDocument/2006/relationships/hyperlink" Target="https://webagentes.canaldirecto.com.ar/incidents/view/743492-3" TargetMode="External"/><Relationship Id="rId2138" Type="http://schemas.openxmlformats.org/officeDocument/2006/relationships/hyperlink" Target="https://webagentes.canaldirecto.com.ar/incidents/view/745746-5" TargetMode="External"/><Relationship Id="rId2692" Type="http://schemas.openxmlformats.org/officeDocument/2006/relationships/hyperlink" Target="https://webagentes.canaldirecto.com.ar/incidents/view/770156-0" TargetMode="External"/><Relationship Id="rId2997" Type="http://schemas.openxmlformats.org/officeDocument/2006/relationships/hyperlink" Target="https://webagentes.canaldirecto.com.ar/incidents/view/784223-8" TargetMode="External"/><Relationship Id="rId3536" Type="http://schemas.openxmlformats.org/officeDocument/2006/relationships/hyperlink" Target="https://webagentes.canaldirecto.com.ar/incidents/view/795575-4" TargetMode="External"/><Relationship Id="rId3743" Type="http://schemas.openxmlformats.org/officeDocument/2006/relationships/hyperlink" Target="https://webagentes.canaldirecto.com.ar/incidents/view/806327-2" TargetMode="External"/><Relationship Id="rId664" Type="http://schemas.openxmlformats.org/officeDocument/2006/relationships/hyperlink" Target="https://webagentes.canaldirecto.com.ar/incidents/view/675213-2" TargetMode="External"/><Relationship Id="rId871" Type="http://schemas.openxmlformats.org/officeDocument/2006/relationships/hyperlink" Target="https://webagentes.canaldirecto.com.ar/liquidations/removeIncident/684764-3" TargetMode="External"/><Relationship Id="rId969" Type="http://schemas.openxmlformats.org/officeDocument/2006/relationships/hyperlink" Target="https://webagentes.canaldirecto.com.ar/incidents/view/688072-7" TargetMode="External"/><Relationship Id="rId1599" Type="http://schemas.openxmlformats.org/officeDocument/2006/relationships/hyperlink" Target="https://webagentes.canaldirecto.com.ar/incidents/view/721623-9" TargetMode="External"/><Relationship Id="rId2345" Type="http://schemas.openxmlformats.org/officeDocument/2006/relationships/hyperlink" Target="https://webagentes.canaldirecto.com.ar/incidents/view/752164-5" TargetMode="External"/><Relationship Id="rId2552" Type="http://schemas.openxmlformats.org/officeDocument/2006/relationships/hyperlink" Target="https://webagentes.canaldirecto.com.ar/incidents/view/762229-0" TargetMode="External"/><Relationship Id="rId3603" Type="http://schemas.openxmlformats.org/officeDocument/2006/relationships/hyperlink" Target="https://webagentes.canaldirecto.com.ar/incidents/view/799969-7" TargetMode="External"/><Relationship Id="rId3810" Type="http://schemas.openxmlformats.org/officeDocument/2006/relationships/hyperlink" Target="https://webagentes.canaldirecto.com.ar/incidents/view/809385-7" TargetMode="External"/><Relationship Id="rId317" Type="http://schemas.openxmlformats.org/officeDocument/2006/relationships/hyperlink" Target="https://webagentes.canaldirecto.com.ar/incidents/view/662117-9" TargetMode="External"/><Relationship Id="rId524" Type="http://schemas.openxmlformats.org/officeDocument/2006/relationships/hyperlink" Target="https://webagentes.canaldirecto.com.ar/liquidations/removeIncident/672468-9" TargetMode="External"/><Relationship Id="rId731" Type="http://schemas.openxmlformats.org/officeDocument/2006/relationships/hyperlink" Target="https://webagentes.canaldirecto.com.ar/incidents/view/679024-8" TargetMode="External"/><Relationship Id="rId1154" Type="http://schemas.openxmlformats.org/officeDocument/2006/relationships/hyperlink" Target="https://webagentes.canaldirecto.com.ar/incidents/view/702378-1" TargetMode="External"/><Relationship Id="rId1361" Type="http://schemas.openxmlformats.org/officeDocument/2006/relationships/hyperlink" Target="https://webagentes.canaldirecto.com.ar/incidents/view/712031-2" TargetMode="External"/><Relationship Id="rId1459" Type="http://schemas.openxmlformats.org/officeDocument/2006/relationships/hyperlink" Target="https://webagentes.canaldirecto.com.ar/incidents/view/716387-6" TargetMode="External"/><Relationship Id="rId2205" Type="http://schemas.openxmlformats.org/officeDocument/2006/relationships/hyperlink" Target="https://webagentes.canaldirecto.com.ar/incidents/view/748623-6" TargetMode="External"/><Relationship Id="rId2412" Type="http://schemas.openxmlformats.org/officeDocument/2006/relationships/hyperlink" Target="https://webagentes.canaldirecto.com.ar/incidents/view/758867-7" TargetMode="External"/><Relationship Id="rId2857" Type="http://schemas.openxmlformats.org/officeDocument/2006/relationships/hyperlink" Target="https://webagentes.canaldirecto.com.ar/incidents/view/779267-8" TargetMode="External"/><Relationship Id="rId98" Type="http://schemas.openxmlformats.org/officeDocument/2006/relationships/hyperlink" Target="http://webagentes.canaldirecto.com.ar/incidents/view/652379-8" TargetMode="External"/><Relationship Id="rId829" Type="http://schemas.openxmlformats.org/officeDocument/2006/relationships/hyperlink" Target="https://webagentes.canaldirecto.com.ar/liquidations/removeIncident/686294-3" TargetMode="External"/><Relationship Id="rId1014" Type="http://schemas.openxmlformats.org/officeDocument/2006/relationships/hyperlink" Target="https://webagentes.canaldirecto.com.ar/incidents/view/690396-7" TargetMode="External"/><Relationship Id="rId1221" Type="http://schemas.openxmlformats.org/officeDocument/2006/relationships/hyperlink" Target="https://webagentes.canaldirecto.com.ar/incidents/view/703864-0" TargetMode="External"/><Relationship Id="rId1666" Type="http://schemas.openxmlformats.org/officeDocument/2006/relationships/hyperlink" Target="https://webagentes.canaldirecto.com.ar/incidents/view/727618-9" TargetMode="External"/><Relationship Id="rId1873" Type="http://schemas.openxmlformats.org/officeDocument/2006/relationships/hyperlink" Target="https://webagentes.canaldirecto.com.ar/incidents/view/737777-0" TargetMode="External"/><Relationship Id="rId2717" Type="http://schemas.openxmlformats.org/officeDocument/2006/relationships/hyperlink" Target="https://webagentes.canaldirecto.com.ar/incidents/view/774545-8" TargetMode="External"/><Relationship Id="rId2924" Type="http://schemas.openxmlformats.org/officeDocument/2006/relationships/hyperlink" Target="https://webagentes.canaldirecto.com.ar/incidents/view/782666-5" TargetMode="External"/><Relationship Id="rId1319" Type="http://schemas.openxmlformats.org/officeDocument/2006/relationships/hyperlink" Target="https://webagentes.canaldirecto.com.ar/incidents/view/712496-5" TargetMode="External"/><Relationship Id="rId1526" Type="http://schemas.openxmlformats.org/officeDocument/2006/relationships/hyperlink" Target="https://webagentes.canaldirecto.com.ar/incidents/view/720016-8" TargetMode="External"/><Relationship Id="rId1733" Type="http://schemas.openxmlformats.org/officeDocument/2006/relationships/hyperlink" Target="https://webagentes.canaldirecto.com.ar/incidents/view/728718-5" TargetMode="External"/><Relationship Id="rId1940" Type="http://schemas.openxmlformats.org/officeDocument/2006/relationships/hyperlink" Target="https://webagentes.canaldirecto.com.ar/incidents/view/741291-2" TargetMode="External"/><Relationship Id="rId3186" Type="http://schemas.openxmlformats.org/officeDocument/2006/relationships/hyperlink" Target="https://webagentes.canaldirecto.com.ar/incidents/view/790839-4" TargetMode="External"/><Relationship Id="rId3393" Type="http://schemas.openxmlformats.org/officeDocument/2006/relationships/hyperlink" Target="https://webagentes.canaldirecto.com.ar/incidents/view/788334-1" TargetMode="External"/><Relationship Id="rId25" Type="http://schemas.openxmlformats.org/officeDocument/2006/relationships/hyperlink" Target="http://webagentes.canaldirecto.com.ar/incidents/view/651983-8" TargetMode="External"/><Relationship Id="rId1800" Type="http://schemas.openxmlformats.org/officeDocument/2006/relationships/hyperlink" Target="https://webagentes.canaldirecto.com.ar/incidents/view/736256-5" TargetMode="External"/><Relationship Id="rId3046" Type="http://schemas.openxmlformats.org/officeDocument/2006/relationships/hyperlink" Target="https://webagentes.canaldirecto.com.ar/incidents/view/787014-3" TargetMode="External"/><Relationship Id="rId3253" Type="http://schemas.openxmlformats.org/officeDocument/2006/relationships/hyperlink" Target="https://webagentes.canaldirecto.com.ar/incidents/view/791759-6" TargetMode="External"/><Relationship Id="rId3460" Type="http://schemas.openxmlformats.org/officeDocument/2006/relationships/hyperlink" Target="https://webagentes.canaldirecto.com.ar/incidents/view/796064-0" TargetMode="External"/><Relationship Id="rId3698" Type="http://schemas.openxmlformats.org/officeDocument/2006/relationships/hyperlink" Target="https://webagentes.canaldirecto.com.ar/incidents/view/802414-9" TargetMode="External"/><Relationship Id="rId174" Type="http://schemas.openxmlformats.org/officeDocument/2006/relationships/hyperlink" Target="http://webagentes.canaldirecto.com.ar/incidents/view/656721-5" TargetMode="External"/><Relationship Id="rId381" Type="http://schemas.openxmlformats.org/officeDocument/2006/relationships/hyperlink" Target="https://webagentes.canaldirecto.com.ar/incidents/view/669409-6" TargetMode="External"/><Relationship Id="rId2062" Type="http://schemas.openxmlformats.org/officeDocument/2006/relationships/hyperlink" Target="https://webagentes.canaldirecto.com.ar/incidents/view/742916-1" TargetMode="External"/><Relationship Id="rId3113" Type="http://schemas.openxmlformats.org/officeDocument/2006/relationships/hyperlink" Target="https://webagentes.canaldirecto.com.ar/incidents/view/788343-9" TargetMode="External"/><Relationship Id="rId3558" Type="http://schemas.openxmlformats.org/officeDocument/2006/relationships/hyperlink" Target="https://webagentes.canaldirecto.com.ar/incidents/view/794900-9" TargetMode="External"/><Relationship Id="rId3765" Type="http://schemas.openxmlformats.org/officeDocument/2006/relationships/hyperlink" Target="https://webagentes.canaldirecto.com.ar/incidents/view/805487-6" TargetMode="External"/><Relationship Id="rId241" Type="http://schemas.openxmlformats.org/officeDocument/2006/relationships/hyperlink" Target="http://webagentes.canaldirecto.com.ar/incidents/view/660793-9" TargetMode="External"/><Relationship Id="rId479" Type="http://schemas.openxmlformats.org/officeDocument/2006/relationships/hyperlink" Target="https://webagentes.canaldirecto.com.ar/incidents/view/665800-3" TargetMode="External"/><Relationship Id="rId686" Type="http://schemas.openxmlformats.org/officeDocument/2006/relationships/hyperlink" Target="https://webagentes.canaldirecto.com.ar/incidents/view/674429-4" TargetMode="External"/><Relationship Id="rId893" Type="http://schemas.openxmlformats.org/officeDocument/2006/relationships/hyperlink" Target="https://webagentes.canaldirecto.com.ar/liquidations/removeIncident/684286-0" TargetMode="External"/><Relationship Id="rId2367" Type="http://schemas.openxmlformats.org/officeDocument/2006/relationships/hyperlink" Target="https://webagentes.canaldirecto.com.ar/incidents/view/755597-0" TargetMode="External"/><Relationship Id="rId2574" Type="http://schemas.openxmlformats.org/officeDocument/2006/relationships/hyperlink" Target="https://webagentes.canaldirecto.com.ar/incidents/view/761373-3" TargetMode="External"/><Relationship Id="rId2781" Type="http://schemas.openxmlformats.org/officeDocument/2006/relationships/hyperlink" Target="https://webagentes.canaldirecto.com.ar/incidents/view/776051-8" TargetMode="External"/><Relationship Id="rId3320" Type="http://schemas.openxmlformats.org/officeDocument/2006/relationships/hyperlink" Target="https://webagentes.canaldirecto.com.ar/incidents/view/794383-8" TargetMode="External"/><Relationship Id="rId3418" Type="http://schemas.openxmlformats.org/officeDocument/2006/relationships/hyperlink" Target="https://webagentes.canaldirecto.com.ar/incidents/view/797414-8" TargetMode="External"/><Relationship Id="rId3625" Type="http://schemas.openxmlformats.org/officeDocument/2006/relationships/hyperlink" Target="https://webagentes.canaldirecto.com.ar/incidents/view/799613-1" TargetMode="External"/><Relationship Id="rId339" Type="http://schemas.openxmlformats.org/officeDocument/2006/relationships/hyperlink" Target="https://webagentes.canaldirecto.com.ar/incidents/view/665891-5" TargetMode="External"/><Relationship Id="rId546" Type="http://schemas.openxmlformats.org/officeDocument/2006/relationships/hyperlink" Target="https://webagentes.canaldirecto.com.ar/liquidations/removeIncident/670929-1" TargetMode="External"/><Relationship Id="rId753" Type="http://schemas.openxmlformats.org/officeDocument/2006/relationships/hyperlink" Target="https://webagentes.canaldirecto.com.ar/incidents/view/678087-0" TargetMode="External"/><Relationship Id="rId1176" Type="http://schemas.openxmlformats.org/officeDocument/2006/relationships/hyperlink" Target="https://webagentes.canaldirecto.com.ar/incidents/view/706710-1" TargetMode="External"/><Relationship Id="rId1383" Type="http://schemas.openxmlformats.org/officeDocument/2006/relationships/hyperlink" Target="https://webagentes.canaldirecto.com.ar/incidents/view/711622-1" TargetMode="External"/><Relationship Id="rId2227" Type="http://schemas.openxmlformats.org/officeDocument/2006/relationships/hyperlink" Target="https://webagentes.canaldirecto.com.ar/incidents/view/748139-2" TargetMode="External"/><Relationship Id="rId2434" Type="http://schemas.openxmlformats.org/officeDocument/2006/relationships/hyperlink" Target="https://webagentes.canaldirecto.com.ar/incidents/view/761107-2" TargetMode="External"/><Relationship Id="rId2879" Type="http://schemas.openxmlformats.org/officeDocument/2006/relationships/hyperlink" Target="https://webagentes.canaldirecto.com.ar/incidents/view/778697-8" TargetMode="External"/><Relationship Id="rId3832" Type="http://schemas.openxmlformats.org/officeDocument/2006/relationships/hyperlink" Target="https://webagentes.canaldirecto.com.ar/incidents/view/808924-3" TargetMode="External"/><Relationship Id="rId101" Type="http://schemas.openxmlformats.org/officeDocument/2006/relationships/hyperlink" Target="http://webagentes.canaldirecto.com.ar/liquidations/removeIncident/651292-3" TargetMode="External"/><Relationship Id="rId406" Type="http://schemas.openxmlformats.org/officeDocument/2006/relationships/hyperlink" Target="https://webagentes.canaldirecto.com.ar/liquidations/removeIncident/669378-7" TargetMode="External"/><Relationship Id="rId960" Type="http://schemas.openxmlformats.org/officeDocument/2006/relationships/hyperlink" Target="https://webagentes.canaldirecto.com.ar/incidents/view/688191-1" TargetMode="External"/><Relationship Id="rId1036" Type="http://schemas.openxmlformats.org/officeDocument/2006/relationships/hyperlink" Target="https://webagentes.canaldirecto.com.ar/incidents/view/694899-7" TargetMode="External"/><Relationship Id="rId1243" Type="http://schemas.openxmlformats.org/officeDocument/2006/relationships/hyperlink" Target="https://webagentes.canaldirecto.com.ar/incidents/view/709822-6" TargetMode="External"/><Relationship Id="rId1590" Type="http://schemas.openxmlformats.org/officeDocument/2006/relationships/hyperlink" Target="https://webagentes.canaldirecto.com.ar/incidents/view/721871-4" TargetMode="External"/><Relationship Id="rId1688" Type="http://schemas.openxmlformats.org/officeDocument/2006/relationships/hyperlink" Target="https://webagentes.canaldirecto.com.ar/incidents/view/726671-1" TargetMode="External"/><Relationship Id="rId1895" Type="http://schemas.openxmlformats.org/officeDocument/2006/relationships/hyperlink" Target="https://webagentes.canaldirecto.com.ar/incidents/view/737319-0" TargetMode="External"/><Relationship Id="rId2641" Type="http://schemas.openxmlformats.org/officeDocument/2006/relationships/hyperlink" Target="https://webagentes.canaldirecto.com.ar/incidents/view/767457-6" TargetMode="External"/><Relationship Id="rId2739" Type="http://schemas.openxmlformats.org/officeDocument/2006/relationships/hyperlink" Target="https://webagentes.canaldirecto.com.ar/incidents/view/773156-1" TargetMode="External"/><Relationship Id="rId2946" Type="http://schemas.openxmlformats.org/officeDocument/2006/relationships/hyperlink" Target="https://webagentes.canaldirecto.com.ar/incidents/view/782116-5" TargetMode="External"/><Relationship Id="rId613" Type="http://schemas.openxmlformats.org/officeDocument/2006/relationships/hyperlink" Target="https://webagentes.canaldirecto.com.ar/incidents/view/677736-2" TargetMode="External"/><Relationship Id="rId820" Type="http://schemas.openxmlformats.org/officeDocument/2006/relationships/hyperlink" Target="https://webagentes.canaldirecto.com.ar/incidents/view/686803-5" TargetMode="External"/><Relationship Id="rId918" Type="http://schemas.openxmlformats.org/officeDocument/2006/relationships/hyperlink" Target="https://webagentes.canaldirecto.com.ar/incidents/view/683544-4" TargetMode="External"/><Relationship Id="rId1450" Type="http://schemas.openxmlformats.org/officeDocument/2006/relationships/hyperlink" Target="https://webagentes.canaldirecto.com.ar/incidents/view/716429-1" TargetMode="External"/><Relationship Id="rId1548" Type="http://schemas.openxmlformats.org/officeDocument/2006/relationships/hyperlink" Target="https://webagentes.canaldirecto.com.ar/incidents/view/718752-0" TargetMode="External"/><Relationship Id="rId1755" Type="http://schemas.openxmlformats.org/officeDocument/2006/relationships/hyperlink" Target="https://webagentes.canaldirecto.com.ar/incidents/view/732803-9" TargetMode="External"/><Relationship Id="rId2501" Type="http://schemas.openxmlformats.org/officeDocument/2006/relationships/hyperlink" Target="https://webagentes.canaldirecto.com.ar/liquidations/removeIncident/763971-3" TargetMode="External"/><Relationship Id="rId1103" Type="http://schemas.openxmlformats.org/officeDocument/2006/relationships/hyperlink" Target="https://webagentes.canaldirecto.com.ar/incidents/view/699992-8" TargetMode="External"/><Relationship Id="rId1310" Type="http://schemas.openxmlformats.org/officeDocument/2006/relationships/hyperlink" Target="https://webagentes.canaldirecto.com.ar/incidents/view/712859-0" TargetMode="External"/><Relationship Id="rId1408" Type="http://schemas.openxmlformats.org/officeDocument/2006/relationships/hyperlink" Target="https://webagentes.canaldirecto.com.ar/incidents/view/717060-9" TargetMode="External"/><Relationship Id="rId1962" Type="http://schemas.openxmlformats.org/officeDocument/2006/relationships/hyperlink" Target="https://webagentes.canaldirecto.com.ar/incidents/view/740345-5" TargetMode="External"/><Relationship Id="rId2806" Type="http://schemas.openxmlformats.org/officeDocument/2006/relationships/hyperlink" Target="https://webagentes.canaldirecto.com.ar/incidents/view/780439-9" TargetMode="External"/><Relationship Id="rId47" Type="http://schemas.openxmlformats.org/officeDocument/2006/relationships/hyperlink" Target="http://webagentes.canaldirecto.com.ar/incidents/view/649086-1" TargetMode="External"/><Relationship Id="rId1615" Type="http://schemas.openxmlformats.org/officeDocument/2006/relationships/hyperlink" Target="https://webagentes.canaldirecto.com.ar/incidents/view/725756-4" TargetMode="External"/><Relationship Id="rId1822" Type="http://schemas.openxmlformats.org/officeDocument/2006/relationships/hyperlink" Target="https://webagentes.canaldirecto.com.ar/incidents/view/735614-8" TargetMode="External"/><Relationship Id="rId3068" Type="http://schemas.openxmlformats.org/officeDocument/2006/relationships/hyperlink" Target="https://webagentes.canaldirecto.com.ar/incidents/view/786128-8" TargetMode="External"/><Relationship Id="rId3275" Type="http://schemas.openxmlformats.org/officeDocument/2006/relationships/hyperlink" Target="https://webagentes.canaldirecto.com.ar/incidents/view/790161-0" TargetMode="External"/><Relationship Id="rId3482" Type="http://schemas.openxmlformats.org/officeDocument/2006/relationships/hyperlink" Target="https://webagentes.canaldirecto.com.ar/incidents/view/795880-3" TargetMode="External"/><Relationship Id="rId196" Type="http://schemas.openxmlformats.org/officeDocument/2006/relationships/hyperlink" Target="http://webagentes.canaldirecto.com.ar/incidents/view/656311-2" TargetMode="External"/><Relationship Id="rId2084" Type="http://schemas.openxmlformats.org/officeDocument/2006/relationships/hyperlink" Target="https://webagentes.canaldirecto.com.ar/incidents/view/746808-1" TargetMode="External"/><Relationship Id="rId2291" Type="http://schemas.openxmlformats.org/officeDocument/2006/relationships/hyperlink" Target="https://webagentes.canaldirecto.com.ar/incidents/view/749709-2" TargetMode="External"/><Relationship Id="rId3135" Type="http://schemas.openxmlformats.org/officeDocument/2006/relationships/hyperlink" Target="https://webagentes.canaldirecto.com.ar/incidents/view/787998-6" TargetMode="External"/><Relationship Id="rId3342" Type="http://schemas.openxmlformats.org/officeDocument/2006/relationships/hyperlink" Target="https://webagentes.canaldirecto.com.ar/incidents/view/793496-4" TargetMode="External"/><Relationship Id="rId3787" Type="http://schemas.openxmlformats.org/officeDocument/2006/relationships/hyperlink" Target="https://webagentes.canaldirecto.com.ar/incidents/view/804319-9" TargetMode="External"/><Relationship Id="rId263" Type="http://schemas.openxmlformats.org/officeDocument/2006/relationships/hyperlink" Target="http://webagentes.canaldirecto.com.ar/incidents/view/658756-5" TargetMode="External"/><Relationship Id="rId470" Type="http://schemas.openxmlformats.org/officeDocument/2006/relationships/hyperlink" Target="https://webagentes.canaldirecto.com.ar/liquidations/removeIncident/667676-2" TargetMode="External"/><Relationship Id="rId2151" Type="http://schemas.openxmlformats.org/officeDocument/2006/relationships/hyperlink" Target="https://webagentes.canaldirecto.com.ar/incidents/view/745583-8" TargetMode="External"/><Relationship Id="rId2389" Type="http://schemas.openxmlformats.org/officeDocument/2006/relationships/hyperlink" Target="https://webagentes.canaldirecto.com.ar/incidents/view/754755-5" TargetMode="External"/><Relationship Id="rId2596" Type="http://schemas.openxmlformats.org/officeDocument/2006/relationships/hyperlink" Target="https://webagentes.canaldirecto.com.ar/incidents/view/766660-1" TargetMode="External"/><Relationship Id="rId3202" Type="http://schemas.openxmlformats.org/officeDocument/2006/relationships/hyperlink" Target="https://webagentes.canaldirecto.com.ar/incidents/view/790368-1" TargetMode="External"/><Relationship Id="rId3647" Type="http://schemas.openxmlformats.org/officeDocument/2006/relationships/hyperlink" Target="https://webagentes.canaldirecto.com.ar/incidents/view/798682-4" TargetMode="External"/><Relationship Id="rId3854" Type="http://schemas.openxmlformats.org/officeDocument/2006/relationships/hyperlink" Target="https://webagentes.canaldirecto.com.ar/incidents/view/807113-8" TargetMode="External"/><Relationship Id="rId123" Type="http://schemas.openxmlformats.org/officeDocument/2006/relationships/hyperlink" Target="http://webagentes.canaldirecto.com.ar/liquidations/removeIncident/658006-7" TargetMode="External"/><Relationship Id="rId330" Type="http://schemas.openxmlformats.org/officeDocument/2006/relationships/hyperlink" Target="https://webagentes.canaldirecto.com.ar/incidents/view/666877-2" TargetMode="External"/><Relationship Id="rId568" Type="http://schemas.openxmlformats.org/officeDocument/2006/relationships/hyperlink" Target="https://webagentes.canaldirecto.com.ar/liquidations/removeIncident/670623-0" TargetMode="External"/><Relationship Id="rId775" Type="http://schemas.openxmlformats.org/officeDocument/2006/relationships/hyperlink" Target="https://webagentes.canaldirecto.com.ar/incidents/view/676242-1" TargetMode="External"/><Relationship Id="rId982" Type="http://schemas.openxmlformats.org/officeDocument/2006/relationships/hyperlink" Target="https://webagentes.canaldirecto.com.ar/incidents/view/686659-6" TargetMode="External"/><Relationship Id="rId1198" Type="http://schemas.openxmlformats.org/officeDocument/2006/relationships/hyperlink" Target="https://webagentes.canaldirecto.com.ar/incidents/view/705429-5" TargetMode="External"/><Relationship Id="rId2011" Type="http://schemas.openxmlformats.org/officeDocument/2006/relationships/hyperlink" Target="https://webagentes.canaldirecto.com.ar/incidents/view/744009-4" TargetMode="External"/><Relationship Id="rId2249" Type="http://schemas.openxmlformats.org/officeDocument/2006/relationships/hyperlink" Target="https://webagentes.canaldirecto.com.ar/incidents/view/746279-5" TargetMode="External"/><Relationship Id="rId2456" Type="http://schemas.openxmlformats.org/officeDocument/2006/relationships/hyperlink" Target="https://webagentes.canaldirecto.com.ar/incidents/view/760796-3" TargetMode="External"/><Relationship Id="rId2663" Type="http://schemas.openxmlformats.org/officeDocument/2006/relationships/hyperlink" Target="https://webagentes.canaldirecto.com.ar/incidents/view/771634-0" TargetMode="External"/><Relationship Id="rId2870" Type="http://schemas.openxmlformats.org/officeDocument/2006/relationships/hyperlink" Target="https://webagentes.canaldirecto.com.ar/incidents/view/779138-7" TargetMode="External"/><Relationship Id="rId3507" Type="http://schemas.openxmlformats.org/officeDocument/2006/relationships/hyperlink" Target="https://webagentes.canaldirecto.com.ar/liquidations/removeIncident/795736-3" TargetMode="External"/><Relationship Id="rId3714" Type="http://schemas.openxmlformats.org/officeDocument/2006/relationships/hyperlink" Target="https://webagentes.canaldirecto.com.ar/incidents/view/801478-0" TargetMode="External"/><Relationship Id="rId428" Type="http://schemas.openxmlformats.org/officeDocument/2006/relationships/hyperlink" Target="https://webagentes.canaldirecto.com.ar/liquidations/removeIncident/668871-2" TargetMode="External"/><Relationship Id="rId635" Type="http://schemas.openxmlformats.org/officeDocument/2006/relationships/hyperlink" Target="https://webagentes.canaldirecto.com.ar/incidents/view/676206-9" TargetMode="External"/><Relationship Id="rId842" Type="http://schemas.openxmlformats.org/officeDocument/2006/relationships/hyperlink" Target="https://webagentes.canaldirecto.com.ar/incidents/view/686013-0" TargetMode="External"/><Relationship Id="rId1058" Type="http://schemas.openxmlformats.org/officeDocument/2006/relationships/hyperlink" Target="https://webagentes.canaldirecto.com.ar/incidents/view/692732-9" TargetMode="External"/><Relationship Id="rId1265" Type="http://schemas.openxmlformats.org/officeDocument/2006/relationships/hyperlink" Target="https://webagentes.canaldirecto.com.ar/incidents/view/708487-0" TargetMode="External"/><Relationship Id="rId1472" Type="http://schemas.openxmlformats.org/officeDocument/2006/relationships/hyperlink" Target="https://webagentes.canaldirecto.com.ar/incidents/view/716185-0" TargetMode="External"/><Relationship Id="rId2109" Type="http://schemas.openxmlformats.org/officeDocument/2006/relationships/hyperlink" Target="https://webagentes.canaldirecto.com.ar/incidents/view/746259-1" TargetMode="External"/><Relationship Id="rId2316" Type="http://schemas.openxmlformats.org/officeDocument/2006/relationships/hyperlink" Target="https://webagentes.canaldirecto.com.ar/incidents/view/749081-3" TargetMode="External"/><Relationship Id="rId2523" Type="http://schemas.openxmlformats.org/officeDocument/2006/relationships/hyperlink" Target="https://webagentes.canaldirecto.com.ar/liquidations/removeIncident/762934-5" TargetMode="External"/><Relationship Id="rId2730" Type="http://schemas.openxmlformats.org/officeDocument/2006/relationships/hyperlink" Target="https://webagentes.canaldirecto.com.ar/incidents/view/773642-3" TargetMode="External"/><Relationship Id="rId2968" Type="http://schemas.openxmlformats.org/officeDocument/2006/relationships/hyperlink" Target="https://webagentes.canaldirecto.com.ar/incidents/view/780751-8" TargetMode="External"/><Relationship Id="rId702" Type="http://schemas.openxmlformats.org/officeDocument/2006/relationships/hyperlink" Target="https://webagentes.canaldirecto.com.ar/incidents/view/673929-2" TargetMode="External"/><Relationship Id="rId1125" Type="http://schemas.openxmlformats.org/officeDocument/2006/relationships/hyperlink" Target="https://webagentes.canaldirecto.com.ar/incidents/view/697768-9" TargetMode="External"/><Relationship Id="rId1332" Type="http://schemas.openxmlformats.org/officeDocument/2006/relationships/hyperlink" Target="https://webagentes.canaldirecto.com.ar/incidents/view/712475-2" TargetMode="External"/><Relationship Id="rId1777" Type="http://schemas.openxmlformats.org/officeDocument/2006/relationships/hyperlink" Target="https://webagentes.canaldirecto.com.ar/incidents/view/732583-8" TargetMode="External"/><Relationship Id="rId1984" Type="http://schemas.openxmlformats.org/officeDocument/2006/relationships/hyperlink" Target="https://webagentes.canaldirecto.com.ar/incidents/view/744291-3" TargetMode="External"/><Relationship Id="rId2828" Type="http://schemas.openxmlformats.org/officeDocument/2006/relationships/hyperlink" Target="https://webagentes.canaldirecto.com.ar/incidents/view/779745-1" TargetMode="External"/><Relationship Id="rId69" Type="http://schemas.openxmlformats.org/officeDocument/2006/relationships/hyperlink" Target="http://webagentes.canaldirecto.com.ar/liquidations/removeIncident/654187-3" TargetMode="External"/><Relationship Id="rId1637" Type="http://schemas.openxmlformats.org/officeDocument/2006/relationships/hyperlink" Target="https://webagentes.canaldirecto.com.ar/incidents/view/722252-2" TargetMode="External"/><Relationship Id="rId1844" Type="http://schemas.openxmlformats.org/officeDocument/2006/relationships/hyperlink" Target="https://webagentes.canaldirecto.com.ar/incidents/view/734040-2" TargetMode="External"/><Relationship Id="rId3297" Type="http://schemas.openxmlformats.org/officeDocument/2006/relationships/hyperlink" Target="https://webagentes.canaldirecto.com.ar/incidents/view/794731-1" TargetMode="External"/><Relationship Id="rId1704" Type="http://schemas.openxmlformats.org/officeDocument/2006/relationships/hyperlink" Target="https://webagentes.canaldirecto.com.ar/incidents/view/730652-3" TargetMode="External"/><Relationship Id="rId3157" Type="http://schemas.openxmlformats.org/officeDocument/2006/relationships/hyperlink" Target="https://webagentes.canaldirecto.com.ar/incidents/view/791427-0" TargetMode="External"/><Relationship Id="rId285" Type="http://schemas.openxmlformats.org/officeDocument/2006/relationships/hyperlink" Target="https://webagentes.canaldirecto.com.ar/incidents/view/662714-6" TargetMode="External"/><Relationship Id="rId1911" Type="http://schemas.openxmlformats.org/officeDocument/2006/relationships/hyperlink" Target="https://webagentes.canaldirecto.com.ar/liquidations/removeIncident/736826-8" TargetMode="External"/><Relationship Id="rId3364" Type="http://schemas.openxmlformats.org/officeDocument/2006/relationships/hyperlink" Target="https://webagentes.canaldirecto.com.ar/incidents/view/792603-5" TargetMode="External"/><Relationship Id="rId3571" Type="http://schemas.openxmlformats.org/officeDocument/2006/relationships/hyperlink" Target="https://webagentes.canaldirecto.com.ar/liquidations/removeIncident/794672-9" TargetMode="External"/><Relationship Id="rId3669" Type="http://schemas.openxmlformats.org/officeDocument/2006/relationships/hyperlink" Target="https://webagentes.canaldirecto.com.ar/incidents/view/794406-8" TargetMode="External"/><Relationship Id="rId492" Type="http://schemas.openxmlformats.org/officeDocument/2006/relationships/hyperlink" Target="https://webagentes.canaldirecto.com.ar/liquidations/removeIncident/673339-5" TargetMode="External"/><Relationship Id="rId797" Type="http://schemas.openxmlformats.org/officeDocument/2006/relationships/hyperlink" Target="https://webagentes.canaldirecto.com.ar/incidents/view/681821-6" TargetMode="External"/><Relationship Id="rId2173" Type="http://schemas.openxmlformats.org/officeDocument/2006/relationships/hyperlink" Target="https://webagentes.canaldirecto.com.ar/incidents/view/741181-6" TargetMode="External"/><Relationship Id="rId2380" Type="http://schemas.openxmlformats.org/officeDocument/2006/relationships/hyperlink" Target="https://webagentes.canaldirecto.com.ar/incidents/view/755177-0" TargetMode="External"/><Relationship Id="rId2478" Type="http://schemas.openxmlformats.org/officeDocument/2006/relationships/hyperlink" Target="https://webagentes.canaldirecto.com.ar/incidents/view/760038-6" TargetMode="External"/><Relationship Id="rId3017" Type="http://schemas.openxmlformats.org/officeDocument/2006/relationships/hyperlink" Target="https://webagentes.canaldirecto.com.ar/incidents/view/783088-0" TargetMode="External"/><Relationship Id="rId3224" Type="http://schemas.openxmlformats.org/officeDocument/2006/relationships/hyperlink" Target="https://webagentes.canaldirecto.com.ar/incidents/view/789171-1" TargetMode="External"/><Relationship Id="rId3431" Type="http://schemas.openxmlformats.org/officeDocument/2006/relationships/hyperlink" Target="https://webagentes.canaldirecto.com.ar/liquidations/removeIncident/797312-1" TargetMode="External"/><Relationship Id="rId145" Type="http://schemas.openxmlformats.org/officeDocument/2006/relationships/hyperlink" Target="http://webagentes.canaldirecto.com.ar/liquidations/removeIncident/657259-0" TargetMode="External"/><Relationship Id="rId352" Type="http://schemas.openxmlformats.org/officeDocument/2006/relationships/hyperlink" Target="https://webagentes.canaldirecto.com.ar/incidents/view/665013-5" TargetMode="External"/><Relationship Id="rId1287" Type="http://schemas.openxmlformats.org/officeDocument/2006/relationships/hyperlink" Target="https://webagentes.canaldirecto.com.ar/incidents/view/706389-5" TargetMode="External"/><Relationship Id="rId2033" Type="http://schemas.openxmlformats.org/officeDocument/2006/relationships/hyperlink" Target="https://webagentes.canaldirecto.com.ar/incidents/view/743521-4" TargetMode="External"/><Relationship Id="rId2240" Type="http://schemas.openxmlformats.org/officeDocument/2006/relationships/hyperlink" Target="https://webagentes.canaldirecto.com.ar/incidents/view/747442-6" TargetMode="External"/><Relationship Id="rId2685" Type="http://schemas.openxmlformats.org/officeDocument/2006/relationships/hyperlink" Target="https://webagentes.canaldirecto.com.ar/incidents/view/770417-8" TargetMode="External"/><Relationship Id="rId2892" Type="http://schemas.openxmlformats.org/officeDocument/2006/relationships/hyperlink" Target="https://webagentes.canaldirecto.com.ar/incidents/view/777806-7" TargetMode="External"/><Relationship Id="rId3529" Type="http://schemas.openxmlformats.org/officeDocument/2006/relationships/hyperlink" Target="https://webagentes.canaldirecto.com.ar/liquidations/removeIncident/795580-6" TargetMode="External"/><Relationship Id="rId3736" Type="http://schemas.openxmlformats.org/officeDocument/2006/relationships/hyperlink" Target="https://webagentes.canaldirecto.com.ar/incidents/view/799500-8" TargetMode="External"/><Relationship Id="rId212" Type="http://schemas.openxmlformats.org/officeDocument/2006/relationships/hyperlink" Target="http://webagentes.canaldirecto.com.ar/incidents/view/655462-8" TargetMode="External"/><Relationship Id="rId657" Type="http://schemas.openxmlformats.org/officeDocument/2006/relationships/hyperlink" Target="https://webagentes.canaldirecto.com.ar/incidents/view/675612-9" TargetMode="External"/><Relationship Id="rId864" Type="http://schemas.openxmlformats.org/officeDocument/2006/relationships/hyperlink" Target="https://webagentes.canaldirecto.com.ar/incidents/view/685159-4" TargetMode="External"/><Relationship Id="rId1494" Type="http://schemas.openxmlformats.org/officeDocument/2006/relationships/hyperlink" Target="https://webagentes.canaldirecto.com.ar/incidents/view/720777-2" TargetMode="External"/><Relationship Id="rId1799" Type="http://schemas.openxmlformats.org/officeDocument/2006/relationships/hyperlink" Target="https://webagentes.canaldirecto.com.ar/incidents/view/736257-4" TargetMode="External"/><Relationship Id="rId2100" Type="http://schemas.openxmlformats.org/officeDocument/2006/relationships/hyperlink" Target="https://webagentes.canaldirecto.com.ar/incidents/view/746430-4" TargetMode="External"/><Relationship Id="rId2338" Type="http://schemas.openxmlformats.org/officeDocument/2006/relationships/hyperlink" Target="https://webagentes.canaldirecto.com.ar/incidents/view/752885-1" TargetMode="External"/><Relationship Id="rId2545" Type="http://schemas.openxmlformats.org/officeDocument/2006/relationships/hyperlink" Target="https://webagentes.canaldirecto.com.ar/liquidations/removeIncident/762305-9" TargetMode="External"/><Relationship Id="rId2752" Type="http://schemas.openxmlformats.org/officeDocument/2006/relationships/hyperlink" Target="https://webagentes.canaldirecto.com.ar/incidents/view/772330-4" TargetMode="External"/><Relationship Id="rId3803" Type="http://schemas.openxmlformats.org/officeDocument/2006/relationships/hyperlink" Target="https://webagentes.canaldirecto.com.ar/incidents/view/809702-0" TargetMode="External"/><Relationship Id="rId517" Type="http://schemas.openxmlformats.org/officeDocument/2006/relationships/hyperlink" Target="https://webagentes.canaldirecto.com.ar/incidents/view/672487-4" TargetMode="External"/><Relationship Id="rId724" Type="http://schemas.openxmlformats.org/officeDocument/2006/relationships/hyperlink" Target="https://webagentes.canaldirecto.com.ar/incidents/view/679438-7" TargetMode="External"/><Relationship Id="rId931" Type="http://schemas.openxmlformats.org/officeDocument/2006/relationships/hyperlink" Target="https://webagentes.canaldirecto.com.ar/incidents/view/689535-8" TargetMode="External"/><Relationship Id="rId1147" Type="http://schemas.openxmlformats.org/officeDocument/2006/relationships/hyperlink" Target="https://webagentes.canaldirecto.com.ar/incidents/view/702845-8" TargetMode="External"/><Relationship Id="rId1354" Type="http://schemas.openxmlformats.org/officeDocument/2006/relationships/hyperlink" Target="https://webagentes.canaldirecto.com.ar/incidents/view/712038-5" TargetMode="External"/><Relationship Id="rId1561" Type="http://schemas.openxmlformats.org/officeDocument/2006/relationships/hyperlink" Target="https://webagentes.canaldirecto.com.ar/incidents/view/717523-3" TargetMode="External"/><Relationship Id="rId2405" Type="http://schemas.openxmlformats.org/officeDocument/2006/relationships/hyperlink" Target="https://webagentes.canaldirecto.com.ar/incidents/view/759068-1" TargetMode="External"/><Relationship Id="rId2612" Type="http://schemas.openxmlformats.org/officeDocument/2006/relationships/hyperlink" Target="https://webagentes.canaldirecto.com.ar/incidents/view/765177-9" TargetMode="External"/><Relationship Id="rId60" Type="http://schemas.openxmlformats.org/officeDocument/2006/relationships/hyperlink" Target="http://webagentes.canaldirecto.com.ar/incidents/view/654903-3" TargetMode="External"/><Relationship Id="rId1007" Type="http://schemas.openxmlformats.org/officeDocument/2006/relationships/hyperlink" Target="https://webagentes.canaldirecto.com.ar/incidents/view/690631-7" TargetMode="External"/><Relationship Id="rId1214" Type="http://schemas.openxmlformats.org/officeDocument/2006/relationships/hyperlink" Target="https://webagentes.canaldirecto.com.ar/incidents/view/704328-0" TargetMode="External"/><Relationship Id="rId1421" Type="http://schemas.openxmlformats.org/officeDocument/2006/relationships/hyperlink" Target="https://webagentes.canaldirecto.com.ar/incidents/view/716996-8" TargetMode="External"/><Relationship Id="rId1659" Type="http://schemas.openxmlformats.org/officeDocument/2006/relationships/hyperlink" Target="https://webagentes.canaldirecto.com.ar/incidents/view/728280-7" TargetMode="External"/><Relationship Id="rId1866" Type="http://schemas.openxmlformats.org/officeDocument/2006/relationships/hyperlink" Target="https://webagentes.canaldirecto.com.ar/liquidations/removeIncident/738121-4" TargetMode="External"/><Relationship Id="rId2917" Type="http://schemas.openxmlformats.org/officeDocument/2006/relationships/hyperlink" Target="https://webagentes.canaldirecto.com.ar/incidents/view/782736-3" TargetMode="External"/><Relationship Id="rId3081" Type="http://schemas.openxmlformats.org/officeDocument/2006/relationships/hyperlink" Target="https://webagentes.canaldirecto.com.ar/incidents/view/785572-8" TargetMode="External"/><Relationship Id="rId1519" Type="http://schemas.openxmlformats.org/officeDocument/2006/relationships/hyperlink" Target="https://webagentes.canaldirecto.com.ar/incidents/view/720023-8" TargetMode="External"/><Relationship Id="rId1726" Type="http://schemas.openxmlformats.org/officeDocument/2006/relationships/hyperlink" Target="https://webagentes.canaldirecto.com.ar/incidents/view/729797-9" TargetMode="External"/><Relationship Id="rId1933" Type="http://schemas.openxmlformats.org/officeDocument/2006/relationships/hyperlink" Target="https://webagentes.canaldirecto.com.ar/liquidations/removeIncident/736146-9" TargetMode="External"/><Relationship Id="rId3179" Type="http://schemas.openxmlformats.org/officeDocument/2006/relationships/hyperlink" Target="https://webagentes.canaldirecto.com.ar/incidents/view/790906-5" TargetMode="External"/><Relationship Id="rId3386" Type="http://schemas.openxmlformats.org/officeDocument/2006/relationships/hyperlink" Target="https://webagentes.canaldirecto.com.ar/incidents/view/791897-5" TargetMode="External"/><Relationship Id="rId3593" Type="http://schemas.openxmlformats.org/officeDocument/2006/relationships/hyperlink" Target="https://webagentes.canaldirecto.com.ar/incidents/view/799981-9" TargetMode="External"/><Relationship Id="rId18" Type="http://schemas.openxmlformats.org/officeDocument/2006/relationships/hyperlink" Target="http://webagentes.canaldirecto.com.ar/incidents/view/652051-5" TargetMode="External"/><Relationship Id="rId2195" Type="http://schemas.openxmlformats.org/officeDocument/2006/relationships/hyperlink" Target="https://webagentes.canaldirecto.com.ar/incidents/view/748735-0" TargetMode="External"/><Relationship Id="rId3039" Type="http://schemas.openxmlformats.org/officeDocument/2006/relationships/hyperlink" Target="https://webagentes.canaldirecto.com.ar/incidents/view/787119-7" TargetMode="External"/><Relationship Id="rId3246" Type="http://schemas.openxmlformats.org/officeDocument/2006/relationships/hyperlink" Target="https://webagentes.canaldirecto.com.ar/incidents/view/777946-4" TargetMode="External"/><Relationship Id="rId3453" Type="http://schemas.openxmlformats.org/officeDocument/2006/relationships/hyperlink" Target="https://webagentes.canaldirecto.com.ar/liquidations/removeIncident/796377-1" TargetMode="External"/><Relationship Id="rId167" Type="http://schemas.openxmlformats.org/officeDocument/2006/relationships/hyperlink" Target="http://webagentes.canaldirecto.com.ar/liquidations/removeIncident/656978-1" TargetMode="External"/><Relationship Id="rId374" Type="http://schemas.openxmlformats.org/officeDocument/2006/relationships/hyperlink" Target="https://webagentes.canaldirecto.com.ar/liquidations/removeIncident/669760-4" TargetMode="External"/><Relationship Id="rId581" Type="http://schemas.openxmlformats.org/officeDocument/2006/relationships/hyperlink" Target="https://webagentes.canaldirecto.com.ar/incidents/view/670230-4" TargetMode="External"/><Relationship Id="rId2055" Type="http://schemas.openxmlformats.org/officeDocument/2006/relationships/hyperlink" Target="https://webagentes.canaldirecto.com.ar/incidents/view/742988-8" TargetMode="External"/><Relationship Id="rId2262" Type="http://schemas.openxmlformats.org/officeDocument/2006/relationships/hyperlink" Target="https://webagentes.canaldirecto.com.ar/incidents/view/751386-8" TargetMode="External"/><Relationship Id="rId3106" Type="http://schemas.openxmlformats.org/officeDocument/2006/relationships/hyperlink" Target="https://webagentes.canaldirecto.com.ar/incidents/view/788352-7" TargetMode="External"/><Relationship Id="rId3660" Type="http://schemas.openxmlformats.org/officeDocument/2006/relationships/hyperlink" Target="https://webagentes.canaldirecto.com.ar/incidents/view/798000-6" TargetMode="External"/><Relationship Id="rId3758" Type="http://schemas.openxmlformats.org/officeDocument/2006/relationships/hyperlink" Target="https://webagentes.canaldirecto.com.ar/incidents/view/805688-3" TargetMode="External"/><Relationship Id="rId234" Type="http://schemas.openxmlformats.org/officeDocument/2006/relationships/hyperlink" Target="http://webagentes.canaldirecto.com.ar/incidents/view/654901-5" TargetMode="External"/><Relationship Id="rId679" Type="http://schemas.openxmlformats.org/officeDocument/2006/relationships/hyperlink" Target="https://webagentes.canaldirecto.com.ar/incidents/view/674662-7" TargetMode="External"/><Relationship Id="rId886" Type="http://schemas.openxmlformats.org/officeDocument/2006/relationships/hyperlink" Target="https://webagentes.canaldirecto.com.ar/incidents/view/684410-5" TargetMode="External"/><Relationship Id="rId2567" Type="http://schemas.openxmlformats.org/officeDocument/2006/relationships/hyperlink" Target="https://webagentes.canaldirecto.com.ar/liquidations/removeIncident/761616-5" TargetMode="External"/><Relationship Id="rId2774" Type="http://schemas.openxmlformats.org/officeDocument/2006/relationships/hyperlink" Target="https://webagentes.canaldirecto.com.ar/incidents/view/776601-7" TargetMode="External"/><Relationship Id="rId3313" Type="http://schemas.openxmlformats.org/officeDocument/2006/relationships/hyperlink" Target="https://webagentes.canaldirecto.com.ar/incidents/view/794390-8" TargetMode="External"/><Relationship Id="rId3520" Type="http://schemas.openxmlformats.org/officeDocument/2006/relationships/hyperlink" Target="https://webagentes.canaldirecto.com.ar/incidents/view/795585-1" TargetMode="External"/><Relationship Id="rId3618" Type="http://schemas.openxmlformats.org/officeDocument/2006/relationships/hyperlink" Target="https://webagentes.canaldirecto.com.ar/incidents/view/799752-9" TargetMode="External"/><Relationship Id="rId2" Type="http://schemas.openxmlformats.org/officeDocument/2006/relationships/image" Target="../media/image1.png"/><Relationship Id="rId441" Type="http://schemas.openxmlformats.org/officeDocument/2006/relationships/hyperlink" Target="https://webagentes.canaldirecto.com.ar/incidents/view/668596-4" TargetMode="External"/><Relationship Id="rId539" Type="http://schemas.openxmlformats.org/officeDocument/2006/relationships/hyperlink" Target="https://webagentes.canaldirecto.com.ar/incidents/view/671934-0" TargetMode="External"/><Relationship Id="rId746" Type="http://schemas.openxmlformats.org/officeDocument/2006/relationships/hyperlink" Target="https://webagentes.canaldirecto.com.ar/incidents/view/678234-6" TargetMode="External"/><Relationship Id="rId1071" Type="http://schemas.openxmlformats.org/officeDocument/2006/relationships/hyperlink" Target="https://webagentes.canaldirecto.com.ar/incidents/view/698159-4" TargetMode="External"/><Relationship Id="rId1169" Type="http://schemas.openxmlformats.org/officeDocument/2006/relationships/hyperlink" Target="https://webagentes.canaldirecto.com.ar/incidents/view/701180-1" TargetMode="External"/><Relationship Id="rId1376" Type="http://schemas.openxmlformats.org/officeDocument/2006/relationships/hyperlink" Target="https://webagentes.canaldirecto.com.ar/incidents/view/711679-9" TargetMode="External"/><Relationship Id="rId1583" Type="http://schemas.openxmlformats.org/officeDocument/2006/relationships/hyperlink" Target="https://webagentes.canaldirecto.com.ar/incidents/view/721906-9" TargetMode="External"/><Relationship Id="rId2122" Type="http://schemas.openxmlformats.org/officeDocument/2006/relationships/hyperlink" Target="https://webagentes.canaldirecto.com.ar/incidents/view/746121-9" TargetMode="External"/><Relationship Id="rId2427" Type="http://schemas.openxmlformats.org/officeDocument/2006/relationships/hyperlink" Target="https://webagentes.canaldirecto.com.ar/incidents/view/756915-9" TargetMode="External"/><Relationship Id="rId2981" Type="http://schemas.openxmlformats.org/officeDocument/2006/relationships/hyperlink" Target="https://webagentes.canaldirecto.com.ar/incidents/view/779268-7" TargetMode="External"/><Relationship Id="rId3825" Type="http://schemas.openxmlformats.org/officeDocument/2006/relationships/hyperlink" Target="https://webagentes.canaldirecto.com.ar/incidents/view/808961-4" TargetMode="External"/><Relationship Id="rId301" Type="http://schemas.openxmlformats.org/officeDocument/2006/relationships/hyperlink" Target="https://webagentes.canaldirecto.com.ar/incidents/view/662513-9" TargetMode="External"/><Relationship Id="rId953" Type="http://schemas.openxmlformats.org/officeDocument/2006/relationships/hyperlink" Target="https://webagentes.canaldirecto.com.ar/incidents/view/688899-6" TargetMode="External"/><Relationship Id="rId1029" Type="http://schemas.openxmlformats.org/officeDocument/2006/relationships/hyperlink" Target="https://webagentes.canaldirecto.com.ar/incidents/view/695088-6" TargetMode="External"/><Relationship Id="rId1236" Type="http://schemas.openxmlformats.org/officeDocument/2006/relationships/hyperlink" Target="https://webagentes.canaldirecto.com.ar/incidents/view/710185-8" TargetMode="External"/><Relationship Id="rId1790" Type="http://schemas.openxmlformats.org/officeDocument/2006/relationships/hyperlink" Target="https://webagentes.canaldirecto.com.ar/incidents/view/731495-7" TargetMode="External"/><Relationship Id="rId1888" Type="http://schemas.openxmlformats.org/officeDocument/2006/relationships/hyperlink" Target="https://webagentes.canaldirecto.com.ar/liquidations/removeIncident/737479-1" TargetMode="External"/><Relationship Id="rId2634" Type="http://schemas.openxmlformats.org/officeDocument/2006/relationships/hyperlink" Target="https://webagentes.canaldirecto.com.ar/incidents/view/768069-2" TargetMode="External"/><Relationship Id="rId2841" Type="http://schemas.openxmlformats.org/officeDocument/2006/relationships/hyperlink" Target="https://webagentes.canaldirecto.com.ar/incidents/view/779407-4" TargetMode="External"/><Relationship Id="rId2939" Type="http://schemas.openxmlformats.org/officeDocument/2006/relationships/hyperlink" Target="https://webagentes.canaldirecto.com.ar/incidents/view/782160-6" TargetMode="External"/><Relationship Id="rId82" Type="http://schemas.openxmlformats.org/officeDocument/2006/relationships/hyperlink" Target="http://webagentes.canaldirecto.com.ar/incidents/view/653799-5" TargetMode="External"/><Relationship Id="rId606" Type="http://schemas.openxmlformats.org/officeDocument/2006/relationships/hyperlink" Target="https://webagentes.canaldirecto.com.ar/liquidations/removeIncident/669608-5" TargetMode="External"/><Relationship Id="rId813" Type="http://schemas.openxmlformats.org/officeDocument/2006/relationships/hyperlink" Target="https://webagentes.canaldirecto.com.ar/liquidations/removeIncident/687069-6" TargetMode="External"/><Relationship Id="rId1443" Type="http://schemas.openxmlformats.org/officeDocument/2006/relationships/hyperlink" Target="https://webagentes.canaldirecto.com.ar/incidents/view/716510-2" TargetMode="External"/><Relationship Id="rId1650" Type="http://schemas.openxmlformats.org/officeDocument/2006/relationships/hyperlink" Target="https://webagentes.canaldirecto.com.ar/incidents/view/728292-2" TargetMode="External"/><Relationship Id="rId1748" Type="http://schemas.openxmlformats.org/officeDocument/2006/relationships/hyperlink" Target="https://webagentes.canaldirecto.com.ar/incidents/view/733064-5" TargetMode="External"/><Relationship Id="rId2701" Type="http://schemas.openxmlformats.org/officeDocument/2006/relationships/hyperlink" Target="https://webagentes.canaldirecto.com.ar/incidents/view/769721-2" TargetMode="External"/><Relationship Id="rId1303" Type="http://schemas.openxmlformats.org/officeDocument/2006/relationships/hyperlink" Target="https://webagentes.canaldirecto.com.ar/incidents/view/712866-0" TargetMode="External"/><Relationship Id="rId1510" Type="http://schemas.openxmlformats.org/officeDocument/2006/relationships/hyperlink" Target="https://webagentes.canaldirecto.com.ar/incidents/view/720478-4" TargetMode="External"/><Relationship Id="rId1955" Type="http://schemas.openxmlformats.org/officeDocument/2006/relationships/hyperlink" Target="https://webagentes.canaldirecto.com.ar/incidents/view/741082-6" TargetMode="External"/><Relationship Id="rId3170" Type="http://schemas.openxmlformats.org/officeDocument/2006/relationships/hyperlink" Target="https://webagentes.canaldirecto.com.ar/incidents/view/790962-1" TargetMode="External"/><Relationship Id="rId1608" Type="http://schemas.openxmlformats.org/officeDocument/2006/relationships/hyperlink" Target="https://webagentes.canaldirecto.com.ar/incidents/view/719860-5" TargetMode="External"/><Relationship Id="rId1815" Type="http://schemas.openxmlformats.org/officeDocument/2006/relationships/hyperlink" Target="https://webagentes.canaldirecto.com.ar/incidents/view/735623-6" TargetMode="External"/><Relationship Id="rId3030" Type="http://schemas.openxmlformats.org/officeDocument/2006/relationships/hyperlink" Target="https://webagentes.canaldirecto.com.ar/incidents/view/782754-9" TargetMode="External"/><Relationship Id="rId3268" Type="http://schemas.openxmlformats.org/officeDocument/2006/relationships/hyperlink" Target="https://webagentes.canaldirecto.com.ar/incidents/view/791301-3" TargetMode="External"/><Relationship Id="rId3475" Type="http://schemas.openxmlformats.org/officeDocument/2006/relationships/hyperlink" Target="https://webagentes.canaldirecto.com.ar/liquidations/removeIncident/796016-3" TargetMode="External"/><Relationship Id="rId3682" Type="http://schemas.openxmlformats.org/officeDocument/2006/relationships/hyperlink" Target="https://webagentes.canaldirecto.com.ar/incidents/view/802816-3" TargetMode="External"/><Relationship Id="rId189" Type="http://schemas.openxmlformats.org/officeDocument/2006/relationships/hyperlink" Target="http://webagentes.canaldirecto.com.ar/liquidations/removeIncident/656426-3" TargetMode="External"/><Relationship Id="rId396" Type="http://schemas.openxmlformats.org/officeDocument/2006/relationships/hyperlink" Target="https://webagentes.canaldirecto.com.ar/liquidations/removeIncident/669383-9" TargetMode="External"/><Relationship Id="rId2077" Type="http://schemas.openxmlformats.org/officeDocument/2006/relationships/hyperlink" Target="https://webagentes.canaldirecto.com.ar/incidents/view/740877-9" TargetMode="External"/><Relationship Id="rId2284" Type="http://schemas.openxmlformats.org/officeDocument/2006/relationships/hyperlink" Target="https://webagentes.canaldirecto.com.ar/incidents/view/750238-5" TargetMode="External"/><Relationship Id="rId2491" Type="http://schemas.openxmlformats.org/officeDocument/2006/relationships/hyperlink" Target="https://webagentes.canaldirecto.com.ar/incidents/view/758400-6" TargetMode="External"/><Relationship Id="rId3128" Type="http://schemas.openxmlformats.org/officeDocument/2006/relationships/hyperlink" Target="https://webagentes.canaldirecto.com.ar/incidents/view/788204-1" TargetMode="External"/><Relationship Id="rId3335" Type="http://schemas.openxmlformats.org/officeDocument/2006/relationships/hyperlink" Target="https://webagentes.canaldirecto.com.ar/incidents/view/793829-8" TargetMode="External"/><Relationship Id="rId3542" Type="http://schemas.openxmlformats.org/officeDocument/2006/relationships/hyperlink" Target="https://webagentes.canaldirecto.com.ar/incidents/view/795571-8" TargetMode="External"/><Relationship Id="rId256" Type="http://schemas.openxmlformats.org/officeDocument/2006/relationships/hyperlink" Target="http://webagentes.canaldirecto.com.ar/incidents/view/659845-5" TargetMode="External"/><Relationship Id="rId463" Type="http://schemas.openxmlformats.org/officeDocument/2006/relationships/hyperlink" Target="https://webagentes.canaldirecto.com.ar/incidents/view/667804-3" TargetMode="External"/><Relationship Id="rId670" Type="http://schemas.openxmlformats.org/officeDocument/2006/relationships/hyperlink" Target="https://webagentes.canaldirecto.com.ar/incidents/view/674864-3" TargetMode="External"/><Relationship Id="rId1093" Type="http://schemas.openxmlformats.org/officeDocument/2006/relationships/hyperlink" Target="https://webagentes.canaldirecto.com.ar/incidents/view/701123-6" TargetMode="External"/><Relationship Id="rId2144" Type="http://schemas.openxmlformats.org/officeDocument/2006/relationships/hyperlink" Target="https://webagentes.canaldirecto.com.ar/incidents/view/745708-5" TargetMode="External"/><Relationship Id="rId2351" Type="http://schemas.openxmlformats.org/officeDocument/2006/relationships/hyperlink" Target="https://webagentes.canaldirecto.com.ar/incidents/view/757087-2" TargetMode="External"/><Relationship Id="rId2589" Type="http://schemas.openxmlformats.org/officeDocument/2006/relationships/hyperlink" Target="https://webagentes.canaldirecto.com.ar/liquidations/removeIncident/760814-8" TargetMode="External"/><Relationship Id="rId2796" Type="http://schemas.openxmlformats.org/officeDocument/2006/relationships/hyperlink" Target="https://webagentes.canaldirecto.com.ar/incidents/view/774857-0" TargetMode="External"/><Relationship Id="rId3402" Type="http://schemas.openxmlformats.org/officeDocument/2006/relationships/hyperlink" Target="https://webagentes.canaldirecto.com.ar/incidents/view/797548-4" TargetMode="External"/><Relationship Id="rId3847" Type="http://schemas.openxmlformats.org/officeDocument/2006/relationships/hyperlink" Target="https://webagentes.canaldirecto.com.ar/incidents/view/807457-9" TargetMode="External"/><Relationship Id="rId116" Type="http://schemas.openxmlformats.org/officeDocument/2006/relationships/hyperlink" Target="http://webagentes.canaldirecto.com.ar/incidents/view/658011-9" TargetMode="External"/><Relationship Id="rId323" Type="http://schemas.openxmlformats.org/officeDocument/2006/relationships/hyperlink" Target="https://webagentes.canaldirecto.com.ar/incidents/view/661610-4" TargetMode="External"/><Relationship Id="rId530" Type="http://schemas.openxmlformats.org/officeDocument/2006/relationships/hyperlink" Target="https://webagentes.canaldirecto.com.ar/liquidations/removeIncident/672103-5" TargetMode="External"/><Relationship Id="rId768" Type="http://schemas.openxmlformats.org/officeDocument/2006/relationships/hyperlink" Target="https://webagentes.canaldirecto.com.ar/incidents/view/677716-8" TargetMode="External"/><Relationship Id="rId975" Type="http://schemas.openxmlformats.org/officeDocument/2006/relationships/hyperlink" Target="https://webagentes.canaldirecto.com.ar/incidents/view/687654-8" TargetMode="External"/><Relationship Id="rId1160" Type="http://schemas.openxmlformats.org/officeDocument/2006/relationships/hyperlink" Target="https://webagentes.canaldirecto.com.ar/incidents/view/701872-5" TargetMode="External"/><Relationship Id="rId1398" Type="http://schemas.openxmlformats.org/officeDocument/2006/relationships/hyperlink" Target="https://webagentes.canaldirecto.com.ar/incidents/view/709032-1" TargetMode="External"/><Relationship Id="rId2004" Type="http://schemas.openxmlformats.org/officeDocument/2006/relationships/hyperlink" Target="https://webagentes.canaldirecto.com.ar/incidents/view/744264-9" TargetMode="External"/><Relationship Id="rId2211" Type="http://schemas.openxmlformats.org/officeDocument/2006/relationships/hyperlink" Target="https://webagentes.canaldirecto.com.ar/incidents/view/748523-7" TargetMode="External"/><Relationship Id="rId2449" Type="http://schemas.openxmlformats.org/officeDocument/2006/relationships/hyperlink" Target="https://webagentes.canaldirecto.com.ar/incidents/view/760804-1" TargetMode="External"/><Relationship Id="rId2656" Type="http://schemas.openxmlformats.org/officeDocument/2006/relationships/hyperlink" Target="https://webagentes.canaldirecto.com.ar/incidents/view/766879-7" TargetMode="External"/><Relationship Id="rId2863" Type="http://schemas.openxmlformats.org/officeDocument/2006/relationships/hyperlink" Target="https://webagentes.canaldirecto.com.ar/incidents/view/779255-3" TargetMode="External"/><Relationship Id="rId3707" Type="http://schemas.openxmlformats.org/officeDocument/2006/relationships/hyperlink" Target="https://webagentes.canaldirecto.com.ar/incidents/view/801957-2" TargetMode="External"/><Relationship Id="rId628" Type="http://schemas.openxmlformats.org/officeDocument/2006/relationships/hyperlink" Target="https://webagentes.canaldirecto.com.ar/incidents/view/676873-5" TargetMode="External"/><Relationship Id="rId835" Type="http://schemas.openxmlformats.org/officeDocument/2006/relationships/hyperlink" Target="https://webagentes.canaldirecto.com.ar/liquidations/removeIncident/686033-4" TargetMode="External"/><Relationship Id="rId1258" Type="http://schemas.openxmlformats.org/officeDocument/2006/relationships/hyperlink" Target="https://webagentes.canaldirecto.com.ar/incidents/view/709014-5" TargetMode="External"/><Relationship Id="rId1465" Type="http://schemas.openxmlformats.org/officeDocument/2006/relationships/hyperlink" Target="https://webagentes.canaldirecto.com.ar/incidents/view/716255-8" TargetMode="External"/><Relationship Id="rId1672" Type="http://schemas.openxmlformats.org/officeDocument/2006/relationships/hyperlink" Target="https://webagentes.canaldirecto.com.ar/incidents/view/727244-8" TargetMode="External"/><Relationship Id="rId2309" Type="http://schemas.openxmlformats.org/officeDocument/2006/relationships/hyperlink" Target="https://webagentes.canaldirecto.com.ar/incidents/view/749088-6" TargetMode="External"/><Relationship Id="rId2516" Type="http://schemas.openxmlformats.org/officeDocument/2006/relationships/hyperlink" Target="https://webagentes.canaldirecto.com.ar/incidents/view/763187-2" TargetMode="External"/><Relationship Id="rId2723" Type="http://schemas.openxmlformats.org/officeDocument/2006/relationships/hyperlink" Target="https://webagentes.canaldirecto.com.ar/incidents/view/774413-0" TargetMode="External"/><Relationship Id="rId1020" Type="http://schemas.openxmlformats.org/officeDocument/2006/relationships/hyperlink" Target="https://webagentes.canaldirecto.com.ar/incidents/view/690266-7" TargetMode="External"/><Relationship Id="rId1118" Type="http://schemas.openxmlformats.org/officeDocument/2006/relationships/hyperlink" Target="https://webagentes.canaldirecto.com.ar/incidents/view/698425-4" TargetMode="External"/><Relationship Id="rId1325" Type="http://schemas.openxmlformats.org/officeDocument/2006/relationships/hyperlink" Target="https://webagentes.canaldirecto.com.ar/incidents/view/712486-8" TargetMode="External"/><Relationship Id="rId1532" Type="http://schemas.openxmlformats.org/officeDocument/2006/relationships/hyperlink" Target="https://webagentes.canaldirecto.com.ar/incidents/view/719746-6" TargetMode="External"/><Relationship Id="rId1977" Type="http://schemas.openxmlformats.org/officeDocument/2006/relationships/hyperlink" Target="https://webagentes.canaldirecto.com.ar/incidents/view/739074-4" TargetMode="External"/><Relationship Id="rId2930" Type="http://schemas.openxmlformats.org/officeDocument/2006/relationships/hyperlink" Target="https://webagentes.canaldirecto.com.ar/incidents/view/782237-7" TargetMode="External"/><Relationship Id="rId902" Type="http://schemas.openxmlformats.org/officeDocument/2006/relationships/hyperlink" Target="https://webagentes.canaldirecto.com.ar/incidents/view/683553-2" TargetMode="External"/><Relationship Id="rId1837" Type="http://schemas.openxmlformats.org/officeDocument/2006/relationships/hyperlink" Target="https://webagentes.canaldirecto.com.ar/incidents/view/734320-5" TargetMode="External"/><Relationship Id="rId3192" Type="http://schemas.openxmlformats.org/officeDocument/2006/relationships/hyperlink" Target="https://webagentes.canaldirecto.com.ar/incidents/view/790773-9" TargetMode="External"/><Relationship Id="rId3497" Type="http://schemas.openxmlformats.org/officeDocument/2006/relationships/hyperlink" Target="https://webagentes.canaldirecto.com.ar/liquidations/removeIncident/795872-4" TargetMode="External"/><Relationship Id="rId31" Type="http://schemas.openxmlformats.org/officeDocument/2006/relationships/hyperlink" Target="http://webagentes.canaldirecto.com.ar/incidents/view/651356-0" TargetMode="External"/><Relationship Id="rId2099" Type="http://schemas.openxmlformats.org/officeDocument/2006/relationships/hyperlink" Target="https://webagentes.canaldirecto.com.ar/incidents/view/746431-3" TargetMode="External"/><Relationship Id="rId3052" Type="http://schemas.openxmlformats.org/officeDocument/2006/relationships/hyperlink" Target="https://webagentes.canaldirecto.com.ar/incidents/view/787007-3" TargetMode="External"/><Relationship Id="rId180" Type="http://schemas.openxmlformats.org/officeDocument/2006/relationships/hyperlink" Target="http://webagentes.canaldirecto.com.ar/incidents/view/656682-7" TargetMode="External"/><Relationship Id="rId278" Type="http://schemas.openxmlformats.org/officeDocument/2006/relationships/hyperlink" Target="https://webagentes.canaldirecto.com.ar/incidents/view/663357-2" TargetMode="External"/><Relationship Id="rId1904" Type="http://schemas.openxmlformats.org/officeDocument/2006/relationships/hyperlink" Target="https://webagentes.canaldirecto.com.ar/liquidations/removeIncident/736996-6" TargetMode="External"/><Relationship Id="rId3357" Type="http://schemas.openxmlformats.org/officeDocument/2006/relationships/hyperlink" Target="https://webagentes.canaldirecto.com.ar/incidents/view/792643-3" TargetMode="External"/><Relationship Id="rId3564" Type="http://schemas.openxmlformats.org/officeDocument/2006/relationships/hyperlink" Target="https://webagentes.canaldirecto.com.ar/incidents/view/794867-5" TargetMode="External"/><Relationship Id="rId3771" Type="http://schemas.openxmlformats.org/officeDocument/2006/relationships/hyperlink" Target="https://webagentes.canaldirecto.com.ar/incidents/view/805002-9" TargetMode="External"/><Relationship Id="rId485" Type="http://schemas.openxmlformats.org/officeDocument/2006/relationships/hyperlink" Target="https://webagentes.canaldirecto.com.ar/incidents/view/673498-7" TargetMode="External"/><Relationship Id="rId692" Type="http://schemas.openxmlformats.org/officeDocument/2006/relationships/hyperlink" Target="https://webagentes.canaldirecto.com.ar/incidents/view/674154-3" TargetMode="External"/><Relationship Id="rId2166" Type="http://schemas.openxmlformats.org/officeDocument/2006/relationships/hyperlink" Target="https://webagentes.canaldirecto.com.ar/incidents/view/744658-4" TargetMode="External"/><Relationship Id="rId2373" Type="http://schemas.openxmlformats.org/officeDocument/2006/relationships/hyperlink" Target="https://webagentes.canaldirecto.com.ar/incidents/view/755186-8" TargetMode="External"/><Relationship Id="rId2580" Type="http://schemas.openxmlformats.org/officeDocument/2006/relationships/hyperlink" Target="https://webagentes.canaldirecto.com.ar/incidents/view/761106-3" TargetMode="External"/><Relationship Id="rId3217" Type="http://schemas.openxmlformats.org/officeDocument/2006/relationships/hyperlink" Target="https://webagentes.canaldirecto.com.ar/incidents/view/789557-7" TargetMode="External"/><Relationship Id="rId3424" Type="http://schemas.openxmlformats.org/officeDocument/2006/relationships/hyperlink" Target="https://webagentes.canaldirecto.com.ar/incidents/view/797411-1" TargetMode="External"/><Relationship Id="rId3631" Type="http://schemas.openxmlformats.org/officeDocument/2006/relationships/hyperlink" Target="https://webagentes.canaldirecto.com.ar/incidents/view/799259-7" TargetMode="External"/><Relationship Id="rId138" Type="http://schemas.openxmlformats.org/officeDocument/2006/relationships/hyperlink" Target="http://webagentes.canaldirecto.com.ar/incidents/view/657535-7" TargetMode="External"/><Relationship Id="rId345" Type="http://schemas.openxmlformats.org/officeDocument/2006/relationships/hyperlink" Target="https://webagentes.canaldirecto.com.ar/incidents/view/665345-1" TargetMode="External"/><Relationship Id="rId552" Type="http://schemas.openxmlformats.org/officeDocument/2006/relationships/hyperlink" Target="https://webagentes.canaldirecto.com.ar/liquidations/removeIncident/670924-6" TargetMode="External"/><Relationship Id="rId997" Type="http://schemas.openxmlformats.org/officeDocument/2006/relationships/hyperlink" Target="https://webagentes.canaldirecto.com.ar/incidents/view/691370-6" TargetMode="External"/><Relationship Id="rId1182" Type="http://schemas.openxmlformats.org/officeDocument/2006/relationships/hyperlink" Target="https://webagentes.canaldirecto.com.ar/incidents/view/706081-6" TargetMode="External"/><Relationship Id="rId2026" Type="http://schemas.openxmlformats.org/officeDocument/2006/relationships/hyperlink" Target="https://webagentes.canaldirecto.com.ar/incidents/view/743955-7" TargetMode="External"/><Relationship Id="rId2233" Type="http://schemas.openxmlformats.org/officeDocument/2006/relationships/hyperlink" Target="https://webagentes.canaldirecto.com.ar/incidents/view/747839-8" TargetMode="External"/><Relationship Id="rId2440" Type="http://schemas.openxmlformats.org/officeDocument/2006/relationships/hyperlink" Target="https://webagentes.canaldirecto.com.ar/incidents/view/760866-1" TargetMode="External"/><Relationship Id="rId2678" Type="http://schemas.openxmlformats.org/officeDocument/2006/relationships/hyperlink" Target="https://webagentes.canaldirecto.com.ar/incidents/view/770619-4" TargetMode="External"/><Relationship Id="rId2885" Type="http://schemas.openxmlformats.org/officeDocument/2006/relationships/hyperlink" Target="https://webagentes.canaldirecto.com.ar/incidents/view/778110-4" TargetMode="External"/><Relationship Id="rId3729" Type="http://schemas.openxmlformats.org/officeDocument/2006/relationships/hyperlink" Target="https://webagentes.canaldirecto.com.ar/incidents/view/800660-2" TargetMode="External"/><Relationship Id="rId205" Type="http://schemas.openxmlformats.org/officeDocument/2006/relationships/hyperlink" Target="http://webagentes.canaldirecto.com.ar/liquidations/removeIncident/655632-5" TargetMode="External"/><Relationship Id="rId412" Type="http://schemas.openxmlformats.org/officeDocument/2006/relationships/hyperlink" Target="https://webagentes.canaldirecto.com.ar/liquidations/removeIncident/669269-0" TargetMode="External"/><Relationship Id="rId857" Type="http://schemas.openxmlformats.org/officeDocument/2006/relationships/hyperlink" Target="https://webagentes.canaldirecto.com.ar/liquidations/removeIncident/685603-0" TargetMode="External"/><Relationship Id="rId1042" Type="http://schemas.openxmlformats.org/officeDocument/2006/relationships/hyperlink" Target="https://webagentes.canaldirecto.com.ar/incidents/view/694538-9" TargetMode="External"/><Relationship Id="rId1487" Type="http://schemas.openxmlformats.org/officeDocument/2006/relationships/hyperlink" Target="https://webagentes.canaldirecto.com.ar/incidents/view/714468-6" TargetMode="External"/><Relationship Id="rId1694" Type="http://schemas.openxmlformats.org/officeDocument/2006/relationships/hyperlink" Target="https://webagentes.canaldirecto.com.ar/incidents/view/730684-2" TargetMode="External"/><Relationship Id="rId2300" Type="http://schemas.openxmlformats.org/officeDocument/2006/relationships/hyperlink" Target="https://webagentes.canaldirecto.com.ar/incidents/view/749179-7" TargetMode="External"/><Relationship Id="rId2538" Type="http://schemas.openxmlformats.org/officeDocument/2006/relationships/hyperlink" Target="https://webagentes.canaldirecto.com.ar/incidents/view/762463-2" TargetMode="External"/><Relationship Id="rId2745" Type="http://schemas.openxmlformats.org/officeDocument/2006/relationships/hyperlink" Target="https://webagentes.canaldirecto.com.ar/incidents/view/772766-5" TargetMode="External"/><Relationship Id="rId2952" Type="http://schemas.openxmlformats.org/officeDocument/2006/relationships/hyperlink" Target="https://webagentes.canaldirecto.com.ar/incidents/view/781720-5" TargetMode="External"/><Relationship Id="rId717" Type="http://schemas.openxmlformats.org/officeDocument/2006/relationships/hyperlink" Target="https://webagentes.canaldirecto.com.ar/incidents/view/680661-9" TargetMode="External"/><Relationship Id="rId924" Type="http://schemas.openxmlformats.org/officeDocument/2006/relationships/hyperlink" Target="https://webagentes.canaldirecto.com.ar/incidents/view/690258-8" TargetMode="External"/><Relationship Id="rId1347" Type="http://schemas.openxmlformats.org/officeDocument/2006/relationships/hyperlink" Target="https://webagentes.canaldirecto.com.ar/incidents/view/712045-5" TargetMode="External"/><Relationship Id="rId1554" Type="http://schemas.openxmlformats.org/officeDocument/2006/relationships/hyperlink" Target="https://webagentes.canaldirecto.com.ar/incidents/view/718039-6" TargetMode="External"/><Relationship Id="rId1761" Type="http://schemas.openxmlformats.org/officeDocument/2006/relationships/hyperlink" Target="https://webagentes.canaldirecto.com.ar/incidents/view/732797-9" TargetMode="External"/><Relationship Id="rId1999" Type="http://schemas.openxmlformats.org/officeDocument/2006/relationships/hyperlink" Target="https://webagentes.canaldirecto.com.ar/incidents/view/744270-0" TargetMode="External"/><Relationship Id="rId2605" Type="http://schemas.openxmlformats.org/officeDocument/2006/relationships/hyperlink" Target="https://webagentes.canaldirecto.com.ar/incidents/view/765922-1" TargetMode="External"/><Relationship Id="rId2812" Type="http://schemas.openxmlformats.org/officeDocument/2006/relationships/hyperlink" Target="https://webagentes.canaldirecto.com.ar/incidents/view/780238-2" TargetMode="External"/><Relationship Id="rId53" Type="http://schemas.openxmlformats.org/officeDocument/2006/relationships/hyperlink" Target="http://webagentes.canaldirecto.com.ar/liquidations/removeIncident/655143-6" TargetMode="External"/><Relationship Id="rId1207" Type="http://schemas.openxmlformats.org/officeDocument/2006/relationships/hyperlink" Target="https://webagentes.canaldirecto.com.ar/incidents/view/704748-0" TargetMode="External"/><Relationship Id="rId1414" Type="http://schemas.openxmlformats.org/officeDocument/2006/relationships/hyperlink" Target="https://webagentes.canaldirecto.com.ar/incidents/view/717054-8" TargetMode="External"/><Relationship Id="rId1621" Type="http://schemas.openxmlformats.org/officeDocument/2006/relationships/hyperlink" Target="https://webagentes.canaldirecto.com.ar/incidents/view/725129-6" TargetMode="External"/><Relationship Id="rId1859" Type="http://schemas.openxmlformats.org/officeDocument/2006/relationships/hyperlink" Target="https://webagentes.canaldirecto.com.ar/incidents/view/738502-5" TargetMode="External"/><Relationship Id="rId3074" Type="http://schemas.openxmlformats.org/officeDocument/2006/relationships/hyperlink" Target="https://webagentes.canaldirecto.com.ar/incidents/view/785895-6" TargetMode="External"/><Relationship Id="rId1719" Type="http://schemas.openxmlformats.org/officeDocument/2006/relationships/hyperlink" Target="https://webagentes.canaldirecto.com.ar/incidents/view/730094-5" TargetMode="External"/><Relationship Id="rId1926" Type="http://schemas.openxmlformats.org/officeDocument/2006/relationships/hyperlink" Target="https://webagentes.canaldirecto.com.ar/incidents/view/736259-2" TargetMode="External"/><Relationship Id="rId3281" Type="http://schemas.openxmlformats.org/officeDocument/2006/relationships/hyperlink" Target="https://webagentes.canaldirecto.com.ar/incidents/view/789946-7" TargetMode="External"/><Relationship Id="rId3379" Type="http://schemas.openxmlformats.org/officeDocument/2006/relationships/hyperlink" Target="https://webagentes.canaldirecto.com.ar/incidents/view/792444-4" TargetMode="External"/><Relationship Id="rId3586" Type="http://schemas.openxmlformats.org/officeDocument/2006/relationships/hyperlink" Target="https://webagentes.canaldirecto.com.ar/incidents/view/800118-4" TargetMode="External"/><Relationship Id="rId3793" Type="http://schemas.openxmlformats.org/officeDocument/2006/relationships/hyperlink" Target="https://webagentes.canaldirecto.com.ar/incidents/view/803491-5" TargetMode="External"/><Relationship Id="rId2090" Type="http://schemas.openxmlformats.org/officeDocument/2006/relationships/hyperlink" Target="https://webagentes.canaldirecto.com.ar/incidents/view/746761-1" TargetMode="External"/><Relationship Id="rId2188" Type="http://schemas.openxmlformats.org/officeDocument/2006/relationships/hyperlink" Target="https://webagentes.canaldirecto.com.ar/incidents/view/749187-6" TargetMode="External"/><Relationship Id="rId2395" Type="http://schemas.openxmlformats.org/officeDocument/2006/relationships/hyperlink" Target="https://webagentes.canaldirecto.com.ar/incidents/view/754359-5" TargetMode="External"/><Relationship Id="rId3141" Type="http://schemas.openxmlformats.org/officeDocument/2006/relationships/hyperlink" Target="https://webagentes.canaldirecto.com.ar/incidents/view/786609-8" TargetMode="External"/><Relationship Id="rId3239" Type="http://schemas.openxmlformats.org/officeDocument/2006/relationships/hyperlink" Target="https://webagentes.canaldirecto.com.ar/incidents/view/784234-4" TargetMode="External"/><Relationship Id="rId3446" Type="http://schemas.openxmlformats.org/officeDocument/2006/relationships/hyperlink" Target="https://webagentes.canaldirecto.com.ar/incidents/view/796472-5" TargetMode="External"/><Relationship Id="rId367" Type="http://schemas.openxmlformats.org/officeDocument/2006/relationships/hyperlink" Target="https://webagentes.canaldirecto.com.ar/incidents/view/669980-6" TargetMode="External"/><Relationship Id="rId574" Type="http://schemas.openxmlformats.org/officeDocument/2006/relationships/hyperlink" Target="https://webagentes.canaldirecto.com.ar/liquidations/removeIncident/670373-8" TargetMode="External"/><Relationship Id="rId2048" Type="http://schemas.openxmlformats.org/officeDocument/2006/relationships/hyperlink" Target="https://webagentes.canaldirecto.com.ar/incidents/view/743469-5" TargetMode="External"/><Relationship Id="rId2255" Type="http://schemas.openxmlformats.org/officeDocument/2006/relationships/hyperlink" Target="https://webagentes.canaldirecto.com.ar/incidents/view/751585-7" TargetMode="External"/><Relationship Id="rId3001" Type="http://schemas.openxmlformats.org/officeDocument/2006/relationships/hyperlink" Target="https://webagentes.canaldirecto.com.ar/incidents/view/783910-0" TargetMode="External"/><Relationship Id="rId3653" Type="http://schemas.openxmlformats.org/officeDocument/2006/relationships/hyperlink" Target="https://webagentes.canaldirecto.com.ar/incidents/view/798299-8" TargetMode="External"/><Relationship Id="rId3860" Type="http://schemas.openxmlformats.org/officeDocument/2006/relationships/hyperlink" Target="https://webagentes.canaldirecto.com.ar/incidents/view/806725-0" TargetMode="External"/><Relationship Id="rId227" Type="http://schemas.openxmlformats.org/officeDocument/2006/relationships/hyperlink" Target="http://webagentes.canaldirecto.com.ar/liquidations/removeIncident/655149-0" TargetMode="External"/><Relationship Id="rId781" Type="http://schemas.openxmlformats.org/officeDocument/2006/relationships/hyperlink" Target="https://webagentes.canaldirecto.com.ar/incidents/view/683703-5" TargetMode="External"/><Relationship Id="rId879" Type="http://schemas.openxmlformats.org/officeDocument/2006/relationships/hyperlink" Target="https://webagentes.canaldirecto.com.ar/liquidations/removeIncident/684414-1" TargetMode="External"/><Relationship Id="rId2462" Type="http://schemas.openxmlformats.org/officeDocument/2006/relationships/hyperlink" Target="https://webagentes.canaldirecto.com.ar/incidents/view/760774-1" TargetMode="External"/><Relationship Id="rId2767" Type="http://schemas.openxmlformats.org/officeDocument/2006/relationships/hyperlink" Target="https://webagentes.canaldirecto.com.ar/incidents/view/732177-1" TargetMode="External"/><Relationship Id="rId3306" Type="http://schemas.openxmlformats.org/officeDocument/2006/relationships/hyperlink" Target="https://webagentes.canaldirecto.com.ar/incidents/view/794409-5" TargetMode="External"/><Relationship Id="rId3513" Type="http://schemas.openxmlformats.org/officeDocument/2006/relationships/hyperlink" Target="https://webagentes.canaldirecto.com.ar/liquidations/removeIncident/795589-7" TargetMode="External"/><Relationship Id="rId3720" Type="http://schemas.openxmlformats.org/officeDocument/2006/relationships/hyperlink" Target="https://webagentes.canaldirecto.com.ar/incidents/view/801336-5" TargetMode="External"/><Relationship Id="rId434" Type="http://schemas.openxmlformats.org/officeDocument/2006/relationships/hyperlink" Target="https://webagentes.canaldirecto.com.ar/liquidations/removeIncident/668768-9" TargetMode="External"/><Relationship Id="rId641" Type="http://schemas.openxmlformats.org/officeDocument/2006/relationships/hyperlink" Target="https://webagentes.canaldirecto.com.ar/incidents/view/676197-2" TargetMode="External"/><Relationship Id="rId739" Type="http://schemas.openxmlformats.org/officeDocument/2006/relationships/hyperlink" Target="https://webagentes.canaldirecto.com.ar/incidents/view/678341-5" TargetMode="External"/><Relationship Id="rId1064" Type="http://schemas.openxmlformats.org/officeDocument/2006/relationships/hyperlink" Target="https://webagentes.canaldirecto.com.ar/incidents/view/691260-0" TargetMode="External"/><Relationship Id="rId1271" Type="http://schemas.openxmlformats.org/officeDocument/2006/relationships/hyperlink" Target="https://webagentes.canaldirecto.com.ar/incidents/view/708213-7" TargetMode="External"/><Relationship Id="rId1369" Type="http://schemas.openxmlformats.org/officeDocument/2006/relationships/hyperlink" Target="https://webagentes.canaldirecto.com.ar/incidents/view/711967-1" TargetMode="External"/><Relationship Id="rId1576" Type="http://schemas.openxmlformats.org/officeDocument/2006/relationships/hyperlink" Target="https://webagentes.canaldirecto.com.ar/incidents/view/722188-8" TargetMode="External"/><Relationship Id="rId2115" Type="http://schemas.openxmlformats.org/officeDocument/2006/relationships/hyperlink" Target="https://webagentes.canaldirecto.com.ar/incidents/view/746253-7" TargetMode="External"/><Relationship Id="rId2322" Type="http://schemas.openxmlformats.org/officeDocument/2006/relationships/hyperlink" Target="https://webagentes.canaldirecto.com.ar/incidents/view/753470-0" TargetMode="External"/><Relationship Id="rId2974" Type="http://schemas.openxmlformats.org/officeDocument/2006/relationships/hyperlink" Target="https://webagentes.canaldirecto.com.ar/incidents/view/780345-1" TargetMode="External"/><Relationship Id="rId3818" Type="http://schemas.openxmlformats.org/officeDocument/2006/relationships/hyperlink" Target="https://webagentes.canaldirecto.com.ar/incidents/view/809377-8" TargetMode="External"/><Relationship Id="rId501" Type="http://schemas.openxmlformats.org/officeDocument/2006/relationships/hyperlink" Target="https://webagentes.canaldirecto.com.ar/incidents/view/672819-9" TargetMode="External"/><Relationship Id="rId946" Type="http://schemas.openxmlformats.org/officeDocument/2006/relationships/hyperlink" Target="https://webagentes.canaldirecto.com.ar/incidents/view/689372-1" TargetMode="External"/><Relationship Id="rId1131" Type="http://schemas.openxmlformats.org/officeDocument/2006/relationships/hyperlink" Target="https://webagentes.canaldirecto.com.ar/incidents/view/703950-6" TargetMode="External"/><Relationship Id="rId1229" Type="http://schemas.openxmlformats.org/officeDocument/2006/relationships/hyperlink" Target="https://webagentes.canaldirecto.com.ar/incidents/view/711241-0" TargetMode="External"/><Relationship Id="rId1783" Type="http://schemas.openxmlformats.org/officeDocument/2006/relationships/hyperlink" Target="https://webagentes.canaldirecto.com.ar/incidents/view/731605-2" TargetMode="External"/><Relationship Id="rId1990" Type="http://schemas.openxmlformats.org/officeDocument/2006/relationships/hyperlink" Target="https://webagentes.canaldirecto.com.ar/incidents/view/744279-1" TargetMode="External"/><Relationship Id="rId2627" Type="http://schemas.openxmlformats.org/officeDocument/2006/relationships/hyperlink" Target="https://webagentes.canaldirecto.com.ar/incidents/view/763641-5" TargetMode="External"/><Relationship Id="rId2834" Type="http://schemas.openxmlformats.org/officeDocument/2006/relationships/hyperlink" Target="https://webagentes.canaldirecto.com.ar/incidents/view/779739-0" TargetMode="External"/><Relationship Id="rId75" Type="http://schemas.openxmlformats.org/officeDocument/2006/relationships/hyperlink" Target="http://webagentes.canaldirecto.com.ar/liquidations/removeIncident/653861-1" TargetMode="External"/><Relationship Id="rId806" Type="http://schemas.openxmlformats.org/officeDocument/2006/relationships/hyperlink" Target="https://webagentes.canaldirecto.com.ar/incidents/view/687704-2" TargetMode="External"/><Relationship Id="rId1436" Type="http://schemas.openxmlformats.org/officeDocument/2006/relationships/hyperlink" Target="https://webagentes.canaldirecto.com.ar/incidents/view/716608-6" TargetMode="External"/><Relationship Id="rId1643" Type="http://schemas.openxmlformats.org/officeDocument/2006/relationships/hyperlink" Target="https://webagentes.canaldirecto.com.ar/incidents/view/720131-6" TargetMode="External"/><Relationship Id="rId1850" Type="http://schemas.openxmlformats.org/officeDocument/2006/relationships/hyperlink" Target="https://webagentes.canaldirecto.com.ar/incidents/view/733547-3" TargetMode="External"/><Relationship Id="rId2901" Type="http://schemas.openxmlformats.org/officeDocument/2006/relationships/hyperlink" Target="https://webagentes.canaldirecto.com.ar/incidents/view/776870-5" TargetMode="External"/><Relationship Id="rId3096" Type="http://schemas.openxmlformats.org/officeDocument/2006/relationships/hyperlink" Target="https://webagentes.canaldirecto.com.ar/incidents/view/789116-4" TargetMode="External"/><Relationship Id="rId1503" Type="http://schemas.openxmlformats.org/officeDocument/2006/relationships/hyperlink" Target="https://webagentes.canaldirecto.com.ar/incidents/view/720623-2" TargetMode="External"/><Relationship Id="rId1710" Type="http://schemas.openxmlformats.org/officeDocument/2006/relationships/hyperlink" Target="https://webagentes.canaldirecto.com.ar/incidents/view/730646-2" TargetMode="External"/><Relationship Id="rId1948" Type="http://schemas.openxmlformats.org/officeDocument/2006/relationships/hyperlink" Target="https://webagentes.canaldirecto.com.ar/incidents/view/741187-0" TargetMode="External"/><Relationship Id="rId3163" Type="http://schemas.openxmlformats.org/officeDocument/2006/relationships/hyperlink" Target="https://webagentes.canaldirecto.com.ar/incidents/view/791264-3" TargetMode="External"/><Relationship Id="rId3370" Type="http://schemas.openxmlformats.org/officeDocument/2006/relationships/hyperlink" Target="https://webagentes.canaldirecto.com.ar/incidents/view/792468-4" TargetMode="External"/><Relationship Id="rId291" Type="http://schemas.openxmlformats.org/officeDocument/2006/relationships/hyperlink" Target="https://webagentes.canaldirecto.com.ar/incidents/view/662708-5" TargetMode="External"/><Relationship Id="rId1808" Type="http://schemas.openxmlformats.org/officeDocument/2006/relationships/hyperlink" Target="https://webagentes.canaldirecto.com.ar/incidents/view/736244-0" TargetMode="External"/><Relationship Id="rId3023" Type="http://schemas.openxmlformats.org/officeDocument/2006/relationships/hyperlink" Target="https://webagentes.canaldirecto.com.ar/incidents/view/783073-8" TargetMode="External"/><Relationship Id="rId3468" Type="http://schemas.openxmlformats.org/officeDocument/2006/relationships/hyperlink" Target="https://webagentes.canaldirecto.com.ar/incidents/view/796053-4" TargetMode="External"/><Relationship Id="rId3675" Type="http://schemas.openxmlformats.org/officeDocument/2006/relationships/hyperlink" Target="https://webagentes.canaldirecto.com.ar/incidents/view/803260-7" TargetMode="External"/><Relationship Id="rId151" Type="http://schemas.openxmlformats.org/officeDocument/2006/relationships/hyperlink" Target="http://webagentes.canaldirecto.com.ar/liquidations/removeIncident/657153-7" TargetMode="External"/><Relationship Id="rId389" Type="http://schemas.openxmlformats.org/officeDocument/2006/relationships/hyperlink" Target="https://webagentes.canaldirecto.com.ar/incidents/view/669386-6" TargetMode="External"/><Relationship Id="rId596" Type="http://schemas.openxmlformats.org/officeDocument/2006/relationships/hyperlink" Target="https://webagentes.canaldirecto.com.ar/liquidations/removeIncident/669764-0" TargetMode="External"/><Relationship Id="rId2277" Type="http://schemas.openxmlformats.org/officeDocument/2006/relationships/hyperlink" Target="https://webagentes.canaldirecto.com.ar/incidents/view/750914-8" TargetMode="External"/><Relationship Id="rId2484" Type="http://schemas.openxmlformats.org/officeDocument/2006/relationships/hyperlink" Target="https://webagentes.canaldirecto.com.ar/incidents/view/759533-0" TargetMode="External"/><Relationship Id="rId2691" Type="http://schemas.openxmlformats.org/officeDocument/2006/relationships/hyperlink" Target="https://webagentes.canaldirecto.com.ar/incidents/view/770174-6" TargetMode="External"/><Relationship Id="rId3230" Type="http://schemas.openxmlformats.org/officeDocument/2006/relationships/hyperlink" Target="https://webagentes.canaldirecto.com.ar/incidents/view/788963-7" TargetMode="External"/><Relationship Id="rId3328" Type="http://schemas.openxmlformats.org/officeDocument/2006/relationships/hyperlink" Target="https://webagentes.canaldirecto.com.ar/incidents/view/794226-4" TargetMode="External"/><Relationship Id="rId3535" Type="http://schemas.openxmlformats.org/officeDocument/2006/relationships/hyperlink" Target="https://webagentes.canaldirecto.com.ar/liquidations/removeIncident/795577-2" TargetMode="External"/><Relationship Id="rId3742" Type="http://schemas.openxmlformats.org/officeDocument/2006/relationships/hyperlink" Target="https://webagentes.canaldirecto.com.ar/incidents/view/806328-1" TargetMode="External"/><Relationship Id="rId249" Type="http://schemas.openxmlformats.org/officeDocument/2006/relationships/hyperlink" Target="http://webagentes.canaldirecto.com.ar/incidents/view/660785-0" TargetMode="External"/><Relationship Id="rId456" Type="http://schemas.openxmlformats.org/officeDocument/2006/relationships/hyperlink" Target="https://webagentes.canaldirecto.com.ar/liquidations/removeIncident/668127-8" TargetMode="External"/><Relationship Id="rId663" Type="http://schemas.openxmlformats.org/officeDocument/2006/relationships/hyperlink" Target="https://webagentes.canaldirecto.com.ar/incidents/view/675242-4" TargetMode="External"/><Relationship Id="rId870" Type="http://schemas.openxmlformats.org/officeDocument/2006/relationships/hyperlink" Target="https://webagentes.canaldirecto.com.ar/incidents/view/684764-3" TargetMode="External"/><Relationship Id="rId1086" Type="http://schemas.openxmlformats.org/officeDocument/2006/relationships/hyperlink" Target="https://webagentes.canaldirecto.com.ar/incidents/view/695880-6" TargetMode="External"/><Relationship Id="rId1293" Type="http://schemas.openxmlformats.org/officeDocument/2006/relationships/hyperlink" Target="https://webagentes.canaldirecto.com.ar/incidents/view/714479-2" TargetMode="External"/><Relationship Id="rId2137" Type="http://schemas.openxmlformats.org/officeDocument/2006/relationships/hyperlink" Target="https://webagentes.canaldirecto.com.ar/incidents/view/745747-4" TargetMode="External"/><Relationship Id="rId2344" Type="http://schemas.openxmlformats.org/officeDocument/2006/relationships/hyperlink" Target="https://webagentes.canaldirecto.com.ar/incidents/view/752643-7" TargetMode="External"/><Relationship Id="rId2551" Type="http://schemas.openxmlformats.org/officeDocument/2006/relationships/hyperlink" Target="https://webagentes.canaldirecto.com.ar/liquidations/removeIncident/762252-8" TargetMode="External"/><Relationship Id="rId2789" Type="http://schemas.openxmlformats.org/officeDocument/2006/relationships/hyperlink" Target="https://webagentes.canaldirecto.com.ar/incidents/view/775788-8" TargetMode="External"/><Relationship Id="rId2996" Type="http://schemas.openxmlformats.org/officeDocument/2006/relationships/hyperlink" Target="https://webagentes.canaldirecto.com.ar/incidents/view/784348-6" TargetMode="External"/><Relationship Id="rId109" Type="http://schemas.openxmlformats.org/officeDocument/2006/relationships/hyperlink" Target="http://webagentes.canaldirecto.com.ar/liquidations/removeIncident/639091-4" TargetMode="External"/><Relationship Id="rId316" Type="http://schemas.openxmlformats.org/officeDocument/2006/relationships/hyperlink" Target="https://webagentes.canaldirecto.com.ar/incidents/view/662201-7" TargetMode="External"/><Relationship Id="rId523" Type="http://schemas.openxmlformats.org/officeDocument/2006/relationships/hyperlink" Target="https://webagentes.canaldirecto.com.ar/incidents/view/672468-9" TargetMode="External"/><Relationship Id="rId968" Type="http://schemas.openxmlformats.org/officeDocument/2006/relationships/hyperlink" Target="https://webagentes.canaldirecto.com.ar/incidents/view/688074-5" TargetMode="External"/><Relationship Id="rId1153" Type="http://schemas.openxmlformats.org/officeDocument/2006/relationships/hyperlink" Target="https://webagentes.canaldirecto.com.ar/incidents/view/702396-7" TargetMode="External"/><Relationship Id="rId1598" Type="http://schemas.openxmlformats.org/officeDocument/2006/relationships/hyperlink" Target="https://webagentes.canaldirecto.com.ar/incidents/view/721702-5" TargetMode="External"/><Relationship Id="rId2204" Type="http://schemas.openxmlformats.org/officeDocument/2006/relationships/hyperlink" Target="https://webagentes.canaldirecto.com.ar/incidents/view/748624-5" TargetMode="External"/><Relationship Id="rId2649" Type="http://schemas.openxmlformats.org/officeDocument/2006/relationships/hyperlink" Target="https://webagentes.canaldirecto.com.ar/incidents/view/767265-7" TargetMode="External"/><Relationship Id="rId2856" Type="http://schemas.openxmlformats.org/officeDocument/2006/relationships/hyperlink" Target="https://webagentes.canaldirecto.com.ar/incidents/view/779269-6" TargetMode="External"/><Relationship Id="rId3602" Type="http://schemas.openxmlformats.org/officeDocument/2006/relationships/hyperlink" Target="https://webagentes.canaldirecto.com.ar/incidents/view/799970-3" TargetMode="External"/><Relationship Id="rId97" Type="http://schemas.openxmlformats.org/officeDocument/2006/relationships/hyperlink" Target="http://webagentes.canaldirecto.com.ar/liquidations/removeIncident/653340-3" TargetMode="External"/><Relationship Id="rId730" Type="http://schemas.openxmlformats.org/officeDocument/2006/relationships/hyperlink" Target="https://webagentes.canaldirecto.com.ar/incidents/view/679137-1" TargetMode="External"/><Relationship Id="rId828" Type="http://schemas.openxmlformats.org/officeDocument/2006/relationships/hyperlink" Target="https://webagentes.canaldirecto.com.ar/incidents/view/686294-3" TargetMode="External"/><Relationship Id="rId1013" Type="http://schemas.openxmlformats.org/officeDocument/2006/relationships/hyperlink" Target="https://webagentes.canaldirecto.com.ar/incidents/view/690397-6" TargetMode="External"/><Relationship Id="rId1360" Type="http://schemas.openxmlformats.org/officeDocument/2006/relationships/hyperlink" Target="https://webagentes.canaldirecto.com.ar/incidents/view/712032-1" TargetMode="External"/><Relationship Id="rId1458" Type="http://schemas.openxmlformats.org/officeDocument/2006/relationships/hyperlink" Target="https://webagentes.canaldirecto.com.ar/incidents/view/716413-0" TargetMode="External"/><Relationship Id="rId1665" Type="http://schemas.openxmlformats.org/officeDocument/2006/relationships/hyperlink" Target="https://webagentes.canaldirecto.com.ar/incidents/view/727656-9" TargetMode="External"/><Relationship Id="rId1872" Type="http://schemas.openxmlformats.org/officeDocument/2006/relationships/hyperlink" Target="https://webagentes.canaldirecto.com.ar/liquidations/removeIncident/737821-0" TargetMode="External"/><Relationship Id="rId2411" Type="http://schemas.openxmlformats.org/officeDocument/2006/relationships/hyperlink" Target="https://webagentes.canaldirecto.com.ar/incidents/view/759062-7" TargetMode="External"/><Relationship Id="rId2509" Type="http://schemas.openxmlformats.org/officeDocument/2006/relationships/hyperlink" Target="https://webagentes.canaldirecto.com.ar/liquidations/removeIncident/763518-8" TargetMode="External"/><Relationship Id="rId2716" Type="http://schemas.openxmlformats.org/officeDocument/2006/relationships/hyperlink" Target="https://webagentes.canaldirecto.com.ar/incidents/view/774549-4" TargetMode="External"/><Relationship Id="rId1220" Type="http://schemas.openxmlformats.org/officeDocument/2006/relationships/hyperlink" Target="https://webagentes.canaldirecto.com.ar/incidents/view/704167-1" TargetMode="External"/><Relationship Id="rId1318" Type="http://schemas.openxmlformats.org/officeDocument/2006/relationships/hyperlink" Target="https://webagentes.canaldirecto.com.ar/incidents/view/712497-4" TargetMode="External"/><Relationship Id="rId1525" Type="http://schemas.openxmlformats.org/officeDocument/2006/relationships/hyperlink" Target="https://webagentes.canaldirecto.com.ar/incidents/view/720017-7" TargetMode="External"/><Relationship Id="rId2923" Type="http://schemas.openxmlformats.org/officeDocument/2006/relationships/hyperlink" Target="https://webagentes.canaldirecto.com.ar/incidents/view/782677-1" TargetMode="External"/><Relationship Id="rId1732" Type="http://schemas.openxmlformats.org/officeDocument/2006/relationships/hyperlink" Target="https://webagentes.canaldirecto.com.ar/incidents/view/728720-0" TargetMode="External"/><Relationship Id="rId3185" Type="http://schemas.openxmlformats.org/officeDocument/2006/relationships/hyperlink" Target="https://webagentes.canaldirecto.com.ar/incidents/view/790847-3" TargetMode="External"/><Relationship Id="rId3392" Type="http://schemas.openxmlformats.org/officeDocument/2006/relationships/hyperlink" Target="https://webagentes.canaldirecto.com.ar/incidents/view/791242-1" TargetMode="External"/><Relationship Id="rId24" Type="http://schemas.openxmlformats.org/officeDocument/2006/relationships/hyperlink" Target="http://webagentes.canaldirecto.com.ar/incidents/view/651984-7" TargetMode="External"/><Relationship Id="rId2299" Type="http://schemas.openxmlformats.org/officeDocument/2006/relationships/hyperlink" Target="https://webagentes.canaldirecto.com.ar/incidents/view/749189-4" TargetMode="External"/><Relationship Id="rId3045" Type="http://schemas.openxmlformats.org/officeDocument/2006/relationships/hyperlink" Target="https://webagentes.canaldirecto.com.ar/incidents/view/787016-1" TargetMode="External"/><Relationship Id="rId3252" Type="http://schemas.openxmlformats.org/officeDocument/2006/relationships/hyperlink" Target="https://webagentes.canaldirecto.com.ar/incidents/view/791760-2" TargetMode="External"/><Relationship Id="rId3697" Type="http://schemas.openxmlformats.org/officeDocument/2006/relationships/hyperlink" Target="https://webagentes.canaldirecto.com.ar/incidents/view/802415-8" TargetMode="External"/><Relationship Id="rId173" Type="http://schemas.openxmlformats.org/officeDocument/2006/relationships/hyperlink" Target="http://webagentes.canaldirecto.com.ar/liquidations/removeIncident/656861-2" TargetMode="External"/><Relationship Id="rId380" Type="http://schemas.openxmlformats.org/officeDocument/2006/relationships/hyperlink" Target="https://webagentes.canaldirecto.com.ar/liquidations/removeIncident/669556-3" TargetMode="External"/><Relationship Id="rId2061" Type="http://schemas.openxmlformats.org/officeDocument/2006/relationships/hyperlink" Target="https://webagentes.canaldirecto.com.ar/incidents/view/742931-0" TargetMode="External"/><Relationship Id="rId3112" Type="http://schemas.openxmlformats.org/officeDocument/2006/relationships/hyperlink" Target="https://webagentes.canaldirecto.com.ar/incidents/view/788344-8" TargetMode="External"/><Relationship Id="rId3557" Type="http://schemas.openxmlformats.org/officeDocument/2006/relationships/hyperlink" Target="https://webagentes.canaldirecto.com.ar/liquidations/removeIncident/795235-9" TargetMode="External"/><Relationship Id="rId3764" Type="http://schemas.openxmlformats.org/officeDocument/2006/relationships/hyperlink" Target="https://webagentes.canaldirecto.com.ar/incidents/view/805519-4" TargetMode="External"/><Relationship Id="rId240" Type="http://schemas.openxmlformats.org/officeDocument/2006/relationships/hyperlink" Target="http://webagentes.canaldirecto.com.ar/incidents/view/660794-8" TargetMode="External"/><Relationship Id="rId478" Type="http://schemas.openxmlformats.org/officeDocument/2006/relationships/hyperlink" Target="https://webagentes.canaldirecto.com.ar/liquidations/removeIncident/666600-2" TargetMode="External"/><Relationship Id="rId685" Type="http://schemas.openxmlformats.org/officeDocument/2006/relationships/hyperlink" Target="https://webagentes.canaldirecto.com.ar/incidents/view/674430-0" TargetMode="External"/><Relationship Id="rId892" Type="http://schemas.openxmlformats.org/officeDocument/2006/relationships/hyperlink" Target="https://webagentes.canaldirecto.com.ar/incidents/view/684286-0" TargetMode="External"/><Relationship Id="rId2159" Type="http://schemas.openxmlformats.org/officeDocument/2006/relationships/hyperlink" Target="https://webagentes.canaldirecto.com.ar/incidents/view/744958-1" TargetMode="External"/><Relationship Id="rId2366" Type="http://schemas.openxmlformats.org/officeDocument/2006/relationships/hyperlink" Target="https://webagentes.canaldirecto.com.ar/incidents/view/755620-7" TargetMode="External"/><Relationship Id="rId2573" Type="http://schemas.openxmlformats.org/officeDocument/2006/relationships/hyperlink" Target="https://webagentes.canaldirecto.com.ar/liquidations/removeIncident/761469-9" TargetMode="External"/><Relationship Id="rId2780" Type="http://schemas.openxmlformats.org/officeDocument/2006/relationships/hyperlink" Target="https://webagentes.canaldirecto.com.ar/incidents/view/776053-6" TargetMode="External"/><Relationship Id="rId3417" Type="http://schemas.openxmlformats.org/officeDocument/2006/relationships/hyperlink" Target="https://webagentes.canaldirecto.com.ar/liquidations/removeIncident/797417-5" TargetMode="External"/><Relationship Id="rId3624" Type="http://schemas.openxmlformats.org/officeDocument/2006/relationships/hyperlink" Target="https://webagentes.canaldirecto.com.ar/incidents/view/799621-0" TargetMode="External"/><Relationship Id="rId3831" Type="http://schemas.openxmlformats.org/officeDocument/2006/relationships/hyperlink" Target="https://webagentes.canaldirecto.com.ar/incidents/view/808952-6" TargetMode="External"/><Relationship Id="rId100" Type="http://schemas.openxmlformats.org/officeDocument/2006/relationships/hyperlink" Target="http://webagentes.canaldirecto.com.ar/incidents/view/651292-3" TargetMode="External"/><Relationship Id="rId338" Type="http://schemas.openxmlformats.org/officeDocument/2006/relationships/hyperlink" Target="https://webagentes.canaldirecto.com.ar/incidents/view/665905-7" TargetMode="External"/><Relationship Id="rId545" Type="http://schemas.openxmlformats.org/officeDocument/2006/relationships/hyperlink" Target="https://webagentes.canaldirecto.com.ar/incidents/view/670929-1" TargetMode="External"/><Relationship Id="rId752" Type="http://schemas.openxmlformats.org/officeDocument/2006/relationships/hyperlink" Target="https://webagentes.canaldirecto.com.ar/incidents/view/678088-9" TargetMode="External"/><Relationship Id="rId1175" Type="http://schemas.openxmlformats.org/officeDocument/2006/relationships/hyperlink" Target="https://webagentes.canaldirecto.com.ar/incidents/view/706729-9" TargetMode="External"/><Relationship Id="rId1382" Type="http://schemas.openxmlformats.org/officeDocument/2006/relationships/hyperlink" Target="https://webagentes.canaldirecto.com.ar/incidents/view/711625-8" TargetMode="External"/><Relationship Id="rId2019" Type="http://schemas.openxmlformats.org/officeDocument/2006/relationships/hyperlink" Target="https://webagentes.canaldirecto.com.ar/incidents/view/744001-2" TargetMode="External"/><Relationship Id="rId2226" Type="http://schemas.openxmlformats.org/officeDocument/2006/relationships/hyperlink" Target="https://webagentes.canaldirecto.com.ar/incidents/view/748143-5" TargetMode="External"/><Relationship Id="rId2433" Type="http://schemas.openxmlformats.org/officeDocument/2006/relationships/hyperlink" Target="https://webagentes.canaldirecto.com.ar/incidents/view/761295-6" TargetMode="External"/><Relationship Id="rId2640" Type="http://schemas.openxmlformats.org/officeDocument/2006/relationships/hyperlink" Target="https://webagentes.canaldirecto.com.ar/incidents/view/767682-0" TargetMode="External"/><Relationship Id="rId2878" Type="http://schemas.openxmlformats.org/officeDocument/2006/relationships/hyperlink" Target="https://webagentes.canaldirecto.com.ar/incidents/view/778741-8" TargetMode="External"/><Relationship Id="rId405" Type="http://schemas.openxmlformats.org/officeDocument/2006/relationships/hyperlink" Target="https://webagentes.canaldirecto.com.ar/incidents/view/669378-7" TargetMode="External"/><Relationship Id="rId612" Type="http://schemas.openxmlformats.org/officeDocument/2006/relationships/hyperlink" Target="https://webagentes.canaldirecto.com.ar/liquidations/removeIncident/662360-9" TargetMode="External"/><Relationship Id="rId1035" Type="http://schemas.openxmlformats.org/officeDocument/2006/relationships/hyperlink" Target="https://webagentes.canaldirecto.com.ar/incidents/view/694914-5" TargetMode="External"/><Relationship Id="rId1242" Type="http://schemas.openxmlformats.org/officeDocument/2006/relationships/hyperlink" Target="https://webagentes.canaldirecto.com.ar/incidents/view/709908-5" TargetMode="External"/><Relationship Id="rId1687" Type="http://schemas.openxmlformats.org/officeDocument/2006/relationships/hyperlink" Target="https://webagentes.canaldirecto.com.ar/incidents/view/726682-7" TargetMode="External"/><Relationship Id="rId1894" Type="http://schemas.openxmlformats.org/officeDocument/2006/relationships/hyperlink" Target="https://webagentes.canaldirecto.com.ar/liquidations/removeIncident/737330-3" TargetMode="External"/><Relationship Id="rId2500" Type="http://schemas.openxmlformats.org/officeDocument/2006/relationships/hyperlink" Target="https://webagentes.canaldirecto.com.ar/incidents/view/763971-3" TargetMode="External"/><Relationship Id="rId2738" Type="http://schemas.openxmlformats.org/officeDocument/2006/relationships/hyperlink" Target="https://webagentes.canaldirecto.com.ar/incidents/view/773172-9" TargetMode="External"/><Relationship Id="rId2945" Type="http://schemas.openxmlformats.org/officeDocument/2006/relationships/hyperlink" Target="https://webagentes.canaldirecto.com.ar/incidents/view/782117-4" TargetMode="External"/><Relationship Id="rId917" Type="http://schemas.openxmlformats.org/officeDocument/2006/relationships/hyperlink" Target="https://webagentes.canaldirecto.com.ar/liquidations/removeIncident/683545-3" TargetMode="External"/><Relationship Id="rId1102" Type="http://schemas.openxmlformats.org/officeDocument/2006/relationships/hyperlink" Target="https://webagentes.canaldirecto.com.ar/incidents/view/700002-7" TargetMode="External"/><Relationship Id="rId1547" Type="http://schemas.openxmlformats.org/officeDocument/2006/relationships/hyperlink" Target="https://webagentes.canaldirecto.com.ar/incidents/view/718753-9" TargetMode="External"/><Relationship Id="rId1754" Type="http://schemas.openxmlformats.org/officeDocument/2006/relationships/hyperlink" Target="https://webagentes.canaldirecto.com.ar/incidents/view/732804-8" TargetMode="External"/><Relationship Id="rId1961" Type="http://schemas.openxmlformats.org/officeDocument/2006/relationships/hyperlink" Target="https://webagentes.canaldirecto.com.ar/incidents/view/740428-7" TargetMode="External"/><Relationship Id="rId2805" Type="http://schemas.openxmlformats.org/officeDocument/2006/relationships/hyperlink" Target="https://webagentes.canaldirecto.com.ar/incidents/view/780440-5" TargetMode="External"/><Relationship Id="rId46" Type="http://schemas.openxmlformats.org/officeDocument/2006/relationships/hyperlink" Target="http://webagentes.canaldirecto.com.ar/incidents/view/649088-9" TargetMode="External"/><Relationship Id="rId1407" Type="http://schemas.openxmlformats.org/officeDocument/2006/relationships/hyperlink" Target="https://webagentes.canaldirecto.com.ar/incidents/view/717061-8" TargetMode="External"/><Relationship Id="rId1614" Type="http://schemas.openxmlformats.org/officeDocument/2006/relationships/hyperlink" Target="https://webagentes.canaldirecto.com.ar/incidents/view/725775-9" TargetMode="External"/><Relationship Id="rId1821" Type="http://schemas.openxmlformats.org/officeDocument/2006/relationships/hyperlink" Target="https://webagentes.canaldirecto.com.ar/incidents/view/735615-7" TargetMode="External"/><Relationship Id="rId3067" Type="http://schemas.openxmlformats.org/officeDocument/2006/relationships/hyperlink" Target="https://webagentes.canaldirecto.com.ar/incidents/view/786130-3" TargetMode="External"/><Relationship Id="rId3274" Type="http://schemas.openxmlformats.org/officeDocument/2006/relationships/hyperlink" Target="https://webagentes.canaldirecto.com.ar/incidents/view/790162-9" TargetMode="External"/><Relationship Id="rId195" Type="http://schemas.openxmlformats.org/officeDocument/2006/relationships/hyperlink" Target="http://webagentes.canaldirecto.com.ar/liquidations/removeIncident/656357-4" TargetMode="External"/><Relationship Id="rId1919" Type="http://schemas.openxmlformats.org/officeDocument/2006/relationships/hyperlink" Target="https://webagentes.canaldirecto.com.ar/liquidations/removeIncident/736643-7" TargetMode="External"/><Relationship Id="rId3481" Type="http://schemas.openxmlformats.org/officeDocument/2006/relationships/hyperlink" Target="https://webagentes.canaldirecto.com.ar/liquidations/removeIncident/795881-2" TargetMode="External"/><Relationship Id="rId3579" Type="http://schemas.openxmlformats.org/officeDocument/2006/relationships/hyperlink" Target="https://webagentes.canaldirecto.com.ar/liquidations/removeIncident/794439-6" TargetMode="External"/><Relationship Id="rId3786" Type="http://schemas.openxmlformats.org/officeDocument/2006/relationships/hyperlink" Target="https://webagentes.canaldirecto.com.ar/incidents/view/804323-2" TargetMode="External"/><Relationship Id="rId2083" Type="http://schemas.openxmlformats.org/officeDocument/2006/relationships/hyperlink" Target="https://webagentes.canaldirecto.com.ar/incidents/view/746809-0" TargetMode="External"/><Relationship Id="rId2290" Type="http://schemas.openxmlformats.org/officeDocument/2006/relationships/hyperlink" Target="https://webagentes.canaldirecto.com.ar/incidents/view/749775-5" TargetMode="External"/><Relationship Id="rId2388" Type="http://schemas.openxmlformats.org/officeDocument/2006/relationships/hyperlink" Target="https://webagentes.canaldirecto.com.ar/incidents/view/754756-4" TargetMode="External"/><Relationship Id="rId2595" Type="http://schemas.openxmlformats.org/officeDocument/2006/relationships/hyperlink" Target="https://webagentes.canaldirecto.com.ar/liquidations/removeIncident/760558-5" TargetMode="External"/><Relationship Id="rId3134" Type="http://schemas.openxmlformats.org/officeDocument/2006/relationships/hyperlink" Target="https://webagentes.canaldirecto.com.ar/incidents/view/788078-8" TargetMode="External"/><Relationship Id="rId3341" Type="http://schemas.openxmlformats.org/officeDocument/2006/relationships/hyperlink" Target="https://webagentes.canaldirecto.com.ar/incidents/view/793526-4" TargetMode="External"/><Relationship Id="rId3439" Type="http://schemas.openxmlformats.org/officeDocument/2006/relationships/hyperlink" Target="https://webagentes.canaldirecto.com.ar/liquidations/removeIncident/797106-2" TargetMode="External"/><Relationship Id="rId262" Type="http://schemas.openxmlformats.org/officeDocument/2006/relationships/hyperlink" Target="http://webagentes.canaldirecto.com.ar/incidents/view/659012-5" TargetMode="External"/><Relationship Id="rId567" Type="http://schemas.openxmlformats.org/officeDocument/2006/relationships/hyperlink" Target="https://webagentes.canaldirecto.com.ar/incidents/view/670623-0" TargetMode="External"/><Relationship Id="rId1197" Type="http://schemas.openxmlformats.org/officeDocument/2006/relationships/hyperlink" Target="https://webagentes.canaldirecto.com.ar/incidents/view/705430-1" TargetMode="External"/><Relationship Id="rId2150" Type="http://schemas.openxmlformats.org/officeDocument/2006/relationships/hyperlink" Target="https://webagentes.canaldirecto.com.ar/incidents/view/745598-0" TargetMode="External"/><Relationship Id="rId2248" Type="http://schemas.openxmlformats.org/officeDocument/2006/relationships/hyperlink" Target="https://webagentes.canaldirecto.com.ar/incidents/view/746366-0" TargetMode="External"/><Relationship Id="rId3201" Type="http://schemas.openxmlformats.org/officeDocument/2006/relationships/hyperlink" Target="https://webagentes.canaldirecto.com.ar/incidents/view/790372-4" TargetMode="External"/><Relationship Id="rId3646" Type="http://schemas.openxmlformats.org/officeDocument/2006/relationships/hyperlink" Target="https://webagentes.canaldirecto.com.ar/incidents/view/798683-3" TargetMode="External"/><Relationship Id="rId3853" Type="http://schemas.openxmlformats.org/officeDocument/2006/relationships/hyperlink" Target="https://webagentes.canaldirecto.com.ar/incidents/view/807170-3" TargetMode="External"/><Relationship Id="rId122" Type="http://schemas.openxmlformats.org/officeDocument/2006/relationships/hyperlink" Target="http://webagentes.canaldirecto.com.ar/incidents/view/658006-7" TargetMode="External"/><Relationship Id="rId774" Type="http://schemas.openxmlformats.org/officeDocument/2006/relationships/hyperlink" Target="https://webagentes.canaldirecto.com.ar/incidents/view/676799-4" TargetMode="External"/><Relationship Id="rId981" Type="http://schemas.openxmlformats.org/officeDocument/2006/relationships/hyperlink" Target="https://webagentes.canaldirecto.com.ar/incidents/view/687415-1" TargetMode="External"/><Relationship Id="rId1057" Type="http://schemas.openxmlformats.org/officeDocument/2006/relationships/hyperlink" Target="https://webagentes.canaldirecto.com.ar/incidents/view/692924-8" TargetMode="External"/><Relationship Id="rId2010" Type="http://schemas.openxmlformats.org/officeDocument/2006/relationships/hyperlink" Target="https://webagentes.canaldirecto.com.ar/incidents/view/744085-4" TargetMode="External"/><Relationship Id="rId2455" Type="http://schemas.openxmlformats.org/officeDocument/2006/relationships/hyperlink" Target="https://webagentes.canaldirecto.com.ar/incidents/view/760797-2" TargetMode="External"/><Relationship Id="rId2662" Type="http://schemas.openxmlformats.org/officeDocument/2006/relationships/hyperlink" Target="https://webagentes.canaldirecto.com.ar/incidents/view/766409-2" TargetMode="External"/><Relationship Id="rId3506" Type="http://schemas.openxmlformats.org/officeDocument/2006/relationships/hyperlink" Target="https://webagentes.canaldirecto.com.ar/incidents/view/795736-3" TargetMode="External"/><Relationship Id="rId3713" Type="http://schemas.openxmlformats.org/officeDocument/2006/relationships/hyperlink" Target="https://webagentes.canaldirecto.com.ar/incidents/view/801479-9" TargetMode="External"/><Relationship Id="rId427" Type="http://schemas.openxmlformats.org/officeDocument/2006/relationships/hyperlink" Target="https://webagentes.canaldirecto.com.ar/incidents/view/668871-2" TargetMode="External"/><Relationship Id="rId634" Type="http://schemas.openxmlformats.org/officeDocument/2006/relationships/hyperlink" Target="https://webagentes.canaldirecto.com.ar/incidents/view/676747-1" TargetMode="External"/><Relationship Id="rId841" Type="http://schemas.openxmlformats.org/officeDocument/2006/relationships/hyperlink" Target="https://webagentes.canaldirecto.com.ar/liquidations/removeIncident/686014-9" TargetMode="External"/><Relationship Id="rId1264" Type="http://schemas.openxmlformats.org/officeDocument/2006/relationships/hyperlink" Target="https://webagentes.canaldirecto.com.ar/incidents/view/708529-5" TargetMode="External"/><Relationship Id="rId1471" Type="http://schemas.openxmlformats.org/officeDocument/2006/relationships/hyperlink" Target="https://webagentes.canaldirecto.com.ar/incidents/view/716248-8" TargetMode="External"/><Relationship Id="rId1569" Type="http://schemas.openxmlformats.org/officeDocument/2006/relationships/hyperlink" Target="https://webagentes.canaldirecto.com.ar/incidents/view/722938-5" TargetMode="External"/><Relationship Id="rId2108" Type="http://schemas.openxmlformats.org/officeDocument/2006/relationships/hyperlink" Target="https://webagentes.canaldirecto.com.ar/incidents/view/746260-7" TargetMode="External"/><Relationship Id="rId2315" Type="http://schemas.openxmlformats.org/officeDocument/2006/relationships/hyperlink" Target="https://webagentes.canaldirecto.com.ar/incidents/view/749082-2" TargetMode="External"/><Relationship Id="rId2522" Type="http://schemas.openxmlformats.org/officeDocument/2006/relationships/hyperlink" Target="https://webagentes.canaldirecto.com.ar/incidents/view/762934-5" TargetMode="External"/><Relationship Id="rId2967" Type="http://schemas.openxmlformats.org/officeDocument/2006/relationships/hyperlink" Target="https://webagentes.canaldirecto.com.ar/incidents/view/780928-8" TargetMode="External"/><Relationship Id="rId701" Type="http://schemas.openxmlformats.org/officeDocument/2006/relationships/hyperlink" Target="https://webagentes.canaldirecto.com.ar/incidents/view/673930-8" TargetMode="External"/><Relationship Id="rId939" Type="http://schemas.openxmlformats.org/officeDocument/2006/relationships/hyperlink" Target="https://webagentes.canaldirecto.com.ar/incidents/view/689380-0" TargetMode="External"/><Relationship Id="rId1124" Type="http://schemas.openxmlformats.org/officeDocument/2006/relationships/hyperlink" Target="https://webagentes.canaldirecto.com.ar/incidents/view/697769-8" TargetMode="External"/><Relationship Id="rId1331" Type="http://schemas.openxmlformats.org/officeDocument/2006/relationships/hyperlink" Target="https://webagentes.canaldirecto.com.ar/incidents/view/712476-1" TargetMode="External"/><Relationship Id="rId1776" Type="http://schemas.openxmlformats.org/officeDocument/2006/relationships/hyperlink" Target="https://webagentes.canaldirecto.com.ar/incidents/view/732585-6" TargetMode="External"/><Relationship Id="rId1983" Type="http://schemas.openxmlformats.org/officeDocument/2006/relationships/hyperlink" Target="https://webagentes.canaldirecto.com.ar/incidents/view/744294-0" TargetMode="External"/><Relationship Id="rId2827" Type="http://schemas.openxmlformats.org/officeDocument/2006/relationships/hyperlink" Target="https://webagentes.canaldirecto.com.ar/incidents/view/779747-9" TargetMode="External"/><Relationship Id="rId68" Type="http://schemas.openxmlformats.org/officeDocument/2006/relationships/hyperlink" Target="http://webagentes.canaldirecto.com.ar/incidents/view/654187-3" TargetMode="External"/><Relationship Id="rId1429" Type="http://schemas.openxmlformats.org/officeDocument/2006/relationships/hyperlink" Target="https://webagentes.canaldirecto.com.ar/incidents/view/716816-3" TargetMode="External"/><Relationship Id="rId1636" Type="http://schemas.openxmlformats.org/officeDocument/2006/relationships/hyperlink" Target="https://webagentes.canaldirecto.com.ar/incidents/view/723014-1" TargetMode="External"/><Relationship Id="rId1843" Type="http://schemas.openxmlformats.org/officeDocument/2006/relationships/hyperlink" Target="https://webagentes.canaldirecto.com.ar/incidents/view/734041-1" TargetMode="External"/><Relationship Id="rId3089" Type="http://schemas.openxmlformats.org/officeDocument/2006/relationships/hyperlink" Target="https://webagentes.canaldirecto.com.ar/incidents/view/789230-3" TargetMode="External"/><Relationship Id="rId3296" Type="http://schemas.openxmlformats.org/officeDocument/2006/relationships/hyperlink" Target="https://webagentes.canaldirecto.com.ar/incidents/view/789142-9" TargetMode="External"/><Relationship Id="rId1703" Type="http://schemas.openxmlformats.org/officeDocument/2006/relationships/hyperlink" Target="https://webagentes.canaldirecto.com.ar/incidents/view/730653-2" TargetMode="External"/><Relationship Id="rId1910" Type="http://schemas.openxmlformats.org/officeDocument/2006/relationships/hyperlink" Target="https://webagentes.canaldirecto.com.ar/incidents/view/736826-8" TargetMode="External"/><Relationship Id="rId3156" Type="http://schemas.openxmlformats.org/officeDocument/2006/relationships/hyperlink" Target="https://webagentes.canaldirecto.com.ar/incidents/view/791428-9" TargetMode="External"/><Relationship Id="rId3363" Type="http://schemas.openxmlformats.org/officeDocument/2006/relationships/hyperlink" Target="https://webagentes.canaldirecto.com.ar/incidents/view/792604-4" TargetMode="External"/><Relationship Id="rId284" Type="http://schemas.openxmlformats.org/officeDocument/2006/relationships/hyperlink" Target="https://webagentes.canaldirecto.com.ar/incidents/view/662775-7" TargetMode="External"/><Relationship Id="rId491" Type="http://schemas.openxmlformats.org/officeDocument/2006/relationships/hyperlink" Target="https://webagentes.canaldirecto.com.ar/incidents/view/673339-5" TargetMode="External"/><Relationship Id="rId2172" Type="http://schemas.openxmlformats.org/officeDocument/2006/relationships/hyperlink" Target="https://webagentes.canaldirecto.com.ar/incidents/view/741895-2" TargetMode="External"/><Relationship Id="rId3016" Type="http://schemas.openxmlformats.org/officeDocument/2006/relationships/hyperlink" Target="https://webagentes.canaldirecto.com.ar/incidents/view/783089-9" TargetMode="External"/><Relationship Id="rId3223" Type="http://schemas.openxmlformats.org/officeDocument/2006/relationships/hyperlink" Target="https://webagentes.canaldirecto.com.ar/incidents/view/789172-0" TargetMode="External"/><Relationship Id="rId3570" Type="http://schemas.openxmlformats.org/officeDocument/2006/relationships/hyperlink" Target="https://webagentes.canaldirecto.com.ar/incidents/view/794672-9" TargetMode="External"/><Relationship Id="rId3668" Type="http://schemas.openxmlformats.org/officeDocument/2006/relationships/hyperlink" Target="https://webagentes.canaldirecto.com.ar/incidents/view/794407-7" TargetMode="External"/><Relationship Id="rId144" Type="http://schemas.openxmlformats.org/officeDocument/2006/relationships/hyperlink" Target="http://webagentes.canaldirecto.com.ar/incidents/view/657259-0" TargetMode="External"/><Relationship Id="rId589" Type="http://schemas.openxmlformats.org/officeDocument/2006/relationships/hyperlink" Target="https://webagentes.canaldirecto.com.ar/incidents/view/670100-4" TargetMode="External"/><Relationship Id="rId796" Type="http://schemas.openxmlformats.org/officeDocument/2006/relationships/hyperlink" Target="https://webagentes.canaldirecto.com.ar/incidents/view/681863-2" TargetMode="External"/><Relationship Id="rId2477" Type="http://schemas.openxmlformats.org/officeDocument/2006/relationships/hyperlink" Target="https://webagentes.canaldirecto.com.ar/incidents/view/760040-1" TargetMode="External"/><Relationship Id="rId2684" Type="http://schemas.openxmlformats.org/officeDocument/2006/relationships/hyperlink" Target="https://webagentes.canaldirecto.com.ar/incidents/view/770418-7" TargetMode="External"/><Relationship Id="rId3430" Type="http://schemas.openxmlformats.org/officeDocument/2006/relationships/hyperlink" Target="https://webagentes.canaldirecto.com.ar/incidents/view/797312-1" TargetMode="External"/><Relationship Id="rId3528" Type="http://schemas.openxmlformats.org/officeDocument/2006/relationships/hyperlink" Target="https://webagentes.canaldirecto.com.ar/incidents/view/795580-6" TargetMode="External"/><Relationship Id="rId3735" Type="http://schemas.openxmlformats.org/officeDocument/2006/relationships/hyperlink" Target="https://webagentes.canaldirecto.com.ar/incidents/view/800246-6" TargetMode="External"/><Relationship Id="rId351" Type="http://schemas.openxmlformats.org/officeDocument/2006/relationships/hyperlink" Target="https://webagentes.canaldirecto.com.ar/incidents/view/665125-9" TargetMode="External"/><Relationship Id="rId449" Type="http://schemas.openxmlformats.org/officeDocument/2006/relationships/hyperlink" Target="https://webagentes.canaldirecto.com.ar/incidents/view/668345-2" TargetMode="External"/><Relationship Id="rId656" Type="http://schemas.openxmlformats.org/officeDocument/2006/relationships/hyperlink" Target="https://webagentes.canaldirecto.com.ar/incidents/view/675613-8" TargetMode="External"/><Relationship Id="rId863" Type="http://schemas.openxmlformats.org/officeDocument/2006/relationships/hyperlink" Target="https://webagentes.canaldirecto.com.ar/liquidations/removeIncident/685160-0" TargetMode="External"/><Relationship Id="rId1079" Type="http://schemas.openxmlformats.org/officeDocument/2006/relationships/hyperlink" Target="https://webagentes.canaldirecto.com.ar/incidents/view/696931-6" TargetMode="External"/><Relationship Id="rId1286" Type="http://schemas.openxmlformats.org/officeDocument/2006/relationships/hyperlink" Target="https://webagentes.canaldirecto.com.ar/incidents/view/706619-3" TargetMode="External"/><Relationship Id="rId1493" Type="http://schemas.openxmlformats.org/officeDocument/2006/relationships/hyperlink" Target="https://webagentes.canaldirecto.com.ar/incidents/view/710782-5" TargetMode="External"/><Relationship Id="rId2032" Type="http://schemas.openxmlformats.org/officeDocument/2006/relationships/hyperlink" Target="https://webagentes.canaldirecto.com.ar/incidents/view/743576-4" TargetMode="External"/><Relationship Id="rId2337" Type="http://schemas.openxmlformats.org/officeDocument/2006/relationships/hyperlink" Target="https://webagentes.canaldirecto.com.ar/incidents/view/752886-0" TargetMode="External"/><Relationship Id="rId2544" Type="http://schemas.openxmlformats.org/officeDocument/2006/relationships/hyperlink" Target="https://webagentes.canaldirecto.com.ar/incidents/view/762305-9" TargetMode="External"/><Relationship Id="rId2891" Type="http://schemas.openxmlformats.org/officeDocument/2006/relationships/hyperlink" Target="https://webagentes.canaldirecto.com.ar/incidents/view/777807-6" TargetMode="External"/><Relationship Id="rId2989" Type="http://schemas.openxmlformats.org/officeDocument/2006/relationships/hyperlink" Target="https://webagentes.canaldirecto.com.ar/incidents/view/784825-0" TargetMode="External"/><Relationship Id="rId211" Type="http://schemas.openxmlformats.org/officeDocument/2006/relationships/hyperlink" Target="http://webagentes.canaldirecto.com.ar/liquidations/removeIncident/655473-4" TargetMode="External"/><Relationship Id="rId309" Type="http://schemas.openxmlformats.org/officeDocument/2006/relationships/hyperlink" Target="https://webagentes.canaldirecto.com.ar/incidents/view/662361-8" TargetMode="External"/><Relationship Id="rId516" Type="http://schemas.openxmlformats.org/officeDocument/2006/relationships/hyperlink" Target="https://webagentes.canaldirecto.com.ar/liquidations/removeIncident/672488-3" TargetMode="External"/><Relationship Id="rId1146" Type="http://schemas.openxmlformats.org/officeDocument/2006/relationships/hyperlink" Target="https://webagentes.canaldirecto.com.ar/incidents/view/702903-1" TargetMode="External"/><Relationship Id="rId1798" Type="http://schemas.openxmlformats.org/officeDocument/2006/relationships/hyperlink" Target="https://webagentes.canaldirecto.com.ar/incidents/view/736327-2" TargetMode="External"/><Relationship Id="rId2751" Type="http://schemas.openxmlformats.org/officeDocument/2006/relationships/hyperlink" Target="https://webagentes.canaldirecto.com.ar/incidents/view/772479-2" TargetMode="External"/><Relationship Id="rId2849" Type="http://schemas.openxmlformats.org/officeDocument/2006/relationships/hyperlink" Target="https://webagentes.canaldirecto.com.ar/incidents/view/779279-3" TargetMode="External"/><Relationship Id="rId3802" Type="http://schemas.openxmlformats.org/officeDocument/2006/relationships/hyperlink" Target="https://webagentes.canaldirecto.com.ar/incidents/view/809935-6" TargetMode="External"/><Relationship Id="rId723" Type="http://schemas.openxmlformats.org/officeDocument/2006/relationships/hyperlink" Target="https://webagentes.canaldirecto.com.ar/incidents/view/679635-8" TargetMode="External"/><Relationship Id="rId930" Type="http://schemas.openxmlformats.org/officeDocument/2006/relationships/hyperlink" Target="https://webagentes.canaldirecto.com.ar/incidents/view/689536-7" TargetMode="External"/><Relationship Id="rId1006" Type="http://schemas.openxmlformats.org/officeDocument/2006/relationships/hyperlink" Target="https://webagentes.canaldirecto.com.ar/incidents/view/690634-4" TargetMode="External"/><Relationship Id="rId1353" Type="http://schemas.openxmlformats.org/officeDocument/2006/relationships/hyperlink" Target="https://webagentes.canaldirecto.com.ar/incidents/view/712039-4" TargetMode="External"/><Relationship Id="rId1560" Type="http://schemas.openxmlformats.org/officeDocument/2006/relationships/hyperlink" Target="https://webagentes.canaldirecto.com.ar/incidents/view/717530-3" TargetMode="External"/><Relationship Id="rId1658" Type="http://schemas.openxmlformats.org/officeDocument/2006/relationships/hyperlink" Target="https://webagentes.canaldirecto.com.ar/incidents/view/728281-6" TargetMode="External"/><Relationship Id="rId1865" Type="http://schemas.openxmlformats.org/officeDocument/2006/relationships/hyperlink" Target="https://webagentes.canaldirecto.com.ar/incidents/view/738121-4" TargetMode="External"/><Relationship Id="rId2404" Type="http://schemas.openxmlformats.org/officeDocument/2006/relationships/hyperlink" Target="https://webagentes.canaldirecto.com.ar/incidents/view/759069-0" TargetMode="External"/><Relationship Id="rId2611" Type="http://schemas.openxmlformats.org/officeDocument/2006/relationships/hyperlink" Target="https://webagentes.canaldirecto.com.ar/incidents/view/765317-5" TargetMode="External"/><Relationship Id="rId2709" Type="http://schemas.openxmlformats.org/officeDocument/2006/relationships/hyperlink" Target="https://webagentes.canaldirecto.com.ar/incidents/view/769223-5" TargetMode="External"/><Relationship Id="rId1213" Type="http://schemas.openxmlformats.org/officeDocument/2006/relationships/hyperlink" Target="https://webagentes.canaldirecto.com.ar/incidents/view/704426-1" TargetMode="External"/><Relationship Id="rId1420" Type="http://schemas.openxmlformats.org/officeDocument/2006/relationships/hyperlink" Target="https://webagentes.canaldirecto.com.ar/incidents/view/716997-7" TargetMode="External"/><Relationship Id="rId1518" Type="http://schemas.openxmlformats.org/officeDocument/2006/relationships/hyperlink" Target="https://webagentes.canaldirecto.com.ar/incidents/view/720024-7" TargetMode="External"/><Relationship Id="rId2916" Type="http://schemas.openxmlformats.org/officeDocument/2006/relationships/hyperlink" Target="https://webagentes.canaldirecto.com.ar/incidents/view/782737-2" TargetMode="External"/><Relationship Id="rId3080" Type="http://schemas.openxmlformats.org/officeDocument/2006/relationships/hyperlink" Target="https://webagentes.canaldirecto.com.ar/incidents/view/785600-0" TargetMode="External"/><Relationship Id="rId1725" Type="http://schemas.openxmlformats.org/officeDocument/2006/relationships/hyperlink" Target="https://webagentes.canaldirecto.com.ar/incidents/view/729862-2" TargetMode="External"/><Relationship Id="rId1932" Type="http://schemas.openxmlformats.org/officeDocument/2006/relationships/hyperlink" Target="https://webagentes.canaldirecto.com.ar/incidents/view/736146-9" TargetMode="External"/><Relationship Id="rId3178" Type="http://schemas.openxmlformats.org/officeDocument/2006/relationships/hyperlink" Target="https://webagentes.canaldirecto.com.ar/incidents/view/790907-4" TargetMode="External"/><Relationship Id="rId3385" Type="http://schemas.openxmlformats.org/officeDocument/2006/relationships/hyperlink" Target="https://webagentes.canaldirecto.com.ar/incidents/view/792004-0" TargetMode="External"/><Relationship Id="rId3592" Type="http://schemas.openxmlformats.org/officeDocument/2006/relationships/hyperlink" Target="https://webagentes.canaldirecto.com.ar/incidents/view/799982-8" TargetMode="External"/><Relationship Id="rId17" Type="http://schemas.openxmlformats.org/officeDocument/2006/relationships/hyperlink" Target="http://webagentes.canaldirecto.com.ar/incidents/view/652053-3" TargetMode="External"/><Relationship Id="rId2194" Type="http://schemas.openxmlformats.org/officeDocument/2006/relationships/hyperlink" Target="https://webagentes.canaldirecto.com.ar/incidents/view/748868-7" TargetMode="External"/><Relationship Id="rId3038" Type="http://schemas.openxmlformats.org/officeDocument/2006/relationships/hyperlink" Target="https://webagentes.canaldirecto.com.ar/incidents/view/787120-3" TargetMode="External"/><Relationship Id="rId3245" Type="http://schemas.openxmlformats.org/officeDocument/2006/relationships/hyperlink" Target="https://webagentes.canaldirecto.com.ar/incidents/view/777947-3" TargetMode="External"/><Relationship Id="rId3452" Type="http://schemas.openxmlformats.org/officeDocument/2006/relationships/hyperlink" Target="https://webagentes.canaldirecto.com.ar/incidents/view/796377-1" TargetMode="External"/><Relationship Id="rId166" Type="http://schemas.openxmlformats.org/officeDocument/2006/relationships/hyperlink" Target="http://webagentes.canaldirecto.com.ar/incidents/view/656978-1" TargetMode="External"/><Relationship Id="rId373" Type="http://schemas.openxmlformats.org/officeDocument/2006/relationships/hyperlink" Target="https://webagentes.canaldirecto.com.ar/incidents/view/669760-4" TargetMode="External"/><Relationship Id="rId580" Type="http://schemas.openxmlformats.org/officeDocument/2006/relationships/hyperlink" Target="https://webagentes.canaldirecto.com.ar/liquidations/removeIncident/670272-0" TargetMode="External"/><Relationship Id="rId2054" Type="http://schemas.openxmlformats.org/officeDocument/2006/relationships/hyperlink" Target="https://webagentes.canaldirecto.com.ar/incidents/view/743240-2" TargetMode="External"/><Relationship Id="rId2261" Type="http://schemas.openxmlformats.org/officeDocument/2006/relationships/hyperlink" Target="https://webagentes.canaldirecto.com.ar/incidents/view/751535-2" TargetMode="External"/><Relationship Id="rId2499" Type="http://schemas.openxmlformats.org/officeDocument/2006/relationships/hyperlink" Target="https://webagentes.canaldirecto.com.ar/liquidations/removeIncident/763972-2" TargetMode="External"/><Relationship Id="rId3105" Type="http://schemas.openxmlformats.org/officeDocument/2006/relationships/hyperlink" Target="https://webagentes.canaldirecto.com.ar/incidents/view/788353-6" TargetMode="External"/><Relationship Id="rId3312" Type="http://schemas.openxmlformats.org/officeDocument/2006/relationships/hyperlink" Target="https://webagentes.canaldirecto.com.ar/incidents/view/794391-7" TargetMode="External"/><Relationship Id="rId3757" Type="http://schemas.openxmlformats.org/officeDocument/2006/relationships/hyperlink" Target="https://webagentes.canaldirecto.com.ar/incidents/view/805766-0" TargetMode="External"/><Relationship Id="rId1" Type="http://schemas.openxmlformats.org/officeDocument/2006/relationships/hyperlink" Target="http://webagentes.canaldirecto.com.ar/incidents/view/652502-4" TargetMode="External"/><Relationship Id="rId233" Type="http://schemas.openxmlformats.org/officeDocument/2006/relationships/hyperlink" Target="http://webagentes.canaldirecto.com.ar/liquidations/removeIncident/654960-8" TargetMode="External"/><Relationship Id="rId440" Type="http://schemas.openxmlformats.org/officeDocument/2006/relationships/hyperlink" Target="https://webagentes.canaldirecto.com.ar/liquidations/removeIncident/668599-1" TargetMode="External"/><Relationship Id="rId678" Type="http://schemas.openxmlformats.org/officeDocument/2006/relationships/hyperlink" Target="https://webagentes.canaldirecto.com.ar/incidents/view/674852-8" TargetMode="External"/><Relationship Id="rId885" Type="http://schemas.openxmlformats.org/officeDocument/2006/relationships/hyperlink" Target="https://webagentes.canaldirecto.com.ar/liquidations/removeIncident/684411-4" TargetMode="External"/><Relationship Id="rId1070" Type="http://schemas.openxmlformats.org/officeDocument/2006/relationships/hyperlink" Target="https://webagentes.canaldirecto.com.ar/incidents/view/691254-9" TargetMode="External"/><Relationship Id="rId2121" Type="http://schemas.openxmlformats.org/officeDocument/2006/relationships/hyperlink" Target="https://webagentes.canaldirecto.com.ar/incidents/view/746188-4" TargetMode="External"/><Relationship Id="rId2359" Type="http://schemas.openxmlformats.org/officeDocument/2006/relationships/hyperlink" Target="https://webagentes.canaldirecto.com.ar/incidents/view/756260-6" TargetMode="External"/><Relationship Id="rId2566" Type="http://schemas.openxmlformats.org/officeDocument/2006/relationships/hyperlink" Target="https://webagentes.canaldirecto.com.ar/incidents/view/761616-5" TargetMode="External"/><Relationship Id="rId2773" Type="http://schemas.openxmlformats.org/officeDocument/2006/relationships/hyperlink" Target="https://webagentes.canaldirecto.com.ar/incidents/view/776655-8" TargetMode="External"/><Relationship Id="rId2980" Type="http://schemas.openxmlformats.org/officeDocument/2006/relationships/hyperlink" Target="https://webagentes.canaldirecto.com.ar/incidents/view/779496-8" TargetMode="External"/><Relationship Id="rId3617" Type="http://schemas.openxmlformats.org/officeDocument/2006/relationships/hyperlink" Target="https://webagentes.canaldirecto.com.ar/incidents/view/799755-6" TargetMode="External"/><Relationship Id="rId3824" Type="http://schemas.openxmlformats.org/officeDocument/2006/relationships/hyperlink" Target="https://webagentes.canaldirecto.com.ar/incidents/view/808962-3" TargetMode="External"/><Relationship Id="rId300" Type="http://schemas.openxmlformats.org/officeDocument/2006/relationships/hyperlink" Target="https://webagentes.canaldirecto.com.ar/incidents/view/662514-8" TargetMode="External"/><Relationship Id="rId538" Type="http://schemas.openxmlformats.org/officeDocument/2006/relationships/hyperlink" Target="https://webagentes.canaldirecto.com.ar/liquidations/removeIncident/671935-9" TargetMode="External"/><Relationship Id="rId745" Type="http://schemas.openxmlformats.org/officeDocument/2006/relationships/hyperlink" Target="https://webagentes.canaldirecto.com.ar/incidents/view/678235-5" TargetMode="External"/><Relationship Id="rId952" Type="http://schemas.openxmlformats.org/officeDocument/2006/relationships/hyperlink" Target="https://webagentes.canaldirecto.com.ar/incidents/view/689110-3" TargetMode="External"/><Relationship Id="rId1168" Type="http://schemas.openxmlformats.org/officeDocument/2006/relationships/hyperlink" Target="https://webagentes.canaldirecto.com.ar/incidents/view/701285-5" TargetMode="External"/><Relationship Id="rId1375" Type="http://schemas.openxmlformats.org/officeDocument/2006/relationships/hyperlink" Target="https://webagentes.canaldirecto.com.ar/incidents/view/711680-5" TargetMode="External"/><Relationship Id="rId1582" Type="http://schemas.openxmlformats.org/officeDocument/2006/relationships/hyperlink" Target="https://webagentes.canaldirecto.com.ar/incidents/view/721921-8" TargetMode="External"/><Relationship Id="rId2219" Type="http://schemas.openxmlformats.org/officeDocument/2006/relationships/hyperlink" Target="https://webagentes.canaldirecto.com.ar/incidents/view/748502-4" TargetMode="External"/><Relationship Id="rId2426" Type="http://schemas.openxmlformats.org/officeDocument/2006/relationships/hyperlink" Target="https://webagentes.canaldirecto.com.ar/incidents/view/756997-3" TargetMode="External"/><Relationship Id="rId2633" Type="http://schemas.openxmlformats.org/officeDocument/2006/relationships/hyperlink" Target="https://webagentes.canaldirecto.com.ar/incidents/view/768124-8" TargetMode="External"/><Relationship Id="rId81" Type="http://schemas.openxmlformats.org/officeDocument/2006/relationships/hyperlink" Target="http://webagentes.canaldirecto.com.ar/liquidations/removeIncident/653804-6" TargetMode="External"/><Relationship Id="rId605" Type="http://schemas.openxmlformats.org/officeDocument/2006/relationships/hyperlink" Target="https://webagentes.canaldirecto.com.ar/incidents/view/669608-5" TargetMode="External"/><Relationship Id="rId812" Type="http://schemas.openxmlformats.org/officeDocument/2006/relationships/hyperlink" Target="https://webagentes.canaldirecto.com.ar/incidents/view/687069-6" TargetMode="External"/><Relationship Id="rId1028" Type="http://schemas.openxmlformats.org/officeDocument/2006/relationships/hyperlink" Target="https://webagentes.canaldirecto.com.ar/incidents/view/695160-9" TargetMode="External"/><Relationship Id="rId1235" Type="http://schemas.openxmlformats.org/officeDocument/2006/relationships/hyperlink" Target="https://webagentes.canaldirecto.com.ar/incidents/view/710186-7" TargetMode="External"/><Relationship Id="rId1442" Type="http://schemas.openxmlformats.org/officeDocument/2006/relationships/hyperlink" Target="https://webagentes.canaldirecto.com.ar/incidents/view/716511-1" TargetMode="External"/><Relationship Id="rId1887" Type="http://schemas.openxmlformats.org/officeDocument/2006/relationships/hyperlink" Target="https://webagentes.canaldirecto.com.ar/incidents/view/737479-1" TargetMode="External"/><Relationship Id="rId2840" Type="http://schemas.openxmlformats.org/officeDocument/2006/relationships/hyperlink" Target="https://webagentes.canaldirecto.com.ar/incidents/view/779410-8" TargetMode="External"/><Relationship Id="rId2938" Type="http://schemas.openxmlformats.org/officeDocument/2006/relationships/hyperlink" Target="https://webagentes.canaldirecto.com.ar/incidents/view/782228-9" TargetMode="External"/><Relationship Id="rId1302" Type="http://schemas.openxmlformats.org/officeDocument/2006/relationships/hyperlink" Target="https://webagentes.canaldirecto.com.ar/incidents/view/712867-9" TargetMode="External"/><Relationship Id="rId1747" Type="http://schemas.openxmlformats.org/officeDocument/2006/relationships/hyperlink" Target="https://webagentes.canaldirecto.com.ar/incidents/view/733109-7" TargetMode="External"/><Relationship Id="rId1954" Type="http://schemas.openxmlformats.org/officeDocument/2006/relationships/hyperlink" Target="https://webagentes.canaldirecto.com.ar/incidents/view/741089-9" TargetMode="External"/><Relationship Id="rId2700" Type="http://schemas.openxmlformats.org/officeDocument/2006/relationships/hyperlink" Target="https://webagentes.canaldirecto.com.ar/incidents/view/769775-3" TargetMode="External"/><Relationship Id="rId39" Type="http://schemas.openxmlformats.org/officeDocument/2006/relationships/hyperlink" Target="http://webagentes.canaldirecto.com.ar/incidents/view/650418-2" TargetMode="External"/><Relationship Id="rId1607" Type="http://schemas.openxmlformats.org/officeDocument/2006/relationships/hyperlink" Target="https://webagentes.canaldirecto.com.ar/incidents/view/720438-6" TargetMode="External"/><Relationship Id="rId1814" Type="http://schemas.openxmlformats.org/officeDocument/2006/relationships/hyperlink" Target="https://webagentes.canaldirecto.com.ar/incidents/view/735624-5" TargetMode="External"/><Relationship Id="rId3267" Type="http://schemas.openxmlformats.org/officeDocument/2006/relationships/hyperlink" Target="https://webagentes.canaldirecto.com.ar/incidents/view/791322-6" TargetMode="External"/><Relationship Id="rId188" Type="http://schemas.openxmlformats.org/officeDocument/2006/relationships/hyperlink" Target="http://webagentes.canaldirecto.com.ar/incidents/view/656426-3" TargetMode="External"/><Relationship Id="rId395" Type="http://schemas.openxmlformats.org/officeDocument/2006/relationships/hyperlink" Target="https://webagentes.canaldirecto.com.ar/incidents/view/669383-9" TargetMode="External"/><Relationship Id="rId2076" Type="http://schemas.openxmlformats.org/officeDocument/2006/relationships/hyperlink" Target="https://webagentes.canaldirecto.com.ar/incidents/view/741262-0" TargetMode="External"/><Relationship Id="rId3474" Type="http://schemas.openxmlformats.org/officeDocument/2006/relationships/hyperlink" Target="https://webagentes.canaldirecto.com.ar/incidents/view/796016-3" TargetMode="External"/><Relationship Id="rId3681" Type="http://schemas.openxmlformats.org/officeDocument/2006/relationships/hyperlink" Target="https://webagentes.canaldirecto.com.ar/incidents/view/802962-1" TargetMode="External"/><Relationship Id="rId3779" Type="http://schemas.openxmlformats.org/officeDocument/2006/relationships/hyperlink" Target="https://webagentes.canaldirecto.com.ar/incidents/view/804626-6" TargetMode="External"/><Relationship Id="rId2283" Type="http://schemas.openxmlformats.org/officeDocument/2006/relationships/hyperlink" Target="https://webagentes.canaldirecto.com.ar/incidents/view/750476-3" TargetMode="External"/><Relationship Id="rId2490" Type="http://schemas.openxmlformats.org/officeDocument/2006/relationships/hyperlink" Target="https://webagentes.canaldirecto.com.ar/incidents/view/758668-8" TargetMode="External"/><Relationship Id="rId2588" Type="http://schemas.openxmlformats.org/officeDocument/2006/relationships/hyperlink" Target="https://webagentes.canaldirecto.com.ar/incidents/view/760814-8" TargetMode="External"/><Relationship Id="rId3127" Type="http://schemas.openxmlformats.org/officeDocument/2006/relationships/hyperlink" Target="https://webagentes.canaldirecto.com.ar/incidents/view/788253-7" TargetMode="External"/><Relationship Id="rId3334" Type="http://schemas.openxmlformats.org/officeDocument/2006/relationships/hyperlink" Target="https://webagentes.canaldirecto.com.ar/incidents/view/793916-3" TargetMode="External"/><Relationship Id="rId3541" Type="http://schemas.openxmlformats.org/officeDocument/2006/relationships/hyperlink" Target="https://webagentes.canaldirecto.com.ar/liquidations/removeIncident/795572-7" TargetMode="External"/><Relationship Id="rId255" Type="http://schemas.openxmlformats.org/officeDocument/2006/relationships/hyperlink" Target="http://webagentes.canaldirecto.com.ar/incidents/view/659862-2" TargetMode="External"/><Relationship Id="rId462" Type="http://schemas.openxmlformats.org/officeDocument/2006/relationships/hyperlink" Target="https://webagentes.canaldirecto.com.ar/liquidations/removeIncident/667805-2" TargetMode="External"/><Relationship Id="rId1092" Type="http://schemas.openxmlformats.org/officeDocument/2006/relationships/hyperlink" Target="https://webagentes.canaldirecto.com.ar/incidents/view/701179-5" TargetMode="External"/><Relationship Id="rId1397" Type="http://schemas.openxmlformats.org/officeDocument/2006/relationships/hyperlink" Target="https://webagentes.canaldirecto.com.ar/incidents/view/709972-0" TargetMode="External"/><Relationship Id="rId2143" Type="http://schemas.openxmlformats.org/officeDocument/2006/relationships/hyperlink" Target="https://webagentes.canaldirecto.com.ar/incidents/view/745740-1" TargetMode="External"/><Relationship Id="rId2350" Type="http://schemas.openxmlformats.org/officeDocument/2006/relationships/hyperlink" Target="https://webagentes.canaldirecto.com.ar/incidents/view/751023-2" TargetMode="External"/><Relationship Id="rId2795" Type="http://schemas.openxmlformats.org/officeDocument/2006/relationships/hyperlink" Target="https://webagentes.canaldirecto.com.ar/incidents/view/774991-3" TargetMode="External"/><Relationship Id="rId3401" Type="http://schemas.openxmlformats.org/officeDocument/2006/relationships/hyperlink" Target="https://webagentes.canaldirecto.com.ar/liquidations/removeIncident/797549-3" TargetMode="External"/><Relationship Id="rId3639" Type="http://schemas.openxmlformats.org/officeDocument/2006/relationships/hyperlink" Target="https://webagentes.canaldirecto.com.ar/incidents/view/798787-8" TargetMode="External"/><Relationship Id="rId3846" Type="http://schemas.openxmlformats.org/officeDocument/2006/relationships/hyperlink" Target="https://webagentes.canaldirecto.com.ar/incidents/view/807611-5" TargetMode="External"/><Relationship Id="rId115" Type="http://schemas.openxmlformats.org/officeDocument/2006/relationships/hyperlink" Target="http://webagentes.canaldirecto.com.ar/liquidations/removeIncident/658012-8" TargetMode="External"/><Relationship Id="rId322" Type="http://schemas.openxmlformats.org/officeDocument/2006/relationships/hyperlink" Target="https://webagentes.canaldirecto.com.ar/incidents/view/661717-6" TargetMode="External"/><Relationship Id="rId767" Type="http://schemas.openxmlformats.org/officeDocument/2006/relationships/hyperlink" Target="https://webagentes.canaldirecto.com.ar/incidents/view/677718-6" TargetMode="External"/><Relationship Id="rId974" Type="http://schemas.openxmlformats.org/officeDocument/2006/relationships/hyperlink" Target="https://webagentes.canaldirecto.com.ar/incidents/view/687985-5" TargetMode="External"/><Relationship Id="rId2003" Type="http://schemas.openxmlformats.org/officeDocument/2006/relationships/hyperlink" Target="https://webagentes.canaldirecto.com.ar/incidents/view/744265-8" TargetMode="External"/><Relationship Id="rId2210" Type="http://schemas.openxmlformats.org/officeDocument/2006/relationships/hyperlink" Target="https://webagentes.canaldirecto.com.ar/incidents/view/748547-7" TargetMode="External"/><Relationship Id="rId2448" Type="http://schemas.openxmlformats.org/officeDocument/2006/relationships/hyperlink" Target="https://webagentes.canaldirecto.com.ar/incidents/view/760805-0" TargetMode="External"/><Relationship Id="rId2655" Type="http://schemas.openxmlformats.org/officeDocument/2006/relationships/hyperlink" Target="https://webagentes.canaldirecto.com.ar/incidents/view/767044-6" TargetMode="External"/><Relationship Id="rId2862" Type="http://schemas.openxmlformats.org/officeDocument/2006/relationships/hyperlink" Target="https://webagentes.canaldirecto.com.ar/incidents/view/779260-5" TargetMode="External"/><Relationship Id="rId3706" Type="http://schemas.openxmlformats.org/officeDocument/2006/relationships/hyperlink" Target="https://webagentes.canaldirecto.com.ar/incidents/view/801997-0" TargetMode="External"/><Relationship Id="rId627" Type="http://schemas.openxmlformats.org/officeDocument/2006/relationships/hyperlink" Target="https://webagentes.canaldirecto.com.ar/incidents/view/676920-2" TargetMode="External"/><Relationship Id="rId834" Type="http://schemas.openxmlformats.org/officeDocument/2006/relationships/hyperlink" Target="https://webagentes.canaldirecto.com.ar/incidents/view/686033-4" TargetMode="External"/><Relationship Id="rId1257" Type="http://schemas.openxmlformats.org/officeDocument/2006/relationships/hyperlink" Target="https://webagentes.canaldirecto.com.ar/incidents/view/709017-2" TargetMode="External"/><Relationship Id="rId1464" Type="http://schemas.openxmlformats.org/officeDocument/2006/relationships/hyperlink" Target="https://webagentes.canaldirecto.com.ar/incidents/view/716257-6" TargetMode="External"/><Relationship Id="rId1671" Type="http://schemas.openxmlformats.org/officeDocument/2006/relationships/hyperlink" Target="https://webagentes.canaldirecto.com.ar/incidents/view/727312-8" TargetMode="External"/><Relationship Id="rId2308" Type="http://schemas.openxmlformats.org/officeDocument/2006/relationships/hyperlink" Target="https://webagentes.canaldirecto.com.ar/incidents/view/749089-5" TargetMode="External"/><Relationship Id="rId2515" Type="http://schemas.openxmlformats.org/officeDocument/2006/relationships/hyperlink" Target="https://webagentes.canaldirecto.com.ar/liquidations/removeIncident/763432-9" TargetMode="External"/><Relationship Id="rId2722" Type="http://schemas.openxmlformats.org/officeDocument/2006/relationships/hyperlink" Target="https://webagentes.canaldirecto.com.ar/incidents/view/774414-9" TargetMode="External"/><Relationship Id="rId901" Type="http://schemas.openxmlformats.org/officeDocument/2006/relationships/hyperlink" Target="https://webagentes.canaldirecto.com.ar/liquidations/removeIncident/683696-6" TargetMode="External"/><Relationship Id="rId1117" Type="http://schemas.openxmlformats.org/officeDocument/2006/relationships/hyperlink" Target="https://webagentes.canaldirecto.com.ar/incidents/view/698426-3" TargetMode="External"/><Relationship Id="rId1324" Type="http://schemas.openxmlformats.org/officeDocument/2006/relationships/hyperlink" Target="https://webagentes.canaldirecto.com.ar/incidents/view/712488-6" TargetMode="External"/><Relationship Id="rId1531" Type="http://schemas.openxmlformats.org/officeDocument/2006/relationships/hyperlink" Target="https://webagentes.canaldirecto.com.ar/incidents/view/719771-2" TargetMode="External"/><Relationship Id="rId1769" Type="http://schemas.openxmlformats.org/officeDocument/2006/relationships/hyperlink" Target="https://webagentes.canaldirecto.com.ar/incidents/view/732788-1" TargetMode="External"/><Relationship Id="rId1976" Type="http://schemas.openxmlformats.org/officeDocument/2006/relationships/hyperlink" Target="https://webagentes.canaldirecto.com.ar/incidents/view/739122-0" TargetMode="External"/><Relationship Id="rId3191" Type="http://schemas.openxmlformats.org/officeDocument/2006/relationships/hyperlink" Target="https://webagentes.canaldirecto.com.ar/incidents/view/790774-8" TargetMode="External"/><Relationship Id="rId30" Type="http://schemas.openxmlformats.org/officeDocument/2006/relationships/hyperlink" Target="http://webagentes.canaldirecto.com.ar/incidents/view/651424-0" TargetMode="External"/><Relationship Id="rId1629" Type="http://schemas.openxmlformats.org/officeDocument/2006/relationships/hyperlink" Target="https://webagentes.canaldirecto.com.ar/incidents/view/723780-7" TargetMode="External"/><Relationship Id="rId1836" Type="http://schemas.openxmlformats.org/officeDocument/2006/relationships/hyperlink" Target="https://webagentes.canaldirecto.com.ar/incidents/view/734366-7" TargetMode="External"/><Relationship Id="rId3289" Type="http://schemas.openxmlformats.org/officeDocument/2006/relationships/hyperlink" Target="https://webagentes.canaldirecto.com.ar/incidents/view/789883-9" TargetMode="External"/><Relationship Id="rId3496" Type="http://schemas.openxmlformats.org/officeDocument/2006/relationships/hyperlink" Target="https://webagentes.canaldirecto.com.ar/incidents/view/795872-4" TargetMode="External"/><Relationship Id="rId1903" Type="http://schemas.openxmlformats.org/officeDocument/2006/relationships/hyperlink" Target="https://webagentes.canaldirecto.com.ar/incidents/view/736996-6" TargetMode="External"/><Relationship Id="rId2098" Type="http://schemas.openxmlformats.org/officeDocument/2006/relationships/hyperlink" Target="https://webagentes.canaldirecto.com.ar/incidents/view/746432-2" TargetMode="External"/><Relationship Id="rId3051" Type="http://schemas.openxmlformats.org/officeDocument/2006/relationships/hyperlink" Target="https://webagentes.canaldirecto.com.ar/incidents/view/787008-2" TargetMode="External"/><Relationship Id="rId3149" Type="http://schemas.openxmlformats.org/officeDocument/2006/relationships/hyperlink" Target="https://webagentes.canaldirecto.com.ar/incidents/view/791619-9" TargetMode="External"/><Relationship Id="rId3356" Type="http://schemas.openxmlformats.org/officeDocument/2006/relationships/hyperlink" Target="https://webagentes.canaldirecto.com.ar/incidents/view/792689-5" TargetMode="External"/><Relationship Id="rId3563" Type="http://schemas.openxmlformats.org/officeDocument/2006/relationships/hyperlink" Target="https://webagentes.canaldirecto.com.ar/liquidations/removeIncident/794889-7" TargetMode="External"/><Relationship Id="rId277" Type="http://schemas.openxmlformats.org/officeDocument/2006/relationships/hyperlink" Target="https://webagentes.canaldirecto.com.ar/incidents/view/663594-1" TargetMode="External"/><Relationship Id="rId484" Type="http://schemas.openxmlformats.org/officeDocument/2006/relationships/hyperlink" Target="https://webagentes.canaldirecto.com.ar/liquidations/removeIncident/673499-6" TargetMode="External"/><Relationship Id="rId2165" Type="http://schemas.openxmlformats.org/officeDocument/2006/relationships/hyperlink" Target="https://webagentes.canaldirecto.com.ar/incidents/view/744716-7" TargetMode="External"/><Relationship Id="rId3009" Type="http://schemas.openxmlformats.org/officeDocument/2006/relationships/hyperlink" Target="https://webagentes.canaldirecto.com.ar/incidents/view/783101-0" TargetMode="External"/><Relationship Id="rId3216" Type="http://schemas.openxmlformats.org/officeDocument/2006/relationships/hyperlink" Target="https://webagentes.canaldirecto.com.ar/incidents/view/789559-5" TargetMode="External"/><Relationship Id="rId3770" Type="http://schemas.openxmlformats.org/officeDocument/2006/relationships/hyperlink" Target="https://webagentes.canaldirecto.com.ar/incidents/view/805004-7" TargetMode="External"/><Relationship Id="rId137" Type="http://schemas.openxmlformats.org/officeDocument/2006/relationships/hyperlink" Target="http://webagentes.canaldirecto.com.ar/liquidations/removeIncident/657536-6" TargetMode="External"/><Relationship Id="rId344" Type="http://schemas.openxmlformats.org/officeDocument/2006/relationships/hyperlink" Target="https://webagentes.canaldirecto.com.ar/incidents/view/665348-8" TargetMode="External"/><Relationship Id="rId691" Type="http://schemas.openxmlformats.org/officeDocument/2006/relationships/hyperlink" Target="https://webagentes.canaldirecto.com.ar/incidents/view/674200-1" TargetMode="External"/><Relationship Id="rId789" Type="http://schemas.openxmlformats.org/officeDocument/2006/relationships/hyperlink" Target="https://webagentes.canaldirecto.com.ar/incidents/view/682906-3" TargetMode="External"/><Relationship Id="rId996" Type="http://schemas.openxmlformats.org/officeDocument/2006/relationships/hyperlink" Target="https://webagentes.canaldirecto.com.ar/incidents/view/691513-9" TargetMode="External"/><Relationship Id="rId2025" Type="http://schemas.openxmlformats.org/officeDocument/2006/relationships/hyperlink" Target="https://webagentes.canaldirecto.com.ar/incidents/view/743989-4" TargetMode="External"/><Relationship Id="rId2372" Type="http://schemas.openxmlformats.org/officeDocument/2006/relationships/hyperlink" Target="https://webagentes.canaldirecto.com.ar/incidents/view/755500-4" TargetMode="External"/><Relationship Id="rId2677" Type="http://schemas.openxmlformats.org/officeDocument/2006/relationships/hyperlink" Target="https://webagentes.canaldirecto.com.ar/incidents/view/770743-0" TargetMode="External"/><Relationship Id="rId2884" Type="http://schemas.openxmlformats.org/officeDocument/2006/relationships/hyperlink" Target="https://webagentes.canaldirecto.com.ar/incidents/view/778121-0" TargetMode="External"/><Relationship Id="rId3423" Type="http://schemas.openxmlformats.org/officeDocument/2006/relationships/hyperlink" Target="https://webagentes.canaldirecto.com.ar/liquidations/removeIncident/797412-0" TargetMode="External"/><Relationship Id="rId3630" Type="http://schemas.openxmlformats.org/officeDocument/2006/relationships/hyperlink" Target="https://webagentes.canaldirecto.com.ar/incidents/view/799263-0" TargetMode="External"/><Relationship Id="rId3728" Type="http://schemas.openxmlformats.org/officeDocument/2006/relationships/hyperlink" Target="https://webagentes.canaldirecto.com.ar/incidents/view/800791-1" TargetMode="External"/><Relationship Id="rId551" Type="http://schemas.openxmlformats.org/officeDocument/2006/relationships/hyperlink" Target="https://webagentes.canaldirecto.com.ar/incidents/view/670924-6" TargetMode="External"/><Relationship Id="rId649" Type="http://schemas.openxmlformats.org/officeDocument/2006/relationships/hyperlink" Target="https://webagentes.canaldirecto.com.ar/incidents/view/675620-8" TargetMode="External"/><Relationship Id="rId856" Type="http://schemas.openxmlformats.org/officeDocument/2006/relationships/hyperlink" Target="https://webagentes.canaldirecto.com.ar/incidents/view/685603-0" TargetMode="External"/><Relationship Id="rId1181" Type="http://schemas.openxmlformats.org/officeDocument/2006/relationships/hyperlink" Target="https://webagentes.canaldirecto.com.ar/incidents/view/706087-0" TargetMode="External"/><Relationship Id="rId1279" Type="http://schemas.openxmlformats.org/officeDocument/2006/relationships/hyperlink" Target="https://webagentes.canaldirecto.com.ar/incidents/view/706864-1" TargetMode="External"/><Relationship Id="rId1486" Type="http://schemas.openxmlformats.org/officeDocument/2006/relationships/hyperlink" Target="https://webagentes.canaldirecto.com.ar/incidents/view/714538-4" TargetMode="External"/><Relationship Id="rId2232" Type="http://schemas.openxmlformats.org/officeDocument/2006/relationships/hyperlink" Target="https://webagentes.canaldirecto.com.ar/incidents/view/747840-4" TargetMode="External"/><Relationship Id="rId2537" Type="http://schemas.openxmlformats.org/officeDocument/2006/relationships/hyperlink" Target="https://webagentes.canaldirecto.com.ar/liquidations/removeIncident/762493-3" TargetMode="External"/><Relationship Id="rId204" Type="http://schemas.openxmlformats.org/officeDocument/2006/relationships/hyperlink" Target="http://webagentes.canaldirecto.com.ar/incidents/view/655632-5" TargetMode="External"/><Relationship Id="rId411" Type="http://schemas.openxmlformats.org/officeDocument/2006/relationships/hyperlink" Target="https://webagentes.canaldirecto.com.ar/incidents/view/669269-0" TargetMode="External"/><Relationship Id="rId509" Type="http://schemas.openxmlformats.org/officeDocument/2006/relationships/hyperlink" Target="https://webagentes.canaldirecto.com.ar/incidents/view/672642-9" TargetMode="External"/><Relationship Id="rId1041" Type="http://schemas.openxmlformats.org/officeDocument/2006/relationships/hyperlink" Target="https://webagentes.canaldirecto.com.ar/incidents/view/694659-1" TargetMode="External"/><Relationship Id="rId1139" Type="http://schemas.openxmlformats.org/officeDocument/2006/relationships/hyperlink" Target="https://webagentes.canaldirecto.com.ar/incidents/view/703349-6" TargetMode="External"/><Relationship Id="rId1346" Type="http://schemas.openxmlformats.org/officeDocument/2006/relationships/hyperlink" Target="https://webagentes.canaldirecto.com.ar/incidents/view/712046-4" TargetMode="External"/><Relationship Id="rId1693" Type="http://schemas.openxmlformats.org/officeDocument/2006/relationships/hyperlink" Target="https://webagentes.canaldirecto.com.ar/incidents/view/730685-1" TargetMode="External"/><Relationship Id="rId1998" Type="http://schemas.openxmlformats.org/officeDocument/2006/relationships/hyperlink" Target="https://webagentes.canaldirecto.com.ar/incidents/view/744271-9" TargetMode="External"/><Relationship Id="rId2744" Type="http://schemas.openxmlformats.org/officeDocument/2006/relationships/hyperlink" Target="https://webagentes.canaldirecto.com.ar/incidents/view/772782-3" TargetMode="External"/><Relationship Id="rId2951" Type="http://schemas.openxmlformats.org/officeDocument/2006/relationships/hyperlink" Target="https://webagentes.canaldirecto.com.ar/incidents/view/781728-7" TargetMode="External"/><Relationship Id="rId716" Type="http://schemas.openxmlformats.org/officeDocument/2006/relationships/hyperlink" Target="https://webagentes.canaldirecto.com.ar/incidents/view/664510-6" TargetMode="External"/><Relationship Id="rId923" Type="http://schemas.openxmlformats.org/officeDocument/2006/relationships/hyperlink" Target="https://webagentes.canaldirecto.com.ar/incidents/view/690270-0" TargetMode="External"/><Relationship Id="rId1553" Type="http://schemas.openxmlformats.org/officeDocument/2006/relationships/hyperlink" Target="https://webagentes.canaldirecto.com.ar/incidents/view/718129-8" TargetMode="External"/><Relationship Id="rId1760" Type="http://schemas.openxmlformats.org/officeDocument/2006/relationships/hyperlink" Target="https://webagentes.canaldirecto.com.ar/incidents/view/732798-8" TargetMode="External"/><Relationship Id="rId1858" Type="http://schemas.openxmlformats.org/officeDocument/2006/relationships/hyperlink" Target="https://webagentes.canaldirecto.com.ar/liquidations/removeIncident/738544-1" TargetMode="External"/><Relationship Id="rId2604" Type="http://schemas.openxmlformats.org/officeDocument/2006/relationships/hyperlink" Target="https://webagentes.canaldirecto.com.ar/incidents/view/765996-6" TargetMode="External"/><Relationship Id="rId2811" Type="http://schemas.openxmlformats.org/officeDocument/2006/relationships/hyperlink" Target="https://webagentes.canaldirecto.com.ar/incidents/view/780239-1" TargetMode="External"/><Relationship Id="rId52" Type="http://schemas.openxmlformats.org/officeDocument/2006/relationships/hyperlink" Target="http://webagentes.canaldirecto.com.ar/incidents/view/655143-6" TargetMode="External"/><Relationship Id="rId1206" Type="http://schemas.openxmlformats.org/officeDocument/2006/relationships/hyperlink" Target="https://webagentes.canaldirecto.com.ar/incidents/view/704965-5" TargetMode="External"/><Relationship Id="rId1413" Type="http://schemas.openxmlformats.org/officeDocument/2006/relationships/hyperlink" Target="https://webagentes.canaldirecto.com.ar/incidents/view/717055-7" TargetMode="External"/><Relationship Id="rId1620" Type="http://schemas.openxmlformats.org/officeDocument/2006/relationships/hyperlink" Target="https://webagentes.canaldirecto.com.ar/incidents/view/725130-2" TargetMode="External"/><Relationship Id="rId2909" Type="http://schemas.openxmlformats.org/officeDocument/2006/relationships/hyperlink" Target="https://webagentes.canaldirecto.com.ar/incidents/view/782745-1" TargetMode="External"/><Relationship Id="rId3073" Type="http://schemas.openxmlformats.org/officeDocument/2006/relationships/hyperlink" Target="https://webagentes.canaldirecto.com.ar/incidents/view/785918-6" TargetMode="External"/><Relationship Id="rId3280" Type="http://schemas.openxmlformats.org/officeDocument/2006/relationships/hyperlink" Target="https://webagentes.canaldirecto.com.ar/incidents/view/789947-6" TargetMode="External"/><Relationship Id="rId1718" Type="http://schemas.openxmlformats.org/officeDocument/2006/relationships/hyperlink" Target="https://webagentes.canaldirecto.com.ar/incidents/view/730161-6" TargetMode="External"/><Relationship Id="rId1925" Type="http://schemas.openxmlformats.org/officeDocument/2006/relationships/hyperlink" Target="https://webagentes.canaldirecto.com.ar/liquidations/removeIncident/736260-8" TargetMode="External"/><Relationship Id="rId3140" Type="http://schemas.openxmlformats.org/officeDocument/2006/relationships/hyperlink" Target="https://webagentes.canaldirecto.com.ar/incidents/view/787192-0" TargetMode="External"/><Relationship Id="rId3378" Type="http://schemas.openxmlformats.org/officeDocument/2006/relationships/hyperlink" Target="https://webagentes.canaldirecto.com.ar/incidents/view/792445-3" TargetMode="External"/><Relationship Id="rId3585" Type="http://schemas.openxmlformats.org/officeDocument/2006/relationships/hyperlink" Target="https://webagentes.canaldirecto.com.ar/incidents/view/800131-5" TargetMode="External"/><Relationship Id="rId3792" Type="http://schemas.openxmlformats.org/officeDocument/2006/relationships/hyperlink" Target="https://webagentes.canaldirecto.com.ar/incidents/view/803852-2" TargetMode="External"/><Relationship Id="rId299" Type="http://schemas.openxmlformats.org/officeDocument/2006/relationships/hyperlink" Target="https://webagentes.canaldirecto.com.ar/incidents/view/662562-5" TargetMode="External"/><Relationship Id="rId2187" Type="http://schemas.openxmlformats.org/officeDocument/2006/relationships/hyperlink" Target="https://webagentes.canaldirecto.com.ar/incidents/view/749193-7" TargetMode="External"/><Relationship Id="rId2394" Type="http://schemas.openxmlformats.org/officeDocument/2006/relationships/hyperlink" Target="https://webagentes.canaldirecto.com.ar/incidents/view/754739-7" TargetMode="External"/><Relationship Id="rId3238" Type="http://schemas.openxmlformats.org/officeDocument/2006/relationships/hyperlink" Target="https://webagentes.canaldirecto.com.ar/incidents/view/784235-3" TargetMode="External"/><Relationship Id="rId3445" Type="http://schemas.openxmlformats.org/officeDocument/2006/relationships/hyperlink" Target="https://webagentes.canaldirecto.com.ar/liquidations/removeIncident/796576-0" TargetMode="External"/><Relationship Id="rId3652" Type="http://schemas.openxmlformats.org/officeDocument/2006/relationships/hyperlink" Target="https://webagentes.canaldirecto.com.ar/incidents/view/798300-3" TargetMode="External"/><Relationship Id="rId159" Type="http://schemas.openxmlformats.org/officeDocument/2006/relationships/hyperlink" Target="http://webagentes.canaldirecto.com.ar/liquidations/removeIncident/656982-4" TargetMode="External"/><Relationship Id="rId366" Type="http://schemas.openxmlformats.org/officeDocument/2006/relationships/hyperlink" Target="https://webagentes.canaldirecto.com.ar/liquidations/removeIncident/670043-0" TargetMode="External"/><Relationship Id="rId573" Type="http://schemas.openxmlformats.org/officeDocument/2006/relationships/hyperlink" Target="https://webagentes.canaldirecto.com.ar/incidents/view/670373-8" TargetMode="External"/><Relationship Id="rId780" Type="http://schemas.openxmlformats.org/officeDocument/2006/relationships/hyperlink" Target="https://webagentes.canaldirecto.com.ar/incidents/view/684096-9" TargetMode="External"/><Relationship Id="rId2047" Type="http://schemas.openxmlformats.org/officeDocument/2006/relationships/hyperlink" Target="https://webagentes.canaldirecto.com.ar/incidents/view/743481-7" TargetMode="External"/><Relationship Id="rId2254" Type="http://schemas.openxmlformats.org/officeDocument/2006/relationships/hyperlink" Target="https://webagentes.canaldirecto.com.ar/incidents/view/751586-6" TargetMode="External"/><Relationship Id="rId2461" Type="http://schemas.openxmlformats.org/officeDocument/2006/relationships/hyperlink" Target="https://webagentes.canaldirecto.com.ar/incidents/view/760789-3" TargetMode="External"/><Relationship Id="rId2699" Type="http://schemas.openxmlformats.org/officeDocument/2006/relationships/hyperlink" Target="https://webagentes.canaldirecto.com.ar/incidents/view/769864-6" TargetMode="External"/><Relationship Id="rId3000" Type="http://schemas.openxmlformats.org/officeDocument/2006/relationships/hyperlink" Target="https://webagentes.canaldirecto.com.ar/incidents/view/784090-2" TargetMode="External"/><Relationship Id="rId3305" Type="http://schemas.openxmlformats.org/officeDocument/2006/relationships/hyperlink" Target="https://webagentes.canaldirecto.com.ar/incidents/view/794410-1" TargetMode="External"/><Relationship Id="rId3512" Type="http://schemas.openxmlformats.org/officeDocument/2006/relationships/hyperlink" Target="https://webagentes.canaldirecto.com.ar/incidents/view/795589-7" TargetMode="External"/><Relationship Id="rId226" Type="http://schemas.openxmlformats.org/officeDocument/2006/relationships/hyperlink" Target="http://webagentes.canaldirecto.com.ar/incidents/view/655149-0" TargetMode="External"/><Relationship Id="rId433" Type="http://schemas.openxmlformats.org/officeDocument/2006/relationships/hyperlink" Target="https://webagentes.canaldirecto.com.ar/incidents/view/668768-9" TargetMode="External"/><Relationship Id="rId878" Type="http://schemas.openxmlformats.org/officeDocument/2006/relationships/hyperlink" Target="https://webagentes.canaldirecto.com.ar/incidents/view/684414-1" TargetMode="External"/><Relationship Id="rId1063" Type="http://schemas.openxmlformats.org/officeDocument/2006/relationships/hyperlink" Target="https://webagentes.canaldirecto.com.ar/incidents/view/691265-5" TargetMode="External"/><Relationship Id="rId1270" Type="http://schemas.openxmlformats.org/officeDocument/2006/relationships/hyperlink" Target="https://webagentes.canaldirecto.com.ar/incidents/view/708277-5" TargetMode="External"/><Relationship Id="rId2114" Type="http://schemas.openxmlformats.org/officeDocument/2006/relationships/hyperlink" Target="https://webagentes.canaldirecto.com.ar/incidents/view/746254-6" TargetMode="External"/><Relationship Id="rId2559" Type="http://schemas.openxmlformats.org/officeDocument/2006/relationships/hyperlink" Target="https://webagentes.canaldirecto.com.ar/liquidations/removeIncident/762100-6" TargetMode="External"/><Relationship Id="rId2766" Type="http://schemas.openxmlformats.org/officeDocument/2006/relationships/hyperlink" Target="https://webagentes.canaldirecto.com.ar/incidents/view/732179-9" TargetMode="External"/><Relationship Id="rId2973" Type="http://schemas.openxmlformats.org/officeDocument/2006/relationships/hyperlink" Target="https://webagentes.canaldirecto.com.ar/incidents/view/780347-9" TargetMode="External"/><Relationship Id="rId3817" Type="http://schemas.openxmlformats.org/officeDocument/2006/relationships/hyperlink" Target="https://webagentes.canaldirecto.com.ar/incidents/view/809378-7" TargetMode="External"/><Relationship Id="rId640" Type="http://schemas.openxmlformats.org/officeDocument/2006/relationships/hyperlink" Target="https://webagentes.canaldirecto.com.ar/incidents/view/676198-1" TargetMode="External"/><Relationship Id="rId738" Type="http://schemas.openxmlformats.org/officeDocument/2006/relationships/hyperlink" Target="https://webagentes.canaldirecto.com.ar/incidents/view/678342-4" TargetMode="External"/><Relationship Id="rId945" Type="http://schemas.openxmlformats.org/officeDocument/2006/relationships/hyperlink" Target="https://webagentes.canaldirecto.com.ar/incidents/view/689374-9" TargetMode="External"/><Relationship Id="rId1368" Type="http://schemas.openxmlformats.org/officeDocument/2006/relationships/hyperlink" Target="https://webagentes.canaldirecto.com.ar/incidents/view/711968-0" TargetMode="External"/><Relationship Id="rId1575" Type="http://schemas.openxmlformats.org/officeDocument/2006/relationships/hyperlink" Target="https://webagentes.canaldirecto.com.ar/incidents/view/722410-4" TargetMode="External"/><Relationship Id="rId1782" Type="http://schemas.openxmlformats.org/officeDocument/2006/relationships/hyperlink" Target="https://webagentes.canaldirecto.com.ar/incidents/view/731662-7" TargetMode="External"/><Relationship Id="rId2321" Type="http://schemas.openxmlformats.org/officeDocument/2006/relationships/hyperlink" Target="https://webagentes.canaldirecto.com.ar/incidents/view/753640-7" TargetMode="External"/><Relationship Id="rId2419" Type="http://schemas.openxmlformats.org/officeDocument/2006/relationships/hyperlink" Target="https://webagentes.canaldirecto.com.ar/incidents/view/757735-2" TargetMode="External"/><Relationship Id="rId2626" Type="http://schemas.openxmlformats.org/officeDocument/2006/relationships/hyperlink" Target="https://webagentes.canaldirecto.com.ar/incidents/view/763642-4" TargetMode="External"/><Relationship Id="rId2833" Type="http://schemas.openxmlformats.org/officeDocument/2006/relationships/hyperlink" Target="https://webagentes.canaldirecto.com.ar/incidents/view/779740-6" TargetMode="External"/><Relationship Id="rId74" Type="http://schemas.openxmlformats.org/officeDocument/2006/relationships/hyperlink" Target="http://webagentes.canaldirecto.com.ar/incidents/view/653861-1" TargetMode="External"/><Relationship Id="rId500" Type="http://schemas.openxmlformats.org/officeDocument/2006/relationships/hyperlink" Target="https://webagentes.canaldirecto.com.ar/liquidations/removeIncident/672852-4" TargetMode="External"/><Relationship Id="rId805" Type="http://schemas.openxmlformats.org/officeDocument/2006/relationships/hyperlink" Target="https://webagentes.canaldirecto.com.ar/incidents/view/679195-5" TargetMode="External"/><Relationship Id="rId1130" Type="http://schemas.openxmlformats.org/officeDocument/2006/relationships/hyperlink" Target="https://webagentes.canaldirecto.com.ar/incidents/view/692251-9" TargetMode="External"/><Relationship Id="rId1228" Type="http://schemas.openxmlformats.org/officeDocument/2006/relationships/hyperlink" Target="https://webagentes.canaldirecto.com.ar/incidents/view/711261-4" TargetMode="External"/><Relationship Id="rId1435" Type="http://schemas.openxmlformats.org/officeDocument/2006/relationships/hyperlink" Target="https://webagentes.canaldirecto.com.ar/incidents/view/716640-2" TargetMode="External"/><Relationship Id="rId1642" Type="http://schemas.openxmlformats.org/officeDocument/2006/relationships/hyperlink" Target="https://webagentes.canaldirecto.com.ar/incidents/view/720132-5" TargetMode="External"/><Relationship Id="rId1947" Type="http://schemas.openxmlformats.org/officeDocument/2006/relationships/hyperlink" Target="https://webagentes.canaldirecto.com.ar/incidents/view/741188-9" TargetMode="External"/><Relationship Id="rId2900" Type="http://schemas.openxmlformats.org/officeDocument/2006/relationships/hyperlink" Target="https://webagentes.canaldirecto.com.ar/incidents/view/776894-5" TargetMode="External"/><Relationship Id="rId3095" Type="http://schemas.openxmlformats.org/officeDocument/2006/relationships/hyperlink" Target="https://webagentes.canaldirecto.com.ar/incidents/view/789128-9" TargetMode="External"/><Relationship Id="rId1502" Type="http://schemas.openxmlformats.org/officeDocument/2006/relationships/hyperlink" Target="https://webagentes.canaldirecto.com.ar/incidents/view/720637-5" TargetMode="External"/><Relationship Id="rId1807" Type="http://schemas.openxmlformats.org/officeDocument/2006/relationships/hyperlink" Target="https://webagentes.canaldirecto.com.ar/incidents/view/736245-9" TargetMode="External"/><Relationship Id="rId3162" Type="http://schemas.openxmlformats.org/officeDocument/2006/relationships/hyperlink" Target="https://webagentes.canaldirecto.com.ar/incidents/view/791286-5" TargetMode="External"/><Relationship Id="rId290" Type="http://schemas.openxmlformats.org/officeDocument/2006/relationships/hyperlink" Target="https://webagentes.canaldirecto.com.ar/incidents/view/662709-4" TargetMode="External"/><Relationship Id="rId388" Type="http://schemas.openxmlformats.org/officeDocument/2006/relationships/hyperlink" Target="https://webagentes.canaldirecto.com.ar/liquidations/removeIncident/669387-5" TargetMode="External"/><Relationship Id="rId2069" Type="http://schemas.openxmlformats.org/officeDocument/2006/relationships/hyperlink" Target="https://webagentes.canaldirecto.com.ar/incidents/view/742366-2" TargetMode="External"/><Relationship Id="rId3022" Type="http://schemas.openxmlformats.org/officeDocument/2006/relationships/hyperlink" Target="https://webagentes.canaldirecto.com.ar/incidents/view/783080-8" TargetMode="External"/><Relationship Id="rId3467" Type="http://schemas.openxmlformats.org/officeDocument/2006/relationships/hyperlink" Target="https://webagentes.canaldirecto.com.ar/liquidations/removeIncident/796059-8" TargetMode="External"/><Relationship Id="rId3674" Type="http://schemas.openxmlformats.org/officeDocument/2006/relationships/hyperlink" Target="https://webagentes.canaldirecto.com.ar/incidents/view/803261-6" TargetMode="External"/><Relationship Id="rId150" Type="http://schemas.openxmlformats.org/officeDocument/2006/relationships/hyperlink" Target="http://webagentes.canaldirecto.com.ar/incidents/view/657153-7" TargetMode="External"/><Relationship Id="rId595" Type="http://schemas.openxmlformats.org/officeDocument/2006/relationships/hyperlink" Target="https://webagentes.canaldirecto.com.ar/incidents/view/669764-0" TargetMode="External"/><Relationship Id="rId2276" Type="http://schemas.openxmlformats.org/officeDocument/2006/relationships/hyperlink" Target="https://webagentes.canaldirecto.com.ar/incidents/view/750982-9" TargetMode="External"/><Relationship Id="rId2483" Type="http://schemas.openxmlformats.org/officeDocument/2006/relationships/hyperlink" Target="https://webagentes.canaldirecto.com.ar/incidents/view/759546-4" TargetMode="External"/><Relationship Id="rId2690" Type="http://schemas.openxmlformats.org/officeDocument/2006/relationships/hyperlink" Target="https://webagentes.canaldirecto.com.ar/incidents/view/770232-9" TargetMode="External"/><Relationship Id="rId3327" Type="http://schemas.openxmlformats.org/officeDocument/2006/relationships/hyperlink" Target="https://webagentes.canaldirecto.com.ar/incidents/view/794227-3" TargetMode="External"/><Relationship Id="rId3534" Type="http://schemas.openxmlformats.org/officeDocument/2006/relationships/hyperlink" Target="https://webagentes.canaldirecto.com.ar/incidents/view/795577-2" TargetMode="External"/><Relationship Id="rId3741" Type="http://schemas.openxmlformats.org/officeDocument/2006/relationships/hyperlink" Target="https://webagentes.canaldirecto.com.ar/incidents/view/796557-5" TargetMode="External"/><Relationship Id="rId248" Type="http://schemas.openxmlformats.org/officeDocument/2006/relationships/hyperlink" Target="http://webagentes.canaldirecto.com.ar/incidents/view/660786-9" TargetMode="External"/><Relationship Id="rId455" Type="http://schemas.openxmlformats.org/officeDocument/2006/relationships/hyperlink" Target="https://webagentes.canaldirecto.com.ar/incidents/view/668127-8" TargetMode="External"/><Relationship Id="rId662" Type="http://schemas.openxmlformats.org/officeDocument/2006/relationships/hyperlink" Target="https://webagentes.canaldirecto.com.ar/incidents/view/675346-9" TargetMode="External"/><Relationship Id="rId1085" Type="http://schemas.openxmlformats.org/officeDocument/2006/relationships/hyperlink" Target="https://webagentes.canaldirecto.com.ar/incidents/view/695927-6" TargetMode="External"/><Relationship Id="rId1292" Type="http://schemas.openxmlformats.org/officeDocument/2006/relationships/hyperlink" Target="https://webagentes.canaldirecto.com.ar/incidents/view/704666-7" TargetMode="External"/><Relationship Id="rId2136" Type="http://schemas.openxmlformats.org/officeDocument/2006/relationships/hyperlink" Target="https://webagentes.canaldirecto.com.ar/incidents/view/745748-3" TargetMode="External"/><Relationship Id="rId2343" Type="http://schemas.openxmlformats.org/officeDocument/2006/relationships/hyperlink" Target="https://webagentes.canaldirecto.com.ar/incidents/view/752723-2" TargetMode="External"/><Relationship Id="rId2550" Type="http://schemas.openxmlformats.org/officeDocument/2006/relationships/hyperlink" Target="https://webagentes.canaldirecto.com.ar/incidents/view/762252-8" TargetMode="External"/><Relationship Id="rId2788" Type="http://schemas.openxmlformats.org/officeDocument/2006/relationships/hyperlink" Target="https://webagentes.canaldirecto.com.ar/incidents/view/775815-1" TargetMode="External"/><Relationship Id="rId2995" Type="http://schemas.openxmlformats.org/officeDocument/2006/relationships/hyperlink" Target="https://webagentes.canaldirecto.com.ar/incidents/view/784397-2" TargetMode="External"/><Relationship Id="rId3601" Type="http://schemas.openxmlformats.org/officeDocument/2006/relationships/hyperlink" Target="https://webagentes.canaldirecto.com.ar/incidents/view/799971-2" TargetMode="External"/><Relationship Id="rId3839" Type="http://schemas.openxmlformats.org/officeDocument/2006/relationships/hyperlink" Target="https://webagentes.canaldirecto.com.ar/incidents/view/807937-0" TargetMode="External"/><Relationship Id="rId108" Type="http://schemas.openxmlformats.org/officeDocument/2006/relationships/hyperlink" Target="http://webagentes.canaldirecto.com.ar/incidents/view/639091-4" TargetMode="External"/><Relationship Id="rId315" Type="http://schemas.openxmlformats.org/officeDocument/2006/relationships/hyperlink" Target="https://webagentes.canaldirecto.com.ar/incidents/view/662250-3" TargetMode="External"/><Relationship Id="rId522" Type="http://schemas.openxmlformats.org/officeDocument/2006/relationships/hyperlink" Target="https://webagentes.canaldirecto.com.ar/liquidations/removeIncident/672485-6" TargetMode="External"/><Relationship Id="rId967" Type="http://schemas.openxmlformats.org/officeDocument/2006/relationships/hyperlink" Target="https://webagentes.canaldirecto.com.ar/incidents/view/688076-3" TargetMode="External"/><Relationship Id="rId1152" Type="http://schemas.openxmlformats.org/officeDocument/2006/relationships/hyperlink" Target="https://webagentes.canaldirecto.com.ar/incidents/view/702437-3" TargetMode="External"/><Relationship Id="rId1597" Type="http://schemas.openxmlformats.org/officeDocument/2006/relationships/hyperlink" Target="https://webagentes.canaldirecto.com.ar/incidents/view/721740-5" TargetMode="External"/><Relationship Id="rId2203" Type="http://schemas.openxmlformats.org/officeDocument/2006/relationships/hyperlink" Target="https://webagentes.canaldirecto.com.ar/incidents/view/748625-4" TargetMode="External"/><Relationship Id="rId2410" Type="http://schemas.openxmlformats.org/officeDocument/2006/relationships/hyperlink" Target="https://webagentes.canaldirecto.com.ar/incidents/view/759063-6" TargetMode="External"/><Relationship Id="rId2648" Type="http://schemas.openxmlformats.org/officeDocument/2006/relationships/hyperlink" Target="https://webagentes.canaldirecto.com.ar/incidents/view/767299-4" TargetMode="External"/><Relationship Id="rId2855" Type="http://schemas.openxmlformats.org/officeDocument/2006/relationships/hyperlink" Target="https://webagentes.canaldirecto.com.ar/incidents/view/779270-2" TargetMode="External"/><Relationship Id="rId96" Type="http://schemas.openxmlformats.org/officeDocument/2006/relationships/hyperlink" Target="http://webagentes.canaldirecto.com.ar/incidents/view/653340-3" TargetMode="External"/><Relationship Id="rId827" Type="http://schemas.openxmlformats.org/officeDocument/2006/relationships/hyperlink" Target="https://webagentes.canaldirecto.com.ar/liquidations/removeIncident/686295-2" TargetMode="External"/><Relationship Id="rId1012" Type="http://schemas.openxmlformats.org/officeDocument/2006/relationships/hyperlink" Target="https://webagentes.canaldirecto.com.ar/incidents/view/690400-9" TargetMode="External"/><Relationship Id="rId1457" Type="http://schemas.openxmlformats.org/officeDocument/2006/relationships/hyperlink" Target="https://webagentes.canaldirecto.com.ar/incidents/view/716421-9" TargetMode="External"/><Relationship Id="rId1664" Type="http://schemas.openxmlformats.org/officeDocument/2006/relationships/hyperlink" Target="https://webagentes.canaldirecto.com.ar/incidents/view/727679-0" TargetMode="External"/><Relationship Id="rId1871" Type="http://schemas.openxmlformats.org/officeDocument/2006/relationships/hyperlink" Target="https://webagentes.canaldirecto.com.ar/incidents/view/737821-0" TargetMode="External"/><Relationship Id="rId2508" Type="http://schemas.openxmlformats.org/officeDocument/2006/relationships/hyperlink" Target="https://webagentes.canaldirecto.com.ar/incidents/view/763518-8" TargetMode="External"/><Relationship Id="rId2715" Type="http://schemas.openxmlformats.org/officeDocument/2006/relationships/hyperlink" Target="https://webagentes.canaldirecto.com.ar/incidents/view/768813-5" TargetMode="External"/><Relationship Id="rId2922" Type="http://schemas.openxmlformats.org/officeDocument/2006/relationships/hyperlink" Target="https://webagentes.canaldirecto.com.ar/incidents/view/782729-3" TargetMode="External"/><Relationship Id="rId1317" Type="http://schemas.openxmlformats.org/officeDocument/2006/relationships/hyperlink" Target="https://webagentes.canaldirecto.com.ar/incidents/view/712498-3" TargetMode="External"/><Relationship Id="rId1524" Type="http://schemas.openxmlformats.org/officeDocument/2006/relationships/hyperlink" Target="https://webagentes.canaldirecto.com.ar/incidents/view/720018-6" TargetMode="External"/><Relationship Id="rId1731" Type="http://schemas.openxmlformats.org/officeDocument/2006/relationships/hyperlink" Target="https://webagentes.canaldirecto.com.ar/incidents/view/728721-9" TargetMode="External"/><Relationship Id="rId1969" Type="http://schemas.openxmlformats.org/officeDocument/2006/relationships/hyperlink" Target="https://webagentes.canaldirecto.com.ar/incidents/view/739779-2" TargetMode="External"/><Relationship Id="rId3184" Type="http://schemas.openxmlformats.org/officeDocument/2006/relationships/hyperlink" Target="https://webagentes.canaldirecto.com.ar/incidents/view/790884-4" TargetMode="External"/><Relationship Id="rId23" Type="http://schemas.openxmlformats.org/officeDocument/2006/relationships/hyperlink" Target="http://webagentes.canaldirecto.com.ar/incidents/view/651985-6" TargetMode="External"/><Relationship Id="rId1829" Type="http://schemas.openxmlformats.org/officeDocument/2006/relationships/hyperlink" Target="https://webagentes.canaldirecto.com.ar/incidents/view/734974-0" TargetMode="External"/><Relationship Id="rId3391" Type="http://schemas.openxmlformats.org/officeDocument/2006/relationships/hyperlink" Target="https://webagentes.canaldirecto.com.ar/incidents/view/791287-4" TargetMode="External"/><Relationship Id="rId3489" Type="http://schemas.openxmlformats.org/officeDocument/2006/relationships/hyperlink" Target="https://webagentes.canaldirecto.com.ar/liquidations/removeIncident/795877-9" TargetMode="External"/><Relationship Id="rId3696" Type="http://schemas.openxmlformats.org/officeDocument/2006/relationships/hyperlink" Target="https://webagentes.canaldirecto.com.ar/incidents/view/802417-6" TargetMode="External"/><Relationship Id="rId2298" Type="http://schemas.openxmlformats.org/officeDocument/2006/relationships/hyperlink" Target="https://webagentes.canaldirecto.com.ar/incidents/view/749279-6" TargetMode="External"/><Relationship Id="rId3044" Type="http://schemas.openxmlformats.org/officeDocument/2006/relationships/hyperlink" Target="https://webagentes.canaldirecto.com.ar/incidents/view/787017-0" TargetMode="External"/><Relationship Id="rId3251" Type="http://schemas.openxmlformats.org/officeDocument/2006/relationships/hyperlink" Target="https://webagentes.canaldirecto.com.ar/incidents/view/791761-1" TargetMode="External"/><Relationship Id="rId3349" Type="http://schemas.openxmlformats.org/officeDocument/2006/relationships/hyperlink" Target="https://webagentes.canaldirecto.com.ar/incidents/view/792970-4" TargetMode="External"/><Relationship Id="rId3556" Type="http://schemas.openxmlformats.org/officeDocument/2006/relationships/hyperlink" Target="https://webagentes.canaldirecto.com.ar/incidents/view/795235-9" TargetMode="External"/><Relationship Id="rId172" Type="http://schemas.openxmlformats.org/officeDocument/2006/relationships/hyperlink" Target="http://webagentes.canaldirecto.com.ar/incidents/view/656861-2" TargetMode="External"/><Relationship Id="rId477" Type="http://schemas.openxmlformats.org/officeDocument/2006/relationships/hyperlink" Target="https://webagentes.canaldirecto.com.ar/incidents/view/666600-2" TargetMode="External"/><Relationship Id="rId684" Type="http://schemas.openxmlformats.org/officeDocument/2006/relationships/hyperlink" Target="https://webagentes.canaldirecto.com.ar/incidents/view/674633-5" TargetMode="External"/><Relationship Id="rId2060" Type="http://schemas.openxmlformats.org/officeDocument/2006/relationships/hyperlink" Target="https://webagentes.canaldirecto.com.ar/incidents/view/742961-1" TargetMode="External"/><Relationship Id="rId2158" Type="http://schemas.openxmlformats.org/officeDocument/2006/relationships/hyperlink" Target="https://webagentes.canaldirecto.com.ar/incidents/view/745119-7" TargetMode="External"/><Relationship Id="rId2365" Type="http://schemas.openxmlformats.org/officeDocument/2006/relationships/hyperlink" Target="https://webagentes.canaldirecto.com.ar/incidents/view/755627-0" TargetMode="External"/><Relationship Id="rId3111" Type="http://schemas.openxmlformats.org/officeDocument/2006/relationships/hyperlink" Target="https://webagentes.canaldirecto.com.ar/incidents/view/788346-6" TargetMode="External"/><Relationship Id="rId3209" Type="http://schemas.openxmlformats.org/officeDocument/2006/relationships/hyperlink" Target="https://webagentes.canaldirecto.com.ar/incidents/view/790030-1" TargetMode="External"/><Relationship Id="rId3763" Type="http://schemas.openxmlformats.org/officeDocument/2006/relationships/hyperlink" Target="https://webagentes.canaldirecto.com.ar/incidents/view/805536-1" TargetMode="External"/><Relationship Id="rId337" Type="http://schemas.openxmlformats.org/officeDocument/2006/relationships/hyperlink" Target="https://webagentes.canaldirecto.com.ar/incidents/view/666578-4" TargetMode="External"/><Relationship Id="rId891" Type="http://schemas.openxmlformats.org/officeDocument/2006/relationships/hyperlink" Target="https://webagentes.canaldirecto.com.ar/liquidations/removeIncident/684295-8" TargetMode="External"/><Relationship Id="rId989" Type="http://schemas.openxmlformats.org/officeDocument/2006/relationships/hyperlink" Target="https://webagentes.canaldirecto.com.ar/incidents/view/692030-8" TargetMode="External"/><Relationship Id="rId2018" Type="http://schemas.openxmlformats.org/officeDocument/2006/relationships/hyperlink" Target="https://webagentes.canaldirecto.com.ar/incidents/view/744002-1" TargetMode="External"/><Relationship Id="rId2572" Type="http://schemas.openxmlformats.org/officeDocument/2006/relationships/hyperlink" Target="https://webagentes.canaldirecto.com.ar/incidents/view/761469-9" TargetMode="External"/><Relationship Id="rId2877" Type="http://schemas.openxmlformats.org/officeDocument/2006/relationships/hyperlink" Target="https://webagentes.canaldirecto.com.ar/incidents/view/778786-1" TargetMode="External"/><Relationship Id="rId3416" Type="http://schemas.openxmlformats.org/officeDocument/2006/relationships/hyperlink" Target="https://webagentes.canaldirecto.com.ar/incidents/view/797417-5" TargetMode="External"/><Relationship Id="rId3623" Type="http://schemas.openxmlformats.org/officeDocument/2006/relationships/hyperlink" Target="https://webagentes.canaldirecto.com.ar/incidents/view/799631-7" TargetMode="External"/><Relationship Id="rId3830" Type="http://schemas.openxmlformats.org/officeDocument/2006/relationships/hyperlink" Target="https://webagentes.canaldirecto.com.ar/incidents/view/808953-5" TargetMode="External"/><Relationship Id="rId544" Type="http://schemas.openxmlformats.org/officeDocument/2006/relationships/hyperlink" Target="https://webagentes.canaldirecto.com.ar/liquidations/removeIncident/670930-7" TargetMode="External"/><Relationship Id="rId751" Type="http://schemas.openxmlformats.org/officeDocument/2006/relationships/hyperlink" Target="https://webagentes.canaldirecto.com.ar/incidents/view/678090-4" TargetMode="External"/><Relationship Id="rId849" Type="http://schemas.openxmlformats.org/officeDocument/2006/relationships/hyperlink" Target="https://webagentes.canaldirecto.com.ar/liquidations/removeIncident/686009-7" TargetMode="External"/><Relationship Id="rId1174" Type="http://schemas.openxmlformats.org/officeDocument/2006/relationships/hyperlink" Target="https://webagentes.canaldirecto.com.ar/incidents/view/699991-9" TargetMode="External"/><Relationship Id="rId1381" Type="http://schemas.openxmlformats.org/officeDocument/2006/relationships/hyperlink" Target="https://webagentes.canaldirecto.com.ar/incidents/view/711626-7" TargetMode="External"/><Relationship Id="rId1479" Type="http://schemas.openxmlformats.org/officeDocument/2006/relationships/hyperlink" Target="https://webagentes.canaldirecto.com.ar/incidents/view/715643-2" TargetMode="External"/><Relationship Id="rId1686" Type="http://schemas.openxmlformats.org/officeDocument/2006/relationships/hyperlink" Target="https://webagentes.canaldirecto.com.ar/incidents/view/727117-5" TargetMode="External"/><Relationship Id="rId2225" Type="http://schemas.openxmlformats.org/officeDocument/2006/relationships/hyperlink" Target="https://webagentes.canaldirecto.com.ar/incidents/view/748346-0" TargetMode="External"/><Relationship Id="rId2432" Type="http://schemas.openxmlformats.org/officeDocument/2006/relationships/hyperlink" Target="https://webagentes.canaldirecto.com.ar/incidents/view/761296-5" TargetMode="External"/><Relationship Id="rId404" Type="http://schemas.openxmlformats.org/officeDocument/2006/relationships/hyperlink" Target="https://webagentes.canaldirecto.com.ar/liquidations/removeIncident/669379-6" TargetMode="External"/><Relationship Id="rId611" Type="http://schemas.openxmlformats.org/officeDocument/2006/relationships/hyperlink" Target="https://webagentes.canaldirecto.com.ar/incidents/view/662360-9" TargetMode="External"/><Relationship Id="rId1034" Type="http://schemas.openxmlformats.org/officeDocument/2006/relationships/hyperlink" Target="https://webagentes.canaldirecto.com.ar/incidents/view/694931-2" TargetMode="External"/><Relationship Id="rId1241" Type="http://schemas.openxmlformats.org/officeDocument/2006/relationships/hyperlink" Target="https://webagentes.canaldirecto.com.ar/incidents/view/709970-2" TargetMode="External"/><Relationship Id="rId1339" Type="http://schemas.openxmlformats.org/officeDocument/2006/relationships/hyperlink" Target="https://webagentes.canaldirecto.com.ar/incidents/view/712191-3" TargetMode="External"/><Relationship Id="rId1893" Type="http://schemas.openxmlformats.org/officeDocument/2006/relationships/hyperlink" Target="https://webagentes.canaldirecto.com.ar/incidents/view/737330-3" TargetMode="External"/><Relationship Id="rId2737" Type="http://schemas.openxmlformats.org/officeDocument/2006/relationships/hyperlink" Target="https://webagentes.canaldirecto.com.ar/incidents/view/773264-9" TargetMode="External"/><Relationship Id="rId2944" Type="http://schemas.openxmlformats.org/officeDocument/2006/relationships/hyperlink" Target="https://webagentes.canaldirecto.com.ar/incidents/view/782119-2" TargetMode="External"/><Relationship Id="rId709" Type="http://schemas.openxmlformats.org/officeDocument/2006/relationships/hyperlink" Target="https://webagentes.canaldirecto.com.ar/incidents/view/672638-6" TargetMode="External"/><Relationship Id="rId916" Type="http://schemas.openxmlformats.org/officeDocument/2006/relationships/hyperlink" Target="https://webagentes.canaldirecto.com.ar/incidents/view/683545-3" TargetMode="External"/><Relationship Id="rId1101" Type="http://schemas.openxmlformats.org/officeDocument/2006/relationships/hyperlink" Target="https://webagentes.canaldirecto.com.ar/incidents/view/700079-9" TargetMode="External"/><Relationship Id="rId1546" Type="http://schemas.openxmlformats.org/officeDocument/2006/relationships/hyperlink" Target="https://webagentes.canaldirecto.com.ar/incidents/view/718755-7" TargetMode="External"/><Relationship Id="rId1753" Type="http://schemas.openxmlformats.org/officeDocument/2006/relationships/hyperlink" Target="https://webagentes.canaldirecto.com.ar/incidents/view/732805-7" TargetMode="External"/><Relationship Id="rId1960" Type="http://schemas.openxmlformats.org/officeDocument/2006/relationships/hyperlink" Target="https://webagentes.canaldirecto.com.ar/incidents/view/740465-8" TargetMode="External"/><Relationship Id="rId2804" Type="http://schemas.openxmlformats.org/officeDocument/2006/relationships/hyperlink" Target="https://webagentes.canaldirecto.com.ar/incidents/view/780442-3" TargetMode="External"/><Relationship Id="rId45" Type="http://schemas.openxmlformats.org/officeDocument/2006/relationships/hyperlink" Target="http://webagentes.canaldirecto.com.ar/incidents/view/649089-8" TargetMode="External"/><Relationship Id="rId1406" Type="http://schemas.openxmlformats.org/officeDocument/2006/relationships/hyperlink" Target="https://webagentes.canaldirecto.com.ar/incidents/view/717083-0" TargetMode="External"/><Relationship Id="rId1613" Type="http://schemas.openxmlformats.org/officeDocument/2006/relationships/hyperlink" Target="https://webagentes.canaldirecto.com.ar/incidents/view/725929-8" TargetMode="External"/><Relationship Id="rId1820" Type="http://schemas.openxmlformats.org/officeDocument/2006/relationships/hyperlink" Target="https://webagentes.canaldirecto.com.ar/incidents/view/735616-6" TargetMode="External"/><Relationship Id="rId3066" Type="http://schemas.openxmlformats.org/officeDocument/2006/relationships/hyperlink" Target="https://webagentes.canaldirecto.com.ar/incidents/view/786152-5" TargetMode="External"/><Relationship Id="rId3273" Type="http://schemas.openxmlformats.org/officeDocument/2006/relationships/hyperlink" Target="https://webagentes.canaldirecto.com.ar/incidents/view/790251-2" TargetMode="External"/><Relationship Id="rId3480" Type="http://schemas.openxmlformats.org/officeDocument/2006/relationships/hyperlink" Target="https://webagentes.canaldirecto.com.ar/incidents/view/795881-2" TargetMode="External"/><Relationship Id="rId194" Type="http://schemas.openxmlformats.org/officeDocument/2006/relationships/hyperlink" Target="http://webagentes.canaldirecto.com.ar/incidents/view/656357-4" TargetMode="External"/><Relationship Id="rId1918" Type="http://schemas.openxmlformats.org/officeDocument/2006/relationships/hyperlink" Target="https://webagentes.canaldirecto.com.ar/incidents/view/736643-7" TargetMode="External"/><Relationship Id="rId2082" Type="http://schemas.openxmlformats.org/officeDocument/2006/relationships/hyperlink" Target="https://webagentes.canaldirecto.com.ar/incidents/view/746812-4" TargetMode="External"/><Relationship Id="rId3133" Type="http://schemas.openxmlformats.org/officeDocument/2006/relationships/hyperlink" Target="https://webagentes.canaldirecto.com.ar/incidents/view/788088-5" TargetMode="External"/><Relationship Id="rId3578" Type="http://schemas.openxmlformats.org/officeDocument/2006/relationships/hyperlink" Target="https://webagentes.canaldirecto.com.ar/incidents/view/794439-6" TargetMode="External"/><Relationship Id="rId3785" Type="http://schemas.openxmlformats.org/officeDocument/2006/relationships/hyperlink" Target="https://webagentes.canaldirecto.com.ar/incidents/view/804324-1" TargetMode="External"/><Relationship Id="rId261" Type="http://schemas.openxmlformats.org/officeDocument/2006/relationships/hyperlink" Target="http://webagentes.canaldirecto.com.ar/incidents/view/659135-5" TargetMode="External"/><Relationship Id="rId499" Type="http://schemas.openxmlformats.org/officeDocument/2006/relationships/hyperlink" Target="https://webagentes.canaldirecto.com.ar/incidents/view/672852-4" TargetMode="External"/><Relationship Id="rId2387" Type="http://schemas.openxmlformats.org/officeDocument/2006/relationships/hyperlink" Target="https://webagentes.canaldirecto.com.ar/incidents/view/754759-1" TargetMode="External"/><Relationship Id="rId2594" Type="http://schemas.openxmlformats.org/officeDocument/2006/relationships/hyperlink" Target="https://webagentes.canaldirecto.com.ar/incidents/view/760558-5" TargetMode="External"/><Relationship Id="rId3340" Type="http://schemas.openxmlformats.org/officeDocument/2006/relationships/hyperlink" Target="https://webagentes.canaldirecto.com.ar/incidents/view/793699-9" TargetMode="External"/><Relationship Id="rId3438" Type="http://schemas.openxmlformats.org/officeDocument/2006/relationships/hyperlink" Target="https://webagentes.canaldirecto.com.ar/incidents/view/797106-2" TargetMode="External"/><Relationship Id="rId3645" Type="http://schemas.openxmlformats.org/officeDocument/2006/relationships/hyperlink" Target="https://webagentes.canaldirecto.com.ar/incidents/view/798684-2" TargetMode="External"/><Relationship Id="rId3852" Type="http://schemas.openxmlformats.org/officeDocument/2006/relationships/hyperlink" Target="https://webagentes.canaldirecto.com.ar/incidents/view/807176-7" TargetMode="External"/><Relationship Id="rId359" Type="http://schemas.openxmlformats.org/officeDocument/2006/relationships/hyperlink" Target="https://webagentes.canaldirecto.com.ar/incidents/view/670922-8" TargetMode="External"/><Relationship Id="rId566" Type="http://schemas.openxmlformats.org/officeDocument/2006/relationships/hyperlink" Target="https://webagentes.canaldirecto.com.ar/liquidations/removeIncident/670661-0" TargetMode="External"/><Relationship Id="rId773" Type="http://schemas.openxmlformats.org/officeDocument/2006/relationships/hyperlink" Target="https://webagentes.canaldirecto.com.ar/incidents/view/676823-0" TargetMode="External"/><Relationship Id="rId1196" Type="http://schemas.openxmlformats.org/officeDocument/2006/relationships/hyperlink" Target="https://webagentes.canaldirecto.com.ar/incidents/view/705431-0" TargetMode="External"/><Relationship Id="rId2247" Type="http://schemas.openxmlformats.org/officeDocument/2006/relationships/hyperlink" Target="https://webagentes.canaldirecto.com.ar/incidents/view/746367-9" TargetMode="External"/><Relationship Id="rId2454" Type="http://schemas.openxmlformats.org/officeDocument/2006/relationships/hyperlink" Target="https://webagentes.canaldirecto.com.ar/incidents/view/760798-1" TargetMode="External"/><Relationship Id="rId2899" Type="http://schemas.openxmlformats.org/officeDocument/2006/relationships/hyperlink" Target="https://webagentes.canaldirecto.com.ar/incidents/view/776966-1" TargetMode="External"/><Relationship Id="rId3200" Type="http://schemas.openxmlformats.org/officeDocument/2006/relationships/hyperlink" Target="https://webagentes.canaldirecto.com.ar/incidents/view/790373-3" TargetMode="External"/><Relationship Id="rId3505" Type="http://schemas.openxmlformats.org/officeDocument/2006/relationships/hyperlink" Target="https://webagentes.canaldirecto.com.ar/liquidations/removeIncident/795743-3" TargetMode="External"/><Relationship Id="rId121" Type="http://schemas.openxmlformats.org/officeDocument/2006/relationships/hyperlink" Target="http://webagentes.canaldirecto.com.ar/liquidations/removeIncident/658008-5" TargetMode="External"/><Relationship Id="rId219" Type="http://schemas.openxmlformats.org/officeDocument/2006/relationships/hyperlink" Target="http://webagentes.canaldirecto.com.ar/liquidations/removeIncident/655244-4" TargetMode="External"/><Relationship Id="rId426" Type="http://schemas.openxmlformats.org/officeDocument/2006/relationships/hyperlink" Target="https://webagentes.canaldirecto.com.ar/liquidations/removeIncident/669009-0" TargetMode="External"/><Relationship Id="rId633" Type="http://schemas.openxmlformats.org/officeDocument/2006/relationships/hyperlink" Target="https://webagentes.canaldirecto.com.ar/incidents/view/676748-0" TargetMode="External"/><Relationship Id="rId980" Type="http://schemas.openxmlformats.org/officeDocument/2006/relationships/hyperlink" Target="https://webagentes.canaldirecto.com.ar/incidents/view/687518-7" TargetMode="External"/><Relationship Id="rId1056" Type="http://schemas.openxmlformats.org/officeDocument/2006/relationships/hyperlink" Target="https://webagentes.canaldirecto.com.ar/incidents/view/693098-9" TargetMode="External"/><Relationship Id="rId1263" Type="http://schemas.openxmlformats.org/officeDocument/2006/relationships/hyperlink" Target="https://webagentes.canaldirecto.com.ar/incidents/view/708531-0" TargetMode="External"/><Relationship Id="rId2107" Type="http://schemas.openxmlformats.org/officeDocument/2006/relationships/hyperlink" Target="https://webagentes.canaldirecto.com.ar/incidents/view/746306-8" TargetMode="External"/><Relationship Id="rId2314" Type="http://schemas.openxmlformats.org/officeDocument/2006/relationships/hyperlink" Target="https://webagentes.canaldirecto.com.ar/incidents/view/749083-1" TargetMode="External"/><Relationship Id="rId2661" Type="http://schemas.openxmlformats.org/officeDocument/2006/relationships/hyperlink" Target="https://webagentes.canaldirecto.com.ar/incidents/view/766541-7" TargetMode="External"/><Relationship Id="rId2759" Type="http://schemas.openxmlformats.org/officeDocument/2006/relationships/hyperlink" Target="https://webagentes.canaldirecto.com.ar/incidents/view/772057-4" TargetMode="External"/><Relationship Id="rId2966" Type="http://schemas.openxmlformats.org/officeDocument/2006/relationships/hyperlink" Target="https://webagentes.canaldirecto.com.ar/incidents/view/781119-5" TargetMode="External"/><Relationship Id="rId3712" Type="http://schemas.openxmlformats.org/officeDocument/2006/relationships/hyperlink" Target="https://webagentes.canaldirecto.com.ar/incidents/view/801480-5" TargetMode="External"/><Relationship Id="rId840" Type="http://schemas.openxmlformats.org/officeDocument/2006/relationships/hyperlink" Target="https://webagentes.canaldirecto.com.ar/incidents/view/686014-9" TargetMode="External"/><Relationship Id="rId938" Type="http://schemas.openxmlformats.org/officeDocument/2006/relationships/hyperlink" Target="https://webagentes.canaldirecto.com.ar/incidents/view/689381-9" TargetMode="External"/><Relationship Id="rId1470" Type="http://schemas.openxmlformats.org/officeDocument/2006/relationships/hyperlink" Target="https://webagentes.canaldirecto.com.ar/incidents/view/716250-3" TargetMode="External"/><Relationship Id="rId1568" Type="http://schemas.openxmlformats.org/officeDocument/2006/relationships/hyperlink" Target="https://webagentes.canaldirecto.com.ar/incidents/view/723036-3" TargetMode="External"/><Relationship Id="rId1775" Type="http://schemas.openxmlformats.org/officeDocument/2006/relationships/hyperlink" Target="https://webagentes.canaldirecto.com.ar/incidents/view/732642-0" TargetMode="External"/><Relationship Id="rId2521" Type="http://schemas.openxmlformats.org/officeDocument/2006/relationships/hyperlink" Target="https://webagentes.canaldirecto.com.ar/liquidations/removeIncident/763002-2" TargetMode="External"/><Relationship Id="rId2619" Type="http://schemas.openxmlformats.org/officeDocument/2006/relationships/hyperlink" Target="https://webagentes.canaldirecto.com.ar/incidents/view/764255-9" TargetMode="External"/><Relationship Id="rId2826" Type="http://schemas.openxmlformats.org/officeDocument/2006/relationships/hyperlink" Target="https://webagentes.canaldirecto.com.ar/incidents/view/779784-0" TargetMode="External"/><Relationship Id="rId67" Type="http://schemas.openxmlformats.org/officeDocument/2006/relationships/hyperlink" Target="http://webagentes.canaldirecto.com.ar/liquidations/removeIncident/654651-3" TargetMode="External"/><Relationship Id="rId700" Type="http://schemas.openxmlformats.org/officeDocument/2006/relationships/hyperlink" Target="https://webagentes.canaldirecto.com.ar/incidents/view/673931-7" TargetMode="External"/><Relationship Id="rId1123" Type="http://schemas.openxmlformats.org/officeDocument/2006/relationships/hyperlink" Target="https://webagentes.canaldirecto.com.ar/incidents/view/697770-4" TargetMode="External"/><Relationship Id="rId1330" Type="http://schemas.openxmlformats.org/officeDocument/2006/relationships/hyperlink" Target="https://webagentes.canaldirecto.com.ar/incidents/view/712477-0" TargetMode="External"/><Relationship Id="rId1428" Type="http://schemas.openxmlformats.org/officeDocument/2006/relationships/hyperlink" Target="https://webagentes.canaldirecto.com.ar/incidents/view/716817-2" TargetMode="External"/><Relationship Id="rId1635" Type="http://schemas.openxmlformats.org/officeDocument/2006/relationships/hyperlink" Target="https://webagentes.canaldirecto.com.ar/incidents/view/723351-9" TargetMode="External"/><Relationship Id="rId1982" Type="http://schemas.openxmlformats.org/officeDocument/2006/relationships/hyperlink" Target="https://webagentes.canaldirecto.com.ar/incidents/view/744425-8" TargetMode="External"/><Relationship Id="rId3088" Type="http://schemas.openxmlformats.org/officeDocument/2006/relationships/hyperlink" Target="https://webagentes.canaldirecto.com.ar/incidents/view/789231-2" TargetMode="External"/><Relationship Id="rId1842" Type="http://schemas.openxmlformats.org/officeDocument/2006/relationships/hyperlink" Target="https://webagentes.canaldirecto.com.ar/incidents/view/734052-7" TargetMode="External"/><Relationship Id="rId3295" Type="http://schemas.openxmlformats.org/officeDocument/2006/relationships/hyperlink" Target="https://webagentes.canaldirecto.com.ar/incidents/view/789440-8" TargetMode="External"/><Relationship Id="rId1702" Type="http://schemas.openxmlformats.org/officeDocument/2006/relationships/hyperlink" Target="https://webagentes.canaldirecto.com.ar/incidents/view/730654-1" TargetMode="External"/><Relationship Id="rId3155" Type="http://schemas.openxmlformats.org/officeDocument/2006/relationships/hyperlink" Target="https://webagentes.canaldirecto.com.ar/incidents/view/791429-8" TargetMode="External"/><Relationship Id="rId3362" Type="http://schemas.openxmlformats.org/officeDocument/2006/relationships/hyperlink" Target="https://webagentes.canaldirecto.com.ar/incidents/view/792617-8" TargetMode="External"/><Relationship Id="rId283" Type="http://schemas.openxmlformats.org/officeDocument/2006/relationships/hyperlink" Target="https://webagentes.canaldirecto.com.ar/incidents/view/662828-8" TargetMode="External"/><Relationship Id="rId490" Type="http://schemas.openxmlformats.org/officeDocument/2006/relationships/hyperlink" Target="https://webagentes.canaldirecto.com.ar/liquidations/removeIncident/673496-9" TargetMode="External"/><Relationship Id="rId2171" Type="http://schemas.openxmlformats.org/officeDocument/2006/relationships/hyperlink" Target="https://webagentes.canaldirecto.com.ar/incidents/view/744180-8" TargetMode="External"/><Relationship Id="rId3015" Type="http://schemas.openxmlformats.org/officeDocument/2006/relationships/hyperlink" Target="https://webagentes.canaldirecto.com.ar/incidents/view/783090-5" TargetMode="External"/><Relationship Id="rId3222" Type="http://schemas.openxmlformats.org/officeDocument/2006/relationships/hyperlink" Target="https://webagentes.canaldirecto.com.ar/incidents/view/789173-9" TargetMode="External"/><Relationship Id="rId3667" Type="http://schemas.openxmlformats.org/officeDocument/2006/relationships/hyperlink" Target="https://webagentes.canaldirecto.com.ar/incidents/view/794443-9" TargetMode="External"/><Relationship Id="rId143" Type="http://schemas.openxmlformats.org/officeDocument/2006/relationships/hyperlink" Target="http://webagentes.canaldirecto.com.ar/liquidations/removeIncident/657507-4" TargetMode="External"/><Relationship Id="rId350" Type="http://schemas.openxmlformats.org/officeDocument/2006/relationships/hyperlink" Target="https://webagentes.canaldirecto.com.ar/incidents/view/665197-6" TargetMode="External"/><Relationship Id="rId588" Type="http://schemas.openxmlformats.org/officeDocument/2006/relationships/hyperlink" Target="https://webagentes.canaldirecto.com.ar/liquidations/removeIncident/670181-9" TargetMode="External"/><Relationship Id="rId795" Type="http://schemas.openxmlformats.org/officeDocument/2006/relationships/hyperlink" Target="https://webagentes.canaldirecto.com.ar/incidents/view/681901-1" TargetMode="External"/><Relationship Id="rId2031" Type="http://schemas.openxmlformats.org/officeDocument/2006/relationships/hyperlink" Target="https://webagentes.canaldirecto.com.ar/incidents/view/743577-3" TargetMode="External"/><Relationship Id="rId2269" Type="http://schemas.openxmlformats.org/officeDocument/2006/relationships/hyperlink" Target="https://webagentes.canaldirecto.com.ar/incidents/view/751360-0" TargetMode="External"/><Relationship Id="rId2476" Type="http://schemas.openxmlformats.org/officeDocument/2006/relationships/hyperlink" Target="https://webagentes.canaldirecto.com.ar/incidents/view/760041-0" TargetMode="External"/><Relationship Id="rId2683" Type="http://schemas.openxmlformats.org/officeDocument/2006/relationships/hyperlink" Target="https://webagentes.canaldirecto.com.ar/incidents/view/770428-4" TargetMode="External"/><Relationship Id="rId2890" Type="http://schemas.openxmlformats.org/officeDocument/2006/relationships/hyperlink" Target="https://webagentes.canaldirecto.com.ar/incidents/view/777808-5" TargetMode="External"/><Relationship Id="rId3527" Type="http://schemas.openxmlformats.org/officeDocument/2006/relationships/hyperlink" Target="https://webagentes.canaldirecto.com.ar/liquidations/removeIncident/795582-4" TargetMode="External"/><Relationship Id="rId3734" Type="http://schemas.openxmlformats.org/officeDocument/2006/relationships/hyperlink" Target="https://webagentes.canaldirecto.com.ar/incidents/view/800267-9" TargetMode="External"/><Relationship Id="rId9" Type="http://schemas.openxmlformats.org/officeDocument/2006/relationships/hyperlink" Target="http://webagentes.canaldirecto.com.ar/incidents/view/652061-2" TargetMode="External"/><Relationship Id="rId210" Type="http://schemas.openxmlformats.org/officeDocument/2006/relationships/hyperlink" Target="http://webagentes.canaldirecto.com.ar/incidents/view/655473-4" TargetMode="External"/><Relationship Id="rId448" Type="http://schemas.openxmlformats.org/officeDocument/2006/relationships/hyperlink" Target="https://webagentes.canaldirecto.com.ar/liquidations/removeIncident/668348-9" TargetMode="External"/><Relationship Id="rId655" Type="http://schemas.openxmlformats.org/officeDocument/2006/relationships/hyperlink" Target="https://webagentes.canaldirecto.com.ar/incidents/view/675614-7" TargetMode="External"/><Relationship Id="rId862" Type="http://schemas.openxmlformats.org/officeDocument/2006/relationships/hyperlink" Target="https://webagentes.canaldirecto.com.ar/incidents/view/685160-0" TargetMode="External"/><Relationship Id="rId1078" Type="http://schemas.openxmlformats.org/officeDocument/2006/relationships/hyperlink" Target="https://webagentes.canaldirecto.com.ar/incidents/view/696988-4" TargetMode="External"/><Relationship Id="rId1285" Type="http://schemas.openxmlformats.org/officeDocument/2006/relationships/hyperlink" Target="https://webagentes.canaldirecto.com.ar/incidents/view/706620-9" TargetMode="External"/><Relationship Id="rId1492" Type="http://schemas.openxmlformats.org/officeDocument/2006/relationships/hyperlink" Target="https://webagentes.canaldirecto.com.ar/incidents/view/713522-6" TargetMode="External"/><Relationship Id="rId2129" Type="http://schemas.openxmlformats.org/officeDocument/2006/relationships/hyperlink" Target="https://webagentes.canaldirecto.com.ar/incidents/view/745924-1" TargetMode="External"/><Relationship Id="rId2336" Type="http://schemas.openxmlformats.org/officeDocument/2006/relationships/hyperlink" Target="https://webagentes.canaldirecto.com.ar/incidents/view/752887-9" TargetMode="External"/><Relationship Id="rId2543" Type="http://schemas.openxmlformats.org/officeDocument/2006/relationships/hyperlink" Target="https://webagentes.canaldirecto.com.ar/liquidations/removeIncident/762368-8" TargetMode="External"/><Relationship Id="rId2750" Type="http://schemas.openxmlformats.org/officeDocument/2006/relationships/hyperlink" Target="https://webagentes.canaldirecto.com.ar/incidents/view/772591-3" TargetMode="External"/><Relationship Id="rId2988" Type="http://schemas.openxmlformats.org/officeDocument/2006/relationships/hyperlink" Target="https://webagentes.canaldirecto.com.ar/incidents/view/784934-7" TargetMode="External"/><Relationship Id="rId3801" Type="http://schemas.openxmlformats.org/officeDocument/2006/relationships/hyperlink" Target="https://webagentes.canaldirecto.com.ar/incidents/view/809936-5" TargetMode="External"/><Relationship Id="rId308" Type="http://schemas.openxmlformats.org/officeDocument/2006/relationships/hyperlink" Target="https://webagentes.canaldirecto.com.ar/incidents/view/662363-6" TargetMode="External"/><Relationship Id="rId515" Type="http://schemas.openxmlformats.org/officeDocument/2006/relationships/hyperlink" Target="https://webagentes.canaldirecto.com.ar/incidents/view/672488-3" TargetMode="External"/><Relationship Id="rId722" Type="http://schemas.openxmlformats.org/officeDocument/2006/relationships/hyperlink" Target="https://webagentes.canaldirecto.com.ar/incidents/view/679683-5" TargetMode="External"/><Relationship Id="rId1145" Type="http://schemas.openxmlformats.org/officeDocument/2006/relationships/hyperlink" Target="https://webagentes.canaldirecto.com.ar/incidents/view/702933-2" TargetMode="External"/><Relationship Id="rId1352" Type="http://schemas.openxmlformats.org/officeDocument/2006/relationships/hyperlink" Target="https://webagentes.canaldirecto.com.ar/incidents/view/712040-0" TargetMode="External"/><Relationship Id="rId1797" Type="http://schemas.openxmlformats.org/officeDocument/2006/relationships/hyperlink" Target="https://webagentes.canaldirecto.com.ar/incidents/view/731136-7" TargetMode="External"/><Relationship Id="rId2403" Type="http://schemas.openxmlformats.org/officeDocument/2006/relationships/hyperlink" Target="https://webagentes.canaldirecto.com.ar/incidents/view/759070-6" TargetMode="External"/><Relationship Id="rId2848" Type="http://schemas.openxmlformats.org/officeDocument/2006/relationships/hyperlink" Target="https://webagentes.canaldirecto.com.ar/incidents/view/779280-9" TargetMode="External"/><Relationship Id="rId89" Type="http://schemas.openxmlformats.org/officeDocument/2006/relationships/hyperlink" Target="http://webagentes.canaldirecto.com.ar/liquidations/removeIncident/653476-7" TargetMode="External"/><Relationship Id="rId1005" Type="http://schemas.openxmlformats.org/officeDocument/2006/relationships/hyperlink" Target="https://webagentes.canaldirecto.com.ar/incidents/view/690636-2" TargetMode="External"/><Relationship Id="rId1212" Type="http://schemas.openxmlformats.org/officeDocument/2006/relationships/hyperlink" Target="https://webagentes.canaldirecto.com.ar/incidents/view/704450-8" TargetMode="External"/><Relationship Id="rId1657" Type="http://schemas.openxmlformats.org/officeDocument/2006/relationships/hyperlink" Target="https://webagentes.canaldirecto.com.ar/incidents/view/728282-5" TargetMode="External"/><Relationship Id="rId1864" Type="http://schemas.openxmlformats.org/officeDocument/2006/relationships/hyperlink" Target="https://webagentes.canaldirecto.com.ar/liquidations/removeIncident/738132-0" TargetMode="External"/><Relationship Id="rId2610" Type="http://schemas.openxmlformats.org/officeDocument/2006/relationships/hyperlink" Target="https://webagentes.canaldirecto.com.ar/incidents/view/765479-4" TargetMode="External"/><Relationship Id="rId2708" Type="http://schemas.openxmlformats.org/officeDocument/2006/relationships/hyperlink" Target="https://webagentes.canaldirecto.com.ar/incidents/view/769383-6" TargetMode="External"/><Relationship Id="rId2915" Type="http://schemas.openxmlformats.org/officeDocument/2006/relationships/hyperlink" Target="https://webagentes.canaldirecto.com.ar/incidents/view/782739-0" TargetMode="External"/><Relationship Id="rId1517" Type="http://schemas.openxmlformats.org/officeDocument/2006/relationships/hyperlink" Target="https://webagentes.canaldirecto.com.ar/incidents/view/720026-5" TargetMode="External"/><Relationship Id="rId1724" Type="http://schemas.openxmlformats.org/officeDocument/2006/relationships/hyperlink" Target="https://webagentes.canaldirecto.com.ar/incidents/view/729873-8" TargetMode="External"/><Relationship Id="rId3177" Type="http://schemas.openxmlformats.org/officeDocument/2006/relationships/hyperlink" Target="https://webagentes.canaldirecto.com.ar/incidents/view/790908-3" TargetMode="External"/><Relationship Id="rId16" Type="http://schemas.openxmlformats.org/officeDocument/2006/relationships/hyperlink" Target="http://webagentes.canaldirecto.com.ar/incidents/view/652054-2" TargetMode="External"/><Relationship Id="rId1931" Type="http://schemas.openxmlformats.org/officeDocument/2006/relationships/hyperlink" Target="https://webagentes.canaldirecto.com.ar/liquidations/removeIncident/736147-8" TargetMode="External"/><Relationship Id="rId3037" Type="http://schemas.openxmlformats.org/officeDocument/2006/relationships/hyperlink" Target="https://webagentes.canaldirecto.com.ar/incidents/view/787121-2" TargetMode="External"/><Relationship Id="rId3384" Type="http://schemas.openxmlformats.org/officeDocument/2006/relationships/hyperlink" Target="https://webagentes.canaldirecto.com.ar/incidents/view/792042-0" TargetMode="External"/><Relationship Id="rId3591" Type="http://schemas.openxmlformats.org/officeDocument/2006/relationships/hyperlink" Target="https://webagentes.canaldirecto.com.ar/incidents/view/799985-5" TargetMode="External"/><Relationship Id="rId3689" Type="http://schemas.openxmlformats.org/officeDocument/2006/relationships/hyperlink" Target="https://webagentes.canaldirecto.com.ar/incidents/view/802499-0" TargetMode="External"/><Relationship Id="rId2193" Type="http://schemas.openxmlformats.org/officeDocument/2006/relationships/hyperlink" Target="https://webagentes.canaldirecto.com.ar/incidents/view/749043-3" TargetMode="External"/><Relationship Id="rId2498" Type="http://schemas.openxmlformats.org/officeDocument/2006/relationships/hyperlink" Target="https://webagentes.canaldirecto.com.ar/incidents/view/763972-2" TargetMode="External"/><Relationship Id="rId3244" Type="http://schemas.openxmlformats.org/officeDocument/2006/relationships/hyperlink" Target="https://webagentes.canaldirecto.com.ar/incidents/view/777948-2" TargetMode="External"/><Relationship Id="rId3451" Type="http://schemas.openxmlformats.org/officeDocument/2006/relationships/hyperlink" Target="https://webagentes.canaldirecto.com.ar/liquidations/removeIncident/796382-3" TargetMode="External"/><Relationship Id="rId3549" Type="http://schemas.openxmlformats.org/officeDocument/2006/relationships/hyperlink" Target="https://webagentes.canaldirecto.com.ar/liquidations/removeIncident/795355-2" TargetMode="External"/><Relationship Id="rId165" Type="http://schemas.openxmlformats.org/officeDocument/2006/relationships/hyperlink" Target="http://webagentes.canaldirecto.com.ar/liquidations/removeIncident/656979-0" TargetMode="External"/><Relationship Id="rId372" Type="http://schemas.openxmlformats.org/officeDocument/2006/relationships/hyperlink" Target="https://webagentes.canaldirecto.com.ar/liquidations/removeIncident/669761-3" TargetMode="External"/><Relationship Id="rId677" Type="http://schemas.openxmlformats.org/officeDocument/2006/relationships/hyperlink" Target="https://webagentes.canaldirecto.com.ar/incidents/view/674853-7" TargetMode="External"/><Relationship Id="rId2053" Type="http://schemas.openxmlformats.org/officeDocument/2006/relationships/hyperlink" Target="https://webagentes.canaldirecto.com.ar/incidents/view/743296-1" TargetMode="External"/><Relationship Id="rId2260" Type="http://schemas.openxmlformats.org/officeDocument/2006/relationships/hyperlink" Target="https://webagentes.canaldirecto.com.ar/incidents/view/751536-1" TargetMode="External"/><Relationship Id="rId2358" Type="http://schemas.openxmlformats.org/officeDocument/2006/relationships/hyperlink" Target="https://webagentes.canaldirecto.com.ar/incidents/view/756261-5" TargetMode="External"/><Relationship Id="rId3104" Type="http://schemas.openxmlformats.org/officeDocument/2006/relationships/hyperlink" Target="https://webagentes.canaldirecto.com.ar/incidents/view/788354-5" TargetMode="External"/><Relationship Id="rId3311" Type="http://schemas.openxmlformats.org/officeDocument/2006/relationships/hyperlink" Target="https://webagentes.canaldirecto.com.ar/incidents/view/794392-6" TargetMode="External"/><Relationship Id="rId3756" Type="http://schemas.openxmlformats.org/officeDocument/2006/relationships/hyperlink" Target="https://webagentes.canaldirecto.com.ar/incidents/view/805815-5" TargetMode="External"/><Relationship Id="rId232" Type="http://schemas.openxmlformats.org/officeDocument/2006/relationships/hyperlink" Target="http://webagentes.canaldirecto.com.ar/incidents/view/654960-8" TargetMode="External"/><Relationship Id="rId884" Type="http://schemas.openxmlformats.org/officeDocument/2006/relationships/hyperlink" Target="https://webagentes.canaldirecto.com.ar/incidents/view/684411-4" TargetMode="External"/><Relationship Id="rId2120" Type="http://schemas.openxmlformats.org/officeDocument/2006/relationships/hyperlink" Target="https://webagentes.canaldirecto.com.ar/incidents/view/746210-2" TargetMode="External"/><Relationship Id="rId2565" Type="http://schemas.openxmlformats.org/officeDocument/2006/relationships/hyperlink" Target="https://webagentes.canaldirecto.com.ar/liquidations/removeIncident/761816-3" TargetMode="External"/><Relationship Id="rId2772" Type="http://schemas.openxmlformats.org/officeDocument/2006/relationships/hyperlink" Target="https://webagentes.canaldirecto.com.ar/incidents/view/776798-2" TargetMode="External"/><Relationship Id="rId3409" Type="http://schemas.openxmlformats.org/officeDocument/2006/relationships/hyperlink" Target="https://webagentes.canaldirecto.com.ar/liquidations/removeIncident/797545-7" TargetMode="External"/><Relationship Id="rId3616" Type="http://schemas.openxmlformats.org/officeDocument/2006/relationships/hyperlink" Target="https://webagentes.canaldirecto.com.ar/incidents/view/799756-5" TargetMode="External"/><Relationship Id="rId3823" Type="http://schemas.openxmlformats.org/officeDocument/2006/relationships/hyperlink" Target="https://webagentes.canaldirecto.com.ar/incidents/view/808966-9" TargetMode="External"/><Relationship Id="rId537" Type="http://schemas.openxmlformats.org/officeDocument/2006/relationships/hyperlink" Target="https://webagentes.canaldirecto.com.ar/incidents/view/671935-9" TargetMode="External"/><Relationship Id="rId744" Type="http://schemas.openxmlformats.org/officeDocument/2006/relationships/hyperlink" Target="https://webagentes.canaldirecto.com.ar/incidents/view/678236-4" TargetMode="External"/><Relationship Id="rId951" Type="http://schemas.openxmlformats.org/officeDocument/2006/relationships/hyperlink" Target="https://webagentes.canaldirecto.com.ar/incidents/view/689215-7" TargetMode="External"/><Relationship Id="rId1167" Type="http://schemas.openxmlformats.org/officeDocument/2006/relationships/hyperlink" Target="https://webagentes.canaldirecto.com.ar/incidents/view/701443-7" TargetMode="External"/><Relationship Id="rId1374" Type="http://schemas.openxmlformats.org/officeDocument/2006/relationships/hyperlink" Target="https://webagentes.canaldirecto.com.ar/incidents/view/711681-4" TargetMode="External"/><Relationship Id="rId1581" Type="http://schemas.openxmlformats.org/officeDocument/2006/relationships/hyperlink" Target="https://webagentes.canaldirecto.com.ar/incidents/view/721950-0" TargetMode="External"/><Relationship Id="rId1679" Type="http://schemas.openxmlformats.org/officeDocument/2006/relationships/hyperlink" Target="https://webagentes.canaldirecto.com.ar/incidents/view/727129-0" TargetMode="External"/><Relationship Id="rId2218" Type="http://schemas.openxmlformats.org/officeDocument/2006/relationships/hyperlink" Target="https://webagentes.canaldirecto.com.ar/incidents/view/748505-1" TargetMode="External"/><Relationship Id="rId2425" Type="http://schemas.openxmlformats.org/officeDocument/2006/relationships/hyperlink" Target="https://webagentes.canaldirecto.com.ar/incidents/view/757135-8" TargetMode="External"/><Relationship Id="rId2632" Type="http://schemas.openxmlformats.org/officeDocument/2006/relationships/hyperlink" Target="https://webagentes.canaldirecto.com.ar/incidents/view/768337-0" TargetMode="External"/><Relationship Id="rId80" Type="http://schemas.openxmlformats.org/officeDocument/2006/relationships/hyperlink" Target="http://webagentes.canaldirecto.com.ar/incidents/view/653804-6" TargetMode="External"/><Relationship Id="rId604" Type="http://schemas.openxmlformats.org/officeDocument/2006/relationships/hyperlink" Target="https://webagentes.canaldirecto.com.ar/liquidations/removeIncident/669712-7" TargetMode="External"/><Relationship Id="rId811" Type="http://schemas.openxmlformats.org/officeDocument/2006/relationships/hyperlink" Target="https://webagentes.canaldirecto.com.ar/liquidations/removeIncident/687260-3" TargetMode="External"/><Relationship Id="rId1027" Type="http://schemas.openxmlformats.org/officeDocument/2006/relationships/hyperlink" Target="https://webagentes.canaldirecto.com.ar/incidents/view/695161-8" TargetMode="External"/><Relationship Id="rId1234" Type="http://schemas.openxmlformats.org/officeDocument/2006/relationships/hyperlink" Target="https://webagentes.canaldirecto.com.ar/incidents/view/710187-6" TargetMode="External"/><Relationship Id="rId1441" Type="http://schemas.openxmlformats.org/officeDocument/2006/relationships/hyperlink" Target="https://webagentes.canaldirecto.com.ar/incidents/view/716512-0" TargetMode="External"/><Relationship Id="rId1886" Type="http://schemas.openxmlformats.org/officeDocument/2006/relationships/hyperlink" Target="https://webagentes.canaldirecto.com.ar/liquidations/removeIncident/737508-2" TargetMode="External"/><Relationship Id="rId2937" Type="http://schemas.openxmlformats.org/officeDocument/2006/relationships/hyperlink" Target="https://webagentes.canaldirecto.com.ar/incidents/view/782229-8" TargetMode="External"/><Relationship Id="rId909" Type="http://schemas.openxmlformats.org/officeDocument/2006/relationships/hyperlink" Target="https://webagentes.canaldirecto.com.ar/liquidations/removeIncident/683550-5" TargetMode="External"/><Relationship Id="rId1301" Type="http://schemas.openxmlformats.org/officeDocument/2006/relationships/hyperlink" Target="https://webagentes.canaldirecto.com.ar/incidents/view/712868-8" TargetMode="External"/><Relationship Id="rId1539" Type="http://schemas.openxmlformats.org/officeDocument/2006/relationships/hyperlink" Target="https://webagentes.canaldirecto.com.ar/incidents/view/719051-5" TargetMode="External"/><Relationship Id="rId1746" Type="http://schemas.openxmlformats.org/officeDocument/2006/relationships/hyperlink" Target="https://webagentes.canaldirecto.com.ar/incidents/view/733110-3" TargetMode="External"/><Relationship Id="rId1953" Type="http://schemas.openxmlformats.org/officeDocument/2006/relationships/hyperlink" Target="https://webagentes.canaldirecto.com.ar/incidents/view/741182-5" TargetMode="External"/><Relationship Id="rId3199" Type="http://schemas.openxmlformats.org/officeDocument/2006/relationships/hyperlink" Target="https://webagentes.canaldirecto.com.ar/incidents/view/790382-1" TargetMode="External"/><Relationship Id="rId38" Type="http://schemas.openxmlformats.org/officeDocument/2006/relationships/hyperlink" Target="http://webagentes.canaldirecto.com.ar/incidents/view/650511-8" TargetMode="External"/><Relationship Id="rId1606" Type="http://schemas.openxmlformats.org/officeDocument/2006/relationships/hyperlink" Target="https://webagentes.canaldirecto.com.ar/incidents/view/720516-3" TargetMode="External"/><Relationship Id="rId1813" Type="http://schemas.openxmlformats.org/officeDocument/2006/relationships/hyperlink" Target="https://webagentes.canaldirecto.com.ar/incidents/view/735625-4" TargetMode="External"/><Relationship Id="rId3059" Type="http://schemas.openxmlformats.org/officeDocument/2006/relationships/hyperlink" Target="https://webagentes.canaldirecto.com.ar/incidents/view/786538-1" TargetMode="External"/><Relationship Id="rId3266" Type="http://schemas.openxmlformats.org/officeDocument/2006/relationships/hyperlink" Target="https://webagentes.canaldirecto.com.ar/incidents/view/791334-1" TargetMode="External"/><Relationship Id="rId3473" Type="http://schemas.openxmlformats.org/officeDocument/2006/relationships/hyperlink" Target="https://webagentes.canaldirecto.com.ar/liquidations/removeIncident/796017-2" TargetMode="External"/><Relationship Id="rId187" Type="http://schemas.openxmlformats.org/officeDocument/2006/relationships/hyperlink" Target="http://webagentes.canaldirecto.com.ar/liquidations/removeIncident/656548-4" TargetMode="External"/><Relationship Id="rId394" Type="http://schemas.openxmlformats.org/officeDocument/2006/relationships/hyperlink" Target="https://webagentes.canaldirecto.com.ar/liquidations/removeIncident/669384-8" TargetMode="External"/><Relationship Id="rId2075" Type="http://schemas.openxmlformats.org/officeDocument/2006/relationships/hyperlink" Target="https://webagentes.canaldirecto.com.ar/incidents/view/741391-1" TargetMode="External"/><Relationship Id="rId2282" Type="http://schemas.openxmlformats.org/officeDocument/2006/relationships/hyperlink" Target="https://webagentes.canaldirecto.com.ar/incidents/view/750685-9" TargetMode="External"/><Relationship Id="rId3126" Type="http://schemas.openxmlformats.org/officeDocument/2006/relationships/hyperlink" Target="https://webagentes.canaldirecto.com.ar/incidents/view/788278-6" TargetMode="External"/><Relationship Id="rId3680" Type="http://schemas.openxmlformats.org/officeDocument/2006/relationships/hyperlink" Target="https://webagentes.canaldirecto.com.ar/incidents/view/802971-9" TargetMode="External"/><Relationship Id="rId3778" Type="http://schemas.openxmlformats.org/officeDocument/2006/relationships/hyperlink" Target="https://webagentes.canaldirecto.com.ar/incidents/view/804700-7" TargetMode="External"/><Relationship Id="rId254" Type="http://schemas.openxmlformats.org/officeDocument/2006/relationships/hyperlink" Target="http://webagentes.canaldirecto.com.ar/incidents/view/659920-5" TargetMode="External"/><Relationship Id="rId699" Type="http://schemas.openxmlformats.org/officeDocument/2006/relationships/hyperlink" Target="https://webagentes.canaldirecto.com.ar/incidents/view/674002-1" TargetMode="External"/><Relationship Id="rId1091" Type="http://schemas.openxmlformats.org/officeDocument/2006/relationships/hyperlink" Target="https://webagentes.canaldirecto.com.ar/incidents/view/701310-0" TargetMode="External"/><Relationship Id="rId2587" Type="http://schemas.openxmlformats.org/officeDocument/2006/relationships/hyperlink" Target="https://webagentes.canaldirecto.com.ar/liquidations/removeIncident/761008-2" TargetMode="External"/><Relationship Id="rId2794" Type="http://schemas.openxmlformats.org/officeDocument/2006/relationships/hyperlink" Target="https://webagentes.canaldirecto.com.ar/incidents/view/775266-1" TargetMode="External"/><Relationship Id="rId3333" Type="http://schemas.openxmlformats.org/officeDocument/2006/relationships/hyperlink" Target="https://webagentes.canaldirecto.com.ar/incidents/view/793946-4" TargetMode="External"/><Relationship Id="rId3540" Type="http://schemas.openxmlformats.org/officeDocument/2006/relationships/hyperlink" Target="https://webagentes.canaldirecto.com.ar/incidents/view/795572-7" TargetMode="External"/><Relationship Id="rId3638" Type="http://schemas.openxmlformats.org/officeDocument/2006/relationships/hyperlink" Target="https://webagentes.canaldirecto.com.ar/incidents/view/798940-5" TargetMode="External"/><Relationship Id="rId3845" Type="http://schemas.openxmlformats.org/officeDocument/2006/relationships/hyperlink" Target="https://webagentes.canaldirecto.com.ar/incidents/view/807612-4" TargetMode="External"/><Relationship Id="rId114" Type="http://schemas.openxmlformats.org/officeDocument/2006/relationships/hyperlink" Target="http://webagentes.canaldirecto.com.ar/incidents/view/658012-8" TargetMode="External"/><Relationship Id="rId461" Type="http://schemas.openxmlformats.org/officeDocument/2006/relationships/hyperlink" Target="https://webagentes.canaldirecto.com.ar/incidents/view/667805-2" TargetMode="External"/><Relationship Id="rId559" Type="http://schemas.openxmlformats.org/officeDocument/2006/relationships/hyperlink" Target="https://webagentes.canaldirecto.com.ar/incidents/view/670844-1" TargetMode="External"/><Relationship Id="rId766" Type="http://schemas.openxmlformats.org/officeDocument/2006/relationships/hyperlink" Target="https://webagentes.canaldirecto.com.ar/incidents/view/677719-5" TargetMode="External"/><Relationship Id="rId1189" Type="http://schemas.openxmlformats.org/officeDocument/2006/relationships/hyperlink" Target="https://webagentes.canaldirecto.com.ar/incidents/view/705747-8" TargetMode="External"/><Relationship Id="rId1396" Type="http://schemas.openxmlformats.org/officeDocument/2006/relationships/hyperlink" Target="https://webagentes.canaldirecto.com.ar/incidents/view/710591-5" TargetMode="External"/><Relationship Id="rId2142" Type="http://schemas.openxmlformats.org/officeDocument/2006/relationships/hyperlink" Target="https://webagentes.canaldirecto.com.ar/incidents/view/745741-0" TargetMode="External"/><Relationship Id="rId2447" Type="http://schemas.openxmlformats.org/officeDocument/2006/relationships/hyperlink" Target="https://webagentes.canaldirecto.com.ar/incidents/view/760806-9" TargetMode="External"/><Relationship Id="rId3400" Type="http://schemas.openxmlformats.org/officeDocument/2006/relationships/hyperlink" Target="https://webagentes.canaldirecto.com.ar/incidents/view/797549-3" TargetMode="External"/><Relationship Id="rId321" Type="http://schemas.openxmlformats.org/officeDocument/2006/relationships/hyperlink" Target="https://webagentes.canaldirecto.com.ar/incidents/view/661767-1" TargetMode="External"/><Relationship Id="rId419" Type="http://schemas.openxmlformats.org/officeDocument/2006/relationships/hyperlink" Target="https://webagentes.canaldirecto.com.ar/incidents/view/669078-0" TargetMode="External"/><Relationship Id="rId626" Type="http://schemas.openxmlformats.org/officeDocument/2006/relationships/hyperlink" Target="https://webagentes.canaldirecto.com.ar/incidents/view/676921-1" TargetMode="External"/><Relationship Id="rId973" Type="http://schemas.openxmlformats.org/officeDocument/2006/relationships/hyperlink" Target="https://webagentes.canaldirecto.com.ar/incidents/view/687986-4" TargetMode="External"/><Relationship Id="rId1049" Type="http://schemas.openxmlformats.org/officeDocument/2006/relationships/hyperlink" Target="https://webagentes.canaldirecto.com.ar/incidents/view/693593-9" TargetMode="External"/><Relationship Id="rId1256" Type="http://schemas.openxmlformats.org/officeDocument/2006/relationships/hyperlink" Target="https://webagentes.canaldirecto.com.ar/incidents/view/709018-1" TargetMode="External"/><Relationship Id="rId2002" Type="http://schemas.openxmlformats.org/officeDocument/2006/relationships/hyperlink" Target="https://webagentes.canaldirecto.com.ar/incidents/view/744267-6" TargetMode="External"/><Relationship Id="rId2307" Type="http://schemas.openxmlformats.org/officeDocument/2006/relationships/hyperlink" Target="https://webagentes.canaldirecto.com.ar/incidents/view/749091-0" TargetMode="External"/><Relationship Id="rId2654" Type="http://schemas.openxmlformats.org/officeDocument/2006/relationships/hyperlink" Target="https://webagentes.canaldirecto.com.ar/incidents/view/767056-1" TargetMode="External"/><Relationship Id="rId2861" Type="http://schemas.openxmlformats.org/officeDocument/2006/relationships/hyperlink" Target="https://webagentes.canaldirecto.com.ar/incidents/view/779263-2" TargetMode="External"/><Relationship Id="rId2959" Type="http://schemas.openxmlformats.org/officeDocument/2006/relationships/hyperlink" Target="https://webagentes.canaldirecto.com.ar/incidents/view/781631-2" TargetMode="External"/><Relationship Id="rId3705" Type="http://schemas.openxmlformats.org/officeDocument/2006/relationships/hyperlink" Target="https://webagentes.canaldirecto.com.ar/incidents/view/801998-9" TargetMode="External"/><Relationship Id="rId833" Type="http://schemas.openxmlformats.org/officeDocument/2006/relationships/hyperlink" Target="https://webagentes.canaldirecto.com.ar/liquidations/removeIncident/686069-9" TargetMode="External"/><Relationship Id="rId1116" Type="http://schemas.openxmlformats.org/officeDocument/2006/relationships/hyperlink" Target="https://webagentes.canaldirecto.com.ar/incidents/view/698682-7" TargetMode="External"/><Relationship Id="rId1463" Type="http://schemas.openxmlformats.org/officeDocument/2006/relationships/hyperlink" Target="https://webagentes.canaldirecto.com.ar/incidents/view/716259-4" TargetMode="External"/><Relationship Id="rId1670" Type="http://schemas.openxmlformats.org/officeDocument/2006/relationships/hyperlink" Target="https://webagentes.canaldirecto.com.ar/incidents/view/727324-3" TargetMode="External"/><Relationship Id="rId1768" Type="http://schemas.openxmlformats.org/officeDocument/2006/relationships/hyperlink" Target="https://webagentes.canaldirecto.com.ar/incidents/view/732789-0" TargetMode="External"/><Relationship Id="rId2514" Type="http://schemas.openxmlformats.org/officeDocument/2006/relationships/hyperlink" Target="https://webagentes.canaldirecto.com.ar/incidents/view/763432-9" TargetMode="External"/><Relationship Id="rId2721" Type="http://schemas.openxmlformats.org/officeDocument/2006/relationships/hyperlink" Target="https://webagentes.canaldirecto.com.ar/incidents/view/774415-8" TargetMode="External"/><Relationship Id="rId2819" Type="http://schemas.openxmlformats.org/officeDocument/2006/relationships/hyperlink" Target="https://webagentes.canaldirecto.com.ar/incidents/view/780122-2" TargetMode="External"/><Relationship Id="rId900" Type="http://schemas.openxmlformats.org/officeDocument/2006/relationships/hyperlink" Target="https://webagentes.canaldirecto.com.ar/incidents/view/683696-6" TargetMode="External"/><Relationship Id="rId1323" Type="http://schemas.openxmlformats.org/officeDocument/2006/relationships/hyperlink" Target="https://webagentes.canaldirecto.com.ar/incidents/view/712489-5" TargetMode="External"/><Relationship Id="rId1530" Type="http://schemas.openxmlformats.org/officeDocument/2006/relationships/hyperlink" Target="https://webagentes.canaldirecto.com.ar/incidents/view/719853-5" TargetMode="External"/><Relationship Id="rId1628" Type="http://schemas.openxmlformats.org/officeDocument/2006/relationships/hyperlink" Target="https://webagentes.canaldirecto.com.ar/incidents/view/723908-1" TargetMode="External"/><Relationship Id="rId1975" Type="http://schemas.openxmlformats.org/officeDocument/2006/relationships/hyperlink" Target="https://webagentes.canaldirecto.com.ar/incidents/view/739204-3" TargetMode="External"/><Relationship Id="rId3190" Type="http://schemas.openxmlformats.org/officeDocument/2006/relationships/hyperlink" Target="https://webagentes.canaldirecto.com.ar/incidents/view/790775-7" TargetMode="External"/><Relationship Id="rId1835" Type="http://schemas.openxmlformats.org/officeDocument/2006/relationships/hyperlink" Target="https://webagentes.canaldirecto.com.ar/incidents/view/734438-3" TargetMode="External"/><Relationship Id="rId3050" Type="http://schemas.openxmlformats.org/officeDocument/2006/relationships/hyperlink" Target="https://webagentes.canaldirecto.com.ar/incidents/view/787009-1" TargetMode="External"/><Relationship Id="rId3288" Type="http://schemas.openxmlformats.org/officeDocument/2006/relationships/hyperlink" Target="https://webagentes.canaldirecto.com.ar/incidents/view/789939-7" TargetMode="External"/><Relationship Id="rId3495" Type="http://schemas.openxmlformats.org/officeDocument/2006/relationships/hyperlink" Target="https://webagentes.canaldirecto.com.ar/liquidations/removeIncident/795873-3" TargetMode="External"/><Relationship Id="rId1902" Type="http://schemas.openxmlformats.org/officeDocument/2006/relationships/hyperlink" Target="https://webagentes.canaldirecto.com.ar/liquidations/removeIncident/737055-5" TargetMode="External"/><Relationship Id="rId2097" Type="http://schemas.openxmlformats.org/officeDocument/2006/relationships/hyperlink" Target="https://webagentes.canaldirecto.com.ar/incidents/view/746433-1" TargetMode="External"/><Relationship Id="rId3148" Type="http://schemas.openxmlformats.org/officeDocument/2006/relationships/hyperlink" Target="https://webagentes.canaldirecto.com.ar/incidents/view/791620-5" TargetMode="External"/><Relationship Id="rId3355" Type="http://schemas.openxmlformats.org/officeDocument/2006/relationships/hyperlink" Target="https://webagentes.canaldirecto.com.ar/incidents/view/792878-7" TargetMode="External"/><Relationship Id="rId3562" Type="http://schemas.openxmlformats.org/officeDocument/2006/relationships/hyperlink" Target="https://webagentes.canaldirecto.com.ar/incidents/view/794889-7" TargetMode="External"/><Relationship Id="rId276" Type="http://schemas.openxmlformats.org/officeDocument/2006/relationships/hyperlink" Target="https://webagentes.canaldirecto.com.ar/incidents/view/663989-5" TargetMode="External"/><Relationship Id="rId483" Type="http://schemas.openxmlformats.org/officeDocument/2006/relationships/hyperlink" Target="https://webagentes.canaldirecto.com.ar/incidents/view/673499-6" TargetMode="External"/><Relationship Id="rId690" Type="http://schemas.openxmlformats.org/officeDocument/2006/relationships/hyperlink" Target="https://webagentes.canaldirecto.com.ar/incidents/view/674275-5" TargetMode="External"/><Relationship Id="rId2164" Type="http://schemas.openxmlformats.org/officeDocument/2006/relationships/hyperlink" Target="https://webagentes.canaldirecto.com.ar/incidents/view/744728-2" TargetMode="External"/><Relationship Id="rId2371" Type="http://schemas.openxmlformats.org/officeDocument/2006/relationships/hyperlink" Target="https://webagentes.canaldirecto.com.ar/incidents/view/755538-7" TargetMode="External"/><Relationship Id="rId3008" Type="http://schemas.openxmlformats.org/officeDocument/2006/relationships/hyperlink" Target="https://webagentes.canaldirecto.com.ar/incidents/view/783104-7" TargetMode="External"/><Relationship Id="rId3215" Type="http://schemas.openxmlformats.org/officeDocument/2006/relationships/hyperlink" Target="https://webagentes.canaldirecto.com.ar/incidents/view/789560-1" TargetMode="External"/><Relationship Id="rId3422" Type="http://schemas.openxmlformats.org/officeDocument/2006/relationships/hyperlink" Target="https://webagentes.canaldirecto.com.ar/incidents/view/797412-0" TargetMode="External"/><Relationship Id="rId136" Type="http://schemas.openxmlformats.org/officeDocument/2006/relationships/hyperlink" Target="http://webagentes.canaldirecto.com.ar/incidents/view/657536-6" TargetMode="External"/><Relationship Id="rId343" Type="http://schemas.openxmlformats.org/officeDocument/2006/relationships/hyperlink" Target="https://webagentes.canaldirecto.com.ar/incidents/view/665353-0" TargetMode="External"/><Relationship Id="rId550" Type="http://schemas.openxmlformats.org/officeDocument/2006/relationships/hyperlink" Target="https://webagentes.canaldirecto.com.ar/liquidations/removeIncident/670925-5" TargetMode="External"/><Relationship Id="rId788" Type="http://schemas.openxmlformats.org/officeDocument/2006/relationships/hyperlink" Target="https://webagentes.canaldirecto.com.ar/incidents/view/682920-3" TargetMode="External"/><Relationship Id="rId995" Type="http://schemas.openxmlformats.org/officeDocument/2006/relationships/hyperlink" Target="https://webagentes.canaldirecto.com.ar/incidents/view/691542-1" TargetMode="External"/><Relationship Id="rId1180" Type="http://schemas.openxmlformats.org/officeDocument/2006/relationships/hyperlink" Target="https://webagentes.canaldirecto.com.ar/incidents/view/706175-4" TargetMode="External"/><Relationship Id="rId2024" Type="http://schemas.openxmlformats.org/officeDocument/2006/relationships/hyperlink" Target="https://webagentes.canaldirecto.com.ar/incidents/view/743996-4" TargetMode="External"/><Relationship Id="rId2231" Type="http://schemas.openxmlformats.org/officeDocument/2006/relationships/hyperlink" Target="https://webagentes.canaldirecto.com.ar/incidents/view/747908-7" TargetMode="External"/><Relationship Id="rId2469" Type="http://schemas.openxmlformats.org/officeDocument/2006/relationships/hyperlink" Target="https://webagentes.canaldirecto.com.ar/incidents/view/760115-4" TargetMode="External"/><Relationship Id="rId2676" Type="http://schemas.openxmlformats.org/officeDocument/2006/relationships/hyperlink" Target="https://webagentes.canaldirecto.com.ar/incidents/view/770792-6" TargetMode="External"/><Relationship Id="rId2883" Type="http://schemas.openxmlformats.org/officeDocument/2006/relationships/hyperlink" Target="https://webagentes.canaldirecto.com.ar/incidents/view/778202-4" TargetMode="External"/><Relationship Id="rId3727" Type="http://schemas.openxmlformats.org/officeDocument/2006/relationships/hyperlink" Target="https://webagentes.canaldirecto.com.ar/incidents/view/800837-2" TargetMode="External"/><Relationship Id="rId203" Type="http://schemas.openxmlformats.org/officeDocument/2006/relationships/hyperlink" Target="http://webagentes.canaldirecto.com.ar/liquidations/removeIncident/655650-1" TargetMode="External"/><Relationship Id="rId648" Type="http://schemas.openxmlformats.org/officeDocument/2006/relationships/hyperlink" Target="https://webagentes.canaldirecto.com.ar/incidents/view/675624-4" TargetMode="External"/><Relationship Id="rId855" Type="http://schemas.openxmlformats.org/officeDocument/2006/relationships/hyperlink" Target="https://webagentes.canaldirecto.com.ar/liquidations/removeIncident/685756-1" TargetMode="External"/><Relationship Id="rId1040" Type="http://schemas.openxmlformats.org/officeDocument/2006/relationships/hyperlink" Target="https://webagentes.canaldirecto.com.ar/incidents/view/694762-4" TargetMode="External"/><Relationship Id="rId1278" Type="http://schemas.openxmlformats.org/officeDocument/2006/relationships/hyperlink" Target="https://webagentes.canaldirecto.com.ar/incidents/view/707066-4" TargetMode="External"/><Relationship Id="rId1485" Type="http://schemas.openxmlformats.org/officeDocument/2006/relationships/hyperlink" Target="https://webagentes.canaldirecto.com.ar/incidents/view/714547-2" TargetMode="External"/><Relationship Id="rId1692" Type="http://schemas.openxmlformats.org/officeDocument/2006/relationships/hyperlink" Target="https://webagentes.canaldirecto.com.ar/incidents/view/726205-2" TargetMode="External"/><Relationship Id="rId2329" Type="http://schemas.openxmlformats.org/officeDocument/2006/relationships/hyperlink" Target="https://webagentes.canaldirecto.com.ar/incidents/view/753039-7" TargetMode="External"/><Relationship Id="rId2536" Type="http://schemas.openxmlformats.org/officeDocument/2006/relationships/hyperlink" Target="https://webagentes.canaldirecto.com.ar/incidents/view/762493-3" TargetMode="External"/><Relationship Id="rId2743" Type="http://schemas.openxmlformats.org/officeDocument/2006/relationships/hyperlink" Target="https://webagentes.canaldirecto.com.ar/incidents/view/772793-9" TargetMode="External"/><Relationship Id="rId410" Type="http://schemas.openxmlformats.org/officeDocument/2006/relationships/hyperlink" Target="https://webagentes.canaldirecto.com.ar/liquidations/removeIncident/669271-5" TargetMode="External"/><Relationship Id="rId508" Type="http://schemas.openxmlformats.org/officeDocument/2006/relationships/hyperlink" Target="https://webagentes.canaldirecto.com.ar/liquidations/removeIncident/672644-7" TargetMode="External"/><Relationship Id="rId715" Type="http://schemas.openxmlformats.org/officeDocument/2006/relationships/hyperlink" Target="https://webagentes.canaldirecto.com.ar/incidents/view/664511-5" TargetMode="External"/><Relationship Id="rId922" Type="http://schemas.openxmlformats.org/officeDocument/2006/relationships/hyperlink" Target="https://webagentes.canaldirecto.com.ar/incidents/view/690271-9" TargetMode="External"/><Relationship Id="rId1138" Type="http://schemas.openxmlformats.org/officeDocument/2006/relationships/hyperlink" Target="https://webagentes.canaldirecto.com.ar/incidents/view/703384-9" TargetMode="External"/><Relationship Id="rId1345" Type="http://schemas.openxmlformats.org/officeDocument/2006/relationships/hyperlink" Target="https://webagentes.canaldirecto.com.ar/incidents/view/712062-2" TargetMode="External"/><Relationship Id="rId1552" Type="http://schemas.openxmlformats.org/officeDocument/2006/relationships/hyperlink" Target="https://webagentes.canaldirecto.com.ar/incidents/view/718418-9" TargetMode="External"/><Relationship Id="rId1997" Type="http://schemas.openxmlformats.org/officeDocument/2006/relationships/hyperlink" Target="https://webagentes.canaldirecto.com.ar/incidents/view/744272-8" TargetMode="External"/><Relationship Id="rId2603" Type="http://schemas.openxmlformats.org/officeDocument/2006/relationships/hyperlink" Target="https://webagentes.canaldirecto.com.ar/incidents/view/766021-8" TargetMode="External"/><Relationship Id="rId2950" Type="http://schemas.openxmlformats.org/officeDocument/2006/relationships/hyperlink" Target="https://webagentes.canaldirecto.com.ar/incidents/view/782036-0" TargetMode="External"/><Relationship Id="rId1205" Type="http://schemas.openxmlformats.org/officeDocument/2006/relationships/hyperlink" Target="https://webagentes.canaldirecto.com.ar/incidents/view/704968-2" TargetMode="External"/><Relationship Id="rId1857" Type="http://schemas.openxmlformats.org/officeDocument/2006/relationships/hyperlink" Target="https://webagentes.canaldirecto.com.ar/incidents/view/738544-1" TargetMode="External"/><Relationship Id="rId2810" Type="http://schemas.openxmlformats.org/officeDocument/2006/relationships/hyperlink" Target="https://webagentes.canaldirecto.com.ar/incidents/view/780267-4" TargetMode="External"/><Relationship Id="rId2908" Type="http://schemas.openxmlformats.org/officeDocument/2006/relationships/hyperlink" Target="https://webagentes.canaldirecto.com.ar/incidents/view/782747-9" TargetMode="External"/><Relationship Id="rId51" Type="http://schemas.openxmlformats.org/officeDocument/2006/relationships/image" Target="../media/image2.png"/><Relationship Id="rId1412" Type="http://schemas.openxmlformats.org/officeDocument/2006/relationships/hyperlink" Target="https://webagentes.canaldirecto.com.ar/incidents/view/717056-6" TargetMode="External"/><Relationship Id="rId1717" Type="http://schemas.openxmlformats.org/officeDocument/2006/relationships/hyperlink" Target="https://webagentes.canaldirecto.com.ar/incidents/view/730251-8" TargetMode="External"/><Relationship Id="rId1924" Type="http://schemas.openxmlformats.org/officeDocument/2006/relationships/hyperlink" Target="https://webagentes.canaldirecto.com.ar/incidents/view/736260-8" TargetMode="External"/><Relationship Id="rId3072" Type="http://schemas.openxmlformats.org/officeDocument/2006/relationships/hyperlink" Target="https://webagentes.canaldirecto.com.ar/incidents/view/785959-3" TargetMode="External"/><Relationship Id="rId3377" Type="http://schemas.openxmlformats.org/officeDocument/2006/relationships/hyperlink" Target="https://webagentes.canaldirecto.com.ar/incidents/view/792446-2" TargetMode="External"/><Relationship Id="rId298" Type="http://schemas.openxmlformats.org/officeDocument/2006/relationships/hyperlink" Target="https://webagentes.canaldirecto.com.ar/incidents/view/662594-4" TargetMode="External"/><Relationship Id="rId3584" Type="http://schemas.openxmlformats.org/officeDocument/2006/relationships/hyperlink" Target="https://webagentes.canaldirecto.com.ar/incidents/view/800169-8" TargetMode="External"/><Relationship Id="rId3791" Type="http://schemas.openxmlformats.org/officeDocument/2006/relationships/hyperlink" Target="https://webagentes.canaldirecto.com.ar/incidents/view/804079-4" TargetMode="External"/><Relationship Id="rId158" Type="http://schemas.openxmlformats.org/officeDocument/2006/relationships/hyperlink" Target="http://webagentes.canaldirecto.com.ar/incidents/view/656982-4" TargetMode="External"/><Relationship Id="rId2186" Type="http://schemas.openxmlformats.org/officeDocument/2006/relationships/hyperlink" Target="https://webagentes.canaldirecto.com.ar/incidents/view/749194-6" TargetMode="External"/><Relationship Id="rId2393" Type="http://schemas.openxmlformats.org/officeDocument/2006/relationships/hyperlink" Target="https://webagentes.canaldirecto.com.ar/incidents/view/754751-9" TargetMode="External"/><Relationship Id="rId2698" Type="http://schemas.openxmlformats.org/officeDocument/2006/relationships/hyperlink" Target="https://webagentes.canaldirecto.com.ar/incidents/view/769885-9" TargetMode="External"/><Relationship Id="rId3237" Type="http://schemas.openxmlformats.org/officeDocument/2006/relationships/hyperlink" Target="https://webagentes.canaldirecto.com.ar/incidents/view/785351-7" TargetMode="External"/><Relationship Id="rId3444" Type="http://schemas.openxmlformats.org/officeDocument/2006/relationships/hyperlink" Target="https://webagentes.canaldirecto.com.ar/incidents/view/796576-0" TargetMode="External"/><Relationship Id="rId3651" Type="http://schemas.openxmlformats.org/officeDocument/2006/relationships/hyperlink" Target="https://webagentes.canaldirecto.com.ar/incidents/view/798330-4" TargetMode="External"/><Relationship Id="rId365" Type="http://schemas.openxmlformats.org/officeDocument/2006/relationships/hyperlink" Target="https://webagentes.canaldirecto.com.ar/incidents/view/670043-0" TargetMode="External"/><Relationship Id="rId572" Type="http://schemas.openxmlformats.org/officeDocument/2006/relationships/hyperlink" Target="https://webagentes.canaldirecto.com.ar/liquidations/removeIncident/670431-1" TargetMode="External"/><Relationship Id="rId2046" Type="http://schemas.openxmlformats.org/officeDocument/2006/relationships/hyperlink" Target="https://webagentes.canaldirecto.com.ar/incidents/view/743482-6" TargetMode="External"/><Relationship Id="rId2253" Type="http://schemas.openxmlformats.org/officeDocument/2006/relationships/hyperlink" Target="https://webagentes.canaldirecto.com.ar/incidents/view/751587-5" TargetMode="External"/><Relationship Id="rId2460" Type="http://schemas.openxmlformats.org/officeDocument/2006/relationships/hyperlink" Target="https://webagentes.canaldirecto.com.ar/incidents/view/760790-9" TargetMode="External"/><Relationship Id="rId3304" Type="http://schemas.openxmlformats.org/officeDocument/2006/relationships/hyperlink" Target="https://webagentes.canaldirecto.com.ar/incidents/view/794456-3" TargetMode="External"/><Relationship Id="rId3511" Type="http://schemas.openxmlformats.org/officeDocument/2006/relationships/hyperlink" Target="https://webagentes.canaldirecto.com.ar/liquidations/removeIncident/795590-3" TargetMode="External"/><Relationship Id="rId3749" Type="http://schemas.openxmlformats.org/officeDocument/2006/relationships/hyperlink" Target="https://webagentes.canaldirecto.com.ar/incidents/view/806255-6" TargetMode="External"/><Relationship Id="rId225" Type="http://schemas.openxmlformats.org/officeDocument/2006/relationships/hyperlink" Target="http://webagentes.canaldirecto.com.ar/liquidations/removeIncident/655151-5" TargetMode="External"/><Relationship Id="rId432" Type="http://schemas.openxmlformats.org/officeDocument/2006/relationships/hyperlink" Target="https://webagentes.canaldirecto.com.ar/liquidations/removeIncident/668789-2" TargetMode="External"/><Relationship Id="rId877" Type="http://schemas.openxmlformats.org/officeDocument/2006/relationships/hyperlink" Target="https://webagentes.canaldirecto.com.ar/liquidations/removeIncident/684534-4" TargetMode="External"/><Relationship Id="rId1062" Type="http://schemas.openxmlformats.org/officeDocument/2006/relationships/hyperlink" Target="https://webagentes.canaldirecto.com.ar/incidents/view/691744-7" TargetMode="External"/><Relationship Id="rId2113" Type="http://schemas.openxmlformats.org/officeDocument/2006/relationships/hyperlink" Target="https://webagentes.canaldirecto.com.ar/incidents/view/746255-5" TargetMode="External"/><Relationship Id="rId2320" Type="http://schemas.openxmlformats.org/officeDocument/2006/relationships/hyperlink" Target="https://webagentes.canaldirecto.com.ar/incidents/view/754085-3" TargetMode="External"/><Relationship Id="rId2558" Type="http://schemas.openxmlformats.org/officeDocument/2006/relationships/hyperlink" Target="https://webagentes.canaldirecto.com.ar/incidents/view/762100-6" TargetMode="External"/><Relationship Id="rId2765" Type="http://schemas.openxmlformats.org/officeDocument/2006/relationships/hyperlink" Target="https://webagentes.canaldirecto.com.ar/incidents/view/770841-1" TargetMode="External"/><Relationship Id="rId2972" Type="http://schemas.openxmlformats.org/officeDocument/2006/relationships/hyperlink" Target="https://webagentes.canaldirecto.com.ar/incidents/view/780405-2" TargetMode="External"/><Relationship Id="rId3609" Type="http://schemas.openxmlformats.org/officeDocument/2006/relationships/hyperlink" Target="https://webagentes.canaldirecto.com.ar/incidents/view/799770-5" TargetMode="External"/><Relationship Id="rId3816" Type="http://schemas.openxmlformats.org/officeDocument/2006/relationships/hyperlink" Target="https://webagentes.canaldirecto.com.ar/incidents/view/809379-6" TargetMode="External"/><Relationship Id="rId737" Type="http://schemas.openxmlformats.org/officeDocument/2006/relationships/hyperlink" Target="https://webagentes.canaldirecto.com.ar/incidents/view/678376-1" TargetMode="External"/><Relationship Id="rId944" Type="http://schemas.openxmlformats.org/officeDocument/2006/relationships/hyperlink" Target="https://webagentes.canaldirecto.com.ar/incidents/view/689375-8" TargetMode="External"/><Relationship Id="rId1367" Type="http://schemas.openxmlformats.org/officeDocument/2006/relationships/hyperlink" Target="https://webagentes.canaldirecto.com.ar/incidents/view/711969-9" TargetMode="External"/><Relationship Id="rId1574" Type="http://schemas.openxmlformats.org/officeDocument/2006/relationships/hyperlink" Target="https://webagentes.canaldirecto.com.ar/incidents/view/722485-8" TargetMode="External"/><Relationship Id="rId1781" Type="http://schemas.openxmlformats.org/officeDocument/2006/relationships/hyperlink" Target="https://webagentes.canaldirecto.com.ar/incidents/view/731918-3" TargetMode="External"/><Relationship Id="rId2418" Type="http://schemas.openxmlformats.org/officeDocument/2006/relationships/hyperlink" Target="https://webagentes.canaldirecto.com.ar/incidents/view/758091-2" TargetMode="External"/><Relationship Id="rId2625" Type="http://schemas.openxmlformats.org/officeDocument/2006/relationships/hyperlink" Target="https://webagentes.canaldirecto.com.ar/incidents/view/764081-6" TargetMode="External"/><Relationship Id="rId2832" Type="http://schemas.openxmlformats.org/officeDocument/2006/relationships/hyperlink" Target="https://webagentes.canaldirecto.com.ar/incidents/view/779741-5" TargetMode="External"/><Relationship Id="rId73" Type="http://schemas.openxmlformats.org/officeDocument/2006/relationships/hyperlink" Target="http://webagentes.canaldirecto.com.ar/liquidations/removeIncident/653995-7" TargetMode="External"/><Relationship Id="rId804" Type="http://schemas.openxmlformats.org/officeDocument/2006/relationships/hyperlink" Target="https://webagentes.canaldirecto.com.ar/incidents/view/679196-4" TargetMode="External"/><Relationship Id="rId1227" Type="http://schemas.openxmlformats.org/officeDocument/2006/relationships/hyperlink" Target="https://webagentes.canaldirecto.com.ar/incidents/view/711309-3" TargetMode="External"/><Relationship Id="rId1434" Type="http://schemas.openxmlformats.org/officeDocument/2006/relationships/hyperlink" Target="https://webagentes.canaldirecto.com.ar/incidents/view/716810-9" TargetMode="External"/><Relationship Id="rId1641" Type="http://schemas.openxmlformats.org/officeDocument/2006/relationships/hyperlink" Target="https://webagentes.canaldirecto.com.ar/incidents/view/720133-4" TargetMode="External"/><Relationship Id="rId1879" Type="http://schemas.openxmlformats.org/officeDocument/2006/relationships/hyperlink" Target="https://webagentes.canaldirecto.com.ar/incidents/view/737511-6" TargetMode="External"/><Relationship Id="rId3094" Type="http://schemas.openxmlformats.org/officeDocument/2006/relationships/hyperlink" Target="https://webagentes.canaldirecto.com.ar/incidents/view/789224-2" TargetMode="External"/><Relationship Id="rId1501" Type="http://schemas.openxmlformats.org/officeDocument/2006/relationships/hyperlink" Target="https://webagentes.canaldirecto.com.ar/incidents/view/720638-4" TargetMode="External"/><Relationship Id="rId1739" Type="http://schemas.openxmlformats.org/officeDocument/2006/relationships/hyperlink" Target="https://webagentes.canaldirecto.com.ar/incidents/view/728314-3" TargetMode="External"/><Relationship Id="rId1946" Type="http://schemas.openxmlformats.org/officeDocument/2006/relationships/hyperlink" Target="https://webagentes.canaldirecto.com.ar/incidents/view/741190-4" TargetMode="External"/><Relationship Id="rId3399" Type="http://schemas.openxmlformats.org/officeDocument/2006/relationships/hyperlink" Target="https://webagentes.canaldirecto.com.ar/liquidations/removeIncident/797550-9" TargetMode="External"/><Relationship Id="rId1806" Type="http://schemas.openxmlformats.org/officeDocument/2006/relationships/hyperlink" Target="https://webagentes.canaldirecto.com.ar/incidents/view/736246-8" TargetMode="External"/><Relationship Id="rId3161" Type="http://schemas.openxmlformats.org/officeDocument/2006/relationships/hyperlink" Target="https://webagentes.canaldirecto.com.ar/incidents/view/791423-4" TargetMode="External"/><Relationship Id="rId3259" Type="http://schemas.openxmlformats.org/officeDocument/2006/relationships/hyperlink" Target="https://webagentes.canaldirecto.com.ar/incidents/view/791470-2" TargetMode="External"/><Relationship Id="rId3466" Type="http://schemas.openxmlformats.org/officeDocument/2006/relationships/hyperlink" Target="https://webagentes.canaldirecto.com.ar/incidents/view/796059-8" TargetMode="External"/><Relationship Id="rId387" Type="http://schemas.openxmlformats.org/officeDocument/2006/relationships/hyperlink" Target="https://webagentes.canaldirecto.com.ar/incidents/view/669387-5" TargetMode="External"/><Relationship Id="rId594" Type="http://schemas.openxmlformats.org/officeDocument/2006/relationships/hyperlink" Target="https://webagentes.canaldirecto.com.ar/liquidations/removeIncident/670023-6" TargetMode="External"/><Relationship Id="rId2068" Type="http://schemas.openxmlformats.org/officeDocument/2006/relationships/hyperlink" Target="https://webagentes.canaldirecto.com.ar/incidents/view/742367-1" TargetMode="External"/><Relationship Id="rId2275" Type="http://schemas.openxmlformats.org/officeDocument/2006/relationships/hyperlink" Target="https://webagentes.canaldirecto.com.ar/incidents/view/750992-6" TargetMode="External"/><Relationship Id="rId3021" Type="http://schemas.openxmlformats.org/officeDocument/2006/relationships/hyperlink" Target="https://webagentes.canaldirecto.com.ar/incidents/view/783083-5" TargetMode="External"/><Relationship Id="rId3119" Type="http://schemas.openxmlformats.org/officeDocument/2006/relationships/hyperlink" Target="https://webagentes.canaldirecto.com.ar/incidents/view/788337-8" TargetMode="External"/><Relationship Id="rId3326" Type="http://schemas.openxmlformats.org/officeDocument/2006/relationships/hyperlink" Target="https://webagentes.canaldirecto.com.ar/incidents/view/794230-7" TargetMode="External"/><Relationship Id="rId3673" Type="http://schemas.openxmlformats.org/officeDocument/2006/relationships/hyperlink" Target="https://webagentes.canaldirecto.com.ar/incidents/view/803284-7" TargetMode="External"/><Relationship Id="rId247" Type="http://schemas.openxmlformats.org/officeDocument/2006/relationships/hyperlink" Target="http://webagentes.canaldirecto.com.ar/incidents/view/660787-8" TargetMode="External"/><Relationship Id="rId899" Type="http://schemas.openxmlformats.org/officeDocument/2006/relationships/hyperlink" Target="https://webagentes.canaldirecto.com.ar/liquidations/removeIncident/683825-6" TargetMode="External"/><Relationship Id="rId1084" Type="http://schemas.openxmlformats.org/officeDocument/2006/relationships/hyperlink" Target="https://webagentes.canaldirecto.com.ar/incidents/view/696058-2" TargetMode="External"/><Relationship Id="rId2482" Type="http://schemas.openxmlformats.org/officeDocument/2006/relationships/hyperlink" Target="https://webagentes.canaldirecto.com.ar/incidents/view/759553-4" TargetMode="External"/><Relationship Id="rId2787" Type="http://schemas.openxmlformats.org/officeDocument/2006/relationships/hyperlink" Target="https://webagentes.canaldirecto.com.ar/incidents/view/775954-9" TargetMode="External"/><Relationship Id="rId3533" Type="http://schemas.openxmlformats.org/officeDocument/2006/relationships/hyperlink" Target="https://webagentes.canaldirecto.com.ar/liquidations/removeIncident/795578-1" TargetMode="External"/><Relationship Id="rId3740" Type="http://schemas.openxmlformats.org/officeDocument/2006/relationships/hyperlink" Target="https://webagentes.canaldirecto.com.ar/incidents/view/796558-4" TargetMode="External"/><Relationship Id="rId3838" Type="http://schemas.openxmlformats.org/officeDocument/2006/relationships/hyperlink" Target="https://webagentes.canaldirecto.com.ar/incidents/view/808196-8" TargetMode="External"/><Relationship Id="rId107" Type="http://schemas.openxmlformats.org/officeDocument/2006/relationships/hyperlink" Target="http://webagentes.canaldirecto.com.ar/liquidations/removeIncident/639098-7" TargetMode="External"/><Relationship Id="rId454" Type="http://schemas.openxmlformats.org/officeDocument/2006/relationships/hyperlink" Target="https://webagentes.canaldirecto.com.ar/liquidations/removeIncident/668242-6" TargetMode="External"/><Relationship Id="rId661" Type="http://schemas.openxmlformats.org/officeDocument/2006/relationships/hyperlink" Target="https://webagentes.canaldirecto.com.ar/incidents/view/675555-5" TargetMode="External"/><Relationship Id="rId759" Type="http://schemas.openxmlformats.org/officeDocument/2006/relationships/hyperlink" Target="https://webagentes.canaldirecto.com.ar/incidents/view/677947-6" TargetMode="External"/><Relationship Id="rId966" Type="http://schemas.openxmlformats.org/officeDocument/2006/relationships/hyperlink" Target="https://webagentes.canaldirecto.com.ar/incidents/view/688077-2" TargetMode="External"/><Relationship Id="rId1291" Type="http://schemas.openxmlformats.org/officeDocument/2006/relationships/hyperlink" Target="https://webagentes.canaldirecto.com.ar/incidents/view/704667-6" TargetMode="External"/><Relationship Id="rId1389" Type="http://schemas.openxmlformats.org/officeDocument/2006/relationships/hyperlink" Target="https://webagentes.canaldirecto.com.ar/incidents/view/711612-4" TargetMode="External"/><Relationship Id="rId1596" Type="http://schemas.openxmlformats.org/officeDocument/2006/relationships/hyperlink" Target="https://webagentes.canaldirecto.com.ar/incidents/view/721805-1" TargetMode="External"/><Relationship Id="rId2135" Type="http://schemas.openxmlformats.org/officeDocument/2006/relationships/hyperlink" Target="https://webagentes.canaldirecto.com.ar/incidents/view/745754-4" TargetMode="External"/><Relationship Id="rId2342" Type="http://schemas.openxmlformats.org/officeDocument/2006/relationships/hyperlink" Target="https://webagentes.canaldirecto.com.ar/incidents/view/752850-5" TargetMode="External"/><Relationship Id="rId2647" Type="http://schemas.openxmlformats.org/officeDocument/2006/relationships/hyperlink" Target="https://webagentes.canaldirecto.com.ar/incidents/view/767343-4" TargetMode="External"/><Relationship Id="rId2994" Type="http://schemas.openxmlformats.org/officeDocument/2006/relationships/hyperlink" Target="https://webagentes.canaldirecto.com.ar/incidents/view/784542-0" TargetMode="External"/><Relationship Id="rId3600" Type="http://schemas.openxmlformats.org/officeDocument/2006/relationships/hyperlink" Target="https://webagentes.canaldirecto.com.ar/incidents/view/799972-1" TargetMode="External"/><Relationship Id="rId314" Type="http://schemas.openxmlformats.org/officeDocument/2006/relationships/hyperlink" Target="https://webagentes.canaldirecto.com.ar/incidents/view/662293-8" TargetMode="External"/><Relationship Id="rId521" Type="http://schemas.openxmlformats.org/officeDocument/2006/relationships/hyperlink" Target="https://webagentes.canaldirecto.com.ar/incidents/view/672485-6" TargetMode="External"/><Relationship Id="rId619" Type="http://schemas.openxmlformats.org/officeDocument/2006/relationships/hyperlink" Target="https://webagentes.canaldirecto.com.ar/incidents/view/677256-1" TargetMode="External"/><Relationship Id="rId1151" Type="http://schemas.openxmlformats.org/officeDocument/2006/relationships/hyperlink" Target="https://webagentes.canaldirecto.com.ar/incidents/view/702537-2" TargetMode="External"/><Relationship Id="rId1249" Type="http://schemas.openxmlformats.org/officeDocument/2006/relationships/hyperlink" Target="https://webagentes.canaldirecto.com.ar/incidents/view/709268-4" TargetMode="External"/><Relationship Id="rId2202" Type="http://schemas.openxmlformats.org/officeDocument/2006/relationships/hyperlink" Target="https://webagentes.canaldirecto.com.ar/incidents/view/748670-4" TargetMode="External"/><Relationship Id="rId2854" Type="http://schemas.openxmlformats.org/officeDocument/2006/relationships/hyperlink" Target="https://webagentes.canaldirecto.com.ar/incidents/view/779271-1" TargetMode="External"/><Relationship Id="rId95" Type="http://schemas.openxmlformats.org/officeDocument/2006/relationships/hyperlink" Target="http://webagentes.canaldirecto.com.ar/liquidations/removeIncident/653404-0" TargetMode="External"/><Relationship Id="rId826" Type="http://schemas.openxmlformats.org/officeDocument/2006/relationships/hyperlink" Target="https://webagentes.canaldirecto.com.ar/incidents/view/686295-2" TargetMode="External"/><Relationship Id="rId1011" Type="http://schemas.openxmlformats.org/officeDocument/2006/relationships/hyperlink" Target="https://webagentes.canaldirecto.com.ar/incidents/view/690401-8" TargetMode="External"/><Relationship Id="rId1109" Type="http://schemas.openxmlformats.org/officeDocument/2006/relationships/hyperlink" Target="https://webagentes.canaldirecto.com.ar/incidents/view/699454-3" TargetMode="External"/><Relationship Id="rId1456" Type="http://schemas.openxmlformats.org/officeDocument/2006/relationships/hyperlink" Target="https://webagentes.canaldirecto.com.ar/incidents/view/716422-8" TargetMode="External"/><Relationship Id="rId1663" Type="http://schemas.openxmlformats.org/officeDocument/2006/relationships/hyperlink" Target="https://webagentes.canaldirecto.com.ar/incidents/view/727776-2" TargetMode="External"/><Relationship Id="rId1870" Type="http://schemas.openxmlformats.org/officeDocument/2006/relationships/hyperlink" Target="https://webagentes.canaldirecto.com.ar/liquidations/removeIncident/737869-0" TargetMode="External"/><Relationship Id="rId1968" Type="http://schemas.openxmlformats.org/officeDocument/2006/relationships/hyperlink" Target="https://webagentes.canaldirecto.com.ar/incidents/view/740024-5" TargetMode="External"/><Relationship Id="rId2507" Type="http://schemas.openxmlformats.org/officeDocument/2006/relationships/hyperlink" Target="https://webagentes.canaldirecto.com.ar/liquidations/removeIncident/763632-7" TargetMode="External"/><Relationship Id="rId2714" Type="http://schemas.openxmlformats.org/officeDocument/2006/relationships/hyperlink" Target="https://webagentes.canaldirecto.com.ar/incidents/view/768828-7" TargetMode="External"/><Relationship Id="rId2921" Type="http://schemas.openxmlformats.org/officeDocument/2006/relationships/hyperlink" Target="https://webagentes.canaldirecto.com.ar/incidents/view/782731-8" TargetMode="External"/><Relationship Id="rId1316" Type="http://schemas.openxmlformats.org/officeDocument/2006/relationships/hyperlink" Target="https://webagentes.canaldirecto.com.ar/incidents/view/712500-7" TargetMode="External"/><Relationship Id="rId1523" Type="http://schemas.openxmlformats.org/officeDocument/2006/relationships/hyperlink" Target="https://webagentes.canaldirecto.com.ar/incidents/view/720019-5" TargetMode="External"/><Relationship Id="rId1730" Type="http://schemas.openxmlformats.org/officeDocument/2006/relationships/hyperlink" Target="https://webagentes.canaldirecto.com.ar/incidents/view/729016-1" TargetMode="External"/><Relationship Id="rId3183" Type="http://schemas.openxmlformats.org/officeDocument/2006/relationships/hyperlink" Target="https://webagentes.canaldirecto.com.ar/incidents/view/790897-8" TargetMode="External"/><Relationship Id="rId3390" Type="http://schemas.openxmlformats.org/officeDocument/2006/relationships/hyperlink" Target="https://webagentes.canaldirecto.com.ar/incidents/view/791758-7" TargetMode="External"/><Relationship Id="rId22" Type="http://schemas.openxmlformats.org/officeDocument/2006/relationships/hyperlink" Target="http://webagentes.canaldirecto.com.ar/incidents/view/651986-5" TargetMode="External"/><Relationship Id="rId1828" Type="http://schemas.openxmlformats.org/officeDocument/2006/relationships/hyperlink" Target="https://webagentes.canaldirecto.com.ar/incidents/view/735349-7" TargetMode="External"/><Relationship Id="rId3043" Type="http://schemas.openxmlformats.org/officeDocument/2006/relationships/hyperlink" Target="https://webagentes.canaldirecto.com.ar/incidents/view/787018-9" TargetMode="External"/><Relationship Id="rId3250" Type="http://schemas.openxmlformats.org/officeDocument/2006/relationships/hyperlink" Target="https://webagentes.canaldirecto.com.ar/incidents/view/791762-0" TargetMode="External"/><Relationship Id="rId3488" Type="http://schemas.openxmlformats.org/officeDocument/2006/relationships/hyperlink" Target="https://webagentes.canaldirecto.com.ar/incidents/view/795877-9" TargetMode="External"/><Relationship Id="rId3695" Type="http://schemas.openxmlformats.org/officeDocument/2006/relationships/hyperlink" Target="https://webagentes.canaldirecto.com.ar/incidents/view/802418-5" TargetMode="External"/><Relationship Id="rId171" Type="http://schemas.openxmlformats.org/officeDocument/2006/relationships/hyperlink" Target="http://webagentes.canaldirecto.com.ar/liquidations/removeIncident/656914-3" TargetMode="External"/><Relationship Id="rId2297" Type="http://schemas.openxmlformats.org/officeDocument/2006/relationships/hyperlink" Target="https://webagentes.canaldirecto.com.ar/incidents/view/749610-9" TargetMode="External"/><Relationship Id="rId3348" Type="http://schemas.openxmlformats.org/officeDocument/2006/relationships/hyperlink" Target="https://webagentes.canaldirecto.com.ar/incidents/view/793116-1" TargetMode="External"/><Relationship Id="rId3555" Type="http://schemas.openxmlformats.org/officeDocument/2006/relationships/hyperlink" Target="https://webagentes.canaldirecto.com.ar/liquidations/removeIncident/795334-9" TargetMode="External"/><Relationship Id="rId3762" Type="http://schemas.openxmlformats.org/officeDocument/2006/relationships/hyperlink" Target="https://webagentes.canaldirecto.com.ar/incidents/view/805551-0" TargetMode="External"/><Relationship Id="rId269" Type="http://schemas.openxmlformats.org/officeDocument/2006/relationships/hyperlink" Target="http://webagentes.canaldirecto.com.ar/incidents/view/658296-8" TargetMode="External"/><Relationship Id="rId476" Type="http://schemas.openxmlformats.org/officeDocument/2006/relationships/hyperlink" Target="https://webagentes.canaldirecto.com.ar/liquidations/removeIncident/667100-4" TargetMode="External"/><Relationship Id="rId683" Type="http://schemas.openxmlformats.org/officeDocument/2006/relationships/hyperlink" Target="https://webagentes.canaldirecto.com.ar/incidents/view/674650-2" TargetMode="External"/><Relationship Id="rId890" Type="http://schemas.openxmlformats.org/officeDocument/2006/relationships/hyperlink" Target="https://webagentes.canaldirecto.com.ar/incidents/view/684295-8" TargetMode="External"/><Relationship Id="rId2157" Type="http://schemas.openxmlformats.org/officeDocument/2006/relationships/hyperlink" Target="https://webagentes.canaldirecto.com.ar/incidents/view/745136-4" TargetMode="External"/><Relationship Id="rId2364" Type="http://schemas.openxmlformats.org/officeDocument/2006/relationships/hyperlink" Target="https://webagentes.canaldirecto.com.ar/incidents/view/755848-1" TargetMode="External"/><Relationship Id="rId2571" Type="http://schemas.openxmlformats.org/officeDocument/2006/relationships/hyperlink" Target="https://webagentes.canaldirecto.com.ar/liquidations/removeIncident/761580-1" TargetMode="External"/><Relationship Id="rId3110" Type="http://schemas.openxmlformats.org/officeDocument/2006/relationships/hyperlink" Target="https://webagentes.canaldirecto.com.ar/incidents/view/788347-5" TargetMode="External"/><Relationship Id="rId3208" Type="http://schemas.openxmlformats.org/officeDocument/2006/relationships/hyperlink" Target="https://webagentes.canaldirecto.com.ar/incidents/view/790191-1" TargetMode="External"/><Relationship Id="rId3415" Type="http://schemas.openxmlformats.org/officeDocument/2006/relationships/hyperlink" Target="https://webagentes.canaldirecto.com.ar/liquidations/removeIncident/797418-4" TargetMode="External"/><Relationship Id="rId129" Type="http://schemas.openxmlformats.org/officeDocument/2006/relationships/hyperlink" Target="http://webagentes.canaldirecto.com.ar/liquidations/removeIncident/658003-0" TargetMode="External"/><Relationship Id="rId336" Type="http://schemas.openxmlformats.org/officeDocument/2006/relationships/hyperlink" Target="https://webagentes.canaldirecto.com.ar/incidents/view/666593-3" TargetMode="External"/><Relationship Id="rId543" Type="http://schemas.openxmlformats.org/officeDocument/2006/relationships/hyperlink" Target="https://webagentes.canaldirecto.com.ar/incidents/view/670930-7" TargetMode="External"/><Relationship Id="rId988" Type="http://schemas.openxmlformats.org/officeDocument/2006/relationships/hyperlink" Target="https://webagentes.canaldirecto.com.ar/incidents/view/692043-2" TargetMode="External"/><Relationship Id="rId1173" Type="http://schemas.openxmlformats.org/officeDocument/2006/relationships/hyperlink" Target="https://webagentes.canaldirecto.com.ar/incidents/view/700093-9" TargetMode="External"/><Relationship Id="rId1380" Type="http://schemas.openxmlformats.org/officeDocument/2006/relationships/hyperlink" Target="https://webagentes.canaldirecto.com.ar/incidents/view/711627-6" TargetMode="External"/><Relationship Id="rId2017" Type="http://schemas.openxmlformats.org/officeDocument/2006/relationships/hyperlink" Target="https://webagentes.canaldirecto.com.ar/incidents/view/744003-0" TargetMode="External"/><Relationship Id="rId2224" Type="http://schemas.openxmlformats.org/officeDocument/2006/relationships/hyperlink" Target="https://webagentes.canaldirecto.com.ar/incidents/view/748367-3" TargetMode="External"/><Relationship Id="rId2669" Type="http://schemas.openxmlformats.org/officeDocument/2006/relationships/hyperlink" Target="https://webagentes.canaldirecto.com.ar/incidents/view/771093-9" TargetMode="External"/><Relationship Id="rId2876" Type="http://schemas.openxmlformats.org/officeDocument/2006/relationships/hyperlink" Target="https://webagentes.canaldirecto.com.ar/incidents/view/779016-6" TargetMode="External"/><Relationship Id="rId3622" Type="http://schemas.openxmlformats.org/officeDocument/2006/relationships/hyperlink" Target="https://webagentes.canaldirecto.com.ar/incidents/view/799674-2" TargetMode="External"/><Relationship Id="rId403" Type="http://schemas.openxmlformats.org/officeDocument/2006/relationships/hyperlink" Target="https://webagentes.canaldirecto.com.ar/incidents/view/669379-6" TargetMode="External"/><Relationship Id="rId750" Type="http://schemas.openxmlformats.org/officeDocument/2006/relationships/hyperlink" Target="https://webagentes.canaldirecto.com.ar/incidents/view/678114-3" TargetMode="External"/><Relationship Id="rId848" Type="http://schemas.openxmlformats.org/officeDocument/2006/relationships/hyperlink" Target="https://webagentes.canaldirecto.com.ar/incidents/view/686009-7" TargetMode="External"/><Relationship Id="rId1033" Type="http://schemas.openxmlformats.org/officeDocument/2006/relationships/hyperlink" Target="https://webagentes.canaldirecto.com.ar/incidents/view/694957-0" TargetMode="External"/><Relationship Id="rId1478" Type="http://schemas.openxmlformats.org/officeDocument/2006/relationships/hyperlink" Target="https://webagentes.canaldirecto.com.ar/incidents/view/715650-2" TargetMode="External"/><Relationship Id="rId1685" Type="http://schemas.openxmlformats.org/officeDocument/2006/relationships/hyperlink" Target="https://webagentes.canaldirecto.com.ar/incidents/view/727118-4" TargetMode="External"/><Relationship Id="rId1892" Type="http://schemas.openxmlformats.org/officeDocument/2006/relationships/hyperlink" Target="https://webagentes.canaldirecto.com.ar/liquidations/removeIncident/737353-4" TargetMode="External"/><Relationship Id="rId2431" Type="http://schemas.openxmlformats.org/officeDocument/2006/relationships/hyperlink" Target="https://webagentes.canaldirecto.com.ar/incidents/view/761374-2" TargetMode="External"/><Relationship Id="rId2529" Type="http://schemas.openxmlformats.org/officeDocument/2006/relationships/hyperlink" Target="https://webagentes.canaldirecto.com.ar/liquidations/removeIncident/762707-3" TargetMode="External"/><Relationship Id="rId2736" Type="http://schemas.openxmlformats.org/officeDocument/2006/relationships/hyperlink" Target="https://webagentes.canaldirecto.com.ar/incidents/view/773285-2" TargetMode="External"/><Relationship Id="rId610" Type="http://schemas.openxmlformats.org/officeDocument/2006/relationships/hyperlink" Target="https://webagentes.canaldirecto.com.ar/liquidations/removeIncident/662362-7" TargetMode="External"/><Relationship Id="rId708" Type="http://schemas.openxmlformats.org/officeDocument/2006/relationships/hyperlink" Target="https://webagentes.canaldirecto.com.ar/incidents/view/673125-4" TargetMode="External"/><Relationship Id="rId915" Type="http://schemas.openxmlformats.org/officeDocument/2006/relationships/hyperlink" Target="https://webagentes.canaldirecto.com.ar/liquidations/removeIncident/683547-1" TargetMode="External"/><Relationship Id="rId1240" Type="http://schemas.openxmlformats.org/officeDocument/2006/relationships/hyperlink" Target="https://webagentes.canaldirecto.com.ar/incidents/view/710110-4" TargetMode="External"/><Relationship Id="rId1338" Type="http://schemas.openxmlformats.org/officeDocument/2006/relationships/hyperlink" Target="https://webagentes.canaldirecto.com.ar/incidents/view/712192-2" TargetMode="External"/><Relationship Id="rId1545" Type="http://schemas.openxmlformats.org/officeDocument/2006/relationships/hyperlink" Target="https://webagentes.canaldirecto.com.ar/incidents/view/718756-6" TargetMode="External"/><Relationship Id="rId2943" Type="http://schemas.openxmlformats.org/officeDocument/2006/relationships/hyperlink" Target="https://webagentes.canaldirecto.com.ar/incidents/view/782121-7" TargetMode="External"/><Relationship Id="rId1100" Type="http://schemas.openxmlformats.org/officeDocument/2006/relationships/hyperlink" Target="https://webagentes.canaldirecto.com.ar/incidents/view/700111-4" TargetMode="External"/><Relationship Id="rId1405" Type="http://schemas.openxmlformats.org/officeDocument/2006/relationships/hyperlink" Target="https://webagentes.canaldirecto.com.ar/incidents/view/717163-5" TargetMode="External"/><Relationship Id="rId1752" Type="http://schemas.openxmlformats.org/officeDocument/2006/relationships/hyperlink" Target="https://webagentes.canaldirecto.com.ar/incidents/view/732815-4" TargetMode="External"/><Relationship Id="rId2803" Type="http://schemas.openxmlformats.org/officeDocument/2006/relationships/hyperlink" Target="https://webagentes.canaldirecto.com.ar/incidents/view/780443-2" TargetMode="External"/><Relationship Id="rId44" Type="http://schemas.openxmlformats.org/officeDocument/2006/relationships/hyperlink" Target="http://webagentes.canaldirecto.com.ar/incidents/view/649090-4" TargetMode="External"/><Relationship Id="rId1612" Type="http://schemas.openxmlformats.org/officeDocument/2006/relationships/hyperlink" Target="https://webagentes.canaldirecto.com.ar/incidents/view/725953-5" TargetMode="External"/><Relationship Id="rId1917" Type="http://schemas.openxmlformats.org/officeDocument/2006/relationships/hyperlink" Target="https://webagentes.canaldirecto.com.ar/liquidations/removeIncident/736736-6" TargetMode="External"/><Relationship Id="rId3065" Type="http://schemas.openxmlformats.org/officeDocument/2006/relationships/hyperlink" Target="https://webagentes.canaldirecto.com.ar/incidents/view/786163-1" TargetMode="External"/><Relationship Id="rId3272" Type="http://schemas.openxmlformats.org/officeDocument/2006/relationships/hyperlink" Target="https://webagentes.canaldirecto.com.ar/incidents/view/791173-2" TargetMode="External"/><Relationship Id="rId193" Type="http://schemas.openxmlformats.org/officeDocument/2006/relationships/hyperlink" Target="http://webagentes.canaldirecto.com.ar/liquidations/removeIncident/656358-3" TargetMode="External"/><Relationship Id="rId498" Type="http://schemas.openxmlformats.org/officeDocument/2006/relationships/hyperlink" Target="https://webagentes.canaldirecto.com.ar/liquidations/removeIncident/673122-7" TargetMode="External"/><Relationship Id="rId2081" Type="http://schemas.openxmlformats.org/officeDocument/2006/relationships/hyperlink" Target="https://webagentes.canaldirecto.com.ar/incidents/view/746814-2" TargetMode="External"/><Relationship Id="rId2179" Type="http://schemas.openxmlformats.org/officeDocument/2006/relationships/hyperlink" Target="https://webagentes.canaldirecto.com.ar/incidents/view/749272-3" TargetMode="External"/><Relationship Id="rId3132" Type="http://schemas.openxmlformats.org/officeDocument/2006/relationships/hyperlink" Target="https://webagentes.canaldirecto.com.ar/incidents/view/788095-5" TargetMode="External"/><Relationship Id="rId3577" Type="http://schemas.openxmlformats.org/officeDocument/2006/relationships/hyperlink" Target="https://webagentes.canaldirecto.com.ar/liquidations/removeIncident/794593-3" TargetMode="External"/><Relationship Id="rId3784" Type="http://schemas.openxmlformats.org/officeDocument/2006/relationships/hyperlink" Target="https://webagentes.canaldirecto.com.ar/incidents/view/804325-0" TargetMode="External"/><Relationship Id="rId260" Type="http://schemas.openxmlformats.org/officeDocument/2006/relationships/hyperlink" Target="http://webagentes.canaldirecto.com.ar/incidents/view/659195-7" TargetMode="External"/><Relationship Id="rId2386" Type="http://schemas.openxmlformats.org/officeDocument/2006/relationships/hyperlink" Target="https://webagentes.canaldirecto.com.ar/incidents/view/754896-1" TargetMode="External"/><Relationship Id="rId2593" Type="http://schemas.openxmlformats.org/officeDocument/2006/relationships/hyperlink" Target="https://webagentes.canaldirecto.com.ar/liquidations/removeIncident/760812-0" TargetMode="External"/><Relationship Id="rId3437" Type="http://schemas.openxmlformats.org/officeDocument/2006/relationships/hyperlink" Target="https://webagentes.canaldirecto.com.ar/liquidations/removeIncident/797107-1" TargetMode="External"/><Relationship Id="rId3644" Type="http://schemas.openxmlformats.org/officeDocument/2006/relationships/hyperlink" Target="https://webagentes.canaldirecto.com.ar/incidents/view/798686-0" TargetMode="External"/><Relationship Id="rId3851" Type="http://schemas.openxmlformats.org/officeDocument/2006/relationships/hyperlink" Target="https://webagentes.canaldirecto.com.ar/incidents/view/807208-5" TargetMode="External"/><Relationship Id="rId120" Type="http://schemas.openxmlformats.org/officeDocument/2006/relationships/hyperlink" Target="http://webagentes.canaldirecto.com.ar/incidents/view/658008-5" TargetMode="External"/><Relationship Id="rId358" Type="http://schemas.openxmlformats.org/officeDocument/2006/relationships/hyperlink" Target="https://webagentes.canaldirecto.com.ar/incidents/view/663947-9" TargetMode="External"/><Relationship Id="rId565" Type="http://schemas.openxmlformats.org/officeDocument/2006/relationships/hyperlink" Target="https://webagentes.canaldirecto.com.ar/incidents/view/670661-0" TargetMode="External"/><Relationship Id="rId772" Type="http://schemas.openxmlformats.org/officeDocument/2006/relationships/hyperlink" Target="https://webagentes.canaldirecto.com.ar/incidents/view/677403-7" TargetMode="External"/><Relationship Id="rId1195" Type="http://schemas.openxmlformats.org/officeDocument/2006/relationships/hyperlink" Target="https://webagentes.canaldirecto.com.ar/incidents/view/705432-9" TargetMode="External"/><Relationship Id="rId2039" Type="http://schemas.openxmlformats.org/officeDocument/2006/relationships/hyperlink" Target="https://webagentes.canaldirecto.com.ar/incidents/view/743493-2" TargetMode="External"/><Relationship Id="rId2246" Type="http://schemas.openxmlformats.org/officeDocument/2006/relationships/hyperlink" Target="https://webagentes.canaldirecto.com.ar/incidents/view/746680-7" TargetMode="External"/><Relationship Id="rId2453" Type="http://schemas.openxmlformats.org/officeDocument/2006/relationships/hyperlink" Target="https://webagentes.canaldirecto.com.ar/incidents/view/760800-5" TargetMode="External"/><Relationship Id="rId2660" Type="http://schemas.openxmlformats.org/officeDocument/2006/relationships/hyperlink" Target="https://webagentes.canaldirecto.com.ar/incidents/view/766635-5" TargetMode="External"/><Relationship Id="rId2898" Type="http://schemas.openxmlformats.org/officeDocument/2006/relationships/hyperlink" Target="https://webagentes.canaldirecto.com.ar/incidents/view/777259-5" TargetMode="External"/><Relationship Id="rId3504" Type="http://schemas.openxmlformats.org/officeDocument/2006/relationships/hyperlink" Target="https://webagentes.canaldirecto.com.ar/incidents/view/795743-3" TargetMode="External"/><Relationship Id="rId3711" Type="http://schemas.openxmlformats.org/officeDocument/2006/relationships/hyperlink" Target="https://webagentes.canaldirecto.com.ar/incidents/view/801539-0" TargetMode="External"/><Relationship Id="rId218" Type="http://schemas.openxmlformats.org/officeDocument/2006/relationships/hyperlink" Target="http://webagentes.canaldirecto.com.ar/incidents/view/655244-4" TargetMode="External"/><Relationship Id="rId425" Type="http://schemas.openxmlformats.org/officeDocument/2006/relationships/hyperlink" Target="https://webagentes.canaldirecto.com.ar/incidents/view/669009-0" TargetMode="External"/><Relationship Id="rId632" Type="http://schemas.openxmlformats.org/officeDocument/2006/relationships/hyperlink" Target="https://webagentes.canaldirecto.com.ar/incidents/view/676751-4" TargetMode="External"/><Relationship Id="rId1055" Type="http://schemas.openxmlformats.org/officeDocument/2006/relationships/hyperlink" Target="https://webagentes.canaldirecto.com.ar/incidents/view/693137-7" TargetMode="External"/><Relationship Id="rId1262" Type="http://schemas.openxmlformats.org/officeDocument/2006/relationships/hyperlink" Target="https://webagentes.canaldirecto.com.ar/incidents/view/708670-8" TargetMode="External"/><Relationship Id="rId2106" Type="http://schemas.openxmlformats.org/officeDocument/2006/relationships/hyperlink" Target="https://webagentes.canaldirecto.com.ar/incidents/view/746307-7" TargetMode="External"/><Relationship Id="rId2313" Type="http://schemas.openxmlformats.org/officeDocument/2006/relationships/hyperlink" Target="https://webagentes.canaldirecto.com.ar/incidents/view/749084-0" TargetMode="External"/><Relationship Id="rId2520" Type="http://schemas.openxmlformats.org/officeDocument/2006/relationships/hyperlink" Target="https://webagentes.canaldirecto.com.ar/incidents/view/763002-2" TargetMode="External"/><Relationship Id="rId2758" Type="http://schemas.openxmlformats.org/officeDocument/2006/relationships/hyperlink" Target="https://webagentes.canaldirecto.com.ar/incidents/view/772162-5" TargetMode="External"/><Relationship Id="rId2965" Type="http://schemas.openxmlformats.org/officeDocument/2006/relationships/hyperlink" Target="https://webagentes.canaldirecto.com.ar/incidents/view/781120-1" TargetMode="External"/><Relationship Id="rId3809" Type="http://schemas.openxmlformats.org/officeDocument/2006/relationships/hyperlink" Target="https://webagentes.canaldirecto.com.ar/incidents/view/809404-1" TargetMode="External"/><Relationship Id="rId937" Type="http://schemas.openxmlformats.org/officeDocument/2006/relationships/hyperlink" Target="https://webagentes.canaldirecto.com.ar/incidents/view/689382-8" TargetMode="External"/><Relationship Id="rId1122" Type="http://schemas.openxmlformats.org/officeDocument/2006/relationships/hyperlink" Target="https://webagentes.canaldirecto.com.ar/incidents/view/697771-3" TargetMode="External"/><Relationship Id="rId1567" Type="http://schemas.openxmlformats.org/officeDocument/2006/relationships/hyperlink" Target="https://webagentes.canaldirecto.com.ar/incidents/view/723257-4" TargetMode="External"/><Relationship Id="rId1774" Type="http://schemas.openxmlformats.org/officeDocument/2006/relationships/hyperlink" Target="https://webagentes.canaldirecto.com.ar/incidents/view/732646-6" TargetMode="External"/><Relationship Id="rId1981" Type="http://schemas.openxmlformats.org/officeDocument/2006/relationships/hyperlink" Target="https://webagentes.canaldirecto.com.ar/incidents/view/744533-6" TargetMode="External"/><Relationship Id="rId2618" Type="http://schemas.openxmlformats.org/officeDocument/2006/relationships/hyperlink" Target="https://webagentes.canaldirecto.com.ar/incidents/view/764653-7" TargetMode="External"/><Relationship Id="rId2825" Type="http://schemas.openxmlformats.org/officeDocument/2006/relationships/hyperlink" Target="https://webagentes.canaldirecto.com.ar/incidents/view/779818-6" TargetMode="External"/><Relationship Id="rId66" Type="http://schemas.openxmlformats.org/officeDocument/2006/relationships/hyperlink" Target="http://webagentes.canaldirecto.com.ar/incidents/view/654651-3" TargetMode="External"/><Relationship Id="rId1427" Type="http://schemas.openxmlformats.org/officeDocument/2006/relationships/hyperlink" Target="https://webagentes.canaldirecto.com.ar/incidents/view/716822-4" TargetMode="External"/><Relationship Id="rId1634" Type="http://schemas.openxmlformats.org/officeDocument/2006/relationships/hyperlink" Target="https://webagentes.canaldirecto.com.ar/incidents/view/723364-3" TargetMode="External"/><Relationship Id="rId1841" Type="http://schemas.openxmlformats.org/officeDocument/2006/relationships/hyperlink" Target="https://webagentes.canaldirecto.com.ar/incidents/view/734093-4" TargetMode="External"/><Relationship Id="rId3087" Type="http://schemas.openxmlformats.org/officeDocument/2006/relationships/hyperlink" Target="https://webagentes.canaldirecto.com.ar/incidents/view/785143-0" TargetMode="External"/><Relationship Id="rId3294" Type="http://schemas.openxmlformats.org/officeDocument/2006/relationships/hyperlink" Target="https://webagentes.canaldirecto.com.ar/incidents/view/789475-4" TargetMode="External"/><Relationship Id="rId1939" Type="http://schemas.openxmlformats.org/officeDocument/2006/relationships/hyperlink" Target="https://webagentes.canaldirecto.com.ar/incidents/view/741292-1" TargetMode="External"/><Relationship Id="rId3599" Type="http://schemas.openxmlformats.org/officeDocument/2006/relationships/hyperlink" Target="https://webagentes.canaldirecto.com.ar/incidents/view/799973-0" TargetMode="External"/><Relationship Id="rId1701" Type="http://schemas.openxmlformats.org/officeDocument/2006/relationships/hyperlink" Target="https://webagentes.canaldirecto.com.ar/incidents/view/730655-0" TargetMode="External"/><Relationship Id="rId3154" Type="http://schemas.openxmlformats.org/officeDocument/2006/relationships/hyperlink" Target="https://webagentes.canaldirecto.com.ar/incidents/view/791430-4" TargetMode="External"/><Relationship Id="rId3361" Type="http://schemas.openxmlformats.org/officeDocument/2006/relationships/hyperlink" Target="https://webagentes.canaldirecto.com.ar/incidents/view/792638-1" TargetMode="External"/><Relationship Id="rId3459" Type="http://schemas.openxmlformats.org/officeDocument/2006/relationships/hyperlink" Target="https://webagentes.canaldirecto.com.ar/liquidations/removeIncident/796145-4" TargetMode="External"/><Relationship Id="rId3666" Type="http://schemas.openxmlformats.org/officeDocument/2006/relationships/hyperlink" Target="https://webagentes.canaldirecto.com.ar/incidents/view/796581-2" TargetMode="External"/><Relationship Id="rId282" Type="http://schemas.openxmlformats.org/officeDocument/2006/relationships/hyperlink" Target="https://webagentes.canaldirecto.com.ar/incidents/view/662840-0" TargetMode="External"/><Relationship Id="rId587" Type="http://schemas.openxmlformats.org/officeDocument/2006/relationships/hyperlink" Target="https://webagentes.canaldirecto.com.ar/incidents/view/670181-9" TargetMode="External"/><Relationship Id="rId2170" Type="http://schemas.openxmlformats.org/officeDocument/2006/relationships/hyperlink" Target="https://webagentes.canaldirecto.com.ar/incidents/view/744417-9" TargetMode="External"/><Relationship Id="rId2268" Type="http://schemas.openxmlformats.org/officeDocument/2006/relationships/hyperlink" Target="https://webagentes.canaldirecto.com.ar/incidents/view/751361-9" TargetMode="External"/><Relationship Id="rId3014" Type="http://schemas.openxmlformats.org/officeDocument/2006/relationships/hyperlink" Target="https://webagentes.canaldirecto.com.ar/incidents/view/783091-4" TargetMode="External"/><Relationship Id="rId3221" Type="http://schemas.openxmlformats.org/officeDocument/2006/relationships/hyperlink" Target="https://webagentes.canaldirecto.com.ar/incidents/view/789364-9" TargetMode="External"/><Relationship Id="rId3319" Type="http://schemas.openxmlformats.org/officeDocument/2006/relationships/hyperlink" Target="https://webagentes.canaldirecto.com.ar/incidents/view/794384-7" TargetMode="External"/><Relationship Id="rId8" Type="http://schemas.openxmlformats.org/officeDocument/2006/relationships/hyperlink" Target="http://webagentes.canaldirecto.com.ar/incidents/view/652062-1" TargetMode="External"/><Relationship Id="rId142" Type="http://schemas.openxmlformats.org/officeDocument/2006/relationships/hyperlink" Target="http://webagentes.canaldirecto.com.ar/incidents/view/657507-4" TargetMode="External"/><Relationship Id="rId447" Type="http://schemas.openxmlformats.org/officeDocument/2006/relationships/hyperlink" Target="https://webagentes.canaldirecto.com.ar/incidents/view/668348-9" TargetMode="External"/><Relationship Id="rId794" Type="http://schemas.openxmlformats.org/officeDocument/2006/relationships/hyperlink" Target="https://webagentes.canaldirecto.com.ar/incidents/view/681984-4" TargetMode="External"/><Relationship Id="rId1077" Type="http://schemas.openxmlformats.org/officeDocument/2006/relationships/hyperlink" Target="https://webagentes.canaldirecto.com.ar/incidents/view/696989-3" TargetMode="External"/><Relationship Id="rId2030" Type="http://schemas.openxmlformats.org/officeDocument/2006/relationships/hyperlink" Target="https://webagentes.canaldirecto.com.ar/incidents/view/743626-8" TargetMode="External"/><Relationship Id="rId2128" Type="http://schemas.openxmlformats.org/officeDocument/2006/relationships/hyperlink" Target="https://webagentes.canaldirecto.com.ar/incidents/view/745927-8" TargetMode="External"/><Relationship Id="rId2475" Type="http://schemas.openxmlformats.org/officeDocument/2006/relationships/hyperlink" Target="https://webagentes.canaldirecto.com.ar/incidents/view/760042-9" TargetMode="External"/><Relationship Id="rId2682" Type="http://schemas.openxmlformats.org/officeDocument/2006/relationships/hyperlink" Target="https://webagentes.canaldirecto.com.ar/incidents/view/770448-8" TargetMode="External"/><Relationship Id="rId2987" Type="http://schemas.openxmlformats.org/officeDocument/2006/relationships/hyperlink" Target="https://webagentes.canaldirecto.com.ar/incidents/view/785171-3" TargetMode="External"/><Relationship Id="rId3526" Type="http://schemas.openxmlformats.org/officeDocument/2006/relationships/hyperlink" Target="https://webagentes.canaldirecto.com.ar/incidents/view/795582-4" TargetMode="External"/><Relationship Id="rId3733" Type="http://schemas.openxmlformats.org/officeDocument/2006/relationships/hyperlink" Target="https://webagentes.canaldirecto.com.ar/incidents/view/800425-1" TargetMode="External"/><Relationship Id="rId654" Type="http://schemas.openxmlformats.org/officeDocument/2006/relationships/hyperlink" Target="https://webagentes.canaldirecto.com.ar/incidents/view/675615-6" TargetMode="External"/><Relationship Id="rId861" Type="http://schemas.openxmlformats.org/officeDocument/2006/relationships/hyperlink" Target="https://webagentes.canaldirecto.com.ar/liquidations/removeIncident/685193-8" TargetMode="External"/><Relationship Id="rId959" Type="http://schemas.openxmlformats.org/officeDocument/2006/relationships/hyperlink" Target="https://webagentes.canaldirecto.com.ar/incidents/view/688192-0" TargetMode="External"/><Relationship Id="rId1284" Type="http://schemas.openxmlformats.org/officeDocument/2006/relationships/hyperlink" Target="https://webagentes.canaldirecto.com.ar/incidents/view/706634-2" TargetMode="External"/><Relationship Id="rId1491" Type="http://schemas.openxmlformats.org/officeDocument/2006/relationships/hyperlink" Target="https://webagentes.canaldirecto.com.ar/incidents/view/713530-5" TargetMode="External"/><Relationship Id="rId1589" Type="http://schemas.openxmlformats.org/officeDocument/2006/relationships/hyperlink" Target="https://webagentes.canaldirecto.com.ar/incidents/view/721873-2" TargetMode="External"/><Relationship Id="rId2335" Type="http://schemas.openxmlformats.org/officeDocument/2006/relationships/hyperlink" Target="https://webagentes.canaldirecto.com.ar/incidents/view/752888-8" TargetMode="External"/><Relationship Id="rId2542" Type="http://schemas.openxmlformats.org/officeDocument/2006/relationships/hyperlink" Target="https://webagentes.canaldirecto.com.ar/incidents/view/762368-8" TargetMode="External"/><Relationship Id="rId3800" Type="http://schemas.openxmlformats.org/officeDocument/2006/relationships/hyperlink" Target="https://webagentes.canaldirecto.com.ar/incidents/view/809937-4" TargetMode="External"/><Relationship Id="rId307" Type="http://schemas.openxmlformats.org/officeDocument/2006/relationships/hyperlink" Target="https://webagentes.canaldirecto.com.ar/incidents/view/662375-1" TargetMode="External"/><Relationship Id="rId514" Type="http://schemas.openxmlformats.org/officeDocument/2006/relationships/hyperlink" Target="https://webagentes.canaldirecto.com.ar/liquidations/removeIncident/672497-1" TargetMode="External"/><Relationship Id="rId721" Type="http://schemas.openxmlformats.org/officeDocument/2006/relationships/hyperlink" Target="https://webagentes.canaldirecto.com.ar/incidents/view/679891-2" TargetMode="External"/><Relationship Id="rId1144" Type="http://schemas.openxmlformats.org/officeDocument/2006/relationships/hyperlink" Target="https://webagentes.canaldirecto.com.ar/incidents/view/703158-6" TargetMode="External"/><Relationship Id="rId1351" Type="http://schemas.openxmlformats.org/officeDocument/2006/relationships/hyperlink" Target="https://webagentes.canaldirecto.com.ar/incidents/view/712041-9" TargetMode="External"/><Relationship Id="rId1449" Type="http://schemas.openxmlformats.org/officeDocument/2006/relationships/hyperlink" Target="https://webagentes.canaldirecto.com.ar/incidents/view/716430-7" TargetMode="External"/><Relationship Id="rId1796" Type="http://schemas.openxmlformats.org/officeDocument/2006/relationships/hyperlink" Target="https://webagentes.canaldirecto.com.ar/incidents/view/731151-6" TargetMode="External"/><Relationship Id="rId2402" Type="http://schemas.openxmlformats.org/officeDocument/2006/relationships/hyperlink" Target="https://webagentes.canaldirecto.com.ar/incidents/view/759071-5" TargetMode="External"/><Relationship Id="rId2847" Type="http://schemas.openxmlformats.org/officeDocument/2006/relationships/hyperlink" Target="https://webagentes.canaldirecto.com.ar/incidents/view/779283-6" TargetMode="External"/><Relationship Id="rId88" Type="http://schemas.openxmlformats.org/officeDocument/2006/relationships/hyperlink" Target="http://webagentes.canaldirecto.com.ar/incidents/view/653476-7" TargetMode="External"/><Relationship Id="rId819" Type="http://schemas.openxmlformats.org/officeDocument/2006/relationships/hyperlink" Target="https://webagentes.canaldirecto.com.ar/liquidations/removeIncident/686944-1" TargetMode="External"/><Relationship Id="rId1004" Type="http://schemas.openxmlformats.org/officeDocument/2006/relationships/hyperlink" Target="https://webagentes.canaldirecto.com.ar/incidents/view/690638-0" TargetMode="External"/><Relationship Id="rId1211" Type="http://schemas.openxmlformats.org/officeDocument/2006/relationships/hyperlink" Target="https://webagentes.canaldirecto.com.ar/incidents/view/704477-5" TargetMode="External"/><Relationship Id="rId1656" Type="http://schemas.openxmlformats.org/officeDocument/2006/relationships/hyperlink" Target="https://webagentes.canaldirecto.com.ar/incidents/view/728283-4" TargetMode="External"/><Relationship Id="rId1863" Type="http://schemas.openxmlformats.org/officeDocument/2006/relationships/hyperlink" Target="https://webagentes.canaldirecto.com.ar/incidents/view/738132-0" TargetMode="External"/><Relationship Id="rId2707" Type="http://schemas.openxmlformats.org/officeDocument/2006/relationships/hyperlink" Target="https://webagentes.canaldirecto.com.ar/incidents/view/769390-6" TargetMode="External"/><Relationship Id="rId2914" Type="http://schemas.openxmlformats.org/officeDocument/2006/relationships/hyperlink" Target="https://webagentes.canaldirecto.com.ar/incidents/view/782740-6" TargetMode="External"/><Relationship Id="rId1309" Type="http://schemas.openxmlformats.org/officeDocument/2006/relationships/hyperlink" Target="https://webagentes.canaldirecto.com.ar/incidents/view/712860-6" TargetMode="External"/><Relationship Id="rId1516" Type="http://schemas.openxmlformats.org/officeDocument/2006/relationships/hyperlink" Target="https://webagentes.canaldirecto.com.ar/incidents/view/720064-5" TargetMode="External"/><Relationship Id="rId1723" Type="http://schemas.openxmlformats.org/officeDocument/2006/relationships/hyperlink" Target="https://webagentes.canaldirecto.com.ar/incidents/view/729984-3" TargetMode="External"/><Relationship Id="rId1930" Type="http://schemas.openxmlformats.org/officeDocument/2006/relationships/hyperlink" Target="https://webagentes.canaldirecto.com.ar/incidents/view/736147-8" TargetMode="External"/><Relationship Id="rId3176" Type="http://schemas.openxmlformats.org/officeDocument/2006/relationships/hyperlink" Target="https://webagentes.canaldirecto.com.ar/incidents/view/790909-2" TargetMode="External"/><Relationship Id="rId3383" Type="http://schemas.openxmlformats.org/officeDocument/2006/relationships/hyperlink" Target="https://webagentes.canaldirecto.com.ar/incidents/view/792076-7" TargetMode="External"/><Relationship Id="rId3590" Type="http://schemas.openxmlformats.org/officeDocument/2006/relationships/hyperlink" Target="https://webagentes.canaldirecto.com.ar/incidents/view/800026-4" TargetMode="External"/><Relationship Id="rId15" Type="http://schemas.openxmlformats.org/officeDocument/2006/relationships/hyperlink" Target="http://webagentes.canaldirecto.com.ar/incidents/view/652055-1" TargetMode="External"/><Relationship Id="rId2192" Type="http://schemas.openxmlformats.org/officeDocument/2006/relationships/hyperlink" Target="https://webagentes.canaldirecto.com.ar/incidents/view/749044-2" TargetMode="External"/><Relationship Id="rId3036" Type="http://schemas.openxmlformats.org/officeDocument/2006/relationships/hyperlink" Target="https://webagentes.canaldirecto.com.ar/incidents/view/787122-1" TargetMode="External"/><Relationship Id="rId3243" Type="http://schemas.openxmlformats.org/officeDocument/2006/relationships/hyperlink" Target="https://webagentes.canaldirecto.com.ar/incidents/view/778337-9" TargetMode="External"/><Relationship Id="rId3688" Type="http://schemas.openxmlformats.org/officeDocument/2006/relationships/hyperlink" Target="https://webagentes.canaldirecto.com.ar/incidents/view/802535-1" TargetMode="External"/><Relationship Id="rId164" Type="http://schemas.openxmlformats.org/officeDocument/2006/relationships/hyperlink" Target="http://webagentes.canaldirecto.com.ar/incidents/view/656979-0" TargetMode="External"/><Relationship Id="rId371" Type="http://schemas.openxmlformats.org/officeDocument/2006/relationships/hyperlink" Target="https://webagentes.canaldirecto.com.ar/incidents/view/669761-3" TargetMode="External"/><Relationship Id="rId2052" Type="http://schemas.openxmlformats.org/officeDocument/2006/relationships/hyperlink" Target="https://webagentes.canaldirecto.com.ar/incidents/view/743302-1" TargetMode="External"/><Relationship Id="rId2497" Type="http://schemas.openxmlformats.org/officeDocument/2006/relationships/hyperlink" Target="https://webagentes.canaldirecto.com.ar/liquidations/removeIncident/763973-1" TargetMode="External"/><Relationship Id="rId3450" Type="http://schemas.openxmlformats.org/officeDocument/2006/relationships/hyperlink" Target="https://webagentes.canaldirecto.com.ar/incidents/view/796382-3" TargetMode="External"/><Relationship Id="rId3548" Type="http://schemas.openxmlformats.org/officeDocument/2006/relationships/hyperlink" Target="https://webagentes.canaldirecto.com.ar/incidents/view/795355-2" TargetMode="External"/><Relationship Id="rId3755" Type="http://schemas.openxmlformats.org/officeDocument/2006/relationships/hyperlink" Target="https://webagentes.canaldirecto.com.ar/incidents/view/805944-6" TargetMode="External"/><Relationship Id="rId469" Type="http://schemas.openxmlformats.org/officeDocument/2006/relationships/hyperlink" Target="https://webagentes.canaldirecto.com.ar/incidents/view/667676-2" TargetMode="External"/><Relationship Id="rId676" Type="http://schemas.openxmlformats.org/officeDocument/2006/relationships/hyperlink" Target="https://webagentes.canaldirecto.com.ar/incidents/view/674854-6" TargetMode="External"/><Relationship Id="rId883" Type="http://schemas.openxmlformats.org/officeDocument/2006/relationships/hyperlink" Target="https://webagentes.canaldirecto.com.ar/liquidations/removeIncident/684412-3" TargetMode="External"/><Relationship Id="rId1099" Type="http://schemas.openxmlformats.org/officeDocument/2006/relationships/hyperlink" Target="https://webagentes.canaldirecto.com.ar/incidents/view/700234-4" TargetMode="External"/><Relationship Id="rId2357" Type="http://schemas.openxmlformats.org/officeDocument/2006/relationships/hyperlink" Target="https://webagentes.canaldirecto.com.ar/incidents/view/756409-3" TargetMode="External"/><Relationship Id="rId2564" Type="http://schemas.openxmlformats.org/officeDocument/2006/relationships/hyperlink" Target="https://webagentes.canaldirecto.com.ar/incidents/view/761816-3" TargetMode="External"/><Relationship Id="rId3103" Type="http://schemas.openxmlformats.org/officeDocument/2006/relationships/hyperlink" Target="https://webagentes.canaldirecto.com.ar/incidents/view/788355-4" TargetMode="External"/><Relationship Id="rId3310" Type="http://schemas.openxmlformats.org/officeDocument/2006/relationships/hyperlink" Target="https://webagentes.canaldirecto.com.ar/incidents/view/794393-5" TargetMode="External"/><Relationship Id="rId3408" Type="http://schemas.openxmlformats.org/officeDocument/2006/relationships/hyperlink" Target="https://webagentes.canaldirecto.com.ar/incidents/view/797545-7" TargetMode="External"/><Relationship Id="rId3615" Type="http://schemas.openxmlformats.org/officeDocument/2006/relationships/hyperlink" Target="https://webagentes.canaldirecto.com.ar/incidents/view/799757-4" TargetMode="External"/><Relationship Id="rId231" Type="http://schemas.openxmlformats.org/officeDocument/2006/relationships/hyperlink" Target="http://webagentes.canaldirecto.com.ar/liquidations/removeIncident/655029-7" TargetMode="External"/><Relationship Id="rId329" Type="http://schemas.openxmlformats.org/officeDocument/2006/relationships/hyperlink" Target="https://webagentes.canaldirecto.com.ar/incidents/view/666878-1" TargetMode="External"/><Relationship Id="rId536" Type="http://schemas.openxmlformats.org/officeDocument/2006/relationships/hyperlink" Target="https://webagentes.canaldirecto.com.ar/liquidations/removeIncident/671937-7" TargetMode="External"/><Relationship Id="rId1166" Type="http://schemas.openxmlformats.org/officeDocument/2006/relationships/hyperlink" Target="https://webagentes.canaldirecto.com.ar/incidents/view/701752-2" TargetMode="External"/><Relationship Id="rId1373" Type="http://schemas.openxmlformats.org/officeDocument/2006/relationships/hyperlink" Target="https://webagentes.canaldirecto.com.ar/incidents/view/711784-0" TargetMode="External"/><Relationship Id="rId2217" Type="http://schemas.openxmlformats.org/officeDocument/2006/relationships/hyperlink" Target="https://webagentes.canaldirecto.com.ar/incidents/view/748506-0" TargetMode="External"/><Relationship Id="rId2771" Type="http://schemas.openxmlformats.org/officeDocument/2006/relationships/hyperlink" Target="https://webagentes.canaldirecto.com.ar/incidents/view/776853-8" TargetMode="External"/><Relationship Id="rId2869" Type="http://schemas.openxmlformats.org/officeDocument/2006/relationships/hyperlink" Target="https://webagentes.canaldirecto.com.ar/incidents/view/779140-2" TargetMode="External"/><Relationship Id="rId3822" Type="http://schemas.openxmlformats.org/officeDocument/2006/relationships/hyperlink" Target="https://webagentes.canaldirecto.com.ar/incidents/view/809000-9" TargetMode="External"/><Relationship Id="rId743" Type="http://schemas.openxmlformats.org/officeDocument/2006/relationships/hyperlink" Target="https://webagentes.canaldirecto.com.ar/incidents/view/678237-3" TargetMode="External"/><Relationship Id="rId950" Type="http://schemas.openxmlformats.org/officeDocument/2006/relationships/hyperlink" Target="https://webagentes.canaldirecto.com.ar/incidents/view/689255-5" TargetMode="External"/><Relationship Id="rId1026" Type="http://schemas.openxmlformats.org/officeDocument/2006/relationships/hyperlink" Target="https://webagentes.canaldirecto.com.ar/incidents/view/695169-0" TargetMode="External"/><Relationship Id="rId1580" Type="http://schemas.openxmlformats.org/officeDocument/2006/relationships/hyperlink" Target="https://webagentes.canaldirecto.com.ar/incidents/view/721988-3" TargetMode="External"/><Relationship Id="rId1678" Type="http://schemas.openxmlformats.org/officeDocument/2006/relationships/hyperlink" Target="https://webagentes.canaldirecto.com.ar/incidents/view/727130-6" TargetMode="External"/><Relationship Id="rId1885" Type="http://schemas.openxmlformats.org/officeDocument/2006/relationships/hyperlink" Target="https://webagentes.canaldirecto.com.ar/incidents/view/737508-2" TargetMode="External"/><Relationship Id="rId2424" Type="http://schemas.openxmlformats.org/officeDocument/2006/relationships/hyperlink" Target="https://webagentes.canaldirecto.com.ar/incidents/view/757136-7" TargetMode="External"/><Relationship Id="rId2631" Type="http://schemas.openxmlformats.org/officeDocument/2006/relationships/hyperlink" Target="https://webagentes.canaldirecto.com.ar/incidents/view/768382-0" TargetMode="External"/><Relationship Id="rId2729" Type="http://schemas.openxmlformats.org/officeDocument/2006/relationships/hyperlink" Target="https://webagentes.canaldirecto.com.ar/incidents/view/773926-2" TargetMode="External"/><Relationship Id="rId2936" Type="http://schemas.openxmlformats.org/officeDocument/2006/relationships/hyperlink" Target="https://webagentes.canaldirecto.com.ar/incidents/view/782230-4" TargetMode="External"/><Relationship Id="rId603" Type="http://schemas.openxmlformats.org/officeDocument/2006/relationships/hyperlink" Target="https://webagentes.canaldirecto.com.ar/incidents/view/669712-7" TargetMode="External"/><Relationship Id="rId810" Type="http://schemas.openxmlformats.org/officeDocument/2006/relationships/hyperlink" Target="https://webagentes.canaldirecto.com.ar/incidents/view/687260-3" TargetMode="External"/><Relationship Id="rId908" Type="http://schemas.openxmlformats.org/officeDocument/2006/relationships/hyperlink" Target="https://webagentes.canaldirecto.com.ar/incidents/view/683550-5" TargetMode="External"/><Relationship Id="rId1233" Type="http://schemas.openxmlformats.org/officeDocument/2006/relationships/hyperlink" Target="https://webagentes.canaldirecto.com.ar/incidents/view/710396-2" TargetMode="External"/><Relationship Id="rId1440" Type="http://schemas.openxmlformats.org/officeDocument/2006/relationships/hyperlink" Target="https://webagentes.canaldirecto.com.ar/incidents/view/716513-9" TargetMode="External"/><Relationship Id="rId1538" Type="http://schemas.openxmlformats.org/officeDocument/2006/relationships/hyperlink" Target="https://webagentes.canaldirecto.com.ar/incidents/view/719084-3" TargetMode="External"/><Relationship Id="rId1300" Type="http://schemas.openxmlformats.org/officeDocument/2006/relationships/hyperlink" Target="https://webagentes.canaldirecto.com.ar/incidents/view/712913-7" TargetMode="External"/><Relationship Id="rId1745" Type="http://schemas.openxmlformats.org/officeDocument/2006/relationships/hyperlink" Target="https://webagentes.canaldirecto.com.ar/incidents/view/733139-8" TargetMode="External"/><Relationship Id="rId1952" Type="http://schemas.openxmlformats.org/officeDocument/2006/relationships/hyperlink" Target="https://webagentes.canaldirecto.com.ar/incidents/view/741183-4" TargetMode="External"/><Relationship Id="rId3198" Type="http://schemas.openxmlformats.org/officeDocument/2006/relationships/hyperlink" Target="https://webagentes.canaldirecto.com.ar/incidents/view/790417-6" TargetMode="External"/><Relationship Id="rId37" Type="http://schemas.openxmlformats.org/officeDocument/2006/relationships/hyperlink" Target="http://webagentes.canaldirecto.com.ar/incidents/view/650745-3" TargetMode="External"/><Relationship Id="rId1605" Type="http://schemas.openxmlformats.org/officeDocument/2006/relationships/hyperlink" Target="https://webagentes.canaldirecto.com.ar/incidents/view/720621-4" TargetMode="External"/><Relationship Id="rId1812" Type="http://schemas.openxmlformats.org/officeDocument/2006/relationships/hyperlink" Target="https://webagentes.canaldirecto.com.ar/incidents/view/736067-3" TargetMode="External"/><Relationship Id="rId3058" Type="http://schemas.openxmlformats.org/officeDocument/2006/relationships/hyperlink" Target="https://webagentes.canaldirecto.com.ar/incidents/view/786619-5" TargetMode="External"/><Relationship Id="rId3265" Type="http://schemas.openxmlformats.org/officeDocument/2006/relationships/hyperlink" Target="https://webagentes.canaldirecto.com.ar/incidents/view/791398-9" TargetMode="External"/><Relationship Id="rId3472" Type="http://schemas.openxmlformats.org/officeDocument/2006/relationships/hyperlink" Target="https://webagentes.canaldirecto.com.ar/incidents/view/796017-2" TargetMode="External"/><Relationship Id="rId186" Type="http://schemas.openxmlformats.org/officeDocument/2006/relationships/hyperlink" Target="http://webagentes.canaldirecto.com.ar/incidents/view/656548-4" TargetMode="External"/><Relationship Id="rId393" Type="http://schemas.openxmlformats.org/officeDocument/2006/relationships/hyperlink" Target="https://webagentes.canaldirecto.com.ar/incidents/view/669384-8" TargetMode="External"/><Relationship Id="rId2074" Type="http://schemas.openxmlformats.org/officeDocument/2006/relationships/hyperlink" Target="https://webagentes.canaldirecto.com.ar/incidents/view/741893-4" TargetMode="External"/><Relationship Id="rId2281" Type="http://schemas.openxmlformats.org/officeDocument/2006/relationships/hyperlink" Target="https://webagentes.canaldirecto.com.ar/incidents/view/750687-7" TargetMode="External"/><Relationship Id="rId3125" Type="http://schemas.openxmlformats.org/officeDocument/2006/relationships/hyperlink" Target="https://webagentes.canaldirecto.com.ar/incidents/view/788306-8" TargetMode="External"/><Relationship Id="rId3332" Type="http://schemas.openxmlformats.org/officeDocument/2006/relationships/hyperlink" Target="https://webagentes.canaldirecto.com.ar/incidents/view/794036-3" TargetMode="External"/><Relationship Id="rId3777" Type="http://schemas.openxmlformats.org/officeDocument/2006/relationships/hyperlink" Target="https://webagentes.canaldirecto.com.ar/incidents/view/804947-6" TargetMode="External"/><Relationship Id="rId253" Type="http://schemas.openxmlformats.org/officeDocument/2006/relationships/hyperlink" Target="http://webagentes.canaldirecto.com.ar/incidents/view/659996-8" TargetMode="External"/><Relationship Id="rId460" Type="http://schemas.openxmlformats.org/officeDocument/2006/relationships/hyperlink" Target="https://webagentes.canaldirecto.com.ar/liquidations/removeIncident/667922-8" TargetMode="External"/><Relationship Id="rId698" Type="http://schemas.openxmlformats.org/officeDocument/2006/relationships/hyperlink" Target="https://webagentes.canaldirecto.com.ar/incidents/view/674042-9" TargetMode="External"/><Relationship Id="rId1090" Type="http://schemas.openxmlformats.org/officeDocument/2006/relationships/hyperlink" Target="https://webagentes.canaldirecto.com.ar/incidents/view/695166-3" TargetMode="External"/><Relationship Id="rId2141" Type="http://schemas.openxmlformats.org/officeDocument/2006/relationships/hyperlink" Target="https://webagentes.canaldirecto.com.ar/incidents/view/745742-9" TargetMode="External"/><Relationship Id="rId2379" Type="http://schemas.openxmlformats.org/officeDocument/2006/relationships/hyperlink" Target="https://webagentes.canaldirecto.com.ar/incidents/view/755178-9" TargetMode="External"/><Relationship Id="rId2586" Type="http://schemas.openxmlformats.org/officeDocument/2006/relationships/hyperlink" Target="https://webagentes.canaldirecto.com.ar/incidents/view/761008-2" TargetMode="External"/><Relationship Id="rId2793" Type="http://schemas.openxmlformats.org/officeDocument/2006/relationships/hyperlink" Target="https://webagentes.canaldirecto.com.ar/incidents/view/775286-5" TargetMode="External"/><Relationship Id="rId3637" Type="http://schemas.openxmlformats.org/officeDocument/2006/relationships/hyperlink" Target="https://webagentes.canaldirecto.com.ar/incidents/view/798984-9" TargetMode="External"/><Relationship Id="rId3844" Type="http://schemas.openxmlformats.org/officeDocument/2006/relationships/hyperlink" Target="https://webagentes.canaldirecto.com.ar/incidents/view/807613-3" TargetMode="External"/><Relationship Id="rId113" Type="http://schemas.openxmlformats.org/officeDocument/2006/relationships/hyperlink" Target="http://webagentes.canaldirecto.com.ar/liquidations/removeIncident/658013-7" TargetMode="External"/><Relationship Id="rId320" Type="http://schemas.openxmlformats.org/officeDocument/2006/relationships/hyperlink" Target="https://webagentes.canaldirecto.com.ar/incidents/view/661777-8" TargetMode="External"/><Relationship Id="rId558" Type="http://schemas.openxmlformats.org/officeDocument/2006/relationships/hyperlink" Target="https://webagentes.canaldirecto.com.ar/liquidations/removeIncident/670845-0" TargetMode="External"/><Relationship Id="rId765" Type="http://schemas.openxmlformats.org/officeDocument/2006/relationships/hyperlink" Target="https://webagentes.canaldirecto.com.ar/incidents/view/677724-7" TargetMode="External"/><Relationship Id="rId972" Type="http://schemas.openxmlformats.org/officeDocument/2006/relationships/hyperlink" Target="https://webagentes.canaldirecto.com.ar/incidents/view/687987-3" TargetMode="External"/><Relationship Id="rId1188" Type="http://schemas.openxmlformats.org/officeDocument/2006/relationships/hyperlink" Target="https://webagentes.canaldirecto.com.ar/incidents/view/705776-0" TargetMode="External"/><Relationship Id="rId1395" Type="http://schemas.openxmlformats.org/officeDocument/2006/relationships/hyperlink" Target="https://webagentes.canaldirecto.com.ar/incidents/view/710785-2" TargetMode="External"/><Relationship Id="rId2001" Type="http://schemas.openxmlformats.org/officeDocument/2006/relationships/hyperlink" Target="https://webagentes.canaldirecto.com.ar/incidents/view/744268-5" TargetMode="External"/><Relationship Id="rId2239" Type="http://schemas.openxmlformats.org/officeDocument/2006/relationships/hyperlink" Target="https://webagentes.canaldirecto.com.ar/incidents/view/747729-2" TargetMode="External"/><Relationship Id="rId2446" Type="http://schemas.openxmlformats.org/officeDocument/2006/relationships/hyperlink" Target="https://webagentes.canaldirecto.com.ar/incidents/view/760807-8" TargetMode="External"/><Relationship Id="rId2653" Type="http://schemas.openxmlformats.org/officeDocument/2006/relationships/hyperlink" Target="https://webagentes.canaldirecto.com.ar/incidents/view/767092-3" TargetMode="External"/><Relationship Id="rId2860" Type="http://schemas.openxmlformats.org/officeDocument/2006/relationships/hyperlink" Target="https://webagentes.canaldirecto.com.ar/incidents/view/779264-1" TargetMode="External"/><Relationship Id="rId3704" Type="http://schemas.openxmlformats.org/officeDocument/2006/relationships/hyperlink" Target="https://webagentes.canaldirecto.com.ar/incidents/view/802173-5" TargetMode="External"/><Relationship Id="rId418" Type="http://schemas.openxmlformats.org/officeDocument/2006/relationships/hyperlink" Target="https://webagentes.canaldirecto.com.ar/liquidations/removeIncident/669248-7" TargetMode="External"/><Relationship Id="rId625" Type="http://schemas.openxmlformats.org/officeDocument/2006/relationships/hyperlink" Target="https://webagentes.canaldirecto.com.ar/incidents/view/676922-0" TargetMode="External"/><Relationship Id="rId832" Type="http://schemas.openxmlformats.org/officeDocument/2006/relationships/hyperlink" Target="https://webagentes.canaldirecto.com.ar/incidents/view/686069-9" TargetMode="External"/><Relationship Id="rId1048" Type="http://schemas.openxmlformats.org/officeDocument/2006/relationships/hyperlink" Target="https://webagentes.canaldirecto.com.ar/incidents/view/693709-8" TargetMode="External"/><Relationship Id="rId1255" Type="http://schemas.openxmlformats.org/officeDocument/2006/relationships/hyperlink" Target="https://webagentes.canaldirecto.com.ar/incidents/view/709019-0" TargetMode="External"/><Relationship Id="rId1462" Type="http://schemas.openxmlformats.org/officeDocument/2006/relationships/hyperlink" Target="https://webagentes.canaldirecto.com.ar/incidents/view/716260-0" TargetMode="External"/><Relationship Id="rId2306" Type="http://schemas.openxmlformats.org/officeDocument/2006/relationships/hyperlink" Target="https://webagentes.canaldirecto.com.ar/incidents/view/749092-9" TargetMode="External"/><Relationship Id="rId2513" Type="http://schemas.openxmlformats.org/officeDocument/2006/relationships/hyperlink" Target="https://webagentes.canaldirecto.com.ar/liquidations/removeIncident/763516-0" TargetMode="External"/><Relationship Id="rId2958" Type="http://schemas.openxmlformats.org/officeDocument/2006/relationships/hyperlink" Target="https://webagentes.canaldirecto.com.ar/incidents/view/781662-2" TargetMode="External"/><Relationship Id="rId1115" Type="http://schemas.openxmlformats.org/officeDocument/2006/relationships/hyperlink" Target="https://webagentes.canaldirecto.com.ar/incidents/view/698819-9" TargetMode="External"/><Relationship Id="rId1322" Type="http://schemas.openxmlformats.org/officeDocument/2006/relationships/hyperlink" Target="https://webagentes.canaldirecto.com.ar/incidents/view/712490-1" TargetMode="External"/><Relationship Id="rId1767" Type="http://schemas.openxmlformats.org/officeDocument/2006/relationships/hyperlink" Target="https://webagentes.canaldirecto.com.ar/incidents/view/732790-6" TargetMode="External"/><Relationship Id="rId1974" Type="http://schemas.openxmlformats.org/officeDocument/2006/relationships/hyperlink" Target="https://webagentes.canaldirecto.com.ar/incidents/view/739310-3" TargetMode="External"/><Relationship Id="rId2720" Type="http://schemas.openxmlformats.org/officeDocument/2006/relationships/hyperlink" Target="https://webagentes.canaldirecto.com.ar/incidents/view/774416-7" TargetMode="External"/><Relationship Id="rId2818" Type="http://schemas.openxmlformats.org/officeDocument/2006/relationships/hyperlink" Target="https://webagentes.canaldirecto.com.ar/incidents/view/780123-1" TargetMode="External"/><Relationship Id="rId59" Type="http://schemas.openxmlformats.org/officeDocument/2006/relationships/hyperlink" Target="http://webagentes.canaldirecto.com.ar/liquidations/removeIncident/655087-1" TargetMode="External"/><Relationship Id="rId1627" Type="http://schemas.openxmlformats.org/officeDocument/2006/relationships/hyperlink" Target="https://webagentes.canaldirecto.com.ar/incidents/view/723955-9" TargetMode="External"/><Relationship Id="rId1834" Type="http://schemas.openxmlformats.org/officeDocument/2006/relationships/hyperlink" Target="https://webagentes.canaldirecto.com.ar/incidents/view/734451-4" TargetMode="External"/><Relationship Id="rId3287" Type="http://schemas.openxmlformats.org/officeDocument/2006/relationships/hyperlink" Target="https://webagentes.canaldirecto.com.ar/incidents/view/789940-3" TargetMode="External"/><Relationship Id="rId2096" Type="http://schemas.openxmlformats.org/officeDocument/2006/relationships/hyperlink" Target="https://webagentes.canaldirecto.com.ar/incidents/view/746434-0" TargetMode="External"/><Relationship Id="rId3494" Type="http://schemas.openxmlformats.org/officeDocument/2006/relationships/hyperlink" Target="https://webagentes.canaldirecto.com.ar/incidents/view/795873-3" TargetMode="External"/><Relationship Id="rId3799" Type="http://schemas.openxmlformats.org/officeDocument/2006/relationships/hyperlink" Target="https://webagentes.canaldirecto.com.ar/incidents/view/801020-7" TargetMode="External"/><Relationship Id="rId1901" Type="http://schemas.openxmlformats.org/officeDocument/2006/relationships/hyperlink" Target="https://webagentes.canaldirecto.com.ar/incidents/view/737055-5" TargetMode="External"/><Relationship Id="rId3147" Type="http://schemas.openxmlformats.org/officeDocument/2006/relationships/hyperlink" Target="https://webagentes.canaldirecto.com.ar/incidents/view/791621-4" TargetMode="External"/><Relationship Id="rId3354" Type="http://schemas.openxmlformats.org/officeDocument/2006/relationships/hyperlink" Target="https://webagentes.canaldirecto.com.ar/incidents/view/792879-6" TargetMode="External"/><Relationship Id="rId3561" Type="http://schemas.openxmlformats.org/officeDocument/2006/relationships/hyperlink" Target="https://webagentes.canaldirecto.com.ar/liquidations/removeIncident/794890-3" TargetMode="External"/><Relationship Id="rId3659" Type="http://schemas.openxmlformats.org/officeDocument/2006/relationships/hyperlink" Target="https://webagentes.canaldirecto.com.ar/incidents/view/798043-1" TargetMode="External"/><Relationship Id="rId275" Type="http://schemas.openxmlformats.org/officeDocument/2006/relationships/hyperlink" Target="http://webagentes.canaldirecto.com.ar/incidents/view/656203-4" TargetMode="External"/><Relationship Id="rId482" Type="http://schemas.openxmlformats.org/officeDocument/2006/relationships/hyperlink" Target="https://webagentes.canaldirecto.com.ar/liquidations/removeIncident/674324-0" TargetMode="External"/><Relationship Id="rId2163" Type="http://schemas.openxmlformats.org/officeDocument/2006/relationships/hyperlink" Target="https://webagentes.canaldirecto.com.ar/incidents/view/744853-7" TargetMode="External"/><Relationship Id="rId2370" Type="http://schemas.openxmlformats.org/officeDocument/2006/relationships/hyperlink" Target="https://webagentes.canaldirecto.com.ar/incidents/view/755553-6" TargetMode="External"/><Relationship Id="rId3007" Type="http://schemas.openxmlformats.org/officeDocument/2006/relationships/hyperlink" Target="https://webagentes.canaldirecto.com.ar/incidents/view/783105-6" TargetMode="External"/><Relationship Id="rId3214" Type="http://schemas.openxmlformats.org/officeDocument/2006/relationships/hyperlink" Target="https://webagentes.canaldirecto.com.ar/incidents/view/789646-0" TargetMode="External"/><Relationship Id="rId3421" Type="http://schemas.openxmlformats.org/officeDocument/2006/relationships/hyperlink" Target="https://webagentes.canaldirecto.com.ar/liquidations/removeIncident/797413-9" TargetMode="External"/><Relationship Id="rId3866" Type="http://schemas.openxmlformats.org/officeDocument/2006/relationships/hyperlink" Target="https://webagentes.canaldirecto.com.ar/incidents/view/804950-0" TargetMode="External"/><Relationship Id="rId135" Type="http://schemas.openxmlformats.org/officeDocument/2006/relationships/hyperlink" Target="http://webagentes.canaldirecto.com.ar/liquidations/removeIncident/658000-3" TargetMode="External"/><Relationship Id="rId342" Type="http://schemas.openxmlformats.org/officeDocument/2006/relationships/hyperlink" Target="https://webagentes.canaldirecto.com.ar/incidents/view/665439-9" TargetMode="External"/><Relationship Id="rId787" Type="http://schemas.openxmlformats.org/officeDocument/2006/relationships/hyperlink" Target="https://webagentes.canaldirecto.com.ar/incidents/view/683202-1" TargetMode="External"/><Relationship Id="rId994" Type="http://schemas.openxmlformats.org/officeDocument/2006/relationships/hyperlink" Target="https://webagentes.canaldirecto.com.ar/incidents/view/691759-9" TargetMode="External"/><Relationship Id="rId2023" Type="http://schemas.openxmlformats.org/officeDocument/2006/relationships/hyperlink" Target="https://webagentes.canaldirecto.com.ar/incidents/view/743997-3" TargetMode="External"/><Relationship Id="rId2230" Type="http://schemas.openxmlformats.org/officeDocument/2006/relationships/hyperlink" Target="https://webagentes.canaldirecto.com.ar/incidents/view/747909-6" TargetMode="External"/><Relationship Id="rId2468" Type="http://schemas.openxmlformats.org/officeDocument/2006/relationships/hyperlink" Target="https://webagentes.canaldirecto.com.ar/incidents/view/760196-9" TargetMode="External"/><Relationship Id="rId2675" Type="http://schemas.openxmlformats.org/officeDocument/2006/relationships/hyperlink" Target="https://webagentes.canaldirecto.com.ar/incidents/view/770851-8" TargetMode="External"/><Relationship Id="rId2882" Type="http://schemas.openxmlformats.org/officeDocument/2006/relationships/hyperlink" Target="https://webagentes.canaldirecto.com.ar/incidents/view/778396-2" TargetMode="External"/><Relationship Id="rId3519" Type="http://schemas.openxmlformats.org/officeDocument/2006/relationships/hyperlink" Target="https://webagentes.canaldirecto.com.ar/liquidations/removeIncident/795586-0" TargetMode="External"/><Relationship Id="rId3726" Type="http://schemas.openxmlformats.org/officeDocument/2006/relationships/hyperlink" Target="https://webagentes.canaldirecto.com.ar/incidents/view/800938-0" TargetMode="External"/><Relationship Id="rId202" Type="http://schemas.openxmlformats.org/officeDocument/2006/relationships/hyperlink" Target="http://webagentes.canaldirecto.com.ar/incidents/view/655650-1" TargetMode="External"/><Relationship Id="rId647" Type="http://schemas.openxmlformats.org/officeDocument/2006/relationships/hyperlink" Target="https://webagentes.canaldirecto.com.ar/incidents/view/675712-8" TargetMode="External"/><Relationship Id="rId854" Type="http://schemas.openxmlformats.org/officeDocument/2006/relationships/hyperlink" Target="https://webagentes.canaldirecto.com.ar/incidents/view/685756-1" TargetMode="External"/><Relationship Id="rId1277" Type="http://schemas.openxmlformats.org/officeDocument/2006/relationships/hyperlink" Target="https://webagentes.canaldirecto.com.ar/incidents/view/707355-5" TargetMode="External"/><Relationship Id="rId1484" Type="http://schemas.openxmlformats.org/officeDocument/2006/relationships/hyperlink" Target="https://webagentes.canaldirecto.com.ar/incidents/view/714629-5" TargetMode="External"/><Relationship Id="rId1691" Type="http://schemas.openxmlformats.org/officeDocument/2006/relationships/hyperlink" Target="https://webagentes.canaldirecto.com.ar/incidents/view/726561-5" TargetMode="External"/><Relationship Id="rId2328" Type="http://schemas.openxmlformats.org/officeDocument/2006/relationships/hyperlink" Target="https://webagentes.canaldirecto.com.ar/incidents/view/753047-6" TargetMode="External"/><Relationship Id="rId2535" Type="http://schemas.openxmlformats.org/officeDocument/2006/relationships/hyperlink" Target="https://webagentes.canaldirecto.com.ar/liquidations/removeIncident/762540-0" TargetMode="External"/><Relationship Id="rId2742" Type="http://schemas.openxmlformats.org/officeDocument/2006/relationships/hyperlink" Target="https://webagentes.canaldirecto.com.ar/incidents/view/772819-6" TargetMode="External"/><Relationship Id="rId507" Type="http://schemas.openxmlformats.org/officeDocument/2006/relationships/hyperlink" Target="https://webagentes.canaldirecto.com.ar/incidents/view/672644-7" TargetMode="External"/><Relationship Id="rId714" Type="http://schemas.openxmlformats.org/officeDocument/2006/relationships/hyperlink" Target="https://webagentes.canaldirecto.com.ar/incidents/view/664512-4" TargetMode="External"/><Relationship Id="rId921" Type="http://schemas.openxmlformats.org/officeDocument/2006/relationships/hyperlink" Target="https://webagentes.canaldirecto.com.ar/liquidations/removeIncident/683543-5" TargetMode="External"/><Relationship Id="rId1137" Type="http://schemas.openxmlformats.org/officeDocument/2006/relationships/hyperlink" Target="https://webagentes.canaldirecto.com.ar/incidents/view/703445-9" TargetMode="External"/><Relationship Id="rId1344" Type="http://schemas.openxmlformats.org/officeDocument/2006/relationships/hyperlink" Target="https://webagentes.canaldirecto.com.ar/incidents/view/712063-1" TargetMode="External"/><Relationship Id="rId1551" Type="http://schemas.openxmlformats.org/officeDocument/2006/relationships/hyperlink" Target="https://webagentes.canaldirecto.com.ar/incidents/view/718442-6" TargetMode="External"/><Relationship Id="rId1789" Type="http://schemas.openxmlformats.org/officeDocument/2006/relationships/hyperlink" Target="https://webagentes.canaldirecto.com.ar/incidents/view/731496-6" TargetMode="External"/><Relationship Id="rId1996" Type="http://schemas.openxmlformats.org/officeDocument/2006/relationships/hyperlink" Target="https://webagentes.canaldirecto.com.ar/incidents/view/744273-7" TargetMode="External"/><Relationship Id="rId2602" Type="http://schemas.openxmlformats.org/officeDocument/2006/relationships/hyperlink" Target="https://webagentes.canaldirecto.com.ar/incidents/view/766060-7" TargetMode="External"/><Relationship Id="rId50" Type="http://schemas.openxmlformats.org/officeDocument/2006/relationships/hyperlink" Target="http://webagentes.canaldirecto.com.ar/liquidations/removeIncident/655144-5" TargetMode="External"/><Relationship Id="rId1204" Type="http://schemas.openxmlformats.org/officeDocument/2006/relationships/hyperlink" Target="https://webagentes.canaldirecto.com.ar/incidents/view/704988-6" TargetMode="External"/><Relationship Id="rId1411" Type="http://schemas.openxmlformats.org/officeDocument/2006/relationships/hyperlink" Target="https://webagentes.canaldirecto.com.ar/incidents/view/717057-5" TargetMode="External"/><Relationship Id="rId1649" Type="http://schemas.openxmlformats.org/officeDocument/2006/relationships/hyperlink" Target="https://webagentes.canaldirecto.com.ar/incidents/view/728293-1" TargetMode="External"/><Relationship Id="rId1856" Type="http://schemas.openxmlformats.org/officeDocument/2006/relationships/hyperlink" Target="https://webagentes.canaldirecto.com.ar/incidents/view/732098-5" TargetMode="External"/><Relationship Id="rId2907" Type="http://schemas.openxmlformats.org/officeDocument/2006/relationships/hyperlink" Target="https://webagentes.canaldirecto.com.ar/incidents/view/782748-8" TargetMode="External"/><Relationship Id="rId3071" Type="http://schemas.openxmlformats.org/officeDocument/2006/relationships/hyperlink" Target="https://webagentes.canaldirecto.com.ar/incidents/view/785986-7" TargetMode="External"/><Relationship Id="rId1509" Type="http://schemas.openxmlformats.org/officeDocument/2006/relationships/hyperlink" Target="https://webagentes.canaldirecto.com.ar/incidents/view/720479-3" TargetMode="External"/><Relationship Id="rId1716" Type="http://schemas.openxmlformats.org/officeDocument/2006/relationships/hyperlink" Target="https://webagentes.canaldirecto.com.ar/incidents/view/730363-2" TargetMode="External"/><Relationship Id="rId1923" Type="http://schemas.openxmlformats.org/officeDocument/2006/relationships/hyperlink" Target="https://webagentes.canaldirecto.com.ar/liquidations/removeIncident/736301-4" TargetMode="External"/><Relationship Id="rId3169" Type="http://schemas.openxmlformats.org/officeDocument/2006/relationships/hyperlink" Target="https://webagentes.canaldirecto.com.ar/incidents/view/790998-6" TargetMode="External"/><Relationship Id="rId3376" Type="http://schemas.openxmlformats.org/officeDocument/2006/relationships/hyperlink" Target="https://webagentes.canaldirecto.com.ar/incidents/view/792448-0" TargetMode="External"/><Relationship Id="rId3583" Type="http://schemas.openxmlformats.org/officeDocument/2006/relationships/hyperlink" Target="https://webagentes.canaldirecto.com.ar/incidents/view/800282-8" TargetMode="External"/><Relationship Id="rId297" Type="http://schemas.openxmlformats.org/officeDocument/2006/relationships/hyperlink" Target="https://webagentes.canaldirecto.com.ar/incidents/view/662601-3" TargetMode="External"/><Relationship Id="rId2185" Type="http://schemas.openxmlformats.org/officeDocument/2006/relationships/hyperlink" Target="https://webagentes.canaldirecto.com.ar/incidents/view/749195-5" TargetMode="External"/><Relationship Id="rId2392" Type="http://schemas.openxmlformats.org/officeDocument/2006/relationships/hyperlink" Target="https://webagentes.canaldirecto.com.ar/incidents/view/754752-8" TargetMode="External"/><Relationship Id="rId3029" Type="http://schemas.openxmlformats.org/officeDocument/2006/relationships/hyperlink" Target="https://webagentes.canaldirecto.com.ar/incidents/view/782865-4" TargetMode="External"/><Relationship Id="rId3236" Type="http://schemas.openxmlformats.org/officeDocument/2006/relationships/hyperlink" Target="https://webagentes.canaldirecto.com.ar/incidents/view/785846-0" TargetMode="External"/><Relationship Id="rId3790" Type="http://schemas.openxmlformats.org/officeDocument/2006/relationships/hyperlink" Target="https://webagentes.canaldirecto.com.ar/incidents/view/804117-3" TargetMode="External"/><Relationship Id="rId157" Type="http://schemas.openxmlformats.org/officeDocument/2006/relationships/hyperlink" Target="http://webagentes.canaldirecto.com.ar/liquidations/removeIncident/656984-2" TargetMode="External"/><Relationship Id="rId364" Type="http://schemas.openxmlformats.org/officeDocument/2006/relationships/hyperlink" Target="https://webagentes.canaldirecto.com.ar/liquidations/removeIncident/670082-9" TargetMode="External"/><Relationship Id="rId2045" Type="http://schemas.openxmlformats.org/officeDocument/2006/relationships/hyperlink" Target="https://webagentes.canaldirecto.com.ar/incidents/view/743483-5" TargetMode="External"/><Relationship Id="rId2697" Type="http://schemas.openxmlformats.org/officeDocument/2006/relationships/hyperlink" Target="https://webagentes.canaldirecto.com.ar/incidents/view/770021-5" TargetMode="External"/><Relationship Id="rId3443" Type="http://schemas.openxmlformats.org/officeDocument/2006/relationships/hyperlink" Target="https://webagentes.canaldirecto.com.ar/liquidations/removeIncident/796882-8" TargetMode="External"/><Relationship Id="rId3650" Type="http://schemas.openxmlformats.org/officeDocument/2006/relationships/hyperlink" Target="https://webagentes.canaldirecto.com.ar/incidents/view/798406-6" TargetMode="External"/><Relationship Id="rId3748" Type="http://schemas.openxmlformats.org/officeDocument/2006/relationships/hyperlink" Target="https://webagentes.canaldirecto.com.ar/incidents/view/806320-9" TargetMode="External"/><Relationship Id="rId571" Type="http://schemas.openxmlformats.org/officeDocument/2006/relationships/hyperlink" Target="https://webagentes.canaldirecto.com.ar/incidents/view/670431-1" TargetMode="External"/><Relationship Id="rId669" Type="http://schemas.openxmlformats.org/officeDocument/2006/relationships/hyperlink" Target="https://webagentes.canaldirecto.com.ar/incidents/view/674870-4" TargetMode="External"/><Relationship Id="rId876" Type="http://schemas.openxmlformats.org/officeDocument/2006/relationships/hyperlink" Target="https://webagentes.canaldirecto.com.ar/incidents/view/684534-4" TargetMode="External"/><Relationship Id="rId1299" Type="http://schemas.openxmlformats.org/officeDocument/2006/relationships/hyperlink" Target="https://webagentes.canaldirecto.com.ar/incidents/view/713267-2" TargetMode="External"/><Relationship Id="rId2252" Type="http://schemas.openxmlformats.org/officeDocument/2006/relationships/hyperlink" Target="https://webagentes.canaldirecto.com.ar/incidents/view/751614-8" TargetMode="External"/><Relationship Id="rId2557" Type="http://schemas.openxmlformats.org/officeDocument/2006/relationships/hyperlink" Target="https://webagentes.canaldirecto.com.ar/liquidations/removeIncident/762174-1" TargetMode="External"/><Relationship Id="rId3303" Type="http://schemas.openxmlformats.org/officeDocument/2006/relationships/hyperlink" Target="https://webagentes.canaldirecto.com.ar/incidents/view/794460-6" TargetMode="External"/><Relationship Id="rId3510" Type="http://schemas.openxmlformats.org/officeDocument/2006/relationships/hyperlink" Target="https://webagentes.canaldirecto.com.ar/incidents/view/795590-3" TargetMode="External"/><Relationship Id="rId3608" Type="http://schemas.openxmlformats.org/officeDocument/2006/relationships/hyperlink" Target="https://webagentes.canaldirecto.com.ar/incidents/view/799771-4" TargetMode="External"/><Relationship Id="rId224" Type="http://schemas.openxmlformats.org/officeDocument/2006/relationships/hyperlink" Target="http://webagentes.canaldirecto.com.ar/incidents/view/655151-5" TargetMode="External"/><Relationship Id="rId431" Type="http://schemas.openxmlformats.org/officeDocument/2006/relationships/hyperlink" Target="https://webagentes.canaldirecto.com.ar/incidents/view/668789-2" TargetMode="External"/><Relationship Id="rId529" Type="http://schemas.openxmlformats.org/officeDocument/2006/relationships/hyperlink" Target="https://webagentes.canaldirecto.com.ar/incidents/view/672103-5" TargetMode="External"/><Relationship Id="rId736" Type="http://schemas.openxmlformats.org/officeDocument/2006/relationships/hyperlink" Target="https://webagentes.canaldirecto.com.ar/incidents/view/678378-9" TargetMode="External"/><Relationship Id="rId1061" Type="http://schemas.openxmlformats.org/officeDocument/2006/relationships/hyperlink" Target="https://webagentes.canaldirecto.com.ar/incidents/view/692362-4" TargetMode="External"/><Relationship Id="rId1159" Type="http://schemas.openxmlformats.org/officeDocument/2006/relationships/hyperlink" Target="https://webagentes.canaldirecto.com.ar/incidents/view/701891-0" TargetMode="External"/><Relationship Id="rId1366" Type="http://schemas.openxmlformats.org/officeDocument/2006/relationships/hyperlink" Target="https://webagentes.canaldirecto.com.ar/incidents/view/711970-5" TargetMode="External"/><Relationship Id="rId2112" Type="http://schemas.openxmlformats.org/officeDocument/2006/relationships/hyperlink" Target="https://webagentes.canaldirecto.com.ar/incidents/view/746256-4" TargetMode="External"/><Relationship Id="rId2417" Type="http://schemas.openxmlformats.org/officeDocument/2006/relationships/hyperlink" Target="https://webagentes.canaldirecto.com.ar/incidents/view/758213-2" TargetMode="External"/><Relationship Id="rId2764" Type="http://schemas.openxmlformats.org/officeDocument/2006/relationships/hyperlink" Target="https://webagentes.canaldirecto.com.ar/incidents/view/771234-4" TargetMode="External"/><Relationship Id="rId2971" Type="http://schemas.openxmlformats.org/officeDocument/2006/relationships/hyperlink" Target="https://webagentes.canaldirecto.com.ar/incidents/view/780474-2" TargetMode="External"/><Relationship Id="rId3815" Type="http://schemas.openxmlformats.org/officeDocument/2006/relationships/hyperlink" Target="https://webagentes.canaldirecto.com.ar/incidents/view/809380-2" TargetMode="External"/><Relationship Id="rId943" Type="http://schemas.openxmlformats.org/officeDocument/2006/relationships/hyperlink" Target="https://webagentes.canaldirecto.com.ar/incidents/view/689376-7" TargetMode="External"/><Relationship Id="rId1019" Type="http://schemas.openxmlformats.org/officeDocument/2006/relationships/hyperlink" Target="https://webagentes.canaldirecto.com.ar/incidents/view/690267-6" TargetMode="External"/><Relationship Id="rId1573" Type="http://schemas.openxmlformats.org/officeDocument/2006/relationships/hyperlink" Target="https://webagentes.canaldirecto.com.ar/incidents/view/722509-7" TargetMode="External"/><Relationship Id="rId1780" Type="http://schemas.openxmlformats.org/officeDocument/2006/relationships/hyperlink" Target="https://webagentes.canaldirecto.com.ar/incidents/view/731999-8" TargetMode="External"/><Relationship Id="rId1878" Type="http://schemas.openxmlformats.org/officeDocument/2006/relationships/hyperlink" Target="https://webagentes.canaldirecto.com.ar/liquidations/removeIncident/737512-5" TargetMode="External"/><Relationship Id="rId2624" Type="http://schemas.openxmlformats.org/officeDocument/2006/relationships/hyperlink" Target="https://webagentes.canaldirecto.com.ar/incidents/view/764105-5" TargetMode="External"/><Relationship Id="rId2831" Type="http://schemas.openxmlformats.org/officeDocument/2006/relationships/hyperlink" Target="https://webagentes.canaldirecto.com.ar/incidents/view/779742-4" TargetMode="External"/><Relationship Id="rId2929" Type="http://schemas.openxmlformats.org/officeDocument/2006/relationships/hyperlink" Target="https://webagentes.canaldirecto.com.ar/incidents/view/782250-8" TargetMode="External"/><Relationship Id="rId72" Type="http://schemas.openxmlformats.org/officeDocument/2006/relationships/hyperlink" Target="http://webagentes.canaldirecto.com.ar/incidents/view/653995-7" TargetMode="External"/><Relationship Id="rId803" Type="http://schemas.openxmlformats.org/officeDocument/2006/relationships/hyperlink" Target="https://webagentes.canaldirecto.com.ar/incidents/view/679711-7" TargetMode="External"/><Relationship Id="rId1226" Type="http://schemas.openxmlformats.org/officeDocument/2006/relationships/hyperlink" Target="https://webagentes.canaldirecto.com.ar/incidents/view/711310-9" TargetMode="External"/><Relationship Id="rId1433" Type="http://schemas.openxmlformats.org/officeDocument/2006/relationships/hyperlink" Target="https://webagentes.canaldirecto.com.ar/incidents/view/716811-8" TargetMode="External"/><Relationship Id="rId1640" Type="http://schemas.openxmlformats.org/officeDocument/2006/relationships/hyperlink" Target="https://webagentes.canaldirecto.com.ar/incidents/view/720136-1" TargetMode="External"/><Relationship Id="rId1738" Type="http://schemas.openxmlformats.org/officeDocument/2006/relationships/hyperlink" Target="https://webagentes.canaldirecto.com.ar/incidents/view/728337-4" TargetMode="External"/><Relationship Id="rId3093" Type="http://schemas.openxmlformats.org/officeDocument/2006/relationships/hyperlink" Target="https://webagentes.canaldirecto.com.ar/incidents/view/789225-1" TargetMode="External"/><Relationship Id="rId1500" Type="http://schemas.openxmlformats.org/officeDocument/2006/relationships/hyperlink" Target="https://webagentes.canaldirecto.com.ar/incidents/view/720639-3" TargetMode="External"/><Relationship Id="rId1945" Type="http://schemas.openxmlformats.org/officeDocument/2006/relationships/hyperlink" Target="https://webagentes.canaldirecto.com.ar/incidents/view/741191-3" TargetMode="External"/><Relationship Id="rId3160" Type="http://schemas.openxmlformats.org/officeDocument/2006/relationships/hyperlink" Target="https://webagentes.canaldirecto.com.ar/incidents/view/791424-3" TargetMode="External"/><Relationship Id="rId3398" Type="http://schemas.openxmlformats.org/officeDocument/2006/relationships/hyperlink" Target="https://webagentes.canaldirecto.com.ar/incidents/view/797550-9" TargetMode="External"/><Relationship Id="rId1805" Type="http://schemas.openxmlformats.org/officeDocument/2006/relationships/hyperlink" Target="https://webagentes.canaldirecto.com.ar/incidents/view/736248-6" TargetMode="External"/><Relationship Id="rId3020" Type="http://schemas.openxmlformats.org/officeDocument/2006/relationships/hyperlink" Target="https://webagentes.canaldirecto.com.ar/incidents/view/783084-4" TargetMode="External"/><Relationship Id="rId3258" Type="http://schemas.openxmlformats.org/officeDocument/2006/relationships/hyperlink" Target="https://webagentes.canaldirecto.com.ar/incidents/view/791699-5" TargetMode="External"/><Relationship Id="rId3465" Type="http://schemas.openxmlformats.org/officeDocument/2006/relationships/hyperlink" Target="https://webagentes.canaldirecto.com.ar/liquidations/removeIncident/796060-4" TargetMode="External"/><Relationship Id="rId3672" Type="http://schemas.openxmlformats.org/officeDocument/2006/relationships/hyperlink" Target="https://webagentes.canaldirecto.com.ar/incidents/view/794403-1" TargetMode="External"/><Relationship Id="rId179" Type="http://schemas.openxmlformats.org/officeDocument/2006/relationships/hyperlink" Target="http://webagentes.canaldirecto.com.ar/liquidations/removeIncident/656683-6" TargetMode="External"/><Relationship Id="rId386" Type="http://schemas.openxmlformats.org/officeDocument/2006/relationships/hyperlink" Target="https://webagentes.canaldirecto.com.ar/liquidations/removeIncident/669388-4" TargetMode="External"/><Relationship Id="rId593" Type="http://schemas.openxmlformats.org/officeDocument/2006/relationships/hyperlink" Target="https://webagentes.canaldirecto.com.ar/incidents/view/670023-6" TargetMode="External"/><Relationship Id="rId2067" Type="http://schemas.openxmlformats.org/officeDocument/2006/relationships/hyperlink" Target="https://webagentes.canaldirecto.com.ar/incidents/view/742587-3" TargetMode="External"/><Relationship Id="rId2274" Type="http://schemas.openxmlformats.org/officeDocument/2006/relationships/hyperlink" Target="https://webagentes.canaldirecto.com.ar/incidents/view/751015-3" TargetMode="External"/><Relationship Id="rId2481" Type="http://schemas.openxmlformats.org/officeDocument/2006/relationships/hyperlink" Target="https://webagentes.canaldirecto.com.ar/incidents/view/759799-4" TargetMode="External"/><Relationship Id="rId3118" Type="http://schemas.openxmlformats.org/officeDocument/2006/relationships/hyperlink" Target="https://webagentes.canaldirecto.com.ar/incidents/view/788338-7" TargetMode="External"/><Relationship Id="rId3325" Type="http://schemas.openxmlformats.org/officeDocument/2006/relationships/hyperlink" Target="https://webagentes.canaldirecto.com.ar/incidents/view/794231-6" TargetMode="External"/><Relationship Id="rId3532" Type="http://schemas.openxmlformats.org/officeDocument/2006/relationships/hyperlink" Target="https://webagentes.canaldirecto.com.ar/incidents/view/795578-1" TargetMode="External"/><Relationship Id="rId246" Type="http://schemas.openxmlformats.org/officeDocument/2006/relationships/hyperlink" Target="http://webagentes.canaldirecto.com.ar/incidents/view/660788-7" TargetMode="External"/><Relationship Id="rId453" Type="http://schemas.openxmlformats.org/officeDocument/2006/relationships/hyperlink" Target="https://webagentes.canaldirecto.com.ar/incidents/view/668242-6" TargetMode="External"/><Relationship Id="rId660" Type="http://schemas.openxmlformats.org/officeDocument/2006/relationships/hyperlink" Target="https://webagentes.canaldirecto.com.ar/incidents/view/675605-9" TargetMode="External"/><Relationship Id="rId898" Type="http://schemas.openxmlformats.org/officeDocument/2006/relationships/hyperlink" Target="https://webagentes.canaldirecto.com.ar/incidents/view/683825-6" TargetMode="External"/><Relationship Id="rId1083" Type="http://schemas.openxmlformats.org/officeDocument/2006/relationships/hyperlink" Target="https://webagentes.canaldirecto.com.ar/incidents/view/696257-1" TargetMode="External"/><Relationship Id="rId1290" Type="http://schemas.openxmlformats.org/officeDocument/2006/relationships/hyperlink" Target="https://webagentes.canaldirecto.com.ar/incidents/view/704668-5" TargetMode="External"/><Relationship Id="rId2134" Type="http://schemas.openxmlformats.org/officeDocument/2006/relationships/hyperlink" Target="https://webagentes.canaldirecto.com.ar/incidents/view/745820-6" TargetMode="External"/><Relationship Id="rId2341" Type="http://schemas.openxmlformats.org/officeDocument/2006/relationships/hyperlink" Target="https://webagentes.canaldirecto.com.ar/incidents/view/752880-6" TargetMode="External"/><Relationship Id="rId2579" Type="http://schemas.openxmlformats.org/officeDocument/2006/relationships/hyperlink" Target="https://webagentes.canaldirecto.com.ar/liquidations/removeIncident/761108-1" TargetMode="External"/><Relationship Id="rId2786" Type="http://schemas.openxmlformats.org/officeDocument/2006/relationships/hyperlink" Target="https://webagentes.canaldirecto.com.ar/incidents/view/775976-1" TargetMode="External"/><Relationship Id="rId2993" Type="http://schemas.openxmlformats.org/officeDocument/2006/relationships/hyperlink" Target="https://webagentes.canaldirecto.com.ar/incidents/view/784583-7" TargetMode="External"/><Relationship Id="rId3837" Type="http://schemas.openxmlformats.org/officeDocument/2006/relationships/hyperlink" Target="https://webagentes.canaldirecto.com.ar/incidents/view/808197-7" TargetMode="External"/><Relationship Id="rId106" Type="http://schemas.openxmlformats.org/officeDocument/2006/relationships/hyperlink" Target="http://webagentes.canaldirecto.com.ar/incidents/view/639098-7" TargetMode="External"/><Relationship Id="rId313" Type="http://schemas.openxmlformats.org/officeDocument/2006/relationships/hyperlink" Target="https://webagentes.canaldirecto.com.ar/incidents/view/662355-7" TargetMode="External"/><Relationship Id="rId758" Type="http://schemas.openxmlformats.org/officeDocument/2006/relationships/hyperlink" Target="https://webagentes.canaldirecto.com.ar/incidents/view/678032-0" TargetMode="External"/><Relationship Id="rId965" Type="http://schemas.openxmlformats.org/officeDocument/2006/relationships/hyperlink" Target="https://webagentes.canaldirecto.com.ar/incidents/view/688078-1" TargetMode="External"/><Relationship Id="rId1150" Type="http://schemas.openxmlformats.org/officeDocument/2006/relationships/hyperlink" Target="https://webagentes.canaldirecto.com.ar/incidents/view/702559-4" TargetMode="External"/><Relationship Id="rId1388" Type="http://schemas.openxmlformats.org/officeDocument/2006/relationships/hyperlink" Target="https://webagentes.canaldirecto.com.ar/incidents/view/711614-2" TargetMode="External"/><Relationship Id="rId1595" Type="http://schemas.openxmlformats.org/officeDocument/2006/relationships/hyperlink" Target="https://webagentes.canaldirecto.com.ar/incidents/view/721823-7" TargetMode="External"/><Relationship Id="rId2439" Type="http://schemas.openxmlformats.org/officeDocument/2006/relationships/hyperlink" Target="https://webagentes.canaldirecto.com.ar/incidents/view/760870-4" TargetMode="External"/><Relationship Id="rId2646" Type="http://schemas.openxmlformats.org/officeDocument/2006/relationships/hyperlink" Target="https://webagentes.canaldirecto.com.ar/incidents/view/767448-8" TargetMode="External"/><Relationship Id="rId2853" Type="http://schemas.openxmlformats.org/officeDocument/2006/relationships/hyperlink" Target="https://webagentes.canaldirecto.com.ar/incidents/view/779273-9" TargetMode="External"/><Relationship Id="rId94" Type="http://schemas.openxmlformats.org/officeDocument/2006/relationships/hyperlink" Target="http://webagentes.canaldirecto.com.ar/incidents/view/653404-0" TargetMode="External"/><Relationship Id="rId520" Type="http://schemas.openxmlformats.org/officeDocument/2006/relationships/hyperlink" Target="https://webagentes.canaldirecto.com.ar/liquidations/removeIncident/672486-5" TargetMode="External"/><Relationship Id="rId618" Type="http://schemas.openxmlformats.org/officeDocument/2006/relationships/hyperlink" Target="https://webagentes.canaldirecto.com.ar/incidents/view/677419-8" TargetMode="External"/><Relationship Id="rId825" Type="http://schemas.openxmlformats.org/officeDocument/2006/relationships/hyperlink" Target="https://webagentes.canaldirecto.com.ar/liquidations/removeIncident/686430-3" TargetMode="External"/><Relationship Id="rId1248" Type="http://schemas.openxmlformats.org/officeDocument/2006/relationships/hyperlink" Target="https://webagentes.canaldirecto.com.ar/incidents/view/709472-5" TargetMode="External"/><Relationship Id="rId1455" Type="http://schemas.openxmlformats.org/officeDocument/2006/relationships/hyperlink" Target="https://webagentes.canaldirecto.com.ar/incidents/view/716423-7" TargetMode="External"/><Relationship Id="rId1662" Type="http://schemas.openxmlformats.org/officeDocument/2006/relationships/hyperlink" Target="https://webagentes.canaldirecto.com.ar/incidents/view/727824-8" TargetMode="External"/><Relationship Id="rId2201" Type="http://schemas.openxmlformats.org/officeDocument/2006/relationships/hyperlink" Target="https://webagentes.canaldirecto.com.ar/incidents/view/748678-6" TargetMode="External"/><Relationship Id="rId2506" Type="http://schemas.openxmlformats.org/officeDocument/2006/relationships/hyperlink" Target="https://webagentes.canaldirecto.com.ar/incidents/view/763632-7" TargetMode="External"/><Relationship Id="rId1010" Type="http://schemas.openxmlformats.org/officeDocument/2006/relationships/hyperlink" Target="https://webagentes.canaldirecto.com.ar/incidents/view/690402-7" TargetMode="External"/><Relationship Id="rId1108" Type="http://schemas.openxmlformats.org/officeDocument/2006/relationships/hyperlink" Target="https://webagentes.canaldirecto.com.ar/incidents/view/699500-1" TargetMode="External"/><Relationship Id="rId1315" Type="http://schemas.openxmlformats.org/officeDocument/2006/relationships/hyperlink" Target="https://webagentes.canaldirecto.com.ar/incidents/view/712501-6" TargetMode="External"/><Relationship Id="rId1967" Type="http://schemas.openxmlformats.org/officeDocument/2006/relationships/hyperlink" Target="https://webagentes.canaldirecto.com.ar/incidents/view/740043-0" TargetMode="External"/><Relationship Id="rId2713" Type="http://schemas.openxmlformats.org/officeDocument/2006/relationships/hyperlink" Target="https://webagentes.canaldirecto.com.ar/incidents/view/768830-2" TargetMode="External"/><Relationship Id="rId2920" Type="http://schemas.openxmlformats.org/officeDocument/2006/relationships/hyperlink" Target="https://webagentes.canaldirecto.com.ar/incidents/view/782733-6" TargetMode="External"/><Relationship Id="rId1522" Type="http://schemas.openxmlformats.org/officeDocument/2006/relationships/hyperlink" Target="https://webagentes.canaldirecto.com.ar/incidents/view/720020-1" TargetMode="External"/><Relationship Id="rId21" Type="http://schemas.openxmlformats.org/officeDocument/2006/relationships/hyperlink" Target="http://webagentes.canaldirecto.com.ar/incidents/view/651987-4" TargetMode="External"/><Relationship Id="rId2089" Type="http://schemas.openxmlformats.org/officeDocument/2006/relationships/hyperlink" Target="https://webagentes.canaldirecto.com.ar/incidents/view/746799-4" TargetMode="External"/><Relationship Id="rId3487" Type="http://schemas.openxmlformats.org/officeDocument/2006/relationships/hyperlink" Target="https://webagentes.canaldirecto.com.ar/liquidations/removeIncident/795878-8" TargetMode="External"/><Relationship Id="rId3694" Type="http://schemas.openxmlformats.org/officeDocument/2006/relationships/hyperlink" Target="https://webagentes.canaldirecto.com.ar/incidents/view/802423-7" TargetMode="External"/><Relationship Id="rId2296" Type="http://schemas.openxmlformats.org/officeDocument/2006/relationships/hyperlink" Target="https://webagentes.canaldirecto.com.ar/incidents/view/749613-6" TargetMode="External"/><Relationship Id="rId3347" Type="http://schemas.openxmlformats.org/officeDocument/2006/relationships/hyperlink" Target="https://webagentes.canaldirecto.com.ar/incidents/view/793300-8" TargetMode="External"/><Relationship Id="rId3554" Type="http://schemas.openxmlformats.org/officeDocument/2006/relationships/hyperlink" Target="https://webagentes.canaldirecto.com.ar/incidents/view/795334-9" TargetMode="External"/><Relationship Id="rId3761" Type="http://schemas.openxmlformats.org/officeDocument/2006/relationships/hyperlink" Target="https://webagentes.canaldirecto.com.ar/incidents/view/805663-4" TargetMode="External"/><Relationship Id="rId268" Type="http://schemas.openxmlformats.org/officeDocument/2006/relationships/hyperlink" Target="http://webagentes.canaldirecto.com.ar/incidents/view/658384-2" TargetMode="External"/><Relationship Id="rId475" Type="http://schemas.openxmlformats.org/officeDocument/2006/relationships/hyperlink" Target="https://webagentes.canaldirecto.com.ar/incidents/view/667100-4" TargetMode="External"/><Relationship Id="rId682" Type="http://schemas.openxmlformats.org/officeDocument/2006/relationships/hyperlink" Target="https://webagentes.canaldirecto.com.ar/incidents/view/674659-3" TargetMode="External"/><Relationship Id="rId2156" Type="http://schemas.openxmlformats.org/officeDocument/2006/relationships/hyperlink" Target="https://webagentes.canaldirecto.com.ar/incidents/view/745146-1" TargetMode="External"/><Relationship Id="rId2363" Type="http://schemas.openxmlformats.org/officeDocument/2006/relationships/hyperlink" Target="https://webagentes.canaldirecto.com.ar/incidents/view/755946-2" TargetMode="External"/><Relationship Id="rId2570" Type="http://schemas.openxmlformats.org/officeDocument/2006/relationships/hyperlink" Target="https://webagentes.canaldirecto.com.ar/incidents/view/761580-1" TargetMode="External"/><Relationship Id="rId3207" Type="http://schemas.openxmlformats.org/officeDocument/2006/relationships/hyperlink" Target="https://webagentes.canaldirecto.com.ar/incidents/view/790356-6" TargetMode="External"/><Relationship Id="rId3414" Type="http://schemas.openxmlformats.org/officeDocument/2006/relationships/hyperlink" Target="https://webagentes.canaldirecto.com.ar/incidents/view/797418-4" TargetMode="External"/><Relationship Id="rId3621" Type="http://schemas.openxmlformats.org/officeDocument/2006/relationships/hyperlink" Target="https://webagentes.canaldirecto.com.ar/incidents/view/799704-2" TargetMode="External"/><Relationship Id="rId128" Type="http://schemas.openxmlformats.org/officeDocument/2006/relationships/hyperlink" Target="http://webagentes.canaldirecto.com.ar/incidents/view/658003-0" TargetMode="External"/><Relationship Id="rId335" Type="http://schemas.openxmlformats.org/officeDocument/2006/relationships/hyperlink" Target="https://webagentes.canaldirecto.com.ar/incidents/view/666604-8" TargetMode="External"/><Relationship Id="rId542" Type="http://schemas.openxmlformats.org/officeDocument/2006/relationships/hyperlink" Target="https://webagentes.canaldirecto.com.ar/liquidations/removeIncident/670931-6" TargetMode="External"/><Relationship Id="rId1172" Type="http://schemas.openxmlformats.org/officeDocument/2006/relationships/hyperlink" Target="https://webagentes.canaldirecto.com.ar/incidents/view/700421-8" TargetMode="External"/><Relationship Id="rId2016" Type="http://schemas.openxmlformats.org/officeDocument/2006/relationships/hyperlink" Target="https://webagentes.canaldirecto.com.ar/incidents/view/744004-9" TargetMode="External"/><Relationship Id="rId2223" Type="http://schemas.openxmlformats.org/officeDocument/2006/relationships/hyperlink" Target="https://webagentes.canaldirecto.com.ar/incidents/view/748428-3" TargetMode="External"/><Relationship Id="rId2430" Type="http://schemas.openxmlformats.org/officeDocument/2006/relationships/hyperlink" Target="https://webagentes.canaldirecto.com.ar/incidents/view/761454-7" TargetMode="External"/><Relationship Id="rId402" Type="http://schemas.openxmlformats.org/officeDocument/2006/relationships/hyperlink" Target="https://webagentes.canaldirecto.com.ar/liquidations/removeIncident/669380-2" TargetMode="External"/><Relationship Id="rId1032" Type="http://schemas.openxmlformats.org/officeDocument/2006/relationships/hyperlink" Target="https://webagentes.canaldirecto.com.ar/incidents/view/694983-5" TargetMode="External"/><Relationship Id="rId1989" Type="http://schemas.openxmlformats.org/officeDocument/2006/relationships/hyperlink" Target="https://webagentes.canaldirecto.com.ar/incidents/view/744280-7" TargetMode="External"/><Relationship Id="rId1849" Type="http://schemas.openxmlformats.org/officeDocument/2006/relationships/hyperlink" Target="https://webagentes.canaldirecto.com.ar/incidents/view/733622-3" TargetMode="External"/><Relationship Id="rId3064" Type="http://schemas.openxmlformats.org/officeDocument/2006/relationships/hyperlink" Target="https://webagentes.canaldirecto.com.ar/incidents/view/786287-0" TargetMode="External"/><Relationship Id="rId192" Type="http://schemas.openxmlformats.org/officeDocument/2006/relationships/hyperlink" Target="http://webagentes.canaldirecto.com.ar/incidents/view/656358-3" TargetMode="External"/><Relationship Id="rId1709" Type="http://schemas.openxmlformats.org/officeDocument/2006/relationships/hyperlink" Target="https://webagentes.canaldirecto.com.ar/incidents/view/730647-1" TargetMode="External"/><Relationship Id="rId1916" Type="http://schemas.openxmlformats.org/officeDocument/2006/relationships/hyperlink" Target="https://webagentes.canaldirecto.com.ar/incidents/view/736736-6" TargetMode="External"/><Relationship Id="rId3271" Type="http://schemas.openxmlformats.org/officeDocument/2006/relationships/hyperlink" Target="https://webagentes.canaldirecto.com.ar/incidents/view/791179-6" TargetMode="External"/><Relationship Id="rId2080" Type="http://schemas.openxmlformats.org/officeDocument/2006/relationships/hyperlink" Target="https://webagentes.canaldirecto.com.ar/incidents/view/746815-1" TargetMode="External"/><Relationship Id="rId3131" Type="http://schemas.openxmlformats.org/officeDocument/2006/relationships/hyperlink" Target="https://webagentes.canaldirecto.com.ar/incidents/view/788166-2" TargetMode="External"/><Relationship Id="rId2897" Type="http://schemas.openxmlformats.org/officeDocument/2006/relationships/hyperlink" Target="https://webagentes.canaldirecto.com.ar/incidents/view/777403-4" TargetMode="External"/><Relationship Id="rId869" Type="http://schemas.openxmlformats.org/officeDocument/2006/relationships/hyperlink" Target="https://webagentes.canaldirecto.com.ar/liquidations/removeIncident/684977-5" TargetMode="External"/><Relationship Id="rId1499" Type="http://schemas.openxmlformats.org/officeDocument/2006/relationships/hyperlink" Target="https://webagentes.canaldirecto.com.ar/incidents/view/720772-7" TargetMode="External"/><Relationship Id="rId729" Type="http://schemas.openxmlformats.org/officeDocument/2006/relationships/hyperlink" Target="https://webagentes.canaldirecto.com.ar/incidents/view/679148-7" TargetMode="External"/><Relationship Id="rId1359" Type="http://schemas.openxmlformats.org/officeDocument/2006/relationships/hyperlink" Target="https://webagentes.canaldirecto.com.ar/incidents/view/712033-0" TargetMode="External"/><Relationship Id="rId2757" Type="http://schemas.openxmlformats.org/officeDocument/2006/relationships/hyperlink" Target="https://webagentes.canaldirecto.com.ar/incidents/view/772179-5" TargetMode="External"/><Relationship Id="rId2964" Type="http://schemas.openxmlformats.org/officeDocument/2006/relationships/hyperlink" Target="https://webagentes.canaldirecto.com.ar/incidents/view/781121-0" TargetMode="External"/><Relationship Id="rId3808" Type="http://schemas.openxmlformats.org/officeDocument/2006/relationships/hyperlink" Target="https://webagentes.canaldirecto.com.ar/incidents/view/809453-7" TargetMode="External"/><Relationship Id="rId936" Type="http://schemas.openxmlformats.org/officeDocument/2006/relationships/hyperlink" Target="https://webagentes.canaldirecto.com.ar/incidents/view/689423-4" TargetMode="External"/><Relationship Id="rId1219" Type="http://schemas.openxmlformats.org/officeDocument/2006/relationships/hyperlink" Target="https://webagentes.canaldirecto.com.ar/incidents/view/704191-8" TargetMode="External"/><Relationship Id="rId1566" Type="http://schemas.openxmlformats.org/officeDocument/2006/relationships/hyperlink" Target="https://webagentes.canaldirecto.com.ar/incidents/view/712786-5" TargetMode="External"/><Relationship Id="rId1773" Type="http://schemas.openxmlformats.org/officeDocument/2006/relationships/hyperlink" Target="https://webagentes.canaldirecto.com.ar/incidents/view/732784-5" TargetMode="External"/><Relationship Id="rId1980" Type="http://schemas.openxmlformats.org/officeDocument/2006/relationships/hyperlink" Target="https://webagentes.canaldirecto.com.ar/incidents/view/744535-4" TargetMode="External"/><Relationship Id="rId2617" Type="http://schemas.openxmlformats.org/officeDocument/2006/relationships/hyperlink" Target="https://webagentes.canaldirecto.com.ar/incidents/view/764707-7" TargetMode="External"/><Relationship Id="rId2824" Type="http://schemas.openxmlformats.org/officeDocument/2006/relationships/hyperlink" Target="https://webagentes.canaldirecto.com.ar/incidents/view/779819-5" TargetMode="External"/><Relationship Id="rId65" Type="http://schemas.openxmlformats.org/officeDocument/2006/relationships/hyperlink" Target="http://webagentes.canaldirecto.com.ar/liquidations/removeIncident/654663-8" TargetMode="External"/><Relationship Id="rId1426" Type="http://schemas.openxmlformats.org/officeDocument/2006/relationships/hyperlink" Target="https://webagentes.canaldirecto.com.ar/incidents/view/716823-3" TargetMode="External"/><Relationship Id="rId1633" Type="http://schemas.openxmlformats.org/officeDocument/2006/relationships/hyperlink" Target="https://webagentes.canaldirecto.com.ar/incidents/view/723367-0" TargetMode="External"/><Relationship Id="rId1840" Type="http://schemas.openxmlformats.org/officeDocument/2006/relationships/hyperlink" Target="https://webagentes.canaldirecto.com.ar/incidents/view/734165-0" TargetMode="External"/><Relationship Id="rId1700" Type="http://schemas.openxmlformats.org/officeDocument/2006/relationships/hyperlink" Target="https://webagentes.canaldirecto.com.ar/incidents/view/730658-7" TargetMode="External"/><Relationship Id="rId3598" Type="http://schemas.openxmlformats.org/officeDocument/2006/relationships/hyperlink" Target="https://webagentes.canaldirecto.com.ar/incidents/view/799974-9" TargetMode="External"/><Relationship Id="rId3458" Type="http://schemas.openxmlformats.org/officeDocument/2006/relationships/hyperlink" Target="https://webagentes.canaldirecto.com.ar/incidents/view/796145-4" TargetMode="External"/><Relationship Id="rId3665" Type="http://schemas.openxmlformats.org/officeDocument/2006/relationships/hyperlink" Target="https://webagentes.canaldirecto.com.ar/incidents/view/797032-8" TargetMode="External"/><Relationship Id="rId379" Type="http://schemas.openxmlformats.org/officeDocument/2006/relationships/hyperlink" Target="https://webagentes.canaldirecto.com.ar/incidents/view/669556-3" TargetMode="External"/><Relationship Id="rId586" Type="http://schemas.openxmlformats.org/officeDocument/2006/relationships/hyperlink" Target="https://webagentes.canaldirecto.com.ar/liquidations/removeIncident/670211-9" TargetMode="External"/><Relationship Id="rId793" Type="http://schemas.openxmlformats.org/officeDocument/2006/relationships/hyperlink" Target="https://webagentes.canaldirecto.com.ar/incidents/view/682198-2" TargetMode="External"/><Relationship Id="rId2267" Type="http://schemas.openxmlformats.org/officeDocument/2006/relationships/hyperlink" Target="https://webagentes.canaldirecto.com.ar/incidents/view/751363-7" TargetMode="External"/><Relationship Id="rId2474" Type="http://schemas.openxmlformats.org/officeDocument/2006/relationships/hyperlink" Target="https://webagentes.canaldirecto.com.ar/incidents/view/760043-8" TargetMode="External"/><Relationship Id="rId2681" Type="http://schemas.openxmlformats.org/officeDocument/2006/relationships/hyperlink" Target="https://webagentes.canaldirecto.com.ar/incidents/view/770469-1" TargetMode="External"/><Relationship Id="rId3318" Type="http://schemas.openxmlformats.org/officeDocument/2006/relationships/hyperlink" Target="https://webagentes.canaldirecto.com.ar/incidents/view/794385-6" TargetMode="External"/><Relationship Id="rId3525" Type="http://schemas.openxmlformats.org/officeDocument/2006/relationships/hyperlink" Target="https://webagentes.canaldirecto.com.ar/liquidations/removeIncident/795583-3" TargetMode="External"/><Relationship Id="rId239" Type="http://schemas.openxmlformats.org/officeDocument/2006/relationships/hyperlink" Target="http://webagentes.canaldirecto.com.ar/incidents/view/660795-7" TargetMode="External"/><Relationship Id="rId446" Type="http://schemas.openxmlformats.org/officeDocument/2006/relationships/hyperlink" Target="https://webagentes.canaldirecto.com.ar/liquidations/removeIncident/668511-3" TargetMode="External"/><Relationship Id="rId653" Type="http://schemas.openxmlformats.org/officeDocument/2006/relationships/hyperlink" Target="https://webagentes.canaldirecto.com.ar/incidents/view/675616-5" TargetMode="External"/><Relationship Id="rId1076" Type="http://schemas.openxmlformats.org/officeDocument/2006/relationships/hyperlink" Target="https://webagentes.canaldirecto.com.ar/incidents/view/697173-7" TargetMode="External"/><Relationship Id="rId1283" Type="http://schemas.openxmlformats.org/officeDocument/2006/relationships/hyperlink" Target="https://webagentes.canaldirecto.com.ar/incidents/view/706732-3" TargetMode="External"/><Relationship Id="rId1490" Type="http://schemas.openxmlformats.org/officeDocument/2006/relationships/hyperlink" Target="https://webagentes.canaldirecto.com.ar/incidents/view/713724-2" TargetMode="External"/><Relationship Id="rId2127" Type="http://schemas.openxmlformats.org/officeDocument/2006/relationships/hyperlink" Target="https://webagentes.canaldirecto.com.ar/incidents/view/745992-2" TargetMode="External"/><Relationship Id="rId2334" Type="http://schemas.openxmlformats.org/officeDocument/2006/relationships/hyperlink" Target="https://webagentes.canaldirecto.com.ar/incidents/view/752890-3" TargetMode="External"/><Relationship Id="rId3732" Type="http://schemas.openxmlformats.org/officeDocument/2006/relationships/hyperlink" Target="https://webagentes.canaldirecto.com.ar/incidents/view/800426-0" TargetMode="External"/><Relationship Id="rId306" Type="http://schemas.openxmlformats.org/officeDocument/2006/relationships/hyperlink" Target="https://webagentes.canaldirecto.com.ar/incidents/view/662421-9" TargetMode="External"/><Relationship Id="rId860" Type="http://schemas.openxmlformats.org/officeDocument/2006/relationships/hyperlink" Target="https://webagentes.canaldirecto.com.ar/incidents/view/685193-8" TargetMode="External"/><Relationship Id="rId1143" Type="http://schemas.openxmlformats.org/officeDocument/2006/relationships/hyperlink" Target="https://webagentes.canaldirecto.com.ar/incidents/view/703169-2" TargetMode="External"/><Relationship Id="rId2541" Type="http://schemas.openxmlformats.org/officeDocument/2006/relationships/hyperlink" Target="https://webagentes.canaldirecto.com.ar/liquidations/removeIncident/762390-7" TargetMode="External"/><Relationship Id="rId513" Type="http://schemas.openxmlformats.org/officeDocument/2006/relationships/hyperlink" Target="https://webagentes.canaldirecto.com.ar/incidents/view/672497-1" TargetMode="External"/><Relationship Id="rId720" Type="http://schemas.openxmlformats.org/officeDocument/2006/relationships/hyperlink" Target="https://webagentes.canaldirecto.com.ar/incidents/view/679894-9" TargetMode="External"/><Relationship Id="rId1350" Type="http://schemas.openxmlformats.org/officeDocument/2006/relationships/hyperlink" Target="https://webagentes.canaldirecto.com.ar/incidents/view/712042-8" TargetMode="External"/><Relationship Id="rId2401" Type="http://schemas.openxmlformats.org/officeDocument/2006/relationships/hyperlink" Target="https://webagentes.canaldirecto.com.ar/incidents/view/759072-4" TargetMode="External"/><Relationship Id="rId1003" Type="http://schemas.openxmlformats.org/officeDocument/2006/relationships/hyperlink" Target="https://webagentes.canaldirecto.com.ar/incidents/view/690842-1" TargetMode="External"/><Relationship Id="rId1210" Type="http://schemas.openxmlformats.org/officeDocument/2006/relationships/hyperlink" Target="https://webagentes.canaldirecto.com.ar/incidents/view/704493-3" TargetMode="External"/><Relationship Id="rId3175" Type="http://schemas.openxmlformats.org/officeDocument/2006/relationships/hyperlink" Target="https://webagentes.canaldirecto.com.ar/incidents/view/790910-8" TargetMode="External"/><Relationship Id="rId3382" Type="http://schemas.openxmlformats.org/officeDocument/2006/relationships/hyperlink" Target="https://webagentes.canaldirecto.com.ar/incidents/view/792106-7" TargetMode="External"/><Relationship Id="rId2191" Type="http://schemas.openxmlformats.org/officeDocument/2006/relationships/hyperlink" Target="https://webagentes.canaldirecto.com.ar/incidents/view/749045-1" TargetMode="External"/><Relationship Id="rId3035" Type="http://schemas.openxmlformats.org/officeDocument/2006/relationships/hyperlink" Target="https://webagentes.canaldirecto.com.ar/incidents/view/787155-9" TargetMode="External"/><Relationship Id="rId3242" Type="http://schemas.openxmlformats.org/officeDocument/2006/relationships/hyperlink" Target="https://webagentes.canaldirecto.com.ar/incidents/view/781637-6" TargetMode="External"/><Relationship Id="rId163" Type="http://schemas.openxmlformats.org/officeDocument/2006/relationships/hyperlink" Target="http://webagentes.canaldirecto.com.ar/liquidations/removeIncident/656980-6" TargetMode="External"/><Relationship Id="rId370" Type="http://schemas.openxmlformats.org/officeDocument/2006/relationships/hyperlink" Target="https://webagentes.canaldirecto.com.ar/liquidations/removeIncident/669893-1" TargetMode="External"/><Relationship Id="rId2051" Type="http://schemas.openxmlformats.org/officeDocument/2006/relationships/hyperlink" Target="https://webagentes.canaldirecto.com.ar/incidents/view/743342-9" TargetMode="External"/><Relationship Id="rId3102" Type="http://schemas.openxmlformats.org/officeDocument/2006/relationships/hyperlink" Target="https://webagentes.canaldirecto.com.ar/incidents/view/788356-3" TargetMode="External"/><Relationship Id="rId230" Type="http://schemas.openxmlformats.org/officeDocument/2006/relationships/hyperlink" Target="http://webagentes.canaldirecto.com.ar/incidents/view/655029-7" TargetMode="External"/><Relationship Id="rId2868" Type="http://schemas.openxmlformats.org/officeDocument/2006/relationships/hyperlink" Target="https://webagentes.canaldirecto.com.ar/incidents/view/779141-1" TargetMode="External"/><Relationship Id="rId1677" Type="http://schemas.openxmlformats.org/officeDocument/2006/relationships/hyperlink" Target="https://webagentes.canaldirecto.com.ar/incidents/view/727141-2" TargetMode="External"/><Relationship Id="rId1884" Type="http://schemas.openxmlformats.org/officeDocument/2006/relationships/hyperlink" Target="https://webagentes.canaldirecto.com.ar/liquidations/removeIncident/737509-1" TargetMode="External"/><Relationship Id="rId2728" Type="http://schemas.openxmlformats.org/officeDocument/2006/relationships/hyperlink" Target="https://webagentes.canaldirecto.com.ar/incidents/view/774010-7" TargetMode="External"/><Relationship Id="rId2935" Type="http://schemas.openxmlformats.org/officeDocument/2006/relationships/hyperlink" Target="https://webagentes.canaldirecto.com.ar/incidents/view/782231-3" TargetMode="External"/><Relationship Id="rId907" Type="http://schemas.openxmlformats.org/officeDocument/2006/relationships/hyperlink" Target="https://webagentes.canaldirecto.com.ar/liquidations/removeIncident/683551-4" TargetMode="External"/><Relationship Id="rId1537" Type="http://schemas.openxmlformats.org/officeDocument/2006/relationships/hyperlink" Target="https://webagentes.canaldirecto.com.ar/incidents/view/719166-6" TargetMode="External"/><Relationship Id="rId1744" Type="http://schemas.openxmlformats.org/officeDocument/2006/relationships/hyperlink" Target="https://webagentes.canaldirecto.com.ar/incidents/view/733235-1" TargetMode="External"/><Relationship Id="rId1951" Type="http://schemas.openxmlformats.org/officeDocument/2006/relationships/hyperlink" Target="https://webagentes.canaldirecto.com.ar/incidents/view/741184-3" TargetMode="External"/><Relationship Id="rId36" Type="http://schemas.openxmlformats.org/officeDocument/2006/relationships/hyperlink" Target="http://webagentes.canaldirecto.com.ar/incidents/view/650771-8" TargetMode="External"/><Relationship Id="rId1604" Type="http://schemas.openxmlformats.org/officeDocument/2006/relationships/hyperlink" Target="https://webagentes.canaldirecto.com.ar/incidents/view/720782-4" TargetMode="External"/><Relationship Id="rId1811" Type="http://schemas.openxmlformats.org/officeDocument/2006/relationships/hyperlink" Target="https://webagentes.canaldirecto.com.ar/incidents/view/736111-3" TargetMode="External"/><Relationship Id="rId3569" Type="http://schemas.openxmlformats.org/officeDocument/2006/relationships/hyperlink" Target="https://webagentes.canaldirecto.com.ar/liquidations/removeIncident/794753-3" TargetMode="External"/><Relationship Id="rId697" Type="http://schemas.openxmlformats.org/officeDocument/2006/relationships/hyperlink" Target="https://webagentes.canaldirecto.com.ar/incidents/view/674125-1" TargetMode="External"/><Relationship Id="rId2378" Type="http://schemas.openxmlformats.org/officeDocument/2006/relationships/hyperlink" Target="https://webagentes.canaldirecto.com.ar/incidents/view/755179-8" TargetMode="External"/><Relationship Id="rId3429" Type="http://schemas.openxmlformats.org/officeDocument/2006/relationships/hyperlink" Target="https://webagentes.canaldirecto.com.ar/liquidations/removeIncident/797313-0" TargetMode="External"/><Relationship Id="rId3776" Type="http://schemas.openxmlformats.org/officeDocument/2006/relationships/hyperlink" Target="https://webagentes.canaldirecto.com.ar/incidents/view/804948-5" TargetMode="External"/><Relationship Id="rId1187" Type="http://schemas.openxmlformats.org/officeDocument/2006/relationships/hyperlink" Target="https://webagentes.canaldirecto.com.ar/incidents/view/705790-0" TargetMode="External"/><Relationship Id="rId2585" Type="http://schemas.openxmlformats.org/officeDocument/2006/relationships/hyperlink" Target="https://webagentes.canaldirecto.com.ar/liquidations/removeIncident/761100-9" TargetMode="External"/><Relationship Id="rId2792" Type="http://schemas.openxmlformats.org/officeDocument/2006/relationships/hyperlink" Target="https://webagentes.canaldirecto.com.ar/incidents/view/775293-5" TargetMode="External"/><Relationship Id="rId3636" Type="http://schemas.openxmlformats.org/officeDocument/2006/relationships/hyperlink" Target="https://webagentes.canaldirecto.com.ar/incidents/view/799030-4" TargetMode="External"/><Relationship Id="rId3843" Type="http://schemas.openxmlformats.org/officeDocument/2006/relationships/hyperlink" Target="https://webagentes.canaldirecto.com.ar/incidents/view/807614-2" TargetMode="External"/><Relationship Id="rId557" Type="http://schemas.openxmlformats.org/officeDocument/2006/relationships/hyperlink" Target="https://webagentes.canaldirecto.com.ar/incidents/view/670845-0" TargetMode="External"/><Relationship Id="rId764" Type="http://schemas.openxmlformats.org/officeDocument/2006/relationships/hyperlink" Target="https://webagentes.canaldirecto.com.ar/incidents/view/677726-5" TargetMode="External"/><Relationship Id="rId971" Type="http://schemas.openxmlformats.org/officeDocument/2006/relationships/hyperlink" Target="https://webagentes.canaldirecto.com.ar/incidents/view/687988-2" TargetMode="External"/><Relationship Id="rId1394" Type="http://schemas.openxmlformats.org/officeDocument/2006/relationships/hyperlink" Target="https://webagentes.canaldirecto.com.ar/incidents/view/710786-1" TargetMode="External"/><Relationship Id="rId2238" Type="http://schemas.openxmlformats.org/officeDocument/2006/relationships/hyperlink" Target="https://webagentes.canaldirecto.com.ar/incidents/view/747732-6" TargetMode="External"/><Relationship Id="rId2445" Type="http://schemas.openxmlformats.org/officeDocument/2006/relationships/hyperlink" Target="https://webagentes.canaldirecto.com.ar/incidents/view/760808-7" TargetMode="External"/><Relationship Id="rId2652" Type="http://schemas.openxmlformats.org/officeDocument/2006/relationships/hyperlink" Target="https://webagentes.canaldirecto.com.ar/incidents/view/767158-8" TargetMode="External"/><Relationship Id="rId3703" Type="http://schemas.openxmlformats.org/officeDocument/2006/relationships/hyperlink" Target="https://webagentes.canaldirecto.com.ar/incidents/view/802199-3" TargetMode="External"/><Relationship Id="rId417" Type="http://schemas.openxmlformats.org/officeDocument/2006/relationships/hyperlink" Target="https://webagentes.canaldirecto.com.ar/incidents/view/669248-7" TargetMode="External"/><Relationship Id="rId624" Type="http://schemas.openxmlformats.org/officeDocument/2006/relationships/hyperlink" Target="https://webagentes.canaldirecto.com.ar/incidents/view/676923-9" TargetMode="External"/><Relationship Id="rId831" Type="http://schemas.openxmlformats.org/officeDocument/2006/relationships/hyperlink" Target="https://webagentes.canaldirecto.com.ar/liquidations/removeIncident/686165-2" TargetMode="External"/><Relationship Id="rId1047" Type="http://schemas.openxmlformats.org/officeDocument/2006/relationships/hyperlink" Target="https://webagentes.canaldirecto.com.ar/incidents/view/693799-1" TargetMode="External"/><Relationship Id="rId1254" Type="http://schemas.openxmlformats.org/officeDocument/2006/relationships/hyperlink" Target="https://webagentes.canaldirecto.com.ar/incidents/view/709020-6" TargetMode="External"/><Relationship Id="rId1461" Type="http://schemas.openxmlformats.org/officeDocument/2006/relationships/hyperlink" Target="https://webagentes.canaldirecto.com.ar/incidents/view/716283-1" TargetMode="External"/><Relationship Id="rId2305" Type="http://schemas.openxmlformats.org/officeDocument/2006/relationships/hyperlink" Target="https://webagentes.canaldirecto.com.ar/incidents/view/749097-4" TargetMode="External"/><Relationship Id="rId2512" Type="http://schemas.openxmlformats.org/officeDocument/2006/relationships/hyperlink" Target="https://webagentes.canaldirecto.com.ar/incidents/view/763516-0" TargetMode="External"/><Relationship Id="rId1114" Type="http://schemas.openxmlformats.org/officeDocument/2006/relationships/hyperlink" Target="https://webagentes.canaldirecto.com.ar/incidents/view/698961-1" TargetMode="External"/><Relationship Id="rId1321" Type="http://schemas.openxmlformats.org/officeDocument/2006/relationships/hyperlink" Target="https://webagentes.canaldirecto.com.ar/incidents/view/712491-0" TargetMode="External"/><Relationship Id="rId3079" Type="http://schemas.openxmlformats.org/officeDocument/2006/relationships/hyperlink" Target="https://webagentes.canaldirecto.com.ar/incidents/view/785611-6" TargetMode="External"/><Relationship Id="rId3286" Type="http://schemas.openxmlformats.org/officeDocument/2006/relationships/hyperlink" Target="https://webagentes.canaldirecto.com.ar/incidents/view/789941-2" TargetMode="External"/><Relationship Id="rId3493" Type="http://schemas.openxmlformats.org/officeDocument/2006/relationships/hyperlink" Target="https://webagentes.canaldirecto.com.ar/liquidations/removeIncident/795874-2" TargetMode="External"/><Relationship Id="rId2095" Type="http://schemas.openxmlformats.org/officeDocument/2006/relationships/hyperlink" Target="https://webagentes.canaldirecto.com.ar/incidents/view/746435-9" TargetMode="External"/><Relationship Id="rId3146" Type="http://schemas.openxmlformats.org/officeDocument/2006/relationships/hyperlink" Target="https://webagentes.canaldirecto.com.ar/incidents/view/791623-2" TargetMode="External"/><Relationship Id="rId3353" Type="http://schemas.openxmlformats.org/officeDocument/2006/relationships/hyperlink" Target="https://webagentes.canaldirecto.com.ar/incidents/view/792887-5" TargetMode="External"/><Relationship Id="rId274" Type="http://schemas.openxmlformats.org/officeDocument/2006/relationships/hyperlink" Target="http://webagentes.canaldirecto.com.ar/incidents/view/657334-0" TargetMode="External"/><Relationship Id="rId481" Type="http://schemas.openxmlformats.org/officeDocument/2006/relationships/hyperlink" Target="https://webagentes.canaldirecto.com.ar/incidents/view/674324-0" TargetMode="External"/><Relationship Id="rId2162" Type="http://schemas.openxmlformats.org/officeDocument/2006/relationships/hyperlink" Target="https://webagentes.canaldirecto.com.ar/incidents/view/744914-7" TargetMode="External"/><Relationship Id="rId3006" Type="http://schemas.openxmlformats.org/officeDocument/2006/relationships/hyperlink" Target="https://webagentes.canaldirecto.com.ar/incidents/view/783298-5" TargetMode="External"/><Relationship Id="rId3560" Type="http://schemas.openxmlformats.org/officeDocument/2006/relationships/hyperlink" Target="https://webagentes.canaldirecto.com.ar/incidents/view/794890-3" TargetMode="External"/><Relationship Id="rId134" Type="http://schemas.openxmlformats.org/officeDocument/2006/relationships/hyperlink" Target="http://webagentes.canaldirecto.com.ar/incidents/view/658000-3" TargetMode="External"/><Relationship Id="rId3213" Type="http://schemas.openxmlformats.org/officeDocument/2006/relationships/hyperlink" Target="https://webagentes.canaldirecto.com.ar/incidents/view/789648-8" TargetMode="External"/><Relationship Id="rId3420" Type="http://schemas.openxmlformats.org/officeDocument/2006/relationships/hyperlink" Target="https://webagentes.canaldirecto.com.ar/incidents/view/797413-9" TargetMode="External"/><Relationship Id="rId341" Type="http://schemas.openxmlformats.org/officeDocument/2006/relationships/hyperlink" Target="https://webagentes.canaldirecto.com.ar/incidents/view/665447-8" TargetMode="External"/><Relationship Id="rId2022" Type="http://schemas.openxmlformats.org/officeDocument/2006/relationships/hyperlink" Target="https://webagentes.canaldirecto.com.ar/incidents/view/743998-2" TargetMode="External"/><Relationship Id="rId2979" Type="http://schemas.openxmlformats.org/officeDocument/2006/relationships/hyperlink" Target="https://webagentes.canaldirecto.com.ar/incidents/view/780126-8" TargetMode="External"/><Relationship Id="rId201" Type="http://schemas.openxmlformats.org/officeDocument/2006/relationships/hyperlink" Target="http://webagentes.canaldirecto.com.ar/liquidations/removeIncident/655861-5" TargetMode="External"/><Relationship Id="rId1788" Type="http://schemas.openxmlformats.org/officeDocument/2006/relationships/hyperlink" Target="https://webagentes.canaldirecto.com.ar/incidents/view/731498-4" TargetMode="External"/><Relationship Id="rId1995" Type="http://schemas.openxmlformats.org/officeDocument/2006/relationships/hyperlink" Target="https://webagentes.canaldirecto.com.ar/incidents/view/744274-6" TargetMode="External"/><Relationship Id="rId2839" Type="http://schemas.openxmlformats.org/officeDocument/2006/relationships/hyperlink" Target="https://webagentes.canaldirecto.com.ar/incidents/view/779437-5" TargetMode="External"/><Relationship Id="rId1648" Type="http://schemas.openxmlformats.org/officeDocument/2006/relationships/hyperlink" Target="https://webagentes.canaldirecto.com.ar/incidents/view/728366-6" TargetMode="External"/><Relationship Id="rId1508" Type="http://schemas.openxmlformats.org/officeDocument/2006/relationships/hyperlink" Target="https://webagentes.canaldirecto.com.ar/incidents/view/720481-8" TargetMode="External"/><Relationship Id="rId1855" Type="http://schemas.openxmlformats.org/officeDocument/2006/relationships/hyperlink" Target="https://webagentes.canaldirecto.com.ar/incidents/view/732734-0" TargetMode="External"/><Relationship Id="rId2906" Type="http://schemas.openxmlformats.org/officeDocument/2006/relationships/hyperlink" Target="https://webagentes.canaldirecto.com.ar/incidents/view/782749-7" TargetMode="External"/><Relationship Id="rId3070" Type="http://schemas.openxmlformats.org/officeDocument/2006/relationships/hyperlink" Target="https://webagentes.canaldirecto.com.ar/incidents/view/785999-1" TargetMode="External"/><Relationship Id="rId1715" Type="http://schemas.openxmlformats.org/officeDocument/2006/relationships/hyperlink" Target="https://webagentes.canaldirecto.com.ar/incidents/view/730381-8" TargetMode="External"/><Relationship Id="rId1922" Type="http://schemas.openxmlformats.org/officeDocument/2006/relationships/hyperlink" Target="https://webagentes.canaldirecto.com.ar/incidents/view/736301-4" TargetMode="External"/><Relationship Id="rId2489" Type="http://schemas.openxmlformats.org/officeDocument/2006/relationships/hyperlink" Target="https://webagentes.canaldirecto.com.ar/incidents/view/758784-5" TargetMode="External"/><Relationship Id="rId2696" Type="http://schemas.openxmlformats.org/officeDocument/2006/relationships/hyperlink" Target="https://webagentes.canaldirecto.com.ar/incidents/view/770052-5" TargetMode="External"/><Relationship Id="rId3747" Type="http://schemas.openxmlformats.org/officeDocument/2006/relationships/hyperlink" Target="https://webagentes.canaldirecto.com.ar/incidents/view/806321-8" TargetMode="External"/><Relationship Id="rId668" Type="http://schemas.openxmlformats.org/officeDocument/2006/relationships/hyperlink" Target="https://webagentes.canaldirecto.com.ar/incidents/view/674924-4" TargetMode="External"/><Relationship Id="rId875" Type="http://schemas.openxmlformats.org/officeDocument/2006/relationships/hyperlink" Target="https://webagentes.canaldirecto.com.ar/liquidations/removeIncident/684632-5" TargetMode="External"/><Relationship Id="rId1298" Type="http://schemas.openxmlformats.org/officeDocument/2006/relationships/hyperlink" Target="https://webagentes.canaldirecto.com.ar/incidents/view/713398-1" TargetMode="External"/><Relationship Id="rId2349" Type="http://schemas.openxmlformats.org/officeDocument/2006/relationships/hyperlink" Target="https://webagentes.canaldirecto.com.ar/incidents/view/751383-1" TargetMode="External"/><Relationship Id="rId2556" Type="http://schemas.openxmlformats.org/officeDocument/2006/relationships/hyperlink" Target="https://webagentes.canaldirecto.com.ar/incidents/view/762174-1" TargetMode="External"/><Relationship Id="rId2763" Type="http://schemas.openxmlformats.org/officeDocument/2006/relationships/hyperlink" Target="https://webagentes.canaldirecto.com.ar/incidents/view/771703-9" TargetMode="External"/><Relationship Id="rId2970" Type="http://schemas.openxmlformats.org/officeDocument/2006/relationships/hyperlink" Target="https://webagentes.canaldirecto.com.ar/incidents/view/780535-2" TargetMode="External"/><Relationship Id="rId3607" Type="http://schemas.openxmlformats.org/officeDocument/2006/relationships/hyperlink" Target="https://webagentes.canaldirecto.com.ar/incidents/view/799772-3" TargetMode="External"/><Relationship Id="rId3814" Type="http://schemas.openxmlformats.org/officeDocument/2006/relationships/hyperlink" Target="https://webagentes.canaldirecto.com.ar/incidents/view/809381-1" TargetMode="External"/><Relationship Id="rId528" Type="http://schemas.openxmlformats.org/officeDocument/2006/relationships/hyperlink" Target="https://webagentes.canaldirecto.com.ar/liquidations/removeIncident/672105-3" TargetMode="External"/><Relationship Id="rId735" Type="http://schemas.openxmlformats.org/officeDocument/2006/relationships/hyperlink" Target="https://webagentes.canaldirecto.com.ar/incidents/view/678930-3" TargetMode="External"/><Relationship Id="rId942" Type="http://schemas.openxmlformats.org/officeDocument/2006/relationships/hyperlink" Target="https://webagentes.canaldirecto.com.ar/incidents/view/689377-6" TargetMode="External"/><Relationship Id="rId1158" Type="http://schemas.openxmlformats.org/officeDocument/2006/relationships/hyperlink" Target="https://webagentes.canaldirecto.com.ar/incidents/view/701994-6" TargetMode="External"/><Relationship Id="rId1365" Type="http://schemas.openxmlformats.org/officeDocument/2006/relationships/hyperlink" Target="https://webagentes.canaldirecto.com.ar/incidents/view/711971-4" TargetMode="External"/><Relationship Id="rId1572" Type="http://schemas.openxmlformats.org/officeDocument/2006/relationships/hyperlink" Target="https://webagentes.canaldirecto.com.ar/incidents/view/722510-3" TargetMode="External"/><Relationship Id="rId2209" Type="http://schemas.openxmlformats.org/officeDocument/2006/relationships/hyperlink" Target="https://webagentes.canaldirecto.com.ar/incidents/view/748562-6" TargetMode="External"/><Relationship Id="rId2416" Type="http://schemas.openxmlformats.org/officeDocument/2006/relationships/hyperlink" Target="https://webagentes.canaldirecto.com.ar/incidents/view/758255-8" TargetMode="External"/><Relationship Id="rId2623" Type="http://schemas.openxmlformats.org/officeDocument/2006/relationships/hyperlink" Target="https://webagentes.canaldirecto.com.ar/incidents/view/764106-4" TargetMode="External"/><Relationship Id="rId1018" Type="http://schemas.openxmlformats.org/officeDocument/2006/relationships/hyperlink" Target="https://webagentes.canaldirecto.com.ar/incidents/view/690268-5" TargetMode="External"/><Relationship Id="rId1225" Type="http://schemas.openxmlformats.org/officeDocument/2006/relationships/hyperlink" Target="https://webagentes.canaldirecto.com.ar/incidents/view/711311-8" TargetMode="External"/><Relationship Id="rId1432" Type="http://schemas.openxmlformats.org/officeDocument/2006/relationships/hyperlink" Target="https://webagentes.canaldirecto.com.ar/incidents/view/716813-6" TargetMode="External"/><Relationship Id="rId2830" Type="http://schemas.openxmlformats.org/officeDocument/2006/relationships/hyperlink" Target="https://webagentes.canaldirecto.com.ar/incidents/view/779743-3" TargetMode="External"/><Relationship Id="rId71" Type="http://schemas.openxmlformats.org/officeDocument/2006/relationships/hyperlink" Target="http://webagentes.canaldirecto.com.ar/liquidations/removeIncident/654117-4" TargetMode="External"/><Relationship Id="rId802" Type="http://schemas.openxmlformats.org/officeDocument/2006/relationships/hyperlink" Target="https://webagentes.canaldirecto.com.ar/incidents/view/680694-7" TargetMode="External"/><Relationship Id="rId3397" Type="http://schemas.openxmlformats.org/officeDocument/2006/relationships/hyperlink" Target="https://webagentes.canaldirecto.com.ar/liquidations/removeIncident/797551-8" TargetMode="External"/><Relationship Id="rId178" Type="http://schemas.openxmlformats.org/officeDocument/2006/relationships/hyperlink" Target="http://webagentes.canaldirecto.com.ar/incidents/view/656683-6" TargetMode="External"/><Relationship Id="rId3257" Type="http://schemas.openxmlformats.org/officeDocument/2006/relationships/hyperlink" Target="https://webagentes.canaldirecto.com.ar/incidents/view/791754-1" TargetMode="External"/><Relationship Id="rId3464" Type="http://schemas.openxmlformats.org/officeDocument/2006/relationships/hyperlink" Target="https://webagentes.canaldirecto.com.ar/incidents/view/796060-4" TargetMode="External"/><Relationship Id="rId3671" Type="http://schemas.openxmlformats.org/officeDocument/2006/relationships/hyperlink" Target="https://webagentes.canaldirecto.com.ar/incidents/view/794404-0" TargetMode="External"/><Relationship Id="rId385" Type="http://schemas.openxmlformats.org/officeDocument/2006/relationships/hyperlink" Target="https://webagentes.canaldirecto.com.ar/incidents/view/669388-4" TargetMode="External"/><Relationship Id="rId592" Type="http://schemas.openxmlformats.org/officeDocument/2006/relationships/hyperlink" Target="https://webagentes.canaldirecto.com.ar/liquidations/removeIncident/670031-5" TargetMode="External"/><Relationship Id="rId2066" Type="http://schemas.openxmlformats.org/officeDocument/2006/relationships/hyperlink" Target="https://webagentes.canaldirecto.com.ar/incidents/view/742676-6" TargetMode="External"/><Relationship Id="rId2273" Type="http://schemas.openxmlformats.org/officeDocument/2006/relationships/hyperlink" Target="https://webagentes.canaldirecto.com.ar/incidents/view/751215-1" TargetMode="External"/><Relationship Id="rId2480" Type="http://schemas.openxmlformats.org/officeDocument/2006/relationships/hyperlink" Target="https://webagentes.canaldirecto.com.ar/incidents/view/759936-3" TargetMode="External"/><Relationship Id="rId3117" Type="http://schemas.openxmlformats.org/officeDocument/2006/relationships/hyperlink" Target="https://webagentes.canaldirecto.com.ar/incidents/view/788339-6" TargetMode="External"/><Relationship Id="rId3324" Type="http://schemas.openxmlformats.org/officeDocument/2006/relationships/hyperlink" Target="https://webagentes.canaldirecto.com.ar/incidents/view/794233-4" TargetMode="External"/><Relationship Id="rId3531" Type="http://schemas.openxmlformats.org/officeDocument/2006/relationships/hyperlink" Target="https://webagentes.canaldirecto.com.ar/liquidations/removeIncident/795579-0" TargetMode="External"/><Relationship Id="rId245" Type="http://schemas.openxmlformats.org/officeDocument/2006/relationships/hyperlink" Target="http://webagentes.canaldirecto.com.ar/incidents/view/660789-6" TargetMode="External"/><Relationship Id="rId452" Type="http://schemas.openxmlformats.org/officeDocument/2006/relationships/hyperlink" Target="https://webagentes.canaldirecto.com.ar/liquidations/removeIncident/668256-9" TargetMode="External"/><Relationship Id="rId1082" Type="http://schemas.openxmlformats.org/officeDocument/2006/relationships/hyperlink" Target="https://webagentes.canaldirecto.com.ar/incidents/view/696328-8" TargetMode="External"/><Relationship Id="rId2133" Type="http://schemas.openxmlformats.org/officeDocument/2006/relationships/hyperlink" Target="https://webagentes.canaldirecto.com.ar/incidents/view/745850-7" TargetMode="External"/><Relationship Id="rId2340" Type="http://schemas.openxmlformats.org/officeDocument/2006/relationships/hyperlink" Target="https://webagentes.canaldirecto.com.ar/incidents/view/752881-5" TargetMode="External"/><Relationship Id="rId105" Type="http://schemas.openxmlformats.org/officeDocument/2006/relationships/hyperlink" Target="http://webagentes.canaldirecto.com.ar/liquidations/removeIncident/648808-8" TargetMode="External"/><Relationship Id="rId312" Type="http://schemas.openxmlformats.org/officeDocument/2006/relationships/hyperlink" Target="https://webagentes.canaldirecto.com.ar/incidents/view/662356-6" TargetMode="External"/><Relationship Id="rId2200" Type="http://schemas.openxmlformats.org/officeDocument/2006/relationships/hyperlink" Target="https://webagentes.canaldirecto.com.ar/incidents/view/748679-5" TargetMode="External"/><Relationship Id="rId1899" Type="http://schemas.openxmlformats.org/officeDocument/2006/relationships/hyperlink" Target="https://webagentes.canaldirecto.com.ar/incidents/view/737223-4" TargetMode="External"/><Relationship Id="rId1759" Type="http://schemas.openxmlformats.org/officeDocument/2006/relationships/hyperlink" Target="https://webagentes.canaldirecto.com.ar/incidents/view/732799-7" TargetMode="External"/><Relationship Id="rId1966" Type="http://schemas.openxmlformats.org/officeDocument/2006/relationships/hyperlink" Target="https://webagentes.canaldirecto.com.ar/incidents/view/740206-7" TargetMode="External"/><Relationship Id="rId3181" Type="http://schemas.openxmlformats.org/officeDocument/2006/relationships/hyperlink" Target="https://webagentes.canaldirecto.com.ar/incidents/view/790904-7" TargetMode="External"/><Relationship Id="rId1619" Type="http://schemas.openxmlformats.org/officeDocument/2006/relationships/hyperlink" Target="https://webagentes.canaldirecto.com.ar/incidents/view/725132-0" TargetMode="External"/><Relationship Id="rId1826" Type="http://schemas.openxmlformats.org/officeDocument/2006/relationships/hyperlink" Target="https://webagentes.canaldirecto.com.ar/incidents/view/735396-5" TargetMode="External"/><Relationship Id="rId3041" Type="http://schemas.openxmlformats.org/officeDocument/2006/relationships/hyperlink" Target="https://webagentes.canaldirecto.com.ar/incidents/view/787020-4" TargetMode="External"/><Relationship Id="rId3858" Type="http://schemas.openxmlformats.org/officeDocument/2006/relationships/hyperlink" Target="https://webagentes.canaldirecto.com.ar/incidents/view/807034-2" TargetMode="External"/><Relationship Id="rId779" Type="http://schemas.openxmlformats.org/officeDocument/2006/relationships/hyperlink" Target="https://webagentes.canaldirecto.com.ar/incidents/view/684124-1" TargetMode="External"/><Relationship Id="rId986" Type="http://schemas.openxmlformats.org/officeDocument/2006/relationships/hyperlink" Target="https://webagentes.canaldirecto.com.ar/incidents/view/692357-2" TargetMode="External"/><Relationship Id="rId2667" Type="http://schemas.openxmlformats.org/officeDocument/2006/relationships/hyperlink" Target="https://webagentes.canaldirecto.com.ar/incidents/view/771217-7" TargetMode="External"/><Relationship Id="rId3718" Type="http://schemas.openxmlformats.org/officeDocument/2006/relationships/hyperlink" Target="https://webagentes.canaldirecto.com.ar/incidents/view/801373-6" TargetMode="External"/><Relationship Id="rId639" Type="http://schemas.openxmlformats.org/officeDocument/2006/relationships/hyperlink" Target="https://webagentes.canaldirecto.com.ar/incidents/view/676199-0" TargetMode="External"/><Relationship Id="rId1269" Type="http://schemas.openxmlformats.org/officeDocument/2006/relationships/hyperlink" Target="https://webagentes.canaldirecto.com.ar/incidents/view/708279-3" TargetMode="External"/><Relationship Id="rId1476" Type="http://schemas.openxmlformats.org/officeDocument/2006/relationships/hyperlink" Target="https://webagentes.canaldirecto.com.ar/incidents/view/715942-0" TargetMode="External"/><Relationship Id="rId2874" Type="http://schemas.openxmlformats.org/officeDocument/2006/relationships/hyperlink" Target="https://webagentes.canaldirecto.com.ar/incidents/view/779054-6" TargetMode="External"/><Relationship Id="rId846" Type="http://schemas.openxmlformats.org/officeDocument/2006/relationships/hyperlink" Target="https://webagentes.canaldirecto.com.ar/incidents/view/686011-2" TargetMode="External"/><Relationship Id="rId1129" Type="http://schemas.openxmlformats.org/officeDocument/2006/relationships/hyperlink" Target="https://webagentes.canaldirecto.com.ar/incidents/view/696978-7" TargetMode="External"/><Relationship Id="rId1683" Type="http://schemas.openxmlformats.org/officeDocument/2006/relationships/hyperlink" Target="https://webagentes.canaldirecto.com.ar/incidents/view/727121-8" TargetMode="External"/><Relationship Id="rId1890" Type="http://schemas.openxmlformats.org/officeDocument/2006/relationships/hyperlink" Target="https://webagentes.canaldirecto.com.ar/liquidations/removeIncident/737362-2" TargetMode="External"/><Relationship Id="rId2527" Type="http://schemas.openxmlformats.org/officeDocument/2006/relationships/hyperlink" Target="https://webagentes.canaldirecto.com.ar/liquidations/removeIncident/762843-4" TargetMode="External"/><Relationship Id="rId2734" Type="http://schemas.openxmlformats.org/officeDocument/2006/relationships/hyperlink" Target="https://webagentes.canaldirecto.com.ar/incidents/view/773293-1" TargetMode="External"/><Relationship Id="rId2941" Type="http://schemas.openxmlformats.org/officeDocument/2006/relationships/hyperlink" Target="https://webagentes.canaldirecto.com.ar/incidents/view/782124-4" TargetMode="External"/><Relationship Id="rId706" Type="http://schemas.openxmlformats.org/officeDocument/2006/relationships/hyperlink" Target="https://webagentes.canaldirecto.com.ar/incidents/view/673636-5" TargetMode="External"/><Relationship Id="rId913" Type="http://schemas.openxmlformats.org/officeDocument/2006/relationships/hyperlink" Target="https://webagentes.canaldirecto.com.ar/liquidations/removeIncident/683548-0" TargetMode="External"/><Relationship Id="rId1336" Type="http://schemas.openxmlformats.org/officeDocument/2006/relationships/hyperlink" Target="https://webagentes.canaldirecto.com.ar/incidents/view/712194-0" TargetMode="External"/><Relationship Id="rId1543" Type="http://schemas.openxmlformats.org/officeDocument/2006/relationships/hyperlink" Target="https://webagentes.canaldirecto.com.ar/incidents/view/718779-7" TargetMode="External"/><Relationship Id="rId1750" Type="http://schemas.openxmlformats.org/officeDocument/2006/relationships/hyperlink" Target="https://webagentes.canaldirecto.com.ar/incidents/view/732841-9" TargetMode="External"/><Relationship Id="rId2801" Type="http://schemas.openxmlformats.org/officeDocument/2006/relationships/hyperlink" Target="https://webagentes.canaldirecto.com.ar/incidents/view/774228-4" TargetMode="External"/><Relationship Id="rId42" Type="http://schemas.openxmlformats.org/officeDocument/2006/relationships/hyperlink" Target="http://webagentes.canaldirecto.com.ar/incidents/view/649181-5" TargetMode="External"/><Relationship Id="rId1403" Type="http://schemas.openxmlformats.org/officeDocument/2006/relationships/hyperlink" Target="https://webagentes.canaldirecto.com.ar/incidents/view/717275-9" TargetMode="External"/><Relationship Id="rId1610" Type="http://schemas.openxmlformats.org/officeDocument/2006/relationships/hyperlink" Target="https://webagentes.canaldirecto.com.ar/incidents/view/726134-5" TargetMode="External"/><Relationship Id="rId3368" Type="http://schemas.openxmlformats.org/officeDocument/2006/relationships/hyperlink" Target="https://webagentes.canaldirecto.com.ar/incidents/view/792483-3" TargetMode="External"/><Relationship Id="rId3575" Type="http://schemas.openxmlformats.org/officeDocument/2006/relationships/hyperlink" Target="https://webagentes.canaldirecto.com.ar/liquidations/removeIncident/794594-2" TargetMode="External"/><Relationship Id="rId3782" Type="http://schemas.openxmlformats.org/officeDocument/2006/relationships/hyperlink" Target="https://webagentes.canaldirecto.com.ar/incidents/view/804581-4" TargetMode="External"/><Relationship Id="rId289" Type="http://schemas.openxmlformats.org/officeDocument/2006/relationships/hyperlink" Target="https://webagentes.canaldirecto.com.ar/incidents/view/662710-0" TargetMode="External"/><Relationship Id="rId496" Type="http://schemas.openxmlformats.org/officeDocument/2006/relationships/hyperlink" Target="https://webagentes.canaldirecto.com.ar/liquidations/removeIncident/673123-6" TargetMode="External"/><Relationship Id="rId2177" Type="http://schemas.openxmlformats.org/officeDocument/2006/relationships/hyperlink" Target="https://webagentes.canaldirecto.com.ar/incidents/view/749317-5" TargetMode="External"/><Relationship Id="rId2384" Type="http://schemas.openxmlformats.org/officeDocument/2006/relationships/hyperlink" Target="https://webagentes.canaldirecto.com.ar/incidents/view/755165-5" TargetMode="External"/><Relationship Id="rId2591" Type="http://schemas.openxmlformats.org/officeDocument/2006/relationships/hyperlink" Target="https://webagentes.canaldirecto.com.ar/liquidations/removeIncident/760813-9" TargetMode="External"/><Relationship Id="rId3228" Type="http://schemas.openxmlformats.org/officeDocument/2006/relationships/hyperlink" Target="https://webagentes.canaldirecto.com.ar/incidents/view/789089-1" TargetMode="External"/><Relationship Id="rId3435" Type="http://schemas.openxmlformats.org/officeDocument/2006/relationships/hyperlink" Target="https://webagentes.canaldirecto.com.ar/liquidations/removeIncident/797108-0" TargetMode="External"/><Relationship Id="rId3642" Type="http://schemas.openxmlformats.org/officeDocument/2006/relationships/hyperlink" Target="https://webagentes.canaldirecto.com.ar/incidents/view/798688-8" TargetMode="External"/><Relationship Id="rId149" Type="http://schemas.openxmlformats.org/officeDocument/2006/relationships/hyperlink" Target="http://webagentes.canaldirecto.com.ar/liquidations/removeIncident/657157-3" TargetMode="External"/><Relationship Id="rId356" Type="http://schemas.openxmlformats.org/officeDocument/2006/relationships/hyperlink" Target="https://webagentes.canaldirecto.com.ar/incidents/view/664092-5" TargetMode="External"/><Relationship Id="rId563" Type="http://schemas.openxmlformats.org/officeDocument/2006/relationships/hyperlink" Target="https://webagentes.canaldirecto.com.ar/incidents/view/670842-3" TargetMode="External"/><Relationship Id="rId770" Type="http://schemas.openxmlformats.org/officeDocument/2006/relationships/hyperlink" Target="https://webagentes.canaldirecto.com.ar/incidents/view/677405-5" TargetMode="External"/><Relationship Id="rId1193" Type="http://schemas.openxmlformats.org/officeDocument/2006/relationships/hyperlink" Target="https://webagentes.canaldirecto.com.ar/incidents/view/705551-3" TargetMode="External"/><Relationship Id="rId2037" Type="http://schemas.openxmlformats.org/officeDocument/2006/relationships/hyperlink" Target="https://webagentes.canaldirecto.com.ar/incidents/view/743499-6" TargetMode="External"/><Relationship Id="rId2244" Type="http://schemas.openxmlformats.org/officeDocument/2006/relationships/hyperlink" Target="https://webagentes.canaldirecto.com.ar/incidents/view/746951-2" TargetMode="External"/><Relationship Id="rId2451" Type="http://schemas.openxmlformats.org/officeDocument/2006/relationships/hyperlink" Target="https://webagentes.canaldirecto.com.ar/incidents/view/760802-3" TargetMode="External"/><Relationship Id="rId216" Type="http://schemas.openxmlformats.org/officeDocument/2006/relationships/hyperlink" Target="http://webagentes.canaldirecto.com.ar/incidents/view/655386-9" TargetMode="External"/><Relationship Id="rId423" Type="http://schemas.openxmlformats.org/officeDocument/2006/relationships/hyperlink" Target="https://webagentes.canaldirecto.com.ar/incidents/view/669018-8" TargetMode="External"/><Relationship Id="rId1053" Type="http://schemas.openxmlformats.org/officeDocument/2006/relationships/hyperlink" Target="https://webagentes.canaldirecto.com.ar/incidents/view/693382-5" TargetMode="External"/><Relationship Id="rId1260" Type="http://schemas.openxmlformats.org/officeDocument/2006/relationships/hyperlink" Target="https://webagentes.canaldirecto.com.ar/incidents/view/708939-8" TargetMode="External"/><Relationship Id="rId2104" Type="http://schemas.openxmlformats.org/officeDocument/2006/relationships/hyperlink" Target="https://webagentes.canaldirecto.com.ar/incidents/view/746311-0" TargetMode="External"/><Relationship Id="rId3502" Type="http://schemas.openxmlformats.org/officeDocument/2006/relationships/hyperlink" Target="https://webagentes.canaldirecto.com.ar/incidents/view/795868-1" TargetMode="External"/><Relationship Id="rId630" Type="http://schemas.openxmlformats.org/officeDocument/2006/relationships/hyperlink" Target="https://webagentes.canaldirecto.com.ar/incidents/view/676798-5" TargetMode="External"/><Relationship Id="rId2311" Type="http://schemas.openxmlformats.org/officeDocument/2006/relationships/hyperlink" Target="https://webagentes.canaldirecto.com.ar/incidents/view/749086-8" TargetMode="External"/><Relationship Id="rId1120" Type="http://schemas.openxmlformats.org/officeDocument/2006/relationships/hyperlink" Target="https://webagentes.canaldirecto.com.ar/incidents/view/697773-1" TargetMode="External"/><Relationship Id="rId1937" Type="http://schemas.openxmlformats.org/officeDocument/2006/relationships/hyperlink" Target="https://webagentes.canaldirecto.com.ar/liquidations/removeIncident/734721-0" TargetMode="External"/><Relationship Id="rId3085" Type="http://schemas.openxmlformats.org/officeDocument/2006/relationships/hyperlink" Target="https://webagentes.canaldirecto.com.ar/incidents/view/785367-8" TargetMode="External"/><Relationship Id="rId3292" Type="http://schemas.openxmlformats.org/officeDocument/2006/relationships/hyperlink" Target="https://webagentes.canaldirecto.com.ar/incidents/view/789650-3" TargetMode="External"/><Relationship Id="rId3152" Type="http://schemas.openxmlformats.org/officeDocument/2006/relationships/hyperlink" Target="https://webagentes.canaldirecto.com.ar/incidents/view/791522-4" TargetMode="External"/><Relationship Id="rId280" Type="http://schemas.openxmlformats.org/officeDocument/2006/relationships/hyperlink" Target="https://webagentes.canaldirecto.com.ar/incidents/view/663072-4" TargetMode="External"/><Relationship Id="rId3012" Type="http://schemas.openxmlformats.org/officeDocument/2006/relationships/hyperlink" Target="https://webagentes.canaldirecto.com.ar/incidents/view/783095-0" TargetMode="External"/><Relationship Id="rId140" Type="http://schemas.openxmlformats.org/officeDocument/2006/relationships/hyperlink" Target="http://webagentes.canaldirecto.com.ar/incidents/view/657515-3" TargetMode="External"/><Relationship Id="rId6" Type="http://schemas.openxmlformats.org/officeDocument/2006/relationships/hyperlink" Target="http://webagentes.canaldirecto.com.ar/incidents/view/652139-2" TargetMode="External"/><Relationship Id="rId2778" Type="http://schemas.openxmlformats.org/officeDocument/2006/relationships/hyperlink" Target="https://webagentes.canaldirecto.com.ar/incidents/view/776115-5" TargetMode="External"/><Relationship Id="rId2985" Type="http://schemas.openxmlformats.org/officeDocument/2006/relationships/hyperlink" Target="https://webagentes.canaldirecto.com.ar/incidents/view/785252-7" TargetMode="External"/><Relationship Id="rId3829" Type="http://schemas.openxmlformats.org/officeDocument/2006/relationships/hyperlink" Target="https://webagentes.canaldirecto.com.ar/incidents/view/808956-2" TargetMode="External"/><Relationship Id="rId957" Type="http://schemas.openxmlformats.org/officeDocument/2006/relationships/hyperlink" Target="https://webagentes.canaldirecto.com.ar/incidents/view/688286-8" TargetMode="External"/><Relationship Id="rId1587" Type="http://schemas.openxmlformats.org/officeDocument/2006/relationships/hyperlink" Target="https://webagentes.canaldirecto.com.ar/incidents/view/721875-0" TargetMode="External"/><Relationship Id="rId1794" Type="http://schemas.openxmlformats.org/officeDocument/2006/relationships/hyperlink" Target="https://webagentes.canaldirecto.com.ar/incidents/view/731358-7" TargetMode="External"/><Relationship Id="rId2638" Type="http://schemas.openxmlformats.org/officeDocument/2006/relationships/hyperlink" Target="https://webagentes.canaldirecto.com.ar/incidents/view/767779-5" TargetMode="External"/><Relationship Id="rId2845" Type="http://schemas.openxmlformats.org/officeDocument/2006/relationships/hyperlink" Target="https://webagentes.canaldirecto.com.ar/incidents/view/779285-4" TargetMode="External"/><Relationship Id="rId86" Type="http://schemas.openxmlformats.org/officeDocument/2006/relationships/hyperlink" Target="http://webagentes.canaldirecto.com.ar/incidents/view/653686-2" TargetMode="External"/><Relationship Id="rId817" Type="http://schemas.openxmlformats.org/officeDocument/2006/relationships/hyperlink" Target="https://webagentes.canaldirecto.com.ar/liquidations/removeIncident/686963-6" TargetMode="External"/><Relationship Id="rId1447" Type="http://schemas.openxmlformats.org/officeDocument/2006/relationships/hyperlink" Target="https://webagentes.canaldirecto.com.ar/incidents/view/716439-8" TargetMode="External"/><Relationship Id="rId1654" Type="http://schemas.openxmlformats.org/officeDocument/2006/relationships/hyperlink" Target="https://webagentes.canaldirecto.com.ar/incidents/view/728286-1" TargetMode="External"/><Relationship Id="rId1861" Type="http://schemas.openxmlformats.org/officeDocument/2006/relationships/hyperlink" Target="https://webagentes.canaldirecto.com.ar/incidents/view/738237-4" TargetMode="External"/><Relationship Id="rId2705" Type="http://schemas.openxmlformats.org/officeDocument/2006/relationships/hyperlink" Target="https://webagentes.canaldirecto.com.ar/incidents/view/769636-5" TargetMode="External"/><Relationship Id="rId2912" Type="http://schemas.openxmlformats.org/officeDocument/2006/relationships/hyperlink" Target="https://webagentes.canaldirecto.com.ar/incidents/view/782742-4" TargetMode="External"/><Relationship Id="rId1307" Type="http://schemas.openxmlformats.org/officeDocument/2006/relationships/hyperlink" Target="https://webagentes.canaldirecto.com.ar/incidents/view/712862-4" TargetMode="External"/><Relationship Id="rId1514" Type="http://schemas.openxmlformats.org/officeDocument/2006/relationships/hyperlink" Target="https://webagentes.canaldirecto.com.ar/incidents/view/720149-5" TargetMode="External"/><Relationship Id="rId1721" Type="http://schemas.openxmlformats.org/officeDocument/2006/relationships/hyperlink" Target="https://webagentes.canaldirecto.com.ar/incidents/view/729995-9" TargetMode="External"/><Relationship Id="rId13" Type="http://schemas.openxmlformats.org/officeDocument/2006/relationships/hyperlink" Target="http://webagentes.canaldirecto.com.ar/incidents/view/652057-9" TargetMode="External"/><Relationship Id="rId3479" Type="http://schemas.openxmlformats.org/officeDocument/2006/relationships/hyperlink" Target="https://webagentes.canaldirecto.com.ar/liquidations/removeIncident/795882-1" TargetMode="External"/><Relationship Id="rId3686" Type="http://schemas.openxmlformats.org/officeDocument/2006/relationships/hyperlink" Target="https://webagentes.canaldirecto.com.ar/incidents/view/802538-8" TargetMode="External"/><Relationship Id="rId2288" Type="http://schemas.openxmlformats.org/officeDocument/2006/relationships/hyperlink" Target="https://webagentes.canaldirecto.com.ar/incidents/view/749779-1" TargetMode="External"/><Relationship Id="rId2495" Type="http://schemas.openxmlformats.org/officeDocument/2006/relationships/hyperlink" Target="https://webagentes.canaldirecto.com.ar/liquidations/removeIncident/763974-0" TargetMode="External"/><Relationship Id="rId3339" Type="http://schemas.openxmlformats.org/officeDocument/2006/relationships/hyperlink" Target="https://webagentes.canaldirecto.com.ar/incidents/view/793822-5" TargetMode="External"/><Relationship Id="rId467" Type="http://schemas.openxmlformats.org/officeDocument/2006/relationships/hyperlink" Target="https://webagentes.canaldirecto.com.ar/incidents/view/667699-3" TargetMode="External"/><Relationship Id="rId1097" Type="http://schemas.openxmlformats.org/officeDocument/2006/relationships/hyperlink" Target="https://webagentes.canaldirecto.com.ar/incidents/view/700491-7" TargetMode="External"/><Relationship Id="rId2148" Type="http://schemas.openxmlformats.org/officeDocument/2006/relationships/hyperlink" Target="https://webagentes.canaldirecto.com.ar/incidents/view/745701-2" TargetMode="External"/><Relationship Id="rId3546" Type="http://schemas.openxmlformats.org/officeDocument/2006/relationships/hyperlink" Target="https://webagentes.canaldirecto.com.ar/incidents/view/795568-4" TargetMode="External"/><Relationship Id="rId3753" Type="http://schemas.openxmlformats.org/officeDocument/2006/relationships/hyperlink" Target="https://webagentes.canaldirecto.com.ar/incidents/view/806219-4" TargetMode="External"/><Relationship Id="rId674" Type="http://schemas.openxmlformats.org/officeDocument/2006/relationships/hyperlink" Target="https://webagentes.canaldirecto.com.ar/incidents/view/674856-4" TargetMode="External"/><Relationship Id="rId881" Type="http://schemas.openxmlformats.org/officeDocument/2006/relationships/hyperlink" Target="https://webagentes.canaldirecto.com.ar/liquidations/removeIncident/684413-2" TargetMode="External"/><Relationship Id="rId2355" Type="http://schemas.openxmlformats.org/officeDocument/2006/relationships/hyperlink" Target="https://webagentes.canaldirecto.com.ar/incidents/view/756875-2" TargetMode="External"/><Relationship Id="rId2562" Type="http://schemas.openxmlformats.org/officeDocument/2006/relationships/hyperlink" Target="https://webagentes.canaldirecto.com.ar/incidents/view/761921-4" TargetMode="External"/><Relationship Id="rId3406" Type="http://schemas.openxmlformats.org/officeDocument/2006/relationships/hyperlink" Target="https://webagentes.canaldirecto.com.ar/incidents/view/797546-6" TargetMode="External"/><Relationship Id="rId3613" Type="http://schemas.openxmlformats.org/officeDocument/2006/relationships/hyperlink" Target="https://webagentes.canaldirecto.com.ar/incidents/view/799762-6" TargetMode="External"/><Relationship Id="rId3820" Type="http://schemas.openxmlformats.org/officeDocument/2006/relationships/hyperlink" Target="https://webagentes.canaldirecto.com.ar/incidents/view/809072-6" TargetMode="External"/><Relationship Id="rId327" Type="http://schemas.openxmlformats.org/officeDocument/2006/relationships/hyperlink" Target="https://webagentes.canaldirecto.com.ar/incidents/view/660701-8" TargetMode="External"/><Relationship Id="rId534" Type="http://schemas.openxmlformats.org/officeDocument/2006/relationships/hyperlink" Target="https://webagentes.canaldirecto.com.ar/liquidations/removeIncident/672100-8" TargetMode="External"/><Relationship Id="rId741" Type="http://schemas.openxmlformats.org/officeDocument/2006/relationships/hyperlink" Target="https://webagentes.canaldirecto.com.ar/incidents/view/678239-1" TargetMode="External"/><Relationship Id="rId1164" Type="http://schemas.openxmlformats.org/officeDocument/2006/relationships/hyperlink" Target="https://webagentes.canaldirecto.com.ar/incidents/view/701777-1" TargetMode="External"/><Relationship Id="rId1371" Type="http://schemas.openxmlformats.org/officeDocument/2006/relationships/hyperlink" Target="https://webagentes.canaldirecto.com.ar/incidents/view/711891-9" TargetMode="External"/><Relationship Id="rId2008" Type="http://schemas.openxmlformats.org/officeDocument/2006/relationships/hyperlink" Target="https://webagentes.canaldirecto.com.ar/incidents/view/744156-1" TargetMode="External"/><Relationship Id="rId2215" Type="http://schemas.openxmlformats.org/officeDocument/2006/relationships/hyperlink" Target="https://webagentes.canaldirecto.com.ar/incidents/view/748508-8" TargetMode="External"/><Relationship Id="rId2422" Type="http://schemas.openxmlformats.org/officeDocument/2006/relationships/hyperlink" Target="https://webagentes.canaldirecto.com.ar/incidents/view/757316-1" TargetMode="External"/><Relationship Id="rId601" Type="http://schemas.openxmlformats.org/officeDocument/2006/relationships/hyperlink" Target="https://webagentes.canaldirecto.com.ar/incidents/view/669756-1" TargetMode="External"/><Relationship Id="rId1024" Type="http://schemas.openxmlformats.org/officeDocument/2006/relationships/hyperlink" Target="https://webagentes.canaldirecto.com.ar/incidents/view/689600-1" TargetMode="External"/><Relationship Id="rId1231" Type="http://schemas.openxmlformats.org/officeDocument/2006/relationships/hyperlink" Target="https://webagentes.canaldirecto.com.ar/incidents/view/710617-2" TargetMode="External"/><Relationship Id="rId3196" Type="http://schemas.openxmlformats.org/officeDocument/2006/relationships/hyperlink" Target="https://webagentes.canaldirecto.com.ar/incidents/view/790566-1" TargetMode="External"/><Relationship Id="rId3056" Type="http://schemas.openxmlformats.org/officeDocument/2006/relationships/hyperlink" Target="https://webagentes.canaldirecto.com.ar/incidents/view/786621-0" TargetMode="External"/><Relationship Id="rId3263" Type="http://schemas.openxmlformats.org/officeDocument/2006/relationships/hyperlink" Target="https://webagentes.canaldirecto.com.ar/incidents/view/791404-9" TargetMode="External"/><Relationship Id="rId3470" Type="http://schemas.openxmlformats.org/officeDocument/2006/relationships/hyperlink" Target="https://webagentes.canaldirecto.com.ar/incidents/view/796052-5" TargetMode="External"/><Relationship Id="rId184" Type="http://schemas.openxmlformats.org/officeDocument/2006/relationships/hyperlink" Target="http://webagentes.canaldirecto.com.ar/incidents/view/656613-7" TargetMode="External"/><Relationship Id="rId391" Type="http://schemas.openxmlformats.org/officeDocument/2006/relationships/hyperlink" Target="https://webagentes.canaldirecto.com.ar/incidents/view/669385-7" TargetMode="External"/><Relationship Id="rId1908" Type="http://schemas.openxmlformats.org/officeDocument/2006/relationships/hyperlink" Target="https://webagentes.canaldirecto.com.ar/incidents/view/736856-9" TargetMode="External"/><Relationship Id="rId2072" Type="http://schemas.openxmlformats.org/officeDocument/2006/relationships/hyperlink" Target="https://webagentes.canaldirecto.com.ar/incidents/view/742055-9" TargetMode="External"/><Relationship Id="rId3123" Type="http://schemas.openxmlformats.org/officeDocument/2006/relationships/hyperlink" Target="https://webagentes.canaldirecto.com.ar/incidents/view/788319-2" TargetMode="External"/><Relationship Id="rId251" Type="http://schemas.openxmlformats.org/officeDocument/2006/relationships/hyperlink" Target="http://webagentes.canaldirecto.com.ar/incidents/view/660490-5" TargetMode="External"/><Relationship Id="rId3330" Type="http://schemas.openxmlformats.org/officeDocument/2006/relationships/hyperlink" Target="https://webagentes.canaldirecto.com.ar/incidents/view/794223-7" TargetMode="External"/><Relationship Id="rId2889" Type="http://schemas.openxmlformats.org/officeDocument/2006/relationships/hyperlink" Target="https://webagentes.canaldirecto.com.ar/incidents/view/777809-4" TargetMode="External"/><Relationship Id="rId111" Type="http://schemas.openxmlformats.org/officeDocument/2006/relationships/hyperlink" Target="http://webagentes.canaldirecto.com.ar/liquidations/removeIncident/658029-8" TargetMode="External"/><Relationship Id="rId1698" Type="http://schemas.openxmlformats.org/officeDocument/2006/relationships/hyperlink" Target="https://webagentes.canaldirecto.com.ar/incidents/view/730660-2" TargetMode="External"/><Relationship Id="rId2749" Type="http://schemas.openxmlformats.org/officeDocument/2006/relationships/hyperlink" Target="https://webagentes.canaldirecto.com.ar/incidents/view/772715-1" TargetMode="External"/><Relationship Id="rId2956" Type="http://schemas.openxmlformats.org/officeDocument/2006/relationships/hyperlink" Target="https://webagentes.canaldirecto.com.ar/incidents/view/781664-0" TargetMode="External"/><Relationship Id="rId928" Type="http://schemas.openxmlformats.org/officeDocument/2006/relationships/hyperlink" Target="https://webagentes.canaldirecto.com.ar/incidents/view/689541-9" TargetMode="External"/><Relationship Id="rId1558" Type="http://schemas.openxmlformats.org/officeDocument/2006/relationships/hyperlink" Target="https://webagentes.canaldirecto.com.ar/incidents/view/717790-3" TargetMode="External"/><Relationship Id="rId1765" Type="http://schemas.openxmlformats.org/officeDocument/2006/relationships/hyperlink" Target="https://webagentes.canaldirecto.com.ar/incidents/view/732792-4" TargetMode="External"/><Relationship Id="rId2609" Type="http://schemas.openxmlformats.org/officeDocument/2006/relationships/hyperlink" Target="https://webagentes.canaldirecto.com.ar/incidents/view/765657-0" TargetMode="External"/><Relationship Id="rId57" Type="http://schemas.openxmlformats.org/officeDocument/2006/relationships/hyperlink" Target="http://webagentes.canaldirecto.com.ar/liquidations/removeIncident/655118-0" TargetMode="External"/><Relationship Id="rId1418" Type="http://schemas.openxmlformats.org/officeDocument/2006/relationships/hyperlink" Target="https://webagentes.canaldirecto.com.ar/incidents/view/717049-6" TargetMode="External"/><Relationship Id="rId1972" Type="http://schemas.openxmlformats.org/officeDocument/2006/relationships/hyperlink" Target="https://webagentes.canaldirecto.com.ar/incidents/view/739541-1" TargetMode="External"/><Relationship Id="rId2816" Type="http://schemas.openxmlformats.org/officeDocument/2006/relationships/hyperlink" Target="https://webagentes.canaldirecto.com.ar/incidents/view/780125-9" TargetMode="External"/><Relationship Id="rId1625" Type="http://schemas.openxmlformats.org/officeDocument/2006/relationships/hyperlink" Target="https://webagentes.canaldirecto.com.ar/incidents/view/724421-4" TargetMode="External"/><Relationship Id="rId1832" Type="http://schemas.openxmlformats.org/officeDocument/2006/relationships/hyperlink" Target="https://webagentes.canaldirecto.com.ar/incidents/view/734828-2" TargetMode="External"/><Relationship Id="rId3797" Type="http://schemas.openxmlformats.org/officeDocument/2006/relationships/hyperlink" Target="https://webagentes.canaldirecto.com.ar/incidents/view/802542-1" TargetMode="External"/><Relationship Id="rId2399" Type="http://schemas.openxmlformats.org/officeDocument/2006/relationships/hyperlink" Target="https://webagentes.canaldirecto.com.ar/incidents/view/749616-3" TargetMode="External"/><Relationship Id="rId3657" Type="http://schemas.openxmlformats.org/officeDocument/2006/relationships/hyperlink" Target="https://webagentes.canaldirecto.com.ar/incidents/view/798245-7" TargetMode="External"/><Relationship Id="rId3864" Type="http://schemas.openxmlformats.org/officeDocument/2006/relationships/hyperlink" Target="https://webagentes.canaldirecto.com.ar/incidents/view/804952-8" TargetMode="External"/><Relationship Id="rId578" Type="http://schemas.openxmlformats.org/officeDocument/2006/relationships/hyperlink" Target="https://webagentes.canaldirecto.com.ar/liquidations/removeIncident/670273-9" TargetMode="External"/><Relationship Id="rId785" Type="http://schemas.openxmlformats.org/officeDocument/2006/relationships/hyperlink" Target="https://webagentes.canaldirecto.com.ar/incidents/view/683237-7" TargetMode="External"/><Relationship Id="rId992" Type="http://schemas.openxmlformats.org/officeDocument/2006/relationships/hyperlink" Target="https://webagentes.canaldirecto.com.ar/incidents/view/691976-4" TargetMode="External"/><Relationship Id="rId2259" Type="http://schemas.openxmlformats.org/officeDocument/2006/relationships/hyperlink" Target="https://webagentes.canaldirecto.com.ar/incidents/view/751581-1" TargetMode="External"/><Relationship Id="rId2466" Type="http://schemas.openxmlformats.org/officeDocument/2006/relationships/hyperlink" Target="https://webagentes.canaldirecto.com.ar/incidents/view/760296-8" TargetMode="External"/><Relationship Id="rId2673" Type="http://schemas.openxmlformats.org/officeDocument/2006/relationships/hyperlink" Target="https://webagentes.canaldirecto.com.ar/incidents/view/770917-3" TargetMode="External"/><Relationship Id="rId2880" Type="http://schemas.openxmlformats.org/officeDocument/2006/relationships/hyperlink" Target="https://webagentes.canaldirecto.com.ar/incidents/view/778691-4" TargetMode="External"/><Relationship Id="rId3517" Type="http://schemas.openxmlformats.org/officeDocument/2006/relationships/hyperlink" Target="https://webagentes.canaldirecto.com.ar/liquidations/removeIncident/795587-9" TargetMode="External"/><Relationship Id="rId3724" Type="http://schemas.openxmlformats.org/officeDocument/2006/relationships/hyperlink" Target="https://webagentes.canaldirecto.com.ar/incidents/view/801017-3" TargetMode="External"/><Relationship Id="rId438" Type="http://schemas.openxmlformats.org/officeDocument/2006/relationships/hyperlink" Target="https://webagentes.canaldirecto.com.ar/liquidations/removeIncident/668712-0" TargetMode="External"/><Relationship Id="rId645" Type="http://schemas.openxmlformats.org/officeDocument/2006/relationships/hyperlink" Target="https://webagentes.canaldirecto.com.ar/incidents/view/675714-6" TargetMode="External"/><Relationship Id="rId852" Type="http://schemas.openxmlformats.org/officeDocument/2006/relationships/hyperlink" Target="https://webagentes.canaldirecto.com.ar/incidents/view/686007-9" TargetMode="External"/><Relationship Id="rId1068" Type="http://schemas.openxmlformats.org/officeDocument/2006/relationships/hyperlink" Target="https://webagentes.canaldirecto.com.ar/incidents/view/691256-7" TargetMode="External"/><Relationship Id="rId1275" Type="http://schemas.openxmlformats.org/officeDocument/2006/relationships/hyperlink" Target="https://webagentes.canaldirecto.com.ar/incidents/view/707855-0" TargetMode="External"/><Relationship Id="rId1482" Type="http://schemas.openxmlformats.org/officeDocument/2006/relationships/hyperlink" Target="https://webagentes.canaldirecto.com.ar/incidents/view/715383-3" TargetMode="External"/><Relationship Id="rId2119" Type="http://schemas.openxmlformats.org/officeDocument/2006/relationships/hyperlink" Target="https://webagentes.canaldirecto.com.ar/incidents/view/746211-1" TargetMode="External"/><Relationship Id="rId2326" Type="http://schemas.openxmlformats.org/officeDocument/2006/relationships/hyperlink" Target="https://webagentes.canaldirecto.com.ar/incidents/view/753128-0" TargetMode="External"/><Relationship Id="rId2533" Type="http://schemas.openxmlformats.org/officeDocument/2006/relationships/hyperlink" Target="https://webagentes.canaldirecto.com.ar/liquidations/removeIncident/762580-8" TargetMode="External"/><Relationship Id="rId2740" Type="http://schemas.openxmlformats.org/officeDocument/2006/relationships/hyperlink" Target="https://webagentes.canaldirecto.com.ar/incidents/view/772829-3" TargetMode="External"/><Relationship Id="rId505" Type="http://schemas.openxmlformats.org/officeDocument/2006/relationships/hyperlink" Target="https://webagentes.canaldirecto.com.ar/incidents/view/672645-6" TargetMode="External"/><Relationship Id="rId712" Type="http://schemas.openxmlformats.org/officeDocument/2006/relationships/hyperlink" Target="https://webagentes.canaldirecto.com.ar/incidents/view/664516-0" TargetMode="External"/><Relationship Id="rId1135" Type="http://schemas.openxmlformats.org/officeDocument/2006/relationships/hyperlink" Target="https://webagentes.canaldirecto.com.ar/incidents/view/703488-4" TargetMode="External"/><Relationship Id="rId1342" Type="http://schemas.openxmlformats.org/officeDocument/2006/relationships/hyperlink" Target="https://webagentes.canaldirecto.com.ar/incidents/view/712187-0" TargetMode="External"/><Relationship Id="rId1202" Type="http://schemas.openxmlformats.org/officeDocument/2006/relationships/hyperlink" Target="https://webagentes.canaldirecto.com.ar/incidents/view/705070-3" TargetMode="External"/><Relationship Id="rId2600" Type="http://schemas.openxmlformats.org/officeDocument/2006/relationships/hyperlink" Target="https://webagentes.canaldirecto.com.ar/incidents/view/766198-9" TargetMode="External"/><Relationship Id="rId3167" Type="http://schemas.openxmlformats.org/officeDocument/2006/relationships/hyperlink" Target="https://webagentes.canaldirecto.com.ar/incidents/view/791024-7" TargetMode="External"/><Relationship Id="rId295" Type="http://schemas.openxmlformats.org/officeDocument/2006/relationships/hyperlink" Target="https://webagentes.canaldirecto.com.ar/incidents/view/662636-9" TargetMode="External"/><Relationship Id="rId3374" Type="http://schemas.openxmlformats.org/officeDocument/2006/relationships/hyperlink" Target="https://webagentes.canaldirecto.com.ar/incidents/view/792453-2" TargetMode="External"/><Relationship Id="rId3581" Type="http://schemas.openxmlformats.org/officeDocument/2006/relationships/hyperlink" Target="https://webagentes.canaldirecto.com.ar/incidents/view/800342-9" TargetMode="External"/><Relationship Id="rId2183" Type="http://schemas.openxmlformats.org/officeDocument/2006/relationships/hyperlink" Target="https://webagentes.canaldirecto.com.ar/incidents/view/749197-3" TargetMode="External"/><Relationship Id="rId2390" Type="http://schemas.openxmlformats.org/officeDocument/2006/relationships/hyperlink" Target="https://webagentes.canaldirecto.com.ar/incidents/view/754754-6" TargetMode="External"/><Relationship Id="rId3027" Type="http://schemas.openxmlformats.org/officeDocument/2006/relationships/hyperlink" Target="https://webagentes.canaldirecto.com.ar/incidents/view/782875-1" TargetMode="External"/><Relationship Id="rId3234" Type="http://schemas.openxmlformats.org/officeDocument/2006/relationships/hyperlink" Target="https://webagentes.canaldirecto.com.ar/incidents/view/788552-5" TargetMode="External"/><Relationship Id="rId3441" Type="http://schemas.openxmlformats.org/officeDocument/2006/relationships/hyperlink" Target="https://webagentes.canaldirecto.com.ar/liquidations/removeIncident/797105-3" TargetMode="External"/><Relationship Id="rId155" Type="http://schemas.openxmlformats.org/officeDocument/2006/relationships/hyperlink" Target="http://webagentes.canaldirecto.com.ar/liquidations/removeIncident/656985-1" TargetMode="External"/><Relationship Id="rId362" Type="http://schemas.openxmlformats.org/officeDocument/2006/relationships/hyperlink" Target="https://webagentes.canaldirecto.com.ar/liquidations/removeIncident/670921-9" TargetMode="External"/><Relationship Id="rId2043" Type="http://schemas.openxmlformats.org/officeDocument/2006/relationships/hyperlink" Target="https://webagentes.canaldirecto.com.ar/incidents/view/743487-1" TargetMode="External"/><Relationship Id="rId2250" Type="http://schemas.openxmlformats.org/officeDocument/2006/relationships/hyperlink" Target="https://webagentes.canaldirecto.com.ar/incidents/view/751832-2" TargetMode="External"/><Relationship Id="rId3301" Type="http://schemas.openxmlformats.org/officeDocument/2006/relationships/hyperlink" Target="https://webagentes.canaldirecto.com.ar/incidents/view/794492-5" TargetMode="External"/><Relationship Id="rId222" Type="http://schemas.openxmlformats.org/officeDocument/2006/relationships/hyperlink" Target="http://webagentes.canaldirecto.com.ar/incidents/view/655161-2" TargetMode="External"/><Relationship Id="rId2110" Type="http://schemas.openxmlformats.org/officeDocument/2006/relationships/hyperlink" Target="https://webagentes.canaldirecto.com.ar/incidents/view/746258-2" TargetMode="External"/><Relationship Id="rId1669" Type="http://schemas.openxmlformats.org/officeDocument/2006/relationships/hyperlink" Target="https://webagentes.canaldirecto.com.ar/incidents/view/727419-0" TargetMode="External"/><Relationship Id="rId1876" Type="http://schemas.openxmlformats.org/officeDocument/2006/relationships/hyperlink" Target="https://webagentes.canaldirecto.com.ar/liquidations/removeIncident/737769-1" TargetMode="External"/><Relationship Id="rId2927" Type="http://schemas.openxmlformats.org/officeDocument/2006/relationships/hyperlink" Target="https://webagentes.canaldirecto.com.ar/incidents/view/782264-1" TargetMode="External"/><Relationship Id="rId3091" Type="http://schemas.openxmlformats.org/officeDocument/2006/relationships/hyperlink" Target="https://webagentes.canaldirecto.com.ar/incidents/view/789227-9" TargetMode="External"/><Relationship Id="rId1529" Type="http://schemas.openxmlformats.org/officeDocument/2006/relationships/hyperlink" Target="https://webagentes.canaldirecto.com.ar/incidents/view/719885-4" TargetMode="External"/><Relationship Id="rId1736" Type="http://schemas.openxmlformats.org/officeDocument/2006/relationships/hyperlink" Target="https://webagentes.canaldirecto.com.ar/incidents/view/728715-8" TargetMode="External"/><Relationship Id="rId1943" Type="http://schemas.openxmlformats.org/officeDocument/2006/relationships/hyperlink" Target="https://webagentes.canaldirecto.com.ar/incidents/view/741193-1" TargetMode="External"/><Relationship Id="rId28" Type="http://schemas.openxmlformats.org/officeDocument/2006/relationships/hyperlink" Target="http://webagentes.canaldirecto.com.ar/incidents/view/651578-0" TargetMode="External"/><Relationship Id="rId1803" Type="http://schemas.openxmlformats.org/officeDocument/2006/relationships/hyperlink" Target="https://webagentes.canaldirecto.com.ar/incidents/view/736253-8" TargetMode="External"/><Relationship Id="rId3768" Type="http://schemas.openxmlformats.org/officeDocument/2006/relationships/hyperlink" Target="https://webagentes.canaldirecto.com.ar/incidents/view/805015-3" TargetMode="External"/><Relationship Id="rId689" Type="http://schemas.openxmlformats.org/officeDocument/2006/relationships/hyperlink" Target="https://webagentes.canaldirecto.com.ar/incidents/view/674379-0" TargetMode="External"/><Relationship Id="rId896" Type="http://schemas.openxmlformats.org/officeDocument/2006/relationships/hyperlink" Target="https://webagentes.canaldirecto.com.ar/incidents/view/684164-9" TargetMode="External"/><Relationship Id="rId2577" Type="http://schemas.openxmlformats.org/officeDocument/2006/relationships/hyperlink" Target="https://webagentes.canaldirecto.com.ar/liquidations/removeIncident/761328-3" TargetMode="External"/><Relationship Id="rId2784" Type="http://schemas.openxmlformats.org/officeDocument/2006/relationships/hyperlink" Target="https://webagentes.canaldirecto.com.ar/incidents/view/776024-4" TargetMode="External"/><Relationship Id="rId3628" Type="http://schemas.openxmlformats.org/officeDocument/2006/relationships/hyperlink" Target="https://webagentes.canaldirecto.com.ar/incidents/view/799346-2" TargetMode="External"/><Relationship Id="rId549" Type="http://schemas.openxmlformats.org/officeDocument/2006/relationships/hyperlink" Target="https://webagentes.canaldirecto.com.ar/incidents/view/670925-5" TargetMode="External"/><Relationship Id="rId756" Type="http://schemas.openxmlformats.org/officeDocument/2006/relationships/hyperlink" Target="https://webagentes.canaldirecto.com.ar/incidents/view/678083-4" TargetMode="External"/><Relationship Id="rId1179" Type="http://schemas.openxmlformats.org/officeDocument/2006/relationships/hyperlink" Target="https://webagentes.canaldirecto.com.ar/incidents/view/706477-9" TargetMode="External"/><Relationship Id="rId1386" Type="http://schemas.openxmlformats.org/officeDocument/2006/relationships/hyperlink" Target="https://webagentes.canaldirecto.com.ar/incidents/view/711618-8" TargetMode="External"/><Relationship Id="rId1593" Type="http://schemas.openxmlformats.org/officeDocument/2006/relationships/hyperlink" Target="https://webagentes.canaldirecto.com.ar/incidents/view/721866-2" TargetMode="External"/><Relationship Id="rId2437" Type="http://schemas.openxmlformats.org/officeDocument/2006/relationships/hyperlink" Target="https://webagentes.canaldirecto.com.ar/incidents/view/760872-2" TargetMode="External"/><Relationship Id="rId2991" Type="http://schemas.openxmlformats.org/officeDocument/2006/relationships/hyperlink" Target="https://webagentes.canaldirecto.com.ar/incidents/view/784823-2" TargetMode="External"/><Relationship Id="rId3835" Type="http://schemas.openxmlformats.org/officeDocument/2006/relationships/hyperlink" Target="https://webagentes.canaldirecto.com.ar/incidents/view/808533-5" TargetMode="External"/><Relationship Id="rId409" Type="http://schemas.openxmlformats.org/officeDocument/2006/relationships/hyperlink" Target="https://webagentes.canaldirecto.com.ar/incidents/view/669271-5" TargetMode="External"/><Relationship Id="rId963" Type="http://schemas.openxmlformats.org/officeDocument/2006/relationships/hyperlink" Target="https://webagentes.canaldirecto.com.ar/incidents/view/688187-8" TargetMode="External"/><Relationship Id="rId1039" Type="http://schemas.openxmlformats.org/officeDocument/2006/relationships/hyperlink" Target="https://webagentes.canaldirecto.com.ar/incidents/view/694765-1" TargetMode="External"/><Relationship Id="rId1246" Type="http://schemas.openxmlformats.org/officeDocument/2006/relationships/hyperlink" Target="https://webagentes.canaldirecto.com.ar/incidents/view/709647-7" TargetMode="External"/><Relationship Id="rId2644" Type="http://schemas.openxmlformats.org/officeDocument/2006/relationships/hyperlink" Target="https://webagentes.canaldirecto.com.ar/incidents/view/767452-1" TargetMode="External"/><Relationship Id="rId2851" Type="http://schemas.openxmlformats.org/officeDocument/2006/relationships/hyperlink" Target="https://webagentes.canaldirecto.com.ar/incidents/view/779275-7" TargetMode="External"/><Relationship Id="rId92" Type="http://schemas.openxmlformats.org/officeDocument/2006/relationships/hyperlink" Target="http://webagentes.canaldirecto.com.ar/incidents/view/653429-9" TargetMode="External"/><Relationship Id="rId616" Type="http://schemas.openxmlformats.org/officeDocument/2006/relationships/hyperlink" Target="https://webagentes.canaldirecto.com.ar/incidents/view/677730-8" TargetMode="External"/><Relationship Id="rId823" Type="http://schemas.openxmlformats.org/officeDocument/2006/relationships/hyperlink" Target="https://webagentes.canaldirecto.com.ar/liquidations/removeIncident/686644-4" TargetMode="External"/><Relationship Id="rId1453" Type="http://schemas.openxmlformats.org/officeDocument/2006/relationships/hyperlink" Target="https://webagentes.canaldirecto.com.ar/incidents/view/716426-4" TargetMode="External"/><Relationship Id="rId1660" Type="http://schemas.openxmlformats.org/officeDocument/2006/relationships/hyperlink" Target="https://webagentes.canaldirecto.com.ar/incidents/view/728279-1" TargetMode="External"/><Relationship Id="rId2504" Type="http://schemas.openxmlformats.org/officeDocument/2006/relationships/hyperlink" Target="https://webagentes.canaldirecto.com.ar/incidents/view/763643-3" TargetMode="External"/><Relationship Id="rId2711" Type="http://schemas.openxmlformats.org/officeDocument/2006/relationships/hyperlink" Target="https://webagentes.canaldirecto.com.ar/incidents/view/768925-9" TargetMode="External"/><Relationship Id="rId1106" Type="http://schemas.openxmlformats.org/officeDocument/2006/relationships/hyperlink" Target="https://webagentes.canaldirecto.com.ar/incidents/view/699658-7" TargetMode="External"/><Relationship Id="rId1313" Type="http://schemas.openxmlformats.org/officeDocument/2006/relationships/hyperlink" Target="https://webagentes.canaldirecto.com.ar/incidents/view/712761-6" TargetMode="External"/><Relationship Id="rId1520" Type="http://schemas.openxmlformats.org/officeDocument/2006/relationships/hyperlink" Target="https://webagentes.canaldirecto.com.ar/incidents/view/720022-9" TargetMode="External"/><Relationship Id="rId3278" Type="http://schemas.openxmlformats.org/officeDocument/2006/relationships/hyperlink" Target="https://webagentes.canaldirecto.com.ar/incidents/view/789949-4" TargetMode="External"/><Relationship Id="rId3485" Type="http://schemas.openxmlformats.org/officeDocument/2006/relationships/hyperlink" Target="https://webagentes.canaldirecto.com.ar/liquidations/removeIncident/795879-7" TargetMode="External"/><Relationship Id="rId3692" Type="http://schemas.openxmlformats.org/officeDocument/2006/relationships/hyperlink" Target="https://webagentes.canaldirecto.com.ar/incidents/view/802474-1" TargetMode="External"/><Relationship Id="rId199" Type="http://schemas.openxmlformats.org/officeDocument/2006/relationships/hyperlink" Target="http://webagentes.canaldirecto.com.ar/liquidations/removeIncident/655980-9" TargetMode="External"/><Relationship Id="rId2087" Type="http://schemas.openxmlformats.org/officeDocument/2006/relationships/hyperlink" Target="https://webagentes.canaldirecto.com.ar/incidents/view/746801-8" TargetMode="External"/><Relationship Id="rId2294" Type="http://schemas.openxmlformats.org/officeDocument/2006/relationships/hyperlink" Target="https://webagentes.canaldirecto.com.ar/incidents/view/749617-2" TargetMode="External"/><Relationship Id="rId3138" Type="http://schemas.openxmlformats.org/officeDocument/2006/relationships/hyperlink" Target="https://webagentes.canaldirecto.com.ar/incidents/view/787333-5" TargetMode="External"/><Relationship Id="rId3345" Type="http://schemas.openxmlformats.org/officeDocument/2006/relationships/hyperlink" Target="https://webagentes.canaldirecto.com.ar/incidents/view/793416-8" TargetMode="External"/><Relationship Id="rId3552" Type="http://schemas.openxmlformats.org/officeDocument/2006/relationships/hyperlink" Target="https://webagentes.canaldirecto.com.ar/incidents/view/795348-2" TargetMode="External"/><Relationship Id="rId266" Type="http://schemas.openxmlformats.org/officeDocument/2006/relationships/hyperlink" Target="http://webagentes.canaldirecto.com.ar/incidents/view/658675-1" TargetMode="External"/><Relationship Id="rId473" Type="http://schemas.openxmlformats.org/officeDocument/2006/relationships/hyperlink" Target="https://webagentes.canaldirecto.com.ar/incidents/view/667606-3" TargetMode="External"/><Relationship Id="rId680" Type="http://schemas.openxmlformats.org/officeDocument/2006/relationships/hyperlink" Target="https://webagentes.canaldirecto.com.ar/incidents/view/674661-8" TargetMode="External"/><Relationship Id="rId2154" Type="http://schemas.openxmlformats.org/officeDocument/2006/relationships/hyperlink" Target="https://webagentes.canaldirecto.com.ar/incidents/view/745433-4" TargetMode="External"/><Relationship Id="rId2361" Type="http://schemas.openxmlformats.org/officeDocument/2006/relationships/hyperlink" Target="https://webagentes.canaldirecto.com.ar/incidents/view/756131-5" TargetMode="External"/><Relationship Id="rId3205" Type="http://schemas.openxmlformats.org/officeDocument/2006/relationships/hyperlink" Target="https://webagentes.canaldirecto.com.ar/incidents/view/790362-7" TargetMode="External"/><Relationship Id="rId3412" Type="http://schemas.openxmlformats.org/officeDocument/2006/relationships/hyperlink" Target="https://webagentes.canaldirecto.com.ar/incidents/view/797419-3" TargetMode="External"/><Relationship Id="rId126" Type="http://schemas.openxmlformats.org/officeDocument/2006/relationships/hyperlink" Target="http://webagentes.canaldirecto.com.ar/incidents/view/658004-9" TargetMode="External"/><Relationship Id="rId333" Type="http://schemas.openxmlformats.org/officeDocument/2006/relationships/hyperlink" Target="https://webagentes.canaldirecto.com.ar/incidents/view/666627-9" TargetMode="External"/><Relationship Id="rId540" Type="http://schemas.openxmlformats.org/officeDocument/2006/relationships/hyperlink" Target="https://webagentes.canaldirecto.com.ar/liquidations/removeIncident/671934-0" TargetMode="External"/><Relationship Id="rId1170" Type="http://schemas.openxmlformats.org/officeDocument/2006/relationships/hyperlink" Target="https://webagentes.canaldirecto.com.ar/incidents/view/700887-0" TargetMode="External"/><Relationship Id="rId2014" Type="http://schemas.openxmlformats.org/officeDocument/2006/relationships/hyperlink" Target="https://webagentes.canaldirecto.com.ar/incidents/view/744006-7" TargetMode="External"/><Relationship Id="rId2221" Type="http://schemas.openxmlformats.org/officeDocument/2006/relationships/hyperlink" Target="https://webagentes.canaldirecto.com.ar/incidents/view/748500-6" TargetMode="External"/><Relationship Id="rId1030" Type="http://schemas.openxmlformats.org/officeDocument/2006/relationships/hyperlink" Target="https://webagentes.canaldirecto.com.ar/incidents/view/695070-7" TargetMode="External"/><Relationship Id="rId400" Type="http://schemas.openxmlformats.org/officeDocument/2006/relationships/hyperlink" Target="https://webagentes.canaldirecto.com.ar/liquidations/removeIncident/669381-1" TargetMode="External"/><Relationship Id="rId1987" Type="http://schemas.openxmlformats.org/officeDocument/2006/relationships/hyperlink" Target="https://webagentes.canaldirecto.com.ar/incidents/view/744283-4" TargetMode="External"/><Relationship Id="rId1847" Type="http://schemas.openxmlformats.org/officeDocument/2006/relationships/hyperlink" Target="https://webagentes.canaldirecto.com.ar/incidents/view/734018-3" TargetMode="External"/><Relationship Id="rId1707" Type="http://schemas.openxmlformats.org/officeDocument/2006/relationships/hyperlink" Target="https://webagentes.canaldirecto.com.ar/incidents/view/730649-9" TargetMode="External"/><Relationship Id="rId3062" Type="http://schemas.openxmlformats.org/officeDocument/2006/relationships/hyperlink" Target="https://webagentes.canaldirecto.com.ar/incidents/view/786386-0" TargetMode="External"/><Relationship Id="rId190" Type="http://schemas.openxmlformats.org/officeDocument/2006/relationships/hyperlink" Target="http://webagentes.canaldirecto.com.ar/incidents/view/656359-2" TargetMode="External"/><Relationship Id="rId1914" Type="http://schemas.openxmlformats.org/officeDocument/2006/relationships/hyperlink" Target="https://webagentes.canaldirecto.com.ar/incidents/view/736753-3" TargetMode="External"/><Relationship Id="rId2688" Type="http://schemas.openxmlformats.org/officeDocument/2006/relationships/hyperlink" Target="https://webagentes.canaldirecto.com.ar/incidents/view/770301-8" TargetMode="External"/><Relationship Id="rId2895" Type="http://schemas.openxmlformats.org/officeDocument/2006/relationships/hyperlink" Target="https://webagentes.canaldirecto.com.ar/incidents/view/777739-6" TargetMode="External"/><Relationship Id="rId3739" Type="http://schemas.openxmlformats.org/officeDocument/2006/relationships/hyperlink" Target="https://webagentes.canaldirecto.com.ar/incidents/view/796559-3" TargetMode="External"/><Relationship Id="rId867" Type="http://schemas.openxmlformats.org/officeDocument/2006/relationships/hyperlink" Target="https://webagentes.canaldirecto.com.ar/liquidations/removeIncident/685079-9" TargetMode="External"/><Relationship Id="rId1497" Type="http://schemas.openxmlformats.org/officeDocument/2006/relationships/hyperlink" Target="https://webagentes.canaldirecto.com.ar/incidents/view/720774-5" TargetMode="External"/><Relationship Id="rId2548" Type="http://schemas.openxmlformats.org/officeDocument/2006/relationships/hyperlink" Target="https://webagentes.canaldirecto.com.ar/incidents/view/762257-3" TargetMode="External"/><Relationship Id="rId2755" Type="http://schemas.openxmlformats.org/officeDocument/2006/relationships/hyperlink" Target="https://webagentes.canaldirecto.com.ar/incidents/view/772185-6" TargetMode="External"/><Relationship Id="rId2962" Type="http://schemas.openxmlformats.org/officeDocument/2006/relationships/hyperlink" Target="https://webagentes.canaldirecto.com.ar/incidents/view/781198-2" TargetMode="External"/><Relationship Id="rId3806" Type="http://schemas.openxmlformats.org/officeDocument/2006/relationships/hyperlink" Target="https://webagentes.canaldirecto.com.ar/incidents/view/809579-4" TargetMode="External"/><Relationship Id="rId727" Type="http://schemas.openxmlformats.org/officeDocument/2006/relationships/hyperlink" Target="https://webagentes.canaldirecto.com.ar/incidents/view/679209-7" TargetMode="External"/><Relationship Id="rId934" Type="http://schemas.openxmlformats.org/officeDocument/2006/relationships/hyperlink" Target="https://webagentes.canaldirecto.com.ar/incidents/view/689532-1" TargetMode="External"/><Relationship Id="rId1357" Type="http://schemas.openxmlformats.org/officeDocument/2006/relationships/hyperlink" Target="https://webagentes.canaldirecto.com.ar/incidents/view/712035-8" TargetMode="External"/><Relationship Id="rId1564" Type="http://schemas.openxmlformats.org/officeDocument/2006/relationships/hyperlink" Target="https://webagentes.canaldirecto.com.ar/incidents/view/717290-8" TargetMode="External"/><Relationship Id="rId1771" Type="http://schemas.openxmlformats.org/officeDocument/2006/relationships/hyperlink" Target="https://webagentes.canaldirecto.com.ar/incidents/view/732786-3" TargetMode="External"/><Relationship Id="rId2408" Type="http://schemas.openxmlformats.org/officeDocument/2006/relationships/hyperlink" Target="https://webagentes.canaldirecto.com.ar/incidents/view/759065-4" TargetMode="External"/><Relationship Id="rId2615" Type="http://schemas.openxmlformats.org/officeDocument/2006/relationships/hyperlink" Target="https://webagentes.canaldirecto.com.ar/incidents/view/764840-1" TargetMode="External"/><Relationship Id="rId2822" Type="http://schemas.openxmlformats.org/officeDocument/2006/relationships/hyperlink" Target="https://webagentes.canaldirecto.com.ar/incidents/view/779821-0" TargetMode="External"/><Relationship Id="rId63" Type="http://schemas.openxmlformats.org/officeDocument/2006/relationships/hyperlink" Target="http://webagentes.canaldirecto.com.ar/liquidations/removeIncident/654748-8" TargetMode="External"/><Relationship Id="rId1217" Type="http://schemas.openxmlformats.org/officeDocument/2006/relationships/hyperlink" Target="https://webagentes.canaldirecto.com.ar/incidents/view/704195-4" TargetMode="External"/><Relationship Id="rId1424" Type="http://schemas.openxmlformats.org/officeDocument/2006/relationships/hyperlink" Target="https://webagentes.canaldirecto.com.ar/incidents/view/716888-0" TargetMode="External"/><Relationship Id="rId1631" Type="http://schemas.openxmlformats.org/officeDocument/2006/relationships/hyperlink" Target="https://webagentes.canaldirecto.com.ar/incidents/view/723517-3" TargetMode="External"/><Relationship Id="rId3389" Type="http://schemas.openxmlformats.org/officeDocument/2006/relationships/hyperlink" Target="https://webagentes.canaldirecto.com.ar/incidents/view/791794-9" TargetMode="External"/><Relationship Id="rId3596" Type="http://schemas.openxmlformats.org/officeDocument/2006/relationships/hyperlink" Target="https://webagentes.canaldirecto.com.ar/incidents/view/799976-7" TargetMode="External"/><Relationship Id="rId2198" Type="http://schemas.openxmlformats.org/officeDocument/2006/relationships/hyperlink" Target="https://webagentes.canaldirecto.com.ar/incidents/view/748682-9" TargetMode="External"/><Relationship Id="rId3249" Type="http://schemas.openxmlformats.org/officeDocument/2006/relationships/hyperlink" Target="https://webagentes.canaldirecto.com.ar/incidents/view/791763-9" TargetMode="External"/><Relationship Id="rId3456" Type="http://schemas.openxmlformats.org/officeDocument/2006/relationships/hyperlink" Target="https://webagentes.canaldirecto.com.ar/incidents/view/796259-6" TargetMode="External"/><Relationship Id="rId377" Type="http://schemas.openxmlformats.org/officeDocument/2006/relationships/hyperlink" Target="https://webagentes.canaldirecto.com.ar/incidents/view/669754-3" TargetMode="External"/><Relationship Id="rId584" Type="http://schemas.openxmlformats.org/officeDocument/2006/relationships/hyperlink" Target="https://webagentes.canaldirecto.com.ar/liquidations/removeIncident/670227-0" TargetMode="External"/><Relationship Id="rId2058" Type="http://schemas.openxmlformats.org/officeDocument/2006/relationships/hyperlink" Target="https://webagentes.canaldirecto.com.ar/incidents/view/742984-2" TargetMode="External"/><Relationship Id="rId2265" Type="http://schemas.openxmlformats.org/officeDocument/2006/relationships/hyperlink" Target="https://webagentes.canaldirecto.com.ar/incidents/view/751366-4" TargetMode="External"/><Relationship Id="rId3109" Type="http://schemas.openxmlformats.org/officeDocument/2006/relationships/hyperlink" Target="https://webagentes.canaldirecto.com.ar/incidents/view/788348-4" TargetMode="External"/><Relationship Id="rId3663" Type="http://schemas.openxmlformats.org/officeDocument/2006/relationships/hyperlink" Target="https://webagentes.canaldirecto.com.ar/incidents/view/797259-3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" name="Imagen 1" descr="Ver detalle">
          <a:hlinkClick xmlns:r="http://schemas.openxmlformats.org/officeDocument/2006/relationships" r:id="rId1" tooltip="Ver detalle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04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" name="Imagen 2" descr="Ver detalle">
          <a:hlinkClick xmlns:r="http://schemas.openxmlformats.org/officeDocument/2006/relationships" r:id="rId3" tooltip="Ver detalle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24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4" name="Imagen 3" descr="Ver detalle">
          <a:hlinkClick xmlns:r="http://schemas.openxmlformats.org/officeDocument/2006/relationships" r:id="rId4" tooltip="Ver detalle"/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5" name="Imagen 4" descr="Ver detalle">
          <a:hlinkClick xmlns:r="http://schemas.openxmlformats.org/officeDocument/2006/relationships" r:id="rId5" tooltip="Ver detalle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64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6" name="Imagen 5" descr="Ver detalle">
          <a:hlinkClick xmlns:r="http://schemas.openxmlformats.org/officeDocument/2006/relationships" r:id="rId6" tooltip="Ver detalle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84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7" name="Imagen 6" descr="Ver detalle">
          <a:hlinkClick xmlns:r="http://schemas.openxmlformats.org/officeDocument/2006/relationships" r:id="rId7" tooltip="Ver detalle"/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04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8" name="Imagen 7" descr="Ver detalle">
          <a:hlinkClick xmlns:r="http://schemas.openxmlformats.org/officeDocument/2006/relationships" r:id="rId8" tooltip="Ver detalle"/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24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9" name="Imagen 8" descr="Ver detalle">
          <a:hlinkClick xmlns:r="http://schemas.openxmlformats.org/officeDocument/2006/relationships" r:id="rId9" tooltip="Ver detalle"/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4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0" name="Imagen 9" descr="Ver detalle">
          <a:hlinkClick xmlns:r="http://schemas.openxmlformats.org/officeDocument/2006/relationships" r:id="rId10" tooltip="Ver detalle"/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64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1" name="Imagen 10" descr="Ver detalle">
          <a:hlinkClick xmlns:r="http://schemas.openxmlformats.org/officeDocument/2006/relationships" r:id="rId11" tooltip="Ver detalle"/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84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2" name="Imagen 11" descr="Ver detalle">
          <a:hlinkClick xmlns:r="http://schemas.openxmlformats.org/officeDocument/2006/relationships" r:id="rId12" tooltip="Ver detalle"/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04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3" name="Imagen 12" descr="Ver detalle">
          <a:hlinkClick xmlns:r="http://schemas.openxmlformats.org/officeDocument/2006/relationships" r:id="rId13" tooltip="Ver detalle"/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24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4" name="Imagen 13" descr="Ver detalle">
          <a:hlinkClick xmlns:r="http://schemas.openxmlformats.org/officeDocument/2006/relationships" r:id="rId14" tooltip="Ver detalle"/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44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5" name="Imagen 14" descr="Ver detalle">
          <a:hlinkClick xmlns:r="http://schemas.openxmlformats.org/officeDocument/2006/relationships" r:id="rId15" tooltip="Ver detalle"/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64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6" name="Imagen 15" descr="Ver detalle">
          <a:hlinkClick xmlns:r="http://schemas.openxmlformats.org/officeDocument/2006/relationships" r:id="rId16" tooltip="Ver detalle"/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84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7" name="Imagen 16" descr="Ver detalle">
          <a:hlinkClick xmlns:r="http://schemas.openxmlformats.org/officeDocument/2006/relationships" r:id="rId17" tooltip="Ver detalle"/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04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8" name="Imagen 17" descr="Ver detalle">
          <a:hlinkClick xmlns:r="http://schemas.openxmlformats.org/officeDocument/2006/relationships" r:id="rId18" tooltip="Ver detalle"/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24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9" name="Imagen 18" descr="Ver detalle">
          <a:hlinkClick xmlns:r="http://schemas.openxmlformats.org/officeDocument/2006/relationships" r:id="rId19" tooltip="Ver detalle"/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44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0" name="Imagen 19" descr="Ver detalle">
          <a:hlinkClick xmlns:r="http://schemas.openxmlformats.org/officeDocument/2006/relationships" r:id="rId20" tooltip="Ver detalle"/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64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1" name="Imagen 20" descr="Ver detalle">
          <a:hlinkClick xmlns:r="http://schemas.openxmlformats.org/officeDocument/2006/relationships" r:id="rId21" tooltip="Ver detalle"/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84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2" name="Imagen 21" descr="Ver detalle">
          <a:hlinkClick xmlns:r="http://schemas.openxmlformats.org/officeDocument/2006/relationships" r:id="rId22" tooltip="Ver detalle"/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204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3" name="Imagen 22" descr="Ver detalle">
          <a:hlinkClick xmlns:r="http://schemas.openxmlformats.org/officeDocument/2006/relationships" r:id="rId23" tooltip="Ver detalle"/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224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4" name="Imagen 23" descr="Ver detalle">
          <a:hlinkClick xmlns:r="http://schemas.openxmlformats.org/officeDocument/2006/relationships" r:id="rId24" tooltip="Ver detalle"/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244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5" name="Imagen 24" descr="Ver detalle">
          <a:hlinkClick xmlns:r="http://schemas.openxmlformats.org/officeDocument/2006/relationships" r:id="rId25" tooltip="Ver detalle"/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264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6" name="Imagen 25" descr="Ver detalle">
          <a:hlinkClick xmlns:r="http://schemas.openxmlformats.org/officeDocument/2006/relationships" r:id="rId26" tooltip="Ver detalle"/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483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7" name="Imagen 26" descr="Ver detalle">
          <a:hlinkClick xmlns:r="http://schemas.openxmlformats.org/officeDocument/2006/relationships" r:id="rId27" tooltip="Ver detalle"/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03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8" name="Imagen 27" descr="Ver detalle">
          <a:hlinkClick xmlns:r="http://schemas.openxmlformats.org/officeDocument/2006/relationships" r:id="rId28" tooltip="Ver detalle"/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2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9" name="Imagen 28" descr="Ver detalle">
          <a:hlinkClick xmlns:r="http://schemas.openxmlformats.org/officeDocument/2006/relationships" r:id="rId29" tooltip="Ver detalle"/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44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0" name="Imagen 29" descr="Ver detalle">
          <a:hlinkClick xmlns:r="http://schemas.openxmlformats.org/officeDocument/2006/relationships" r:id="rId30" tooltip="Ver detalle"/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64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1" name="Imagen 30" descr="Ver detalle">
          <a:hlinkClick xmlns:r="http://schemas.openxmlformats.org/officeDocument/2006/relationships" r:id="rId31" tooltip="Ver detalle"/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97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2" name="Imagen 31" descr="Ver detalle">
          <a:hlinkClick xmlns:r="http://schemas.openxmlformats.org/officeDocument/2006/relationships" r:id="rId32" tooltip="Ver detalle"/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17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3" name="Imagen 32" descr="Ver detalle">
          <a:hlinkClick xmlns:r="http://schemas.openxmlformats.org/officeDocument/2006/relationships" r:id="rId33" tooltip="Ver detalle"/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37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4" name="Imagen 33" descr="Ver detalle">
          <a:hlinkClick xmlns:r="http://schemas.openxmlformats.org/officeDocument/2006/relationships" r:id="rId34" tooltip="Ver detalle"/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5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5" name="Imagen 34" descr="Ver detalle">
          <a:hlinkClick xmlns:r="http://schemas.openxmlformats.org/officeDocument/2006/relationships" r:id="rId35" tooltip="Ver detalle"/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77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6" name="Imagen 35" descr="Ver detalle">
          <a:hlinkClick xmlns:r="http://schemas.openxmlformats.org/officeDocument/2006/relationships" r:id="rId36" tooltip="Ver detalle"/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97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7" name="Imagen 36" descr="Ver detalle">
          <a:hlinkClick xmlns:r="http://schemas.openxmlformats.org/officeDocument/2006/relationships" r:id="rId37" tooltip="Ver detalle"/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173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8" name="Imagen 37" descr="Ver detalle">
          <a:hlinkClick xmlns:r="http://schemas.openxmlformats.org/officeDocument/2006/relationships" r:id="rId38" tooltip="Ver detalle"/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37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9" name="Imagen 38" descr="Ver detalle">
          <a:hlinkClick xmlns:r="http://schemas.openxmlformats.org/officeDocument/2006/relationships" r:id="rId39" tooltip="Ver detalle"/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57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40" name="Imagen 39" descr="Ver detalle">
          <a:hlinkClick xmlns:r="http://schemas.openxmlformats.org/officeDocument/2006/relationships" r:id="rId40" tooltip="Ver detalle"/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77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41" name="Imagen 40" descr="Ver detalle">
          <a:hlinkClick xmlns:r="http://schemas.openxmlformats.org/officeDocument/2006/relationships" r:id="rId41" tooltip="Ver detalle"/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97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42" name="Imagen 41" descr="Ver detalle">
          <a:hlinkClick xmlns:r="http://schemas.openxmlformats.org/officeDocument/2006/relationships" r:id="rId42" tooltip="Ver detalle"/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17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43" name="Imagen 42" descr="Ver detalle">
          <a:hlinkClick xmlns:r="http://schemas.openxmlformats.org/officeDocument/2006/relationships" r:id="rId43" tooltip="Ver detalle"/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37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44" name="Imagen 43" descr="Ver detalle">
          <a:hlinkClick xmlns:r="http://schemas.openxmlformats.org/officeDocument/2006/relationships" r:id="rId44" tooltip="Ver detalle"/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45" name="Imagen 44" descr="Ver detalle">
          <a:hlinkClick xmlns:r="http://schemas.openxmlformats.org/officeDocument/2006/relationships" r:id="rId45" tooltip="Ver detalle"/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773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46" name="Imagen 45" descr="Ver detalle">
          <a:hlinkClick xmlns:r="http://schemas.openxmlformats.org/officeDocument/2006/relationships" r:id="rId46" tooltip="Ver detalle"/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97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47" name="Imagen 46" descr="Ver detalle">
          <a:hlinkClick xmlns:r="http://schemas.openxmlformats.org/officeDocument/2006/relationships" r:id="rId47" tooltip="Ver detalle"/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17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48" name="Imagen 47" descr="Ver detalle">
          <a:hlinkClick xmlns:r="http://schemas.openxmlformats.org/officeDocument/2006/relationships" r:id="rId48" tooltip="Ver detalle"/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37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49" name="Imagen 48" descr="Ver detalle">
          <a:hlinkClick xmlns:r="http://schemas.openxmlformats.org/officeDocument/2006/relationships" r:id="rId49" tooltip="Ver detalle"/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93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50" name="Imagen 49" descr="http://webagentes.canaldirecto.com.ar/img/icons/delete.png">
          <a:hlinkClick xmlns:r="http://schemas.openxmlformats.org/officeDocument/2006/relationships" r:id="rId50" tooltip="Quitar este incidente de la liquidación"/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193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51" name="Imagen 50" descr="Ver detalle">
          <a:hlinkClick xmlns:r="http://schemas.openxmlformats.org/officeDocument/2006/relationships" r:id="rId52" tooltip="Ver detalle"/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213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52" name="Imagen 51" descr="http://webagentes.canaldirecto.com.ar/img/icons/delete.png">
          <a:hlinkClick xmlns:r="http://schemas.openxmlformats.org/officeDocument/2006/relationships" r:id="rId53" tooltip="Quitar este incidente de la liquidación"/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213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53" name="Imagen 52" descr="Ver detalle">
          <a:hlinkClick xmlns:r="http://schemas.openxmlformats.org/officeDocument/2006/relationships" r:id="rId54" tooltip="Ver detalle"/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233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54" name="Imagen 53" descr="http://webagentes.canaldirecto.com.ar/img/icons/delete.png">
          <a:hlinkClick xmlns:r="http://schemas.openxmlformats.org/officeDocument/2006/relationships" r:id="rId55" tooltip="Quitar este incidente de la liquidación"/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233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55" name="Imagen 54" descr="Ver detalle">
          <a:hlinkClick xmlns:r="http://schemas.openxmlformats.org/officeDocument/2006/relationships" r:id="rId56" tooltip="Ver detalle"/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253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56" name="Imagen 55" descr="http://webagentes.canaldirecto.com.ar/img/icons/delete.png">
          <a:hlinkClick xmlns:r="http://schemas.openxmlformats.org/officeDocument/2006/relationships" r:id="rId57" tooltip="Quitar este incidente de la liquidación"/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253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57" name="Imagen 56" descr="Ver detalle">
          <a:hlinkClick xmlns:r="http://schemas.openxmlformats.org/officeDocument/2006/relationships" r:id="rId58" tooltip="Ver detalle"/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2734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58" name="Imagen 57" descr="http://webagentes.canaldirecto.com.ar/img/icons/delete.png">
          <a:hlinkClick xmlns:r="http://schemas.openxmlformats.org/officeDocument/2006/relationships" r:id="rId59" tooltip="Quitar este incidente de la liquidación"/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2734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59" name="Imagen 58" descr="Ver detalle">
          <a:hlinkClick xmlns:r="http://schemas.openxmlformats.org/officeDocument/2006/relationships" r:id="rId60" tooltip="Ver detalle"/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293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60" name="Imagen 59" descr="http://webagentes.canaldirecto.com.ar/img/icons/delete.png">
          <a:hlinkClick xmlns:r="http://schemas.openxmlformats.org/officeDocument/2006/relationships" r:id="rId61" tooltip="Quitar este incidente de la liquidación"/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293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61" name="Imagen 60" descr="Ver detalle">
          <a:hlinkClick xmlns:r="http://schemas.openxmlformats.org/officeDocument/2006/relationships" r:id="rId62" tooltip="Ver detalle"/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313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62" name="Imagen 61" descr="http://webagentes.canaldirecto.com.ar/img/icons/delete.png">
          <a:hlinkClick xmlns:r="http://schemas.openxmlformats.org/officeDocument/2006/relationships" r:id="rId63" tooltip="Quitar este incidente de la liquidación"/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313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63" name="Imagen 62" descr="Ver detalle">
          <a:hlinkClick xmlns:r="http://schemas.openxmlformats.org/officeDocument/2006/relationships" r:id="rId64" tooltip="Ver detalle"/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33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64" name="Imagen 63" descr="http://webagentes.canaldirecto.com.ar/img/icons/delete.png">
          <a:hlinkClick xmlns:r="http://schemas.openxmlformats.org/officeDocument/2006/relationships" r:id="rId65" tooltip="Quitar este incidente de la liquidación"/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33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65" name="Imagen 64" descr="Ver detalle">
          <a:hlinkClick xmlns:r="http://schemas.openxmlformats.org/officeDocument/2006/relationships" r:id="rId66" tooltip="Ver detalle"/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353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66" name="Imagen 65" descr="http://webagentes.canaldirecto.com.ar/img/icons/delete.png">
          <a:hlinkClick xmlns:r="http://schemas.openxmlformats.org/officeDocument/2006/relationships" r:id="rId67" tooltip="Quitar este incidente de la liquidación"/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353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67" name="Imagen 66" descr="Ver detalle">
          <a:hlinkClick xmlns:r="http://schemas.openxmlformats.org/officeDocument/2006/relationships" r:id="rId68" tooltip="Ver detalle"/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373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68" name="Imagen 67" descr="http://webagentes.canaldirecto.com.ar/img/icons/delete.png">
          <a:hlinkClick xmlns:r="http://schemas.openxmlformats.org/officeDocument/2006/relationships" r:id="rId69" tooltip="Quitar este incidente de la liquidación"/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373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69" name="Imagen 68" descr="Ver detalle">
          <a:hlinkClick xmlns:r="http://schemas.openxmlformats.org/officeDocument/2006/relationships" r:id="rId70" tooltip="Ver detalle"/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393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70" name="Imagen 69" descr="http://webagentes.canaldirecto.com.ar/img/icons/delete.png">
          <a:hlinkClick xmlns:r="http://schemas.openxmlformats.org/officeDocument/2006/relationships" r:id="rId71" tooltip="Quitar este incidente de la liquidación"/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393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71" name="Imagen 70" descr="Ver detalle">
          <a:hlinkClick xmlns:r="http://schemas.openxmlformats.org/officeDocument/2006/relationships" r:id="rId72" tooltip="Ver detalle"/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413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72" name="Imagen 71" descr="http://webagentes.canaldirecto.com.ar/img/icons/delete.png">
          <a:hlinkClick xmlns:r="http://schemas.openxmlformats.org/officeDocument/2006/relationships" r:id="rId73" tooltip="Quitar este incidente de la liquidación"/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413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73" name="Imagen 72" descr="Ver detalle">
          <a:hlinkClick xmlns:r="http://schemas.openxmlformats.org/officeDocument/2006/relationships" r:id="rId74" tooltip="Ver detalle"/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433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74" name="Imagen 73" descr="http://webagentes.canaldirecto.com.ar/img/icons/delete.png">
          <a:hlinkClick xmlns:r="http://schemas.openxmlformats.org/officeDocument/2006/relationships" r:id="rId75" tooltip="Quitar este incidente de la liquidación"/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433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75" name="Imagen 74" descr="Ver detalle">
          <a:hlinkClick xmlns:r="http://schemas.openxmlformats.org/officeDocument/2006/relationships" r:id="rId76" tooltip="Ver detalle"/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453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76" name="Imagen 75" descr="http://webagentes.canaldirecto.com.ar/img/icons/delete.png">
          <a:hlinkClick xmlns:r="http://schemas.openxmlformats.org/officeDocument/2006/relationships" r:id="rId77" tooltip="Quitar este incidente de la liquidación"/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453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77" name="Imagen 76" descr="Ver detalle">
          <a:hlinkClick xmlns:r="http://schemas.openxmlformats.org/officeDocument/2006/relationships" r:id="rId78" tooltip="Ver detalle"/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78" name="Imagen 77" descr="http://webagentes.canaldirecto.com.ar/img/icons/delete.png">
          <a:hlinkClick xmlns:r="http://schemas.openxmlformats.org/officeDocument/2006/relationships" r:id="rId79" tooltip="Quitar este incidente de la liquidación"/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79" name="Imagen 78" descr="Ver detalle">
          <a:hlinkClick xmlns:r="http://schemas.openxmlformats.org/officeDocument/2006/relationships" r:id="rId80" tooltip="Ver detalle"/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49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80" name="Imagen 79" descr="http://webagentes.canaldirecto.com.ar/img/icons/delete.png">
          <a:hlinkClick xmlns:r="http://schemas.openxmlformats.org/officeDocument/2006/relationships" r:id="rId81" tooltip="Quitar este incidente de la liquidación"/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49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81" name="Imagen 80" descr="Ver detalle">
          <a:hlinkClick xmlns:r="http://schemas.openxmlformats.org/officeDocument/2006/relationships" r:id="rId82" tooltip="Ver detalle"/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13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82" name="Imagen 81" descr="http://webagentes.canaldirecto.com.ar/img/icons/delete.png">
          <a:hlinkClick xmlns:r="http://schemas.openxmlformats.org/officeDocument/2006/relationships" r:id="rId83" tooltip="Quitar este incidente de la liquidación"/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513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83" name="Imagen 82" descr="Ver detalle">
          <a:hlinkClick xmlns:r="http://schemas.openxmlformats.org/officeDocument/2006/relationships" r:id="rId84" tooltip="Ver detalle"/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33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84" name="Imagen 83" descr="http://webagentes.canaldirecto.com.ar/img/icons/delete.png">
          <a:hlinkClick xmlns:r="http://schemas.openxmlformats.org/officeDocument/2006/relationships" r:id="rId85" tooltip="Quitar este incidente de la liquidación"/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533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85" name="Imagen 84" descr="Ver detalle">
          <a:hlinkClick xmlns:r="http://schemas.openxmlformats.org/officeDocument/2006/relationships" r:id="rId86" tooltip="Ver detalle"/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53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86" name="Imagen 85" descr="http://webagentes.canaldirecto.com.ar/img/icons/delete.png">
          <a:hlinkClick xmlns:r="http://schemas.openxmlformats.org/officeDocument/2006/relationships" r:id="rId87" tooltip="Quitar este incidente de la liquidación"/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553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87" name="Imagen 86" descr="Ver detalle">
          <a:hlinkClick xmlns:r="http://schemas.openxmlformats.org/officeDocument/2006/relationships" r:id="rId88" tooltip="Ver detalle"/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73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88" name="Imagen 87" descr="http://webagentes.canaldirecto.com.ar/img/icons/delete.png">
          <a:hlinkClick xmlns:r="http://schemas.openxmlformats.org/officeDocument/2006/relationships" r:id="rId89" tooltip="Quitar este incidente de la liquidación"/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573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89" name="Imagen 88" descr="Ver detalle">
          <a:hlinkClick xmlns:r="http://schemas.openxmlformats.org/officeDocument/2006/relationships" r:id="rId90" tooltip="Ver detalle"/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93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90" name="Imagen 89" descr="http://webagentes.canaldirecto.com.ar/img/icons/delete.png">
          <a:hlinkClick xmlns:r="http://schemas.openxmlformats.org/officeDocument/2006/relationships" r:id="rId91" tooltip="Quitar este incidente de la liquidación"/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593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91" name="Imagen 90" descr="Ver detalle">
          <a:hlinkClick xmlns:r="http://schemas.openxmlformats.org/officeDocument/2006/relationships" r:id="rId92" tooltip="Ver detalle"/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13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92" name="Imagen 91" descr="http://webagentes.canaldirecto.com.ar/img/icons/delete.png">
          <a:hlinkClick xmlns:r="http://schemas.openxmlformats.org/officeDocument/2006/relationships" r:id="rId93" tooltip="Quitar este incidente de la liquidación"/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613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93" name="Imagen 92" descr="Ver detalle">
          <a:hlinkClick xmlns:r="http://schemas.openxmlformats.org/officeDocument/2006/relationships" r:id="rId94" tooltip="Ver detalle"/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33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94" name="Imagen 93" descr="http://webagentes.canaldirecto.com.ar/img/icons/delete.png">
          <a:hlinkClick xmlns:r="http://schemas.openxmlformats.org/officeDocument/2006/relationships" r:id="rId95" tooltip="Quitar este incidente de la liquidación"/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633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95" name="Imagen 94" descr="Ver detalle">
          <a:hlinkClick xmlns:r="http://schemas.openxmlformats.org/officeDocument/2006/relationships" r:id="rId96" tooltip="Ver detalle"/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53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96" name="Imagen 95" descr="http://webagentes.canaldirecto.com.ar/img/icons/delete.png">
          <a:hlinkClick xmlns:r="http://schemas.openxmlformats.org/officeDocument/2006/relationships" r:id="rId97" tooltip="Quitar este incidente de la liquidación"/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653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97" name="Imagen 96" descr="Ver detalle">
          <a:hlinkClick xmlns:r="http://schemas.openxmlformats.org/officeDocument/2006/relationships" r:id="rId49" tooltip="Ver detalle"/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72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98" name="Imagen 97" descr="http://webagentes.canaldirecto.com.ar/img/icons/delete.png">
          <a:hlinkClick xmlns:r="http://schemas.openxmlformats.org/officeDocument/2006/relationships" r:id="rId50" tooltip="Quitar este incidente de la liquidación"/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872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99" name="Imagen 98" descr="Ver detalle">
          <a:hlinkClick xmlns:r="http://schemas.openxmlformats.org/officeDocument/2006/relationships" r:id="rId52" tooltip="Ver detalle"/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92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00" name="Imagen 99" descr="http://webagentes.canaldirecto.com.ar/img/icons/delete.png">
          <a:hlinkClick xmlns:r="http://schemas.openxmlformats.org/officeDocument/2006/relationships" r:id="rId53" tooltip="Quitar este incidente de la liquidación"/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892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01" name="Imagen 100" descr="Ver detalle">
          <a:hlinkClick xmlns:r="http://schemas.openxmlformats.org/officeDocument/2006/relationships" r:id="rId54" tooltip="Ver detalle"/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12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02" name="Imagen 101" descr="http://webagentes.canaldirecto.com.ar/img/icons/delete.png">
          <a:hlinkClick xmlns:r="http://schemas.openxmlformats.org/officeDocument/2006/relationships" r:id="rId55" tooltip="Quitar este incidente de la liquidación"/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912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03" name="Imagen 102" descr="Ver detalle">
          <a:hlinkClick xmlns:r="http://schemas.openxmlformats.org/officeDocument/2006/relationships" r:id="rId56" tooltip="Ver detalle"/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32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04" name="Imagen 103" descr="http://webagentes.canaldirecto.com.ar/img/icons/delete.png">
          <a:hlinkClick xmlns:r="http://schemas.openxmlformats.org/officeDocument/2006/relationships" r:id="rId57" tooltip="Quitar este incidente de la liquidación"/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932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05" name="Imagen 104" descr="Ver detalle">
          <a:hlinkClick xmlns:r="http://schemas.openxmlformats.org/officeDocument/2006/relationships" r:id="rId58" tooltip="Ver detalle"/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52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06" name="Imagen 105" descr="http://webagentes.canaldirecto.com.ar/img/icons/delete.png">
          <a:hlinkClick xmlns:r="http://schemas.openxmlformats.org/officeDocument/2006/relationships" r:id="rId59" tooltip="Quitar este incidente de la liquidación"/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952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07" name="Imagen 106" descr="Ver detalle">
          <a:hlinkClick xmlns:r="http://schemas.openxmlformats.org/officeDocument/2006/relationships" r:id="rId60" tooltip="Ver detalle"/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72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08" name="Imagen 107" descr="http://webagentes.canaldirecto.com.ar/img/icons/delete.png">
          <a:hlinkClick xmlns:r="http://schemas.openxmlformats.org/officeDocument/2006/relationships" r:id="rId61" tooltip="Quitar este incidente de la liquidación"/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972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09" name="Imagen 108" descr="Ver detalle">
          <a:hlinkClick xmlns:r="http://schemas.openxmlformats.org/officeDocument/2006/relationships" r:id="rId62" tooltip="Ver detalle"/>
          <a:extLst>
            <a:ext uri="{FF2B5EF4-FFF2-40B4-BE49-F238E27FC236}">
              <a16:creationId xmlns:a16="http://schemas.microsoft.com/office/drawing/2014/main" id="{00000000-0008-0000-02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92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10" name="Imagen 109" descr="http://webagentes.canaldirecto.com.ar/img/icons/delete.png">
          <a:hlinkClick xmlns:r="http://schemas.openxmlformats.org/officeDocument/2006/relationships" r:id="rId63" tooltip="Quitar este incidente de la liquidación"/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992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11" name="Imagen 110" descr="Ver detalle">
          <a:hlinkClick xmlns:r="http://schemas.openxmlformats.org/officeDocument/2006/relationships" r:id="rId64" tooltip="Ver detalle"/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012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12" name="Imagen 111" descr="http://webagentes.canaldirecto.com.ar/img/icons/delete.png">
          <a:hlinkClick xmlns:r="http://schemas.openxmlformats.org/officeDocument/2006/relationships" r:id="rId65" tooltip="Quitar este incidente de la liquidación"/>
          <a:extLst>
            <a:ext uri="{FF2B5EF4-FFF2-40B4-BE49-F238E27FC236}">
              <a16:creationId xmlns:a16="http://schemas.microsoft.com/office/drawing/2014/main" id="{00000000-0008-0000-02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012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13" name="Imagen 112" descr="Ver detalle">
          <a:hlinkClick xmlns:r="http://schemas.openxmlformats.org/officeDocument/2006/relationships" r:id="rId66" tooltip="Ver detalle"/>
          <a:extLst>
            <a:ext uri="{FF2B5EF4-FFF2-40B4-BE49-F238E27FC236}">
              <a16:creationId xmlns:a16="http://schemas.microsoft.com/office/drawing/2014/main" id="{00000000-0008-0000-02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032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14" name="Imagen 113" descr="http://webagentes.canaldirecto.com.ar/img/icons/delete.png">
          <a:hlinkClick xmlns:r="http://schemas.openxmlformats.org/officeDocument/2006/relationships" r:id="rId67" tooltip="Quitar este incidente de la liquidación"/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032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15" name="Imagen 114" descr="Ver detalle">
          <a:hlinkClick xmlns:r="http://schemas.openxmlformats.org/officeDocument/2006/relationships" r:id="rId68" tooltip="Ver detalle"/>
          <a:extLst>
            <a:ext uri="{FF2B5EF4-FFF2-40B4-BE49-F238E27FC236}">
              <a16:creationId xmlns:a16="http://schemas.microsoft.com/office/drawing/2014/main" id="{00000000-0008-0000-0200-00007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052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16" name="Imagen 115" descr="http://webagentes.canaldirecto.com.ar/img/icons/delete.png">
          <a:hlinkClick xmlns:r="http://schemas.openxmlformats.org/officeDocument/2006/relationships" r:id="rId69" tooltip="Quitar este incidente de la liquidación"/>
          <a:extLst>
            <a:ext uri="{FF2B5EF4-FFF2-40B4-BE49-F238E27FC236}">
              <a16:creationId xmlns:a16="http://schemas.microsoft.com/office/drawing/2014/main" id="{00000000-0008-0000-0200-00007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052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17" name="Imagen 116" descr="Ver detalle">
          <a:hlinkClick xmlns:r="http://schemas.openxmlformats.org/officeDocument/2006/relationships" r:id="rId70" tooltip="Ver detalle"/>
          <a:extLst>
            <a:ext uri="{FF2B5EF4-FFF2-40B4-BE49-F238E27FC236}">
              <a16:creationId xmlns:a16="http://schemas.microsoft.com/office/drawing/2014/main" id="{00000000-0008-0000-0200-00007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072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18" name="Imagen 117" descr="http://webagentes.canaldirecto.com.ar/img/icons/delete.png">
          <a:hlinkClick xmlns:r="http://schemas.openxmlformats.org/officeDocument/2006/relationships" r:id="rId71" tooltip="Quitar este incidente de la liquidación"/>
          <a:extLst>
            <a:ext uri="{FF2B5EF4-FFF2-40B4-BE49-F238E27FC236}">
              <a16:creationId xmlns:a16="http://schemas.microsoft.com/office/drawing/2014/main" id="{00000000-0008-0000-02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072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19" name="Imagen 118" descr="Ver detalle">
          <a:hlinkClick xmlns:r="http://schemas.openxmlformats.org/officeDocument/2006/relationships" r:id="rId72" tooltip="Ver detalle"/>
          <a:extLst>
            <a:ext uri="{FF2B5EF4-FFF2-40B4-BE49-F238E27FC236}">
              <a16:creationId xmlns:a16="http://schemas.microsoft.com/office/drawing/2014/main" id="{00000000-0008-0000-02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092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20" name="Imagen 119" descr="http://webagentes.canaldirecto.com.ar/img/icons/delete.png">
          <a:hlinkClick xmlns:r="http://schemas.openxmlformats.org/officeDocument/2006/relationships" r:id="rId73" tooltip="Quitar este incidente de la liquidación"/>
          <a:extLst>
            <a:ext uri="{FF2B5EF4-FFF2-40B4-BE49-F238E27FC236}">
              <a16:creationId xmlns:a16="http://schemas.microsoft.com/office/drawing/2014/main" id="{00000000-0008-0000-02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092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21" name="Imagen 120" descr="Ver detalle">
          <a:hlinkClick xmlns:r="http://schemas.openxmlformats.org/officeDocument/2006/relationships" r:id="rId74" tooltip="Ver detalle"/>
          <a:extLst>
            <a:ext uri="{FF2B5EF4-FFF2-40B4-BE49-F238E27FC236}">
              <a16:creationId xmlns:a16="http://schemas.microsoft.com/office/drawing/2014/main" id="{00000000-0008-0000-02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12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22" name="Imagen 121" descr="http://webagentes.canaldirecto.com.ar/img/icons/delete.png">
          <a:hlinkClick xmlns:r="http://schemas.openxmlformats.org/officeDocument/2006/relationships" r:id="rId75" tooltip="Quitar este incidente de la liquidación"/>
          <a:extLst>
            <a:ext uri="{FF2B5EF4-FFF2-40B4-BE49-F238E27FC236}">
              <a16:creationId xmlns:a16="http://schemas.microsoft.com/office/drawing/2014/main" id="{00000000-0008-0000-0200-00007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112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23" name="Imagen 122" descr="Ver detalle">
          <a:hlinkClick xmlns:r="http://schemas.openxmlformats.org/officeDocument/2006/relationships" r:id="rId76" tooltip="Ver detalle"/>
          <a:extLst>
            <a:ext uri="{FF2B5EF4-FFF2-40B4-BE49-F238E27FC236}">
              <a16:creationId xmlns:a16="http://schemas.microsoft.com/office/drawing/2014/main" id="{00000000-0008-0000-0200-00007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32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24" name="Imagen 123" descr="http://webagentes.canaldirecto.com.ar/img/icons/delete.png">
          <a:hlinkClick xmlns:r="http://schemas.openxmlformats.org/officeDocument/2006/relationships" r:id="rId77" tooltip="Quitar este incidente de la liquidación"/>
          <a:extLst>
            <a:ext uri="{FF2B5EF4-FFF2-40B4-BE49-F238E27FC236}">
              <a16:creationId xmlns:a16="http://schemas.microsoft.com/office/drawing/2014/main" id="{00000000-0008-0000-0200-00007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132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25" name="Imagen 124" descr="Ver detalle">
          <a:hlinkClick xmlns:r="http://schemas.openxmlformats.org/officeDocument/2006/relationships" r:id="rId78" tooltip="Ver detalle"/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52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26" name="Imagen 125" descr="http://webagentes.canaldirecto.com.ar/img/icons/delete.png">
          <a:hlinkClick xmlns:r="http://schemas.openxmlformats.org/officeDocument/2006/relationships" r:id="rId79" tooltip="Quitar este incidente de la liquidación"/>
          <a:extLst>
            <a:ext uri="{FF2B5EF4-FFF2-40B4-BE49-F238E27FC236}">
              <a16:creationId xmlns:a16="http://schemas.microsoft.com/office/drawing/2014/main" id="{00000000-0008-0000-02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152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27" name="Imagen 126" descr="Ver detalle">
          <a:hlinkClick xmlns:r="http://schemas.openxmlformats.org/officeDocument/2006/relationships" r:id="rId80" tooltip="Ver detalle"/>
          <a:extLst>
            <a:ext uri="{FF2B5EF4-FFF2-40B4-BE49-F238E27FC236}">
              <a16:creationId xmlns:a16="http://schemas.microsoft.com/office/drawing/2014/main" id="{00000000-0008-0000-02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72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28" name="Imagen 127" descr="http://webagentes.canaldirecto.com.ar/img/icons/delete.png">
          <a:hlinkClick xmlns:r="http://schemas.openxmlformats.org/officeDocument/2006/relationships" r:id="rId81" tooltip="Quitar este incidente de la liquidación"/>
          <a:extLst>
            <a:ext uri="{FF2B5EF4-FFF2-40B4-BE49-F238E27FC236}">
              <a16:creationId xmlns:a16="http://schemas.microsoft.com/office/drawing/2014/main" id="{00000000-0008-0000-02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172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29" name="Imagen 128" descr="Ver detalle">
          <a:hlinkClick xmlns:r="http://schemas.openxmlformats.org/officeDocument/2006/relationships" r:id="rId82" tooltip="Ver detalle"/>
          <a:extLst>
            <a:ext uri="{FF2B5EF4-FFF2-40B4-BE49-F238E27FC236}">
              <a16:creationId xmlns:a16="http://schemas.microsoft.com/office/drawing/2014/main" id="{00000000-0008-0000-0200-00008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92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30" name="Imagen 129" descr="http://webagentes.canaldirecto.com.ar/img/icons/delete.png">
          <a:hlinkClick xmlns:r="http://schemas.openxmlformats.org/officeDocument/2006/relationships" r:id="rId83" tooltip="Quitar este incidente de la liquidación"/>
          <a:extLst>
            <a:ext uri="{FF2B5EF4-FFF2-40B4-BE49-F238E27FC236}">
              <a16:creationId xmlns:a16="http://schemas.microsoft.com/office/drawing/2014/main" id="{00000000-0008-0000-0200-00008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192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31" name="Imagen 130" descr="Ver detalle">
          <a:hlinkClick xmlns:r="http://schemas.openxmlformats.org/officeDocument/2006/relationships" r:id="rId84" tooltip="Ver detalle"/>
          <a:extLst>
            <a:ext uri="{FF2B5EF4-FFF2-40B4-BE49-F238E27FC236}">
              <a16:creationId xmlns:a16="http://schemas.microsoft.com/office/drawing/2014/main" id="{00000000-0008-0000-0200-00008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12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32" name="Imagen 131" descr="http://webagentes.canaldirecto.com.ar/img/icons/delete.png">
          <a:hlinkClick xmlns:r="http://schemas.openxmlformats.org/officeDocument/2006/relationships" r:id="rId85" tooltip="Quitar este incidente de la liquidación"/>
          <a:extLst>
            <a:ext uri="{FF2B5EF4-FFF2-40B4-BE49-F238E27FC236}">
              <a16:creationId xmlns:a16="http://schemas.microsoft.com/office/drawing/2014/main" id="{00000000-0008-0000-02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212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33" name="Imagen 132" descr="Ver detalle">
          <a:hlinkClick xmlns:r="http://schemas.openxmlformats.org/officeDocument/2006/relationships" r:id="rId86" tooltip="Ver detalle"/>
          <a:extLst>
            <a:ext uri="{FF2B5EF4-FFF2-40B4-BE49-F238E27FC236}">
              <a16:creationId xmlns:a16="http://schemas.microsoft.com/office/drawing/2014/main" id="{00000000-0008-0000-02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32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34" name="Imagen 133" descr="http://webagentes.canaldirecto.com.ar/img/icons/delete.png">
          <a:hlinkClick xmlns:r="http://schemas.openxmlformats.org/officeDocument/2006/relationships" r:id="rId87" tooltip="Quitar este incidente de la liquidación"/>
          <a:extLst>
            <a:ext uri="{FF2B5EF4-FFF2-40B4-BE49-F238E27FC236}">
              <a16:creationId xmlns:a16="http://schemas.microsoft.com/office/drawing/2014/main" id="{00000000-0008-0000-02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232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35" name="Imagen 134" descr="Ver detalle">
          <a:hlinkClick xmlns:r="http://schemas.openxmlformats.org/officeDocument/2006/relationships" r:id="rId88" tooltip="Ver detalle"/>
          <a:extLst>
            <a:ext uri="{FF2B5EF4-FFF2-40B4-BE49-F238E27FC236}">
              <a16:creationId xmlns:a16="http://schemas.microsoft.com/office/drawing/2014/main" id="{00000000-0008-0000-02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52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36" name="Imagen 135" descr="http://webagentes.canaldirecto.com.ar/img/icons/delete.png">
          <a:hlinkClick xmlns:r="http://schemas.openxmlformats.org/officeDocument/2006/relationships" r:id="rId89" tooltip="Quitar este incidente de la liquidación"/>
          <a:extLst>
            <a:ext uri="{FF2B5EF4-FFF2-40B4-BE49-F238E27FC236}">
              <a16:creationId xmlns:a16="http://schemas.microsoft.com/office/drawing/2014/main" id="{00000000-0008-0000-0200-00008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252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37" name="Imagen 136" descr="Ver detalle">
          <a:hlinkClick xmlns:r="http://schemas.openxmlformats.org/officeDocument/2006/relationships" r:id="rId90" tooltip="Ver detalle"/>
          <a:extLst>
            <a:ext uri="{FF2B5EF4-FFF2-40B4-BE49-F238E27FC236}">
              <a16:creationId xmlns:a16="http://schemas.microsoft.com/office/drawing/2014/main" id="{00000000-0008-0000-0200-00008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72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38" name="Imagen 137" descr="http://webagentes.canaldirecto.com.ar/img/icons/delete.png">
          <a:hlinkClick xmlns:r="http://schemas.openxmlformats.org/officeDocument/2006/relationships" r:id="rId91" tooltip="Quitar este incidente de la liquidación"/>
          <a:extLst>
            <a:ext uri="{FF2B5EF4-FFF2-40B4-BE49-F238E27FC236}">
              <a16:creationId xmlns:a16="http://schemas.microsoft.com/office/drawing/2014/main" id="{00000000-0008-0000-02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272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39" name="Imagen 138" descr="Ver detalle">
          <a:hlinkClick xmlns:r="http://schemas.openxmlformats.org/officeDocument/2006/relationships" r:id="rId92" tooltip="Ver detalle"/>
          <a:extLst>
            <a:ext uri="{FF2B5EF4-FFF2-40B4-BE49-F238E27FC236}">
              <a16:creationId xmlns:a16="http://schemas.microsoft.com/office/drawing/2014/main" id="{00000000-0008-0000-02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92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40" name="Imagen 139" descr="http://webagentes.canaldirecto.com.ar/img/icons/delete.png">
          <a:hlinkClick xmlns:r="http://schemas.openxmlformats.org/officeDocument/2006/relationships" r:id="rId93" tooltip="Quitar este incidente de la liquidación"/>
          <a:extLst>
            <a:ext uri="{FF2B5EF4-FFF2-40B4-BE49-F238E27FC236}">
              <a16:creationId xmlns:a16="http://schemas.microsoft.com/office/drawing/2014/main" id="{00000000-0008-0000-02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292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41" name="Imagen 140" descr="Ver detalle">
          <a:hlinkClick xmlns:r="http://schemas.openxmlformats.org/officeDocument/2006/relationships" r:id="rId94" tooltip="Ver detalle"/>
          <a:extLst>
            <a:ext uri="{FF2B5EF4-FFF2-40B4-BE49-F238E27FC236}">
              <a16:creationId xmlns:a16="http://schemas.microsoft.com/office/drawing/2014/main" id="{00000000-0008-0000-02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312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42" name="Imagen 141" descr="http://webagentes.canaldirecto.com.ar/img/icons/delete.png">
          <a:hlinkClick xmlns:r="http://schemas.openxmlformats.org/officeDocument/2006/relationships" r:id="rId95" tooltip="Quitar este incidente de la liquidación"/>
          <a:extLst>
            <a:ext uri="{FF2B5EF4-FFF2-40B4-BE49-F238E27FC236}">
              <a16:creationId xmlns:a16="http://schemas.microsoft.com/office/drawing/2014/main" id="{00000000-0008-0000-0200-00008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312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43" name="Imagen 142" descr="Ver detalle">
          <a:hlinkClick xmlns:r="http://schemas.openxmlformats.org/officeDocument/2006/relationships" r:id="rId96" tooltip="Ver detalle"/>
          <a:extLst>
            <a:ext uri="{FF2B5EF4-FFF2-40B4-BE49-F238E27FC236}">
              <a16:creationId xmlns:a16="http://schemas.microsoft.com/office/drawing/2014/main" id="{00000000-0008-0000-0200-00008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332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44" name="Imagen 143" descr="http://webagentes.canaldirecto.com.ar/img/icons/delete.png">
          <a:hlinkClick xmlns:r="http://schemas.openxmlformats.org/officeDocument/2006/relationships" r:id="rId97" tooltip="Quitar este incidente de la liquidación"/>
          <a:extLst>
            <a:ext uri="{FF2B5EF4-FFF2-40B4-BE49-F238E27FC236}">
              <a16:creationId xmlns:a16="http://schemas.microsoft.com/office/drawing/2014/main" id="{00000000-0008-0000-0200-00009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332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45" name="Imagen 144" descr="Ver detalle">
          <a:hlinkClick xmlns:r="http://schemas.openxmlformats.org/officeDocument/2006/relationships" r:id="rId98" tooltip="Ver detalle"/>
          <a:extLst>
            <a:ext uri="{FF2B5EF4-FFF2-40B4-BE49-F238E27FC236}">
              <a16:creationId xmlns:a16="http://schemas.microsoft.com/office/drawing/2014/main" id="{00000000-0008-0000-0200-00009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572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46" name="Imagen 145" descr="http://webagentes.canaldirecto.com.ar/img/icons/delete.png">
          <a:hlinkClick xmlns:r="http://schemas.openxmlformats.org/officeDocument/2006/relationships" r:id="rId99" tooltip="Quitar este incidente de la liquidación"/>
          <a:extLst>
            <a:ext uri="{FF2B5EF4-FFF2-40B4-BE49-F238E27FC236}">
              <a16:creationId xmlns:a16="http://schemas.microsoft.com/office/drawing/2014/main" id="{00000000-0008-0000-02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572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47" name="Imagen 146" descr="Ver detalle">
          <a:hlinkClick xmlns:r="http://schemas.openxmlformats.org/officeDocument/2006/relationships" r:id="rId100" tooltip="Ver detalle"/>
          <a:extLst>
            <a:ext uri="{FF2B5EF4-FFF2-40B4-BE49-F238E27FC236}">
              <a16:creationId xmlns:a16="http://schemas.microsoft.com/office/drawing/2014/main" id="{00000000-0008-0000-02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592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48" name="Imagen 147" descr="http://webagentes.canaldirecto.com.ar/img/icons/delete.png">
          <a:hlinkClick xmlns:r="http://schemas.openxmlformats.org/officeDocument/2006/relationships" r:id="rId101" tooltip="Quitar este incidente de la liquidación"/>
          <a:extLst>
            <a:ext uri="{FF2B5EF4-FFF2-40B4-BE49-F238E27FC236}">
              <a16:creationId xmlns:a16="http://schemas.microsoft.com/office/drawing/2014/main" id="{00000000-0008-0000-02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592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49" name="Imagen 148" descr="Ver detalle">
          <a:hlinkClick xmlns:r="http://schemas.openxmlformats.org/officeDocument/2006/relationships" r:id="rId102" tooltip="Ver detalle"/>
          <a:extLst>
            <a:ext uri="{FF2B5EF4-FFF2-40B4-BE49-F238E27FC236}">
              <a16:creationId xmlns:a16="http://schemas.microsoft.com/office/drawing/2014/main" id="{00000000-0008-0000-02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612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50" name="Imagen 149" descr="http://webagentes.canaldirecto.com.ar/img/icons/delete.png">
          <a:hlinkClick xmlns:r="http://schemas.openxmlformats.org/officeDocument/2006/relationships" r:id="rId103" tooltip="Quitar este incidente de la liquidación"/>
          <a:extLst>
            <a:ext uri="{FF2B5EF4-FFF2-40B4-BE49-F238E27FC236}">
              <a16:creationId xmlns:a16="http://schemas.microsoft.com/office/drawing/2014/main" id="{00000000-0008-0000-0200-00009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612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51" name="Imagen 150" descr="Ver detalle">
          <a:hlinkClick xmlns:r="http://schemas.openxmlformats.org/officeDocument/2006/relationships" r:id="rId104" tooltip="Ver detalle"/>
          <a:extLst>
            <a:ext uri="{FF2B5EF4-FFF2-40B4-BE49-F238E27FC236}">
              <a16:creationId xmlns:a16="http://schemas.microsoft.com/office/drawing/2014/main" id="{00000000-0008-0000-0200-00009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632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52" name="Imagen 151" descr="http://webagentes.canaldirecto.com.ar/img/icons/delete.png">
          <a:hlinkClick xmlns:r="http://schemas.openxmlformats.org/officeDocument/2006/relationships" r:id="rId105" tooltip="Quitar este incidente de la liquidación"/>
          <a:extLst>
            <a:ext uri="{FF2B5EF4-FFF2-40B4-BE49-F238E27FC236}">
              <a16:creationId xmlns:a16="http://schemas.microsoft.com/office/drawing/2014/main" id="{00000000-0008-0000-0200-00009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632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53" name="Imagen 152" descr="Ver detalle">
          <a:hlinkClick xmlns:r="http://schemas.openxmlformats.org/officeDocument/2006/relationships" r:id="rId106" tooltip="Ver detalle"/>
          <a:extLst>
            <a:ext uri="{FF2B5EF4-FFF2-40B4-BE49-F238E27FC236}">
              <a16:creationId xmlns:a16="http://schemas.microsoft.com/office/drawing/2014/main" id="{00000000-0008-0000-02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652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54" name="Imagen 153" descr="http://webagentes.canaldirecto.com.ar/img/icons/delete.png">
          <a:hlinkClick xmlns:r="http://schemas.openxmlformats.org/officeDocument/2006/relationships" r:id="rId107" tooltip="Quitar este incidente de la liquidación"/>
          <a:extLst>
            <a:ext uri="{FF2B5EF4-FFF2-40B4-BE49-F238E27FC236}">
              <a16:creationId xmlns:a16="http://schemas.microsoft.com/office/drawing/2014/main" id="{00000000-0008-0000-02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652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55" name="Imagen 154" descr="Ver detalle">
          <a:hlinkClick xmlns:r="http://schemas.openxmlformats.org/officeDocument/2006/relationships" r:id="rId108" tooltip="Ver detalle"/>
          <a:extLst>
            <a:ext uri="{FF2B5EF4-FFF2-40B4-BE49-F238E27FC236}">
              <a16:creationId xmlns:a16="http://schemas.microsoft.com/office/drawing/2014/main" id="{00000000-0008-0000-02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672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56" name="Imagen 155" descr="http://webagentes.canaldirecto.com.ar/img/icons/delete.png">
          <a:hlinkClick xmlns:r="http://schemas.openxmlformats.org/officeDocument/2006/relationships" r:id="rId109" tooltip="Quitar este incidente de la liquidación"/>
          <a:extLst>
            <a:ext uri="{FF2B5EF4-FFF2-40B4-BE49-F238E27FC236}">
              <a16:creationId xmlns:a16="http://schemas.microsoft.com/office/drawing/2014/main" id="{00000000-0008-0000-02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672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57" name="Imagen 156" descr="Ver detalle">
          <a:hlinkClick xmlns:r="http://schemas.openxmlformats.org/officeDocument/2006/relationships" r:id="rId110" tooltip="Ver detalle"/>
          <a:extLst>
            <a:ext uri="{FF2B5EF4-FFF2-40B4-BE49-F238E27FC236}">
              <a16:creationId xmlns:a16="http://schemas.microsoft.com/office/drawing/2014/main" id="{00000000-0008-0000-0200-00009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32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58" name="Imagen 157" descr="http://webagentes.canaldirecto.com.ar/img/icons/delete.png">
          <a:hlinkClick xmlns:r="http://schemas.openxmlformats.org/officeDocument/2006/relationships" r:id="rId111" tooltip="Quitar este incidente de la liquidación"/>
          <a:extLst>
            <a:ext uri="{FF2B5EF4-FFF2-40B4-BE49-F238E27FC236}">
              <a16:creationId xmlns:a16="http://schemas.microsoft.com/office/drawing/2014/main" id="{00000000-0008-0000-0200-00009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132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59" name="Imagen 158" descr="Ver detalle">
          <a:hlinkClick xmlns:r="http://schemas.openxmlformats.org/officeDocument/2006/relationships" r:id="rId112" tooltip="Ver detalle"/>
          <a:extLst>
            <a:ext uri="{FF2B5EF4-FFF2-40B4-BE49-F238E27FC236}">
              <a16:creationId xmlns:a16="http://schemas.microsoft.com/office/drawing/2014/main" id="{00000000-0008-0000-0200-00009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52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60" name="Imagen 159" descr="http://webagentes.canaldirecto.com.ar/img/icons/delete.png">
          <a:hlinkClick xmlns:r="http://schemas.openxmlformats.org/officeDocument/2006/relationships" r:id="rId113" tooltip="Quitar este incidente de la liquidación"/>
          <a:extLst>
            <a:ext uri="{FF2B5EF4-FFF2-40B4-BE49-F238E27FC236}">
              <a16:creationId xmlns:a16="http://schemas.microsoft.com/office/drawing/2014/main" id="{00000000-0008-0000-02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152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61" name="Imagen 160" descr="Ver detalle">
          <a:hlinkClick xmlns:r="http://schemas.openxmlformats.org/officeDocument/2006/relationships" r:id="rId114" tooltip="Ver detalle"/>
          <a:extLst>
            <a:ext uri="{FF2B5EF4-FFF2-40B4-BE49-F238E27FC236}">
              <a16:creationId xmlns:a16="http://schemas.microsoft.com/office/drawing/2014/main" id="{00000000-0008-0000-02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85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62" name="Imagen 161" descr="http://webagentes.canaldirecto.com.ar/img/icons/delete.png">
          <a:hlinkClick xmlns:r="http://schemas.openxmlformats.org/officeDocument/2006/relationships" r:id="rId115" tooltip="Quitar este incidente de la liquidación"/>
          <a:extLst>
            <a:ext uri="{FF2B5EF4-FFF2-40B4-BE49-F238E27FC236}">
              <a16:creationId xmlns:a16="http://schemas.microsoft.com/office/drawing/2014/main" id="{00000000-0008-0000-02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185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63" name="Imagen 162" descr="Ver detalle">
          <a:hlinkClick xmlns:r="http://schemas.openxmlformats.org/officeDocument/2006/relationships" r:id="rId116" tooltip="Ver detalle"/>
          <a:extLst>
            <a:ext uri="{FF2B5EF4-FFF2-40B4-BE49-F238E27FC236}">
              <a16:creationId xmlns:a16="http://schemas.microsoft.com/office/drawing/2014/main" id="{00000000-0008-0000-02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21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64" name="Imagen 163" descr="http://webagentes.canaldirecto.com.ar/img/icons/delete.png">
          <a:hlinkClick xmlns:r="http://schemas.openxmlformats.org/officeDocument/2006/relationships" r:id="rId117" tooltip="Quitar este incidente de la liquidación"/>
          <a:extLst>
            <a:ext uri="{FF2B5EF4-FFF2-40B4-BE49-F238E27FC236}">
              <a16:creationId xmlns:a16="http://schemas.microsoft.com/office/drawing/2014/main" id="{00000000-0008-0000-0200-0000A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21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65" name="Imagen 164" descr="Ver detalle">
          <a:hlinkClick xmlns:r="http://schemas.openxmlformats.org/officeDocument/2006/relationships" r:id="rId118" tooltip="Ver detalle"/>
          <a:extLst>
            <a:ext uri="{FF2B5EF4-FFF2-40B4-BE49-F238E27FC236}">
              <a16:creationId xmlns:a16="http://schemas.microsoft.com/office/drawing/2014/main" id="{00000000-0008-0000-0200-0000A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252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66" name="Imagen 165" descr="http://webagentes.canaldirecto.com.ar/img/icons/delete.png">
          <a:hlinkClick xmlns:r="http://schemas.openxmlformats.org/officeDocument/2006/relationships" r:id="rId119" tooltip="Quitar este incidente de la liquidación"/>
          <a:extLst>
            <a:ext uri="{FF2B5EF4-FFF2-40B4-BE49-F238E27FC236}">
              <a16:creationId xmlns:a16="http://schemas.microsoft.com/office/drawing/2014/main" id="{00000000-0008-0000-0200-0000A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252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67" name="Imagen 166" descr="Ver detalle">
          <a:hlinkClick xmlns:r="http://schemas.openxmlformats.org/officeDocument/2006/relationships" r:id="rId120" tooltip="Ver detalle"/>
          <a:extLst>
            <a:ext uri="{FF2B5EF4-FFF2-40B4-BE49-F238E27FC236}">
              <a16:creationId xmlns:a16="http://schemas.microsoft.com/office/drawing/2014/main" id="{00000000-0008-0000-02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285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68" name="Imagen 167" descr="http://webagentes.canaldirecto.com.ar/img/icons/delete.png">
          <a:hlinkClick xmlns:r="http://schemas.openxmlformats.org/officeDocument/2006/relationships" r:id="rId121" tooltip="Quitar este incidente de la liquidación"/>
          <a:extLst>
            <a:ext uri="{FF2B5EF4-FFF2-40B4-BE49-F238E27FC236}">
              <a16:creationId xmlns:a16="http://schemas.microsoft.com/office/drawing/2014/main" id="{00000000-0008-0000-0200-0000A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285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69" name="Imagen 168" descr="Ver detalle">
          <a:hlinkClick xmlns:r="http://schemas.openxmlformats.org/officeDocument/2006/relationships" r:id="rId122" tooltip="Ver detalle"/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319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70" name="Imagen 169" descr="http://webagentes.canaldirecto.com.ar/img/icons/delete.png">
          <a:hlinkClick xmlns:r="http://schemas.openxmlformats.org/officeDocument/2006/relationships" r:id="rId123" tooltip="Quitar este incidente de la liquidación"/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319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71" name="Imagen 170" descr="Ver detalle">
          <a:hlinkClick xmlns:r="http://schemas.openxmlformats.org/officeDocument/2006/relationships" r:id="rId124" tooltip="Ver detalle"/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352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72" name="Imagen 171" descr="http://webagentes.canaldirecto.com.ar/img/icons/delete.png">
          <a:hlinkClick xmlns:r="http://schemas.openxmlformats.org/officeDocument/2006/relationships" r:id="rId125" tooltip="Quitar este incidente de la liquidación"/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352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73" name="Imagen 172" descr="Ver detalle">
          <a:hlinkClick xmlns:r="http://schemas.openxmlformats.org/officeDocument/2006/relationships" r:id="rId126" tooltip="Ver detalle"/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385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74" name="Imagen 173" descr="http://webagentes.canaldirecto.com.ar/img/icons/delete.png">
          <a:hlinkClick xmlns:r="http://schemas.openxmlformats.org/officeDocument/2006/relationships" r:id="rId127" tooltip="Quitar este incidente de la liquidación"/>
          <a:extLst>
            <a:ext uri="{FF2B5EF4-FFF2-40B4-BE49-F238E27FC236}">
              <a16:creationId xmlns:a16="http://schemas.microsoft.com/office/drawing/2014/main" id="{00000000-0008-0000-02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385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75" name="Imagen 174" descr="Ver detalle">
          <a:hlinkClick xmlns:r="http://schemas.openxmlformats.org/officeDocument/2006/relationships" r:id="rId128" tooltip="Ver detalle"/>
          <a:extLst>
            <a:ext uri="{FF2B5EF4-FFF2-40B4-BE49-F238E27FC236}">
              <a16:creationId xmlns:a16="http://schemas.microsoft.com/office/drawing/2014/main" id="{00000000-0008-0000-02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419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76" name="Imagen 175" descr="http://webagentes.canaldirecto.com.ar/img/icons/delete.png">
          <a:hlinkClick xmlns:r="http://schemas.openxmlformats.org/officeDocument/2006/relationships" r:id="rId129" tooltip="Quitar este incidente de la liquidación"/>
          <a:extLst>
            <a:ext uri="{FF2B5EF4-FFF2-40B4-BE49-F238E27FC236}">
              <a16:creationId xmlns:a16="http://schemas.microsoft.com/office/drawing/2014/main" id="{00000000-0008-0000-02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419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77" name="Imagen 176" descr="Ver detalle">
          <a:hlinkClick xmlns:r="http://schemas.openxmlformats.org/officeDocument/2006/relationships" r:id="rId130" tooltip="Ver detalle"/>
          <a:extLst>
            <a:ext uri="{FF2B5EF4-FFF2-40B4-BE49-F238E27FC236}">
              <a16:creationId xmlns:a16="http://schemas.microsoft.com/office/drawing/2014/main" id="{00000000-0008-0000-0200-0000B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452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78" name="Imagen 177" descr="http://webagentes.canaldirecto.com.ar/img/icons/delete.png">
          <a:hlinkClick xmlns:r="http://schemas.openxmlformats.org/officeDocument/2006/relationships" r:id="rId131" tooltip="Quitar este incidente de la liquidación"/>
          <a:extLst>
            <a:ext uri="{FF2B5EF4-FFF2-40B4-BE49-F238E27FC236}">
              <a16:creationId xmlns:a16="http://schemas.microsoft.com/office/drawing/2014/main" id="{00000000-0008-0000-0200-0000B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452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79" name="Imagen 178" descr="Ver detalle">
          <a:hlinkClick xmlns:r="http://schemas.openxmlformats.org/officeDocument/2006/relationships" r:id="rId132" tooltip="Ver detalle"/>
          <a:extLst>
            <a:ext uri="{FF2B5EF4-FFF2-40B4-BE49-F238E27FC236}">
              <a16:creationId xmlns:a16="http://schemas.microsoft.com/office/drawing/2014/main" id="{00000000-0008-0000-0200-0000B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48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80" name="Imagen 179" descr="http://webagentes.canaldirecto.com.ar/img/icons/delete.png">
          <a:hlinkClick xmlns:r="http://schemas.openxmlformats.org/officeDocument/2006/relationships" r:id="rId133" tooltip="Quitar este incidente de la liquidación"/>
          <a:extLst>
            <a:ext uri="{FF2B5EF4-FFF2-40B4-BE49-F238E27FC236}">
              <a16:creationId xmlns:a16="http://schemas.microsoft.com/office/drawing/2014/main" id="{00000000-0008-0000-0200-0000B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48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81" name="Imagen 180" descr="Ver detalle">
          <a:hlinkClick xmlns:r="http://schemas.openxmlformats.org/officeDocument/2006/relationships" r:id="rId134" tooltip="Ver detalle"/>
          <a:extLst>
            <a:ext uri="{FF2B5EF4-FFF2-40B4-BE49-F238E27FC236}">
              <a16:creationId xmlns:a16="http://schemas.microsoft.com/office/drawing/2014/main" id="{00000000-0008-0000-0200-0000B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19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82" name="Imagen 181" descr="http://webagentes.canaldirecto.com.ar/img/icons/delete.png">
          <a:hlinkClick xmlns:r="http://schemas.openxmlformats.org/officeDocument/2006/relationships" r:id="rId135" tooltip="Quitar este incidente de la liquidación"/>
          <a:extLst>
            <a:ext uri="{FF2B5EF4-FFF2-40B4-BE49-F238E27FC236}">
              <a16:creationId xmlns:a16="http://schemas.microsoft.com/office/drawing/2014/main" id="{00000000-0008-0000-0200-0000B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519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83" name="Imagen 182" descr="Ver detalle">
          <a:hlinkClick xmlns:r="http://schemas.openxmlformats.org/officeDocument/2006/relationships" r:id="rId136" tooltip="Ver detalle"/>
          <a:extLst>
            <a:ext uri="{FF2B5EF4-FFF2-40B4-BE49-F238E27FC236}">
              <a16:creationId xmlns:a16="http://schemas.microsoft.com/office/drawing/2014/main" id="{00000000-0008-0000-0200-0000B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52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84" name="Imagen 183" descr="http://webagentes.canaldirecto.com.ar/img/icons/delete.png">
          <a:hlinkClick xmlns:r="http://schemas.openxmlformats.org/officeDocument/2006/relationships" r:id="rId137" tooltip="Quitar este incidente de la liquidación"/>
          <a:extLst>
            <a:ext uri="{FF2B5EF4-FFF2-40B4-BE49-F238E27FC236}">
              <a16:creationId xmlns:a16="http://schemas.microsoft.com/office/drawing/2014/main" id="{00000000-0008-0000-0200-0000B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552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85" name="Imagen 184" descr="Ver detalle">
          <a:hlinkClick xmlns:r="http://schemas.openxmlformats.org/officeDocument/2006/relationships" r:id="rId138" tooltip="Ver detalle"/>
          <a:extLst>
            <a:ext uri="{FF2B5EF4-FFF2-40B4-BE49-F238E27FC236}">
              <a16:creationId xmlns:a16="http://schemas.microsoft.com/office/drawing/2014/main" id="{00000000-0008-0000-0200-0000B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72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86" name="Imagen 185" descr="http://webagentes.canaldirecto.com.ar/img/icons/delete.png">
          <a:hlinkClick xmlns:r="http://schemas.openxmlformats.org/officeDocument/2006/relationships" r:id="rId139" tooltip="Quitar este incidente de la liquidación"/>
          <a:extLst>
            <a:ext uri="{FF2B5EF4-FFF2-40B4-BE49-F238E27FC236}">
              <a16:creationId xmlns:a16="http://schemas.microsoft.com/office/drawing/2014/main" id="{00000000-0008-0000-0200-0000B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572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87" name="Imagen 186" descr="Ver detalle">
          <a:hlinkClick xmlns:r="http://schemas.openxmlformats.org/officeDocument/2006/relationships" r:id="rId140" tooltip="Ver detalle"/>
          <a:extLst>
            <a:ext uri="{FF2B5EF4-FFF2-40B4-BE49-F238E27FC236}">
              <a16:creationId xmlns:a16="http://schemas.microsoft.com/office/drawing/2014/main" id="{00000000-0008-0000-0200-0000B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92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88" name="Imagen 187" descr="http://webagentes.canaldirecto.com.ar/img/icons/delete.png">
          <a:hlinkClick xmlns:r="http://schemas.openxmlformats.org/officeDocument/2006/relationships" r:id="rId141" tooltip="Quitar este incidente de la liquidación"/>
          <a:extLst>
            <a:ext uri="{FF2B5EF4-FFF2-40B4-BE49-F238E27FC236}">
              <a16:creationId xmlns:a16="http://schemas.microsoft.com/office/drawing/2014/main" id="{00000000-0008-0000-0200-0000B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592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89" name="Imagen 188" descr="Ver detalle">
          <a:hlinkClick xmlns:r="http://schemas.openxmlformats.org/officeDocument/2006/relationships" r:id="rId142" tooltip="Ver detalle"/>
          <a:extLst>
            <a:ext uri="{FF2B5EF4-FFF2-40B4-BE49-F238E27FC236}">
              <a16:creationId xmlns:a16="http://schemas.microsoft.com/office/drawing/2014/main" id="{00000000-0008-0000-0200-0000B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12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90" name="Imagen 189" descr="http://webagentes.canaldirecto.com.ar/img/icons/delete.png">
          <a:hlinkClick xmlns:r="http://schemas.openxmlformats.org/officeDocument/2006/relationships" r:id="rId143" tooltip="Quitar este incidente de la liquidación"/>
          <a:extLst>
            <a:ext uri="{FF2B5EF4-FFF2-40B4-BE49-F238E27FC236}">
              <a16:creationId xmlns:a16="http://schemas.microsoft.com/office/drawing/2014/main" id="{00000000-0008-0000-0200-0000B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612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91" name="Imagen 190" descr="Ver detalle">
          <a:hlinkClick xmlns:r="http://schemas.openxmlformats.org/officeDocument/2006/relationships" r:id="rId144" tooltip="Ver detalle"/>
          <a:extLst>
            <a:ext uri="{FF2B5EF4-FFF2-40B4-BE49-F238E27FC236}">
              <a16:creationId xmlns:a16="http://schemas.microsoft.com/office/drawing/2014/main" id="{00000000-0008-0000-0200-0000B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3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92" name="Imagen 191" descr="http://webagentes.canaldirecto.com.ar/img/icons/delete.png">
          <a:hlinkClick xmlns:r="http://schemas.openxmlformats.org/officeDocument/2006/relationships" r:id="rId145" tooltip="Quitar este incidente de la liquidación"/>
          <a:extLst>
            <a:ext uri="{FF2B5EF4-FFF2-40B4-BE49-F238E27FC236}">
              <a16:creationId xmlns:a16="http://schemas.microsoft.com/office/drawing/2014/main" id="{00000000-0008-0000-0200-0000C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63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93" name="Imagen 192" descr="Ver detalle">
          <a:hlinkClick xmlns:r="http://schemas.openxmlformats.org/officeDocument/2006/relationships" r:id="rId146" tooltip="Ver detalle"/>
          <a:extLst>
            <a:ext uri="{FF2B5EF4-FFF2-40B4-BE49-F238E27FC236}">
              <a16:creationId xmlns:a16="http://schemas.microsoft.com/office/drawing/2014/main" id="{00000000-0008-0000-0200-0000C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52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94" name="Imagen 193" descr="http://webagentes.canaldirecto.com.ar/img/icons/delete.png">
          <a:hlinkClick xmlns:r="http://schemas.openxmlformats.org/officeDocument/2006/relationships" r:id="rId147" tooltip="Quitar este incidente de la liquidación"/>
          <a:extLst>
            <a:ext uri="{FF2B5EF4-FFF2-40B4-BE49-F238E27FC236}">
              <a16:creationId xmlns:a16="http://schemas.microsoft.com/office/drawing/2014/main" id="{00000000-0008-0000-0200-0000C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652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95" name="Imagen 194" descr="Ver detalle">
          <a:hlinkClick xmlns:r="http://schemas.openxmlformats.org/officeDocument/2006/relationships" r:id="rId148" tooltip="Ver detalle"/>
          <a:extLst>
            <a:ext uri="{FF2B5EF4-FFF2-40B4-BE49-F238E27FC236}">
              <a16:creationId xmlns:a16="http://schemas.microsoft.com/office/drawing/2014/main" id="{00000000-0008-0000-0200-0000C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72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96" name="Imagen 195" descr="http://webagentes.canaldirecto.com.ar/img/icons/delete.png">
          <a:hlinkClick xmlns:r="http://schemas.openxmlformats.org/officeDocument/2006/relationships" r:id="rId149" tooltip="Quitar este incidente de la liquidación"/>
          <a:extLst>
            <a:ext uri="{FF2B5EF4-FFF2-40B4-BE49-F238E27FC236}">
              <a16:creationId xmlns:a16="http://schemas.microsoft.com/office/drawing/2014/main" id="{00000000-0008-0000-02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672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97" name="Imagen 196" descr="Ver detalle">
          <a:hlinkClick xmlns:r="http://schemas.openxmlformats.org/officeDocument/2006/relationships" r:id="rId150" tooltip="Ver detalle"/>
          <a:extLst>
            <a:ext uri="{FF2B5EF4-FFF2-40B4-BE49-F238E27FC236}">
              <a16:creationId xmlns:a16="http://schemas.microsoft.com/office/drawing/2014/main" id="{00000000-0008-0000-02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92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98" name="Imagen 197" descr="http://webagentes.canaldirecto.com.ar/img/icons/delete.png">
          <a:hlinkClick xmlns:r="http://schemas.openxmlformats.org/officeDocument/2006/relationships" r:id="rId151" tooltip="Quitar este incidente de la liquidación"/>
          <a:extLst>
            <a:ext uri="{FF2B5EF4-FFF2-40B4-BE49-F238E27FC236}">
              <a16:creationId xmlns:a16="http://schemas.microsoft.com/office/drawing/2014/main" id="{00000000-0008-0000-0200-0000C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692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99" name="Imagen 198" descr="Ver detalle">
          <a:hlinkClick xmlns:r="http://schemas.openxmlformats.org/officeDocument/2006/relationships" r:id="rId152" tooltip="Ver detalle"/>
          <a:extLst>
            <a:ext uri="{FF2B5EF4-FFF2-40B4-BE49-F238E27FC236}">
              <a16:creationId xmlns:a16="http://schemas.microsoft.com/office/drawing/2014/main" id="{00000000-0008-0000-0200-0000C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12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00" name="Imagen 199" descr="http://webagentes.canaldirecto.com.ar/img/icons/delete.png">
          <a:hlinkClick xmlns:r="http://schemas.openxmlformats.org/officeDocument/2006/relationships" r:id="rId153" tooltip="Quitar este incidente de la liquidación"/>
          <a:extLst>
            <a:ext uri="{FF2B5EF4-FFF2-40B4-BE49-F238E27FC236}">
              <a16:creationId xmlns:a16="http://schemas.microsoft.com/office/drawing/2014/main" id="{00000000-0008-0000-0200-0000C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712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01" name="Imagen 200" descr="Ver detalle">
          <a:hlinkClick xmlns:r="http://schemas.openxmlformats.org/officeDocument/2006/relationships" r:id="rId154" tooltip="Ver detalle"/>
          <a:extLst>
            <a:ext uri="{FF2B5EF4-FFF2-40B4-BE49-F238E27FC236}">
              <a16:creationId xmlns:a16="http://schemas.microsoft.com/office/drawing/2014/main" id="{00000000-0008-0000-0200-0000C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32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02" name="Imagen 201" descr="http://webagentes.canaldirecto.com.ar/img/icons/delete.png">
          <a:hlinkClick xmlns:r="http://schemas.openxmlformats.org/officeDocument/2006/relationships" r:id="rId155" tooltip="Quitar este incidente de la liquidación"/>
          <a:extLst>
            <a:ext uri="{FF2B5EF4-FFF2-40B4-BE49-F238E27FC236}">
              <a16:creationId xmlns:a16="http://schemas.microsoft.com/office/drawing/2014/main" id="{00000000-0008-0000-02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732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03" name="Imagen 202" descr="Ver detalle">
          <a:hlinkClick xmlns:r="http://schemas.openxmlformats.org/officeDocument/2006/relationships" r:id="rId156" tooltip="Ver detalle"/>
          <a:extLst>
            <a:ext uri="{FF2B5EF4-FFF2-40B4-BE49-F238E27FC236}">
              <a16:creationId xmlns:a16="http://schemas.microsoft.com/office/drawing/2014/main" id="{00000000-0008-0000-0200-0000C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5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04" name="Imagen 203" descr="http://webagentes.canaldirecto.com.ar/img/icons/delete.png">
          <a:hlinkClick xmlns:r="http://schemas.openxmlformats.org/officeDocument/2006/relationships" r:id="rId157" tooltip="Quitar este incidente de la liquidación"/>
          <a:extLst>
            <a:ext uri="{FF2B5EF4-FFF2-40B4-BE49-F238E27FC236}">
              <a16:creationId xmlns:a16="http://schemas.microsoft.com/office/drawing/2014/main" id="{00000000-0008-0000-0200-0000C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75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05" name="Imagen 204" descr="Ver detalle">
          <a:hlinkClick xmlns:r="http://schemas.openxmlformats.org/officeDocument/2006/relationships" r:id="rId158" tooltip="Ver detalle"/>
          <a:extLst>
            <a:ext uri="{FF2B5EF4-FFF2-40B4-BE49-F238E27FC236}">
              <a16:creationId xmlns:a16="http://schemas.microsoft.com/office/drawing/2014/main" id="{00000000-0008-0000-0200-0000C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92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06" name="Imagen 205" descr="http://webagentes.canaldirecto.com.ar/img/icons/delete.png">
          <a:hlinkClick xmlns:r="http://schemas.openxmlformats.org/officeDocument/2006/relationships" r:id="rId159" tooltip="Quitar este incidente de la liquidación"/>
          <a:extLst>
            <a:ext uri="{FF2B5EF4-FFF2-40B4-BE49-F238E27FC236}">
              <a16:creationId xmlns:a16="http://schemas.microsoft.com/office/drawing/2014/main" id="{00000000-0008-0000-0200-0000C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792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07" name="Imagen 206" descr="Ver detalle">
          <a:hlinkClick xmlns:r="http://schemas.openxmlformats.org/officeDocument/2006/relationships" r:id="rId160" tooltip="Ver detalle"/>
          <a:extLst>
            <a:ext uri="{FF2B5EF4-FFF2-40B4-BE49-F238E27FC236}">
              <a16:creationId xmlns:a16="http://schemas.microsoft.com/office/drawing/2014/main" id="{00000000-0008-0000-0200-0000C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25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08" name="Imagen 207" descr="http://webagentes.canaldirecto.com.ar/img/icons/delete.png">
          <a:hlinkClick xmlns:r="http://schemas.openxmlformats.org/officeDocument/2006/relationships" r:id="rId161" tooltip="Quitar este incidente de la liquidación"/>
          <a:extLst>
            <a:ext uri="{FF2B5EF4-FFF2-40B4-BE49-F238E27FC236}">
              <a16:creationId xmlns:a16="http://schemas.microsoft.com/office/drawing/2014/main" id="{00000000-0008-0000-0200-0000D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825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09" name="Imagen 208" descr="Ver detalle">
          <a:hlinkClick xmlns:r="http://schemas.openxmlformats.org/officeDocument/2006/relationships" r:id="rId162" tooltip="Ver detalle"/>
          <a:extLst>
            <a:ext uri="{FF2B5EF4-FFF2-40B4-BE49-F238E27FC236}">
              <a16:creationId xmlns:a16="http://schemas.microsoft.com/office/drawing/2014/main" id="{00000000-0008-0000-0200-0000D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45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10" name="Imagen 209" descr="http://webagentes.canaldirecto.com.ar/img/icons/delete.png">
          <a:hlinkClick xmlns:r="http://schemas.openxmlformats.org/officeDocument/2006/relationships" r:id="rId163" tooltip="Quitar este incidente de la liquidación"/>
          <a:extLst>
            <a:ext uri="{FF2B5EF4-FFF2-40B4-BE49-F238E27FC236}">
              <a16:creationId xmlns:a16="http://schemas.microsoft.com/office/drawing/2014/main" id="{00000000-0008-0000-0200-0000D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845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11" name="Imagen 210" descr="Ver detalle">
          <a:hlinkClick xmlns:r="http://schemas.openxmlformats.org/officeDocument/2006/relationships" r:id="rId164" tooltip="Ver detalle"/>
          <a:extLst>
            <a:ext uri="{FF2B5EF4-FFF2-40B4-BE49-F238E27FC236}">
              <a16:creationId xmlns:a16="http://schemas.microsoft.com/office/drawing/2014/main" id="{00000000-0008-0000-0200-0000D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65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12" name="Imagen 211" descr="http://webagentes.canaldirecto.com.ar/img/icons/delete.png">
          <a:hlinkClick xmlns:r="http://schemas.openxmlformats.org/officeDocument/2006/relationships" r:id="rId165" tooltip="Quitar este incidente de la liquidación"/>
          <a:extLst>
            <a:ext uri="{FF2B5EF4-FFF2-40B4-BE49-F238E27FC236}">
              <a16:creationId xmlns:a16="http://schemas.microsoft.com/office/drawing/2014/main" id="{00000000-0008-0000-0200-0000D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865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13" name="Imagen 212" descr="Ver detalle">
          <a:hlinkClick xmlns:r="http://schemas.openxmlformats.org/officeDocument/2006/relationships" r:id="rId166" tooltip="Ver detalle"/>
          <a:extLst>
            <a:ext uri="{FF2B5EF4-FFF2-40B4-BE49-F238E27FC236}">
              <a16:creationId xmlns:a16="http://schemas.microsoft.com/office/drawing/2014/main" id="{00000000-0008-0000-0200-0000D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8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14" name="Imagen 213" descr="http://webagentes.canaldirecto.com.ar/img/icons/delete.png">
          <a:hlinkClick xmlns:r="http://schemas.openxmlformats.org/officeDocument/2006/relationships" r:id="rId167" tooltip="Quitar este incidente de la liquidación"/>
          <a:extLst>
            <a:ext uri="{FF2B5EF4-FFF2-40B4-BE49-F238E27FC236}">
              <a16:creationId xmlns:a16="http://schemas.microsoft.com/office/drawing/2014/main" id="{00000000-0008-0000-0200-0000D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88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15" name="Imagen 214" descr="Ver detalle">
          <a:hlinkClick xmlns:r="http://schemas.openxmlformats.org/officeDocument/2006/relationships" r:id="rId168" tooltip="Ver detalle"/>
          <a:extLst>
            <a:ext uri="{FF2B5EF4-FFF2-40B4-BE49-F238E27FC236}">
              <a16:creationId xmlns:a16="http://schemas.microsoft.com/office/drawing/2014/main" id="{00000000-0008-0000-0200-0000D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05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16" name="Imagen 215" descr="http://webagentes.canaldirecto.com.ar/img/icons/delete.png">
          <a:hlinkClick xmlns:r="http://schemas.openxmlformats.org/officeDocument/2006/relationships" r:id="rId169" tooltip="Quitar este incidente de la liquidación"/>
          <a:extLst>
            <a:ext uri="{FF2B5EF4-FFF2-40B4-BE49-F238E27FC236}">
              <a16:creationId xmlns:a16="http://schemas.microsoft.com/office/drawing/2014/main" id="{00000000-0008-0000-0200-0000D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905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17" name="Imagen 216" descr="Ver detalle">
          <a:hlinkClick xmlns:r="http://schemas.openxmlformats.org/officeDocument/2006/relationships" r:id="rId170" tooltip="Ver detalle"/>
          <a:extLst>
            <a:ext uri="{FF2B5EF4-FFF2-40B4-BE49-F238E27FC236}">
              <a16:creationId xmlns:a16="http://schemas.microsoft.com/office/drawing/2014/main" id="{00000000-0008-0000-02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25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18" name="Imagen 217" descr="http://webagentes.canaldirecto.com.ar/img/icons/delete.png">
          <a:hlinkClick xmlns:r="http://schemas.openxmlformats.org/officeDocument/2006/relationships" r:id="rId171" tooltip="Quitar este incidente de la liquidación"/>
          <a:extLst>
            <a:ext uri="{FF2B5EF4-FFF2-40B4-BE49-F238E27FC236}">
              <a16:creationId xmlns:a16="http://schemas.microsoft.com/office/drawing/2014/main" id="{00000000-0008-0000-0200-0000D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925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19" name="Imagen 218" descr="Ver detalle">
          <a:hlinkClick xmlns:r="http://schemas.openxmlformats.org/officeDocument/2006/relationships" r:id="rId172" tooltip="Ver detalle"/>
          <a:extLst>
            <a:ext uri="{FF2B5EF4-FFF2-40B4-BE49-F238E27FC236}">
              <a16:creationId xmlns:a16="http://schemas.microsoft.com/office/drawing/2014/main" id="{00000000-0008-0000-0200-0000D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459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20" name="Imagen 219" descr="http://webagentes.canaldirecto.com.ar/img/icons/delete.png">
          <a:hlinkClick xmlns:r="http://schemas.openxmlformats.org/officeDocument/2006/relationships" r:id="rId173" tooltip="Quitar este incidente de la liquidación"/>
          <a:extLst>
            <a:ext uri="{FF2B5EF4-FFF2-40B4-BE49-F238E27FC236}">
              <a16:creationId xmlns:a16="http://schemas.microsoft.com/office/drawing/2014/main" id="{00000000-0008-0000-0200-0000D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9459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21" name="Imagen 220" descr="Ver detalle">
          <a:hlinkClick xmlns:r="http://schemas.openxmlformats.org/officeDocument/2006/relationships" r:id="rId174" tooltip="Ver detalle"/>
          <a:extLst>
            <a:ext uri="{FF2B5EF4-FFF2-40B4-BE49-F238E27FC236}">
              <a16:creationId xmlns:a16="http://schemas.microsoft.com/office/drawing/2014/main" id="{00000000-0008-0000-0200-0000D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65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22" name="Imagen 221" descr="http://webagentes.canaldirecto.com.ar/img/icons/delete.png">
          <a:hlinkClick xmlns:r="http://schemas.openxmlformats.org/officeDocument/2006/relationships" r:id="rId175" tooltip="Quitar este incidente de la liquidación"/>
          <a:extLst>
            <a:ext uri="{FF2B5EF4-FFF2-40B4-BE49-F238E27FC236}">
              <a16:creationId xmlns:a16="http://schemas.microsoft.com/office/drawing/2014/main" id="{00000000-0008-0000-0200-0000D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965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23" name="Imagen 222" descr="Ver detalle">
          <a:hlinkClick xmlns:r="http://schemas.openxmlformats.org/officeDocument/2006/relationships" r:id="rId176" tooltip="Ver detalle"/>
          <a:extLst>
            <a:ext uri="{FF2B5EF4-FFF2-40B4-BE49-F238E27FC236}">
              <a16:creationId xmlns:a16="http://schemas.microsoft.com/office/drawing/2014/main" id="{00000000-0008-0000-0200-0000D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99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24" name="Imagen 223" descr="http://webagentes.canaldirecto.com.ar/img/icons/delete.png">
          <a:hlinkClick xmlns:r="http://schemas.openxmlformats.org/officeDocument/2006/relationships" r:id="rId177" tooltip="Quitar este incidente de la liquidación"/>
          <a:extLst>
            <a:ext uri="{FF2B5EF4-FFF2-40B4-BE49-F238E27FC236}">
              <a16:creationId xmlns:a16="http://schemas.microsoft.com/office/drawing/2014/main" id="{00000000-0008-0000-0200-0000E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999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25" name="Imagen 224" descr="Ver detalle">
          <a:hlinkClick xmlns:r="http://schemas.openxmlformats.org/officeDocument/2006/relationships" r:id="rId178" tooltip="Ver detalle"/>
          <a:extLst>
            <a:ext uri="{FF2B5EF4-FFF2-40B4-BE49-F238E27FC236}">
              <a16:creationId xmlns:a16="http://schemas.microsoft.com/office/drawing/2014/main" id="{00000000-0008-0000-0200-0000E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019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26" name="Imagen 225" descr="http://webagentes.canaldirecto.com.ar/img/icons/delete.png">
          <a:hlinkClick xmlns:r="http://schemas.openxmlformats.org/officeDocument/2006/relationships" r:id="rId179" tooltip="Quitar este incidente de la liquidación"/>
          <a:extLst>
            <a:ext uri="{FF2B5EF4-FFF2-40B4-BE49-F238E27FC236}">
              <a16:creationId xmlns:a16="http://schemas.microsoft.com/office/drawing/2014/main" id="{00000000-0008-0000-0200-0000E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019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27" name="Imagen 226" descr="Ver detalle">
          <a:hlinkClick xmlns:r="http://schemas.openxmlformats.org/officeDocument/2006/relationships" r:id="rId180" tooltip="Ver detalle"/>
          <a:extLst>
            <a:ext uri="{FF2B5EF4-FFF2-40B4-BE49-F238E27FC236}">
              <a16:creationId xmlns:a16="http://schemas.microsoft.com/office/drawing/2014/main" id="{00000000-0008-0000-0200-0000E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039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28" name="Imagen 227" descr="http://webagentes.canaldirecto.com.ar/img/icons/delete.png">
          <a:hlinkClick xmlns:r="http://schemas.openxmlformats.org/officeDocument/2006/relationships" r:id="rId181" tooltip="Quitar este incidente de la liquidación"/>
          <a:extLst>
            <a:ext uri="{FF2B5EF4-FFF2-40B4-BE49-F238E27FC236}">
              <a16:creationId xmlns:a16="http://schemas.microsoft.com/office/drawing/2014/main" id="{00000000-0008-0000-0200-0000E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039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29" name="Imagen 228" descr="Ver detalle">
          <a:hlinkClick xmlns:r="http://schemas.openxmlformats.org/officeDocument/2006/relationships" r:id="rId182" tooltip="Ver detalle"/>
          <a:extLst>
            <a:ext uri="{FF2B5EF4-FFF2-40B4-BE49-F238E27FC236}">
              <a16:creationId xmlns:a16="http://schemas.microsoft.com/office/drawing/2014/main" id="{00000000-0008-0000-0200-0000E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072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30" name="Imagen 229" descr="http://webagentes.canaldirecto.com.ar/img/icons/delete.png">
          <a:hlinkClick xmlns:r="http://schemas.openxmlformats.org/officeDocument/2006/relationships" r:id="rId183" tooltip="Quitar este incidente de la liquidación"/>
          <a:extLst>
            <a:ext uri="{FF2B5EF4-FFF2-40B4-BE49-F238E27FC236}">
              <a16:creationId xmlns:a16="http://schemas.microsoft.com/office/drawing/2014/main" id="{00000000-0008-0000-0200-0000E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072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31" name="Imagen 230" descr="Ver detalle">
          <a:hlinkClick xmlns:r="http://schemas.openxmlformats.org/officeDocument/2006/relationships" r:id="rId184" tooltip="Ver detalle"/>
          <a:extLst>
            <a:ext uri="{FF2B5EF4-FFF2-40B4-BE49-F238E27FC236}">
              <a16:creationId xmlns:a16="http://schemas.microsoft.com/office/drawing/2014/main" id="{00000000-0008-0000-0200-0000E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092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32" name="Imagen 231" descr="http://webagentes.canaldirecto.com.ar/img/icons/delete.png">
          <a:hlinkClick xmlns:r="http://schemas.openxmlformats.org/officeDocument/2006/relationships" r:id="rId185" tooltip="Quitar este incidente de la liquidación"/>
          <a:extLst>
            <a:ext uri="{FF2B5EF4-FFF2-40B4-BE49-F238E27FC236}">
              <a16:creationId xmlns:a16="http://schemas.microsoft.com/office/drawing/2014/main" id="{00000000-0008-0000-0200-0000E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092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33" name="Imagen 232" descr="Ver detalle">
          <a:hlinkClick xmlns:r="http://schemas.openxmlformats.org/officeDocument/2006/relationships" r:id="rId186" tooltip="Ver detalle"/>
          <a:extLst>
            <a:ext uri="{FF2B5EF4-FFF2-40B4-BE49-F238E27FC236}">
              <a16:creationId xmlns:a16="http://schemas.microsoft.com/office/drawing/2014/main" id="{00000000-0008-0000-02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12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34" name="Imagen 233" descr="http://webagentes.canaldirecto.com.ar/img/icons/delete.png">
          <a:hlinkClick xmlns:r="http://schemas.openxmlformats.org/officeDocument/2006/relationships" r:id="rId187" tooltip="Quitar este incidente de la liquidación"/>
          <a:extLst>
            <a:ext uri="{FF2B5EF4-FFF2-40B4-BE49-F238E27FC236}">
              <a16:creationId xmlns:a16="http://schemas.microsoft.com/office/drawing/2014/main" id="{00000000-0008-0000-0200-0000E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112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35" name="Imagen 234" descr="Ver detalle">
          <a:hlinkClick xmlns:r="http://schemas.openxmlformats.org/officeDocument/2006/relationships" r:id="rId188" tooltip="Ver detalle"/>
          <a:extLst>
            <a:ext uri="{FF2B5EF4-FFF2-40B4-BE49-F238E27FC236}">
              <a16:creationId xmlns:a16="http://schemas.microsoft.com/office/drawing/2014/main" id="{00000000-0008-0000-02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32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36" name="Imagen 235" descr="http://webagentes.canaldirecto.com.ar/img/icons/delete.png">
          <a:hlinkClick xmlns:r="http://schemas.openxmlformats.org/officeDocument/2006/relationships" r:id="rId189" tooltip="Quitar este incidente de la liquidación"/>
          <a:extLst>
            <a:ext uri="{FF2B5EF4-FFF2-40B4-BE49-F238E27FC236}">
              <a16:creationId xmlns:a16="http://schemas.microsoft.com/office/drawing/2014/main" id="{00000000-0008-0000-0200-0000E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132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37" name="Imagen 236" descr="Ver detalle">
          <a:hlinkClick xmlns:r="http://schemas.openxmlformats.org/officeDocument/2006/relationships" r:id="rId190" tooltip="Ver detalle"/>
          <a:extLst>
            <a:ext uri="{FF2B5EF4-FFF2-40B4-BE49-F238E27FC236}">
              <a16:creationId xmlns:a16="http://schemas.microsoft.com/office/drawing/2014/main" id="{00000000-0008-0000-0200-0000E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52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38" name="Imagen 237" descr="http://webagentes.canaldirecto.com.ar/img/icons/delete.png">
          <a:hlinkClick xmlns:r="http://schemas.openxmlformats.org/officeDocument/2006/relationships" r:id="rId191" tooltip="Quitar este incidente de la liquidación"/>
          <a:extLst>
            <a:ext uri="{FF2B5EF4-FFF2-40B4-BE49-F238E27FC236}">
              <a16:creationId xmlns:a16="http://schemas.microsoft.com/office/drawing/2014/main" id="{00000000-0008-0000-0200-0000E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152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39" name="Imagen 238" descr="Ver detalle">
          <a:hlinkClick xmlns:r="http://schemas.openxmlformats.org/officeDocument/2006/relationships" r:id="rId192" tooltip="Ver detalle"/>
          <a:extLst>
            <a:ext uri="{FF2B5EF4-FFF2-40B4-BE49-F238E27FC236}">
              <a16:creationId xmlns:a16="http://schemas.microsoft.com/office/drawing/2014/main" id="{00000000-0008-0000-0200-0000E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72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40" name="Imagen 239" descr="http://webagentes.canaldirecto.com.ar/img/icons/delete.png">
          <a:hlinkClick xmlns:r="http://schemas.openxmlformats.org/officeDocument/2006/relationships" r:id="rId193" tooltip="Quitar este incidente de la liquidación"/>
          <a:extLst>
            <a:ext uri="{FF2B5EF4-FFF2-40B4-BE49-F238E27FC236}">
              <a16:creationId xmlns:a16="http://schemas.microsoft.com/office/drawing/2014/main" id="{00000000-0008-0000-0200-0000F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172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41" name="Imagen 240" descr="Ver detalle">
          <a:hlinkClick xmlns:r="http://schemas.openxmlformats.org/officeDocument/2006/relationships" r:id="rId194" tooltip="Ver detalle"/>
          <a:extLst>
            <a:ext uri="{FF2B5EF4-FFF2-40B4-BE49-F238E27FC236}">
              <a16:creationId xmlns:a16="http://schemas.microsoft.com/office/drawing/2014/main" id="{00000000-0008-0000-0200-0000F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92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42" name="Imagen 241" descr="http://webagentes.canaldirecto.com.ar/img/icons/delete.png">
          <a:hlinkClick xmlns:r="http://schemas.openxmlformats.org/officeDocument/2006/relationships" r:id="rId195" tooltip="Quitar este incidente de la liquidación"/>
          <a:extLst>
            <a:ext uri="{FF2B5EF4-FFF2-40B4-BE49-F238E27FC236}">
              <a16:creationId xmlns:a16="http://schemas.microsoft.com/office/drawing/2014/main" id="{00000000-0008-0000-0200-0000F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192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43" name="Imagen 242" descr="Ver detalle">
          <a:hlinkClick xmlns:r="http://schemas.openxmlformats.org/officeDocument/2006/relationships" r:id="rId196" tooltip="Ver detalle"/>
          <a:extLst>
            <a:ext uri="{FF2B5EF4-FFF2-40B4-BE49-F238E27FC236}">
              <a16:creationId xmlns:a16="http://schemas.microsoft.com/office/drawing/2014/main" id="{00000000-0008-0000-0200-0000F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12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44" name="Imagen 243" descr="http://webagentes.canaldirecto.com.ar/img/icons/delete.png">
          <a:hlinkClick xmlns:r="http://schemas.openxmlformats.org/officeDocument/2006/relationships" r:id="rId197" tooltip="Quitar este incidente de la liquidación"/>
          <a:extLst>
            <a:ext uri="{FF2B5EF4-FFF2-40B4-BE49-F238E27FC236}">
              <a16:creationId xmlns:a16="http://schemas.microsoft.com/office/drawing/2014/main" id="{00000000-0008-0000-0200-0000F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212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45" name="Imagen 244" descr="Ver detalle">
          <a:hlinkClick xmlns:r="http://schemas.openxmlformats.org/officeDocument/2006/relationships" r:id="rId198" tooltip="Ver detalle"/>
          <a:extLst>
            <a:ext uri="{FF2B5EF4-FFF2-40B4-BE49-F238E27FC236}">
              <a16:creationId xmlns:a16="http://schemas.microsoft.com/office/drawing/2014/main" id="{00000000-0008-0000-0200-0000F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32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46" name="Imagen 245" descr="http://webagentes.canaldirecto.com.ar/img/icons/delete.png">
          <a:hlinkClick xmlns:r="http://schemas.openxmlformats.org/officeDocument/2006/relationships" r:id="rId199" tooltip="Quitar este incidente de la liquidación"/>
          <a:extLst>
            <a:ext uri="{FF2B5EF4-FFF2-40B4-BE49-F238E27FC236}">
              <a16:creationId xmlns:a16="http://schemas.microsoft.com/office/drawing/2014/main" id="{00000000-0008-0000-0200-0000F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232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47" name="Imagen 246" descr="Ver detalle">
          <a:hlinkClick xmlns:r="http://schemas.openxmlformats.org/officeDocument/2006/relationships" r:id="rId200" tooltip="Ver detalle"/>
          <a:extLst>
            <a:ext uri="{FF2B5EF4-FFF2-40B4-BE49-F238E27FC236}">
              <a16:creationId xmlns:a16="http://schemas.microsoft.com/office/drawing/2014/main" id="{00000000-0008-0000-0200-0000F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52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48" name="Imagen 247" descr="http://webagentes.canaldirecto.com.ar/img/icons/delete.png">
          <a:hlinkClick xmlns:r="http://schemas.openxmlformats.org/officeDocument/2006/relationships" r:id="rId201" tooltip="Quitar este incidente de la liquidación"/>
          <a:extLst>
            <a:ext uri="{FF2B5EF4-FFF2-40B4-BE49-F238E27FC236}">
              <a16:creationId xmlns:a16="http://schemas.microsoft.com/office/drawing/2014/main" id="{00000000-0008-0000-0200-0000F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252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49" name="Imagen 248" descr="Ver detalle">
          <a:hlinkClick xmlns:r="http://schemas.openxmlformats.org/officeDocument/2006/relationships" r:id="rId202" tooltip="Ver detalle"/>
          <a:extLst>
            <a:ext uri="{FF2B5EF4-FFF2-40B4-BE49-F238E27FC236}">
              <a16:creationId xmlns:a16="http://schemas.microsoft.com/office/drawing/2014/main" id="{00000000-0008-0000-0200-0000F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72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50" name="Imagen 249" descr="http://webagentes.canaldirecto.com.ar/img/icons/delete.png">
          <a:hlinkClick xmlns:r="http://schemas.openxmlformats.org/officeDocument/2006/relationships" r:id="rId203" tooltip="Quitar este incidente de la liquidación"/>
          <a:extLst>
            <a:ext uri="{FF2B5EF4-FFF2-40B4-BE49-F238E27FC236}">
              <a16:creationId xmlns:a16="http://schemas.microsoft.com/office/drawing/2014/main" id="{00000000-0008-0000-0200-0000F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272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51" name="Imagen 250" descr="Ver detalle">
          <a:hlinkClick xmlns:r="http://schemas.openxmlformats.org/officeDocument/2006/relationships" r:id="rId204" tooltip="Ver detalle"/>
          <a:extLst>
            <a:ext uri="{FF2B5EF4-FFF2-40B4-BE49-F238E27FC236}">
              <a16:creationId xmlns:a16="http://schemas.microsoft.com/office/drawing/2014/main" id="{00000000-0008-0000-0200-0000F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92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52" name="Imagen 251" descr="http://webagentes.canaldirecto.com.ar/img/icons/delete.png">
          <a:hlinkClick xmlns:r="http://schemas.openxmlformats.org/officeDocument/2006/relationships" r:id="rId205" tooltip="Quitar este incidente de la liquidación"/>
          <a:extLst>
            <a:ext uri="{FF2B5EF4-FFF2-40B4-BE49-F238E27FC236}">
              <a16:creationId xmlns:a16="http://schemas.microsoft.com/office/drawing/2014/main" id="{00000000-0008-0000-0200-0000F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292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53" name="Imagen 252" descr="Ver detalle">
          <a:hlinkClick xmlns:r="http://schemas.openxmlformats.org/officeDocument/2006/relationships" r:id="rId206" tooltip="Ver detalle"/>
          <a:extLst>
            <a:ext uri="{FF2B5EF4-FFF2-40B4-BE49-F238E27FC236}">
              <a16:creationId xmlns:a16="http://schemas.microsoft.com/office/drawing/2014/main" id="{00000000-0008-0000-0200-0000F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332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54" name="Imagen 253" descr="http://webagentes.canaldirecto.com.ar/img/icons/delete.png">
          <a:hlinkClick xmlns:r="http://schemas.openxmlformats.org/officeDocument/2006/relationships" r:id="rId207" tooltip="Quitar este incidente de la liquidación"/>
          <a:extLst>
            <a:ext uri="{FF2B5EF4-FFF2-40B4-BE49-F238E27FC236}">
              <a16:creationId xmlns:a16="http://schemas.microsoft.com/office/drawing/2014/main" id="{00000000-0008-0000-0200-0000F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332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55" name="Imagen 254" descr="Ver detalle">
          <a:hlinkClick xmlns:r="http://schemas.openxmlformats.org/officeDocument/2006/relationships" r:id="rId208" tooltip="Ver detalle"/>
          <a:extLst>
            <a:ext uri="{FF2B5EF4-FFF2-40B4-BE49-F238E27FC236}">
              <a16:creationId xmlns:a16="http://schemas.microsoft.com/office/drawing/2014/main" id="{00000000-0008-0000-0200-0000F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352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56" name="Imagen 255" descr="http://webagentes.canaldirecto.com.ar/img/icons/delete.png">
          <a:hlinkClick xmlns:r="http://schemas.openxmlformats.org/officeDocument/2006/relationships" r:id="rId209" tooltip="Quitar este incidente de la liquidación"/>
          <a:extLst>
            <a:ext uri="{FF2B5EF4-FFF2-40B4-BE49-F238E27FC236}">
              <a16:creationId xmlns:a16="http://schemas.microsoft.com/office/drawing/2014/main" id="{00000000-0008-0000-0200-00000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352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57" name="Imagen 256" descr="Ver detalle">
          <a:hlinkClick xmlns:r="http://schemas.openxmlformats.org/officeDocument/2006/relationships" r:id="rId210" tooltip="Ver detalle"/>
          <a:extLst>
            <a:ext uri="{FF2B5EF4-FFF2-40B4-BE49-F238E27FC236}">
              <a16:creationId xmlns:a16="http://schemas.microsoft.com/office/drawing/2014/main" id="{00000000-0008-0000-0200-00000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372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58" name="Imagen 257" descr="http://webagentes.canaldirecto.com.ar/img/icons/delete.png">
          <a:hlinkClick xmlns:r="http://schemas.openxmlformats.org/officeDocument/2006/relationships" r:id="rId211" tooltip="Quitar este incidente de la liquidación"/>
          <a:extLst>
            <a:ext uri="{FF2B5EF4-FFF2-40B4-BE49-F238E27FC236}">
              <a16:creationId xmlns:a16="http://schemas.microsoft.com/office/drawing/2014/main" id="{00000000-0008-0000-0200-00000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372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59" name="Imagen 258" descr="Ver detalle">
          <a:hlinkClick xmlns:r="http://schemas.openxmlformats.org/officeDocument/2006/relationships" r:id="rId212" tooltip="Ver detalle"/>
          <a:extLst>
            <a:ext uri="{FF2B5EF4-FFF2-40B4-BE49-F238E27FC236}">
              <a16:creationId xmlns:a16="http://schemas.microsoft.com/office/drawing/2014/main" id="{00000000-0008-0000-0200-00000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392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60" name="Imagen 259" descr="http://webagentes.canaldirecto.com.ar/img/icons/delete.png">
          <a:hlinkClick xmlns:r="http://schemas.openxmlformats.org/officeDocument/2006/relationships" r:id="rId213" tooltip="Quitar este incidente de la liquidación"/>
          <a:extLst>
            <a:ext uri="{FF2B5EF4-FFF2-40B4-BE49-F238E27FC236}">
              <a16:creationId xmlns:a16="http://schemas.microsoft.com/office/drawing/2014/main" id="{00000000-0008-0000-0200-00000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392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61" name="Imagen 260" descr="Ver detalle">
          <a:hlinkClick xmlns:r="http://schemas.openxmlformats.org/officeDocument/2006/relationships" r:id="rId214" tooltip="Ver detalle"/>
          <a:extLst>
            <a:ext uri="{FF2B5EF4-FFF2-40B4-BE49-F238E27FC236}">
              <a16:creationId xmlns:a16="http://schemas.microsoft.com/office/drawing/2014/main" id="{00000000-0008-0000-0200-00000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412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62" name="Imagen 261" descr="http://webagentes.canaldirecto.com.ar/img/icons/delete.png">
          <a:hlinkClick xmlns:r="http://schemas.openxmlformats.org/officeDocument/2006/relationships" r:id="rId215" tooltip="Quitar este incidente de la liquidación"/>
          <a:extLst>
            <a:ext uri="{FF2B5EF4-FFF2-40B4-BE49-F238E27FC236}">
              <a16:creationId xmlns:a16="http://schemas.microsoft.com/office/drawing/2014/main" id="{00000000-0008-0000-0200-00000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412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63" name="Imagen 262" descr="Ver detalle">
          <a:hlinkClick xmlns:r="http://schemas.openxmlformats.org/officeDocument/2006/relationships" r:id="rId216" tooltip="Ver detalle"/>
          <a:extLst>
            <a:ext uri="{FF2B5EF4-FFF2-40B4-BE49-F238E27FC236}">
              <a16:creationId xmlns:a16="http://schemas.microsoft.com/office/drawing/2014/main" id="{00000000-0008-0000-0200-00000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432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64" name="Imagen 263" descr="http://webagentes.canaldirecto.com.ar/img/icons/delete.png">
          <a:hlinkClick xmlns:r="http://schemas.openxmlformats.org/officeDocument/2006/relationships" r:id="rId217" tooltip="Quitar este incidente de la liquidación"/>
          <a:extLst>
            <a:ext uri="{FF2B5EF4-FFF2-40B4-BE49-F238E27FC236}">
              <a16:creationId xmlns:a16="http://schemas.microsoft.com/office/drawing/2014/main" id="{00000000-0008-0000-0200-00000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432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65" name="Imagen 264" descr="Ver detalle">
          <a:hlinkClick xmlns:r="http://schemas.openxmlformats.org/officeDocument/2006/relationships" r:id="rId218" tooltip="Ver detalle"/>
          <a:extLst>
            <a:ext uri="{FF2B5EF4-FFF2-40B4-BE49-F238E27FC236}">
              <a16:creationId xmlns:a16="http://schemas.microsoft.com/office/drawing/2014/main" id="{00000000-0008-0000-0200-00000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452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66" name="Imagen 265" descr="http://webagentes.canaldirecto.com.ar/img/icons/delete.png">
          <a:hlinkClick xmlns:r="http://schemas.openxmlformats.org/officeDocument/2006/relationships" r:id="rId219" tooltip="Quitar este incidente de la liquidación"/>
          <a:extLst>
            <a:ext uri="{FF2B5EF4-FFF2-40B4-BE49-F238E27FC236}">
              <a16:creationId xmlns:a16="http://schemas.microsoft.com/office/drawing/2014/main" id="{00000000-0008-0000-0200-00000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452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67" name="Imagen 266" descr="Ver detalle">
          <a:hlinkClick xmlns:r="http://schemas.openxmlformats.org/officeDocument/2006/relationships" r:id="rId220" tooltip="Ver detalle"/>
          <a:extLst>
            <a:ext uri="{FF2B5EF4-FFF2-40B4-BE49-F238E27FC236}">
              <a16:creationId xmlns:a16="http://schemas.microsoft.com/office/drawing/2014/main" id="{00000000-0008-0000-0200-00000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472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68" name="Imagen 267" descr="http://webagentes.canaldirecto.com.ar/img/icons/delete.png">
          <a:hlinkClick xmlns:r="http://schemas.openxmlformats.org/officeDocument/2006/relationships" r:id="rId221" tooltip="Quitar este incidente de la liquidación"/>
          <a:extLst>
            <a:ext uri="{FF2B5EF4-FFF2-40B4-BE49-F238E27FC236}">
              <a16:creationId xmlns:a16="http://schemas.microsoft.com/office/drawing/2014/main" id="{00000000-0008-0000-0200-00000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472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69" name="Imagen 268" descr="Ver detalle">
          <a:hlinkClick xmlns:r="http://schemas.openxmlformats.org/officeDocument/2006/relationships" r:id="rId222" tooltip="Ver detalle"/>
          <a:extLst>
            <a:ext uri="{FF2B5EF4-FFF2-40B4-BE49-F238E27FC236}">
              <a16:creationId xmlns:a16="http://schemas.microsoft.com/office/drawing/2014/main" id="{00000000-0008-0000-0200-00000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492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70" name="Imagen 269" descr="http://webagentes.canaldirecto.com.ar/img/icons/delete.png">
          <a:hlinkClick xmlns:r="http://schemas.openxmlformats.org/officeDocument/2006/relationships" r:id="rId223" tooltip="Quitar este incidente de la liquidación"/>
          <a:extLst>
            <a:ext uri="{FF2B5EF4-FFF2-40B4-BE49-F238E27FC236}">
              <a16:creationId xmlns:a16="http://schemas.microsoft.com/office/drawing/2014/main" id="{00000000-0008-0000-0200-00000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492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71" name="Imagen 270" descr="Ver detalle">
          <a:hlinkClick xmlns:r="http://schemas.openxmlformats.org/officeDocument/2006/relationships" r:id="rId224" tooltip="Ver detalle"/>
          <a:extLst>
            <a:ext uri="{FF2B5EF4-FFF2-40B4-BE49-F238E27FC236}">
              <a16:creationId xmlns:a16="http://schemas.microsoft.com/office/drawing/2014/main" id="{00000000-0008-0000-0200-00000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512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72" name="Imagen 271" descr="http://webagentes.canaldirecto.com.ar/img/icons/delete.png">
          <a:hlinkClick xmlns:r="http://schemas.openxmlformats.org/officeDocument/2006/relationships" r:id="rId225" tooltip="Quitar este incidente de la liquidación"/>
          <a:extLst>
            <a:ext uri="{FF2B5EF4-FFF2-40B4-BE49-F238E27FC236}">
              <a16:creationId xmlns:a16="http://schemas.microsoft.com/office/drawing/2014/main" id="{00000000-0008-0000-02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512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73" name="Imagen 272" descr="Ver detalle">
          <a:hlinkClick xmlns:r="http://schemas.openxmlformats.org/officeDocument/2006/relationships" r:id="rId226" tooltip="Ver detalle"/>
          <a:extLst>
            <a:ext uri="{FF2B5EF4-FFF2-40B4-BE49-F238E27FC236}">
              <a16:creationId xmlns:a16="http://schemas.microsoft.com/office/drawing/2014/main" id="{00000000-0008-0000-0200-00001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532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74" name="Imagen 273" descr="http://webagentes.canaldirecto.com.ar/img/icons/delete.png">
          <a:hlinkClick xmlns:r="http://schemas.openxmlformats.org/officeDocument/2006/relationships" r:id="rId227" tooltip="Quitar este incidente de la liquidación"/>
          <a:extLst>
            <a:ext uri="{FF2B5EF4-FFF2-40B4-BE49-F238E27FC236}">
              <a16:creationId xmlns:a16="http://schemas.microsoft.com/office/drawing/2014/main" id="{00000000-0008-0000-0200-00001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532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75" name="Imagen 274" descr="Ver detalle">
          <a:hlinkClick xmlns:r="http://schemas.openxmlformats.org/officeDocument/2006/relationships" r:id="rId228" tooltip="Ver detalle"/>
          <a:extLst>
            <a:ext uri="{FF2B5EF4-FFF2-40B4-BE49-F238E27FC236}">
              <a16:creationId xmlns:a16="http://schemas.microsoft.com/office/drawing/2014/main" id="{00000000-0008-0000-0200-00001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552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76" name="Imagen 275" descr="http://webagentes.canaldirecto.com.ar/img/icons/delete.png">
          <a:hlinkClick xmlns:r="http://schemas.openxmlformats.org/officeDocument/2006/relationships" r:id="rId229" tooltip="Quitar este incidente de la liquidación"/>
          <a:extLst>
            <a:ext uri="{FF2B5EF4-FFF2-40B4-BE49-F238E27FC236}">
              <a16:creationId xmlns:a16="http://schemas.microsoft.com/office/drawing/2014/main" id="{00000000-0008-0000-0200-00001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552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77" name="Imagen 276" descr="Ver detalle">
          <a:hlinkClick xmlns:r="http://schemas.openxmlformats.org/officeDocument/2006/relationships" r:id="rId58" tooltip="Ver detalle"/>
          <a:extLst>
            <a:ext uri="{FF2B5EF4-FFF2-40B4-BE49-F238E27FC236}">
              <a16:creationId xmlns:a16="http://schemas.microsoft.com/office/drawing/2014/main" id="{00000000-0008-0000-0200-00001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572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78" name="Imagen 277" descr="http://webagentes.canaldirecto.com.ar/img/icons/delete.png">
          <a:hlinkClick xmlns:r="http://schemas.openxmlformats.org/officeDocument/2006/relationships" r:id="rId59" tooltip="Quitar este incidente de la liquidación"/>
          <a:extLst>
            <a:ext uri="{FF2B5EF4-FFF2-40B4-BE49-F238E27FC236}">
              <a16:creationId xmlns:a16="http://schemas.microsoft.com/office/drawing/2014/main" id="{00000000-0008-0000-0200-00001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572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79" name="Imagen 278" descr="Ver detalle">
          <a:hlinkClick xmlns:r="http://schemas.openxmlformats.org/officeDocument/2006/relationships" r:id="rId230" tooltip="Ver detalle"/>
          <a:extLst>
            <a:ext uri="{FF2B5EF4-FFF2-40B4-BE49-F238E27FC236}">
              <a16:creationId xmlns:a16="http://schemas.microsoft.com/office/drawing/2014/main" id="{00000000-0008-0000-0200-00001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592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80" name="Imagen 279" descr="http://webagentes.canaldirecto.com.ar/img/icons/delete.png">
          <a:hlinkClick xmlns:r="http://schemas.openxmlformats.org/officeDocument/2006/relationships" r:id="rId231" tooltip="Quitar este incidente de la liquidación"/>
          <a:extLst>
            <a:ext uri="{FF2B5EF4-FFF2-40B4-BE49-F238E27FC236}">
              <a16:creationId xmlns:a16="http://schemas.microsoft.com/office/drawing/2014/main" id="{00000000-0008-0000-0200-00001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592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81" name="Imagen 280" descr="Ver detalle">
          <a:hlinkClick xmlns:r="http://schemas.openxmlformats.org/officeDocument/2006/relationships" r:id="rId232" tooltip="Ver detalle"/>
          <a:extLst>
            <a:ext uri="{FF2B5EF4-FFF2-40B4-BE49-F238E27FC236}">
              <a16:creationId xmlns:a16="http://schemas.microsoft.com/office/drawing/2014/main" id="{00000000-0008-0000-0200-00001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612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82" name="Imagen 281" descr="http://webagentes.canaldirecto.com.ar/img/icons/delete.png">
          <a:hlinkClick xmlns:r="http://schemas.openxmlformats.org/officeDocument/2006/relationships" r:id="rId233" tooltip="Quitar este incidente de la liquidación"/>
          <a:extLst>
            <a:ext uri="{FF2B5EF4-FFF2-40B4-BE49-F238E27FC236}">
              <a16:creationId xmlns:a16="http://schemas.microsoft.com/office/drawing/2014/main" id="{00000000-0008-0000-0200-00001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612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83" name="Imagen 282" descr="Ver detalle">
          <a:hlinkClick xmlns:r="http://schemas.openxmlformats.org/officeDocument/2006/relationships" r:id="rId234" tooltip="Ver detalle"/>
          <a:extLst>
            <a:ext uri="{FF2B5EF4-FFF2-40B4-BE49-F238E27FC236}">
              <a16:creationId xmlns:a16="http://schemas.microsoft.com/office/drawing/2014/main" id="{00000000-0008-0000-0200-00001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632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84" name="Imagen 283" descr="http://webagentes.canaldirecto.com.ar/img/icons/delete.png">
          <a:hlinkClick xmlns:r="http://schemas.openxmlformats.org/officeDocument/2006/relationships" r:id="rId235" tooltip="Quitar este incidente de la liquidación"/>
          <a:extLst>
            <a:ext uri="{FF2B5EF4-FFF2-40B4-BE49-F238E27FC236}">
              <a16:creationId xmlns:a16="http://schemas.microsoft.com/office/drawing/2014/main" id="{00000000-0008-0000-0200-00001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632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85" name="Imagen 284" descr="Ver detalle">
          <a:hlinkClick xmlns:r="http://schemas.openxmlformats.org/officeDocument/2006/relationships" r:id="rId236" tooltip="Ver detalle"/>
          <a:extLst>
            <a:ext uri="{FF2B5EF4-FFF2-40B4-BE49-F238E27FC236}">
              <a16:creationId xmlns:a16="http://schemas.microsoft.com/office/drawing/2014/main" id="{00000000-0008-0000-0200-00001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652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86" name="Imagen 285" descr="http://webagentes.canaldirecto.com.ar/img/icons/delete.png">
          <a:hlinkClick xmlns:r="http://schemas.openxmlformats.org/officeDocument/2006/relationships" r:id="rId237" tooltip="Quitar este incidente de la liquidación"/>
          <a:extLst>
            <a:ext uri="{FF2B5EF4-FFF2-40B4-BE49-F238E27FC236}">
              <a16:creationId xmlns:a16="http://schemas.microsoft.com/office/drawing/2014/main" id="{00000000-0008-0000-0200-00001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652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87" name="Imagen 286" descr="Ver detalle">
          <a:hlinkClick xmlns:r="http://schemas.openxmlformats.org/officeDocument/2006/relationships" r:id="rId238" tooltip="Ver detalle"/>
          <a:extLst>
            <a:ext uri="{FF2B5EF4-FFF2-40B4-BE49-F238E27FC236}">
              <a16:creationId xmlns:a16="http://schemas.microsoft.com/office/drawing/2014/main" id="{F154B2BC-D789-4075-83CD-C625E3345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93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88" name="Imagen 287" descr="Ver detalle">
          <a:hlinkClick xmlns:r="http://schemas.openxmlformats.org/officeDocument/2006/relationships" r:id="rId239" tooltip="Ver detalle"/>
          <a:extLst>
            <a:ext uri="{FF2B5EF4-FFF2-40B4-BE49-F238E27FC236}">
              <a16:creationId xmlns:a16="http://schemas.microsoft.com/office/drawing/2014/main" id="{6B5CDCEB-93D5-4077-8526-8BB99C8B5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13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89" name="Imagen 288" descr="Ver detalle">
          <a:hlinkClick xmlns:r="http://schemas.openxmlformats.org/officeDocument/2006/relationships" r:id="rId240" tooltip="Ver detalle"/>
          <a:extLst>
            <a:ext uri="{FF2B5EF4-FFF2-40B4-BE49-F238E27FC236}">
              <a16:creationId xmlns:a16="http://schemas.microsoft.com/office/drawing/2014/main" id="{4089CF71-1EBB-4ADF-AC71-C28D88F1A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33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90" name="Imagen 289" descr="Ver detalle">
          <a:hlinkClick xmlns:r="http://schemas.openxmlformats.org/officeDocument/2006/relationships" r:id="rId241" tooltip="Ver detalle"/>
          <a:extLst>
            <a:ext uri="{FF2B5EF4-FFF2-40B4-BE49-F238E27FC236}">
              <a16:creationId xmlns:a16="http://schemas.microsoft.com/office/drawing/2014/main" id="{83405D35-A3F2-46F6-8D44-2C44A2F08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53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91" name="Imagen 290" descr="Ver detalle">
          <a:hlinkClick xmlns:r="http://schemas.openxmlformats.org/officeDocument/2006/relationships" r:id="rId242" tooltip="Ver detalle"/>
          <a:extLst>
            <a:ext uri="{FF2B5EF4-FFF2-40B4-BE49-F238E27FC236}">
              <a16:creationId xmlns:a16="http://schemas.microsoft.com/office/drawing/2014/main" id="{5C1E2C25-B259-4969-BD62-ECE7BFE57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73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92" name="Imagen 291" descr="Ver detalle">
          <a:hlinkClick xmlns:r="http://schemas.openxmlformats.org/officeDocument/2006/relationships" r:id="rId243" tooltip="Ver detalle"/>
          <a:extLst>
            <a:ext uri="{FF2B5EF4-FFF2-40B4-BE49-F238E27FC236}">
              <a16:creationId xmlns:a16="http://schemas.microsoft.com/office/drawing/2014/main" id="{B4D51793-9918-49F6-A061-65E0C89D2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93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93" name="Imagen 292" descr="Ver detalle">
          <a:hlinkClick xmlns:r="http://schemas.openxmlformats.org/officeDocument/2006/relationships" r:id="rId244" tooltip="Ver detalle"/>
          <a:extLst>
            <a:ext uri="{FF2B5EF4-FFF2-40B4-BE49-F238E27FC236}">
              <a16:creationId xmlns:a16="http://schemas.microsoft.com/office/drawing/2014/main" id="{B8C9989A-6FAB-44E8-9308-E0C09CABF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13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94" name="Imagen 293" descr="Ver detalle">
          <a:hlinkClick xmlns:r="http://schemas.openxmlformats.org/officeDocument/2006/relationships" r:id="rId245" tooltip="Ver detalle"/>
          <a:extLst>
            <a:ext uri="{FF2B5EF4-FFF2-40B4-BE49-F238E27FC236}">
              <a16:creationId xmlns:a16="http://schemas.microsoft.com/office/drawing/2014/main" id="{F2805FFD-64AA-4DD7-9B17-689B4CF24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33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95" name="Imagen 294" descr="Ver detalle">
          <a:hlinkClick xmlns:r="http://schemas.openxmlformats.org/officeDocument/2006/relationships" r:id="rId246" tooltip="Ver detalle"/>
          <a:extLst>
            <a:ext uri="{FF2B5EF4-FFF2-40B4-BE49-F238E27FC236}">
              <a16:creationId xmlns:a16="http://schemas.microsoft.com/office/drawing/2014/main" id="{69991617-303D-49F9-ABDD-D931215CD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53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96" name="Imagen 295" descr="Ver detalle">
          <a:hlinkClick xmlns:r="http://schemas.openxmlformats.org/officeDocument/2006/relationships" r:id="rId247" tooltip="Ver detalle"/>
          <a:extLst>
            <a:ext uri="{FF2B5EF4-FFF2-40B4-BE49-F238E27FC236}">
              <a16:creationId xmlns:a16="http://schemas.microsoft.com/office/drawing/2014/main" id="{EF1D3EB6-5FB5-48AA-A3CF-BD285DACC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73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97" name="Imagen 296" descr="Ver detalle">
          <a:hlinkClick xmlns:r="http://schemas.openxmlformats.org/officeDocument/2006/relationships" r:id="rId248" tooltip="Ver detalle"/>
          <a:extLst>
            <a:ext uri="{FF2B5EF4-FFF2-40B4-BE49-F238E27FC236}">
              <a16:creationId xmlns:a16="http://schemas.microsoft.com/office/drawing/2014/main" id="{D7108562-19A6-46A2-B3FC-31C37A5F7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93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98" name="Imagen 297" descr="Ver detalle">
          <a:hlinkClick xmlns:r="http://schemas.openxmlformats.org/officeDocument/2006/relationships" r:id="rId249" tooltip="Ver detalle"/>
          <a:extLst>
            <a:ext uri="{FF2B5EF4-FFF2-40B4-BE49-F238E27FC236}">
              <a16:creationId xmlns:a16="http://schemas.microsoft.com/office/drawing/2014/main" id="{D8FABF5B-12DE-49D0-BDB6-D80B6AE1C1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1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99" name="Imagen 298" descr="Ver detalle">
          <a:hlinkClick xmlns:r="http://schemas.openxmlformats.org/officeDocument/2006/relationships" r:id="rId250" tooltip="Ver detalle"/>
          <a:extLst>
            <a:ext uri="{FF2B5EF4-FFF2-40B4-BE49-F238E27FC236}">
              <a16:creationId xmlns:a16="http://schemas.microsoft.com/office/drawing/2014/main" id="{36FD8775-2548-413B-9798-8F85EAA9F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33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00" name="Imagen 299" descr="Ver detalle">
          <a:hlinkClick xmlns:r="http://schemas.openxmlformats.org/officeDocument/2006/relationships" r:id="rId251" tooltip="Ver detalle"/>
          <a:extLst>
            <a:ext uri="{FF2B5EF4-FFF2-40B4-BE49-F238E27FC236}">
              <a16:creationId xmlns:a16="http://schemas.microsoft.com/office/drawing/2014/main" id="{ADD128EF-BB3D-4806-8FB1-40B7A1633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53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01" name="Imagen 300" descr="Ver detalle">
          <a:hlinkClick xmlns:r="http://schemas.openxmlformats.org/officeDocument/2006/relationships" r:id="rId252" tooltip="Ver detalle"/>
          <a:extLst>
            <a:ext uri="{FF2B5EF4-FFF2-40B4-BE49-F238E27FC236}">
              <a16:creationId xmlns:a16="http://schemas.microsoft.com/office/drawing/2014/main" id="{F002C3DF-B4C8-4A2E-8D4C-0A4FB9968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73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02" name="Imagen 301" descr="Ver detalle">
          <a:hlinkClick xmlns:r="http://schemas.openxmlformats.org/officeDocument/2006/relationships" r:id="rId253" tooltip="Ver detalle"/>
          <a:extLst>
            <a:ext uri="{FF2B5EF4-FFF2-40B4-BE49-F238E27FC236}">
              <a16:creationId xmlns:a16="http://schemas.microsoft.com/office/drawing/2014/main" id="{72518DA4-5194-4FD5-99EC-15BB01A31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93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03" name="Imagen 302" descr="Ver detalle">
          <a:hlinkClick xmlns:r="http://schemas.openxmlformats.org/officeDocument/2006/relationships" r:id="rId254" tooltip="Ver detalle"/>
          <a:extLst>
            <a:ext uri="{FF2B5EF4-FFF2-40B4-BE49-F238E27FC236}">
              <a16:creationId xmlns:a16="http://schemas.microsoft.com/office/drawing/2014/main" id="{44750943-27E0-433E-955B-FCFAFBF3B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13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04" name="Imagen 303" descr="Ver detalle">
          <a:hlinkClick xmlns:r="http://schemas.openxmlformats.org/officeDocument/2006/relationships" r:id="rId255" tooltip="Ver detalle"/>
          <a:extLst>
            <a:ext uri="{FF2B5EF4-FFF2-40B4-BE49-F238E27FC236}">
              <a16:creationId xmlns:a16="http://schemas.microsoft.com/office/drawing/2014/main" id="{8331F015-ECA1-4B14-95FF-0AB95F73E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33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05" name="Imagen 304" descr="Ver detalle">
          <a:hlinkClick xmlns:r="http://schemas.openxmlformats.org/officeDocument/2006/relationships" r:id="rId256" tooltip="Ver detalle"/>
          <a:extLst>
            <a:ext uri="{FF2B5EF4-FFF2-40B4-BE49-F238E27FC236}">
              <a16:creationId xmlns:a16="http://schemas.microsoft.com/office/drawing/2014/main" id="{70B51832-9A30-44F2-ABBC-7E5644D30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53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06" name="Imagen 305" descr="Ver detalle">
          <a:hlinkClick xmlns:r="http://schemas.openxmlformats.org/officeDocument/2006/relationships" r:id="rId257" tooltip="Ver detalle"/>
          <a:extLst>
            <a:ext uri="{FF2B5EF4-FFF2-40B4-BE49-F238E27FC236}">
              <a16:creationId xmlns:a16="http://schemas.microsoft.com/office/drawing/2014/main" id="{4BF04E48-60A7-43A2-A909-167E5AFC6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73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07" name="Imagen 306" descr="Ver detalle">
          <a:hlinkClick xmlns:r="http://schemas.openxmlformats.org/officeDocument/2006/relationships" r:id="rId258" tooltip="Ver detalle"/>
          <a:extLst>
            <a:ext uri="{FF2B5EF4-FFF2-40B4-BE49-F238E27FC236}">
              <a16:creationId xmlns:a16="http://schemas.microsoft.com/office/drawing/2014/main" id="{703F0196-3882-421F-AD8D-E381BCA90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93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08" name="Imagen 307" descr="Ver detalle">
          <a:hlinkClick xmlns:r="http://schemas.openxmlformats.org/officeDocument/2006/relationships" r:id="rId259" tooltip="Ver detalle"/>
          <a:extLst>
            <a:ext uri="{FF2B5EF4-FFF2-40B4-BE49-F238E27FC236}">
              <a16:creationId xmlns:a16="http://schemas.microsoft.com/office/drawing/2014/main" id="{3DE0B79E-4633-484E-8013-2952995216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013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09" name="Imagen 308" descr="Ver detalle">
          <a:hlinkClick xmlns:r="http://schemas.openxmlformats.org/officeDocument/2006/relationships" r:id="rId260" tooltip="Ver detalle"/>
          <a:extLst>
            <a:ext uri="{FF2B5EF4-FFF2-40B4-BE49-F238E27FC236}">
              <a16:creationId xmlns:a16="http://schemas.microsoft.com/office/drawing/2014/main" id="{2E27A292-4D3A-4596-889B-D906F4FD1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033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10" name="Imagen 309" descr="Ver detalle">
          <a:hlinkClick xmlns:r="http://schemas.openxmlformats.org/officeDocument/2006/relationships" r:id="rId261" tooltip="Ver detalle"/>
          <a:extLst>
            <a:ext uri="{FF2B5EF4-FFF2-40B4-BE49-F238E27FC236}">
              <a16:creationId xmlns:a16="http://schemas.microsoft.com/office/drawing/2014/main" id="{144912A4-AD2E-487C-B0D5-1B52329F7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053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11" name="Imagen 310" descr="Ver detalle">
          <a:hlinkClick xmlns:r="http://schemas.openxmlformats.org/officeDocument/2006/relationships" r:id="rId262" tooltip="Ver detalle"/>
          <a:extLst>
            <a:ext uri="{FF2B5EF4-FFF2-40B4-BE49-F238E27FC236}">
              <a16:creationId xmlns:a16="http://schemas.microsoft.com/office/drawing/2014/main" id="{8E70E666-79E1-42CD-B4BC-00B47A287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093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12" name="Imagen 311" descr="Ver detalle">
          <a:hlinkClick xmlns:r="http://schemas.openxmlformats.org/officeDocument/2006/relationships" r:id="rId263" tooltip="Ver detalle"/>
          <a:extLst>
            <a:ext uri="{FF2B5EF4-FFF2-40B4-BE49-F238E27FC236}">
              <a16:creationId xmlns:a16="http://schemas.microsoft.com/office/drawing/2014/main" id="{BB921613-E9F7-4C9A-B7D0-493393247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13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13" name="Imagen 312" descr="Ver detalle">
          <a:hlinkClick xmlns:r="http://schemas.openxmlformats.org/officeDocument/2006/relationships" r:id="rId264" tooltip="Ver detalle"/>
          <a:extLst>
            <a:ext uri="{FF2B5EF4-FFF2-40B4-BE49-F238E27FC236}">
              <a16:creationId xmlns:a16="http://schemas.microsoft.com/office/drawing/2014/main" id="{017BF860-91CE-48E7-A10A-3D9811508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3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14" name="Imagen 313" descr="Ver detalle">
          <a:hlinkClick xmlns:r="http://schemas.openxmlformats.org/officeDocument/2006/relationships" r:id="rId265" tooltip="Ver detalle"/>
          <a:extLst>
            <a:ext uri="{FF2B5EF4-FFF2-40B4-BE49-F238E27FC236}">
              <a16:creationId xmlns:a16="http://schemas.microsoft.com/office/drawing/2014/main" id="{B6646FA7-A31A-4B63-867C-BD808FDE5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53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15" name="Imagen 314" descr="Ver detalle">
          <a:hlinkClick xmlns:r="http://schemas.openxmlformats.org/officeDocument/2006/relationships" r:id="rId266" tooltip="Ver detalle"/>
          <a:extLst>
            <a:ext uri="{FF2B5EF4-FFF2-40B4-BE49-F238E27FC236}">
              <a16:creationId xmlns:a16="http://schemas.microsoft.com/office/drawing/2014/main" id="{C68C100F-E96B-468D-B34D-9F5AA63F5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86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16" name="Imagen 315" descr="Ver detalle">
          <a:hlinkClick xmlns:r="http://schemas.openxmlformats.org/officeDocument/2006/relationships" r:id="rId267" tooltip="Ver detalle"/>
          <a:extLst>
            <a:ext uri="{FF2B5EF4-FFF2-40B4-BE49-F238E27FC236}">
              <a16:creationId xmlns:a16="http://schemas.microsoft.com/office/drawing/2014/main" id="{5D845BC9-FE19-4100-86FC-8E0F5D937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06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17" name="Imagen 316" descr="Ver detalle">
          <a:hlinkClick xmlns:r="http://schemas.openxmlformats.org/officeDocument/2006/relationships" r:id="rId268" tooltip="Ver detalle"/>
          <a:extLst>
            <a:ext uri="{FF2B5EF4-FFF2-40B4-BE49-F238E27FC236}">
              <a16:creationId xmlns:a16="http://schemas.microsoft.com/office/drawing/2014/main" id="{9791A3B3-0D85-4CD3-906B-02ABDD72E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26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18" name="Imagen 317" descr="Ver detalle">
          <a:hlinkClick xmlns:r="http://schemas.openxmlformats.org/officeDocument/2006/relationships" r:id="rId269" tooltip="Ver detalle"/>
          <a:extLst>
            <a:ext uri="{FF2B5EF4-FFF2-40B4-BE49-F238E27FC236}">
              <a16:creationId xmlns:a16="http://schemas.microsoft.com/office/drawing/2014/main" id="{5233D785-0403-431B-819F-7D7FC24FD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46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19" name="Imagen 318" descr="Ver detalle">
          <a:hlinkClick xmlns:r="http://schemas.openxmlformats.org/officeDocument/2006/relationships" r:id="rId270" tooltip="Ver detalle"/>
          <a:extLst>
            <a:ext uri="{FF2B5EF4-FFF2-40B4-BE49-F238E27FC236}">
              <a16:creationId xmlns:a16="http://schemas.microsoft.com/office/drawing/2014/main" id="{330F5A7D-252B-4DB3-A81B-28EB41F23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66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20" name="Imagen 319" descr="Ver detalle">
          <a:hlinkClick xmlns:r="http://schemas.openxmlformats.org/officeDocument/2006/relationships" r:id="rId271" tooltip="Ver detalle"/>
          <a:extLst>
            <a:ext uri="{FF2B5EF4-FFF2-40B4-BE49-F238E27FC236}">
              <a16:creationId xmlns:a16="http://schemas.microsoft.com/office/drawing/2014/main" id="{E186C289-7915-45C7-AAC2-54629B988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86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21" name="Imagen 320" descr="Ver detalle">
          <a:hlinkClick xmlns:r="http://schemas.openxmlformats.org/officeDocument/2006/relationships" r:id="rId272" tooltip="Ver detalle"/>
          <a:extLst>
            <a:ext uri="{FF2B5EF4-FFF2-40B4-BE49-F238E27FC236}">
              <a16:creationId xmlns:a16="http://schemas.microsoft.com/office/drawing/2014/main" id="{C9301F67-D311-44E7-9A38-D0EBFAC17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306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22" name="Imagen 321" descr="Ver detalle">
          <a:hlinkClick xmlns:r="http://schemas.openxmlformats.org/officeDocument/2006/relationships" r:id="rId273" tooltip="Ver detalle"/>
          <a:extLst>
            <a:ext uri="{FF2B5EF4-FFF2-40B4-BE49-F238E27FC236}">
              <a16:creationId xmlns:a16="http://schemas.microsoft.com/office/drawing/2014/main" id="{38F5D0F8-793C-4D9A-A9F8-91F3580D0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3269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23" name="Imagen 322" descr="Ver detalle">
          <a:hlinkClick xmlns:r="http://schemas.openxmlformats.org/officeDocument/2006/relationships" r:id="rId274" tooltip="Ver detalle"/>
          <a:extLst>
            <a:ext uri="{FF2B5EF4-FFF2-40B4-BE49-F238E27FC236}">
              <a16:creationId xmlns:a16="http://schemas.microsoft.com/office/drawing/2014/main" id="{8FD77F4F-1E48-47B3-BEA9-737643AAE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346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24" name="Imagen 323" descr="Ver detalle">
          <a:hlinkClick xmlns:r="http://schemas.openxmlformats.org/officeDocument/2006/relationships" r:id="rId275" tooltip="Ver detalle"/>
          <a:extLst>
            <a:ext uri="{FF2B5EF4-FFF2-40B4-BE49-F238E27FC236}">
              <a16:creationId xmlns:a16="http://schemas.microsoft.com/office/drawing/2014/main" id="{3C4E58C4-E9C9-470F-835F-15747BAC3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366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</xdr:row>
      <xdr:rowOff>0</xdr:rowOff>
    </xdr:from>
    <xdr:to>
      <xdr:col>13</xdr:col>
      <xdr:colOff>0</xdr:colOff>
      <xdr:row>38</xdr:row>
      <xdr:rowOff>110490</xdr:rowOff>
    </xdr:to>
    <xdr:pic>
      <xdr:nvPicPr>
        <xdr:cNvPr id="325" name="Imagen 324" descr="Ver detalle">
          <a:hlinkClick xmlns:r="http://schemas.openxmlformats.org/officeDocument/2006/relationships" r:id="rId276" tooltip="Ver detalle"/>
          <a:extLst>
            <a:ext uri="{FF2B5EF4-FFF2-40B4-BE49-F238E27FC236}">
              <a16:creationId xmlns:a16="http://schemas.microsoft.com/office/drawing/2014/main" id="{D7FF29D3-A2E6-4B03-8AC1-7F0FFD3D0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4164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13</xdr:col>
      <xdr:colOff>0</xdr:colOff>
      <xdr:row>35</xdr:row>
      <xdr:rowOff>114300</xdr:rowOff>
    </xdr:to>
    <xdr:pic>
      <xdr:nvPicPr>
        <xdr:cNvPr id="326" name="Imagen 325" descr="Ver detalle">
          <a:hlinkClick xmlns:r="http://schemas.openxmlformats.org/officeDocument/2006/relationships" r:id="rId277" tooltip="Ver detalle"/>
          <a:extLst>
            <a:ext uri="{FF2B5EF4-FFF2-40B4-BE49-F238E27FC236}">
              <a16:creationId xmlns:a16="http://schemas.microsoft.com/office/drawing/2014/main" id="{C05ED8D1-FEC9-466E-A9B2-C5A124F67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436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</xdr:row>
      <xdr:rowOff>0</xdr:rowOff>
    </xdr:from>
    <xdr:to>
      <xdr:col>13</xdr:col>
      <xdr:colOff>0</xdr:colOff>
      <xdr:row>32</xdr:row>
      <xdr:rowOff>114300</xdr:rowOff>
    </xdr:to>
    <xdr:pic>
      <xdr:nvPicPr>
        <xdr:cNvPr id="327" name="Imagen 326" descr="Ver detalle">
          <a:hlinkClick xmlns:r="http://schemas.openxmlformats.org/officeDocument/2006/relationships" r:id="rId278" tooltip="Ver detalle"/>
          <a:extLst>
            <a:ext uri="{FF2B5EF4-FFF2-40B4-BE49-F238E27FC236}">
              <a16:creationId xmlns:a16="http://schemas.microsoft.com/office/drawing/2014/main" id="{545D1E0A-05B6-4BC9-A822-67C855B18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469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</xdr:row>
      <xdr:rowOff>0</xdr:rowOff>
    </xdr:from>
    <xdr:to>
      <xdr:col>13</xdr:col>
      <xdr:colOff>0</xdr:colOff>
      <xdr:row>33</xdr:row>
      <xdr:rowOff>114300</xdr:rowOff>
    </xdr:to>
    <xdr:pic>
      <xdr:nvPicPr>
        <xdr:cNvPr id="328" name="Imagen 327" descr="Ver detalle">
          <a:hlinkClick xmlns:r="http://schemas.openxmlformats.org/officeDocument/2006/relationships" r:id="rId279" tooltip="Ver detalle"/>
          <a:extLst>
            <a:ext uri="{FF2B5EF4-FFF2-40B4-BE49-F238E27FC236}">
              <a16:creationId xmlns:a16="http://schemas.microsoft.com/office/drawing/2014/main" id="{CD259FF5-F9DE-46FC-9AB9-920114E93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489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</xdr:row>
      <xdr:rowOff>0</xdr:rowOff>
    </xdr:from>
    <xdr:to>
      <xdr:col>13</xdr:col>
      <xdr:colOff>0</xdr:colOff>
      <xdr:row>34</xdr:row>
      <xdr:rowOff>114300</xdr:rowOff>
    </xdr:to>
    <xdr:pic>
      <xdr:nvPicPr>
        <xdr:cNvPr id="329" name="Imagen 328" descr="Ver detalle">
          <a:hlinkClick xmlns:r="http://schemas.openxmlformats.org/officeDocument/2006/relationships" r:id="rId280" tooltip="Ver detalle"/>
          <a:extLst>
            <a:ext uri="{FF2B5EF4-FFF2-40B4-BE49-F238E27FC236}">
              <a16:creationId xmlns:a16="http://schemas.microsoft.com/office/drawing/2014/main" id="{555D9B1D-094A-4621-93F6-EA745252F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509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13</xdr:col>
      <xdr:colOff>0</xdr:colOff>
      <xdr:row>26</xdr:row>
      <xdr:rowOff>114300</xdr:rowOff>
    </xdr:to>
    <xdr:pic>
      <xdr:nvPicPr>
        <xdr:cNvPr id="330" name="Imagen 329" descr="Ver detalle">
          <a:hlinkClick xmlns:r="http://schemas.openxmlformats.org/officeDocument/2006/relationships" r:id="rId281" tooltip="Ver detalle"/>
          <a:extLst>
            <a:ext uri="{FF2B5EF4-FFF2-40B4-BE49-F238E27FC236}">
              <a16:creationId xmlns:a16="http://schemas.microsoft.com/office/drawing/2014/main" id="{B1CD9431-1E91-4A5C-BDC6-085FBB2C5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529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13</xdr:col>
      <xdr:colOff>0</xdr:colOff>
      <xdr:row>28</xdr:row>
      <xdr:rowOff>114300</xdr:rowOff>
    </xdr:to>
    <xdr:pic>
      <xdr:nvPicPr>
        <xdr:cNvPr id="331" name="Imagen 330" descr="Ver detalle">
          <a:hlinkClick xmlns:r="http://schemas.openxmlformats.org/officeDocument/2006/relationships" r:id="rId282" tooltip="Ver detalle"/>
          <a:extLst>
            <a:ext uri="{FF2B5EF4-FFF2-40B4-BE49-F238E27FC236}">
              <a16:creationId xmlns:a16="http://schemas.microsoft.com/office/drawing/2014/main" id="{28F4A80D-A295-4E03-BB8D-3F8C528E0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549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</xdr:row>
      <xdr:rowOff>0</xdr:rowOff>
    </xdr:from>
    <xdr:to>
      <xdr:col>13</xdr:col>
      <xdr:colOff>0</xdr:colOff>
      <xdr:row>27</xdr:row>
      <xdr:rowOff>114300</xdr:rowOff>
    </xdr:to>
    <xdr:pic>
      <xdr:nvPicPr>
        <xdr:cNvPr id="332" name="Imagen 331" descr="Ver detalle">
          <a:hlinkClick xmlns:r="http://schemas.openxmlformats.org/officeDocument/2006/relationships" r:id="rId283" tooltip="Ver detalle"/>
          <a:extLst>
            <a:ext uri="{FF2B5EF4-FFF2-40B4-BE49-F238E27FC236}">
              <a16:creationId xmlns:a16="http://schemas.microsoft.com/office/drawing/2014/main" id="{C9137B1F-CC5E-4295-98F4-DE46027A4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569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</xdr:row>
      <xdr:rowOff>0</xdr:rowOff>
    </xdr:from>
    <xdr:to>
      <xdr:col>13</xdr:col>
      <xdr:colOff>0</xdr:colOff>
      <xdr:row>23</xdr:row>
      <xdr:rowOff>114300</xdr:rowOff>
    </xdr:to>
    <xdr:pic>
      <xdr:nvPicPr>
        <xdr:cNvPr id="333" name="Imagen 332" descr="Ver detalle">
          <a:hlinkClick xmlns:r="http://schemas.openxmlformats.org/officeDocument/2006/relationships" r:id="rId284" tooltip="Ver detalle"/>
          <a:extLst>
            <a:ext uri="{FF2B5EF4-FFF2-40B4-BE49-F238E27FC236}">
              <a16:creationId xmlns:a16="http://schemas.microsoft.com/office/drawing/2014/main" id="{4D397C36-ED6D-4B95-A984-E5406A75A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589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</xdr:row>
      <xdr:rowOff>0</xdr:rowOff>
    </xdr:from>
    <xdr:to>
      <xdr:col>13</xdr:col>
      <xdr:colOff>0</xdr:colOff>
      <xdr:row>54</xdr:row>
      <xdr:rowOff>114300</xdr:rowOff>
    </xdr:to>
    <xdr:pic>
      <xdr:nvPicPr>
        <xdr:cNvPr id="334" name="Imagen 333" descr="Ver detalle">
          <a:hlinkClick xmlns:r="http://schemas.openxmlformats.org/officeDocument/2006/relationships" r:id="rId285" tooltip="Ver detalle"/>
          <a:extLst>
            <a:ext uri="{FF2B5EF4-FFF2-40B4-BE49-F238E27FC236}">
              <a16:creationId xmlns:a16="http://schemas.microsoft.com/office/drawing/2014/main" id="{5A42C086-1D52-4C4C-9179-8973BEB9F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609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</xdr:row>
      <xdr:rowOff>0</xdr:rowOff>
    </xdr:from>
    <xdr:to>
      <xdr:col>13</xdr:col>
      <xdr:colOff>0</xdr:colOff>
      <xdr:row>53</xdr:row>
      <xdr:rowOff>114300</xdr:rowOff>
    </xdr:to>
    <xdr:pic>
      <xdr:nvPicPr>
        <xdr:cNvPr id="335" name="Imagen 334" descr="Ver detalle">
          <a:hlinkClick xmlns:r="http://schemas.openxmlformats.org/officeDocument/2006/relationships" r:id="rId286" tooltip="Ver detalle"/>
          <a:extLst>
            <a:ext uri="{FF2B5EF4-FFF2-40B4-BE49-F238E27FC236}">
              <a16:creationId xmlns:a16="http://schemas.microsoft.com/office/drawing/2014/main" id="{40FD5B78-3A2C-474D-ABBF-F2E681D86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629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</xdr:row>
      <xdr:rowOff>0</xdr:rowOff>
    </xdr:from>
    <xdr:to>
      <xdr:col>13</xdr:col>
      <xdr:colOff>0</xdr:colOff>
      <xdr:row>52</xdr:row>
      <xdr:rowOff>114300</xdr:rowOff>
    </xdr:to>
    <xdr:pic>
      <xdr:nvPicPr>
        <xdr:cNvPr id="336" name="Imagen 335" descr="Ver detalle">
          <a:hlinkClick xmlns:r="http://schemas.openxmlformats.org/officeDocument/2006/relationships" r:id="rId287" tooltip="Ver detalle"/>
          <a:extLst>
            <a:ext uri="{FF2B5EF4-FFF2-40B4-BE49-F238E27FC236}">
              <a16:creationId xmlns:a16="http://schemas.microsoft.com/office/drawing/2014/main" id="{9C0B9FE5-8A02-4FA2-8A8A-C85A88D7B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649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</xdr:row>
      <xdr:rowOff>0</xdr:rowOff>
    </xdr:from>
    <xdr:to>
      <xdr:col>13</xdr:col>
      <xdr:colOff>0</xdr:colOff>
      <xdr:row>51</xdr:row>
      <xdr:rowOff>114300</xdr:rowOff>
    </xdr:to>
    <xdr:pic>
      <xdr:nvPicPr>
        <xdr:cNvPr id="337" name="Imagen 336" descr="Ver detalle">
          <a:hlinkClick xmlns:r="http://schemas.openxmlformats.org/officeDocument/2006/relationships" r:id="rId288" tooltip="Ver detalle"/>
          <a:extLst>
            <a:ext uri="{FF2B5EF4-FFF2-40B4-BE49-F238E27FC236}">
              <a16:creationId xmlns:a16="http://schemas.microsoft.com/office/drawing/2014/main" id="{E9FB3218-7CF1-4EC7-9AEA-FACA76D53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669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</xdr:row>
      <xdr:rowOff>0</xdr:rowOff>
    </xdr:from>
    <xdr:to>
      <xdr:col>13</xdr:col>
      <xdr:colOff>0</xdr:colOff>
      <xdr:row>58</xdr:row>
      <xdr:rowOff>110490</xdr:rowOff>
    </xdr:to>
    <xdr:pic>
      <xdr:nvPicPr>
        <xdr:cNvPr id="338" name="Imagen 337" descr="Ver detalle">
          <a:hlinkClick xmlns:r="http://schemas.openxmlformats.org/officeDocument/2006/relationships" r:id="rId289" tooltip="Ver detalle"/>
          <a:extLst>
            <a:ext uri="{FF2B5EF4-FFF2-40B4-BE49-F238E27FC236}">
              <a16:creationId xmlns:a16="http://schemas.microsoft.com/office/drawing/2014/main" id="{FF6E71FB-7A86-40AC-B94B-80DF5F1DA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689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</xdr:row>
      <xdr:rowOff>0</xdr:rowOff>
    </xdr:from>
    <xdr:to>
      <xdr:col>13</xdr:col>
      <xdr:colOff>0</xdr:colOff>
      <xdr:row>57</xdr:row>
      <xdr:rowOff>114300</xdr:rowOff>
    </xdr:to>
    <xdr:pic>
      <xdr:nvPicPr>
        <xdr:cNvPr id="339" name="Imagen 338" descr="Ver detalle">
          <a:hlinkClick xmlns:r="http://schemas.openxmlformats.org/officeDocument/2006/relationships" r:id="rId290" tooltip="Ver detalle"/>
          <a:extLst>
            <a:ext uri="{FF2B5EF4-FFF2-40B4-BE49-F238E27FC236}">
              <a16:creationId xmlns:a16="http://schemas.microsoft.com/office/drawing/2014/main" id="{FE637A80-5BC1-4F21-BFC4-6196AF21A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709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</xdr:row>
      <xdr:rowOff>0</xdr:rowOff>
    </xdr:from>
    <xdr:to>
      <xdr:col>13</xdr:col>
      <xdr:colOff>0</xdr:colOff>
      <xdr:row>56</xdr:row>
      <xdr:rowOff>114300</xdr:rowOff>
    </xdr:to>
    <xdr:pic>
      <xdr:nvPicPr>
        <xdr:cNvPr id="340" name="Imagen 339" descr="Ver detalle">
          <a:hlinkClick xmlns:r="http://schemas.openxmlformats.org/officeDocument/2006/relationships" r:id="rId291" tooltip="Ver detalle"/>
          <a:extLst>
            <a:ext uri="{FF2B5EF4-FFF2-40B4-BE49-F238E27FC236}">
              <a16:creationId xmlns:a16="http://schemas.microsoft.com/office/drawing/2014/main" id="{C4D43A30-5E1A-4750-ACE3-74EE2B7DE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729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</xdr:row>
      <xdr:rowOff>0</xdr:rowOff>
    </xdr:from>
    <xdr:to>
      <xdr:col>13</xdr:col>
      <xdr:colOff>0</xdr:colOff>
      <xdr:row>55</xdr:row>
      <xdr:rowOff>114300</xdr:rowOff>
    </xdr:to>
    <xdr:pic>
      <xdr:nvPicPr>
        <xdr:cNvPr id="341" name="Imagen 340" descr="Ver detalle">
          <a:hlinkClick xmlns:r="http://schemas.openxmlformats.org/officeDocument/2006/relationships" r:id="rId292" tooltip="Ver detalle"/>
          <a:extLst>
            <a:ext uri="{FF2B5EF4-FFF2-40B4-BE49-F238E27FC236}">
              <a16:creationId xmlns:a16="http://schemas.microsoft.com/office/drawing/2014/main" id="{F0C2FEF9-821B-422C-9909-2C600A217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749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</xdr:row>
      <xdr:rowOff>0</xdr:rowOff>
    </xdr:from>
    <xdr:to>
      <xdr:col>13</xdr:col>
      <xdr:colOff>0</xdr:colOff>
      <xdr:row>20</xdr:row>
      <xdr:rowOff>114300</xdr:rowOff>
    </xdr:to>
    <xdr:pic>
      <xdr:nvPicPr>
        <xdr:cNvPr id="342" name="Imagen 341" descr="Ver detalle">
          <a:hlinkClick xmlns:r="http://schemas.openxmlformats.org/officeDocument/2006/relationships" r:id="rId293" tooltip="Ver detalle"/>
          <a:extLst>
            <a:ext uri="{FF2B5EF4-FFF2-40B4-BE49-F238E27FC236}">
              <a16:creationId xmlns:a16="http://schemas.microsoft.com/office/drawing/2014/main" id="{16A2FCF9-B670-4082-AE0D-D317AA847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769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13</xdr:col>
      <xdr:colOff>0</xdr:colOff>
      <xdr:row>24</xdr:row>
      <xdr:rowOff>114300</xdr:rowOff>
    </xdr:to>
    <xdr:pic>
      <xdr:nvPicPr>
        <xdr:cNvPr id="343" name="Imagen 342" descr="Ver detalle">
          <a:hlinkClick xmlns:r="http://schemas.openxmlformats.org/officeDocument/2006/relationships" r:id="rId294" tooltip="Ver detalle"/>
          <a:extLst>
            <a:ext uri="{FF2B5EF4-FFF2-40B4-BE49-F238E27FC236}">
              <a16:creationId xmlns:a16="http://schemas.microsoft.com/office/drawing/2014/main" id="{4429C9EB-6DC4-4A8A-BD08-AABC43505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803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13</xdr:col>
      <xdr:colOff>0</xdr:colOff>
      <xdr:row>21</xdr:row>
      <xdr:rowOff>114300</xdr:rowOff>
    </xdr:to>
    <xdr:pic>
      <xdr:nvPicPr>
        <xdr:cNvPr id="344" name="Imagen 343" descr="Ver detalle">
          <a:hlinkClick xmlns:r="http://schemas.openxmlformats.org/officeDocument/2006/relationships" r:id="rId295" tooltip="Ver detalle"/>
          <a:extLst>
            <a:ext uri="{FF2B5EF4-FFF2-40B4-BE49-F238E27FC236}">
              <a16:creationId xmlns:a16="http://schemas.microsoft.com/office/drawing/2014/main" id="{AD43CEEB-D574-4463-AF79-30DB07C17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823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</xdr:row>
      <xdr:rowOff>0</xdr:rowOff>
    </xdr:from>
    <xdr:to>
      <xdr:col>13</xdr:col>
      <xdr:colOff>0</xdr:colOff>
      <xdr:row>36</xdr:row>
      <xdr:rowOff>114300</xdr:rowOff>
    </xdr:to>
    <xdr:pic>
      <xdr:nvPicPr>
        <xdr:cNvPr id="345" name="Imagen 344" descr="Ver detalle">
          <a:hlinkClick xmlns:r="http://schemas.openxmlformats.org/officeDocument/2006/relationships" r:id="rId296" tooltip="Ver detalle"/>
          <a:extLst>
            <a:ext uri="{FF2B5EF4-FFF2-40B4-BE49-F238E27FC236}">
              <a16:creationId xmlns:a16="http://schemas.microsoft.com/office/drawing/2014/main" id="{CEE18C93-0979-4DCA-9B66-5F8070023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843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</xdr:row>
      <xdr:rowOff>0</xdr:rowOff>
    </xdr:from>
    <xdr:to>
      <xdr:col>13</xdr:col>
      <xdr:colOff>0</xdr:colOff>
      <xdr:row>37</xdr:row>
      <xdr:rowOff>114300</xdr:rowOff>
    </xdr:to>
    <xdr:pic>
      <xdr:nvPicPr>
        <xdr:cNvPr id="346" name="Imagen 345" descr="Ver detalle">
          <a:hlinkClick xmlns:r="http://schemas.openxmlformats.org/officeDocument/2006/relationships" r:id="rId297" tooltip="Ver detalle"/>
          <a:extLst>
            <a:ext uri="{FF2B5EF4-FFF2-40B4-BE49-F238E27FC236}">
              <a16:creationId xmlns:a16="http://schemas.microsoft.com/office/drawing/2014/main" id="{7D2D5EA7-58AD-472C-A8A9-698359F11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863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</xdr:row>
      <xdr:rowOff>0</xdr:rowOff>
    </xdr:from>
    <xdr:to>
      <xdr:col>13</xdr:col>
      <xdr:colOff>0</xdr:colOff>
      <xdr:row>19</xdr:row>
      <xdr:rowOff>114300</xdr:rowOff>
    </xdr:to>
    <xdr:pic>
      <xdr:nvPicPr>
        <xdr:cNvPr id="347" name="Imagen 346" descr="Ver detalle">
          <a:hlinkClick xmlns:r="http://schemas.openxmlformats.org/officeDocument/2006/relationships" r:id="rId298" tooltip="Ver detalle"/>
          <a:extLst>
            <a:ext uri="{FF2B5EF4-FFF2-40B4-BE49-F238E27FC236}">
              <a16:creationId xmlns:a16="http://schemas.microsoft.com/office/drawing/2014/main" id="{B1ADD4A4-0DE8-4BE8-8C3A-A2D19E82C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883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13</xdr:col>
      <xdr:colOff>0</xdr:colOff>
      <xdr:row>22</xdr:row>
      <xdr:rowOff>114300</xdr:rowOff>
    </xdr:to>
    <xdr:pic>
      <xdr:nvPicPr>
        <xdr:cNvPr id="348" name="Imagen 347" descr="Ver detalle">
          <a:hlinkClick xmlns:r="http://schemas.openxmlformats.org/officeDocument/2006/relationships" r:id="rId299" tooltip="Ver detalle"/>
          <a:extLst>
            <a:ext uri="{FF2B5EF4-FFF2-40B4-BE49-F238E27FC236}">
              <a16:creationId xmlns:a16="http://schemas.microsoft.com/office/drawing/2014/main" id="{81148B65-58D8-4FC2-8EFD-75D47746B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903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</xdr:row>
      <xdr:rowOff>0</xdr:rowOff>
    </xdr:from>
    <xdr:to>
      <xdr:col>13</xdr:col>
      <xdr:colOff>0</xdr:colOff>
      <xdr:row>30</xdr:row>
      <xdr:rowOff>114300</xdr:rowOff>
    </xdr:to>
    <xdr:pic>
      <xdr:nvPicPr>
        <xdr:cNvPr id="349" name="Imagen 348" descr="Ver detalle">
          <a:hlinkClick xmlns:r="http://schemas.openxmlformats.org/officeDocument/2006/relationships" r:id="rId300" tooltip="Ver detalle"/>
          <a:extLst>
            <a:ext uri="{FF2B5EF4-FFF2-40B4-BE49-F238E27FC236}">
              <a16:creationId xmlns:a16="http://schemas.microsoft.com/office/drawing/2014/main" id="{D1F4E70E-F6F9-44F0-9890-B91C6FE53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943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</xdr:row>
      <xdr:rowOff>0</xdr:rowOff>
    </xdr:from>
    <xdr:to>
      <xdr:col>13</xdr:col>
      <xdr:colOff>0</xdr:colOff>
      <xdr:row>29</xdr:row>
      <xdr:rowOff>114300</xdr:rowOff>
    </xdr:to>
    <xdr:pic>
      <xdr:nvPicPr>
        <xdr:cNvPr id="350" name="Imagen 349" descr="Ver detalle">
          <a:hlinkClick xmlns:r="http://schemas.openxmlformats.org/officeDocument/2006/relationships" r:id="rId301" tooltip="Ver detalle"/>
          <a:extLst>
            <a:ext uri="{FF2B5EF4-FFF2-40B4-BE49-F238E27FC236}">
              <a16:creationId xmlns:a16="http://schemas.microsoft.com/office/drawing/2014/main" id="{089B00B8-41CD-4E99-A4E2-46EF59527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963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13</xdr:col>
      <xdr:colOff>0</xdr:colOff>
      <xdr:row>25</xdr:row>
      <xdr:rowOff>114300</xdr:rowOff>
    </xdr:to>
    <xdr:pic>
      <xdr:nvPicPr>
        <xdr:cNvPr id="351" name="Imagen 350" descr="Ver detalle">
          <a:hlinkClick xmlns:r="http://schemas.openxmlformats.org/officeDocument/2006/relationships" r:id="rId302" tooltip="Ver detalle"/>
          <a:extLst>
            <a:ext uri="{FF2B5EF4-FFF2-40B4-BE49-F238E27FC236}">
              <a16:creationId xmlns:a16="http://schemas.microsoft.com/office/drawing/2014/main" id="{C7DA343E-6D70-4293-8D41-E547B096D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983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</xdr:row>
      <xdr:rowOff>0</xdr:rowOff>
    </xdr:from>
    <xdr:to>
      <xdr:col>13</xdr:col>
      <xdr:colOff>0</xdr:colOff>
      <xdr:row>44</xdr:row>
      <xdr:rowOff>114300</xdr:rowOff>
    </xdr:to>
    <xdr:pic>
      <xdr:nvPicPr>
        <xdr:cNvPr id="352" name="Imagen 351" descr="Ver detalle">
          <a:hlinkClick xmlns:r="http://schemas.openxmlformats.org/officeDocument/2006/relationships" r:id="rId303" tooltip="Ver detalle"/>
          <a:extLst>
            <a:ext uri="{FF2B5EF4-FFF2-40B4-BE49-F238E27FC236}">
              <a16:creationId xmlns:a16="http://schemas.microsoft.com/office/drawing/2014/main" id="{38709840-9CAE-44CD-9B23-5036AB83D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003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</xdr:row>
      <xdr:rowOff>0</xdr:rowOff>
    </xdr:from>
    <xdr:to>
      <xdr:col>13</xdr:col>
      <xdr:colOff>0</xdr:colOff>
      <xdr:row>43</xdr:row>
      <xdr:rowOff>114300</xdr:rowOff>
    </xdr:to>
    <xdr:pic>
      <xdr:nvPicPr>
        <xdr:cNvPr id="353" name="Imagen 352" descr="Ver detalle">
          <a:hlinkClick xmlns:r="http://schemas.openxmlformats.org/officeDocument/2006/relationships" r:id="rId304" tooltip="Ver detalle"/>
          <a:extLst>
            <a:ext uri="{FF2B5EF4-FFF2-40B4-BE49-F238E27FC236}">
              <a16:creationId xmlns:a16="http://schemas.microsoft.com/office/drawing/2014/main" id="{99B89446-F81A-4A3C-BEBE-0EC9AE0B1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023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</xdr:row>
      <xdr:rowOff>0</xdr:rowOff>
    </xdr:from>
    <xdr:to>
      <xdr:col>13</xdr:col>
      <xdr:colOff>0</xdr:colOff>
      <xdr:row>42</xdr:row>
      <xdr:rowOff>114300</xdr:rowOff>
    </xdr:to>
    <xdr:pic>
      <xdr:nvPicPr>
        <xdr:cNvPr id="354" name="Imagen 353" descr="Ver detalle">
          <a:hlinkClick xmlns:r="http://schemas.openxmlformats.org/officeDocument/2006/relationships" r:id="rId305" tooltip="Ver detalle"/>
          <a:extLst>
            <a:ext uri="{FF2B5EF4-FFF2-40B4-BE49-F238E27FC236}">
              <a16:creationId xmlns:a16="http://schemas.microsoft.com/office/drawing/2014/main" id="{6AFEEC9F-2F58-4797-B09D-1AB7BE324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056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</xdr:row>
      <xdr:rowOff>0</xdr:rowOff>
    </xdr:from>
    <xdr:to>
      <xdr:col>13</xdr:col>
      <xdr:colOff>0</xdr:colOff>
      <xdr:row>41</xdr:row>
      <xdr:rowOff>114300</xdr:rowOff>
    </xdr:to>
    <xdr:pic>
      <xdr:nvPicPr>
        <xdr:cNvPr id="355" name="Imagen 354" descr="Ver detalle">
          <a:hlinkClick xmlns:r="http://schemas.openxmlformats.org/officeDocument/2006/relationships" r:id="rId306" tooltip="Ver detalle"/>
          <a:extLst>
            <a:ext uri="{FF2B5EF4-FFF2-40B4-BE49-F238E27FC236}">
              <a16:creationId xmlns:a16="http://schemas.microsoft.com/office/drawing/2014/main" id="{A0563856-485E-43CD-A4C1-EFC420F43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076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</xdr:row>
      <xdr:rowOff>0</xdr:rowOff>
    </xdr:from>
    <xdr:to>
      <xdr:col>13</xdr:col>
      <xdr:colOff>0</xdr:colOff>
      <xdr:row>15</xdr:row>
      <xdr:rowOff>114300</xdr:rowOff>
    </xdr:to>
    <xdr:pic>
      <xdr:nvPicPr>
        <xdr:cNvPr id="356" name="Imagen 355" descr="Ver detalle">
          <a:hlinkClick xmlns:r="http://schemas.openxmlformats.org/officeDocument/2006/relationships" r:id="rId307" tooltip="Ver detalle"/>
          <a:extLst>
            <a:ext uri="{FF2B5EF4-FFF2-40B4-BE49-F238E27FC236}">
              <a16:creationId xmlns:a16="http://schemas.microsoft.com/office/drawing/2014/main" id="{532C4B0F-37DF-477D-9733-192A1D485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096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</xdr:row>
      <xdr:rowOff>0</xdr:rowOff>
    </xdr:from>
    <xdr:to>
      <xdr:col>13</xdr:col>
      <xdr:colOff>0</xdr:colOff>
      <xdr:row>50</xdr:row>
      <xdr:rowOff>114300</xdr:rowOff>
    </xdr:to>
    <xdr:pic>
      <xdr:nvPicPr>
        <xdr:cNvPr id="357" name="Imagen 356" descr="Ver detalle">
          <a:hlinkClick xmlns:r="http://schemas.openxmlformats.org/officeDocument/2006/relationships" r:id="rId308" tooltip="Ver detalle"/>
          <a:extLst>
            <a:ext uri="{FF2B5EF4-FFF2-40B4-BE49-F238E27FC236}">
              <a16:creationId xmlns:a16="http://schemas.microsoft.com/office/drawing/2014/main" id="{C62D608E-8766-4B55-8ACB-629D888BA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11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</xdr:row>
      <xdr:rowOff>0</xdr:rowOff>
    </xdr:from>
    <xdr:to>
      <xdr:col>13</xdr:col>
      <xdr:colOff>0</xdr:colOff>
      <xdr:row>49</xdr:row>
      <xdr:rowOff>114300</xdr:rowOff>
    </xdr:to>
    <xdr:pic>
      <xdr:nvPicPr>
        <xdr:cNvPr id="358" name="Imagen 357" descr="Ver detalle">
          <a:hlinkClick xmlns:r="http://schemas.openxmlformats.org/officeDocument/2006/relationships" r:id="rId309" tooltip="Ver detalle"/>
          <a:extLst>
            <a:ext uri="{FF2B5EF4-FFF2-40B4-BE49-F238E27FC236}">
              <a16:creationId xmlns:a16="http://schemas.microsoft.com/office/drawing/2014/main" id="{E3807D81-F5B1-4E98-955D-5DCE62C44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136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</xdr:row>
      <xdr:rowOff>0</xdr:rowOff>
    </xdr:from>
    <xdr:to>
      <xdr:col>13</xdr:col>
      <xdr:colOff>0</xdr:colOff>
      <xdr:row>48</xdr:row>
      <xdr:rowOff>114300</xdr:rowOff>
    </xdr:to>
    <xdr:pic>
      <xdr:nvPicPr>
        <xdr:cNvPr id="359" name="Imagen 358" descr="Ver detalle">
          <a:hlinkClick xmlns:r="http://schemas.openxmlformats.org/officeDocument/2006/relationships" r:id="rId310" tooltip="Ver detalle"/>
          <a:extLst>
            <a:ext uri="{FF2B5EF4-FFF2-40B4-BE49-F238E27FC236}">
              <a16:creationId xmlns:a16="http://schemas.microsoft.com/office/drawing/2014/main" id="{92EC37C2-4A16-4C81-B0DF-EBF442D79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156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</xdr:row>
      <xdr:rowOff>0</xdr:rowOff>
    </xdr:from>
    <xdr:to>
      <xdr:col>13</xdr:col>
      <xdr:colOff>0</xdr:colOff>
      <xdr:row>47</xdr:row>
      <xdr:rowOff>114300</xdr:rowOff>
    </xdr:to>
    <xdr:pic>
      <xdr:nvPicPr>
        <xdr:cNvPr id="360" name="Imagen 359" descr="Ver detalle">
          <a:hlinkClick xmlns:r="http://schemas.openxmlformats.org/officeDocument/2006/relationships" r:id="rId311" tooltip="Ver detalle"/>
          <a:extLst>
            <a:ext uri="{FF2B5EF4-FFF2-40B4-BE49-F238E27FC236}">
              <a16:creationId xmlns:a16="http://schemas.microsoft.com/office/drawing/2014/main" id="{4A065D08-EBC5-4646-81E1-4EB84B837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176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</xdr:row>
      <xdr:rowOff>0</xdr:rowOff>
    </xdr:from>
    <xdr:to>
      <xdr:col>13</xdr:col>
      <xdr:colOff>0</xdr:colOff>
      <xdr:row>46</xdr:row>
      <xdr:rowOff>114300</xdr:rowOff>
    </xdr:to>
    <xdr:pic>
      <xdr:nvPicPr>
        <xdr:cNvPr id="361" name="Imagen 360" descr="Ver detalle">
          <a:hlinkClick xmlns:r="http://schemas.openxmlformats.org/officeDocument/2006/relationships" r:id="rId312" tooltip="Ver detalle"/>
          <a:extLst>
            <a:ext uri="{FF2B5EF4-FFF2-40B4-BE49-F238E27FC236}">
              <a16:creationId xmlns:a16="http://schemas.microsoft.com/office/drawing/2014/main" id="{18CDDD85-87F5-4D56-B57C-094012CBF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196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</xdr:row>
      <xdr:rowOff>0</xdr:rowOff>
    </xdr:from>
    <xdr:to>
      <xdr:col>13</xdr:col>
      <xdr:colOff>0</xdr:colOff>
      <xdr:row>45</xdr:row>
      <xdr:rowOff>114300</xdr:rowOff>
    </xdr:to>
    <xdr:pic>
      <xdr:nvPicPr>
        <xdr:cNvPr id="362" name="Imagen 361" descr="Ver detalle">
          <a:hlinkClick xmlns:r="http://schemas.openxmlformats.org/officeDocument/2006/relationships" r:id="rId313" tooltip="Ver detalle"/>
          <a:extLst>
            <a:ext uri="{FF2B5EF4-FFF2-40B4-BE49-F238E27FC236}">
              <a16:creationId xmlns:a16="http://schemas.microsoft.com/office/drawing/2014/main" id="{838F2D92-3B62-4F40-90D9-81F86C6F9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216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13</xdr:col>
      <xdr:colOff>0</xdr:colOff>
      <xdr:row>13</xdr:row>
      <xdr:rowOff>114300</xdr:rowOff>
    </xdr:to>
    <xdr:pic>
      <xdr:nvPicPr>
        <xdr:cNvPr id="363" name="Imagen 362" descr="Ver detalle">
          <a:hlinkClick xmlns:r="http://schemas.openxmlformats.org/officeDocument/2006/relationships" r:id="rId314" tooltip="Ver detalle"/>
          <a:extLst>
            <a:ext uri="{FF2B5EF4-FFF2-40B4-BE49-F238E27FC236}">
              <a16:creationId xmlns:a16="http://schemas.microsoft.com/office/drawing/2014/main" id="{D4F2D2A3-108D-4BD6-A42E-6F4129166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236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</xdr:row>
      <xdr:rowOff>0</xdr:rowOff>
    </xdr:from>
    <xdr:to>
      <xdr:col>13</xdr:col>
      <xdr:colOff>0</xdr:colOff>
      <xdr:row>14</xdr:row>
      <xdr:rowOff>114300</xdr:rowOff>
    </xdr:to>
    <xdr:pic>
      <xdr:nvPicPr>
        <xdr:cNvPr id="364" name="Imagen 363" descr="Ver detalle">
          <a:hlinkClick xmlns:r="http://schemas.openxmlformats.org/officeDocument/2006/relationships" r:id="rId315" tooltip="Ver detalle"/>
          <a:extLst>
            <a:ext uri="{FF2B5EF4-FFF2-40B4-BE49-F238E27FC236}">
              <a16:creationId xmlns:a16="http://schemas.microsoft.com/office/drawing/2014/main" id="{A5A4D30D-C3E1-4876-B2D4-51D80206D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256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</xdr:row>
      <xdr:rowOff>0</xdr:rowOff>
    </xdr:from>
    <xdr:to>
      <xdr:col>13</xdr:col>
      <xdr:colOff>0</xdr:colOff>
      <xdr:row>12</xdr:row>
      <xdr:rowOff>114300</xdr:rowOff>
    </xdr:to>
    <xdr:pic>
      <xdr:nvPicPr>
        <xdr:cNvPr id="365" name="Imagen 364" descr="Ver detalle">
          <a:hlinkClick xmlns:r="http://schemas.openxmlformats.org/officeDocument/2006/relationships" r:id="rId316" tooltip="Ver detalle"/>
          <a:extLst>
            <a:ext uri="{FF2B5EF4-FFF2-40B4-BE49-F238E27FC236}">
              <a16:creationId xmlns:a16="http://schemas.microsoft.com/office/drawing/2014/main" id="{5A169C8D-DD2C-472A-8AAF-8C4DA44EB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27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</xdr:row>
      <xdr:rowOff>0</xdr:rowOff>
    </xdr:from>
    <xdr:to>
      <xdr:col>13</xdr:col>
      <xdr:colOff>0</xdr:colOff>
      <xdr:row>16</xdr:row>
      <xdr:rowOff>114300</xdr:rowOff>
    </xdr:to>
    <xdr:pic>
      <xdr:nvPicPr>
        <xdr:cNvPr id="366" name="Imagen 365" descr="Ver detalle">
          <a:hlinkClick xmlns:r="http://schemas.openxmlformats.org/officeDocument/2006/relationships" r:id="rId317" tooltip="Ver detalle"/>
          <a:extLst>
            <a:ext uri="{FF2B5EF4-FFF2-40B4-BE49-F238E27FC236}">
              <a16:creationId xmlns:a16="http://schemas.microsoft.com/office/drawing/2014/main" id="{E733BB53-D793-416D-9337-506D73F9D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296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</xdr:row>
      <xdr:rowOff>0</xdr:rowOff>
    </xdr:from>
    <xdr:to>
      <xdr:col>13</xdr:col>
      <xdr:colOff>0</xdr:colOff>
      <xdr:row>17</xdr:row>
      <xdr:rowOff>114300</xdr:rowOff>
    </xdr:to>
    <xdr:pic>
      <xdr:nvPicPr>
        <xdr:cNvPr id="367" name="Imagen 366" descr="Ver detalle">
          <a:hlinkClick xmlns:r="http://schemas.openxmlformats.org/officeDocument/2006/relationships" r:id="rId318" tooltip="Ver detalle"/>
          <a:extLst>
            <a:ext uri="{FF2B5EF4-FFF2-40B4-BE49-F238E27FC236}">
              <a16:creationId xmlns:a16="http://schemas.microsoft.com/office/drawing/2014/main" id="{0043A89C-E9E9-4000-9D44-820B56E4D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316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13</xdr:col>
      <xdr:colOff>0</xdr:colOff>
      <xdr:row>9</xdr:row>
      <xdr:rowOff>114300</xdr:rowOff>
    </xdr:to>
    <xdr:pic>
      <xdr:nvPicPr>
        <xdr:cNvPr id="368" name="Imagen 367" descr="Ver detalle">
          <a:hlinkClick xmlns:r="http://schemas.openxmlformats.org/officeDocument/2006/relationships" r:id="rId319" tooltip="Ver detalle"/>
          <a:extLst>
            <a:ext uri="{FF2B5EF4-FFF2-40B4-BE49-F238E27FC236}">
              <a16:creationId xmlns:a16="http://schemas.microsoft.com/office/drawing/2014/main" id="{2F97FDC6-F71C-4A6D-B895-5749B74E3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336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</xdr:row>
      <xdr:rowOff>0</xdr:rowOff>
    </xdr:from>
    <xdr:to>
      <xdr:col>13</xdr:col>
      <xdr:colOff>0</xdr:colOff>
      <xdr:row>8</xdr:row>
      <xdr:rowOff>114300</xdr:rowOff>
    </xdr:to>
    <xdr:pic>
      <xdr:nvPicPr>
        <xdr:cNvPr id="369" name="Imagen 368" descr="Ver detalle">
          <a:hlinkClick xmlns:r="http://schemas.openxmlformats.org/officeDocument/2006/relationships" r:id="rId320" tooltip="Ver detalle"/>
          <a:extLst>
            <a:ext uri="{FF2B5EF4-FFF2-40B4-BE49-F238E27FC236}">
              <a16:creationId xmlns:a16="http://schemas.microsoft.com/office/drawing/2014/main" id="{EFECB6C8-94A9-4223-87E3-24C65793A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356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</xdr:row>
      <xdr:rowOff>0</xdr:rowOff>
    </xdr:from>
    <xdr:to>
      <xdr:col>13</xdr:col>
      <xdr:colOff>0</xdr:colOff>
      <xdr:row>11</xdr:row>
      <xdr:rowOff>114300</xdr:rowOff>
    </xdr:to>
    <xdr:pic>
      <xdr:nvPicPr>
        <xdr:cNvPr id="370" name="Imagen 369" descr="Ver detalle">
          <a:hlinkClick xmlns:r="http://schemas.openxmlformats.org/officeDocument/2006/relationships" r:id="rId321" tooltip="Ver detalle"/>
          <a:extLst>
            <a:ext uri="{FF2B5EF4-FFF2-40B4-BE49-F238E27FC236}">
              <a16:creationId xmlns:a16="http://schemas.microsoft.com/office/drawing/2014/main" id="{BB1A3663-B3E8-45D3-804A-2DABEF1BB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376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</xdr:row>
      <xdr:rowOff>0</xdr:rowOff>
    </xdr:from>
    <xdr:to>
      <xdr:col>13</xdr:col>
      <xdr:colOff>0</xdr:colOff>
      <xdr:row>10</xdr:row>
      <xdr:rowOff>114300</xdr:rowOff>
    </xdr:to>
    <xdr:pic>
      <xdr:nvPicPr>
        <xdr:cNvPr id="371" name="Imagen 370" descr="Ver detalle">
          <a:hlinkClick xmlns:r="http://schemas.openxmlformats.org/officeDocument/2006/relationships" r:id="rId322" tooltip="Ver detalle"/>
          <a:extLst>
            <a:ext uri="{FF2B5EF4-FFF2-40B4-BE49-F238E27FC236}">
              <a16:creationId xmlns:a16="http://schemas.microsoft.com/office/drawing/2014/main" id="{B599038D-7B24-4EFC-AECF-DE7DEAA27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396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13</xdr:col>
      <xdr:colOff>0</xdr:colOff>
      <xdr:row>7</xdr:row>
      <xdr:rowOff>114300</xdr:rowOff>
    </xdr:to>
    <xdr:pic>
      <xdr:nvPicPr>
        <xdr:cNvPr id="372" name="Imagen 371" descr="Ver detalle">
          <a:hlinkClick xmlns:r="http://schemas.openxmlformats.org/officeDocument/2006/relationships" r:id="rId323" tooltip="Ver detalle"/>
          <a:extLst>
            <a:ext uri="{FF2B5EF4-FFF2-40B4-BE49-F238E27FC236}">
              <a16:creationId xmlns:a16="http://schemas.microsoft.com/office/drawing/2014/main" id="{A53371B6-7455-4550-8351-F7724EFDD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416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</xdr:row>
      <xdr:rowOff>0</xdr:rowOff>
    </xdr:from>
    <xdr:to>
      <xdr:col>13</xdr:col>
      <xdr:colOff>0</xdr:colOff>
      <xdr:row>3</xdr:row>
      <xdr:rowOff>114300</xdr:rowOff>
    </xdr:to>
    <xdr:pic>
      <xdr:nvPicPr>
        <xdr:cNvPr id="373" name="Imagen 372" descr="Ver detalle">
          <a:hlinkClick xmlns:r="http://schemas.openxmlformats.org/officeDocument/2006/relationships" r:id="rId324" tooltip="Ver detalle"/>
          <a:extLst>
            <a:ext uri="{FF2B5EF4-FFF2-40B4-BE49-F238E27FC236}">
              <a16:creationId xmlns:a16="http://schemas.microsoft.com/office/drawing/2014/main" id="{506C8870-E412-4191-B3EE-A51F8072C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456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13</xdr:col>
      <xdr:colOff>0</xdr:colOff>
      <xdr:row>5</xdr:row>
      <xdr:rowOff>114300</xdr:rowOff>
    </xdr:to>
    <xdr:pic>
      <xdr:nvPicPr>
        <xdr:cNvPr id="374" name="Imagen 373" descr="Ver detalle">
          <a:hlinkClick xmlns:r="http://schemas.openxmlformats.org/officeDocument/2006/relationships" r:id="rId325" tooltip="Ver detalle"/>
          <a:extLst>
            <a:ext uri="{FF2B5EF4-FFF2-40B4-BE49-F238E27FC236}">
              <a16:creationId xmlns:a16="http://schemas.microsoft.com/office/drawing/2014/main" id="{9E462EF8-3D0F-4FF8-911D-5964FABC2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476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13</xdr:col>
      <xdr:colOff>0</xdr:colOff>
      <xdr:row>6</xdr:row>
      <xdr:rowOff>114300</xdr:rowOff>
    </xdr:to>
    <xdr:pic>
      <xdr:nvPicPr>
        <xdr:cNvPr id="375" name="Imagen 374" descr="Ver detalle">
          <a:hlinkClick xmlns:r="http://schemas.openxmlformats.org/officeDocument/2006/relationships" r:id="rId326" tooltip="Ver detalle"/>
          <a:extLst>
            <a:ext uri="{FF2B5EF4-FFF2-40B4-BE49-F238E27FC236}">
              <a16:creationId xmlns:a16="http://schemas.microsoft.com/office/drawing/2014/main" id="{73F5F188-B7AF-45C1-8BAB-70DAA4174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496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</xdr:row>
      <xdr:rowOff>0</xdr:rowOff>
    </xdr:from>
    <xdr:to>
      <xdr:col>13</xdr:col>
      <xdr:colOff>0</xdr:colOff>
      <xdr:row>18</xdr:row>
      <xdr:rowOff>114300</xdr:rowOff>
    </xdr:to>
    <xdr:pic>
      <xdr:nvPicPr>
        <xdr:cNvPr id="376" name="Imagen 375" descr="Ver detalle">
          <a:hlinkClick xmlns:r="http://schemas.openxmlformats.org/officeDocument/2006/relationships" r:id="rId327" tooltip="Ver detalle"/>
          <a:extLst>
            <a:ext uri="{FF2B5EF4-FFF2-40B4-BE49-F238E27FC236}">
              <a16:creationId xmlns:a16="http://schemas.microsoft.com/office/drawing/2014/main" id="{FE5D121C-67B9-4FAB-98BE-300A5BE33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516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</xdr:row>
      <xdr:rowOff>0</xdr:rowOff>
    </xdr:from>
    <xdr:to>
      <xdr:col>13</xdr:col>
      <xdr:colOff>0</xdr:colOff>
      <xdr:row>89</xdr:row>
      <xdr:rowOff>148590</xdr:rowOff>
    </xdr:to>
    <xdr:pic>
      <xdr:nvPicPr>
        <xdr:cNvPr id="377" name="Imagen 376" descr="Ver detalle">
          <a:hlinkClick xmlns:r="http://schemas.openxmlformats.org/officeDocument/2006/relationships" r:id="rId328" tooltip="Ver detalle"/>
          <a:extLst>
            <a:ext uri="{FF2B5EF4-FFF2-40B4-BE49-F238E27FC236}">
              <a16:creationId xmlns:a16="http://schemas.microsoft.com/office/drawing/2014/main" id="{797CB124-E5EC-44C3-9B7A-F8C6DA588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307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</xdr:row>
      <xdr:rowOff>0</xdr:rowOff>
    </xdr:from>
    <xdr:to>
      <xdr:col>13</xdr:col>
      <xdr:colOff>0</xdr:colOff>
      <xdr:row>90</xdr:row>
      <xdr:rowOff>148590</xdr:rowOff>
    </xdr:to>
    <xdr:pic>
      <xdr:nvPicPr>
        <xdr:cNvPr id="378" name="Imagen 377" descr="Ver detalle">
          <a:hlinkClick xmlns:r="http://schemas.openxmlformats.org/officeDocument/2006/relationships" r:id="rId329" tooltip="Ver detalle"/>
          <a:extLst>
            <a:ext uri="{FF2B5EF4-FFF2-40B4-BE49-F238E27FC236}">
              <a16:creationId xmlns:a16="http://schemas.microsoft.com/office/drawing/2014/main" id="{BA31FDD3-7FAE-4B32-A88E-C6CF65979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327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</xdr:row>
      <xdr:rowOff>0</xdr:rowOff>
    </xdr:from>
    <xdr:to>
      <xdr:col>13</xdr:col>
      <xdr:colOff>0</xdr:colOff>
      <xdr:row>91</xdr:row>
      <xdr:rowOff>148590</xdr:rowOff>
    </xdr:to>
    <xdr:pic>
      <xdr:nvPicPr>
        <xdr:cNvPr id="379" name="Imagen 378" descr="Ver detalle">
          <a:hlinkClick xmlns:r="http://schemas.openxmlformats.org/officeDocument/2006/relationships" r:id="rId330" tooltip="Ver detalle"/>
          <a:extLst>
            <a:ext uri="{FF2B5EF4-FFF2-40B4-BE49-F238E27FC236}">
              <a16:creationId xmlns:a16="http://schemas.microsoft.com/office/drawing/2014/main" id="{2C9BC170-A57B-4BA0-8B9E-E09E32AB3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347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</xdr:row>
      <xdr:rowOff>0</xdr:rowOff>
    </xdr:from>
    <xdr:to>
      <xdr:col>13</xdr:col>
      <xdr:colOff>0</xdr:colOff>
      <xdr:row>59</xdr:row>
      <xdr:rowOff>148590</xdr:rowOff>
    </xdr:to>
    <xdr:pic>
      <xdr:nvPicPr>
        <xdr:cNvPr id="380" name="Imagen 379" descr="Ver detalle">
          <a:hlinkClick xmlns:r="http://schemas.openxmlformats.org/officeDocument/2006/relationships" r:id="rId331" tooltip="Ver detalle"/>
          <a:extLst>
            <a:ext uri="{FF2B5EF4-FFF2-40B4-BE49-F238E27FC236}">
              <a16:creationId xmlns:a16="http://schemas.microsoft.com/office/drawing/2014/main" id="{22A62D7C-DBC9-4BA2-A68B-6C3D5443FF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367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</xdr:row>
      <xdr:rowOff>0</xdr:rowOff>
    </xdr:from>
    <xdr:to>
      <xdr:col>13</xdr:col>
      <xdr:colOff>0</xdr:colOff>
      <xdr:row>87</xdr:row>
      <xdr:rowOff>148590</xdr:rowOff>
    </xdr:to>
    <xdr:pic>
      <xdr:nvPicPr>
        <xdr:cNvPr id="381" name="Imagen 380" descr="Ver detalle">
          <a:hlinkClick xmlns:r="http://schemas.openxmlformats.org/officeDocument/2006/relationships" r:id="rId332" tooltip="Ver detalle"/>
          <a:extLst>
            <a:ext uri="{FF2B5EF4-FFF2-40B4-BE49-F238E27FC236}">
              <a16:creationId xmlns:a16="http://schemas.microsoft.com/office/drawing/2014/main" id="{3572858C-753D-40EA-8651-0C6C57E60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387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</xdr:row>
      <xdr:rowOff>0</xdr:rowOff>
    </xdr:from>
    <xdr:to>
      <xdr:col>13</xdr:col>
      <xdr:colOff>0</xdr:colOff>
      <xdr:row>83</xdr:row>
      <xdr:rowOff>148590</xdr:rowOff>
    </xdr:to>
    <xdr:pic>
      <xdr:nvPicPr>
        <xdr:cNvPr id="382" name="Imagen 381" descr="Ver detalle">
          <a:hlinkClick xmlns:r="http://schemas.openxmlformats.org/officeDocument/2006/relationships" r:id="rId333" tooltip="Ver detalle"/>
          <a:extLst>
            <a:ext uri="{FF2B5EF4-FFF2-40B4-BE49-F238E27FC236}">
              <a16:creationId xmlns:a16="http://schemas.microsoft.com/office/drawing/2014/main" id="{75754C17-6A1C-4684-B612-AC78BC640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407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</xdr:row>
      <xdr:rowOff>0</xdr:rowOff>
    </xdr:from>
    <xdr:to>
      <xdr:col>13</xdr:col>
      <xdr:colOff>0</xdr:colOff>
      <xdr:row>84</xdr:row>
      <xdr:rowOff>148590</xdr:rowOff>
    </xdr:to>
    <xdr:pic>
      <xdr:nvPicPr>
        <xdr:cNvPr id="383" name="Imagen 382" descr="Ver detalle">
          <a:hlinkClick xmlns:r="http://schemas.openxmlformats.org/officeDocument/2006/relationships" r:id="rId334" tooltip="Ver detalle"/>
          <a:extLst>
            <a:ext uri="{FF2B5EF4-FFF2-40B4-BE49-F238E27FC236}">
              <a16:creationId xmlns:a16="http://schemas.microsoft.com/office/drawing/2014/main" id="{DB3789FE-D563-402C-8D10-089F6B76E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427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</xdr:row>
      <xdr:rowOff>0</xdr:rowOff>
    </xdr:from>
    <xdr:to>
      <xdr:col>13</xdr:col>
      <xdr:colOff>0</xdr:colOff>
      <xdr:row>86</xdr:row>
      <xdr:rowOff>148590</xdr:rowOff>
    </xdr:to>
    <xdr:pic>
      <xdr:nvPicPr>
        <xdr:cNvPr id="384" name="Imagen 383" descr="Ver detalle">
          <a:hlinkClick xmlns:r="http://schemas.openxmlformats.org/officeDocument/2006/relationships" r:id="rId335" tooltip="Ver detalle"/>
          <a:extLst>
            <a:ext uri="{FF2B5EF4-FFF2-40B4-BE49-F238E27FC236}">
              <a16:creationId xmlns:a16="http://schemas.microsoft.com/office/drawing/2014/main" id="{3E1BC991-177B-49E0-AABB-DFD9A6051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44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</xdr:row>
      <xdr:rowOff>0</xdr:rowOff>
    </xdr:from>
    <xdr:to>
      <xdr:col>13</xdr:col>
      <xdr:colOff>0</xdr:colOff>
      <xdr:row>88</xdr:row>
      <xdr:rowOff>148590</xdr:rowOff>
    </xdr:to>
    <xdr:pic>
      <xdr:nvPicPr>
        <xdr:cNvPr id="385" name="Imagen 384" descr="Ver detalle">
          <a:hlinkClick xmlns:r="http://schemas.openxmlformats.org/officeDocument/2006/relationships" r:id="rId336" tooltip="Ver detalle"/>
          <a:extLst>
            <a:ext uri="{FF2B5EF4-FFF2-40B4-BE49-F238E27FC236}">
              <a16:creationId xmlns:a16="http://schemas.microsoft.com/office/drawing/2014/main" id="{CE8F1FC6-8818-4EBA-8BFD-140F23B51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467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</xdr:row>
      <xdr:rowOff>0</xdr:rowOff>
    </xdr:from>
    <xdr:to>
      <xdr:col>13</xdr:col>
      <xdr:colOff>0</xdr:colOff>
      <xdr:row>85</xdr:row>
      <xdr:rowOff>148590</xdr:rowOff>
    </xdr:to>
    <xdr:pic>
      <xdr:nvPicPr>
        <xdr:cNvPr id="386" name="Imagen 385" descr="Ver detalle">
          <a:hlinkClick xmlns:r="http://schemas.openxmlformats.org/officeDocument/2006/relationships" r:id="rId337" tooltip="Ver detalle"/>
          <a:extLst>
            <a:ext uri="{FF2B5EF4-FFF2-40B4-BE49-F238E27FC236}">
              <a16:creationId xmlns:a16="http://schemas.microsoft.com/office/drawing/2014/main" id="{E0D0B10B-CA84-423C-994E-DD0E4D225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48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</xdr:row>
      <xdr:rowOff>0</xdr:rowOff>
    </xdr:from>
    <xdr:to>
      <xdr:col>13</xdr:col>
      <xdr:colOff>0</xdr:colOff>
      <xdr:row>81</xdr:row>
      <xdr:rowOff>148590</xdr:rowOff>
    </xdr:to>
    <xdr:pic>
      <xdr:nvPicPr>
        <xdr:cNvPr id="387" name="Imagen 386" descr="Ver detalle">
          <a:hlinkClick xmlns:r="http://schemas.openxmlformats.org/officeDocument/2006/relationships" r:id="rId338" tooltip="Ver detalle"/>
          <a:extLst>
            <a:ext uri="{FF2B5EF4-FFF2-40B4-BE49-F238E27FC236}">
              <a16:creationId xmlns:a16="http://schemas.microsoft.com/office/drawing/2014/main" id="{FAEBB5BC-3F51-4EE0-9014-C046FA88E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07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</xdr:row>
      <xdr:rowOff>0</xdr:rowOff>
    </xdr:from>
    <xdr:to>
      <xdr:col>13</xdr:col>
      <xdr:colOff>0</xdr:colOff>
      <xdr:row>80</xdr:row>
      <xdr:rowOff>148590</xdr:rowOff>
    </xdr:to>
    <xdr:pic>
      <xdr:nvPicPr>
        <xdr:cNvPr id="388" name="Imagen 387" descr="Ver detalle">
          <a:hlinkClick xmlns:r="http://schemas.openxmlformats.org/officeDocument/2006/relationships" r:id="rId339" tooltip="Ver detalle"/>
          <a:extLst>
            <a:ext uri="{FF2B5EF4-FFF2-40B4-BE49-F238E27FC236}">
              <a16:creationId xmlns:a16="http://schemas.microsoft.com/office/drawing/2014/main" id="{856D6D7A-D727-4DBC-AA96-BE059130E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27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</xdr:row>
      <xdr:rowOff>0</xdr:rowOff>
    </xdr:from>
    <xdr:to>
      <xdr:col>13</xdr:col>
      <xdr:colOff>0</xdr:colOff>
      <xdr:row>82</xdr:row>
      <xdr:rowOff>148590</xdr:rowOff>
    </xdr:to>
    <xdr:pic>
      <xdr:nvPicPr>
        <xdr:cNvPr id="389" name="Imagen 388" descr="Ver detalle">
          <a:hlinkClick xmlns:r="http://schemas.openxmlformats.org/officeDocument/2006/relationships" r:id="rId340" tooltip="Ver detalle"/>
          <a:extLst>
            <a:ext uri="{FF2B5EF4-FFF2-40B4-BE49-F238E27FC236}">
              <a16:creationId xmlns:a16="http://schemas.microsoft.com/office/drawing/2014/main" id="{09055A72-B0F2-4EA1-A6A0-07C414F2A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47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</xdr:row>
      <xdr:rowOff>0</xdr:rowOff>
    </xdr:from>
    <xdr:to>
      <xdr:col>13</xdr:col>
      <xdr:colOff>0</xdr:colOff>
      <xdr:row>78</xdr:row>
      <xdr:rowOff>148590</xdr:rowOff>
    </xdr:to>
    <xdr:pic>
      <xdr:nvPicPr>
        <xdr:cNvPr id="390" name="Imagen 389" descr="Ver detalle">
          <a:hlinkClick xmlns:r="http://schemas.openxmlformats.org/officeDocument/2006/relationships" r:id="rId341" tooltip="Ver detalle"/>
          <a:extLst>
            <a:ext uri="{FF2B5EF4-FFF2-40B4-BE49-F238E27FC236}">
              <a16:creationId xmlns:a16="http://schemas.microsoft.com/office/drawing/2014/main" id="{D0903BC7-33D0-4913-80C8-1BC356AFC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67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</xdr:row>
      <xdr:rowOff>0</xdr:rowOff>
    </xdr:from>
    <xdr:to>
      <xdr:col>13</xdr:col>
      <xdr:colOff>0</xdr:colOff>
      <xdr:row>76</xdr:row>
      <xdr:rowOff>148590</xdr:rowOff>
    </xdr:to>
    <xdr:pic>
      <xdr:nvPicPr>
        <xdr:cNvPr id="391" name="Imagen 390" descr="Ver detalle">
          <a:hlinkClick xmlns:r="http://schemas.openxmlformats.org/officeDocument/2006/relationships" r:id="rId342" tooltip="Ver detalle"/>
          <a:extLst>
            <a:ext uri="{FF2B5EF4-FFF2-40B4-BE49-F238E27FC236}">
              <a16:creationId xmlns:a16="http://schemas.microsoft.com/office/drawing/2014/main" id="{C00625E4-AFB1-4D73-A1F7-4533042AE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87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</xdr:row>
      <xdr:rowOff>0</xdr:rowOff>
    </xdr:from>
    <xdr:to>
      <xdr:col>13</xdr:col>
      <xdr:colOff>0</xdr:colOff>
      <xdr:row>72</xdr:row>
      <xdr:rowOff>148590</xdr:rowOff>
    </xdr:to>
    <xdr:pic>
      <xdr:nvPicPr>
        <xdr:cNvPr id="392" name="Imagen 391" descr="Ver detalle">
          <a:hlinkClick xmlns:r="http://schemas.openxmlformats.org/officeDocument/2006/relationships" r:id="rId343" tooltip="Ver detalle"/>
          <a:extLst>
            <a:ext uri="{FF2B5EF4-FFF2-40B4-BE49-F238E27FC236}">
              <a16:creationId xmlns:a16="http://schemas.microsoft.com/office/drawing/2014/main" id="{1BB4B002-074B-4354-9450-26C42CE2D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07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</xdr:row>
      <xdr:rowOff>0</xdr:rowOff>
    </xdr:from>
    <xdr:to>
      <xdr:col>13</xdr:col>
      <xdr:colOff>0</xdr:colOff>
      <xdr:row>79</xdr:row>
      <xdr:rowOff>148590</xdr:rowOff>
    </xdr:to>
    <xdr:pic>
      <xdr:nvPicPr>
        <xdr:cNvPr id="393" name="Imagen 392" descr="Ver detalle">
          <a:hlinkClick xmlns:r="http://schemas.openxmlformats.org/officeDocument/2006/relationships" r:id="rId344" tooltip="Ver detalle"/>
          <a:extLst>
            <a:ext uri="{FF2B5EF4-FFF2-40B4-BE49-F238E27FC236}">
              <a16:creationId xmlns:a16="http://schemas.microsoft.com/office/drawing/2014/main" id="{1E1BE28B-EC2D-459F-B7BC-E4C40E25F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27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</xdr:row>
      <xdr:rowOff>0</xdr:rowOff>
    </xdr:from>
    <xdr:to>
      <xdr:col>13</xdr:col>
      <xdr:colOff>0</xdr:colOff>
      <xdr:row>73</xdr:row>
      <xdr:rowOff>148590</xdr:rowOff>
    </xdr:to>
    <xdr:pic>
      <xdr:nvPicPr>
        <xdr:cNvPr id="394" name="Imagen 393" descr="Ver detalle">
          <a:hlinkClick xmlns:r="http://schemas.openxmlformats.org/officeDocument/2006/relationships" r:id="rId345" tooltip="Ver detalle"/>
          <a:extLst>
            <a:ext uri="{FF2B5EF4-FFF2-40B4-BE49-F238E27FC236}">
              <a16:creationId xmlns:a16="http://schemas.microsoft.com/office/drawing/2014/main" id="{DB466A9C-AB4E-49C2-A87A-1D8BEB242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47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</xdr:row>
      <xdr:rowOff>0</xdr:rowOff>
    </xdr:from>
    <xdr:to>
      <xdr:col>13</xdr:col>
      <xdr:colOff>0</xdr:colOff>
      <xdr:row>93</xdr:row>
      <xdr:rowOff>148590</xdr:rowOff>
    </xdr:to>
    <xdr:pic>
      <xdr:nvPicPr>
        <xdr:cNvPr id="395" name="Imagen 394" descr="Ver detalle">
          <a:hlinkClick xmlns:r="http://schemas.openxmlformats.org/officeDocument/2006/relationships" r:id="rId346" tooltip="Ver detalle"/>
          <a:extLst>
            <a:ext uri="{FF2B5EF4-FFF2-40B4-BE49-F238E27FC236}">
              <a16:creationId xmlns:a16="http://schemas.microsoft.com/office/drawing/2014/main" id="{87EC928F-710A-43B6-993C-E7EDB090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67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</xdr:row>
      <xdr:rowOff>0</xdr:rowOff>
    </xdr:from>
    <xdr:to>
      <xdr:col>13</xdr:col>
      <xdr:colOff>0</xdr:colOff>
      <xdr:row>94</xdr:row>
      <xdr:rowOff>114300</xdr:rowOff>
    </xdr:to>
    <xdr:pic>
      <xdr:nvPicPr>
        <xdr:cNvPr id="396" name="Imagen 395" descr="Ver detalle">
          <a:hlinkClick xmlns:r="http://schemas.openxmlformats.org/officeDocument/2006/relationships" r:id="rId347" tooltip="Ver detalle"/>
          <a:extLst>
            <a:ext uri="{FF2B5EF4-FFF2-40B4-BE49-F238E27FC236}">
              <a16:creationId xmlns:a16="http://schemas.microsoft.com/office/drawing/2014/main" id="{A78051DB-A16B-4880-9F70-C49A084BB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87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</xdr:row>
      <xdr:rowOff>0</xdr:rowOff>
    </xdr:from>
    <xdr:to>
      <xdr:col>13</xdr:col>
      <xdr:colOff>0</xdr:colOff>
      <xdr:row>71</xdr:row>
      <xdr:rowOff>148590</xdr:rowOff>
    </xdr:to>
    <xdr:pic>
      <xdr:nvPicPr>
        <xdr:cNvPr id="397" name="Imagen 396" descr="Ver detalle">
          <a:hlinkClick xmlns:r="http://schemas.openxmlformats.org/officeDocument/2006/relationships" r:id="rId348" tooltip="Ver detalle"/>
          <a:extLst>
            <a:ext uri="{FF2B5EF4-FFF2-40B4-BE49-F238E27FC236}">
              <a16:creationId xmlns:a16="http://schemas.microsoft.com/office/drawing/2014/main" id="{BBE08E79-F3E4-4A0E-A464-41D4647DC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21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</xdr:row>
      <xdr:rowOff>0</xdr:rowOff>
    </xdr:from>
    <xdr:to>
      <xdr:col>13</xdr:col>
      <xdr:colOff>0</xdr:colOff>
      <xdr:row>74</xdr:row>
      <xdr:rowOff>148590</xdr:rowOff>
    </xdr:to>
    <xdr:pic>
      <xdr:nvPicPr>
        <xdr:cNvPr id="398" name="Imagen 397" descr="Ver detalle">
          <a:hlinkClick xmlns:r="http://schemas.openxmlformats.org/officeDocument/2006/relationships" r:id="rId349" tooltip="Ver detalle"/>
          <a:extLst>
            <a:ext uri="{FF2B5EF4-FFF2-40B4-BE49-F238E27FC236}">
              <a16:creationId xmlns:a16="http://schemas.microsoft.com/office/drawing/2014/main" id="{BD14E0F2-2092-4A47-9C61-977C7DA8D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41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</xdr:row>
      <xdr:rowOff>0</xdr:rowOff>
    </xdr:from>
    <xdr:to>
      <xdr:col>13</xdr:col>
      <xdr:colOff>0</xdr:colOff>
      <xdr:row>75</xdr:row>
      <xdr:rowOff>148590</xdr:rowOff>
    </xdr:to>
    <xdr:pic>
      <xdr:nvPicPr>
        <xdr:cNvPr id="399" name="Imagen 398" descr="Ver detalle">
          <a:hlinkClick xmlns:r="http://schemas.openxmlformats.org/officeDocument/2006/relationships" r:id="rId350" tooltip="Ver detalle"/>
          <a:extLst>
            <a:ext uri="{FF2B5EF4-FFF2-40B4-BE49-F238E27FC236}">
              <a16:creationId xmlns:a16="http://schemas.microsoft.com/office/drawing/2014/main" id="{58D520F3-0064-4245-820C-17EE27E36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61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</xdr:row>
      <xdr:rowOff>0</xdr:rowOff>
    </xdr:from>
    <xdr:to>
      <xdr:col>13</xdr:col>
      <xdr:colOff>0</xdr:colOff>
      <xdr:row>68</xdr:row>
      <xdr:rowOff>148590</xdr:rowOff>
    </xdr:to>
    <xdr:pic>
      <xdr:nvPicPr>
        <xdr:cNvPr id="400" name="Imagen 399" descr="Ver detalle">
          <a:hlinkClick xmlns:r="http://schemas.openxmlformats.org/officeDocument/2006/relationships" r:id="rId351" tooltip="Ver detalle"/>
          <a:extLst>
            <a:ext uri="{FF2B5EF4-FFF2-40B4-BE49-F238E27FC236}">
              <a16:creationId xmlns:a16="http://schemas.microsoft.com/office/drawing/2014/main" id="{35071D18-F5BD-4CC7-9D9C-D5C3538F0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81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</xdr:row>
      <xdr:rowOff>0</xdr:rowOff>
    </xdr:from>
    <xdr:to>
      <xdr:col>13</xdr:col>
      <xdr:colOff>0</xdr:colOff>
      <xdr:row>69</xdr:row>
      <xdr:rowOff>148590</xdr:rowOff>
    </xdr:to>
    <xdr:pic>
      <xdr:nvPicPr>
        <xdr:cNvPr id="401" name="Imagen 400" descr="Ver detalle">
          <a:hlinkClick xmlns:r="http://schemas.openxmlformats.org/officeDocument/2006/relationships" r:id="rId352" tooltip="Ver detalle"/>
          <a:extLst>
            <a:ext uri="{FF2B5EF4-FFF2-40B4-BE49-F238E27FC236}">
              <a16:creationId xmlns:a16="http://schemas.microsoft.com/office/drawing/2014/main" id="{34751654-721C-493B-A032-80FE766EC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2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</xdr:row>
      <xdr:rowOff>0</xdr:rowOff>
    </xdr:from>
    <xdr:to>
      <xdr:col>13</xdr:col>
      <xdr:colOff>0</xdr:colOff>
      <xdr:row>67</xdr:row>
      <xdr:rowOff>148590</xdr:rowOff>
    </xdr:to>
    <xdr:pic>
      <xdr:nvPicPr>
        <xdr:cNvPr id="402" name="Imagen 401" descr="Ver detalle">
          <a:hlinkClick xmlns:r="http://schemas.openxmlformats.org/officeDocument/2006/relationships" r:id="rId353" tooltip="Ver detalle"/>
          <a:extLst>
            <a:ext uri="{FF2B5EF4-FFF2-40B4-BE49-F238E27FC236}">
              <a16:creationId xmlns:a16="http://schemas.microsoft.com/office/drawing/2014/main" id="{8C777305-564D-4C98-BCC8-80DCF9984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41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</xdr:row>
      <xdr:rowOff>0</xdr:rowOff>
    </xdr:from>
    <xdr:to>
      <xdr:col>13</xdr:col>
      <xdr:colOff>0</xdr:colOff>
      <xdr:row>66</xdr:row>
      <xdr:rowOff>148590</xdr:rowOff>
    </xdr:to>
    <xdr:pic>
      <xdr:nvPicPr>
        <xdr:cNvPr id="403" name="Imagen 402" descr="Ver detalle">
          <a:hlinkClick xmlns:r="http://schemas.openxmlformats.org/officeDocument/2006/relationships" r:id="rId354" tooltip="Ver detalle"/>
          <a:extLst>
            <a:ext uri="{FF2B5EF4-FFF2-40B4-BE49-F238E27FC236}">
              <a16:creationId xmlns:a16="http://schemas.microsoft.com/office/drawing/2014/main" id="{00ED91CF-9A39-4906-9458-2BEE5321A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61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</xdr:row>
      <xdr:rowOff>0</xdr:rowOff>
    </xdr:from>
    <xdr:to>
      <xdr:col>13</xdr:col>
      <xdr:colOff>0</xdr:colOff>
      <xdr:row>65</xdr:row>
      <xdr:rowOff>148590</xdr:rowOff>
    </xdr:to>
    <xdr:pic>
      <xdr:nvPicPr>
        <xdr:cNvPr id="404" name="Imagen 403" descr="Ver detalle">
          <a:hlinkClick xmlns:r="http://schemas.openxmlformats.org/officeDocument/2006/relationships" r:id="rId355" tooltip="Ver detalle"/>
          <a:extLst>
            <a:ext uri="{FF2B5EF4-FFF2-40B4-BE49-F238E27FC236}">
              <a16:creationId xmlns:a16="http://schemas.microsoft.com/office/drawing/2014/main" id="{B7326C9F-8C5A-4636-94D1-4806DD02E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81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</xdr:row>
      <xdr:rowOff>0</xdr:rowOff>
    </xdr:from>
    <xdr:to>
      <xdr:col>13</xdr:col>
      <xdr:colOff>0</xdr:colOff>
      <xdr:row>63</xdr:row>
      <xdr:rowOff>148590</xdr:rowOff>
    </xdr:to>
    <xdr:pic>
      <xdr:nvPicPr>
        <xdr:cNvPr id="405" name="Imagen 404" descr="Ver detalle">
          <a:hlinkClick xmlns:r="http://schemas.openxmlformats.org/officeDocument/2006/relationships" r:id="rId356" tooltip="Ver detalle"/>
          <a:extLst>
            <a:ext uri="{FF2B5EF4-FFF2-40B4-BE49-F238E27FC236}">
              <a16:creationId xmlns:a16="http://schemas.microsoft.com/office/drawing/2014/main" id="{2BE5751F-154D-43E7-AD04-E9C79C5F3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01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</xdr:row>
      <xdr:rowOff>0</xdr:rowOff>
    </xdr:from>
    <xdr:to>
      <xdr:col>13</xdr:col>
      <xdr:colOff>0</xdr:colOff>
      <xdr:row>62</xdr:row>
      <xdr:rowOff>148590</xdr:rowOff>
    </xdr:to>
    <xdr:pic>
      <xdr:nvPicPr>
        <xdr:cNvPr id="406" name="Imagen 405" descr="Ver detalle">
          <a:hlinkClick xmlns:r="http://schemas.openxmlformats.org/officeDocument/2006/relationships" r:id="rId357" tooltip="Ver detalle"/>
          <a:extLst>
            <a:ext uri="{FF2B5EF4-FFF2-40B4-BE49-F238E27FC236}">
              <a16:creationId xmlns:a16="http://schemas.microsoft.com/office/drawing/2014/main" id="{7F76816D-7CD2-41CF-9CE9-815A8875E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21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</xdr:row>
      <xdr:rowOff>0</xdr:rowOff>
    </xdr:from>
    <xdr:to>
      <xdr:col>13</xdr:col>
      <xdr:colOff>0</xdr:colOff>
      <xdr:row>64</xdr:row>
      <xdr:rowOff>148590</xdr:rowOff>
    </xdr:to>
    <xdr:pic>
      <xdr:nvPicPr>
        <xdr:cNvPr id="407" name="Imagen 406" descr="Ver detalle">
          <a:hlinkClick xmlns:r="http://schemas.openxmlformats.org/officeDocument/2006/relationships" r:id="rId358" tooltip="Ver detalle"/>
          <a:extLst>
            <a:ext uri="{FF2B5EF4-FFF2-40B4-BE49-F238E27FC236}">
              <a16:creationId xmlns:a16="http://schemas.microsoft.com/office/drawing/2014/main" id="{516EC3F8-F969-4EF6-B31C-5FCD6CDE2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41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</xdr:row>
      <xdr:rowOff>0</xdr:rowOff>
    </xdr:from>
    <xdr:to>
      <xdr:col>13</xdr:col>
      <xdr:colOff>0</xdr:colOff>
      <xdr:row>150</xdr:row>
      <xdr:rowOff>114300</xdr:rowOff>
    </xdr:to>
    <xdr:pic>
      <xdr:nvPicPr>
        <xdr:cNvPr id="408" name="Imagen 407" descr="Ver detalle">
          <a:hlinkClick xmlns:r="http://schemas.openxmlformats.org/officeDocument/2006/relationships" r:id="rId359" tooltip="Ver detalle"/>
          <a:extLst>
            <a:ext uri="{FF2B5EF4-FFF2-40B4-BE49-F238E27FC236}">
              <a16:creationId xmlns:a16="http://schemas.microsoft.com/office/drawing/2014/main" id="{7FFEEE19-8F0F-4825-A7DF-87E3E84E4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071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149</xdr:row>
      <xdr:rowOff>0</xdr:rowOff>
    </xdr:from>
    <xdr:to>
      <xdr:col>13</xdr:col>
      <xdr:colOff>329565</xdr:colOff>
      <xdr:row>150</xdr:row>
      <xdr:rowOff>114300</xdr:rowOff>
    </xdr:to>
    <xdr:pic>
      <xdr:nvPicPr>
        <xdr:cNvPr id="409" name="Imagen 408">
          <a:hlinkClick xmlns:r="http://schemas.openxmlformats.org/officeDocument/2006/relationships" r:id="rId360" tooltip="Quitar este incidente de la liquidación"/>
          <a:extLst>
            <a:ext uri="{FF2B5EF4-FFF2-40B4-BE49-F238E27FC236}">
              <a16:creationId xmlns:a16="http://schemas.microsoft.com/office/drawing/2014/main" id="{D477D339-A800-40FD-954B-71A7F5647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071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</xdr:row>
      <xdr:rowOff>0</xdr:rowOff>
    </xdr:from>
    <xdr:to>
      <xdr:col>13</xdr:col>
      <xdr:colOff>0</xdr:colOff>
      <xdr:row>149</xdr:row>
      <xdr:rowOff>114300</xdr:rowOff>
    </xdr:to>
    <xdr:pic>
      <xdr:nvPicPr>
        <xdr:cNvPr id="410" name="Imagen 409" descr="Ver detalle">
          <a:hlinkClick xmlns:r="http://schemas.openxmlformats.org/officeDocument/2006/relationships" r:id="rId361" tooltip="Ver detalle"/>
          <a:extLst>
            <a:ext uri="{FF2B5EF4-FFF2-40B4-BE49-F238E27FC236}">
              <a16:creationId xmlns:a16="http://schemas.microsoft.com/office/drawing/2014/main" id="{9550603E-09F2-4A8E-AD92-86C2D5B47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091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148</xdr:row>
      <xdr:rowOff>0</xdr:rowOff>
    </xdr:from>
    <xdr:to>
      <xdr:col>13</xdr:col>
      <xdr:colOff>329565</xdr:colOff>
      <xdr:row>149</xdr:row>
      <xdr:rowOff>114300</xdr:rowOff>
    </xdr:to>
    <xdr:pic>
      <xdr:nvPicPr>
        <xdr:cNvPr id="411" name="Imagen 410">
          <a:hlinkClick xmlns:r="http://schemas.openxmlformats.org/officeDocument/2006/relationships" r:id="rId362" tooltip="Quitar este incidente de la liquidación"/>
          <a:extLst>
            <a:ext uri="{FF2B5EF4-FFF2-40B4-BE49-F238E27FC236}">
              <a16:creationId xmlns:a16="http://schemas.microsoft.com/office/drawing/2014/main" id="{21DB510D-1C0B-4771-96EE-8377C9E7F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091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</xdr:row>
      <xdr:rowOff>0</xdr:rowOff>
    </xdr:from>
    <xdr:to>
      <xdr:col>13</xdr:col>
      <xdr:colOff>0</xdr:colOff>
      <xdr:row>143</xdr:row>
      <xdr:rowOff>114300</xdr:rowOff>
    </xdr:to>
    <xdr:pic>
      <xdr:nvPicPr>
        <xdr:cNvPr id="412" name="Imagen 411" descr="Ver detalle">
          <a:hlinkClick xmlns:r="http://schemas.openxmlformats.org/officeDocument/2006/relationships" r:id="rId363" tooltip="Ver detalle"/>
          <a:extLst>
            <a:ext uri="{FF2B5EF4-FFF2-40B4-BE49-F238E27FC236}">
              <a16:creationId xmlns:a16="http://schemas.microsoft.com/office/drawing/2014/main" id="{695CE53D-34E4-45B0-974F-0E89532A82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11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142</xdr:row>
      <xdr:rowOff>0</xdr:rowOff>
    </xdr:from>
    <xdr:to>
      <xdr:col>13</xdr:col>
      <xdr:colOff>329565</xdr:colOff>
      <xdr:row>143</xdr:row>
      <xdr:rowOff>114300</xdr:rowOff>
    </xdr:to>
    <xdr:pic>
      <xdr:nvPicPr>
        <xdr:cNvPr id="413" name="Imagen 412">
          <a:hlinkClick xmlns:r="http://schemas.openxmlformats.org/officeDocument/2006/relationships" r:id="rId364" tooltip="Quitar este incidente de la liquidación"/>
          <a:extLst>
            <a:ext uri="{FF2B5EF4-FFF2-40B4-BE49-F238E27FC236}">
              <a16:creationId xmlns:a16="http://schemas.microsoft.com/office/drawing/2014/main" id="{82E10A6A-7FA2-4629-9F6A-4D1633928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111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</xdr:row>
      <xdr:rowOff>0</xdr:rowOff>
    </xdr:from>
    <xdr:to>
      <xdr:col>13</xdr:col>
      <xdr:colOff>0</xdr:colOff>
      <xdr:row>145</xdr:row>
      <xdr:rowOff>114300</xdr:rowOff>
    </xdr:to>
    <xdr:pic>
      <xdr:nvPicPr>
        <xdr:cNvPr id="414" name="Imagen 413" descr="Ver detalle">
          <a:hlinkClick xmlns:r="http://schemas.openxmlformats.org/officeDocument/2006/relationships" r:id="rId365" tooltip="Ver detalle"/>
          <a:extLst>
            <a:ext uri="{FF2B5EF4-FFF2-40B4-BE49-F238E27FC236}">
              <a16:creationId xmlns:a16="http://schemas.microsoft.com/office/drawing/2014/main" id="{27982A7F-B89E-49B3-882B-02EA42E27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31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144</xdr:row>
      <xdr:rowOff>0</xdr:rowOff>
    </xdr:from>
    <xdr:to>
      <xdr:col>13</xdr:col>
      <xdr:colOff>329565</xdr:colOff>
      <xdr:row>145</xdr:row>
      <xdr:rowOff>114300</xdr:rowOff>
    </xdr:to>
    <xdr:pic>
      <xdr:nvPicPr>
        <xdr:cNvPr id="415" name="Imagen 414">
          <a:hlinkClick xmlns:r="http://schemas.openxmlformats.org/officeDocument/2006/relationships" r:id="rId366" tooltip="Quitar este incidente de la liquidación"/>
          <a:extLst>
            <a:ext uri="{FF2B5EF4-FFF2-40B4-BE49-F238E27FC236}">
              <a16:creationId xmlns:a16="http://schemas.microsoft.com/office/drawing/2014/main" id="{BC56B5D3-D9DB-450E-BE80-84EE75CD7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131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</xdr:row>
      <xdr:rowOff>0</xdr:rowOff>
    </xdr:from>
    <xdr:to>
      <xdr:col>13</xdr:col>
      <xdr:colOff>0</xdr:colOff>
      <xdr:row>144</xdr:row>
      <xdr:rowOff>114300</xdr:rowOff>
    </xdr:to>
    <xdr:pic>
      <xdr:nvPicPr>
        <xdr:cNvPr id="416" name="Imagen 415" descr="Ver detalle">
          <a:hlinkClick xmlns:r="http://schemas.openxmlformats.org/officeDocument/2006/relationships" r:id="rId367" tooltip="Ver detalle"/>
          <a:extLst>
            <a:ext uri="{FF2B5EF4-FFF2-40B4-BE49-F238E27FC236}">
              <a16:creationId xmlns:a16="http://schemas.microsoft.com/office/drawing/2014/main" id="{6B7CEA67-639C-4846-85ED-29F778FF3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51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143</xdr:row>
      <xdr:rowOff>0</xdr:rowOff>
    </xdr:from>
    <xdr:to>
      <xdr:col>13</xdr:col>
      <xdr:colOff>329565</xdr:colOff>
      <xdr:row>144</xdr:row>
      <xdr:rowOff>114300</xdr:rowOff>
    </xdr:to>
    <xdr:pic>
      <xdr:nvPicPr>
        <xdr:cNvPr id="417" name="Imagen 416">
          <a:hlinkClick xmlns:r="http://schemas.openxmlformats.org/officeDocument/2006/relationships" r:id="rId368" tooltip="Quitar este incidente de la liquidación"/>
          <a:extLst>
            <a:ext uri="{FF2B5EF4-FFF2-40B4-BE49-F238E27FC236}">
              <a16:creationId xmlns:a16="http://schemas.microsoft.com/office/drawing/2014/main" id="{F289AF55-B18B-4FFF-9FAD-F4D620E01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151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</xdr:row>
      <xdr:rowOff>0</xdr:rowOff>
    </xdr:from>
    <xdr:to>
      <xdr:col>13</xdr:col>
      <xdr:colOff>0</xdr:colOff>
      <xdr:row>141</xdr:row>
      <xdr:rowOff>114300</xdr:rowOff>
    </xdr:to>
    <xdr:pic>
      <xdr:nvPicPr>
        <xdr:cNvPr id="418" name="Imagen 417" descr="Ver detalle">
          <a:hlinkClick xmlns:r="http://schemas.openxmlformats.org/officeDocument/2006/relationships" r:id="rId369" tooltip="Ver detalle"/>
          <a:extLst>
            <a:ext uri="{FF2B5EF4-FFF2-40B4-BE49-F238E27FC236}">
              <a16:creationId xmlns:a16="http://schemas.microsoft.com/office/drawing/2014/main" id="{CDE43A7C-626E-4727-9641-655CE76F4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71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140</xdr:row>
      <xdr:rowOff>0</xdr:rowOff>
    </xdr:from>
    <xdr:to>
      <xdr:col>13</xdr:col>
      <xdr:colOff>329565</xdr:colOff>
      <xdr:row>141</xdr:row>
      <xdr:rowOff>114300</xdr:rowOff>
    </xdr:to>
    <xdr:pic>
      <xdr:nvPicPr>
        <xdr:cNvPr id="419" name="Imagen 418">
          <a:hlinkClick xmlns:r="http://schemas.openxmlformats.org/officeDocument/2006/relationships" r:id="rId370" tooltip="Quitar este incidente de la liquidación"/>
          <a:extLst>
            <a:ext uri="{FF2B5EF4-FFF2-40B4-BE49-F238E27FC236}">
              <a16:creationId xmlns:a16="http://schemas.microsoft.com/office/drawing/2014/main" id="{EFF206B7-251C-45A9-8A7E-67CC36D1D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171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</xdr:row>
      <xdr:rowOff>0</xdr:rowOff>
    </xdr:from>
    <xdr:to>
      <xdr:col>13</xdr:col>
      <xdr:colOff>0</xdr:colOff>
      <xdr:row>166</xdr:row>
      <xdr:rowOff>110490</xdr:rowOff>
    </xdr:to>
    <xdr:pic>
      <xdr:nvPicPr>
        <xdr:cNvPr id="420" name="Imagen 419" descr="Ver detalle">
          <a:hlinkClick xmlns:r="http://schemas.openxmlformats.org/officeDocument/2006/relationships" r:id="rId371" tooltip="Ver detalle"/>
          <a:extLst>
            <a:ext uri="{FF2B5EF4-FFF2-40B4-BE49-F238E27FC236}">
              <a16:creationId xmlns:a16="http://schemas.microsoft.com/office/drawing/2014/main" id="{1987B2C9-42CE-45CF-8194-5011BE9F7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91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165</xdr:row>
      <xdr:rowOff>0</xdr:rowOff>
    </xdr:from>
    <xdr:to>
      <xdr:col>13</xdr:col>
      <xdr:colOff>329565</xdr:colOff>
      <xdr:row>166</xdr:row>
      <xdr:rowOff>110490</xdr:rowOff>
    </xdr:to>
    <xdr:pic>
      <xdr:nvPicPr>
        <xdr:cNvPr id="421" name="Imagen 420">
          <a:hlinkClick xmlns:r="http://schemas.openxmlformats.org/officeDocument/2006/relationships" r:id="rId372" tooltip="Quitar este incidente de la liquidación"/>
          <a:extLst>
            <a:ext uri="{FF2B5EF4-FFF2-40B4-BE49-F238E27FC236}">
              <a16:creationId xmlns:a16="http://schemas.microsoft.com/office/drawing/2014/main" id="{4EBB161B-B96B-4CA1-B5F9-F608F6B54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191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</xdr:row>
      <xdr:rowOff>0</xdr:rowOff>
    </xdr:from>
    <xdr:to>
      <xdr:col>13</xdr:col>
      <xdr:colOff>0</xdr:colOff>
      <xdr:row>165</xdr:row>
      <xdr:rowOff>114300</xdr:rowOff>
    </xdr:to>
    <xdr:pic>
      <xdr:nvPicPr>
        <xdr:cNvPr id="422" name="Imagen 421" descr="Ver detalle">
          <a:hlinkClick xmlns:r="http://schemas.openxmlformats.org/officeDocument/2006/relationships" r:id="rId373" tooltip="Ver detalle"/>
          <a:extLst>
            <a:ext uri="{FF2B5EF4-FFF2-40B4-BE49-F238E27FC236}">
              <a16:creationId xmlns:a16="http://schemas.microsoft.com/office/drawing/2014/main" id="{3651367B-7DDF-4D39-8FE9-7FC8D4100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25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164</xdr:row>
      <xdr:rowOff>0</xdr:rowOff>
    </xdr:from>
    <xdr:to>
      <xdr:col>13</xdr:col>
      <xdr:colOff>329565</xdr:colOff>
      <xdr:row>165</xdr:row>
      <xdr:rowOff>114300</xdr:rowOff>
    </xdr:to>
    <xdr:pic>
      <xdr:nvPicPr>
        <xdr:cNvPr id="423" name="Imagen 422">
          <a:hlinkClick xmlns:r="http://schemas.openxmlformats.org/officeDocument/2006/relationships" r:id="rId374" tooltip="Quitar este incidente de la liquidación"/>
          <a:extLst>
            <a:ext uri="{FF2B5EF4-FFF2-40B4-BE49-F238E27FC236}">
              <a16:creationId xmlns:a16="http://schemas.microsoft.com/office/drawing/2014/main" id="{83A3B3E5-AAF1-4B89-9AC4-385CE6D40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225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</xdr:row>
      <xdr:rowOff>0</xdr:rowOff>
    </xdr:from>
    <xdr:to>
      <xdr:col>13</xdr:col>
      <xdr:colOff>0</xdr:colOff>
      <xdr:row>164</xdr:row>
      <xdr:rowOff>114300</xdr:rowOff>
    </xdr:to>
    <xdr:pic>
      <xdr:nvPicPr>
        <xdr:cNvPr id="424" name="Imagen 423" descr="Ver detalle">
          <a:hlinkClick xmlns:r="http://schemas.openxmlformats.org/officeDocument/2006/relationships" r:id="rId375" tooltip="Ver detalle"/>
          <a:extLst>
            <a:ext uri="{FF2B5EF4-FFF2-40B4-BE49-F238E27FC236}">
              <a16:creationId xmlns:a16="http://schemas.microsoft.com/office/drawing/2014/main" id="{93008A74-3CE1-43EE-AB13-1B0126878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45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163</xdr:row>
      <xdr:rowOff>0</xdr:rowOff>
    </xdr:from>
    <xdr:to>
      <xdr:col>13</xdr:col>
      <xdr:colOff>329565</xdr:colOff>
      <xdr:row>164</xdr:row>
      <xdr:rowOff>114300</xdr:rowOff>
    </xdr:to>
    <xdr:pic>
      <xdr:nvPicPr>
        <xdr:cNvPr id="425" name="Imagen 424">
          <a:hlinkClick xmlns:r="http://schemas.openxmlformats.org/officeDocument/2006/relationships" r:id="rId376" tooltip="Quitar este incidente de la liquidación"/>
          <a:extLst>
            <a:ext uri="{FF2B5EF4-FFF2-40B4-BE49-F238E27FC236}">
              <a16:creationId xmlns:a16="http://schemas.microsoft.com/office/drawing/2014/main" id="{D62934EE-29E7-4D73-8AC2-0B794BE25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245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</xdr:row>
      <xdr:rowOff>0</xdr:rowOff>
    </xdr:from>
    <xdr:to>
      <xdr:col>13</xdr:col>
      <xdr:colOff>0</xdr:colOff>
      <xdr:row>163</xdr:row>
      <xdr:rowOff>114300</xdr:rowOff>
    </xdr:to>
    <xdr:pic>
      <xdr:nvPicPr>
        <xdr:cNvPr id="426" name="Imagen 425" descr="Ver detalle">
          <a:hlinkClick xmlns:r="http://schemas.openxmlformats.org/officeDocument/2006/relationships" r:id="rId377" tooltip="Ver detalle"/>
          <a:extLst>
            <a:ext uri="{FF2B5EF4-FFF2-40B4-BE49-F238E27FC236}">
              <a16:creationId xmlns:a16="http://schemas.microsoft.com/office/drawing/2014/main" id="{CDA10D36-0E7D-4DB3-A844-C5152A345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65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162</xdr:row>
      <xdr:rowOff>0</xdr:rowOff>
    </xdr:from>
    <xdr:to>
      <xdr:col>13</xdr:col>
      <xdr:colOff>329565</xdr:colOff>
      <xdr:row>163</xdr:row>
      <xdr:rowOff>114300</xdr:rowOff>
    </xdr:to>
    <xdr:pic>
      <xdr:nvPicPr>
        <xdr:cNvPr id="427" name="Imagen 426">
          <a:hlinkClick xmlns:r="http://schemas.openxmlformats.org/officeDocument/2006/relationships" r:id="rId378" tooltip="Quitar este incidente de la liquidación"/>
          <a:extLst>
            <a:ext uri="{FF2B5EF4-FFF2-40B4-BE49-F238E27FC236}">
              <a16:creationId xmlns:a16="http://schemas.microsoft.com/office/drawing/2014/main" id="{566BE880-AE9F-4D55-9BD4-4EE939CBB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265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</xdr:row>
      <xdr:rowOff>0</xdr:rowOff>
    </xdr:from>
    <xdr:to>
      <xdr:col>13</xdr:col>
      <xdr:colOff>0</xdr:colOff>
      <xdr:row>138</xdr:row>
      <xdr:rowOff>114300</xdr:rowOff>
    </xdr:to>
    <xdr:pic>
      <xdr:nvPicPr>
        <xdr:cNvPr id="428" name="Imagen 427" descr="Ver detalle">
          <a:hlinkClick xmlns:r="http://schemas.openxmlformats.org/officeDocument/2006/relationships" r:id="rId379" tooltip="Ver detalle"/>
          <a:extLst>
            <a:ext uri="{FF2B5EF4-FFF2-40B4-BE49-F238E27FC236}">
              <a16:creationId xmlns:a16="http://schemas.microsoft.com/office/drawing/2014/main" id="{0C329931-34E6-41C1-8DA6-8D0A24049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85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137</xdr:row>
      <xdr:rowOff>0</xdr:rowOff>
    </xdr:from>
    <xdr:to>
      <xdr:col>13</xdr:col>
      <xdr:colOff>329565</xdr:colOff>
      <xdr:row>138</xdr:row>
      <xdr:rowOff>114300</xdr:rowOff>
    </xdr:to>
    <xdr:pic>
      <xdr:nvPicPr>
        <xdr:cNvPr id="429" name="Imagen 428">
          <a:hlinkClick xmlns:r="http://schemas.openxmlformats.org/officeDocument/2006/relationships" r:id="rId380" tooltip="Quitar este incidente de la liquidación"/>
          <a:extLst>
            <a:ext uri="{FF2B5EF4-FFF2-40B4-BE49-F238E27FC236}">
              <a16:creationId xmlns:a16="http://schemas.microsoft.com/office/drawing/2014/main" id="{3C2AA11F-0B98-4B4F-BB21-CD9DFB609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285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</xdr:row>
      <xdr:rowOff>0</xdr:rowOff>
    </xdr:from>
    <xdr:to>
      <xdr:col>13</xdr:col>
      <xdr:colOff>0</xdr:colOff>
      <xdr:row>139</xdr:row>
      <xdr:rowOff>114300</xdr:rowOff>
    </xdr:to>
    <xdr:pic>
      <xdr:nvPicPr>
        <xdr:cNvPr id="430" name="Imagen 429" descr="Ver detalle">
          <a:hlinkClick xmlns:r="http://schemas.openxmlformats.org/officeDocument/2006/relationships" r:id="rId381" tooltip="Ver detalle"/>
          <a:extLst>
            <a:ext uri="{FF2B5EF4-FFF2-40B4-BE49-F238E27FC236}">
              <a16:creationId xmlns:a16="http://schemas.microsoft.com/office/drawing/2014/main" id="{E983CB11-992B-4C00-9DAC-D4DCC3FD6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305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138</xdr:row>
      <xdr:rowOff>0</xdr:rowOff>
    </xdr:from>
    <xdr:to>
      <xdr:col>13</xdr:col>
      <xdr:colOff>329565</xdr:colOff>
      <xdr:row>139</xdr:row>
      <xdr:rowOff>114300</xdr:rowOff>
    </xdr:to>
    <xdr:pic>
      <xdr:nvPicPr>
        <xdr:cNvPr id="431" name="Imagen 430">
          <a:hlinkClick xmlns:r="http://schemas.openxmlformats.org/officeDocument/2006/relationships" r:id="rId382" tooltip="Quitar este incidente de la liquidación"/>
          <a:extLst>
            <a:ext uri="{FF2B5EF4-FFF2-40B4-BE49-F238E27FC236}">
              <a16:creationId xmlns:a16="http://schemas.microsoft.com/office/drawing/2014/main" id="{977525A7-A63F-46C5-9BDF-558330F67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305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</xdr:row>
      <xdr:rowOff>0</xdr:rowOff>
    </xdr:from>
    <xdr:to>
      <xdr:col>13</xdr:col>
      <xdr:colOff>0</xdr:colOff>
      <xdr:row>140</xdr:row>
      <xdr:rowOff>114300</xdr:rowOff>
    </xdr:to>
    <xdr:pic>
      <xdr:nvPicPr>
        <xdr:cNvPr id="432" name="Imagen 431" descr="Ver detalle">
          <a:hlinkClick xmlns:r="http://schemas.openxmlformats.org/officeDocument/2006/relationships" r:id="rId383" tooltip="Ver detalle"/>
          <a:extLst>
            <a:ext uri="{FF2B5EF4-FFF2-40B4-BE49-F238E27FC236}">
              <a16:creationId xmlns:a16="http://schemas.microsoft.com/office/drawing/2014/main" id="{F84E4E87-1322-4D9B-875A-65A92EA98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325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139</xdr:row>
      <xdr:rowOff>0</xdr:rowOff>
    </xdr:from>
    <xdr:to>
      <xdr:col>13</xdr:col>
      <xdr:colOff>329565</xdr:colOff>
      <xdr:row>140</xdr:row>
      <xdr:rowOff>114300</xdr:rowOff>
    </xdr:to>
    <xdr:pic>
      <xdr:nvPicPr>
        <xdr:cNvPr id="433" name="Imagen 432">
          <a:hlinkClick xmlns:r="http://schemas.openxmlformats.org/officeDocument/2006/relationships" r:id="rId384" tooltip="Quitar este incidente de la liquidación"/>
          <a:extLst>
            <a:ext uri="{FF2B5EF4-FFF2-40B4-BE49-F238E27FC236}">
              <a16:creationId xmlns:a16="http://schemas.microsoft.com/office/drawing/2014/main" id="{91D6117A-0C40-4F11-BBA0-D02A30906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325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</xdr:row>
      <xdr:rowOff>0</xdr:rowOff>
    </xdr:from>
    <xdr:to>
      <xdr:col>13</xdr:col>
      <xdr:colOff>0</xdr:colOff>
      <xdr:row>162</xdr:row>
      <xdr:rowOff>114300</xdr:rowOff>
    </xdr:to>
    <xdr:pic>
      <xdr:nvPicPr>
        <xdr:cNvPr id="434" name="Imagen 433" descr="Ver detalle">
          <a:hlinkClick xmlns:r="http://schemas.openxmlformats.org/officeDocument/2006/relationships" r:id="rId385" tooltip="Ver detalle"/>
          <a:extLst>
            <a:ext uri="{FF2B5EF4-FFF2-40B4-BE49-F238E27FC236}">
              <a16:creationId xmlns:a16="http://schemas.microsoft.com/office/drawing/2014/main" id="{D41BB1A8-4CFF-436B-8E3F-B5B329E58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345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161</xdr:row>
      <xdr:rowOff>0</xdr:rowOff>
    </xdr:from>
    <xdr:to>
      <xdr:col>13</xdr:col>
      <xdr:colOff>329565</xdr:colOff>
      <xdr:row>162</xdr:row>
      <xdr:rowOff>114300</xdr:rowOff>
    </xdr:to>
    <xdr:pic>
      <xdr:nvPicPr>
        <xdr:cNvPr id="435" name="Imagen 434">
          <a:hlinkClick xmlns:r="http://schemas.openxmlformats.org/officeDocument/2006/relationships" r:id="rId386" tooltip="Quitar este incidente de la liquidación"/>
          <a:extLst>
            <a:ext uri="{FF2B5EF4-FFF2-40B4-BE49-F238E27FC236}">
              <a16:creationId xmlns:a16="http://schemas.microsoft.com/office/drawing/2014/main" id="{4632AD3A-FFD1-46C6-80CB-B54DEC462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345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</xdr:row>
      <xdr:rowOff>0</xdr:rowOff>
    </xdr:from>
    <xdr:to>
      <xdr:col>13</xdr:col>
      <xdr:colOff>0</xdr:colOff>
      <xdr:row>161</xdr:row>
      <xdr:rowOff>114300</xdr:rowOff>
    </xdr:to>
    <xdr:pic>
      <xdr:nvPicPr>
        <xdr:cNvPr id="436" name="Imagen 435" descr="Ver detalle">
          <a:hlinkClick xmlns:r="http://schemas.openxmlformats.org/officeDocument/2006/relationships" r:id="rId387" tooltip="Ver detalle"/>
          <a:extLst>
            <a:ext uri="{FF2B5EF4-FFF2-40B4-BE49-F238E27FC236}">
              <a16:creationId xmlns:a16="http://schemas.microsoft.com/office/drawing/2014/main" id="{B2B598E5-485B-4C98-948C-EF3724EA6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365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160</xdr:row>
      <xdr:rowOff>0</xdr:rowOff>
    </xdr:from>
    <xdr:to>
      <xdr:col>13</xdr:col>
      <xdr:colOff>329565</xdr:colOff>
      <xdr:row>161</xdr:row>
      <xdr:rowOff>114300</xdr:rowOff>
    </xdr:to>
    <xdr:pic>
      <xdr:nvPicPr>
        <xdr:cNvPr id="437" name="Imagen 436">
          <a:hlinkClick xmlns:r="http://schemas.openxmlformats.org/officeDocument/2006/relationships" r:id="rId388" tooltip="Quitar este incidente de la liquidación"/>
          <a:extLst>
            <a:ext uri="{FF2B5EF4-FFF2-40B4-BE49-F238E27FC236}">
              <a16:creationId xmlns:a16="http://schemas.microsoft.com/office/drawing/2014/main" id="{D1AF1A8A-3B24-4E41-A078-FD39BADAF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365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</xdr:row>
      <xdr:rowOff>0</xdr:rowOff>
    </xdr:from>
    <xdr:to>
      <xdr:col>13</xdr:col>
      <xdr:colOff>0</xdr:colOff>
      <xdr:row>160</xdr:row>
      <xdr:rowOff>114300</xdr:rowOff>
    </xdr:to>
    <xdr:pic>
      <xdr:nvPicPr>
        <xdr:cNvPr id="438" name="Imagen 437" descr="Ver detalle">
          <a:hlinkClick xmlns:r="http://schemas.openxmlformats.org/officeDocument/2006/relationships" r:id="rId389" tooltip="Ver detalle"/>
          <a:extLst>
            <a:ext uri="{FF2B5EF4-FFF2-40B4-BE49-F238E27FC236}">
              <a16:creationId xmlns:a16="http://schemas.microsoft.com/office/drawing/2014/main" id="{CB0FA245-D639-4B3F-9CE4-EFCAA95E7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385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159</xdr:row>
      <xdr:rowOff>0</xdr:rowOff>
    </xdr:from>
    <xdr:to>
      <xdr:col>13</xdr:col>
      <xdr:colOff>329565</xdr:colOff>
      <xdr:row>160</xdr:row>
      <xdr:rowOff>114300</xdr:rowOff>
    </xdr:to>
    <xdr:pic>
      <xdr:nvPicPr>
        <xdr:cNvPr id="439" name="Imagen 438">
          <a:hlinkClick xmlns:r="http://schemas.openxmlformats.org/officeDocument/2006/relationships" r:id="rId390" tooltip="Quitar este incidente de la liquidación"/>
          <a:extLst>
            <a:ext uri="{FF2B5EF4-FFF2-40B4-BE49-F238E27FC236}">
              <a16:creationId xmlns:a16="http://schemas.microsoft.com/office/drawing/2014/main" id="{7CC28441-B483-4F9E-B80C-272D71165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385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</xdr:row>
      <xdr:rowOff>0</xdr:rowOff>
    </xdr:from>
    <xdr:to>
      <xdr:col>13</xdr:col>
      <xdr:colOff>0</xdr:colOff>
      <xdr:row>154</xdr:row>
      <xdr:rowOff>114300</xdr:rowOff>
    </xdr:to>
    <xdr:pic>
      <xdr:nvPicPr>
        <xdr:cNvPr id="440" name="Imagen 439" descr="Ver detalle">
          <a:hlinkClick xmlns:r="http://schemas.openxmlformats.org/officeDocument/2006/relationships" r:id="rId391" tooltip="Ver detalle"/>
          <a:extLst>
            <a:ext uri="{FF2B5EF4-FFF2-40B4-BE49-F238E27FC236}">
              <a16:creationId xmlns:a16="http://schemas.microsoft.com/office/drawing/2014/main" id="{AC9A5E2E-FFED-4EC4-8B5E-8FEC384CE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405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153</xdr:row>
      <xdr:rowOff>0</xdr:rowOff>
    </xdr:from>
    <xdr:to>
      <xdr:col>13</xdr:col>
      <xdr:colOff>329565</xdr:colOff>
      <xdr:row>154</xdr:row>
      <xdr:rowOff>114300</xdr:rowOff>
    </xdr:to>
    <xdr:pic>
      <xdr:nvPicPr>
        <xdr:cNvPr id="441" name="Imagen 440">
          <a:hlinkClick xmlns:r="http://schemas.openxmlformats.org/officeDocument/2006/relationships" r:id="rId392" tooltip="Quitar este incidente de la liquidación"/>
          <a:extLst>
            <a:ext uri="{FF2B5EF4-FFF2-40B4-BE49-F238E27FC236}">
              <a16:creationId xmlns:a16="http://schemas.microsoft.com/office/drawing/2014/main" id="{50D76984-E6D9-403D-BE1E-4AABA8EE9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405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</xdr:row>
      <xdr:rowOff>0</xdr:rowOff>
    </xdr:from>
    <xdr:to>
      <xdr:col>13</xdr:col>
      <xdr:colOff>0</xdr:colOff>
      <xdr:row>159</xdr:row>
      <xdr:rowOff>114300</xdr:rowOff>
    </xdr:to>
    <xdr:pic>
      <xdr:nvPicPr>
        <xdr:cNvPr id="442" name="Imagen 441" descr="Ver detalle">
          <a:hlinkClick xmlns:r="http://schemas.openxmlformats.org/officeDocument/2006/relationships" r:id="rId393" tooltip="Ver detalle"/>
          <a:extLst>
            <a:ext uri="{FF2B5EF4-FFF2-40B4-BE49-F238E27FC236}">
              <a16:creationId xmlns:a16="http://schemas.microsoft.com/office/drawing/2014/main" id="{400BF633-97E0-409C-AB37-75A6C4E7C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425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158</xdr:row>
      <xdr:rowOff>0</xdr:rowOff>
    </xdr:from>
    <xdr:to>
      <xdr:col>13</xdr:col>
      <xdr:colOff>329565</xdr:colOff>
      <xdr:row>159</xdr:row>
      <xdr:rowOff>114300</xdr:rowOff>
    </xdr:to>
    <xdr:pic>
      <xdr:nvPicPr>
        <xdr:cNvPr id="443" name="Imagen 442">
          <a:hlinkClick xmlns:r="http://schemas.openxmlformats.org/officeDocument/2006/relationships" r:id="rId394" tooltip="Quitar este incidente de la liquidación"/>
          <a:extLst>
            <a:ext uri="{FF2B5EF4-FFF2-40B4-BE49-F238E27FC236}">
              <a16:creationId xmlns:a16="http://schemas.microsoft.com/office/drawing/2014/main" id="{B434EEC8-B12D-4BA7-BF59-9F9134A34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425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</xdr:row>
      <xdr:rowOff>0</xdr:rowOff>
    </xdr:from>
    <xdr:to>
      <xdr:col>13</xdr:col>
      <xdr:colOff>0</xdr:colOff>
      <xdr:row>158</xdr:row>
      <xdr:rowOff>114300</xdr:rowOff>
    </xdr:to>
    <xdr:pic>
      <xdr:nvPicPr>
        <xdr:cNvPr id="444" name="Imagen 443" descr="Ver detalle">
          <a:hlinkClick xmlns:r="http://schemas.openxmlformats.org/officeDocument/2006/relationships" r:id="rId395" tooltip="Ver detalle"/>
          <a:extLst>
            <a:ext uri="{FF2B5EF4-FFF2-40B4-BE49-F238E27FC236}">
              <a16:creationId xmlns:a16="http://schemas.microsoft.com/office/drawing/2014/main" id="{EB423C0B-592F-4C38-9305-FEE488B14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445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157</xdr:row>
      <xdr:rowOff>0</xdr:rowOff>
    </xdr:from>
    <xdr:to>
      <xdr:col>13</xdr:col>
      <xdr:colOff>329565</xdr:colOff>
      <xdr:row>158</xdr:row>
      <xdr:rowOff>114300</xdr:rowOff>
    </xdr:to>
    <xdr:pic>
      <xdr:nvPicPr>
        <xdr:cNvPr id="445" name="Imagen 444">
          <a:hlinkClick xmlns:r="http://schemas.openxmlformats.org/officeDocument/2006/relationships" r:id="rId396" tooltip="Quitar este incidente de la liquidación"/>
          <a:extLst>
            <a:ext uri="{FF2B5EF4-FFF2-40B4-BE49-F238E27FC236}">
              <a16:creationId xmlns:a16="http://schemas.microsoft.com/office/drawing/2014/main" id="{D9445BDD-3EFC-42E0-B487-930604F82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445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</xdr:row>
      <xdr:rowOff>0</xdr:rowOff>
    </xdr:from>
    <xdr:to>
      <xdr:col>13</xdr:col>
      <xdr:colOff>0</xdr:colOff>
      <xdr:row>157</xdr:row>
      <xdr:rowOff>114300</xdr:rowOff>
    </xdr:to>
    <xdr:pic>
      <xdr:nvPicPr>
        <xdr:cNvPr id="446" name="Imagen 445" descr="Ver detalle">
          <a:hlinkClick xmlns:r="http://schemas.openxmlformats.org/officeDocument/2006/relationships" r:id="rId397" tooltip="Ver detalle"/>
          <a:extLst>
            <a:ext uri="{FF2B5EF4-FFF2-40B4-BE49-F238E27FC236}">
              <a16:creationId xmlns:a16="http://schemas.microsoft.com/office/drawing/2014/main" id="{9926E52A-82B2-45FF-8DA3-635F0FC6B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465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156</xdr:row>
      <xdr:rowOff>0</xdr:rowOff>
    </xdr:from>
    <xdr:to>
      <xdr:col>13</xdr:col>
      <xdr:colOff>329565</xdr:colOff>
      <xdr:row>157</xdr:row>
      <xdr:rowOff>114300</xdr:rowOff>
    </xdr:to>
    <xdr:pic>
      <xdr:nvPicPr>
        <xdr:cNvPr id="447" name="Imagen 446">
          <a:hlinkClick xmlns:r="http://schemas.openxmlformats.org/officeDocument/2006/relationships" r:id="rId398" tooltip="Quitar este incidente de la liquidación"/>
          <a:extLst>
            <a:ext uri="{FF2B5EF4-FFF2-40B4-BE49-F238E27FC236}">
              <a16:creationId xmlns:a16="http://schemas.microsoft.com/office/drawing/2014/main" id="{C98C128A-9DB0-40E6-9499-18F9834F9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465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</xdr:row>
      <xdr:rowOff>0</xdr:rowOff>
    </xdr:from>
    <xdr:to>
      <xdr:col>13</xdr:col>
      <xdr:colOff>0</xdr:colOff>
      <xdr:row>156</xdr:row>
      <xdr:rowOff>114300</xdr:rowOff>
    </xdr:to>
    <xdr:pic>
      <xdr:nvPicPr>
        <xdr:cNvPr id="448" name="Imagen 447" descr="Ver detalle">
          <a:hlinkClick xmlns:r="http://schemas.openxmlformats.org/officeDocument/2006/relationships" r:id="rId399" tooltip="Ver detalle"/>
          <a:extLst>
            <a:ext uri="{FF2B5EF4-FFF2-40B4-BE49-F238E27FC236}">
              <a16:creationId xmlns:a16="http://schemas.microsoft.com/office/drawing/2014/main" id="{22636B66-BA1C-4FC5-A673-46F78F905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485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155</xdr:row>
      <xdr:rowOff>0</xdr:rowOff>
    </xdr:from>
    <xdr:to>
      <xdr:col>13</xdr:col>
      <xdr:colOff>329565</xdr:colOff>
      <xdr:row>156</xdr:row>
      <xdr:rowOff>114300</xdr:rowOff>
    </xdr:to>
    <xdr:pic>
      <xdr:nvPicPr>
        <xdr:cNvPr id="449" name="Imagen 448">
          <a:hlinkClick xmlns:r="http://schemas.openxmlformats.org/officeDocument/2006/relationships" r:id="rId400" tooltip="Quitar este incidente de la liquidación"/>
          <a:extLst>
            <a:ext uri="{FF2B5EF4-FFF2-40B4-BE49-F238E27FC236}">
              <a16:creationId xmlns:a16="http://schemas.microsoft.com/office/drawing/2014/main" id="{4D1735E6-BB97-45F8-B133-890DA7FFE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485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</xdr:row>
      <xdr:rowOff>0</xdr:rowOff>
    </xdr:from>
    <xdr:to>
      <xdr:col>13</xdr:col>
      <xdr:colOff>0</xdr:colOff>
      <xdr:row>155</xdr:row>
      <xdr:rowOff>114300</xdr:rowOff>
    </xdr:to>
    <xdr:pic>
      <xdr:nvPicPr>
        <xdr:cNvPr id="450" name="Imagen 449" descr="Ver detalle">
          <a:hlinkClick xmlns:r="http://schemas.openxmlformats.org/officeDocument/2006/relationships" r:id="rId401" tooltip="Ver detalle"/>
          <a:extLst>
            <a:ext uri="{FF2B5EF4-FFF2-40B4-BE49-F238E27FC236}">
              <a16:creationId xmlns:a16="http://schemas.microsoft.com/office/drawing/2014/main" id="{9D192ACD-DCA6-4E6C-82FB-AB28C8559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505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154</xdr:row>
      <xdr:rowOff>0</xdr:rowOff>
    </xdr:from>
    <xdr:to>
      <xdr:col>13</xdr:col>
      <xdr:colOff>329565</xdr:colOff>
      <xdr:row>155</xdr:row>
      <xdr:rowOff>114300</xdr:rowOff>
    </xdr:to>
    <xdr:pic>
      <xdr:nvPicPr>
        <xdr:cNvPr id="451" name="Imagen 450">
          <a:hlinkClick xmlns:r="http://schemas.openxmlformats.org/officeDocument/2006/relationships" r:id="rId402" tooltip="Quitar este incidente de la liquidación"/>
          <a:extLst>
            <a:ext uri="{FF2B5EF4-FFF2-40B4-BE49-F238E27FC236}">
              <a16:creationId xmlns:a16="http://schemas.microsoft.com/office/drawing/2014/main" id="{3BB79FC3-28C6-46C0-966C-0484B6315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505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</xdr:row>
      <xdr:rowOff>0</xdr:rowOff>
    </xdr:from>
    <xdr:to>
      <xdr:col>13</xdr:col>
      <xdr:colOff>0</xdr:colOff>
      <xdr:row>153</xdr:row>
      <xdr:rowOff>114300</xdr:rowOff>
    </xdr:to>
    <xdr:pic>
      <xdr:nvPicPr>
        <xdr:cNvPr id="452" name="Imagen 451" descr="Ver detalle">
          <a:hlinkClick xmlns:r="http://schemas.openxmlformats.org/officeDocument/2006/relationships" r:id="rId403" tooltip="Ver detalle"/>
          <a:extLst>
            <a:ext uri="{FF2B5EF4-FFF2-40B4-BE49-F238E27FC236}">
              <a16:creationId xmlns:a16="http://schemas.microsoft.com/office/drawing/2014/main" id="{858B6187-A500-4C20-8F56-FF8A35C32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525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152</xdr:row>
      <xdr:rowOff>0</xdr:rowOff>
    </xdr:from>
    <xdr:to>
      <xdr:col>13</xdr:col>
      <xdr:colOff>329565</xdr:colOff>
      <xdr:row>153</xdr:row>
      <xdr:rowOff>114300</xdr:rowOff>
    </xdr:to>
    <xdr:pic>
      <xdr:nvPicPr>
        <xdr:cNvPr id="453" name="Imagen 452">
          <a:hlinkClick xmlns:r="http://schemas.openxmlformats.org/officeDocument/2006/relationships" r:id="rId404" tooltip="Quitar este incidente de la liquidación"/>
          <a:extLst>
            <a:ext uri="{FF2B5EF4-FFF2-40B4-BE49-F238E27FC236}">
              <a16:creationId xmlns:a16="http://schemas.microsoft.com/office/drawing/2014/main" id="{56D0B39E-B811-423D-ADE3-C6EB917F8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525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</xdr:row>
      <xdr:rowOff>0</xdr:rowOff>
    </xdr:from>
    <xdr:to>
      <xdr:col>13</xdr:col>
      <xdr:colOff>0</xdr:colOff>
      <xdr:row>152</xdr:row>
      <xdr:rowOff>114300</xdr:rowOff>
    </xdr:to>
    <xdr:pic>
      <xdr:nvPicPr>
        <xdr:cNvPr id="454" name="Imagen 453" descr="Ver detalle">
          <a:hlinkClick xmlns:r="http://schemas.openxmlformats.org/officeDocument/2006/relationships" r:id="rId405" tooltip="Ver detalle"/>
          <a:extLst>
            <a:ext uri="{FF2B5EF4-FFF2-40B4-BE49-F238E27FC236}">
              <a16:creationId xmlns:a16="http://schemas.microsoft.com/office/drawing/2014/main" id="{868A469B-17E1-416B-9F7D-13F4D3AB8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545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151</xdr:row>
      <xdr:rowOff>0</xdr:rowOff>
    </xdr:from>
    <xdr:to>
      <xdr:col>13</xdr:col>
      <xdr:colOff>329565</xdr:colOff>
      <xdr:row>152</xdr:row>
      <xdr:rowOff>114300</xdr:rowOff>
    </xdr:to>
    <xdr:pic>
      <xdr:nvPicPr>
        <xdr:cNvPr id="455" name="Imagen 454">
          <a:hlinkClick xmlns:r="http://schemas.openxmlformats.org/officeDocument/2006/relationships" r:id="rId406" tooltip="Quitar este incidente de la liquidación"/>
          <a:extLst>
            <a:ext uri="{FF2B5EF4-FFF2-40B4-BE49-F238E27FC236}">
              <a16:creationId xmlns:a16="http://schemas.microsoft.com/office/drawing/2014/main" id="{E7007657-7EE4-46EC-B147-D67EA11F7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545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</xdr:row>
      <xdr:rowOff>0</xdr:rowOff>
    </xdr:from>
    <xdr:to>
      <xdr:col>13</xdr:col>
      <xdr:colOff>0</xdr:colOff>
      <xdr:row>131</xdr:row>
      <xdr:rowOff>114300</xdr:rowOff>
    </xdr:to>
    <xdr:pic>
      <xdr:nvPicPr>
        <xdr:cNvPr id="456" name="Imagen 455" descr="Ver detalle">
          <a:hlinkClick xmlns:r="http://schemas.openxmlformats.org/officeDocument/2006/relationships" r:id="rId407" tooltip="Ver detalle"/>
          <a:extLst>
            <a:ext uri="{FF2B5EF4-FFF2-40B4-BE49-F238E27FC236}">
              <a16:creationId xmlns:a16="http://schemas.microsoft.com/office/drawing/2014/main" id="{7C25871C-1FC4-4294-99BF-01BC118E5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585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130</xdr:row>
      <xdr:rowOff>0</xdr:rowOff>
    </xdr:from>
    <xdr:to>
      <xdr:col>13</xdr:col>
      <xdr:colOff>329565</xdr:colOff>
      <xdr:row>131</xdr:row>
      <xdr:rowOff>114300</xdr:rowOff>
    </xdr:to>
    <xdr:pic>
      <xdr:nvPicPr>
        <xdr:cNvPr id="457" name="Imagen 456">
          <a:hlinkClick xmlns:r="http://schemas.openxmlformats.org/officeDocument/2006/relationships" r:id="rId408" tooltip="Quitar este incidente de la liquidación"/>
          <a:extLst>
            <a:ext uri="{FF2B5EF4-FFF2-40B4-BE49-F238E27FC236}">
              <a16:creationId xmlns:a16="http://schemas.microsoft.com/office/drawing/2014/main" id="{3F0681D8-DB3E-4B02-B1D6-F76AE318FB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585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</xdr:row>
      <xdr:rowOff>0</xdr:rowOff>
    </xdr:from>
    <xdr:to>
      <xdr:col>13</xdr:col>
      <xdr:colOff>0</xdr:colOff>
      <xdr:row>137</xdr:row>
      <xdr:rowOff>114300</xdr:rowOff>
    </xdr:to>
    <xdr:pic>
      <xdr:nvPicPr>
        <xdr:cNvPr id="458" name="Imagen 457" descr="Ver detalle">
          <a:hlinkClick xmlns:r="http://schemas.openxmlformats.org/officeDocument/2006/relationships" r:id="rId409" tooltip="Ver detalle"/>
          <a:extLst>
            <a:ext uri="{FF2B5EF4-FFF2-40B4-BE49-F238E27FC236}">
              <a16:creationId xmlns:a16="http://schemas.microsoft.com/office/drawing/2014/main" id="{F18BBF21-CBE5-4701-BA5C-0D4883423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605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136</xdr:row>
      <xdr:rowOff>0</xdr:rowOff>
    </xdr:from>
    <xdr:to>
      <xdr:col>13</xdr:col>
      <xdr:colOff>329565</xdr:colOff>
      <xdr:row>137</xdr:row>
      <xdr:rowOff>114300</xdr:rowOff>
    </xdr:to>
    <xdr:pic>
      <xdr:nvPicPr>
        <xdr:cNvPr id="459" name="Imagen 458">
          <a:hlinkClick xmlns:r="http://schemas.openxmlformats.org/officeDocument/2006/relationships" r:id="rId410" tooltip="Quitar este incidente de la liquidación"/>
          <a:extLst>
            <a:ext uri="{FF2B5EF4-FFF2-40B4-BE49-F238E27FC236}">
              <a16:creationId xmlns:a16="http://schemas.microsoft.com/office/drawing/2014/main" id="{5C522FCB-9544-44FF-92BA-551CF892A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605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</xdr:row>
      <xdr:rowOff>0</xdr:rowOff>
    </xdr:from>
    <xdr:to>
      <xdr:col>13</xdr:col>
      <xdr:colOff>0</xdr:colOff>
      <xdr:row>133</xdr:row>
      <xdr:rowOff>114300</xdr:rowOff>
    </xdr:to>
    <xdr:pic>
      <xdr:nvPicPr>
        <xdr:cNvPr id="460" name="Imagen 459" descr="Ver detalle">
          <a:hlinkClick xmlns:r="http://schemas.openxmlformats.org/officeDocument/2006/relationships" r:id="rId411" tooltip="Ver detalle"/>
          <a:extLst>
            <a:ext uri="{FF2B5EF4-FFF2-40B4-BE49-F238E27FC236}">
              <a16:creationId xmlns:a16="http://schemas.microsoft.com/office/drawing/2014/main" id="{2BEC40FF-D715-4AF7-B1DC-3E4162D296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625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132</xdr:row>
      <xdr:rowOff>0</xdr:rowOff>
    </xdr:from>
    <xdr:to>
      <xdr:col>13</xdr:col>
      <xdr:colOff>329565</xdr:colOff>
      <xdr:row>133</xdr:row>
      <xdr:rowOff>114300</xdr:rowOff>
    </xdr:to>
    <xdr:pic>
      <xdr:nvPicPr>
        <xdr:cNvPr id="461" name="Imagen 460">
          <a:hlinkClick xmlns:r="http://schemas.openxmlformats.org/officeDocument/2006/relationships" r:id="rId412" tooltip="Quitar este incidente de la liquidación"/>
          <a:extLst>
            <a:ext uri="{FF2B5EF4-FFF2-40B4-BE49-F238E27FC236}">
              <a16:creationId xmlns:a16="http://schemas.microsoft.com/office/drawing/2014/main" id="{CEE7208F-7944-4B88-B4CB-04DEB161B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625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</xdr:row>
      <xdr:rowOff>0</xdr:rowOff>
    </xdr:from>
    <xdr:to>
      <xdr:col>13</xdr:col>
      <xdr:colOff>0</xdr:colOff>
      <xdr:row>134</xdr:row>
      <xdr:rowOff>114300</xdr:rowOff>
    </xdr:to>
    <xdr:pic>
      <xdr:nvPicPr>
        <xdr:cNvPr id="462" name="Imagen 461" descr="Ver detalle">
          <a:hlinkClick xmlns:r="http://schemas.openxmlformats.org/officeDocument/2006/relationships" r:id="rId413" tooltip="Ver detalle"/>
          <a:extLst>
            <a:ext uri="{FF2B5EF4-FFF2-40B4-BE49-F238E27FC236}">
              <a16:creationId xmlns:a16="http://schemas.microsoft.com/office/drawing/2014/main" id="{595DD639-D732-4772-9BE6-92ED099FD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658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133</xdr:row>
      <xdr:rowOff>0</xdr:rowOff>
    </xdr:from>
    <xdr:to>
      <xdr:col>13</xdr:col>
      <xdr:colOff>329565</xdr:colOff>
      <xdr:row>134</xdr:row>
      <xdr:rowOff>114300</xdr:rowOff>
    </xdr:to>
    <xdr:pic>
      <xdr:nvPicPr>
        <xdr:cNvPr id="463" name="Imagen 462">
          <a:hlinkClick xmlns:r="http://schemas.openxmlformats.org/officeDocument/2006/relationships" r:id="rId414" tooltip="Quitar este incidente de la liquidación"/>
          <a:extLst>
            <a:ext uri="{FF2B5EF4-FFF2-40B4-BE49-F238E27FC236}">
              <a16:creationId xmlns:a16="http://schemas.microsoft.com/office/drawing/2014/main" id="{2B2D37A9-A3D8-4271-AE42-184D2D64C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658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</xdr:row>
      <xdr:rowOff>0</xdr:rowOff>
    </xdr:from>
    <xdr:to>
      <xdr:col>13</xdr:col>
      <xdr:colOff>0</xdr:colOff>
      <xdr:row>142</xdr:row>
      <xdr:rowOff>114300</xdr:rowOff>
    </xdr:to>
    <xdr:pic>
      <xdr:nvPicPr>
        <xdr:cNvPr id="464" name="Imagen 463" descr="Ver detalle">
          <a:hlinkClick xmlns:r="http://schemas.openxmlformats.org/officeDocument/2006/relationships" r:id="rId415" tooltip="Ver detalle"/>
          <a:extLst>
            <a:ext uri="{FF2B5EF4-FFF2-40B4-BE49-F238E27FC236}">
              <a16:creationId xmlns:a16="http://schemas.microsoft.com/office/drawing/2014/main" id="{0BCCACC6-E5D3-4227-BF2B-76C49272A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678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141</xdr:row>
      <xdr:rowOff>0</xdr:rowOff>
    </xdr:from>
    <xdr:to>
      <xdr:col>13</xdr:col>
      <xdr:colOff>329565</xdr:colOff>
      <xdr:row>142</xdr:row>
      <xdr:rowOff>114300</xdr:rowOff>
    </xdr:to>
    <xdr:pic>
      <xdr:nvPicPr>
        <xdr:cNvPr id="465" name="Imagen 464">
          <a:hlinkClick xmlns:r="http://schemas.openxmlformats.org/officeDocument/2006/relationships" r:id="rId416" tooltip="Quitar este incidente de la liquidación"/>
          <a:extLst>
            <a:ext uri="{FF2B5EF4-FFF2-40B4-BE49-F238E27FC236}">
              <a16:creationId xmlns:a16="http://schemas.microsoft.com/office/drawing/2014/main" id="{EB1BD93F-5294-48BE-B7F8-DAC438F47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678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</xdr:row>
      <xdr:rowOff>0</xdr:rowOff>
    </xdr:from>
    <xdr:to>
      <xdr:col>13</xdr:col>
      <xdr:colOff>0</xdr:colOff>
      <xdr:row>135</xdr:row>
      <xdr:rowOff>114300</xdr:rowOff>
    </xdr:to>
    <xdr:pic>
      <xdr:nvPicPr>
        <xdr:cNvPr id="466" name="Imagen 465" descr="Ver detalle">
          <a:hlinkClick xmlns:r="http://schemas.openxmlformats.org/officeDocument/2006/relationships" r:id="rId417" tooltip="Ver detalle"/>
          <a:extLst>
            <a:ext uri="{FF2B5EF4-FFF2-40B4-BE49-F238E27FC236}">
              <a16:creationId xmlns:a16="http://schemas.microsoft.com/office/drawing/2014/main" id="{9B19F39C-E35C-4A0D-ACA0-EC8B3E0A7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698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134</xdr:row>
      <xdr:rowOff>0</xdr:rowOff>
    </xdr:from>
    <xdr:to>
      <xdr:col>13</xdr:col>
      <xdr:colOff>329565</xdr:colOff>
      <xdr:row>135</xdr:row>
      <xdr:rowOff>114300</xdr:rowOff>
    </xdr:to>
    <xdr:pic>
      <xdr:nvPicPr>
        <xdr:cNvPr id="467" name="Imagen 466">
          <a:hlinkClick xmlns:r="http://schemas.openxmlformats.org/officeDocument/2006/relationships" r:id="rId418" tooltip="Quitar este incidente de la liquidación"/>
          <a:extLst>
            <a:ext uri="{FF2B5EF4-FFF2-40B4-BE49-F238E27FC236}">
              <a16:creationId xmlns:a16="http://schemas.microsoft.com/office/drawing/2014/main" id="{43156B45-CF8F-4AC2-AE5C-58D623FFA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698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</xdr:row>
      <xdr:rowOff>0</xdr:rowOff>
    </xdr:from>
    <xdr:to>
      <xdr:col>13</xdr:col>
      <xdr:colOff>0</xdr:colOff>
      <xdr:row>128</xdr:row>
      <xdr:rowOff>114300</xdr:rowOff>
    </xdr:to>
    <xdr:pic>
      <xdr:nvPicPr>
        <xdr:cNvPr id="468" name="Imagen 467" descr="Ver detalle">
          <a:hlinkClick xmlns:r="http://schemas.openxmlformats.org/officeDocument/2006/relationships" r:id="rId419" tooltip="Ver detalle"/>
          <a:extLst>
            <a:ext uri="{FF2B5EF4-FFF2-40B4-BE49-F238E27FC236}">
              <a16:creationId xmlns:a16="http://schemas.microsoft.com/office/drawing/2014/main" id="{48AD5B51-BB36-4C3D-AFFA-6F27DC79B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718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127</xdr:row>
      <xdr:rowOff>0</xdr:rowOff>
    </xdr:from>
    <xdr:to>
      <xdr:col>13</xdr:col>
      <xdr:colOff>329565</xdr:colOff>
      <xdr:row>128</xdr:row>
      <xdr:rowOff>114300</xdr:rowOff>
    </xdr:to>
    <xdr:pic>
      <xdr:nvPicPr>
        <xdr:cNvPr id="469" name="Imagen 468">
          <a:hlinkClick xmlns:r="http://schemas.openxmlformats.org/officeDocument/2006/relationships" r:id="rId420" tooltip="Quitar este incidente de la liquidación"/>
          <a:extLst>
            <a:ext uri="{FF2B5EF4-FFF2-40B4-BE49-F238E27FC236}">
              <a16:creationId xmlns:a16="http://schemas.microsoft.com/office/drawing/2014/main" id="{F3528C55-2ACB-4B31-91AF-7F5953638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718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</xdr:row>
      <xdr:rowOff>0</xdr:rowOff>
    </xdr:from>
    <xdr:to>
      <xdr:col>13</xdr:col>
      <xdr:colOff>0</xdr:colOff>
      <xdr:row>129</xdr:row>
      <xdr:rowOff>114300</xdr:rowOff>
    </xdr:to>
    <xdr:pic>
      <xdr:nvPicPr>
        <xdr:cNvPr id="470" name="Imagen 469" descr="Ver detalle">
          <a:hlinkClick xmlns:r="http://schemas.openxmlformats.org/officeDocument/2006/relationships" r:id="rId421" tooltip="Ver detalle"/>
          <a:extLst>
            <a:ext uri="{FF2B5EF4-FFF2-40B4-BE49-F238E27FC236}">
              <a16:creationId xmlns:a16="http://schemas.microsoft.com/office/drawing/2014/main" id="{BF23A541-34E4-498E-815E-733F5277D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751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128</xdr:row>
      <xdr:rowOff>0</xdr:rowOff>
    </xdr:from>
    <xdr:to>
      <xdr:col>13</xdr:col>
      <xdr:colOff>329565</xdr:colOff>
      <xdr:row>129</xdr:row>
      <xdr:rowOff>114300</xdr:rowOff>
    </xdr:to>
    <xdr:pic>
      <xdr:nvPicPr>
        <xdr:cNvPr id="471" name="Imagen 470">
          <a:hlinkClick xmlns:r="http://schemas.openxmlformats.org/officeDocument/2006/relationships" r:id="rId422" tooltip="Quitar este incidente de la liquidación"/>
          <a:extLst>
            <a:ext uri="{FF2B5EF4-FFF2-40B4-BE49-F238E27FC236}">
              <a16:creationId xmlns:a16="http://schemas.microsoft.com/office/drawing/2014/main" id="{69FE0A9C-C72F-4C18-9B2A-7745EF6B0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751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</xdr:row>
      <xdr:rowOff>0</xdr:rowOff>
    </xdr:from>
    <xdr:to>
      <xdr:col>13</xdr:col>
      <xdr:colOff>0</xdr:colOff>
      <xdr:row>127</xdr:row>
      <xdr:rowOff>114300</xdr:rowOff>
    </xdr:to>
    <xdr:pic>
      <xdr:nvPicPr>
        <xdr:cNvPr id="472" name="Imagen 471" descr="Ver detalle">
          <a:hlinkClick xmlns:r="http://schemas.openxmlformats.org/officeDocument/2006/relationships" r:id="rId423" tooltip="Ver detalle"/>
          <a:extLst>
            <a:ext uri="{FF2B5EF4-FFF2-40B4-BE49-F238E27FC236}">
              <a16:creationId xmlns:a16="http://schemas.microsoft.com/office/drawing/2014/main" id="{9F4F9EFB-00C2-4B8F-9078-C39200790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771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126</xdr:row>
      <xdr:rowOff>0</xdr:rowOff>
    </xdr:from>
    <xdr:to>
      <xdr:col>13</xdr:col>
      <xdr:colOff>329565</xdr:colOff>
      <xdr:row>127</xdr:row>
      <xdr:rowOff>114300</xdr:rowOff>
    </xdr:to>
    <xdr:pic>
      <xdr:nvPicPr>
        <xdr:cNvPr id="473" name="Imagen 472">
          <a:hlinkClick xmlns:r="http://schemas.openxmlformats.org/officeDocument/2006/relationships" r:id="rId424" tooltip="Quitar este incidente de la liquidación"/>
          <a:extLst>
            <a:ext uri="{FF2B5EF4-FFF2-40B4-BE49-F238E27FC236}">
              <a16:creationId xmlns:a16="http://schemas.microsoft.com/office/drawing/2014/main" id="{344EE7BC-636F-4F67-A3AE-96DBBE6B8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771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</xdr:row>
      <xdr:rowOff>0</xdr:rowOff>
    </xdr:from>
    <xdr:to>
      <xdr:col>13</xdr:col>
      <xdr:colOff>0</xdr:colOff>
      <xdr:row>126</xdr:row>
      <xdr:rowOff>114300</xdr:rowOff>
    </xdr:to>
    <xdr:pic>
      <xdr:nvPicPr>
        <xdr:cNvPr id="474" name="Imagen 473" descr="Ver detalle">
          <a:hlinkClick xmlns:r="http://schemas.openxmlformats.org/officeDocument/2006/relationships" r:id="rId425" tooltip="Ver detalle"/>
          <a:extLst>
            <a:ext uri="{FF2B5EF4-FFF2-40B4-BE49-F238E27FC236}">
              <a16:creationId xmlns:a16="http://schemas.microsoft.com/office/drawing/2014/main" id="{F9D591E2-C1FD-4724-9521-2B9BBD4DB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791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125</xdr:row>
      <xdr:rowOff>0</xdr:rowOff>
    </xdr:from>
    <xdr:to>
      <xdr:col>13</xdr:col>
      <xdr:colOff>329565</xdr:colOff>
      <xdr:row>126</xdr:row>
      <xdr:rowOff>114300</xdr:rowOff>
    </xdr:to>
    <xdr:pic>
      <xdr:nvPicPr>
        <xdr:cNvPr id="475" name="Imagen 474">
          <a:hlinkClick xmlns:r="http://schemas.openxmlformats.org/officeDocument/2006/relationships" r:id="rId426" tooltip="Quitar este incidente de la liquidación"/>
          <a:extLst>
            <a:ext uri="{FF2B5EF4-FFF2-40B4-BE49-F238E27FC236}">
              <a16:creationId xmlns:a16="http://schemas.microsoft.com/office/drawing/2014/main" id="{9A41177C-D5CC-47DE-9345-0330DA373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791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</xdr:row>
      <xdr:rowOff>0</xdr:rowOff>
    </xdr:from>
    <xdr:to>
      <xdr:col>13</xdr:col>
      <xdr:colOff>0</xdr:colOff>
      <xdr:row>123</xdr:row>
      <xdr:rowOff>114300</xdr:rowOff>
    </xdr:to>
    <xdr:pic>
      <xdr:nvPicPr>
        <xdr:cNvPr id="476" name="Imagen 475" descr="Ver detalle">
          <a:hlinkClick xmlns:r="http://schemas.openxmlformats.org/officeDocument/2006/relationships" r:id="rId427" tooltip="Ver detalle"/>
          <a:extLst>
            <a:ext uri="{FF2B5EF4-FFF2-40B4-BE49-F238E27FC236}">
              <a16:creationId xmlns:a16="http://schemas.microsoft.com/office/drawing/2014/main" id="{27C4C14E-ED1F-4311-9C1F-63832A876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811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122</xdr:row>
      <xdr:rowOff>0</xdr:rowOff>
    </xdr:from>
    <xdr:to>
      <xdr:col>13</xdr:col>
      <xdr:colOff>329565</xdr:colOff>
      <xdr:row>123</xdr:row>
      <xdr:rowOff>114300</xdr:rowOff>
    </xdr:to>
    <xdr:pic>
      <xdr:nvPicPr>
        <xdr:cNvPr id="477" name="Imagen 476">
          <a:hlinkClick xmlns:r="http://schemas.openxmlformats.org/officeDocument/2006/relationships" r:id="rId428" tooltip="Quitar este incidente de la liquidación"/>
          <a:extLst>
            <a:ext uri="{FF2B5EF4-FFF2-40B4-BE49-F238E27FC236}">
              <a16:creationId xmlns:a16="http://schemas.microsoft.com/office/drawing/2014/main" id="{03B03648-0470-41BF-A57F-DAE1D860B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811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</xdr:row>
      <xdr:rowOff>0</xdr:rowOff>
    </xdr:from>
    <xdr:to>
      <xdr:col>13</xdr:col>
      <xdr:colOff>0</xdr:colOff>
      <xdr:row>121</xdr:row>
      <xdr:rowOff>114300</xdr:rowOff>
    </xdr:to>
    <xdr:pic>
      <xdr:nvPicPr>
        <xdr:cNvPr id="478" name="Imagen 477" descr="Ver detalle">
          <a:hlinkClick xmlns:r="http://schemas.openxmlformats.org/officeDocument/2006/relationships" r:id="rId429" tooltip="Ver detalle"/>
          <a:extLst>
            <a:ext uri="{FF2B5EF4-FFF2-40B4-BE49-F238E27FC236}">
              <a16:creationId xmlns:a16="http://schemas.microsoft.com/office/drawing/2014/main" id="{1240D21C-5B9F-4D9B-A038-BD499E6C7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831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120</xdr:row>
      <xdr:rowOff>0</xdr:rowOff>
    </xdr:from>
    <xdr:to>
      <xdr:col>13</xdr:col>
      <xdr:colOff>329565</xdr:colOff>
      <xdr:row>121</xdr:row>
      <xdr:rowOff>114300</xdr:rowOff>
    </xdr:to>
    <xdr:pic>
      <xdr:nvPicPr>
        <xdr:cNvPr id="479" name="Imagen 478">
          <a:hlinkClick xmlns:r="http://schemas.openxmlformats.org/officeDocument/2006/relationships" r:id="rId430" tooltip="Quitar este incidente de la liquidación"/>
          <a:extLst>
            <a:ext uri="{FF2B5EF4-FFF2-40B4-BE49-F238E27FC236}">
              <a16:creationId xmlns:a16="http://schemas.microsoft.com/office/drawing/2014/main" id="{D8F38FCF-C260-44CB-80CD-334214652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831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</xdr:row>
      <xdr:rowOff>0</xdr:rowOff>
    </xdr:from>
    <xdr:to>
      <xdr:col>13</xdr:col>
      <xdr:colOff>0</xdr:colOff>
      <xdr:row>125</xdr:row>
      <xdr:rowOff>114300</xdr:rowOff>
    </xdr:to>
    <xdr:pic>
      <xdr:nvPicPr>
        <xdr:cNvPr id="480" name="Imagen 479" descr="Ver detalle">
          <a:hlinkClick xmlns:r="http://schemas.openxmlformats.org/officeDocument/2006/relationships" r:id="rId431" tooltip="Ver detalle"/>
          <a:extLst>
            <a:ext uri="{FF2B5EF4-FFF2-40B4-BE49-F238E27FC236}">
              <a16:creationId xmlns:a16="http://schemas.microsoft.com/office/drawing/2014/main" id="{D3C567CB-B380-440A-99AF-031A46A39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851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124</xdr:row>
      <xdr:rowOff>0</xdr:rowOff>
    </xdr:from>
    <xdr:to>
      <xdr:col>13</xdr:col>
      <xdr:colOff>329565</xdr:colOff>
      <xdr:row>125</xdr:row>
      <xdr:rowOff>114300</xdr:rowOff>
    </xdr:to>
    <xdr:pic>
      <xdr:nvPicPr>
        <xdr:cNvPr id="481" name="Imagen 480">
          <a:hlinkClick xmlns:r="http://schemas.openxmlformats.org/officeDocument/2006/relationships" r:id="rId432" tooltip="Quitar este incidente de la liquidación"/>
          <a:extLst>
            <a:ext uri="{FF2B5EF4-FFF2-40B4-BE49-F238E27FC236}">
              <a16:creationId xmlns:a16="http://schemas.microsoft.com/office/drawing/2014/main" id="{B4713DCC-0246-4964-BA42-B1D1AC254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851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</xdr:row>
      <xdr:rowOff>0</xdr:rowOff>
    </xdr:from>
    <xdr:to>
      <xdr:col>13</xdr:col>
      <xdr:colOff>0</xdr:colOff>
      <xdr:row>132</xdr:row>
      <xdr:rowOff>114300</xdr:rowOff>
    </xdr:to>
    <xdr:pic>
      <xdr:nvPicPr>
        <xdr:cNvPr id="482" name="Imagen 481" descr="Ver detalle">
          <a:hlinkClick xmlns:r="http://schemas.openxmlformats.org/officeDocument/2006/relationships" r:id="rId433" tooltip="Ver detalle"/>
          <a:extLst>
            <a:ext uri="{FF2B5EF4-FFF2-40B4-BE49-F238E27FC236}">
              <a16:creationId xmlns:a16="http://schemas.microsoft.com/office/drawing/2014/main" id="{BF749B7B-C346-45CD-94FD-CED89CD51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871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131</xdr:row>
      <xdr:rowOff>0</xdr:rowOff>
    </xdr:from>
    <xdr:to>
      <xdr:col>13</xdr:col>
      <xdr:colOff>329565</xdr:colOff>
      <xdr:row>132</xdr:row>
      <xdr:rowOff>114300</xdr:rowOff>
    </xdr:to>
    <xdr:pic>
      <xdr:nvPicPr>
        <xdr:cNvPr id="483" name="Imagen 482">
          <a:hlinkClick xmlns:r="http://schemas.openxmlformats.org/officeDocument/2006/relationships" r:id="rId434" tooltip="Quitar este incidente de la liquidación"/>
          <a:extLst>
            <a:ext uri="{FF2B5EF4-FFF2-40B4-BE49-F238E27FC236}">
              <a16:creationId xmlns:a16="http://schemas.microsoft.com/office/drawing/2014/main" id="{CD590957-651E-4B5C-B435-02C310F4F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871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</xdr:row>
      <xdr:rowOff>0</xdr:rowOff>
    </xdr:from>
    <xdr:to>
      <xdr:col>13</xdr:col>
      <xdr:colOff>0</xdr:colOff>
      <xdr:row>122</xdr:row>
      <xdr:rowOff>114300</xdr:rowOff>
    </xdr:to>
    <xdr:pic>
      <xdr:nvPicPr>
        <xdr:cNvPr id="484" name="Imagen 483" descr="Ver detalle">
          <a:hlinkClick xmlns:r="http://schemas.openxmlformats.org/officeDocument/2006/relationships" r:id="rId435" tooltip="Ver detalle"/>
          <a:extLst>
            <a:ext uri="{FF2B5EF4-FFF2-40B4-BE49-F238E27FC236}">
              <a16:creationId xmlns:a16="http://schemas.microsoft.com/office/drawing/2014/main" id="{77119785-CDEC-4D1C-A70A-B3D111924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891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121</xdr:row>
      <xdr:rowOff>0</xdr:rowOff>
    </xdr:from>
    <xdr:to>
      <xdr:col>13</xdr:col>
      <xdr:colOff>329565</xdr:colOff>
      <xdr:row>122</xdr:row>
      <xdr:rowOff>114300</xdr:rowOff>
    </xdr:to>
    <xdr:pic>
      <xdr:nvPicPr>
        <xdr:cNvPr id="485" name="Imagen 484">
          <a:hlinkClick xmlns:r="http://schemas.openxmlformats.org/officeDocument/2006/relationships" r:id="rId436" tooltip="Quitar este incidente de la liquidación"/>
          <a:extLst>
            <a:ext uri="{FF2B5EF4-FFF2-40B4-BE49-F238E27FC236}">
              <a16:creationId xmlns:a16="http://schemas.microsoft.com/office/drawing/2014/main" id="{D55713A7-F72A-48BB-A117-2DC88C4DF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891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</xdr:row>
      <xdr:rowOff>0</xdr:rowOff>
    </xdr:from>
    <xdr:to>
      <xdr:col>13</xdr:col>
      <xdr:colOff>0</xdr:colOff>
      <xdr:row>146</xdr:row>
      <xdr:rowOff>110490</xdr:rowOff>
    </xdr:to>
    <xdr:pic>
      <xdr:nvPicPr>
        <xdr:cNvPr id="486" name="Imagen 485" descr="Ver detalle">
          <a:hlinkClick xmlns:r="http://schemas.openxmlformats.org/officeDocument/2006/relationships" r:id="rId437" tooltip="Ver detalle"/>
          <a:extLst>
            <a:ext uri="{FF2B5EF4-FFF2-40B4-BE49-F238E27FC236}">
              <a16:creationId xmlns:a16="http://schemas.microsoft.com/office/drawing/2014/main" id="{DCE0AECD-66D9-46BA-A55C-2B8A9FD11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911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145</xdr:row>
      <xdr:rowOff>0</xdr:rowOff>
    </xdr:from>
    <xdr:to>
      <xdr:col>13</xdr:col>
      <xdr:colOff>329565</xdr:colOff>
      <xdr:row>146</xdr:row>
      <xdr:rowOff>110490</xdr:rowOff>
    </xdr:to>
    <xdr:pic>
      <xdr:nvPicPr>
        <xdr:cNvPr id="487" name="Imagen 486">
          <a:hlinkClick xmlns:r="http://schemas.openxmlformats.org/officeDocument/2006/relationships" r:id="rId438" tooltip="Quitar este incidente de la liquidación"/>
          <a:extLst>
            <a:ext uri="{FF2B5EF4-FFF2-40B4-BE49-F238E27FC236}">
              <a16:creationId xmlns:a16="http://schemas.microsoft.com/office/drawing/2014/main" id="{8E0F21E2-476C-47AE-88C8-130C8756C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911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</xdr:row>
      <xdr:rowOff>0</xdr:rowOff>
    </xdr:from>
    <xdr:to>
      <xdr:col>13</xdr:col>
      <xdr:colOff>0</xdr:colOff>
      <xdr:row>119</xdr:row>
      <xdr:rowOff>114300</xdr:rowOff>
    </xdr:to>
    <xdr:pic>
      <xdr:nvPicPr>
        <xdr:cNvPr id="488" name="Imagen 487" descr="Ver detalle">
          <a:hlinkClick xmlns:r="http://schemas.openxmlformats.org/officeDocument/2006/relationships" r:id="rId439" tooltip="Ver detalle"/>
          <a:extLst>
            <a:ext uri="{FF2B5EF4-FFF2-40B4-BE49-F238E27FC236}">
              <a16:creationId xmlns:a16="http://schemas.microsoft.com/office/drawing/2014/main" id="{F7DB0953-3951-4B0E-9F35-5AA87049A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945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118</xdr:row>
      <xdr:rowOff>0</xdr:rowOff>
    </xdr:from>
    <xdr:to>
      <xdr:col>13</xdr:col>
      <xdr:colOff>329565</xdr:colOff>
      <xdr:row>119</xdr:row>
      <xdr:rowOff>114300</xdr:rowOff>
    </xdr:to>
    <xdr:pic>
      <xdr:nvPicPr>
        <xdr:cNvPr id="489" name="Imagen 488">
          <a:hlinkClick xmlns:r="http://schemas.openxmlformats.org/officeDocument/2006/relationships" r:id="rId440" tooltip="Quitar este incidente de la liquidación"/>
          <a:extLst>
            <a:ext uri="{FF2B5EF4-FFF2-40B4-BE49-F238E27FC236}">
              <a16:creationId xmlns:a16="http://schemas.microsoft.com/office/drawing/2014/main" id="{A5BECCDA-92FB-4BA7-AC39-7445DC169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945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</xdr:row>
      <xdr:rowOff>0</xdr:rowOff>
    </xdr:from>
    <xdr:to>
      <xdr:col>13</xdr:col>
      <xdr:colOff>0</xdr:colOff>
      <xdr:row>118</xdr:row>
      <xdr:rowOff>114300</xdr:rowOff>
    </xdr:to>
    <xdr:pic>
      <xdr:nvPicPr>
        <xdr:cNvPr id="490" name="Imagen 489" descr="Ver detalle">
          <a:hlinkClick xmlns:r="http://schemas.openxmlformats.org/officeDocument/2006/relationships" r:id="rId441" tooltip="Ver detalle"/>
          <a:extLst>
            <a:ext uri="{FF2B5EF4-FFF2-40B4-BE49-F238E27FC236}">
              <a16:creationId xmlns:a16="http://schemas.microsoft.com/office/drawing/2014/main" id="{D3A5A5A4-9C8F-4F5E-891F-6C585B38E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965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117</xdr:row>
      <xdr:rowOff>0</xdr:rowOff>
    </xdr:from>
    <xdr:to>
      <xdr:col>13</xdr:col>
      <xdr:colOff>329565</xdr:colOff>
      <xdr:row>118</xdr:row>
      <xdr:rowOff>114300</xdr:rowOff>
    </xdr:to>
    <xdr:pic>
      <xdr:nvPicPr>
        <xdr:cNvPr id="491" name="Imagen 490">
          <a:hlinkClick xmlns:r="http://schemas.openxmlformats.org/officeDocument/2006/relationships" r:id="rId442" tooltip="Quitar este incidente de la liquidación"/>
          <a:extLst>
            <a:ext uri="{FF2B5EF4-FFF2-40B4-BE49-F238E27FC236}">
              <a16:creationId xmlns:a16="http://schemas.microsoft.com/office/drawing/2014/main" id="{21BE3E43-BB86-459A-AF09-7727E6B27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965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</xdr:row>
      <xdr:rowOff>0</xdr:rowOff>
    </xdr:from>
    <xdr:to>
      <xdr:col>13</xdr:col>
      <xdr:colOff>0</xdr:colOff>
      <xdr:row>117</xdr:row>
      <xdr:rowOff>114300</xdr:rowOff>
    </xdr:to>
    <xdr:pic>
      <xdr:nvPicPr>
        <xdr:cNvPr id="492" name="Imagen 491" descr="Ver detalle">
          <a:hlinkClick xmlns:r="http://schemas.openxmlformats.org/officeDocument/2006/relationships" r:id="rId443" tooltip="Ver detalle"/>
          <a:extLst>
            <a:ext uri="{FF2B5EF4-FFF2-40B4-BE49-F238E27FC236}">
              <a16:creationId xmlns:a16="http://schemas.microsoft.com/office/drawing/2014/main" id="{B2EF17B6-9115-47DE-B44E-00E3C9E6D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985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116</xdr:row>
      <xdr:rowOff>0</xdr:rowOff>
    </xdr:from>
    <xdr:to>
      <xdr:col>13</xdr:col>
      <xdr:colOff>329565</xdr:colOff>
      <xdr:row>117</xdr:row>
      <xdr:rowOff>114300</xdr:rowOff>
    </xdr:to>
    <xdr:pic>
      <xdr:nvPicPr>
        <xdr:cNvPr id="493" name="Imagen 492">
          <a:hlinkClick xmlns:r="http://schemas.openxmlformats.org/officeDocument/2006/relationships" r:id="rId444" tooltip="Quitar este incidente de la liquidación"/>
          <a:extLst>
            <a:ext uri="{FF2B5EF4-FFF2-40B4-BE49-F238E27FC236}">
              <a16:creationId xmlns:a16="http://schemas.microsoft.com/office/drawing/2014/main" id="{F44CC6B2-E020-46B4-8EE8-195F10F29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985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</xdr:row>
      <xdr:rowOff>0</xdr:rowOff>
    </xdr:from>
    <xdr:to>
      <xdr:col>13</xdr:col>
      <xdr:colOff>0</xdr:colOff>
      <xdr:row>124</xdr:row>
      <xdr:rowOff>114300</xdr:rowOff>
    </xdr:to>
    <xdr:pic>
      <xdr:nvPicPr>
        <xdr:cNvPr id="494" name="Imagen 493" descr="Ver detalle">
          <a:hlinkClick xmlns:r="http://schemas.openxmlformats.org/officeDocument/2006/relationships" r:id="rId445" tooltip="Ver detalle"/>
          <a:extLst>
            <a:ext uri="{FF2B5EF4-FFF2-40B4-BE49-F238E27FC236}">
              <a16:creationId xmlns:a16="http://schemas.microsoft.com/office/drawing/2014/main" id="{6006BCBA-74A4-4CF7-BC82-3A975BD9E5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005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123</xdr:row>
      <xdr:rowOff>0</xdr:rowOff>
    </xdr:from>
    <xdr:to>
      <xdr:col>13</xdr:col>
      <xdr:colOff>329565</xdr:colOff>
      <xdr:row>124</xdr:row>
      <xdr:rowOff>114300</xdr:rowOff>
    </xdr:to>
    <xdr:pic>
      <xdr:nvPicPr>
        <xdr:cNvPr id="495" name="Imagen 494">
          <a:hlinkClick xmlns:r="http://schemas.openxmlformats.org/officeDocument/2006/relationships" r:id="rId446" tooltip="Quitar este incidente de la liquidación"/>
          <a:extLst>
            <a:ext uri="{FF2B5EF4-FFF2-40B4-BE49-F238E27FC236}">
              <a16:creationId xmlns:a16="http://schemas.microsoft.com/office/drawing/2014/main" id="{CD6711F8-5FCF-47C8-8176-DD88918C4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005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</xdr:row>
      <xdr:rowOff>0</xdr:rowOff>
    </xdr:from>
    <xdr:to>
      <xdr:col>13</xdr:col>
      <xdr:colOff>0</xdr:colOff>
      <xdr:row>113</xdr:row>
      <xdr:rowOff>114300</xdr:rowOff>
    </xdr:to>
    <xdr:pic>
      <xdr:nvPicPr>
        <xdr:cNvPr id="496" name="Imagen 495" descr="Ver detalle">
          <a:hlinkClick xmlns:r="http://schemas.openxmlformats.org/officeDocument/2006/relationships" r:id="rId447" tooltip="Ver detalle"/>
          <a:extLst>
            <a:ext uri="{FF2B5EF4-FFF2-40B4-BE49-F238E27FC236}">
              <a16:creationId xmlns:a16="http://schemas.microsoft.com/office/drawing/2014/main" id="{E90CFBCF-84EF-4055-810D-30B388CB9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025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112</xdr:row>
      <xdr:rowOff>0</xdr:rowOff>
    </xdr:from>
    <xdr:to>
      <xdr:col>13</xdr:col>
      <xdr:colOff>329565</xdr:colOff>
      <xdr:row>113</xdr:row>
      <xdr:rowOff>114300</xdr:rowOff>
    </xdr:to>
    <xdr:pic>
      <xdr:nvPicPr>
        <xdr:cNvPr id="497" name="Imagen 496">
          <a:hlinkClick xmlns:r="http://schemas.openxmlformats.org/officeDocument/2006/relationships" r:id="rId448" tooltip="Quitar este incidente de la liquidación"/>
          <a:extLst>
            <a:ext uri="{FF2B5EF4-FFF2-40B4-BE49-F238E27FC236}">
              <a16:creationId xmlns:a16="http://schemas.microsoft.com/office/drawing/2014/main" id="{B2125489-DF91-4BD5-9602-E017AD358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025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</xdr:row>
      <xdr:rowOff>0</xdr:rowOff>
    </xdr:from>
    <xdr:to>
      <xdr:col>13</xdr:col>
      <xdr:colOff>0</xdr:colOff>
      <xdr:row>112</xdr:row>
      <xdr:rowOff>114300</xdr:rowOff>
    </xdr:to>
    <xdr:pic>
      <xdr:nvPicPr>
        <xdr:cNvPr id="498" name="Imagen 497" descr="Ver detalle">
          <a:hlinkClick xmlns:r="http://schemas.openxmlformats.org/officeDocument/2006/relationships" r:id="rId449" tooltip="Ver detalle"/>
          <a:extLst>
            <a:ext uri="{FF2B5EF4-FFF2-40B4-BE49-F238E27FC236}">
              <a16:creationId xmlns:a16="http://schemas.microsoft.com/office/drawing/2014/main" id="{F0C5206E-A722-4752-AFB3-ED5B4C69F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045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111</xdr:row>
      <xdr:rowOff>0</xdr:rowOff>
    </xdr:from>
    <xdr:to>
      <xdr:col>13</xdr:col>
      <xdr:colOff>329565</xdr:colOff>
      <xdr:row>112</xdr:row>
      <xdr:rowOff>114300</xdr:rowOff>
    </xdr:to>
    <xdr:pic>
      <xdr:nvPicPr>
        <xdr:cNvPr id="499" name="Imagen 498">
          <a:hlinkClick xmlns:r="http://schemas.openxmlformats.org/officeDocument/2006/relationships" r:id="rId450" tooltip="Quitar este incidente de la liquidación"/>
          <a:extLst>
            <a:ext uri="{FF2B5EF4-FFF2-40B4-BE49-F238E27FC236}">
              <a16:creationId xmlns:a16="http://schemas.microsoft.com/office/drawing/2014/main" id="{58DD6F7B-6A93-40B3-BFE5-BEBBC8FF1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045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</xdr:row>
      <xdr:rowOff>0</xdr:rowOff>
    </xdr:from>
    <xdr:to>
      <xdr:col>13</xdr:col>
      <xdr:colOff>0</xdr:colOff>
      <xdr:row>115</xdr:row>
      <xdr:rowOff>114300</xdr:rowOff>
    </xdr:to>
    <xdr:pic>
      <xdr:nvPicPr>
        <xdr:cNvPr id="500" name="Imagen 499" descr="Ver detalle">
          <a:hlinkClick xmlns:r="http://schemas.openxmlformats.org/officeDocument/2006/relationships" r:id="rId451" tooltip="Ver detalle"/>
          <a:extLst>
            <a:ext uri="{FF2B5EF4-FFF2-40B4-BE49-F238E27FC236}">
              <a16:creationId xmlns:a16="http://schemas.microsoft.com/office/drawing/2014/main" id="{42A83D8F-6019-48F8-A384-FAE2E4C51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065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114</xdr:row>
      <xdr:rowOff>0</xdr:rowOff>
    </xdr:from>
    <xdr:to>
      <xdr:col>13</xdr:col>
      <xdr:colOff>329565</xdr:colOff>
      <xdr:row>115</xdr:row>
      <xdr:rowOff>114300</xdr:rowOff>
    </xdr:to>
    <xdr:pic>
      <xdr:nvPicPr>
        <xdr:cNvPr id="501" name="Imagen 500">
          <a:hlinkClick xmlns:r="http://schemas.openxmlformats.org/officeDocument/2006/relationships" r:id="rId452" tooltip="Quitar este incidente de la liquidación"/>
          <a:extLst>
            <a:ext uri="{FF2B5EF4-FFF2-40B4-BE49-F238E27FC236}">
              <a16:creationId xmlns:a16="http://schemas.microsoft.com/office/drawing/2014/main" id="{2684CA6F-5A08-4025-B84C-445220C60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065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</xdr:row>
      <xdr:rowOff>0</xdr:rowOff>
    </xdr:from>
    <xdr:to>
      <xdr:col>13</xdr:col>
      <xdr:colOff>0</xdr:colOff>
      <xdr:row>130</xdr:row>
      <xdr:rowOff>114300</xdr:rowOff>
    </xdr:to>
    <xdr:pic>
      <xdr:nvPicPr>
        <xdr:cNvPr id="502" name="Imagen 501" descr="Ver detalle">
          <a:hlinkClick xmlns:r="http://schemas.openxmlformats.org/officeDocument/2006/relationships" r:id="rId453" tooltip="Ver detalle"/>
          <a:extLst>
            <a:ext uri="{FF2B5EF4-FFF2-40B4-BE49-F238E27FC236}">
              <a16:creationId xmlns:a16="http://schemas.microsoft.com/office/drawing/2014/main" id="{18042E84-8B6F-487C-BE1C-F7DF2D909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085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129</xdr:row>
      <xdr:rowOff>0</xdr:rowOff>
    </xdr:from>
    <xdr:to>
      <xdr:col>13</xdr:col>
      <xdr:colOff>329565</xdr:colOff>
      <xdr:row>130</xdr:row>
      <xdr:rowOff>114300</xdr:rowOff>
    </xdr:to>
    <xdr:pic>
      <xdr:nvPicPr>
        <xdr:cNvPr id="503" name="Imagen 502">
          <a:hlinkClick xmlns:r="http://schemas.openxmlformats.org/officeDocument/2006/relationships" r:id="rId454" tooltip="Quitar este incidente de la liquidación"/>
          <a:extLst>
            <a:ext uri="{FF2B5EF4-FFF2-40B4-BE49-F238E27FC236}">
              <a16:creationId xmlns:a16="http://schemas.microsoft.com/office/drawing/2014/main" id="{F66E1B09-B32D-476A-8D2D-FD0720E74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085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</xdr:row>
      <xdr:rowOff>0</xdr:rowOff>
    </xdr:from>
    <xdr:to>
      <xdr:col>13</xdr:col>
      <xdr:colOff>0</xdr:colOff>
      <xdr:row>114</xdr:row>
      <xdr:rowOff>114300</xdr:rowOff>
    </xdr:to>
    <xdr:pic>
      <xdr:nvPicPr>
        <xdr:cNvPr id="504" name="Imagen 503" descr="Ver detalle">
          <a:hlinkClick xmlns:r="http://schemas.openxmlformats.org/officeDocument/2006/relationships" r:id="rId455" tooltip="Ver detalle"/>
          <a:extLst>
            <a:ext uri="{FF2B5EF4-FFF2-40B4-BE49-F238E27FC236}">
              <a16:creationId xmlns:a16="http://schemas.microsoft.com/office/drawing/2014/main" id="{02F4593A-1462-451B-AFAF-7DAB9CBD1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138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113</xdr:row>
      <xdr:rowOff>0</xdr:rowOff>
    </xdr:from>
    <xdr:to>
      <xdr:col>13</xdr:col>
      <xdr:colOff>329565</xdr:colOff>
      <xdr:row>114</xdr:row>
      <xdr:rowOff>114300</xdr:rowOff>
    </xdr:to>
    <xdr:pic>
      <xdr:nvPicPr>
        <xdr:cNvPr id="505" name="Imagen 504">
          <a:hlinkClick xmlns:r="http://schemas.openxmlformats.org/officeDocument/2006/relationships" r:id="rId456" tooltip="Quitar este incidente de la liquidación"/>
          <a:extLst>
            <a:ext uri="{FF2B5EF4-FFF2-40B4-BE49-F238E27FC236}">
              <a16:creationId xmlns:a16="http://schemas.microsoft.com/office/drawing/2014/main" id="{882B39FC-D131-423F-80D6-F5FDA32CA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138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</xdr:row>
      <xdr:rowOff>0</xdr:rowOff>
    </xdr:from>
    <xdr:to>
      <xdr:col>13</xdr:col>
      <xdr:colOff>0</xdr:colOff>
      <xdr:row>111</xdr:row>
      <xdr:rowOff>114300</xdr:rowOff>
    </xdr:to>
    <xdr:pic>
      <xdr:nvPicPr>
        <xdr:cNvPr id="506" name="Imagen 505" descr="Ver detalle">
          <a:hlinkClick xmlns:r="http://schemas.openxmlformats.org/officeDocument/2006/relationships" r:id="rId457" tooltip="Ver detalle"/>
          <a:extLst>
            <a:ext uri="{FF2B5EF4-FFF2-40B4-BE49-F238E27FC236}">
              <a16:creationId xmlns:a16="http://schemas.microsoft.com/office/drawing/2014/main" id="{C6E7D9A6-76A8-47A9-8FFB-27F13F025A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158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110</xdr:row>
      <xdr:rowOff>0</xdr:rowOff>
    </xdr:from>
    <xdr:to>
      <xdr:col>13</xdr:col>
      <xdr:colOff>329565</xdr:colOff>
      <xdr:row>111</xdr:row>
      <xdr:rowOff>114300</xdr:rowOff>
    </xdr:to>
    <xdr:pic>
      <xdr:nvPicPr>
        <xdr:cNvPr id="507" name="Imagen 506">
          <a:hlinkClick xmlns:r="http://schemas.openxmlformats.org/officeDocument/2006/relationships" r:id="rId458" tooltip="Quitar este incidente de la liquidación"/>
          <a:extLst>
            <a:ext uri="{FF2B5EF4-FFF2-40B4-BE49-F238E27FC236}">
              <a16:creationId xmlns:a16="http://schemas.microsoft.com/office/drawing/2014/main" id="{484072D4-A9C9-408C-A21F-996172185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158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</xdr:row>
      <xdr:rowOff>0</xdr:rowOff>
    </xdr:from>
    <xdr:to>
      <xdr:col>13</xdr:col>
      <xdr:colOff>0</xdr:colOff>
      <xdr:row>106</xdr:row>
      <xdr:rowOff>114300</xdr:rowOff>
    </xdr:to>
    <xdr:pic>
      <xdr:nvPicPr>
        <xdr:cNvPr id="508" name="Imagen 507" descr="Ver detalle">
          <a:hlinkClick xmlns:r="http://schemas.openxmlformats.org/officeDocument/2006/relationships" r:id="rId459" tooltip="Ver detalle"/>
          <a:extLst>
            <a:ext uri="{FF2B5EF4-FFF2-40B4-BE49-F238E27FC236}">
              <a16:creationId xmlns:a16="http://schemas.microsoft.com/office/drawing/2014/main" id="{D90341DC-420C-4A72-A23D-52DE05AB3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1784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105</xdr:row>
      <xdr:rowOff>0</xdr:rowOff>
    </xdr:from>
    <xdr:to>
      <xdr:col>13</xdr:col>
      <xdr:colOff>329565</xdr:colOff>
      <xdr:row>106</xdr:row>
      <xdr:rowOff>114300</xdr:rowOff>
    </xdr:to>
    <xdr:pic>
      <xdr:nvPicPr>
        <xdr:cNvPr id="509" name="Imagen 508">
          <a:hlinkClick xmlns:r="http://schemas.openxmlformats.org/officeDocument/2006/relationships" r:id="rId460" tooltip="Quitar este incidente de la liquidación"/>
          <a:extLst>
            <a:ext uri="{FF2B5EF4-FFF2-40B4-BE49-F238E27FC236}">
              <a16:creationId xmlns:a16="http://schemas.microsoft.com/office/drawing/2014/main" id="{A70451B7-0B65-427B-8EB6-6F1C3BEB39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1784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</xdr:row>
      <xdr:rowOff>0</xdr:rowOff>
    </xdr:from>
    <xdr:to>
      <xdr:col>13</xdr:col>
      <xdr:colOff>0</xdr:colOff>
      <xdr:row>136</xdr:row>
      <xdr:rowOff>114300</xdr:rowOff>
    </xdr:to>
    <xdr:pic>
      <xdr:nvPicPr>
        <xdr:cNvPr id="510" name="Imagen 509" descr="Ver detalle">
          <a:hlinkClick xmlns:r="http://schemas.openxmlformats.org/officeDocument/2006/relationships" r:id="rId461" tooltip="Ver detalle"/>
          <a:extLst>
            <a:ext uri="{FF2B5EF4-FFF2-40B4-BE49-F238E27FC236}">
              <a16:creationId xmlns:a16="http://schemas.microsoft.com/office/drawing/2014/main" id="{0B875A5E-13A8-444C-85C0-762E71C1D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198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135</xdr:row>
      <xdr:rowOff>0</xdr:rowOff>
    </xdr:from>
    <xdr:to>
      <xdr:col>13</xdr:col>
      <xdr:colOff>329565</xdr:colOff>
      <xdr:row>136</xdr:row>
      <xdr:rowOff>114300</xdr:rowOff>
    </xdr:to>
    <xdr:pic>
      <xdr:nvPicPr>
        <xdr:cNvPr id="511" name="Imagen 510">
          <a:hlinkClick xmlns:r="http://schemas.openxmlformats.org/officeDocument/2006/relationships" r:id="rId462" tooltip="Quitar este incidente de la liquidación"/>
          <a:extLst>
            <a:ext uri="{FF2B5EF4-FFF2-40B4-BE49-F238E27FC236}">
              <a16:creationId xmlns:a16="http://schemas.microsoft.com/office/drawing/2014/main" id="{E4CB1F09-DAA1-42E0-8F71-9F214ED70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198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</xdr:row>
      <xdr:rowOff>0</xdr:rowOff>
    </xdr:from>
    <xdr:to>
      <xdr:col>13</xdr:col>
      <xdr:colOff>0</xdr:colOff>
      <xdr:row>120</xdr:row>
      <xdr:rowOff>114300</xdr:rowOff>
    </xdr:to>
    <xdr:pic>
      <xdr:nvPicPr>
        <xdr:cNvPr id="512" name="Imagen 511" descr="Ver detalle">
          <a:hlinkClick xmlns:r="http://schemas.openxmlformats.org/officeDocument/2006/relationships" r:id="rId463" tooltip="Ver detalle"/>
          <a:extLst>
            <a:ext uri="{FF2B5EF4-FFF2-40B4-BE49-F238E27FC236}">
              <a16:creationId xmlns:a16="http://schemas.microsoft.com/office/drawing/2014/main" id="{C2DE2512-F2F1-4C4F-A63A-2AF214A2E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218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119</xdr:row>
      <xdr:rowOff>0</xdr:rowOff>
    </xdr:from>
    <xdr:to>
      <xdr:col>13</xdr:col>
      <xdr:colOff>329565</xdr:colOff>
      <xdr:row>120</xdr:row>
      <xdr:rowOff>114300</xdr:rowOff>
    </xdr:to>
    <xdr:pic>
      <xdr:nvPicPr>
        <xdr:cNvPr id="513" name="Imagen 512">
          <a:hlinkClick xmlns:r="http://schemas.openxmlformats.org/officeDocument/2006/relationships" r:id="rId464" tooltip="Quitar este incidente de la liquidación"/>
          <a:extLst>
            <a:ext uri="{FF2B5EF4-FFF2-40B4-BE49-F238E27FC236}">
              <a16:creationId xmlns:a16="http://schemas.microsoft.com/office/drawing/2014/main" id="{A58077C7-30A0-4632-A61D-9BBED7B8D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218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</xdr:row>
      <xdr:rowOff>0</xdr:rowOff>
    </xdr:from>
    <xdr:to>
      <xdr:col>13</xdr:col>
      <xdr:colOff>0</xdr:colOff>
      <xdr:row>110</xdr:row>
      <xdr:rowOff>114300</xdr:rowOff>
    </xdr:to>
    <xdr:pic>
      <xdr:nvPicPr>
        <xdr:cNvPr id="514" name="Imagen 513" descr="Ver detalle">
          <a:hlinkClick xmlns:r="http://schemas.openxmlformats.org/officeDocument/2006/relationships" r:id="rId465" tooltip="Ver detalle"/>
          <a:extLst>
            <a:ext uri="{FF2B5EF4-FFF2-40B4-BE49-F238E27FC236}">
              <a16:creationId xmlns:a16="http://schemas.microsoft.com/office/drawing/2014/main" id="{654D4B53-8352-4C9B-B003-8D6247AF6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238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109</xdr:row>
      <xdr:rowOff>0</xdr:rowOff>
    </xdr:from>
    <xdr:to>
      <xdr:col>13</xdr:col>
      <xdr:colOff>329565</xdr:colOff>
      <xdr:row>110</xdr:row>
      <xdr:rowOff>114300</xdr:rowOff>
    </xdr:to>
    <xdr:pic>
      <xdr:nvPicPr>
        <xdr:cNvPr id="515" name="Imagen 514">
          <a:hlinkClick xmlns:r="http://schemas.openxmlformats.org/officeDocument/2006/relationships" r:id="rId466" tooltip="Quitar este incidente de la liquidación"/>
          <a:extLst>
            <a:ext uri="{FF2B5EF4-FFF2-40B4-BE49-F238E27FC236}">
              <a16:creationId xmlns:a16="http://schemas.microsoft.com/office/drawing/2014/main" id="{49674DE7-A0AD-456F-956E-52F9437E6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238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</xdr:row>
      <xdr:rowOff>0</xdr:rowOff>
    </xdr:from>
    <xdr:to>
      <xdr:col>13</xdr:col>
      <xdr:colOff>0</xdr:colOff>
      <xdr:row>104</xdr:row>
      <xdr:rowOff>114300</xdr:rowOff>
    </xdr:to>
    <xdr:pic>
      <xdr:nvPicPr>
        <xdr:cNvPr id="516" name="Imagen 515" descr="Ver detalle">
          <a:hlinkClick xmlns:r="http://schemas.openxmlformats.org/officeDocument/2006/relationships" r:id="rId467" tooltip="Ver detalle"/>
          <a:extLst>
            <a:ext uri="{FF2B5EF4-FFF2-40B4-BE49-F238E27FC236}">
              <a16:creationId xmlns:a16="http://schemas.microsoft.com/office/drawing/2014/main" id="{85BEA420-CFC3-4265-96AF-C0A168DC7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258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103</xdr:row>
      <xdr:rowOff>0</xdr:rowOff>
    </xdr:from>
    <xdr:to>
      <xdr:col>13</xdr:col>
      <xdr:colOff>329565</xdr:colOff>
      <xdr:row>104</xdr:row>
      <xdr:rowOff>114300</xdr:rowOff>
    </xdr:to>
    <xdr:pic>
      <xdr:nvPicPr>
        <xdr:cNvPr id="517" name="Imagen 516">
          <a:hlinkClick xmlns:r="http://schemas.openxmlformats.org/officeDocument/2006/relationships" r:id="rId468" tooltip="Quitar este incidente de la liquidación"/>
          <a:extLst>
            <a:ext uri="{FF2B5EF4-FFF2-40B4-BE49-F238E27FC236}">
              <a16:creationId xmlns:a16="http://schemas.microsoft.com/office/drawing/2014/main" id="{1A1CFCC6-1E88-43B9-840D-05BCA04AF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258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</xdr:row>
      <xdr:rowOff>0</xdr:rowOff>
    </xdr:from>
    <xdr:to>
      <xdr:col>13</xdr:col>
      <xdr:colOff>0</xdr:colOff>
      <xdr:row>109</xdr:row>
      <xdr:rowOff>114300</xdr:rowOff>
    </xdr:to>
    <xdr:pic>
      <xdr:nvPicPr>
        <xdr:cNvPr id="518" name="Imagen 517" descr="Ver detalle">
          <a:hlinkClick xmlns:r="http://schemas.openxmlformats.org/officeDocument/2006/relationships" r:id="rId469" tooltip="Ver detalle"/>
          <a:extLst>
            <a:ext uri="{FF2B5EF4-FFF2-40B4-BE49-F238E27FC236}">
              <a16:creationId xmlns:a16="http://schemas.microsoft.com/office/drawing/2014/main" id="{126E0565-83C7-42A3-8BAB-B539C1438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278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108</xdr:row>
      <xdr:rowOff>0</xdr:rowOff>
    </xdr:from>
    <xdr:to>
      <xdr:col>13</xdr:col>
      <xdr:colOff>329565</xdr:colOff>
      <xdr:row>109</xdr:row>
      <xdr:rowOff>114300</xdr:rowOff>
    </xdr:to>
    <xdr:pic>
      <xdr:nvPicPr>
        <xdr:cNvPr id="519" name="Imagen 518">
          <a:hlinkClick xmlns:r="http://schemas.openxmlformats.org/officeDocument/2006/relationships" r:id="rId470" tooltip="Quitar este incidente de la liquidación"/>
          <a:extLst>
            <a:ext uri="{FF2B5EF4-FFF2-40B4-BE49-F238E27FC236}">
              <a16:creationId xmlns:a16="http://schemas.microsoft.com/office/drawing/2014/main" id="{7F6E669F-11B4-4FDA-A745-6C2687B52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278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</xdr:row>
      <xdr:rowOff>0</xdr:rowOff>
    </xdr:from>
    <xdr:to>
      <xdr:col>13</xdr:col>
      <xdr:colOff>0</xdr:colOff>
      <xdr:row>107</xdr:row>
      <xdr:rowOff>114300</xdr:rowOff>
    </xdr:to>
    <xdr:pic>
      <xdr:nvPicPr>
        <xdr:cNvPr id="520" name="Imagen 519" descr="Ver detalle">
          <a:hlinkClick xmlns:r="http://schemas.openxmlformats.org/officeDocument/2006/relationships" r:id="rId471" tooltip="Ver detalle"/>
          <a:extLst>
            <a:ext uri="{FF2B5EF4-FFF2-40B4-BE49-F238E27FC236}">
              <a16:creationId xmlns:a16="http://schemas.microsoft.com/office/drawing/2014/main" id="{C9809759-BE15-48CB-AE03-9BB037FA5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298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106</xdr:row>
      <xdr:rowOff>0</xdr:rowOff>
    </xdr:from>
    <xdr:to>
      <xdr:col>13</xdr:col>
      <xdr:colOff>329565</xdr:colOff>
      <xdr:row>107</xdr:row>
      <xdr:rowOff>114300</xdr:rowOff>
    </xdr:to>
    <xdr:pic>
      <xdr:nvPicPr>
        <xdr:cNvPr id="521" name="Imagen 520">
          <a:hlinkClick xmlns:r="http://schemas.openxmlformats.org/officeDocument/2006/relationships" r:id="rId472" tooltip="Quitar este incidente de la liquidación"/>
          <a:extLst>
            <a:ext uri="{FF2B5EF4-FFF2-40B4-BE49-F238E27FC236}">
              <a16:creationId xmlns:a16="http://schemas.microsoft.com/office/drawing/2014/main" id="{E0BEFD82-C9C2-4463-8A03-E8EE051EC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298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</xdr:row>
      <xdr:rowOff>0</xdr:rowOff>
    </xdr:from>
    <xdr:to>
      <xdr:col>13</xdr:col>
      <xdr:colOff>0</xdr:colOff>
      <xdr:row>105</xdr:row>
      <xdr:rowOff>114300</xdr:rowOff>
    </xdr:to>
    <xdr:pic>
      <xdr:nvPicPr>
        <xdr:cNvPr id="522" name="Imagen 521" descr="Ver detalle">
          <a:hlinkClick xmlns:r="http://schemas.openxmlformats.org/officeDocument/2006/relationships" r:id="rId473" tooltip="Ver detalle"/>
          <a:extLst>
            <a:ext uri="{FF2B5EF4-FFF2-40B4-BE49-F238E27FC236}">
              <a16:creationId xmlns:a16="http://schemas.microsoft.com/office/drawing/2014/main" id="{5037A25C-68CF-4352-890A-E36CCBEA2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318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104</xdr:row>
      <xdr:rowOff>0</xdr:rowOff>
    </xdr:from>
    <xdr:to>
      <xdr:col>13</xdr:col>
      <xdr:colOff>329565</xdr:colOff>
      <xdr:row>105</xdr:row>
      <xdr:rowOff>114300</xdr:rowOff>
    </xdr:to>
    <xdr:pic>
      <xdr:nvPicPr>
        <xdr:cNvPr id="523" name="Imagen 522">
          <a:hlinkClick xmlns:r="http://schemas.openxmlformats.org/officeDocument/2006/relationships" r:id="rId474" tooltip="Quitar este incidente de la liquidación"/>
          <a:extLst>
            <a:ext uri="{FF2B5EF4-FFF2-40B4-BE49-F238E27FC236}">
              <a16:creationId xmlns:a16="http://schemas.microsoft.com/office/drawing/2014/main" id="{E7876439-11D5-4BBB-A2DA-EB298A31C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318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</xdr:row>
      <xdr:rowOff>0</xdr:rowOff>
    </xdr:from>
    <xdr:to>
      <xdr:col>13</xdr:col>
      <xdr:colOff>0</xdr:colOff>
      <xdr:row>101</xdr:row>
      <xdr:rowOff>114300</xdr:rowOff>
    </xdr:to>
    <xdr:pic>
      <xdr:nvPicPr>
        <xdr:cNvPr id="524" name="Imagen 523" descr="Ver detalle">
          <a:hlinkClick xmlns:r="http://schemas.openxmlformats.org/officeDocument/2006/relationships" r:id="rId475" tooltip="Ver detalle"/>
          <a:extLst>
            <a:ext uri="{FF2B5EF4-FFF2-40B4-BE49-F238E27FC236}">
              <a16:creationId xmlns:a16="http://schemas.microsoft.com/office/drawing/2014/main" id="{3EF85210-0BD2-4659-9F49-DC2281FB8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338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100</xdr:row>
      <xdr:rowOff>0</xdr:rowOff>
    </xdr:from>
    <xdr:to>
      <xdr:col>13</xdr:col>
      <xdr:colOff>329565</xdr:colOff>
      <xdr:row>101</xdr:row>
      <xdr:rowOff>114300</xdr:rowOff>
    </xdr:to>
    <xdr:pic>
      <xdr:nvPicPr>
        <xdr:cNvPr id="525" name="Imagen 524">
          <a:hlinkClick xmlns:r="http://schemas.openxmlformats.org/officeDocument/2006/relationships" r:id="rId476" tooltip="Quitar este incidente de la liquidación"/>
          <a:extLst>
            <a:ext uri="{FF2B5EF4-FFF2-40B4-BE49-F238E27FC236}">
              <a16:creationId xmlns:a16="http://schemas.microsoft.com/office/drawing/2014/main" id="{815809E0-7D60-4E42-97A2-25C410471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338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</xdr:row>
      <xdr:rowOff>0</xdr:rowOff>
    </xdr:from>
    <xdr:to>
      <xdr:col>13</xdr:col>
      <xdr:colOff>0</xdr:colOff>
      <xdr:row>103</xdr:row>
      <xdr:rowOff>114300</xdr:rowOff>
    </xdr:to>
    <xdr:pic>
      <xdr:nvPicPr>
        <xdr:cNvPr id="526" name="Imagen 525" descr="Ver detalle">
          <a:hlinkClick xmlns:r="http://schemas.openxmlformats.org/officeDocument/2006/relationships" r:id="rId477" tooltip="Ver detalle"/>
          <a:extLst>
            <a:ext uri="{FF2B5EF4-FFF2-40B4-BE49-F238E27FC236}">
              <a16:creationId xmlns:a16="http://schemas.microsoft.com/office/drawing/2014/main" id="{D17B2559-2F01-4FF9-9E46-C4C6260F7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358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102</xdr:row>
      <xdr:rowOff>0</xdr:rowOff>
    </xdr:from>
    <xdr:to>
      <xdr:col>13</xdr:col>
      <xdr:colOff>329565</xdr:colOff>
      <xdr:row>103</xdr:row>
      <xdr:rowOff>114300</xdr:rowOff>
    </xdr:to>
    <xdr:pic>
      <xdr:nvPicPr>
        <xdr:cNvPr id="527" name="Imagen 526">
          <a:hlinkClick xmlns:r="http://schemas.openxmlformats.org/officeDocument/2006/relationships" r:id="rId478" tooltip="Quitar este incidente de la liquidación"/>
          <a:extLst>
            <a:ext uri="{FF2B5EF4-FFF2-40B4-BE49-F238E27FC236}">
              <a16:creationId xmlns:a16="http://schemas.microsoft.com/office/drawing/2014/main" id="{98B7BA31-7DB7-438B-8D04-905DEBD55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358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</xdr:row>
      <xdr:rowOff>0</xdr:rowOff>
    </xdr:from>
    <xdr:to>
      <xdr:col>13</xdr:col>
      <xdr:colOff>0</xdr:colOff>
      <xdr:row>102</xdr:row>
      <xdr:rowOff>114300</xdr:rowOff>
    </xdr:to>
    <xdr:pic>
      <xdr:nvPicPr>
        <xdr:cNvPr id="528" name="Imagen 527" descr="Ver detalle">
          <a:hlinkClick xmlns:r="http://schemas.openxmlformats.org/officeDocument/2006/relationships" r:id="rId479" tooltip="Ver detalle"/>
          <a:extLst>
            <a:ext uri="{FF2B5EF4-FFF2-40B4-BE49-F238E27FC236}">
              <a16:creationId xmlns:a16="http://schemas.microsoft.com/office/drawing/2014/main" id="{1BFEC4DF-3FC2-4665-AAEA-A801A8329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378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101</xdr:row>
      <xdr:rowOff>0</xdr:rowOff>
    </xdr:from>
    <xdr:to>
      <xdr:col>13</xdr:col>
      <xdr:colOff>329565</xdr:colOff>
      <xdr:row>102</xdr:row>
      <xdr:rowOff>114300</xdr:rowOff>
    </xdr:to>
    <xdr:pic>
      <xdr:nvPicPr>
        <xdr:cNvPr id="529" name="Imagen 528">
          <a:hlinkClick xmlns:r="http://schemas.openxmlformats.org/officeDocument/2006/relationships" r:id="rId480" tooltip="Quitar este incidente de la liquidación"/>
          <a:extLst>
            <a:ext uri="{FF2B5EF4-FFF2-40B4-BE49-F238E27FC236}">
              <a16:creationId xmlns:a16="http://schemas.microsoft.com/office/drawing/2014/main" id="{7B60ACD3-6759-4055-8166-A2BDE014C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378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</xdr:row>
      <xdr:rowOff>0</xdr:rowOff>
    </xdr:from>
    <xdr:to>
      <xdr:col>13</xdr:col>
      <xdr:colOff>0</xdr:colOff>
      <xdr:row>198</xdr:row>
      <xdr:rowOff>148590</xdr:rowOff>
    </xdr:to>
    <xdr:pic>
      <xdr:nvPicPr>
        <xdr:cNvPr id="530" name="Imagen 529" descr="Ver detalle">
          <a:hlinkClick xmlns:r="http://schemas.openxmlformats.org/officeDocument/2006/relationships" r:id="rId481" tooltip="Ver detalle"/>
          <a:extLst>
            <a:ext uri="{FF2B5EF4-FFF2-40B4-BE49-F238E27FC236}">
              <a16:creationId xmlns:a16="http://schemas.microsoft.com/office/drawing/2014/main" id="{6706D7FA-96EB-4B35-9101-BA7A9284B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281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197</xdr:row>
      <xdr:rowOff>0</xdr:rowOff>
    </xdr:from>
    <xdr:to>
      <xdr:col>13</xdr:col>
      <xdr:colOff>329565</xdr:colOff>
      <xdr:row>198</xdr:row>
      <xdr:rowOff>148590</xdr:rowOff>
    </xdr:to>
    <xdr:pic>
      <xdr:nvPicPr>
        <xdr:cNvPr id="531" name="Imagen 530">
          <a:hlinkClick xmlns:r="http://schemas.openxmlformats.org/officeDocument/2006/relationships" r:id="rId482" tooltip="Quitar este incidente de la liquidación"/>
          <a:extLst>
            <a:ext uri="{FF2B5EF4-FFF2-40B4-BE49-F238E27FC236}">
              <a16:creationId xmlns:a16="http://schemas.microsoft.com/office/drawing/2014/main" id="{25483F9F-FD9F-4418-8E72-E6341DB56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281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</xdr:row>
      <xdr:rowOff>0</xdr:rowOff>
    </xdr:from>
    <xdr:to>
      <xdr:col>13</xdr:col>
      <xdr:colOff>0</xdr:colOff>
      <xdr:row>241</xdr:row>
      <xdr:rowOff>148590</xdr:rowOff>
    </xdr:to>
    <xdr:pic>
      <xdr:nvPicPr>
        <xdr:cNvPr id="532" name="Imagen 531" descr="Ver detalle">
          <a:hlinkClick xmlns:r="http://schemas.openxmlformats.org/officeDocument/2006/relationships" r:id="rId483" tooltip="Ver detalle"/>
          <a:extLst>
            <a:ext uri="{FF2B5EF4-FFF2-40B4-BE49-F238E27FC236}">
              <a16:creationId xmlns:a16="http://schemas.microsoft.com/office/drawing/2014/main" id="{3A804E9C-DC38-47D0-AA13-931BCA3A2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300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240</xdr:row>
      <xdr:rowOff>0</xdr:rowOff>
    </xdr:from>
    <xdr:to>
      <xdr:col>13</xdr:col>
      <xdr:colOff>329565</xdr:colOff>
      <xdr:row>241</xdr:row>
      <xdr:rowOff>148590</xdr:rowOff>
    </xdr:to>
    <xdr:pic>
      <xdr:nvPicPr>
        <xdr:cNvPr id="533" name="Imagen 532">
          <a:hlinkClick xmlns:r="http://schemas.openxmlformats.org/officeDocument/2006/relationships" r:id="rId484" tooltip="Quitar este incidente de la liquidación"/>
          <a:extLst>
            <a:ext uri="{FF2B5EF4-FFF2-40B4-BE49-F238E27FC236}">
              <a16:creationId xmlns:a16="http://schemas.microsoft.com/office/drawing/2014/main" id="{3BEC85FA-065A-4ACF-8950-3BB1E97C4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300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</xdr:row>
      <xdr:rowOff>0</xdr:rowOff>
    </xdr:from>
    <xdr:to>
      <xdr:col>13</xdr:col>
      <xdr:colOff>0</xdr:colOff>
      <xdr:row>240</xdr:row>
      <xdr:rowOff>148590</xdr:rowOff>
    </xdr:to>
    <xdr:pic>
      <xdr:nvPicPr>
        <xdr:cNvPr id="534" name="Imagen 533" descr="Ver detalle">
          <a:hlinkClick xmlns:r="http://schemas.openxmlformats.org/officeDocument/2006/relationships" r:id="rId485" tooltip="Ver detalle"/>
          <a:extLst>
            <a:ext uri="{FF2B5EF4-FFF2-40B4-BE49-F238E27FC236}">
              <a16:creationId xmlns:a16="http://schemas.microsoft.com/office/drawing/2014/main" id="{D9945A82-DF46-4FDD-9F36-74FD57179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320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239</xdr:row>
      <xdr:rowOff>0</xdr:rowOff>
    </xdr:from>
    <xdr:to>
      <xdr:col>13</xdr:col>
      <xdr:colOff>329565</xdr:colOff>
      <xdr:row>240</xdr:row>
      <xdr:rowOff>148590</xdr:rowOff>
    </xdr:to>
    <xdr:pic>
      <xdr:nvPicPr>
        <xdr:cNvPr id="535" name="Imagen 534">
          <a:hlinkClick xmlns:r="http://schemas.openxmlformats.org/officeDocument/2006/relationships" r:id="rId486" tooltip="Quitar este incidente de la liquidación"/>
          <a:extLst>
            <a:ext uri="{FF2B5EF4-FFF2-40B4-BE49-F238E27FC236}">
              <a16:creationId xmlns:a16="http://schemas.microsoft.com/office/drawing/2014/main" id="{0D02D417-24A4-4CBD-8DFF-9AF70AA0E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320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</xdr:row>
      <xdr:rowOff>0</xdr:rowOff>
    </xdr:from>
    <xdr:to>
      <xdr:col>13</xdr:col>
      <xdr:colOff>0</xdr:colOff>
      <xdr:row>239</xdr:row>
      <xdr:rowOff>148590</xdr:rowOff>
    </xdr:to>
    <xdr:pic>
      <xdr:nvPicPr>
        <xdr:cNvPr id="536" name="Imagen 535" descr="Ver detalle">
          <a:hlinkClick xmlns:r="http://schemas.openxmlformats.org/officeDocument/2006/relationships" r:id="rId487" tooltip="Ver detalle"/>
          <a:extLst>
            <a:ext uri="{FF2B5EF4-FFF2-40B4-BE49-F238E27FC236}">
              <a16:creationId xmlns:a16="http://schemas.microsoft.com/office/drawing/2014/main" id="{19783251-9380-41C7-8CDB-3DC7A7AC1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3390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238</xdr:row>
      <xdr:rowOff>0</xdr:rowOff>
    </xdr:from>
    <xdr:to>
      <xdr:col>13</xdr:col>
      <xdr:colOff>329565</xdr:colOff>
      <xdr:row>239</xdr:row>
      <xdr:rowOff>148590</xdr:rowOff>
    </xdr:to>
    <xdr:pic>
      <xdr:nvPicPr>
        <xdr:cNvPr id="537" name="Imagen 536">
          <a:hlinkClick xmlns:r="http://schemas.openxmlformats.org/officeDocument/2006/relationships" r:id="rId488" tooltip="Quitar este incidente de la liquidación"/>
          <a:extLst>
            <a:ext uri="{FF2B5EF4-FFF2-40B4-BE49-F238E27FC236}">
              <a16:creationId xmlns:a16="http://schemas.microsoft.com/office/drawing/2014/main" id="{33835D8F-0347-4BEA-A955-A087A42BF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3390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</xdr:row>
      <xdr:rowOff>0</xdr:rowOff>
    </xdr:from>
    <xdr:to>
      <xdr:col>13</xdr:col>
      <xdr:colOff>0</xdr:colOff>
      <xdr:row>238</xdr:row>
      <xdr:rowOff>148590</xdr:rowOff>
    </xdr:to>
    <xdr:pic>
      <xdr:nvPicPr>
        <xdr:cNvPr id="538" name="Imagen 537" descr="Ver detalle">
          <a:hlinkClick xmlns:r="http://schemas.openxmlformats.org/officeDocument/2006/relationships" r:id="rId489" tooltip="Ver detalle"/>
          <a:extLst>
            <a:ext uri="{FF2B5EF4-FFF2-40B4-BE49-F238E27FC236}">
              <a16:creationId xmlns:a16="http://schemas.microsoft.com/office/drawing/2014/main" id="{E739C06E-7AFC-47DD-842D-9446C92E8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358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237</xdr:row>
      <xdr:rowOff>0</xdr:rowOff>
    </xdr:from>
    <xdr:to>
      <xdr:col>13</xdr:col>
      <xdr:colOff>329565</xdr:colOff>
      <xdr:row>238</xdr:row>
      <xdr:rowOff>148590</xdr:rowOff>
    </xdr:to>
    <xdr:pic>
      <xdr:nvPicPr>
        <xdr:cNvPr id="539" name="Imagen 538">
          <a:hlinkClick xmlns:r="http://schemas.openxmlformats.org/officeDocument/2006/relationships" r:id="rId490" tooltip="Quitar este incidente de la liquidación"/>
          <a:extLst>
            <a:ext uri="{FF2B5EF4-FFF2-40B4-BE49-F238E27FC236}">
              <a16:creationId xmlns:a16="http://schemas.microsoft.com/office/drawing/2014/main" id="{4A1A7D81-ECBD-4D6C-9480-62259DD16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358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</xdr:row>
      <xdr:rowOff>0</xdr:rowOff>
    </xdr:from>
    <xdr:to>
      <xdr:col>13</xdr:col>
      <xdr:colOff>0</xdr:colOff>
      <xdr:row>196</xdr:row>
      <xdr:rowOff>148590</xdr:rowOff>
    </xdr:to>
    <xdr:pic>
      <xdr:nvPicPr>
        <xdr:cNvPr id="540" name="Imagen 539" descr="Ver detalle">
          <a:hlinkClick xmlns:r="http://schemas.openxmlformats.org/officeDocument/2006/relationships" r:id="rId491" tooltip="Ver detalle"/>
          <a:extLst>
            <a:ext uri="{FF2B5EF4-FFF2-40B4-BE49-F238E27FC236}">
              <a16:creationId xmlns:a16="http://schemas.microsoft.com/office/drawing/2014/main" id="{7695DE26-D8D8-485C-827D-C02AC91E1A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377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195</xdr:row>
      <xdr:rowOff>0</xdr:rowOff>
    </xdr:from>
    <xdr:to>
      <xdr:col>13</xdr:col>
      <xdr:colOff>329565</xdr:colOff>
      <xdr:row>196</xdr:row>
      <xdr:rowOff>148590</xdr:rowOff>
    </xdr:to>
    <xdr:pic>
      <xdr:nvPicPr>
        <xdr:cNvPr id="541" name="Imagen 540">
          <a:hlinkClick xmlns:r="http://schemas.openxmlformats.org/officeDocument/2006/relationships" r:id="rId492" tooltip="Quitar este incidente de la liquidación"/>
          <a:extLst>
            <a:ext uri="{FF2B5EF4-FFF2-40B4-BE49-F238E27FC236}">
              <a16:creationId xmlns:a16="http://schemas.microsoft.com/office/drawing/2014/main" id="{A6E4B2E5-D686-443A-A4FB-4B8F43E67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377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</xdr:row>
      <xdr:rowOff>0</xdr:rowOff>
    </xdr:from>
    <xdr:to>
      <xdr:col>13</xdr:col>
      <xdr:colOff>0</xdr:colOff>
      <xdr:row>193</xdr:row>
      <xdr:rowOff>148590</xdr:rowOff>
    </xdr:to>
    <xdr:pic>
      <xdr:nvPicPr>
        <xdr:cNvPr id="542" name="Imagen 541" descr="Ver detalle">
          <a:hlinkClick xmlns:r="http://schemas.openxmlformats.org/officeDocument/2006/relationships" r:id="rId493" tooltip="Ver detalle"/>
          <a:extLst>
            <a:ext uri="{FF2B5EF4-FFF2-40B4-BE49-F238E27FC236}">
              <a16:creationId xmlns:a16="http://schemas.microsoft.com/office/drawing/2014/main" id="{22E5762E-D0D0-4B82-943A-34DE83BE2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396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192</xdr:row>
      <xdr:rowOff>0</xdr:rowOff>
    </xdr:from>
    <xdr:to>
      <xdr:col>13</xdr:col>
      <xdr:colOff>329565</xdr:colOff>
      <xdr:row>193</xdr:row>
      <xdr:rowOff>148590</xdr:rowOff>
    </xdr:to>
    <xdr:pic>
      <xdr:nvPicPr>
        <xdr:cNvPr id="543" name="Imagen 542">
          <a:hlinkClick xmlns:r="http://schemas.openxmlformats.org/officeDocument/2006/relationships" r:id="rId494" tooltip="Quitar este incidente de la liquidación"/>
          <a:extLst>
            <a:ext uri="{FF2B5EF4-FFF2-40B4-BE49-F238E27FC236}">
              <a16:creationId xmlns:a16="http://schemas.microsoft.com/office/drawing/2014/main" id="{E0F3412E-19E8-405B-B071-14B7BA0E0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396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</xdr:row>
      <xdr:rowOff>0</xdr:rowOff>
    </xdr:from>
    <xdr:to>
      <xdr:col>13</xdr:col>
      <xdr:colOff>0</xdr:colOff>
      <xdr:row>194</xdr:row>
      <xdr:rowOff>148590</xdr:rowOff>
    </xdr:to>
    <xdr:pic>
      <xdr:nvPicPr>
        <xdr:cNvPr id="544" name="Imagen 543" descr="Ver detalle">
          <a:hlinkClick xmlns:r="http://schemas.openxmlformats.org/officeDocument/2006/relationships" r:id="rId495" tooltip="Ver detalle"/>
          <a:extLst>
            <a:ext uri="{FF2B5EF4-FFF2-40B4-BE49-F238E27FC236}">
              <a16:creationId xmlns:a16="http://schemas.microsoft.com/office/drawing/2014/main" id="{D01826F5-6775-47C2-8330-EA4D15B4F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415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193</xdr:row>
      <xdr:rowOff>0</xdr:rowOff>
    </xdr:from>
    <xdr:to>
      <xdr:col>13</xdr:col>
      <xdr:colOff>329565</xdr:colOff>
      <xdr:row>194</xdr:row>
      <xdr:rowOff>148590</xdr:rowOff>
    </xdr:to>
    <xdr:pic>
      <xdr:nvPicPr>
        <xdr:cNvPr id="545" name="Imagen 544">
          <a:hlinkClick xmlns:r="http://schemas.openxmlformats.org/officeDocument/2006/relationships" r:id="rId496" tooltip="Quitar este incidente de la liquidación"/>
          <a:extLst>
            <a:ext uri="{FF2B5EF4-FFF2-40B4-BE49-F238E27FC236}">
              <a16:creationId xmlns:a16="http://schemas.microsoft.com/office/drawing/2014/main" id="{5BD5E098-4294-42BC-9F3A-8FD964A9EF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415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</xdr:row>
      <xdr:rowOff>0</xdr:rowOff>
    </xdr:from>
    <xdr:to>
      <xdr:col>13</xdr:col>
      <xdr:colOff>0</xdr:colOff>
      <xdr:row>195</xdr:row>
      <xdr:rowOff>148590</xdr:rowOff>
    </xdr:to>
    <xdr:pic>
      <xdr:nvPicPr>
        <xdr:cNvPr id="546" name="Imagen 545" descr="Ver detalle">
          <a:hlinkClick xmlns:r="http://schemas.openxmlformats.org/officeDocument/2006/relationships" r:id="rId497" tooltip="Ver detalle"/>
          <a:extLst>
            <a:ext uri="{FF2B5EF4-FFF2-40B4-BE49-F238E27FC236}">
              <a16:creationId xmlns:a16="http://schemas.microsoft.com/office/drawing/2014/main" id="{3BACC7D1-9974-4477-B9FE-FD82EDBA2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434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194</xdr:row>
      <xdr:rowOff>0</xdr:rowOff>
    </xdr:from>
    <xdr:to>
      <xdr:col>13</xdr:col>
      <xdr:colOff>329565</xdr:colOff>
      <xdr:row>195</xdr:row>
      <xdr:rowOff>148590</xdr:rowOff>
    </xdr:to>
    <xdr:pic>
      <xdr:nvPicPr>
        <xdr:cNvPr id="547" name="Imagen 546">
          <a:hlinkClick xmlns:r="http://schemas.openxmlformats.org/officeDocument/2006/relationships" r:id="rId498" tooltip="Quitar este incidente de la liquidación"/>
          <a:extLst>
            <a:ext uri="{FF2B5EF4-FFF2-40B4-BE49-F238E27FC236}">
              <a16:creationId xmlns:a16="http://schemas.microsoft.com/office/drawing/2014/main" id="{7B26A762-6716-4DE2-9075-58EE54273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434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</xdr:row>
      <xdr:rowOff>0</xdr:rowOff>
    </xdr:from>
    <xdr:to>
      <xdr:col>13</xdr:col>
      <xdr:colOff>0</xdr:colOff>
      <xdr:row>190</xdr:row>
      <xdr:rowOff>148590</xdr:rowOff>
    </xdr:to>
    <xdr:pic>
      <xdr:nvPicPr>
        <xdr:cNvPr id="548" name="Imagen 547" descr="Ver detalle">
          <a:hlinkClick xmlns:r="http://schemas.openxmlformats.org/officeDocument/2006/relationships" r:id="rId499" tooltip="Ver detalle"/>
          <a:extLst>
            <a:ext uri="{FF2B5EF4-FFF2-40B4-BE49-F238E27FC236}">
              <a16:creationId xmlns:a16="http://schemas.microsoft.com/office/drawing/2014/main" id="{4C17C999-A9BB-41D3-B785-0CB8BB0B9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453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189</xdr:row>
      <xdr:rowOff>0</xdr:rowOff>
    </xdr:from>
    <xdr:to>
      <xdr:col>13</xdr:col>
      <xdr:colOff>329565</xdr:colOff>
      <xdr:row>190</xdr:row>
      <xdr:rowOff>148590</xdr:rowOff>
    </xdr:to>
    <xdr:pic>
      <xdr:nvPicPr>
        <xdr:cNvPr id="549" name="Imagen 548">
          <a:hlinkClick xmlns:r="http://schemas.openxmlformats.org/officeDocument/2006/relationships" r:id="rId500" tooltip="Quitar este incidente de la liquidación"/>
          <a:extLst>
            <a:ext uri="{FF2B5EF4-FFF2-40B4-BE49-F238E27FC236}">
              <a16:creationId xmlns:a16="http://schemas.microsoft.com/office/drawing/2014/main" id="{B0066695-A266-41E4-8A3E-7ACF3DED7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453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</xdr:row>
      <xdr:rowOff>0</xdr:rowOff>
    </xdr:from>
    <xdr:to>
      <xdr:col>13</xdr:col>
      <xdr:colOff>0</xdr:colOff>
      <xdr:row>192</xdr:row>
      <xdr:rowOff>148590</xdr:rowOff>
    </xdr:to>
    <xdr:pic>
      <xdr:nvPicPr>
        <xdr:cNvPr id="550" name="Imagen 549" descr="Ver detalle">
          <a:hlinkClick xmlns:r="http://schemas.openxmlformats.org/officeDocument/2006/relationships" r:id="rId501" tooltip="Ver detalle"/>
          <a:extLst>
            <a:ext uri="{FF2B5EF4-FFF2-40B4-BE49-F238E27FC236}">
              <a16:creationId xmlns:a16="http://schemas.microsoft.com/office/drawing/2014/main" id="{C9372421-E6A3-4490-989E-1E639D80B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472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191</xdr:row>
      <xdr:rowOff>0</xdr:rowOff>
    </xdr:from>
    <xdr:to>
      <xdr:col>13</xdr:col>
      <xdr:colOff>329565</xdr:colOff>
      <xdr:row>192</xdr:row>
      <xdr:rowOff>148590</xdr:rowOff>
    </xdr:to>
    <xdr:pic>
      <xdr:nvPicPr>
        <xdr:cNvPr id="551" name="Imagen 550">
          <a:hlinkClick xmlns:r="http://schemas.openxmlformats.org/officeDocument/2006/relationships" r:id="rId502" tooltip="Quitar este incidente de la liquidación"/>
          <a:extLst>
            <a:ext uri="{FF2B5EF4-FFF2-40B4-BE49-F238E27FC236}">
              <a16:creationId xmlns:a16="http://schemas.microsoft.com/office/drawing/2014/main" id="{3697ED8E-0F6F-434F-A0B4-74B8EB49B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472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</xdr:row>
      <xdr:rowOff>0</xdr:rowOff>
    </xdr:from>
    <xdr:to>
      <xdr:col>13</xdr:col>
      <xdr:colOff>0</xdr:colOff>
      <xdr:row>188</xdr:row>
      <xdr:rowOff>148590</xdr:rowOff>
    </xdr:to>
    <xdr:pic>
      <xdr:nvPicPr>
        <xdr:cNvPr id="552" name="Imagen 551" descr="Ver detalle">
          <a:hlinkClick xmlns:r="http://schemas.openxmlformats.org/officeDocument/2006/relationships" r:id="rId503" tooltip="Ver detalle"/>
          <a:extLst>
            <a:ext uri="{FF2B5EF4-FFF2-40B4-BE49-F238E27FC236}">
              <a16:creationId xmlns:a16="http://schemas.microsoft.com/office/drawing/2014/main" id="{BB6B7955-0F04-419C-9876-DC9EE3196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491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187</xdr:row>
      <xdr:rowOff>0</xdr:rowOff>
    </xdr:from>
    <xdr:to>
      <xdr:col>13</xdr:col>
      <xdr:colOff>329565</xdr:colOff>
      <xdr:row>188</xdr:row>
      <xdr:rowOff>148590</xdr:rowOff>
    </xdr:to>
    <xdr:pic>
      <xdr:nvPicPr>
        <xdr:cNvPr id="553" name="Imagen 552">
          <a:hlinkClick xmlns:r="http://schemas.openxmlformats.org/officeDocument/2006/relationships" r:id="rId504" tooltip="Quitar este incidente de la liquidación"/>
          <a:extLst>
            <a:ext uri="{FF2B5EF4-FFF2-40B4-BE49-F238E27FC236}">
              <a16:creationId xmlns:a16="http://schemas.microsoft.com/office/drawing/2014/main" id="{379C9254-F8E4-4B30-AF03-F76FF7BAA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491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</xdr:row>
      <xdr:rowOff>0</xdr:rowOff>
    </xdr:from>
    <xdr:to>
      <xdr:col>13</xdr:col>
      <xdr:colOff>0</xdr:colOff>
      <xdr:row>237</xdr:row>
      <xdr:rowOff>148590</xdr:rowOff>
    </xdr:to>
    <xdr:pic>
      <xdr:nvPicPr>
        <xdr:cNvPr id="554" name="Imagen 553" descr="Ver detalle">
          <a:hlinkClick xmlns:r="http://schemas.openxmlformats.org/officeDocument/2006/relationships" r:id="rId505" tooltip="Ver detalle"/>
          <a:extLst>
            <a:ext uri="{FF2B5EF4-FFF2-40B4-BE49-F238E27FC236}">
              <a16:creationId xmlns:a16="http://schemas.microsoft.com/office/drawing/2014/main" id="{C4CD2A6B-72D5-4453-BE1D-4011257FB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5105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236</xdr:row>
      <xdr:rowOff>0</xdr:rowOff>
    </xdr:from>
    <xdr:to>
      <xdr:col>13</xdr:col>
      <xdr:colOff>329565</xdr:colOff>
      <xdr:row>237</xdr:row>
      <xdr:rowOff>148590</xdr:rowOff>
    </xdr:to>
    <xdr:pic>
      <xdr:nvPicPr>
        <xdr:cNvPr id="555" name="Imagen 554">
          <a:hlinkClick xmlns:r="http://schemas.openxmlformats.org/officeDocument/2006/relationships" r:id="rId506" tooltip="Quitar este incidente de la liquidación"/>
          <a:extLst>
            <a:ext uri="{FF2B5EF4-FFF2-40B4-BE49-F238E27FC236}">
              <a16:creationId xmlns:a16="http://schemas.microsoft.com/office/drawing/2014/main" id="{ABF3070C-DCCB-41F7-98E3-95A5D7D14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5105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</xdr:row>
      <xdr:rowOff>0</xdr:rowOff>
    </xdr:from>
    <xdr:to>
      <xdr:col>13</xdr:col>
      <xdr:colOff>0</xdr:colOff>
      <xdr:row>236</xdr:row>
      <xdr:rowOff>148590</xdr:rowOff>
    </xdr:to>
    <xdr:pic>
      <xdr:nvPicPr>
        <xdr:cNvPr id="556" name="Imagen 555" descr="Ver detalle">
          <a:hlinkClick xmlns:r="http://schemas.openxmlformats.org/officeDocument/2006/relationships" r:id="rId507" tooltip="Ver detalle"/>
          <a:extLst>
            <a:ext uri="{FF2B5EF4-FFF2-40B4-BE49-F238E27FC236}">
              <a16:creationId xmlns:a16="http://schemas.microsoft.com/office/drawing/2014/main" id="{1316479F-20FB-4533-8243-3641A3405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529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235</xdr:row>
      <xdr:rowOff>0</xdr:rowOff>
    </xdr:from>
    <xdr:to>
      <xdr:col>13</xdr:col>
      <xdr:colOff>329565</xdr:colOff>
      <xdr:row>236</xdr:row>
      <xdr:rowOff>148590</xdr:rowOff>
    </xdr:to>
    <xdr:pic>
      <xdr:nvPicPr>
        <xdr:cNvPr id="557" name="Imagen 556">
          <a:hlinkClick xmlns:r="http://schemas.openxmlformats.org/officeDocument/2006/relationships" r:id="rId508" tooltip="Quitar este incidente de la liquidación"/>
          <a:extLst>
            <a:ext uri="{FF2B5EF4-FFF2-40B4-BE49-F238E27FC236}">
              <a16:creationId xmlns:a16="http://schemas.microsoft.com/office/drawing/2014/main" id="{5CA6DEA1-E2DC-4DD0-B5C9-0271742E1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529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</xdr:row>
      <xdr:rowOff>0</xdr:rowOff>
    </xdr:from>
    <xdr:to>
      <xdr:col>13</xdr:col>
      <xdr:colOff>0</xdr:colOff>
      <xdr:row>235</xdr:row>
      <xdr:rowOff>148590</xdr:rowOff>
    </xdr:to>
    <xdr:pic>
      <xdr:nvPicPr>
        <xdr:cNvPr id="558" name="Imagen 557" descr="Ver detalle">
          <a:hlinkClick xmlns:r="http://schemas.openxmlformats.org/officeDocument/2006/relationships" r:id="rId509" tooltip="Ver detalle"/>
          <a:extLst>
            <a:ext uri="{FF2B5EF4-FFF2-40B4-BE49-F238E27FC236}">
              <a16:creationId xmlns:a16="http://schemas.microsoft.com/office/drawing/2014/main" id="{ADD2B450-35FE-441B-AD1F-91C725637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548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234</xdr:row>
      <xdr:rowOff>0</xdr:rowOff>
    </xdr:from>
    <xdr:to>
      <xdr:col>13</xdr:col>
      <xdr:colOff>329565</xdr:colOff>
      <xdr:row>235</xdr:row>
      <xdr:rowOff>148590</xdr:rowOff>
    </xdr:to>
    <xdr:pic>
      <xdr:nvPicPr>
        <xdr:cNvPr id="559" name="Imagen 558">
          <a:hlinkClick xmlns:r="http://schemas.openxmlformats.org/officeDocument/2006/relationships" r:id="rId510" tooltip="Quitar este incidente de la liquidación"/>
          <a:extLst>
            <a:ext uri="{FF2B5EF4-FFF2-40B4-BE49-F238E27FC236}">
              <a16:creationId xmlns:a16="http://schemas.microsoft.com/office/drawing/2014/main" id="{B2624524-E800-4E13-AA1C-7D343DA5F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548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</xdr:row>
      <xdr:rowOff>0</xdr:rowOff>
    </xdr:from>
    <xdr:to>
      <xdr:col>13</xdr:col>
      <xdr:colOff>0</xdr:colOff>
      <xdr:row>234</xdr:row>
      <xdr:rowOff>148590</xdr:rowOff>
    </xdr:to>
    <xdr:pic>
      <xdr:nvPicPr>
        <xdr:cNvPr id="560" name="Imagen 559" descr="Ver detalle">
          <a:hlinkClick xmlns:r="http://schemas.openxmlformats.org/officeDocument/2006/relationships" r:id="rId511" tooltip="Ver detalle"/>
          <a:extLst>
            <a:ext uri="{FF2B5EF4-FFF2-40B4-BE49-F238E27FC236}">
              <a16:creationId xmlns:a16="http://schemas.microsoft.com/office/drawing/2014/main" id="{2CA11368-08F4-4E04-8990-92C35EB57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5676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233</xdr:row>
      <xdr:rowOff>0</xdr:rowOff>
    </xdr:from>
    <xdr:to>
      <xdr:col>13</xdr:col>
      <xdr:colOff>329565</xdr:colOff>
      <xdr:row>234</xdr:row>
      <xdr:rowOff>148590</xdr:rowOff>
    </xdr:to>
    <xdr:pic>
      <xdr:nvPicPr>
        <xdr:cNvPr id="561" name="Imagen 560">
          <a:hlinkClick xmlns:r="http://schemas.openxmlformats.org/officeDocument/2006/relationships" r:id="rId512" tooltip="Quitar este incidente de la liquidación"/>
          <a:extLst>
            <a:ext uri="{FF2B5EF4-FFF2-40B4-BE49-F238E27FC236}">
              <a16:creationId xmlns:a16="http://schemas.microsoft.com/office/drawing/2014/main" id="{3CB644F6-2941-43EF-A335-B9961B5AA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5676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</xdr:row>
      <xdr:rowOff>0</xdr:rowOff>
    </xdr:from>
    <xdr:to>
      <xdr:col>13</xdr:col>
      <xdr:colOff>0</xdr:colOff>
      <xdr:row>189</xdr:row>
      <xdr:rowOff>148590</xdr:rowOff>
    </xdr:to>
    <xdr:pic>
      <xdr:nvPicPr>
        <xdr:cNvPr id="562" name="Imagen 561" descr="Ver detalle">
          <a:hlinkClick xmlns:r="http://schemas.openxmlformats.org/officeDocument/2006/relationships" r:id="rId513" tooltip="Ver detalle"/>
          <a:extLst>
            <a:ext uri="{FF2B5EF4-FFF2-40B4-BE49-F238E27FC236}">
              <a16:creationId xmlns:a16="http://schemas.microsoft.com/office/drawing/2014/main" id="{78C47B48-398B-4170-8A9D-99D8DDE5E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586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188</xdr:row>
      <xdr:rowOff>0</xdr:rowOff>
    </xdr:from>
    <xdr:to>
      <xdr:col>13</xdr:col>
      <xdr:colOff>329565</xdr:colOff>
      <xdr:row>189</xdr:row>
      <xdr:rowOff>148590</xdr:rowOff>
    </xdr:to>
    <xdr:pic>
      <xdr:nvPicPr>
        <xdr:cNvPr id="563" name="Imagen 562">
          <a:hlinkClick xmlns:r="http://schemas.openxmlformats.org/officeDocument/2006/relationships" r:id="rId514" tooltip="Quitar este incidente de la liquidación"/>
          <a:extLst>
            <a:ext uri="{FF2B5EF4-FFF2-40B4-BE49-F238E27FC236}">
              <a16:creationId xmlns:a16="http://schemas.microsoft.com/office/drawing/2014/main" id="{9346B8CA-2B2C-4635-B442-B951137D3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586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</xdr:row>
      <xdr:rowOff>0</xdr:rowOff>
    </xdr:from>
    <xdr:to>
      <xdr:col>13</xdr:col>
      <xdr:colOff>0</xdr:colOff>
      <xdr:row>233</xdr:row>
      <xdr:rowOff>148590</xdr:rowOff>
    </xdr:to>
    <xdr:pic>
      <xdr:nvPicPr>
        <xdr:cNvPr id="564" name="Imagen 563" descr="Ver detalle">
          <a:hlinkClick xmlns:r="http://schemas.openxmlformats.org/officeDocument/2006/relationships" r:id="rId515" tooltip="Ver detalle"/>
          <a:extLst>
            <a:ext uri="{FF2B5EF4-FFF2-40B4-BE49-F238E27FC236}">
              <a16:creationId xmlns:a16="http://schemas.microsoft.com/office/drawing/2014/main" id="{ED1F0306-93AB-45D1-9E7A-507E3B59F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605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232</xdr:row>
      <xdr:rowOff>0</xdr:rowOff>
    </xdr:from>
    <xdr:to>
      <xdr:col>13</xdr:col>
      <xdr:colOff>329565</xdr:colOff>
      <xdr:row>233</xdr:row>
      <xdr:rowOff>148590</xdr:rowOff>
    </xdr:to>
    <xdr:pic>
      <xdr:nvPicPr>
        <xdr:cNvPr id="565" name="Imagen 564">
          <a:hlinkClick xmlns:r="http://schemas.openxmlformats.org/officeDocument/2006/relationships" r:id="rId516" tooltip="Quitar este incidente de la liquidación"/>
          <a:extLst>
            <a:ext uri="{FF2B5EF4-FFF2-40B4-BE49-F238E27FC236}">
              <a16:creationId xmlns:a16="http://schemas.microsoft.com/office/drawing/2014/main" id="{4340271A-C227-456E-A8CD-8142E5E6F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605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</xdr:row>
      <xdr:rowOff>0</xdr:rowOff>
    </xdr:from>
    <xdr:to>
      <xdr:col>13</xdr:col>
      <xdr:colOff>0</xdr:colOff>
      <xdr:row>232</xdr:row>
      <xdr:rowOff>148590</xdr:rowOff>
    </xdr:to>
    <xdr:pic>
      <xdr:nvPicPr>
        <xdr:cNvPr id="566" name="Imagen 565" descr="Ver detalle">
          <a:hlinkClick xmlns:r="http://schemas.openxmlformats.org/officeDocument/2006/relationships" r:id="rId517" tooltip="Ver detalle"/>
          <a:extLst>
            <a:ext uri="{FF2B5EF4-FFF2-40B4-BE49-F238E27FC236}">
              <a16:creationId xmlns:a16="http://schemas.microsoft.com/office/drawing/2014/main" id="{80C29889-BE8E-4BA5-92AD-BC84F966C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624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231</xdr:row>
      <xdr:rowOff>0</xdr:rowOff>
    </xdr:from>
    <xdr:to>
      <xdr:col>13</xdr:col>
      <xdr:colOff>329565</xdr:colOff>
      <xdr:row>232</xdr:row>
      <xdr:rowOff>148590</xdr:rowOff>
    </xdr:to>
    <xdr:pic>
      <xdr:nvPicPr>
        <xdr:cNvPr id="567" name="Imagen 566">
          <a:hlinkClick xmlns:r="http://schemas.openxmlformats.org/officeDocument/2006/relationships" r:id="rId518" tooltip="Quitar este incidente de la liquidación"/>
          <a:extLst>
            <a:ext uri="{FF2B5EF4-FFF2-40B4-BE49-F238E27FC236}">
              <a16:creationId xmlns:a16="http://schemas.microsoft.com/office/drawing/2014/main" id="{5EE28CD8-A50E-485E-B018-331E705D0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624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</xdr:row>
      <xdr:rowOff>0</xdr:rowOff>
    </xdr:from>
    <xdr:to>
      <xdr:col>13</xdr:col>
      <xdr:colOff>0</xdr:colOff>
      <xdr:row>231</xdr:row>
      <xdr:rowOff>148590</xdr:rowOff>
    </xdr:to>
    <xdr:pic>
      <xdr:nvPicPr>
        <xdr:cNvPr id="568" name="Imagen 567" descr="Ver detalle">
          <a:hlinkClick xmlns:r="http://schemas.openxmlformats.org/officeDocument/2006/relationships" r:id="rId519" tooltip="Ver detalle"/>
          <a:extLst>
            <a:ext uri="{FF2B5EF4-FFF2-40B4-BE49-F238E27FC236}">
              <a16:creationId xmlns:a16="http://schemas.microsoft.com/office/drawing/2014/main" id="{0CA13145-AA72-4D38-A90D-A4A5A8AE6D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6438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230</xdr:row>
      <xdr:rowOff>0</xdr:rowOff>
    </xdr:from>
    <xdr:to>
      <xdr:col>13</xdr:col>
      <xdr:colOff>329565</xdr:colOff>
      <xdr:row>231</xdr:row>
      <xdr:rowOff>148590</xdr:rowOff>
    </xdr:to>
    <xdr:pic>
      <xdr:nvPicPr>
        <xdr:cNvPr id="569" name="Imagen 568">
          <a:hlinkClick xmlns:r="http://schemas.openxmlformats.org/officeDocument/2006/relationships" r:id="rId520" tooltip="Quitar este incidente de la liquidación"/>
          <a:extLst>
            <a:ext uri="{FF2B5EF4-FFF2-40B4-BE49-F238E27FC236}">
              <a16:creationId xmlns:a16="http://schemas.microsoft.com/office/drawing/2014/main" id="{0C241C41-42FE-4B0A-9DF1-9EA91700B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6438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</xdr:row>
      <xdr:rowOff>0</xdr:rowOff>
    </xdr:from>
    <xdr:to>
      <xdr:col>13</xdr:col>
      <xdr:colOff>0</xdr:colOff>
      <xdr:row>230</xdr:row>
      <xdr:rowOff>148590</xdr:rowOff>
    </xdr:to>
    <xdr:pic>
      <xdr:nvPicPr>
        <xdr:cNvPr id="570" name="Imagen 569" descr="Ver detalle">
          <a:hlinkClick xmlns:r="http://schemas.openxmlformats.org/officeDocument/2006/relationships" r:id="rId521" tooltip="Ver detalle"/>
          <a:extLst>
            <a:ext uri="{FF2B5EF4-FFF2-40B4-BE49-F238E27FC236}">
              <a16:creationId xmlns:a16="http://schemas.microsoft.com/office/drawing/2014/main" id="{88E162F0-51F7-45EC-AFA6-7E9C211B1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662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229</xdr:row>
      <xdr:rowOff>0</xdr:rowOff>
    </xdr:from>
    <xdr:to>
      <xdr:col>13</xdr:col>
      <xdr:colOff>329565</xdr:colOff>
      <xdr:row>230</xdr:row>
      <xdr:rowOff>148590</xdr:rowOff>
    </xdr:to>
    <xdr:pic>
      <xdr:nvPicPr>
        <xdr:cNvPr id="571" name="Imagen 570">
          <a:hlinkClick xmlns:r="http://schemas.openxmlformats.org/officeDocument/2006/relationships" r:id="rId522" tooltip="Quitar este incidente de la liquidación"/>
          <a:extLst>
            <a:ext uri="{FF2B5EF4-FFF2-40B4-BE49-F238E27FC236}">
              <a16:creationId xmlns:a16="http://schemas.microsoft.com/office/drawing/2014/main" id="{2CE99D44-8B48-46CD-8BFE-334D29FE2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662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</xdr:row>
      <xdr:rowOff>0</xdr:rowOff>
    </xdr:from>
    <xdr:to>
      <xdr:col>13</xdr:col>
      <xdr:colOff>0</xdr:colOff>
      <xdr:row>191</xdr:row>
      <xdr:rowOff>148590</xdr:rowOff>
    </xdr:to>
    <xdr:pic>
      <xdr:nvPicPr>
        <xdr:cNvPr id="572" name="Imagen 571" descr="Ver detalle">
          <a:hlinkClick xmlns:r="http://schemas.openxmlformats.org/officeDocument/2006/relationships" r:id="rId523" tooltip="Ver detalle"/>
          <a:extLst>
            <a:ext uri="{FF2B5EF4-FFF2-40B4-BE49-F238E27FC236}">
              <a16:creationId xmlns:a16="http://schemas.microsoft.com/office/drawing/2014/main" id="{935352AE-E5BB-4001-B2A1-76BECDAFF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681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190</xdr:row>
      <xdr:rowOff>0</xdr:rowOff>
    </xdr:from>
    <xdr:to>
      <xdr:col>13</xdr:col>
      <xdr:colOff>329565</xdr:colOff>
      <xdr:row>191</xdr:row>
      <xdr:rowOff>148590</xdr:rowOff>
    </xdr:to>
    <xdr:pic>
      <xdr:nvPicPr>
        <xdr:cNvPr id="573" name="Imagen 572">
          <a:hlinkClick xmlns:r="http://schemas.openxmlformats.org/officeDocument/2006/relationships" r:id="rId524" tooltip="Quitar este incidente de la liquidación"/>
          <a:extLst>
            <a:ext uri="{FF2B5EF4-FFF2-40B4-BE49-F238E27FC236}">
              <a16:creationId xmlns:a16="http://schemas.microsoft.com/office/drawing/2014/main" id="{B21357AA-4540-4896-91EE-6146E499F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681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</xdr:row>
      <xdr:rowOff>0</xdr:rowOff>
    </xdr:from>
    <xdr:to>
      <xdr:col>13</xdr:col>
      <xdr:colOff>0</xdr:colOff>
      <xdr:row>187</xdr:row>
      <xdr:rowOff>148590</xdr:rowOff>
    </xdr:to>
    <xdr:pic>
      <xdr:nvPicPr>
        <xdr:cNvPr id="574" name="Imagen 573" descr="Ver detalle">
          <a:hlinkClick xmlns:r="http://schemas.openxmlformats.org/officeDocument/2006/relationships" r:id="rId525" tooltip="Ver detalle"/>
          <a:extLst>
            <a:ext uri="{FF2B5EF4-FFF2-40B4-BE49-F238E27FC236}">
              <a16:creationId xmlns:a16="http://schemas.microsoft.com/office/drawing/2014/main" id="{AF0A997F-601A-42FC-B6C8-59750FC302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701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186</xdr:row>
      <xdr:rowOff>0</xdr:rowOff>
    </xdr:from>
    <xdr:to>
      <xdr:col>13</xdr:col>
      <xdr:colOff>329565</xdr:colOff>
      <xdr:row>187</xdr:row>
      <xdr:rowOff>148590</xdr:rowOff>
    </xdr:to>
    <xdr:pic>
      <xdr:nvPicPr>
        <xdr:cNvPr id="575" name="Imagen 574">
          <a:hlinkClick xmlns:r="http://schemas.openxmlformats.org/officeDocument/2006/relationships" r:id="rId526" tooltip="Quitar este incidente de la liquidación"/>
          <a:extLst>
            <a:ext uri="{FF2B5EF4-FFF2-40B4-BE49-F238E27FC236}">
              <a16:creationId xmlns:a16="http://schemas.microsoft.com/office/drawing/2014/main" id="{E34A5656-8EE1-492C-995E-2690B51B54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701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</xdr:row>
      <xdr:rowOff>0</xdr:rowOff>
    </xdr:from>
    <xdr:to>
      <xdr:col>13</xdr:col>
      <xdr:colOff>0</xdr:colOff>
      <xdr:row>229</xdr:row>
      <xdr:rowOff>148590</xdr:rowOff>
    </xdr:to>
    <xdr:pic>
      <xdr:nvPicPr>
        <xdr:cNvPr id="576" name="Imagen 575" descr="Ver detalle">
          <a:hlinkClick xmlns:r="http://schemas.openxmlformats.org/officeDocument/2006/relationships" r:id="rId527" tooltip="Ver detalle"/>
          <a:extLst>
            <a:ext uri="{FF2B5EF4-FFF2-40B4-BE49-F238E27FC236}">
              <a16:creationId xmlns:a16="http://schemas.microsoft.com/office/drawing/2014/main" id="{C777804F-BD43-40DE-9F97-8C524B019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7200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228</xdr:row>
      <xdr:rowOff>0</xdr:rowOff>
    </xdr:from>
    <xdr:to>
      <xdr:col>13</xdr:col>
      <xdr:colOff>329565</xdr:colOff>
      <xdr:row>229</xdr:row>
      <xdr:rowOff>148590</xdr:rowOff>
    </xdr:to>
    <xdr:pic>
      <xdr:nvPicPr>
        <xdr:cNvPr id="577" name="Imagen 576">
          <a:hlinkClick xmlns:r="http://schemas.openxmlformats.org/officeDocument/2006/relationships" r:id="rId528" tooltip="Quitar este incidente de la liquidación"/>
          <a:extLst>
            <a:ext uri="{FF2B5EF4-FFF2-40B4-BE49-F238E27FC236}">
              <a16:creationId xmlns:a16="http://schemas.microsoft.com/office/drawing/2014/main" id="{19753E77-BBB0-4774-91E4-3D86AC56C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7200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</xdr:row>
      <xdr:rowOff>0</xdr:rowOff>
    </xdr:from>
    <xdr:to>
      <xdr:col>13</xdr:col>
      <xdr:colOff>0</xdr:colOff>
      <xdr:row>227</xdr:row>
      <xdr:rowOff>148590</xdr:rowOff>
    </xdr:to>
    <xdr:pic>
      <xdr:nvPicPr>
        <xdr:cNvPr id="578" name="Imagen 577" descr="Ver detalle">
          <a:hlinkClick xmlns:r="http://schemas.openxmlformats.org/officeDocument/2006/relationships" r:id="rId529" tooltip="Ver detalle"/>
          <a:extLst>
            <a:ext uri="{FF2B5EF4-FFF2-40B4-BE49-F238E27FC236}">
              <a16:creationId xmlns:a16="http://schemas.microsoft.com/office/drawing/2014/main" id="{308450CB-2BF0-485E-87DF-C1740AB9B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758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226</xdr:row>
      <xdr:rowOff>0</xdr:rowOff>
    </xdr:from>
    <xdr:to>
      <xdr:col>13</xdr:col>
      <xdr:colOff>329565</xdr:colOff>
      <xdr:row>227</xdr:row>
      <xdr:rowOff>148590</xdr:rowOff>
    </xdr:to>
    <xdr:pic>
      <xdr:nvPicPr>
        <xdr:cNvPr id="579" name="Imagen 578">
          <a:hlinkClick xmlns:r="http://schemas.openxmlformats.org/officeDocument/2006/relationships" r:id="rId530" tooltip="Quitar este incidente de la liquidación"/>
          <a:extLst>
            <a:ext uri="{FF2B5EF4-FFF2-40B4-BE49-F238E27FC236}">
              <a16:creationId xmlns:a16="http://schemas.microsoft.com/office/drawing/2014/main" id="{4B6DB067-2B20-4971-BB88-38CB5F4F6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758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</xdr:row>
      <xdr:rowOff>0</xdr:rowOff>
    </xdr:from>
    <xdr:to>
      <xdr:col>13</xdr:col>
      <xdr:colOff>0</xdr:colOff>
      <xdr:row>226</xdr:row>
      <xdr:rowOff>148590</xdr:rowOff>
    </xdr:to>
    <xdr:pic>
      <xdr:nvPicPr>
        <xdr:cNvPr id="580" name="Imagen 579" descr="Ver detalle">
          <a:hlinkClick xmlns:r="http://schemas.openxmlformats.org/officeDocument/2006/relationships" r:id="rId531" tooltip="Ver detalle"/>
          <a:extLst>
            <a:ext uri="{FF2B5EF4-FFF2-40B4-BE49-F238E27FC236}">
              <a16:creationId xmlns:a16="http://schemas.microsoft.com/office/drawing/2014/main" id="{0771764F-5FEE-4184-A30F-BA3B3AF42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777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225</xdr:row>
      <xdr:rowOff>0</xdr:rowOff>
    </xdr:from>
    <xdr:to>
      <xdr:col>13</xdr:col>
      <xdr:colOff>329565</xdr:colOff>
      <xdr:row>226</xdr:row>
      <xdr:rowOff>148590</xdr:rowOff>
    </xdr:to>
    <xdr:pic>
      <xdr:nvPicPr>
        <xdr:cNvPr id="581" name="Imagen 580">
          <a:hlinkClick xmlns:r="http://schemas.openxmlformats.org/officeDocument/2006/relationships" r:id="rId532" tooltip="Quitar este incidente de la liquidación"/>
          <a:extLst>
            <a:ext uri="{FF2B5EF4-FFF2-40B4-BE49-F238E27FC236}">
              <a16:creationId xmlns:a16="http://schemas.microsoft.com/office/drawing/2014/main" id="{846BCA21-7D2E-4868-8499-F237127BF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777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</xdr:row>
      <xdr:rowOff>0</xdr:rowOff>
    </xdr:from>
    <xdr:to>
      <xdr:col>13</xdr:col>
      <xdr:colOff>0</xdr:colOff>
      <xdr:row>186</xdr:row>
      <xdr:rowOff>148590</xdr:rowOff>
    </xdr:to>
    <xdr:pic>
      <xdr:nvPicPr>
        <xdr:cNvPr id="582" name="Imagen 581" descr="Ver detalle">
          <a:hlinkClick xmlns:r="http://schemas.openxmlformats.org/officeDocument/2006/relationships" r:id="rId533" tooltip="Ver detalle"/>
          <a:extLst>
            <a:ext uri="{FF2B5EF4-FFF2-40B4-BE49-F238E27FC236}">
              <a16:creationId xmlns:a16="http://schemas.microsoft.com/office/drawing/2014/main" id="{34F3B43D-0FE5-4212-9725-38ED53B915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796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185</xdr:row>
      <xdr:rowOff>0</xdr:rowOff>
    </xdr:from>
    <xdr:to>
      <xdr:col>13</xdr:col>
      <xdr:colOff>329565</xdr:colOff>
      <xdr:row>186</xdr:row>
      <xdr:rowOff>148590</xdr:rowOff>
    </xdr:to>
    <xdr:pic>
      <xdr:nvPicPr>
        <xdr:cNvPr id="583" name="Imagen 582">
          <a:hlinkClick xmlns:r="http://schemas.openxmlformats.org/officeDocument/2006/relationships" r:id="rId534" tooltip="Quitar este incidente de la liquidación"/>
          <a:extLst>
            <a:ext uri="{FF2B5EF4-FFF2-40B4-BE49-F238E27FC236}">
              <a16:creationId xmlns:a16="http://schemas.microsoft.com/office/drawing/2014/main" id="{FAF4D4A7-1D5D-4C76-B8F0-B0570D646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796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</xdr:row>
      <xdr:rowOff>0</xdr:rowOff>
    </xdr:from>
    <xdr:to>
      <xdr:col>13</xdr:col>
      <xdr:colOff>0</xdr:colOff>
      <xdr:row>225</xdr:row>
      <xdr:rowOff>148590</xdr:rowOff>
    </xdr:to>
    <xdr:pic>
      <xdr:nvPicPr>
        <xdr:cNvPr id="584" name="Imagen 583" descr="Ver detalle">
          <a:hlinkClick xmlns:r="http://schemas.openxmlformats.org/officeDocument/2006/relationships" r:id="rId535" tooltip="Ver detalle"/>
          <a:extLst>
            <a:ext uri="{FF2B5EF4-FFF2-40B4-BE49-F238E27FC236}">
              <a16:creationId xmlns:a16="http://schemas.microsoft.com/office/drawing/2014/main" id="{AE1ACDD2-7037-460A-97BD-35AF5CDAC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815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224</xdr:row>
      <xdr:rowOff>0</xdr:rowOff>
    </xdr:from>
    <xdr:to>
      <xdr:col>13</xdr:col>
      <xdr:colOff>329565</xdr:colOff>
      <xdr:row>225</xdr:row>
      <xdr:rowOff>148590</xdr:rowOff>
    </xdr:to>
    <xdr:pic>
      <xdr:nvPicPr>
        <xdr:cNvPr id="585" name="Imagen 584">
          <a:hlinkClick xmlns:r="http://schemas.openxmlformats.org/officeDocument/2006/relationships" r:id="rId536" tooltip="Quitar este incidente de la liquidación"/>
          <a:extLst>
            <a:ext uri="{FF2B5EF4-FFF2-40B4-BE49-F238E27FC236}">
              <a16:creationId xmlns:a16="http://schemas.microsoft.com/office/drawing/2014/main" id="{0091807A-FD49-4064-A871-A86B42651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815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</xdr:row>
      <xdr:rowOff>0</xdr:rowOff>
    </xdr:from>
    <xdr:to>
      <xdr:col>13</xdr:col>
      <xdr:colOff>0</xdr:colOff>
      <xdr:row>224</xdr:row>
      <xdr:rowOff>148590</xdr:rowOff>
    </xdr:to>
    <xdr:pic>
      <xdr:nvPicPr>
        <xdr:cNvPr id="586" name="Imagen 585" descr="Ver detalle">
          <a:hlinkClick xmlns:r="http://schemas.openxmlformats.org/officeDocument/2006/relationships" r:id="rId537" tooltip="Ver detalle"/>
          <a:extLst>
            <a:ext uri="{FF2B5EF4-FFF2-40B4-BE49-F238E27FC236}">
              <a16:creationId xmlns:a16="http://schemas.microsoft.com/office/drawing/2014/main" id="{64623ECF-182D-4FCC-9EC5-46FBE26EB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834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223</xdr:row>
      <xdr:rowOff>0</xdr:rowOff>
    </xdr:from>
    <xdr:to>
      <xdr:col>13</xdr:col>
      <xdr:colOff>329565</xdr:colOff>
      <xdr:row>224</xdr:row>
      <xdr:rowOff>148590</xdr:rowOff>
    </xdr:to>
    <xdr:pic>
      <xdr:nvPicPr>
        <xdr:cNvPr id="587" name="Imagen 586">
          <a:hlinkClick xmlns:r="http://schemas.openxmlformats.org/officeDocument/2006/relationships" r:id="rId538" tooltip="Quitar este incidente de la liquidación"/>
          <a:extLst>
            <a:ext uri="{FF2B5EF4-FFF2-40B4-BE49-F238E27FC236}">
              <a16:creationId xmlns:a16="http://schemas.microsoft.com/office/drawing/2014/main" id="{1788EABC-6C44-4A03-B3F5-8D1A388F8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834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</xdr:row>
      <xdr:rowOff>0</xdr:rowOff>
    </xdr:from>
    <xdr:to>
      <xdr:col>13</xdr:col>
      <xdr:colOff>0</xdr:colOff>
      <xdr:row>223</xdr:row>
      <xdr:rowOff>148590</xdr:rowOff>
    </xdr:to>
    <xdr:pic>
      <xdr:nvPicPr>
        <xdr:cNvPr id="588" name="Imagen 587" descr="Ver detalle">
          <a:hlinkClick xmlns:r="http://schemas.openxmlformats.org/officeDocument/2006/relationships" r:id="rId539" tooltip="Ver detalle"/>
          <a:extLst>
            <a:ext uri="{FF2B5EF4-FFF2-40B4-BE49-F238E27FC236}">
              <a16:creationId xmlns:a16="http://schemas.microsoft.com/office/drawing/2014/main" id="{4FB2DA15-DAA0-4062-8D2D-2143E1361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853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222</xdr:row>
      <xdr:rowOff>0</xdr:rowOff>
    </xdr:from>
    <xdr:to>
      <xdr:col>13</xdr:col>
      <xdr:colOff>329565</xdr:colOff>
      <xdr:row>223</xdr:row>
      <xdr:rowOff>148590</xdr:rowOff>
    </xdr:to>
    <xdr:pic>
      <xdr:nvPicPr>
        <xdr:cNvPr id="589" name="Imagen 588">
          <a:hlinkClick xmlns:r="http://schemas.openxmlformats.org/officeDocument/2006/relationships" r:id="rId540" tooltip="Quitar este incidente de la liquidación"/>
          <a:extLst>
            <a:ext uri="{FF2B5EF4-FFF2-40B4-BE49-F238E27FC236}">
              <a16:creationId xmlns:a16="http://schemas.microsoft.com/office/drawing/2014/main" id="{4D8848F3-D249-4B00-87ED-18FF6290E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853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</xdr:row>
      <xdr:rowOff>0</xdr:rowOff>
    </xdr:from>
    <xdr:to>
      <xdr:col>13</xdr:col>
      <xdr:colOff>0</xdr:colOff>
      <xdr:row>219</xdr:row>
      <xdr:rowOff>148590</xdr:rowOff>
    </xdr:to>
    <xdr:pic>
      <xdr:nvPicPr>
        <xdr:cNvPr id="590" name="Imagen 589" descr="Ver detalle">
          <a:hlinkClick xmlns:r="http://schemas.openxmlformats.org/officeDocument/2006/relationships" r:id="rId541" tooltip="Ver detalle"/>
          <a:extLst>
            <a:ext uri="{FF2B5EF4-FFF2-40B4-BE49-F238E27FC236}">
              <a16:creationId xmlns:a16="http://schemas.microsoft.com/office/drawing/2014/main" id="{E0887B97-C96D-40E5-99FD-AA5886752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872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218</xdr:row>
      <xdr:rowOff>0</xdr:rowOff>
    </xdr:from>
    <xdr:to>
      <xdr:col>13</xdr:col>
      <xdr:colOff>329565</xdr:colOff>
      <xdr:row>219</xdr:row>
      <xdr:rowOff>148590</xdr:rowOff>
    </xdr:to>
    <xdr:pic>
      <xdr:nvPicPr>
        <xdr:cNvPr id="591" name="Imagen 590">
          <a:hlinkClick xmlns:r="http://schemas.openxmlformats.org/officeDocument/2006/relationships" r:id="rId542" tooltip="Quitar este incidente de la liquidación"/>
          <a:extLst>
            <a:ext uri="{FF2B5EF4-FFF2-40B4-BE49-F238E27FC236}">
              <a16:creationId xmlns:a16="http://schemas.microsoft.com/office/drawing/2014/main" id="{46D02774-8067-4F52-A2D1-50ABD9504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872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</xdr:row>
      <xdr:rowOff>0</xdr:rowOff>
    </xdr:from>
    <xdr:to>
      <xdr:col>13</xdr:col>
      <xdr:colOff>0</xdr:colOff>
      <xdr:row>217</xdr:row>
      <xdr:rowOff>148590</xdr:rowOff>
    </xdr:to>
    <xdr:pic>
      <xdr:nvPicPr>
        <xdr:cNvPr id="592" name="Imagen 591" descr="Ver detalle">
          <a:hlinkClick xmlns:r="http://schemas.openxmlformats.org/officeDocument/2006/relationships" r:id="rId543" tooltip="Ver detalle"/>
          <a:extLst>
            <a:ext uri="{FF2B5EF4-FFF2-40B4-BE49-F238E27FC236}">
              <a16:creationId xmlns:a16="http://schemas.microsoft.com/office/drawing/2014/main" id="{480BBB72-17CA-42A8-97F3-8860BBAF5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8915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216</xdr:row>
      <xdr:rowOff>0</xdr:rowOff>
    </xdr:from>
    <xdr:to>
      <xdr:col>13</xdr:col>
      <xdr:colOff>329565</xdr:colOff>
      <xdr:row>217</xdr:row>
      <xdr:rowOff>148590</xdr:rowOff>
    </xdr:to>
    <xdr:pic>
      <xdr:nvPicPr>
        <xdr:cNvPr id="593" name="Imagen 592">
          <a:hlinkClick xmlns:r="http://schemas.openxmlformats.org/officeDocument/2006/relationships" r:id="rId544" tooltip="Quitar este incidente de la liquidación"/>
          <a:extLst>
            <a:ext uri="{FF2B5EF4-FFF2-40B4-BE49-F238E27FC236}">
              <a16:creationId xmlns:a16="http://schemas.microsoft.com/office/drawing/2014/main" id="{73C19D56-83AA-44C8-A116-25BC03F5B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8915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</xdr:row>
      <xdr:rowOff>0</xdr:rowOff>
    </xdr:from>
    <xdr:to>
      <xdr:col>13</xdr:col>
      <xdr:colOff>0</xdr:colOff>
      <xdr:row>214</xdr:row>
      <xdr:rowOff>148590</xdr:rowOff>
    </xdr:to>
    <xdr:pic>
      <xdr:nvPicPr>
        <xdr:cNvPr id="594" name="Imagen 593" descr="Ver detalle">
          <a:hlinkClick xmlns:r="http://schemas.openxmlformats.org/officeDocument/2006/relationships" r:id="rId545" tooltip="Ver detalle"/>
          <a:extLst>
            <a:ext uri="{FF2B5EF4-FFF2-40B4-BE49-F238E27FC236}">
              <a16:creationId xmlns:a16="http://schemas.microsoft.com/office/drawing/2014/main" id="{54A61861-4793-4AAC-A3A5-0DF64155B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910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213</xdr:row>
      <xdr:rowOff>0</xdr:rowOff>
    </xdr:from>
    <xdr:to>
      <xdr:col>13</xdr:col>
      <xdr:colOff>329565</xdr:colOff>
      <xdr:row>214</xdr:row>
      <xdr:rowOff>148590</xdr:rowOff>
    </xdr:to>
    <xdr:pic>
      <xdr:nvPicPr>
        <xdr:cNvPr id="595" name="Imagen 594">
          <a:hlinkClick xmlns:r="http://schemas.openxmlformats.org/officeDocument/2006/relationships" r:id="rId546" tooltip="Quitar este incidente de la liquidación"/>
          <a:extLst>
            <a:ext uri="{FF2B5EF4-FFF2-40B4-BE49-F238E27FC236}">
              <a16:creationId xmlns:a16="http://schemas.microsoft.com/office/drawing/2014/main" id="{0B2363A6-6ADD-4FA1-B4BE-C2D91956A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910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</xdr:row>
      <xdr:rowOff>0</xdr:rowOff>
    </xdr:from>
    <xdr:to>
      <xdr:col>13</xdr:col>
      <xdr:colOff>0</xdr:colOff>
      <xdr:row>213</xdr:row>
      <xdr:rowOff>148590</xdr:rowOff>
    </xdr:to>
    <xdr:pic>
      <xdr:nvPicPr>
        <xdr:cNvPr id="596" name="Imagen 595" descr="Ver detalle">
          <a:hlinkClick xmlns:r="http://schemas.openxmlformats.org/officeDocument/2006/relationships" r:id="rId547" tooltip="Ver detalle"/>
          <a:extLst>
            <a:ext uri="{FF2B5EF4-FFF2-40B4-BE49-F238E27FC236}">
              <a16:creationId xmlns:a16="http://schemas.microsoft.com/office/drawing/2014/main" id="{BCE2F51B-FF26-40B3-A5CC-BFA9A4B682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929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212</xdr:row>
      <xdr:rowOff>0</xdr:rowOff>
    </xdr:from>
    <xdr:to>
      <xdr:col>13</xdr:col>
      <xdr:colOff>329565</xdr:colOff>
      <xdr:row>213</xdr:row>
      <xdr:rowOff>148590</xdr:rowOff>
    </xdr:to>
    <xdr:pic>
      <xdr:nvPicPr>
        <xdr:cNvPr id="597" name="Imagen 596">
          <a:hlinkClick xmlns:r="http://schemas.openxmlformats.org/officeDocument/2006/relationships" r:id="rId548" tooltip="Quitar este incidente de la liquidación"/>
          <a:extLst>
            <a:ext uri="{FF2B5EF4-FFF2-40B4-BE49-F238E27FC236}">
              <a16:creationId xmlns:a16="http://schemas.microsoft.com/office/drawing/2014/main" id="{148D48FE-6A3A-4287-B736-996CB77BB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929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</xdr:row>
      <xdr:rowOff>0</xdr:rowOff>
    </xdr:from>
    <xdr:to>
      <xdr:col>13</xdr:col>
      <xdr:colOff>0</xdr:colOff>
      <xdr:row>212</xdr:row>
      <xdr:rowOff>148590</xdr:rowOff>
    </xdr:to>
    <xdr:pic>
      <xdr:nvPicPr>
        <xdr:cNvPr id="598" name="Imagen 597" descr="Ver detalle">
          <a:hlinkClick xmlns:r="http://schemas.openxmlformats.org/officeDocument/2006/relationships" r:id="rId549" tooltip="Ver detalle"/>
          <a:extLst>
            <a:ext uri="{FF2B5EF4-FFF2-40B4-BE49-F238E27FC236}">
              <a16:creationId xmlns:a16="http://schemas.microsoft.com/office/drawing/2014/main" id="{AD5E3A72-66DB-44A7-A0AF-90C71D28A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9486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211</xdr:row>
      <xdr:rowOff>0</xdr:rowOff>
    </xdr:from>
    <xdr:to>
      <xdr:col>13</xdr:col>
      <xdr:colOff>329565</xdr:colOff>
      <xdr:row>212</xdr:row>
      <xdr:rowOff>148590</xdr:rowOff>
    </xdr:to>
    <xdr:pic>
      <xdr:nvPicPr>
        <xdr:cNvPr id="599" name="Imagen 598">
          <a:hlinkClick xmlns:r="http://schemas.openxmlformats.org/officeDocument/2006/relationships" r:id="rId550" tooltip="Quitar este incidente de la liquidación"/>
          <a:extLst>
            <a:ext uri="{FF2B5EF4-FFF2-40B4-BE49-F238E27FC236}">
              <a16:creationId xmlns:a16="http://schemas.microsoft.com/office/drawing/2014/main" id="{EB5E4452-DEC2-445F-8644-C330A8FC9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9486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</xdr:row>
      <xdr:rowOff>0</xdr:rowOff>
    </xdr:from>
    <xdr:to>
      <xdr:col>13</xdr:col>
      <xdr:colOff>0</xdr:colOff>
      <xdr:row>222</xdr:row>
      <xdr:rowOff>148590</xdr:rowOff>
    </xdr:to>
    <xdr:pic>
      <xdr:nvPicPr>
        <xdr:cNvPr id="600" name="Imagen 599" descr="Ver detalle">
          <a:hlinkClick xmlns:r="http://schemas.openxmlformats.org/officeDocument/2006/relationships" r:id="rId551" tooltip="Ver detalle"/>
          <a:extLst>
            <a:ext uri="{FF2B5EF4-FFF2-40B4-BE49-F238E27FC236}">
              <a16:creationId xmlns:a16="http://schemas.microsoft.com/office/drawing/2014/main" id="{7658B7C1-E348-47A6-9DCD-CAC858383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967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221</xdr:row>
      <xdr:rowOff>0</xdr:rowOff>
    </xdr:from>
    <xdr:to>
      <xdr:col>13</xdr:col>
      <xdr:colOff>329565</xdr:colOff>
      <xdr:row>222</xdr:row>
      <xdr:rowOff>148590</xdr:rowOff>
    </xdr:to>
    <xdr:pic>
      <xdr:nvPicPr>
        <xdr:cNvPr id="601" name="Imagen 600">
          <a:hlinkClick xmlns:r="http://schemas.openxmlformats.org/officeDocument/2006/relationships" r:id="rId552" tooltip="Quitar este incidente de la liquidación"/>
          <a:extLst>
            <a:ext uri="{FF2B5EF4-FFF2-40B4-BE49-F238E27FC236}">
              <a16:creationId xmlns:a16="http://schemas.microsoft.com/office/drawing/2014/main" id="{75866664-B519-4C78-BD51-F7CC04929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967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</xdr:row>
      <xdr:rowOff>0</xdr:rowOff>
    </xdr:from>
    <xdr:to>
      <xdr:col>13</xdr:col>
      <xdr:colOff>0</xdr:colOff>
      <xdr:row>221</xdr:row>
      <xdr:rowOff>148590</xdr:rowOff>
    </xdr:to>
    <xdr:pic>
      <xdr:nvPicPr>
        <xdr:cNvPr id="602" name="Imagen 601" descr="Ver detalle">
          <a:hlinkClick xmlns:r="http://schemas.openxmlformats.org/officeDocument/2006/relationships" r:id="rId553" tooltip="Ver detalle"/>
          <a:extLst>
            <a:ext uri="{FF2B5EF4-FFF2-40B4-BE49-F238E27FC236}">
              <a16:creationId xmlns:a16="http://schemas.microsoft.com/office/drawing/2014/main" id="{BFB6DE2B-4BCF-4AFC-A335-CBDD04A3C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986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220</xdr:row>
      <xdr:rowOff>0</xdr:rowOff>
    </xdr:from>
    <xdr:to>
      <xdr:col>13</xdr:col>
      <xdr:colOff>329565</xdr:colOff>
      <xdr:row>221</xdr:row>
      <xdr:rowOff>148590</xdr:rowOff>
    </xdr:to>
    <xdr:pic>
      <xdr:nvPicPr>
        <xdr:cNvPr id="603" name="Imagen 602">
          <a:hlinkClick xmlns:r="http://schemas.openxmlformats.org/officeDocument/2006/relationships" r:id="rId554" tooltip="Quitar este incidente de la liquidación"/>
          <a:extLst>
            <a:ext uri="{FF2B5EF4-FFF2-40B4-BE49-F238E27FC236}">
              <a16:creationId xmlns:a16="http://schemas.microsoft.com/office/drawing/2014/main" id="{3B19284A-8432-4951-A4FF-4A097E4D9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986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</xdr:row>
      <xdr:rowOff>0</xdr:rowOff>
    </xdr:from>
    <xdr:to>
      <xdr:col>13</xdr:col>
      <xdr:colOff>0</xdr:colOff>
      <xdr:row>181</xdr:row>
      <xdr:rowOff>148590</xdr:rowOff>
    </xdr:to>
    <xdr:pic>
      <xdr:nvPicPr>
        <xdr:cNvPr id="604" name="Imagen 603" descr="Ver detalle">
          <a:hlinkClick xmlns:r="http://schemas.openxmlformats.org/officeDocument/2006/relationships" r:id="rId555" tooltip="Ver detalle"/>
          <a:extLst>
            <a:ext uri="{FF2B5EF4-FFF2-40B4-BE49-F238E27FC236}">
              <a16:creationId xmlns:a16="http://schemas.microsoft.com/office/drawing/2014/main" id="{E2B20339-AB09-4A0D-A571-16115B0F4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005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180</xdr:row>
      <xdr:rowOff>0</xdr:rowOff>
    </xdr:from>
    <xdr:to>
      <xdr:col>13</xdr:col>
      <xdr:colOff>329565</xdr:colOff>
      <xdr:row>181</xdr:row>
      <xdr:rowOff>148590</xdr:rowOff>
    </xdr:to>
    <xdr:pic>
      <xdr:nvPicPr>
        <xdr:cNvPr id="605" name="Imagen 604">
          <a:hlinkClick xmlns:r="http://schemas.openxmlformats.org/officeDocument/2006/relationships" r:id="rId556" tooltip="Quitar este incidente de la liquidación"/>
          <a:extLst>
            <a:ext uri="{FF2B5EF4-FFF2-40B4-BE49-F238E27FC236}">
              <a16:creationId xmlns:a16="http://schemas.microsoft.com/office/drawing/2014/main" id="{DC8F7EE7-B80C-4EBD-BC3C-C3811D2F98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005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</xdr:row>
      <xdr:rowOff>0</xdr:rowOff>
    </xdr:from>
    <xdr:to>
      <xdr:col>13</xdr:col>
      <xdr:colOff>0</xdr:colOff>
      <xdr:row>211</xdr:row>
      <xdr:rowOff>148590</xdr:rowOff>
    </xdr:to>
    <xdr:pic>
      <xdr:nvPicPr>
        <xdr:cNvPr id="606" name="Imagen 605" descr="Ver detalle">
          <a:hlinkClick xmlns:r="http://schemas.openxmlformats.org/officeDocument/2006/relationships" r:id="rId557" tooltip="Ver detalle"/>
          <a:extLst>
            <a:ext uri="{FF2B5EF4-FFF2-40B4-BE49-F238E27FC236}">
              <a16:creationId xmlns:a16="http://schemas.microsoft.com/office/drawing/2014/main" id="{E54FBAC6-2319-4ED9-BF4F-1F7437511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0248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210</xdr:row>
      <xdr:rowOff>0</xdr:rowOff>
    </xdr:from>
    <xdr:to>
      <xdr:col>13</xdr:col>
      <xdr:colOff>329565</xdr:colOff>
      <xdr:row>211</xdr:row>
      <xdr:rowOff>148590</xdr:rowOff>
    </xdr:to>
    <xdr:pic>
      <xdr:nvPicPr>
        <xdr:cNvPr id="607" name="Imagen 606">
          <a:hlinkClick xmlns:r="http://schemas.openxmlformats.org/officeDocument/2006/relationships" r:id="rId558" tooltip="Quitar este incidente de la liquidación"/>
          <a:extLst>
            <a:ext uri="{FF2B5EF4-FFF2-40B4-BE49-F238E27FC236}">
              <a16:creationId xmlns:a16="http://schemas.microsoft.com/office/drawing/2014/main" id="{8078D78A-C246-4165-8CD8-6FE9AE810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0248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</xdr:row>
      <xdr:rowOff>0</xdr:rowOff>
    </xdr:from>
    <xdr:to>
      <xdr:col>13</xdr:col>
      <xdr:colOff>0</xdr:colOff>
      <xdr:row>210</xdr:row>
      <xdr:rowOff>148590</xdr:rowOff>
    </xdr:to>
    <xdr:pic>
      <xdr:nvPicPr>
        <xdr:cNvPr id="608" name="Imagen 607" descr="Ver detalle">
          <a:hlinkClick xmlns:r="http://schemas.openxmlformats.org/officeDocument/2006/relationships" r:id="rId559" tooltip="Ver detalle"/>
          <a:extLst>
            <a:ext uri="{FF2B5EF4-FFF2-40B4-BE49-F238E27FC236}">
              <a16:creationId xmlns:a16="http://schemas.microsoft.com/office/drawing/2014/main" id="{F4DB9F7D-ED32-4F2E-B5A8-C7A9C32F7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043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209</xdr:row>
      <xdr:rowOff>0</xdr:rowOff>
    </xdr:from>
    <xdr:to>
      <xdr:col>13</xdr:col>
      <xdr:colOff>329565</xdr:colOff>
      <xdr:row>210</xdr:row>
      <xdr:rowOff>148590</xdr:rowOff>
    </xdr:to>
    <xdr:pic>
      <xdr:nvPicPr>
        <xdr:cNvPr id="609" name="Imagen 608">
          <a:hlinkClick xmlns:r="http://schemas.openxmlformats.org/officeDocument/2006/relationships" r:id="rId560" tooltip="Quitar este incidente de la liquidación"/>
          <a:extLst>
            <a:ext uri="{FF2B5EF4-FFF2-40B4-BE49-F238E27FC236}">
              <a16:creationId xmlns:a16="http://schemas.microsoft.com/office/drawing/2014/main" id="{15B0C91A-346C-495B-8FFD-D486B533F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043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</xdr:row>
      <xdr:rowOff>0</xdr:rowOff>
    </xdr:from>
    <xdr:to>
      <xdr:col>13</xdr:col>
      <xdr:colOff>0</xdr:colOff>
      <xdr:row>209</xdr:row>
      <xdr:rowOff>148590</xdr:rowOff>
    </xdr:to>
    <xdr:pic>
      <xdr:nvPicPr>
        <xdr:cNvPr id="610" name="Imagen 609" descr="Ver detalle">
          <a:hlinkClick xmlns:r="http://schemas.openxmlformats.org/officeDocument/2006/relationships" r:id="rId561" tooltip="Ver detalle"/>
          <a:extLst>
            <a:ext uri="{FF2B5EF4-FFF2-40B4-BE49-F238E27FC236}">
              <a16:creationId xmlns:a16="http://schemas.microsoft.com/office/drawing/2014/main" id="{90EF5BA1-F641-439C-A829-825C1C37A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062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208</xdr:row>
      <xdr:rowOff>0</xdr:rowOff>
    </xdr:from>
    <xdr:to>
      <xdr:col>13</xdr:col>
      <xdr:colOff>329565</xdr:colOff>
      <xdr:row>209</xdr:row>
      <xdr:rowOff>148590</xdr:rowOff>
    </xdr:to>
    <xdr:pic>
      <xdr:nvPicPr>
        <xdr:cNvPr id="611" name="Imagen 610">
          <a:hlinkClick xmlns:r="http://schemas.openxmlformats.org/officeDocument/2006/relationships" r:id="rId562" tooltip="Quitar este incidente de la liquidación"/>
          <a:extLst>
            <a:ext uri="{FF2B5EF4-FFF2-40B4-BE49-F238E27FC236}">
              <a16:creationId xmlns:a16="http://schemas.microsoft.com/office/drawing/2014/main" id="{210AAA19-4B45-4368-A3AF-88FAE7900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062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</xdr:row>
      <xdr:rowOff>0</xdr:rowOff>
    </xdr:from>
    <xdr:to>
      <xdr:col>13</xdr:col>
      <xdr:colOff>0</xdr:colOff>
      <xdr:row>208</xdr:row>
      <xdr:rowOff>148590</xdr:rowOff>
    </xdr:to>
    <xdr:pic>
      <xdr:nvPicPr>
        <xdr:cNvPr id="612" name="Imagen 611" descr="Ver detalle">
          <a:hlinkClick xmlns:r="http://schemas.openxmlformats.org/officeDocument/2006/relationships" r:id="rId563" tooltip="Ver detalle"/>
          <a:extLst>
            <a:ext uri="{FF2B5EF4-FFF2-40B4-BE49-F238E27FC236}">
              <a16:creationId xmlns:a16="http://schemas.microsoft.com/office/drawing/2014/main" id="{446BC234-8411-4E64-845A-E2231174C3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082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207</xdr:row>
      <xdr:rowOff>0</xdr:rowOff>
    </xdr:from>
    <xdr:to>
      <xdr:col>13</xdr:col>
      <xdr:colOff>329565</xdr:colOff>
      <xdr:row>208</xdr:row>
      <xdr:rowOff>148590</xdr:rowOff>
    </xdr:to>
    <xdr:pic>
      <xdr:nvPicPr>
        <xdr:cNvPr id="613" name="Imagen 612">
          <a:hlinkClick xmlns:r="http://schemas.openxmlformats.org/officeDocument/2006/relationships" r:id="rId564" tooltip="Quitar este incidente de la liquidación"/>
          <a:extLst>
            <a:ext uri="{FF2B5EF4-FFF2-40B4-BE49-F238E27FC236}">
              <a16:creationId xmlns:a16="http://schemas.microsoft.com/office/drawing/2014/main" id="{7037831A-B5BA-4472-9891-4C2FE94013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082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</xdr:row>
      <xdr:rowOff>0</xdr:rowOff>
    </xdr:from>
    <xdr:to>
      <xdr:col>13</xdr:col>
      <xdr:colOff>0</xdr:colOff>
      <xdr:row>183</xdr:row>
      <xdr:rowOff>148590</xdr:rowOff>
    </xdr:to>
    <xdr:pic>
      <xdr:nvPicPr>
        <xdr:cNvPr id="614" name="Imagen 613" descr="Ver detalle">
          <a:hlinkClick xmlns:r="http://schemas.openxmlformats.org/officeDocument/2006/relationships" r:id="rId565" tooltip="Ver detalle"/>
          <a:extLst>
            <a:ext uri="{FF2B5EF4-FFF2-40B4-BE49-F238E27FC236}">
              <a16:creationId xmlns:a16="http://schemas.microsoft.com/office/drawing/2014/main" id="{50B2313F-D7BA-4FCB-92D9-53485304B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1010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182</xdr:row>
      <xdr:rowOff>0</xdr:rowOff>
    </xdr:from>
    <xdr:to>
      <xdr:col>13</xdr:col>
      <xdr:colOff>329565</xdr:colOff>
      <xdr:row>183</xdr:row>
      <xdr:rowOff>148590</xdr:rowOff>
    </xdr:to>
    <xdr:pic>
      <xdr:nvPicPr>
        <xdr:cNvPr id="615" name="Imagen 614">
          <a:hlinkClick xmlns:r="http://schemas.openxmlformats.org/officeDocument/2006/relationships" r:id="rId566" tooltip="Quitar este incidente de la liquidación"/>
          <a:extLst>
            <a:ext uri="{FF2B5EF4-FFF2-40B4-BE49-F238E27FC236}">
              <a16:creationId xmlns:a16="http://schemas.microsoft.com/office/drawing/2014/main" id="{DC4DE287-36B9-47E5-A6F7-D743DF77B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1010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</xdr:row>
      <xdr:rowOff>0</xdr:rowOff>
    </xdr:from>
    <xdr:to>
      <xdr:col>13</xdr:col>
      <xdr:colOff>0</xdr:colOff>
      <xdr:row>180</xdr:row>
      <xdr:rowOff>148590</xdr:rowOff>
    </xdr:to>
    <xdr:pic>
      <xdr:nvPicPr>
        <xdr:cNvPr id="616" name="Imagen 615" descr="Ver detalle">
          <a:hlinkClick xmlns:r="http://schemas.openxmlformats.org/officeDocument/2006/relationships" r:id="rId567" tooltip="Ver detalle"/>
          <a:extLst>
            <a:ext uri="{FF2B5EF4-FFF2-40B4-BE49-F238E27FC236}">
              <a16:creationId xmlns:a16="http://schemas.microsoft.com/office/drawing/2014/main" id="{3F733CDF-15F1-4283-B2DE-A8E71D18C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120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179</xdr:row>
      <xdr:rowOff>0</xdr:rowOff>
    </xdr:from>
    <xdr:to>
      <xdr:col>13</xdr:col>
      <xdr:colOff>329565</xdr:colOff>
      <xdr:row>180</xdr:row>
      <xdr:rowOff>148590</xdr:rowOff>
    </xdr:to>
    <xdr:pic>
      <xdr:nvPicPr>
        <xdr:cNvPr id="617" name="Imagen 616">
          <a:hlinkClick xmlns:r="http://schemas.openxmlformats.org/officeDocument/2006/relationships" r:id="rId568" tooltip="Quitar este incidente de la liquidación"/>
          <a:extLst>
            <a:ext uri="{FF2B5EF4-FFF2-40B4-BE49-F238E27FC236}">
              <a16:creationId xmlns:a16="http://schemas.microsoft.com/office/drawing/2014/main" id="{FDFCF5EE-FE6C-4B91-9756-12C2CFE60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120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</xdr:row>
      <xdr:rowOff>0</xdr:rowOff>
    </xdr:from>
    <xdr:to>
      <xdr:col>13</xdr:col>
      <xdr:colOff>0</xdr:colOff>
      <xdr:row>182</xdr:row>
      <xdr:rowOff>148590</xdr:rowOff>
    </xdr:to>
    <xdr:pic>
      <xdr:nvPicPr>
        <xdr:cNvPr id="618" name="Imagen 617" descr="Ver detalle">
          <a:hlinkClick xmlns:r="http://schemas.openxmlformats.org/officeDocument/2006/relationships" r:id="rId569" tooltip="Ver detalle"/>
          <a:extLst>
            <a:ext uri="{FF2B5EF4-FFF2-40B4-BE49-F238E27FC236}">
              <a16:creationId xmlns:a16="http://schemas.microsoft.com/office/drawing/2014/main" id="{8506120C-040E-4677-814B-F8D5A6E41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139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181</xdr:row>
      <xdr:rowOff>0</xdr:rowOff>
    </xdr:from>
    <xdr:to>
      <xdr:col>13</xdr:col>
      <xdr:colOff>329565</xdr:colOff>
      <xdr:row>182</xdr:row>
      <xdr:rowOff>148590</xdr:rowOff>
    </xdr:to>
    <xdr:pic>
      <xdr:nvPicPr>
        <xdr:cNvPr id="619" name="Imagen 618">
          <a:hlinkClick xmlns:r="http://schemas.openxmlformats.org/officeDocument/2006/relationships" r:id="rId570" tooltip="Quitar este incidente de la liquidación"/>
          <a:extLst>
            <a:ext uri="{FF2B5EF4-FFF2-40B4-BE49-F238E27FC236}">
              <a16:creationId xmlns:a16="http://schemas.microsoft.com/office/drawing/2014/main" id="{8A582659-24BD-45F4-B231-150FBCE99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139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</xdr:row>
      <xdr:rowOff>0</xdr:rowOff>
    </xdr:from>
    <xdr:to>
      <xdr:col>13</xdr:col>
      <xdr:colOff>0</xdr:colOff>
      <xdr:row>171</xdr:row>
      <xdr:rowOff>148590</xdr:rowOff>
    </xdr:to>
    <xdr:pic>
      <xdr:nvPicPr>
        <xdr:cNvPr id="620" name="Imagen 619" descr="Ver detalle">
          <a:hlinkClick xmlns:r="http://schemas.openxmlformats.org/officeDocument/2006/relationships" r:id="rId571" tooltip="Ver detalle"/>
          <a:extLst>
            <a:ext uri="{FF2B5EF4-FFF2-40B4-BE49-F238E27FC236}">
              <a16:creationId xmlns:a16="http://schemas.microsoft.com/office/drawing/2014/main" id="{F4E17F45-ED99-42E1-A88E-858E834E9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158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170</xdr:row>
      <xdr:rowOff>0</xdr:rowOff>
    </xdr:from>
    <xdr:to>
      <xdr:col>13</xdr:col>
      <xdr:colOff>329565</xdr:colOff>
      <xdr:row>171</xdr:row>
      <xdr:rowOff>148590</xdr:rowOff>
    </xdr:to>
    <xdr:pic>
      <xdr:nvPicPr>
        <xdr:cNvPr id="621" name="Imagen 620">
          <a:hlinkClick xmlns:r="http://schemas.openxmlformats.org/officeDocument/2006/relationships" r:id="rId572" tooltip="Quitar este incidente de la liquidación"/>
          <a:extLst>
            <a:ext uri="{FF2B5EF4-FFF2-40B4-BE49-F238E27FC236}">
              <a16:creationId xmlns:a16="http://schemas.microsoft.com/office/drawing/2014/main" id="{49383BC7-DF32-4708-B5DB-83B2D5970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158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</xdr:row>
      <xdr:rowOff>0</xdr:rowOff>
    </xdr:from>
    <xdr:to>
      <xdr:col>13</xdr:col>
      <xdr:colOff>0</xdr:colOff>
      <xdr:row>173</xdr:row>
      <xdr:rowOff>148590</xdr:rowOff>
    </xdr:to>
    <xdr:pic>
      <xdr:nvPicPr>
        <xdr:cNvPr id="622" name="Imagen 621" descr="Ver detalle">
          <a:hlinkClick xmlns:r="http://schemas.openxmlformats.org/officeDocument/2006/relationships" r:id="rId573" tooltip="Ver detalle"/>
          <a:extLst>
            <a:ext uri="{FF2B5EF4-FFF2-40B4-BE49-F238E27FC236}">
              <a16:creationId xmlns:a16="http://schemas.microsoft.com/office/drawing/2014/main" id="{9ACD2DB8-5875-45E6-89C0-6ECC3200D0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177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172</xdr:row>
      <xdr:rowOff>0</xdr:rowOff>
    </xdr:from>
    <xdr:to>
      <xdr:col>13</xdr:col>
      <xdr:colOff>329565</xdr:colOff>
      <xdr:row>173</xdr:row>
      <xdr:rowOff>148590</xdr:rowOff>
    </xdr:to>
    <xdr:pic>
      <xdr:nvPicPr>
        <xdr:cNvPr id="623" name="Imagen 622">
          <a:hlinkClick xmlns:r="http://schemas.openxmlformats.org/officeDocument/2006/relationships" r:id="rId574" tooltip="Quitar este incidente de la liquidación"/>
          <a:extLst>
            <a:ext uri="{FF2B5EF4-FFF2-40B4-BE49-F238E27FC236}">
              <a16:creationId xmlns:a16="http://schemas.microsoft.com/office/drawing/2014/main" id="{C875234E-E340-4467-BAB3-37EAAA929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177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</xdr:row>
      <xdr:rowOff>0</xdr:rowOff>
    </xdr:from>
    <xdr:to>
      <xdr:col>13</xdr:col>
      <xdr:colOff>0</xdr:colOff>
      <xdr:row>172</xdr:row>
      <xdr:rowOff>148590</xdr:rowOff>
    </xdr:to>
    <xdr:pic>
      <xdr:nvPicPr>
        <xdr:cNvPr id="624" name="Imagen 623" descr="Ver detalle">
          <a:hlinkClick xmlns:r="http://schemas.openxmlformats.org/officeDocument/2006/relationships" r:id="rId575" tooltip="Ver detalle"/>
          <a:extLst>
            <a:ext uri="{FF2B5EF4-FFF2-40B4-BE49-F238E27FC236}">
              <a16:creationId xmlns:a16="http://schemas.microsoft.com/office/drawing/2014/main" id="{F90041CD-13D2-43E0-96F7-922FBFE71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196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171</xdr:row>
      <xdr:rowOff>0</xdr:rowOff>
    </xdr:from>
    <xdr:to>
      <xdr:col>13</xdr:col>
      <xdr:colOff>329565</xdr:colOff>
      <xdr:row>172</xdr:row>
      <xdr:rowOff>148590</xdr:rowOff>
    </xdr:to>
    <xdr:pic>
      <xdr:nvPicPr>
        <xdr:cNvPr id="625" name="Imagen 624">
          <a:hlinkClick xmlns:r="http://schemas.openxmlformats.org/officeDocument/2006/relationships" r:id="rId576" tooltip="Quitar este incidente de la liquidación"/>
          <a:extLst>
            <a:ext uri="{FF2B5EF4-FFF2-40B4-BE49-F238E27FC236}">
              <a16:creationId xmlns:a16="http://schemas.microsoft.com/office/drawing/2014/main" id="{7FB98098-638D-4F83-870D-8A94B6A8D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196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</xdr:row>
      <xdr:rowOff>0</xdr:rowOff>
    </xdr:from>
    <xdr:to>
      <xdr:col>13</xdr:col>
      <xdr:colOff>0</xdr:colOff>
      <xdr:row>202</xdr:row>
      <xdr:rowOff>148590</xdr:rowOff>
    </xdr:to>
    <xdr:pic>
      <xdr:nvPicPr>
        <xdr:cNvPr id="626" name="Imagen 625" descr="Ver detalle">
          <a:hlinkClick xmlns:r="http://schemas.openxmlformats.org/officeDocument/2006/relationships" r:id="rId577" tooltip="Ver detalle"/>
          <a:extLst>
            <a:ext uri="{FF2B5EF4-FFF2-40B4-BE49-F238E27FC236}">
              <a16:creationId xmlns:a16="http://schemas.microsoft.com/office/drawing/2014/main" id="{489B9C29-CA81-4463-AD30-9CB53B950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234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201</xdr:row>
      <xdr:rowOff>0</xdr:rowOff>
    </xdr:from>
    <xdr:to>
      <xdr:col>13</xdr:col>
      <xdr:colOff>329565</xdr:colOff>
      <xdr:row>202</xdr:row>
      <xdr:rowOff>148590</xdr:rowOff>
    </xdr:to>
    <xdr:pic>
      <xdr:nvPicPr>
        <xdr:cNvPr id="627" name="Imagen 626">
          <a:hlinkClick xmlns:r="http://schemas.openxmlformats.org/officeDocument/2006/relationships" r:id="rId578" tooltip="Quitar este incidente de la liquidación"/>
          <a:extLst>
            <a:ext uri="{FF2B5EF4-FFF2-40B4-BE49-F238E27FC236}">
              <a16:creationId xmlns:a16="http://schemas.microsoft.com/office/drawing/2014/main" id="{9FAD28CE-60F6-492D-A897-50C67477F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234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</xdr:row>
      <xdr:rowOff>0</xdr:rowOff>
    </xdr:from>
    <xdr:to>
      <xdr:col>13</xdr:col>
      <xdr:colOff>0</xdr:colOff>
      <xdr:row>201</xdr:row>
      <xdr:rowOff>148590</xdr:rowOff>
    </xdr:to>
    <xdr:pic>
      <xdr:nvPicPr>
        <xdr:cNvPr id="628" name="Imagen 627" descr="Ver detalle">
          <a:hlinkClick xmlns:r="http://schemas.openxmlformats.org/officeDocument/2006/relationships" r:id="rId579" tooltip="Ver detalle"/>
          <a:extLst>
            <a:ext uri="{FF2B5EF4-FFF2-40B4-BE49-F238E27FC236}">
              <a16:creationId xmlns:a16="http://schemas.microsoft.com/office/drawing/2014/main" id="{8A34C5BF-63BD-494D-AFF9-78DDA7487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253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200</xdr:row>
      <xdr:rowOff>0</xdr:rowOff>
    </xdr:from>
    <xdr:to>
      <xdr:col>13</xdr:col>
      <xdr:colOff>329565</xdr:colOff>
      <xdr:row>201</xdr:row>
      <xdr:rowOff>148590</xdr:rowOff>
    </xdr:to>
    <xdr:pic>
      <xdr:nvPicPr>
        <xdr:cNvPr id="629" name="Imagen 628">
          <a:hlinkClick xmlns:r="http://schemas.openxmlformats.org/officeDocument/2006/relationships" r:id="rId580" tooltip="Quitar este incidente de la liquidación"/>
          <a:extLst>
            <a:ext uri="{FF2B5EF4-FFF2-40B4-BE49-F238E27FC236}">
              <a16:creationId xmlns:a16="http://schemas.microsoft.com/office/drawing/2014/main" id="{4A62A750-388D-4E14-BFBB-4D8569B0D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253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</xdr:row>
      <xdr:rowOff>0</xdr:rowOff>
    </xdr:from>
    <xdr:to>
      <xdr:col>13</xdr:col>
      <xdr:colOff>0</xdr:colOff>
      <xdr:row>179</xdr:row>
      <xdr:rowOff>148590</xdr:rowOff>
    </xdr:to>
    <xdr:pic>
      <xdr:nvPicPr>
        <xdr:cNvPr id="630" name="Imagen 629" descr="Ver detalle">
          <a:hlinkClick xmlns:r="http://schemas.openxmlformats.org/officeDocument/2006/relationships" r:id="rId581" tooltip="Ver detalle"/>
          <a:extLst>
            <a:ext uri="{FF2B5EF4-FFF2-40B4-BE49-F238E27FC236}">
              <a16:creationId xmlns:a16="http://schemas.microsoft.com/office/drawing/2014/main" id="{B50D0AC1-3BFF-413B-BAF9-179AAEB18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2725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178</xdr:row>
      <xdr:rowOff>0</xdr:rowOff>
    </xdr:from>
    <xdr:to>
      <xdr:col>13</xdr:col>
      <xdr:colOff>329565</xdr:colOff>
      <xdr:row>179</xdr:row>
      <xdr:rowOff>148590</xdr:rowOff>
    </xdr:to>
    <xdr:pic>
      <xdr:nvPicPr>
        <xdr:cNvPr id="631" name="Imagen 630">
          <a:hlinkClick xmlns:r="http://schemas.openxmlformats.org/officeDocument/2006/relationships" r:id="rId582" tooltip="Quitar este incidente de la liquidación"/>
          <a:extLst>
            <a:ext uri="{FF2B5EF4-FFF2-40B4-BE49-F238E27FC236}">
              <a16:creationId xmlns:a16="http://schemas.microsoft.com/office/drawing/2014/main" id="{39E57C48-3FE3-42B9-ACF4-AD13F0DFC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2725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</xdr:row>
      <xdr:rowOff>0</xdr:rowOff>
    </xdr:from>
    <xdr:to>
      <xdr:col>13</xdr:col>
      <xdr:colOff>0</xdr:colOff>
      <xdr:row>185</xdr:row>
      <xdr:rowOff>148590</xdr:rowOff>
    </xdr:to>
    <xdr:pic>
      <xdr:nvPicPr>
        <xdr:cNvPr id="632" name="Imagen 631" descr="Ver detalle">
          <a:hlinkClick xmlns:r="http://schemas.openxmlformats.org/officeDocument/2006/relationships" r:id="rId583" tooltip="Ver detalle"/>
          <a:extLst>
            <a:ext uri="{FF2B5EF4-FFF2-40B4-BE49-F238E27FC236}">
              <a16:creationId xmlns:a16="http://schemas.microsoft.com/office/drawing/2014/main" id="{12F4562A-2E33-4BA0-97A1-FEC8C9EA4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291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184</xdr:row>
      <xdr:rowOff>0</xdr:rowOff>
    </xdr:from>
    <xdr:to>
      <xdr:col>13</xdr:col>
      <xdr:colOff>329565</xdr:colOff>
      <xdr:row>185</xdr:row>
      <xdr:rowOff>148590</xdr:rowOff>
    </xdr:to>
    <xdr:pic>
      <xdr:nvPicPr>
        <xdr:cNvPr id="633" name="Imagen 632">
          <a:hlinkClick xmlns:r="http://schemas.openxmlformats.org/officeDocument/2006/relationships" r:id="rId584" tooltip="Quitar este incidente de la liquidación"/>
          <a:extLst>
            <a:ext uri="{FF2B5EF4-FFF2-40B4-BE49-F238E27FC236}">
              <a16:creationId xmlns:a16="http://schemas.microsoft.com/office/drawing/2014/main" id="{DDFCED5C-848B-4296-A22F-5194D1F10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291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</xdr:row>
      <xdr:rowOff>0</xdr:rowOff>
    </xdr:from>
    <xdr:to>
      <xdr:col>13</xdr:col>
      <xdr:colOff>0</xdr:colOff>
      <xdr:row>175</xdr:row>
      <xdr:rowOff>148590</xdr:rowOff>
    </xdr:to>
    <xdr:pic>
      <xdr:nvPicPr>
        <xdr:cNvPr id="634" name="Imagen 633" descr="Ver detalle">
          <a:hlinkClick xmlns:r="http://schemas.openxmlformats.org/officeDocument/2006/relationships" r:id="rId585" tooltip="Ver detalle"/>
          <a:extLst>
            <a:ext uri="{FF2B5EF4-FFF2-40B4-BE49-F238E27FC236}">
              <a16:creationId xmlns:a16="http://schemas.microsoft.com/office/drawing/2014/main" id="{BCCE1ADD-5B32-495D-A7D1-ADB580F5B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310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174</xdr:row>
      <xdr:rowOff>0</xdr:rowOff>
    </xdr:from>
    <xdr:to>
      <xdr:col>13</xdr:col>
      <xdr:colOff>329565</xdr:colOff>
      <xdr:row>175</xdr:row>
      <xdr:rowOff>148590</xdr:rowOff>
    </xdr:to>
    <xdr:pic>
      <xdr:nvPicPr>
        <xdr:cNvPr id="635" name="Imagen 634">
          <a:hlinkClick xmlns:r="http://schemas.openxmlformats.org/officeDocument/2006/relationships" r:id="rId586" tooltip="Quitar este incidente de la liquidación"/>
          <a:extLst>
            <a:ext uri="{FF2B5EF4-FFF2-40B4-BE49-F238E27FC236}">
              <a16:creationId xmlns:a16="http://schemas.microsoft.com/office/drawing/2014/main" id="{44A8DF36-957E-4C18-9882-6580E525C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310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</xdr:row>
      <xdr:rowOff>0</xdr:rowOff>
    </xdr:from>
    <xdr:to>
      <xdr:col>13</xdr:col>
      <xdr:colOff>0</xdr:colOff>
      <xdr:row>174</xdr:row>
      <xdr:rowOff>148590</xdr:rowOff>
    </xdr:to>
    <xdr:pic>
      <xdr:nvPicPr>
        <xdr:cNvPr id="636" name="Imagen 635" descr="Ver detalle">
          <a:hlinkClick xmlns:r="http://schemas.openxmlformats.org/officeDocument/2006/relationships" r:id="rId587" tooltip="Ver detalle"/>
          <a:extLst>
            <a:ext uri="{FF2B5EF4-FFF2-40B4-BE49-F238E27FC236}">
              <a16:creationId xmlns:a16="http://schemas.microsoft.com/office/drawing/2014/main" id="{5DD48315-8AFA-41E6-B112-5154562E3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3296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173</xdr:row>
      <xdr:rowOff>0</xdr:rowOff>
    </xdr:from>
    <xdr:to>
      <xdr:col>13</xdr:col>
      <xdr:colOff>329565</xdr:colOff>
      <xdr:row>174</xdr:row>
      <xdr:rowOff>148590</xdr:rowOff>
    </xdr:to>
    <xdr:pic>
      <xdr:nvPicPr>
        <xdr:cNvPr id="637" name="Imagen 636">
          <a:hlinkClick xmlns:r="http://schemas.openxmlformats.org/officeDocument/2006/relationships" r:id="rId588" tooltip="Quitar este incidente de la liquidación"/>
          <a:extLst>
            <a:ext uri="{FF2B5EF4-FFF2-40B4-BE49-F238E27FC236}">
              <a16:creationId xmlns:a16="http://schemas.microsoft.com/office/drawing/2014/main" id="{05BE8BFE-84F3-4542-ABDE-EAD7B7A49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3296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</xdr:row>
      <xdr:rowOff>0</xdr:rowOff>
    </xdr:from>
    <xdr:to>
      <xdr:col>13</xdr:col>
      <xdr:colOff>0</xdr:colOff>
      <xdr:row>177</xdr:row>
      <xdr:rowOff>148590</xdr:rowOff>
    </xdr:to>
    <xdr:pic>
      <xdr:nvPicPr>
        <xdr:cNvPr id="638" name="Imagen 637" descr="Ver detalle">
          <a:hlinkClick xmlns:r="http://schemas.openxmlformats.org/officeDocument/2006/relationships" r:id="rId589" tooltip="Ver detalle"/>
          <a:extLst>
            <a:ext uri="{FF2B5EF4-FFF2-40B4-BE49-F238E27FC236}">
              <a16:creationId xmlns:a16="http://schemas.microsoft.com/office/drawing/2014/main" id="{53ACEC11-D5DB-48DD-A9B3-B2A651E03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348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176</xdr:row>
      <xdr:rowOff>0</xdr:rowOff>
    </xdr:from>
    <xdr:to>
      <xdr:col>13</xdr:col>
      <xdr:colOff>329565</xdr:colOff>
      <xdr:row>177</xdr:row>
      <xdr:rowOff>148590</xdr:rowOff>
    </xdr:to>
    <xdr:pic>
      <xdr:nvPicPr>
        <xdr:cNvPr id="639" name="Imagen 638">
          <a:hlinkClick xmlns:r="http://schemas.openxmlformats.org/officeDocument/2006/relationships" r:id="rId590" tooltip="Quitar este incidente de la liquidación"/>
          <a:extLst>
            <a:ext uri="{FF2B5EF4-FFF2-40B4-BE49-F238E27FC236}">
              <a16:creationId xmlns:a16="http://schemas.microsoft.com/office/drawing/2014/main" id="{50A269B5-6F72-4FFA-B3CA-B3D8ED18E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348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</xdr:row>
      <xdr:rowOff>0</xdr:rowOff>
    </xdr:from>
    <xdr:to>
      <xdr:col>13</xdr:col>
      <xdr:colOff>0</xdr:colOff>
      <xdr:row>184</xdr:row>
      <xdr:rowOff>148590</xdr:rowOff>
    </xdr:to>
    <xdr:pic>
      <xdr:nvPicPr>
        <xdr:cNvPr id="640" name="Imagen 639" descr="Ver detalle">
          <a:hlinkClick xmlns:r="http://schemas.openxmlformats.org/officeDocument/2006/relationships" r:id="rId591" tooltip="Ver detalle"/>
          <a:extLst>
            <a:ext uri="{FF2B5EF4-FFF2-40B4-BE49-F238E27FC236}">
              <a16:creationId xmlns:a16="http://schemas.microsoft.com/office/drawing/2014/main" id="{884279AC-A9C5-4DBE-9D48-F1D3B00BB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367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183</xdr:row>
      <xdr:rowOff>0</xdr:rowOff>
    </xdr:from>
    <xdr:to>
      <xdr:col>13</xdr:col>
      <xdr:colOff>329565</xdr:colOff>
      <xdr:row>184</xdr:row>
      <xdr:rowOff>148590</xdr:rowOff>
    </xdr:to>
    <xdr:pic>
      <xdr:nvPicPr>
        <xdr:cNvPr id="641" name="Imagen 640">
          <a:hlinkClick xmlns:r="http://schemas.openxmlformats.org/officeDocument/2006/relationships" r:id="rId592" tooltip="Quitar este incidente de la liquidación"/>
          <a:extLst>
            <a:ext uri="{FF2B5EF4-FFF2-40B4-BE49-F238E27FC236}">
              <a16:creationId xmlns:a16="http://schemas.microsoft.com/office/drawing/2014/main" id="{E868101E-42DC-4C9B-A729-267D1828F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367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</xdr:row>
      <xdr:rowOff>0</xdr:rowOff>
    </xdr:from>
    <xdr:to>
      <xdr:col>13</xdr:col>
      <xdr:colOff>0</xdr:colOff>
      <xdr:row>176</xdr:row>
      <xdr:rowOff>148590</xdr:rowOff>
    </xdr:to>
    <xdr:pic>
      <xdr:nvPicPr>
        <xdr:cNvPr id="642" name="Imagen 641" descr="Ver detalle">
          <a:hlinkClick xmlns:r="http://schemas.openxmlformats.org/officeDocument/2006/relationships" r:id="rId593" tooltip="Ver detalle"/>
          <a:extLst>
            <a:ext uri="{FF2B5EF4-FFF2-40B4-BE49-F238E27FC236}">
              <a16:creationId xmlns:a16="http://schemas.microsoft.com/office/drawing/2014/main" id="{BA90EC14-6AFD-45E9-858A-809BA4088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386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175</xdr:row>
      <xdr:rowOff>0</xdr:rowOff>
    </xdr:from>
    <xdr:to>
      <xdr:col>13</xdr:col>
      <xdr:colOff>329565</xdr:colOff>
      <xdr:row>176</xdr:row>
      <xdr:rowOff>148590</xdr:rowOff>
    </xdr:to>
    <xdr:pic>
      <xdr:nvPicPr>
        <xdr:cNvPr id="643" name="Imagen 642">
          <a:hlinkClick xmlns:r="http://schemas.openxmlformats.org/officeDocument/2006/relationships" r:id="rId594" tooltip="Quitar este incidente de la liquidación"/>
          <a:extLst>
            <a:ext uri="{FF2B5EF4-FFF2-40B4-BE49-F238E27FC236}">
              <a16:creationId xmlns:a16="http://schemas.microsoft.com/office/drawing/2014/main" id="{3F355488-B5F0-41E4-8718-4867C01BB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386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</xdr:row>
      <xdr:rowOff>0</xdr:rowOff>
    </xdr:from>
    <xdr:to>
      <xdr:col>13</xdr:col>
      <xdr:colOff>0</xdr:colOff>
      <xdr:row>206</xdr:row>
      <xdr:rowOff>148590</xdr:rowOff>
    </xdr:to>
    <xdr:pic>
      <xdr:nvPicPr>
        <xdr:cNvPr id="644" name="Imagen 643" descr="Ver detalle">
          <a:hlinkClick xmlns:r="http://schemas.openxmlformats.org/officeDocument/2006/relationships" r:id="rId595" tooltip="Ver detalle"/>
          <a:extLst>
            <a:ext uri="{FF2B5EF4-FFF2-40B4-BE49-F238E27FC236}">
              <a16:creationId xmlns:a16="http://schemas.microsoft.com/office/drawing/2014/main" id="{0E443355-6187-4211-8185-C21627FC4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4058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205</xdr:row>
      <xdr:rowOff>0</xdr:rowOff>
    </xdr:from>
    <xdr:to>
      <xdr:col>13</xdr:col>
      <xdr:colOff>329565</xdr:colOff>
      <xdr:row>206</xdr:row>
      <xdr:rowOff>148590</xdr:rowOff>
    </xdr:to>
    <xdr:pic>
      <xdr:nvPicPr>
        <xdr:cNvPr id="645" name="Imagen 644">
          <a:hlinkClick xmlns:r="http://schemas.openxmlformats.org/officeDocument/2006/relationships" r:id="rId596" tooltip="Quitar este incidente de la liquidación"/>
          <a:extLst>
            <a:ext uri="{FF2B5EF4-FFF2-40B4-BE49-F238E27FC236}">
              <a16:creationId xmlns:a16="http://schemas.microsoft.com/office/drawing/2014/main" id="{F2822A3B-0106-4AF0-A708-A1F63442D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4058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</xdr:row>
      <xdr:rowOff>0</xdr:rowOff>
    </xdr:from>
    <xdr:to>
      <xdr:col>13</xdr:col>
      <xdr:colOff>0</xdr:colOff>
      <xdr:row>205</xdr:row>
      <xdr:rowOff>148590</xdr:rowOff>
    </xdr:to>
    <xdr:pic>
      <xdr:nvPicPr>
        <xdr:cNvPr id="646" name="Imagen 645" descr="Ver detalle">
          <a:hlinkClick xmlns:r="http://schemas.openxmlformats.org/officeDocument/2006/relationships" r:id="rId597" tooltip="Ver detalle"/>
          <a:extLst>
            <a:ext uri="{FF2B5EF4-FFF2-40B4-BE49-F238E27FC236}">
              <a16:creationId xmlns:a16="http://schemas.microsoft.com/office/drawing/2014/main" id="{C3D62F0F-4CCC-407F-B687-C1E3985CD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424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204</xdr:row>
      <xdr:rowOff>0</xdr:rowOff>
    </xdr:from>
    <xdr:to>
      <xdr:col>13</xdr:col>
      <xdr:colOff>329565</xdr:colOff>
      <xdr:row>205</xdr:row>
      <xdr:rowOff>148590</xdr:rowOff>
    </xdr:to>
    <xdr:pic>
      <xdr:nvPicPr>
        <xdr:cNvPr id="647" name="Imagen 646">
          <a:hlinkClick xmlns:r="http://schemas.openxmlformats.org/officeDocument/2006/relationships" r:id="rId598" tooltip="Quitar este incidente de la liquidación"/>
          <a:extLst>
            <a:ext uri="{FF2B5EF4-FFF2-40B4-BE49-F238E27FC236}">
              <a16:creationId xmlns:a16="http://schemas.microsoft.com/office/drawing/2014/main" id="{4811FF35-261E-40DA-9CB3-67F70B2D2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424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</xdr:row>
      <xdr:rowOff>0</xdr:rowOff>
    </xdr:from>
    <xdr:to>
      <xdr:col>13</xdr:col>
      <xdr:colOff>0</xdr:colOff>
      <xdr:row>204</xdr:row>
      <xdr:rowOff>148590</xdr:rowOff>
    </xdr:to>
    <xdr:pic>
      <xdr:nvPicPr>
        <xdr:cNvPr id="648" name="Imagen 647" descr="Ver detalle">
          <a:hlinkClick xmlns:r="http://schemas.openxmlformats.org/officeDocument/2006/relationships" r:id="rId599" tooltip="Ver detalle"/>
          <a:extLst>
            <a:ext uri="{FF2B5EF4-FFF2-40B4-BE49-F238E27FC236}">
              <a16:creationId xmlns:a16="http://schemas.microsoft.com/office/drawing/2014/main" id="{34A58C6C-CA5A-4F00-B147-4324AFA7D1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443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203</xdr:row>
      <xdr:rowOff>0</xdr:rowOff>
    </xdr:from>
    <xdr:to>
      <xdr:col>13</xdr:col>
      <xdr:colOff>329565</xdr:colOff>
      <xdr:row>204</xdr:row>
      <xdr:rowOff>148590</xdr:rowOff>
    </xdr:to>
    <xdr:pic>
      <xdr:nvPicPr>
        <xdr:cNvPr id="649" name="Imagen 648">
          <a:hlinkClick xmlns:r="http://schemas.openxmlformats.org/officeDocument/2006/relationships" r:id="rId600" tooltip="Quitar este incidente de la liquidación"/>
          <a:extLst>
            <a:ext uri="{FF2B5EF4-FFF2-40B4-BE49-F238E27FC236}">
              <a16:creationId xmlns:a16="http://schemas.microsoft.com/office/drawing/2014/main" id="{6639FEA7-B36B-40A7-B27D-513A524ED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443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</xdr:row>
      <xdr:rowOff>0</xdr:rowOff>
    </xdr:from>
    <xdr:to>
      <xdr:col>13</xdr:col>
      <xdr:colOff>0</xdr:colOff>
      <xdr:row>207</xdr:row>
      <xdr:rowOff>148590</xdr:rowOff>
    </xdr:to>
    <xdr:pic>
      <xdr:nvPicPr>
        <xdr:cNvPr id="650" name="Imagen 649" descr="Ver detalle">
          <a:hlinkClick xmlns:r="http://schemas.openxmlformats.org/officeDocument/2006/relationships" r:id="rId601" tooltip="Ver detalle"/>
          <a:extLst>
            <a:ext uri="{FF2B5EF4-FFF2-40B4-BE49-F238E27FC236}">
              <a16:creationId xmlns:a16="http://schemas.microsoft.com/office/drawing/2014/main" id="{2DF7CF7F-432E-42DC-953B-7790290B6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463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206</xdr:row>
      <xdr:rowOff>0</xdr:rowOff>
    </xdr:from>
    <xdr:to>
      <xdr:col>13</xdr:col>
      <xdr:colOff>329565</xdr:colOff>
      <xdr:row>207</xdr:row>
      <xdr:rowOff>148590</xdr:rowOff>
    </xdr:to>
    <xdr:pic>
      <xdr:nvPicPr>
        <xdr:cNvPr id="651" name="Imagen 650">
          <a:hlinkClick xmlns:r="http://schemas.openxmlformats.org/officeDocument/2006/relationships" r:id="rId602" tooltip="Quitar este incidente de la liquidación"/>
          <a:extLst>
            <a:ext uri="{FF2B5EF4-FFF2-40B4-BE49-F238E27FC236}">
              <a16:creationId xmlns:a16="http://schemas.microsoft.com/office/drawing/2014/main" id="{239DD371-732D-4400-B718-A38185976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463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</xdr:row>
      <xdr:rowOff>0</xdr:rowOff>
    </xdr:from>
    <xdr:to>
      <xdr:col>13</xdr:col>
      <xdr:colOff>0</xdr:colOff>
      <xdr:row>170</xdr:row>
      <xdr:rowOff>148590</xdr:rowOff>
    </xdr:to>
    <xdr:pic>
      <xdr:nvPicPr>
        <xdr:cNvPr id="652" name="Imagen 651" descr="Ver detalle">
          <a:hlinkClick xmlns:r="http://schemas.openxmlformats.org/officeDocument/2006/relationships" r:id="rId603" tooltip="Ver detalle"/>
          <a:extLst>
            <a:ext uri="{FF2B5EF4-FFF2-40B4-BE49-F238E27FC236}">
              <a16:creationId xmlns:a16="http://schemas.microsoft.com/office/drawing/2014/main" id="{EB90EBA7-EAF5-4E8E-8C41-0746A9368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4820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169</xdr:row>
      <xdr:rowOff>0</xdr:rowOff>
    </xdr:from>
    <xdr:to>
      <xdr:col>13</xdr:col>
      <xdr:colOff>329565</xdr:colOff>
      <xdr:row>170</xdr:row>
      <xdr:rowOff>148590</xdr:rowOff>
    </xdr:to>
    <xdr:pic>
      <xdr:nvPicPr>
        <xdr:cNvPr id="653" name="Imagen 652">
          <a:hlinkClick xmlns:r="http://schemas.openxmlformats.org/officeDocument/2006/relationships" r:id="rId604" tooltip="Quitar este incidente de la liquidación"/>
          <a:extLst>
            <a:ext uri="{FF2B5EF4-FFF2-40B4-BE49-F238E27FC236}">
              <a16:creationId xmlns:a16="http://schemas.microsoft.com/office/drawing/2014/main" id="{F073EDB5-63A1-49B8-B959-84B013AB5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4820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</xdr:row>
      <xdr:rowOff>0</xdr:rowOff>
    </xdr:from>
    <xdr:to>
      <xdr:col>13</xdr:col>
      <xdr:colOff>0</xdr:colOff>
      <xdr:row>178</xdr:row>
      <xdr:rowOff>148590</xdr:rowOff>
    </xdr:to>
    <xdr:pic>
      <xdr:nvPicPr>
        <xdr:cNvPr id="654" name="Imagen 653" descr="Ver detalle">
          <a:hlinkClick xmlns:r="http://schemas.openxmlformats.org/officeDocument/2006/relationships" r:id="rId605" tooltip="Ver detalle"/>
          <a:extLst>
            <a:ext uri="{FF2B5EF4-FFF2-40B4-BE49-F238E27FC236}">
              <a16:creationId xmlns:a16="http://schemas.microsoft.com/office/drawing/2014/main" id="{FCC4DEEA-AA10-447E-B556-5697E4B56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501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177</xdr:row>
      <xdr:rowOff>0</xdr:rowOff>
    </xdr:from>
    <xdr:to>
      <xdr:col>13</xdr:col>
      <xdr:colOff>329565</xdr:colOff>
      <xdr:row>178</xdr:row>
      <xdr:rowOff>148590</xdr:rowOff>
    </xdr:to>
    <xdr:pic>
      <xdr:nvPicPr>
        <xdr:cNvPr id="655" name="Imagen 654">
          <a:hlinkClick xmlns:r="http://schemas.openxmlformats.org/officeDocument/2006/relationships" r:id="rId606" tooltip="Quitar este incidente de la liquidación"/>
          <a:extLst>
            <a:ext uri="{FF2B5EF4-FFF2-40B4-BE49-F238E27FC236}">
              <a16:creationId xmlns:a16="http://schemas.microsoft.com/office/drawing/2014/main" id="{8596FCD3-67F0-4B7B-8A27-A5284A82B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501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</xdr:row>
      <xdr:rowOff>0</xdr:rowOff>
    </xdr:from>
    <xdr:to>
      <xdr:col>13</xdr:col>
      <xdr:colOff>0</xdr:colOff>
      <xdr:row>220</xdr:row>
      <xdr:rowOff>148590</xdr:rowOff>
    </xdr:to>
    <xdr:pic>
      <xdr:nvPicPr>
        <xdr:cNvPr id="656" name="Imagen 655" descr="Ver detalle">
          <a:hlinkClick xmlns:r="http://schemas.openxmlformats.org/officeDocument/2006/relationships" r:id="rId607" tooltip="Ver detalle"/>
          <a:extLst>
            <a:ext uri="{FF2B5EF4-FFF2-40B4-BE49-F238E27FC236}">
              <a16:creationId xmlns:a16="http://schemas.microsoft.com/office/drawing/2014/main" id="{9E0C4AF0-424E-4C9F-B4C7-89A340177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520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219</xdr:row>
      <xdr:rowOff>0</xdr:rowOff>
    </xdr:from>
    <xdr:to>
      <xdr:col>13</xdr:col>
      <xdr:colOff>329565</xdr:colOff>
      <xdr:row>220</xdr:row>
      <xdr:rowOff>148590</xdr:rowOff>
    </xdr:to>
    <xdr:pic>
      <xdr:nvPicPr>
        <xdr:cNvPr id="657" name="Imagen 656">
          <a:hlinkClick xmlns:r="http://schemas.openxmlformats.org/officeDocument/2006/relationships" r:id="rId608" tooltip="Quitar este incidente de la liquidación"/>
          <a:extLst>
            <a:ext uri="{FF2B5EF4-FFF2-40B4-BE49-F238E27FC236}">
              <a16:creationId xmlns:a16="http://schemas.microsoft.com/office/drawing/2014/main" id="{8AE06ADE-A21B-46F1-94A4-8A8256095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520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</xdr:row>
      <xdr:rowOff>0</xdr:rowOff>
    </xdr:from>
    <xdr:to>
      <xdr:col>13</xdr:col>
      <xdr:colOff>0</xdr:colOff>
      <xdr:row>218</xdr:row>
      <xdr:rowOff>148590</xdr:rowOff>
    </xdr:to>
    <xdr:pic>
      <xdr:nvPicPr>
        <xdr:cNvPr id="658" name="Imagen 657" descr="Ver detalle">
          <a:hlinkClick xmlns:r="http://schemas.openxmlformats.org/officeDocument/2006/relationships" r:id="rId609" tooltip="Ver detalle"/>
          <a:extLst>
            <a:ext uri="{FF2B5EF4-FFF2-40B4-BE49-F238E27FC236}">
              <a16:creationId xmlns:a16="http://schemas.microsoft.com/office/drawing/2014/main" id="{37D03C94-43B5-42D6-8C03-64EFD5803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539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217</xdr:row>
      <xdr:rowOff>0</xdr:rowOff>
    </xdr:from>
    <xdr:to>
      <xdr:col>13</xdr:col>
      <xdr:colOff>329565</xdr:colOff>
      <xdr:row>218</xdr:row>
      <xdr:rowOff>148590</xdr:rowOff>
    </xdr:to>
    <xdr:pic>
      <xdr:nvPicPr>
        <xdr:cNvPr id="659" name="Imagen 658">
          <a:hlinkClick xmlns:r="http://schemas.openxmlformats.org/officeDocument/2006/relationships" r:id="rId610" tooltip="Quitar este incidente de la liquidación"/>
          <a:extLst>
            <a:ext uri="{FF2B5EF4-FFF2-40B4-BE49-F238E27FC236}">
              <a16:creationId xmlns:a16="http://schemas.microsoft.com/office/drawing/2014/main" id="{B170D972-F104-40DA-957C-B5E758943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539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</xdr:row>
      <xdr:rowOff>0</xdr:rowOff>
    </xdr:from>
    <xdr:to>
      <xdr:col>13</xdr:col>
      <xdr:colOff>0</xdr:colOff>
      <xdr:row>216</xdr:row>
      <xdr:rowOff>148590</xdr:rowOff>
    </xdr:to>
    <xdr:pic>
      <xdr:nvPicPr>
        <xdr:cNvPr id="660" name="Imagen 659" descr="Ver detalle">
          <a:hlinkClick xmlns:r="http://schemas.openxmlformats.org/officeDocument/2006/relationships" r:id="rId611" tooltip="Ver detalle"/>
          <a:extLst>
            <a:ext uri="{FF2B5EF4-FFF2-40B4-BE49-F238E27FC236}">
              <a16:creationId xmlns:a16="http://schemas.microsoft.com/office/drawing/2014/main" id="{46371276-AD78-4D54-9250-2419C3FF2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558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215</xdr:row>
      <xdr:rowOff>0</xdr:rowOff>
    </xdr:from>
    <xdr:to>
      <xdr:col>13</xdr:col>
      <xdr:colOff>329565</xdr:colOff>
      <xdr:row>216</xdr:row>
      <xdr:rowOff>148590</xdr:rowOff>
    </xdr:to>
    <xdr:pic>
      <xdr:nvPicPr>
        <xdr:cNvPr id="661" name="Imagen 660">
          <a:hlinkClick xmlns:r="http://schemas.openxmlformats.org/officeDocument/2006/relationships" r:id="rId612" tooltip="Quitar este incidente de la liquidación"/>
          <a:extLst>
            <a:ext uri="{FF2B5EF4-FFF2-40B4-BE49-F238E27FC236}">
              <a16:creationId xmlns:a16="http://schemas.microsoft.com/office/drawing/2014/main" id="{929960D9-94E9-4F75-B9CE-190DF279E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558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</xdr:row>
      <xdr:rowOff>0</xdr:rowOff>
    </xdr:from>
    <xdr:to>
      <xdr:col>13</xdr:col>
      <xdr:colOff>0</xdr:colOff>
      <xdr:row>357</xdr:row>
      <xdr:rowOff>112395</xdr:rowOff>
    </xdr:to>
    <xdr:pic>
      <xdr:nvPicPr>
        <xdr:cNvPr id="662" name="Imagen 661" descr="Ver detalle">
          <a:hlinkClick xmlns:r="http://schemas.openxmlformats.org/officeDocument/2006/relationships" r:id="rId613" tooltip="Ver detalle"/>
          <a:extLst>
            <a:ext uri="{FF2B5EF4-FFF2-40B4-BE49-F238E27FC236}">
              <a16:creationId xmlns:a16="http://schemas.microsoft.com/office/drawing/2014/main" id="{69DE4137-1370-4854-B9B6-86EFBA03C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467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</xdr:row>
      <xdr:rowOff>0</xdr:rowOff>
    </xdr:from>
    <xdr:to>
      <xdr:col>13</xdr:col>
      <xdr:colOff>0</xdr:colOff>
      <xdr:row>356</xdr:row>
      <xdr:rowOff>148590</xdr:rowOff>
    </xdr:to>
    <xdr:pic>
      <xdr:nvPicPr>
        <xdr:cNvPr id="663" name="Imagen 662" descr="Ver detalle">
          <a:hlinkClick xmlns:r="http://schemas.openxmlformats.org/officeDocument/2006/relationships" r:id="rId614" tooltip="Ver detalle"/>
          <a:extLst>
            <a:ext uri="{FF2B5EF4-FFF2-40B4-BE49-F238E27FC236}">
              <a16:creationId xmlns:a16="http://schemas.microsoft.com/office/drawing/2014/main" id="{9C5DD2D7-E15F-4BE1-98A4-6B164AC60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486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</xdr:row>
      <xdr:rowOff>0</xdr:rowOff>
    </xdr:from>
    <xdr:to>
      <xdr:col>13</xdr:col>
      <xdr:colOff>0</xdr:colOff>
      <xdr:row>355</xdr:row>
      <xdr:rowOff>148590</xdr:rowOff>
    </xdr:to>
    <xdr:pic>
      <xdr:nvPicPr>
        <xdr:cNvPr id="664" name="Imagen 663" descr="Ver detalle">
          <a:hlinkClick xmlns:r="http://schemas.openxmlformats.org/officeDocument/2006/relationships" r:id="rId615" tooltip="Ver detalle"/>
          <a:extLst>
            <a:ext uri="{FF2B5EF4-FFF2-40B4-BE49-F238E27FC236}">
              <a16:creationId xmlns:a16="http://schemas.microsoft.com/office/drawing/2014/main" id="{92A2AC60-4E81-40DF-9D3B-0FDC4C029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505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</xdr:row>
      <xdr:rowOff>0</xdr:rowOff>
    </xdr:from>
    <xdr:to>
      <xdr:col>13</xdr:col>
      <xdr:colOff>0</xdr:colOff>
      <xdr:row>354</xdr:row>
      <xdr:rowOff>148590</xdr:rowOff>
    </xdr:to>
    <xdr:pic>
      <xdr:nvPicPr>
        <xdr:cNvPr id="665" name="Imagen 664" descr="Ver detalle">
          <a:hlinkClick xmlns:r="http://schemas.openxmlformats.org/officeDocument/2006/relationships" r:id="rId616" tooltip="Ver detalle"/>
          <a:extLst>
            <a:ext uri="{FF2B5EF4-FFF2-40B4-BE49-F238E27FC236}">
              <a16:creationId xmlns:a16="http://schemas.microsoft.com/office/drawing/2014/main" id="{D1576A7F-AE8F-49F5-A124-CD4805D1CD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525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</xdr:row>
      <xdr:rowOff>0</xdr:rowOff>
    </xdr:from>
    <xdr:to>
      <xdr:col>13</xdr:col>
      <xdr:colOff>0</xdr:colOff>
      <xdr:row>353</xdr:row>
      <xdr:rowOff>148590</xdr:rowOff>
    </xdr:to>
    <xdr:pic>
      <xdr:nvPicPr>
        <xdr:cNvPr id="666" name="Imagen 665" descr="Ver detalle">
          <a:hlinkClick xmlns:r="http://schemas.openxmlformats.org/officeDocument/2006/relationships" r:id="rId617" tooltip="Ver detalle"/>
          <a:extLst>
            <a:ext uri="{FF2B5EF4-FFF2-40B4-BE49-F238E27FC236}">
              <a16:creationId xmlns:a16="http://schemas.microsoft.com/office/drawing/2014/main" id="{4216D50F-0D9C-43AC-996E-A00400EF7C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544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</xdr:row>
      <xdr:rowOff>0</xdr:rowOff>
    </xdr:from>
    <xdr:to>
      <xdr:col>13</xdr:col>
      <xdr:colOff>0</xdr:colOff>
      <xdr:row>274</xdr:row>
      <xdr:rowOff>148590</xdr:rowOff>
    </xdr:to>
    <xdr:pic>
      <xdr:nvPicPr>
        <xdr:cNvPr id="667" name="Imagen 666" descr="Ver detalle">
          <a:hlinkClick xmlns:r="http://schemas.openxmlformats.org/officeDocument/2006/relationships" r:id="rId618" tooltip="Ver detalle"/>
          <a:extLst>
            <a:ext uri="{FF2B5EF4-FFF2-40B4-BE49-F238E27FC236}">
              <a16:creationId xmlns:a16="http://schemas.microsoft.com/office/drawing/2014/main" id="{EA9F0FB9-87F6-4549-BFD3-B09ECE45E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563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</xdr:row>
      <xdr:rowOff>0</xdr:rowOff>
    </xdr:from>
    <xdr:to>
      <xdr:col>13</xdr:col>
      <xdr:colOff>0</xdr:colOff>
      <xdr:row>272</xdr:row>
      <xdr:rowOff>148590</xdr:rowOff>
    </xdr:to>
    <xdr:pic>
      <xdr:nvPicPr>
        <xdr:cNvPr id="668" name="Imagen 667" descr="Ver detalle">
          <a:hlinkClick xmlns:r="http://schemas.openxmlformats.org/officeDocument/2006/relationships" r:id="rId619" tooltip="Ver detalle"/>
          <a:extLst>
            <a:ext uri="{FF2B5EF4-FFF2-40B4-BE49-F238E27FC236}">
              <a16:creationId xmlns:a16="http://schemas.microsoft.com/office/drawing/2014/main" id="{149114CC-9782-4B74-A4DB-3E7869ED2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582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</xdr:row>
      <xdr:rowOff>0</xdr:rowOff>
    </xdr:from>
    <xdr:to>
      <xdr:col>13</xdr:col>
      <xdr:colOff>0</xdr:colOff>
      <xdr:row>335</xdr:row>
      <xdr:rowOff>148590</xdr:rowOff>
    </xdr:to>
    <xdr:pic>
      <xdr:nvPicPr>
        <xdr:cNvPr id="669" name="Imagen 668" descr="Ver detalle">
          <a:hlinkClick xmlns:r="http://schemas.openxmlformats.org/officeDocument/2006/relationships" r:id="rId620" tooltip="Ver detalle"/>
          <a:extLst>
            <a:ext uri="{FF2B5EF4-FFF2-40B4-BE49-F238E27FC236}">
              <a16:creationId xmlns:a16="http://schemas.microsoft.com/office/drawing/2014/main" id="{5967BBE1-1D1C-4178-983C-0B1CA3923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6012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</xdr:row>
      <xdr:rowOff>0</xdr:rowOff>
    </xdr:from>
    <xdr:to>
      <xdr:col>13</xdr:col>
      <xdr:colOff>0</xdr:colOff>
      <xdr:row>334</xdr:row>
      <xdr:rowOff>148590</xdr:rowOff>
    </xdr:to>
    <xdr:pic>
      <xdr:nvPicPr>
        <xdr:cNvPr id="670" name="Imagen 669" descr="Ver detalle">
          <a:hlinkClick xmlns:r="http://schemas.openxmlformats.org/officeDocument/2006/relationships" r:id="rId621" tooltip="Ver detalle"/>
          <a:extLst>
            <a:ext uri="{FF2B5EF4-FFF2-40B4-BE49-F238E27FC236}">
              <a16:creationId xmlns:a16="http://schemas.microsoft.com/office/drawing/2014/main" id="{9E296615-22B1-4E69-AB88-2D0623FDD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620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</xdr:row>
      <xdr:rowOff>0</xdr:rowOff>
    </xdr:from>
    <xdr:to>
      <xdr:col>13</xdr:col>
      <xdr:colOff>0</xdr:colOff>
      <xdr:row>333</xdr:row>
      <xdr:rowOff>148590</xdr:rowOff>
    </xdr:to>
    <xdr:pic>
      <xdr:nvPicPr>
        <xdr:cNvPr id="671" name="Imagen 670" descr="Ver detalle">
          <a:hlinkClick xmlns:r="http://schemas.openxmlformats.org/officeDocument/2006/relationships" r:id="rId622" tooltip="Ver detalle"/>
          <a:extLst>
            <a:ext uri="{FF2B5EF4-FFF2-40B4-BE49-F238E27FC236}">
              <a16:creationId xmlns:a16="http://schemas.microsoft.com/office/drawing/2014/main" id="{FB38537A-F35E-4F1A-A3BA-294045355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639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</xdr:row>
      <xdr:rowOff>0</xdr:rowOff>
    </xdr:from>
    <xdr:to>
      <xdr:col>13</xdr:col>
      <xdr:colOff>0</xdr:colOff>
      <xdr:row>332</xdr:row>
      <xdr:rowOff>148590</xdr:rowOff>
    </xdr:to>
    <xdr:pic>
      <xdr:nvPicPr>
        <xdr:cNvPr id="672" name="Imagen 671" descr="Ver detalle">
          <a:hlinkClick xmlns:r="http://schemas.openxmlformats.org/officeDocument/2006/relationships" r:id="rId623" tooltip="Ver detalle"/>
          <a:extLst>
            <a:ext uri="{FF2B5EF4-FFF2-40B4-BE49-F238E27FC236}">
              <a16:creationId xmlns:a16="http://schemas.microsoft.com/office/drawing/2014/main" id="{DBD91DAA-6443-4729-BC7B-6C54AF5D8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658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</xdr:row>
      <xdr:rowOff>0</xdr:rowOff>
    </xdr:from>
    <xdr:to>
      <xdr:col>13</xdr:col>
      <xdr:colOff>0</xdr:colOff>
      <xdr:row>331</xdr:row>
      <xdr:rowOff>148590</xdr:rowOff>
    </xdr:to>
    <xdr:pic>
      <xdr:nvPicPr>
        <xdr:cNvPr id="673" name="Imagen 672" descr="Ver detalle">
          <a:hlinkClick xmlns:r="http://schemas.openxmlformats.org/officeDocument/2006/relationships" r:id="rId624" tooltip="Ver detalle"/>
          <a:extLst>
            <a:ext uri="{FF2B5EF4-FFF2-40B4-BE49-F238E27FC236}">
              <a16:creationId xmlns:a16="http://schemas.microsoft.com/office/drawing/2014/main" id="{52D3433B-14DF-461E-9439-D5BF2494C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677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</xdr:row>
      <xdr:rowOff>0</xdr:rowOff>
    </xdr:from>
    <xdr:to>
      <xdr:col>13</xdr:col>
      <xdr:colOff>0</xdr:colOff>
      <xdr:row>330</xdr:row>
      <xdr:rowOff>148590</xdr:rowOff>
    </xdr:to>
    <xdr:pic>
      <xdr:nvPicPr>
        <xdr:cNvPr id="674" name="Imagen 673" descr="Ver detalle">
          <a:hlinkClick xmlns:r="http://schemas.openxmlformats.org/officeDocument/2006/relationships" r:id="rId625" tooltip="Ver detalle"/>
          <a:extLst>
            <a:ext uri="{FF2B5EF4-FFF2-40B4-BE49-F238E27FC236}">
              <a16:creationId xmlns:a16="http://schemas.microsoft.com/office/drawing/2014/main" id="{EEB47320-8768-4861-B675-E6D026C3D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696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</xdr:row>
      <xdr:rowOff>0</xdr:rowOff>
    </xdr:from>
    <xdr:to>
      <xdr:col>13</xdr:col>
      <xdr:colOff>0</xdr:colOff>
      <xdr:row>329</xdr:row>
      <xdr:rowOff>148590</xdr:rowOff>
    </xdr:to>
    <xdr:pic>
      <xdr:nvPicPr>
        <xdr:cNvPr id="675" name="Imagen 674" descr="Ver detalle">
          <a:hlinkClick xmlns:r="http://schemas.openxmlformats.org/officeDocument/2006/relationships" r:id="rId626" tooltip="Ver detalle"/>
          <a:extLst>
            <a:ext uri="{FF2B5EF4-FFF2-40B4-BE49-F238E27FC236}">
              <a16:creationId xmlns:a16="http://schemas.microsoft.com/office/drawing/2014/main" id="{708CA8E1-49AB-4868-82E3-02BFB9A12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715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</xdr:row>
      <xdr:rowOff>0</xdr:rowOff>
    </xdr:from>
    <xdr:to>
      <xdr:col>13</xdr:col>
      <xdr:colOff>0</xdr:colOff>
      <xdr:row>328</xdr:row>
      <xdr:rowOff>148590</xdr:rowOff>
    </xdr:to>
    <xdr:pic>
      <xdr:nvPicPr>
        <xdr:cNvPr id="676" name="Imagen 675" descr="Ver detalle">
          <a:hlinkClick xmlns:r="http://schemas.openxmlformats.org/officeDocument/2006/relationships" r:id="rId627" tooltip="Ver detalle"/>
          <a:extLst>
            <a:ext uri="{FF2B5EF4-FFF2-40B4-BE49-F238E27FC236}">
              <a16:creationId xmlns:a16="http://schemas.microsoft.com/office/drawing/2014/main" id="{A9FAF2C2-FA65-4FFA-9CC2-E304CFEE1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734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</xdr:row>
      <xdr:rowOff>0</xdr:rowOff>
    </xdr:from>
    <xdr:to>
      <xdr:col>13</xdr:col>
      <xdr:colOff>0</xdr:colOff>
      <xdr:row>273</xdr:row>
      <xdr:rowOff>148590</xdr:rowOff>
    </xdr:to>
    <xdr:pic>
      <xdr:nvPicPr>
        <xdr:cNvPr id="677" name="Imagen 676" descr="Ver detalle">
          <a:hlinkClick xmlns:r="http://schemas.openxmlformats.org/officeDocument/2006/relationships" r:id="rId628" tooltip="Ver detalle"/>
          <a:extLst>
            <a:ext uri="{FF2B5EF4-FFF2-40B4-BE49-F238E27FC236}">
              <a16:creationId xmlns:a16="http://schemas.microsoft.com/office/drawing/2014/main" id="{02220600-B9C2-4D30-A38A-8CC47CC27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753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</xdr:row>
      <xdr:rowOff>0</xdr:rowOff>
    </xdr:from>
    <xdr:to>
      <xdr:col>13</xdr:col>
      <xdr:colOff>0</xdr:colOff>
      <xdr:row>325</xdr:row>
      <xdr:rowOff>148590</xdr:rowOff>
    </xdr:to>
    <xdr:pic>
      <xdr:nvPicPr>
        <xdr:cNvPr id="678" name="Imagen 677" descr="Ver detalle">
          <a:hlinkClick xmlns:r="http://schemas.openxmlformats.org/officeDocument/2006/relationships" r:id="rId629" tooltip="Ver detalle"/>
          <a:extLst>
            <a:ext uri="{FF2B5EF4-FFF2-40B4-BE49-F238E27FC236}">
              <a16:creationId xmlns:a16="http://schemas.microsoft.com/office/drawing/2014/main" id="{FAEACB77-4E62-4E9C-9EAA-AB260CC24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772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</xdr:row>
      <xdr:rowOff>0</xdr:rowOff>
    </xdr:from>
    <xdr:to>
      <xdr:col>13</xdr:col>
      <xdr:colOff>0</xdr:colOff>
      <xdr:row>324</xdr:row>
      <xdr:rowOff>148590</xdr:rowOff>
    </xdr:to>
    <xdr:pic>
      <xdr:nvPicPr>
        <xdr:cNvPr id="679" name="Imagen 678" descr="Ver detalle">
          <a:hlinkClick xmlns:r="http://schemas.openxmlformats.org/officeDocument/2006/relationships" r:id="rId630" tooltip="Ver detalle"/>
          <a:extLst>
            <a:ext uri="{FF2B5EF4-FFF2-40B4-BE49-F238E27FC236}">
              <a16:creationId xmlns:a16="http://schemas.microsoft.com/office/drawing/2014/main" id="{974BCBD7-468C-4592-B368-301821D34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791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</xdr:row>
      <xdr:rowOff>0</xdr:rowOff>
    </xdr:from>
    <xdr:to>
      <xdr:col>13</xdr:col>
      <xdr:colOff>0</xdr:colOff>
      <xdr:row>323</xdr:row>
      <xdr:rowOff>148590</xdr:rowOff>
    </xdr:to>
    <xdr:pic>
      <xdr:nvPicPr>
        <xdr:cNvPr id="680" name="Imagen 679" descr="Ver detalle">
          <a:hlinkClick xmlns:r="http://schemas.openxmlformats.org/officeDocument/2006/relationships" r:id="rId631" tooltip="Ver detalle"/>
          <a:extLst>
            <a:ext uri="{FF2B5EF4-FFF2-40B4-BE49-F238E27FC236}">
              <a16:creationId xmlns:a16="http://schemas.microsoft.com/office/drawing/2014/main" id="{0CEB39D2-052E-4A72-BF7E-BD02FBBF2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810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</xdr:row>
      <xdr:rowOff>0</xdr:rowOff>
    </xdr:from>
    <xdr:to>
      <xdr:col>13</xdr:col>
      <xdr:colOff>0</xdr:colOff>
      <xdr:row>269</xdr:row>
      <xdr:rowOff>148590</xdr:rowOff>
    </xdr:to>
    <xdr:pic>
      <xdr:nvPicPr>
        <xdr:cNvPr id="681" name="Imagen 680" descr="Ver detalle">
          <a:hlinkClick xmlns:r="http://schemas.openxmlformats.org/officeDocument/2006/relationships" r:id="rId632" tooltip="Ver detalle"/>
          <a:extLst>
            <a:ext uri="{FF2B5EF4-FFF2-40B4-BE49-F238E27FC236}">
              <a16:creationId xmlns:a16="http://schemas.microsoft.com/office/drawing/2014/main" id="{C6CB4E0A-045B-4BCB-A450-74E766492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829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</xdr:row>
      <xdr:rowOff>0</xdr:rowOff>
    </xdr:from>
    <xdr:to>
      <xdr:col>13</xdr:col>
      <xdr:colOff>0</xdr:colOff>
      <xdr:row>270</xdr:row>
      <xdr:rowOff>148590</xdr:rowOff>
    </xdr:to>
    <xdr:pic>
      <xdr:nvPicPr>
        <xdr:cNvPr id="682" name="Imagen 681" descr="Ver detalle">
          <a:hlinkClick xmlns:r="http://schemas.openxmlformats.org/officeDocument/2006/relationships" r:id="rId633" tooltip="Ver detalle"/>
          <a:extLst>
            <a:ext uri="{FF2B5EF4-FFF2-40B4-BE49-F238E27FC236}">
              <a16:creationId xmlns:a16="http://schemas.microsoft.com/office/drawing/2014/main" id="{934C7AFB-5359-41DB-B256-EC5C22051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848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</xdr:row>
      <xdr:rowOff>0</xdr:rowOff>
    </xdr:from>
    <xdr:to>
      <xdr:col>13</xdr:col>
      <xdr:colOff>0</xdr:colOff>
      <xdr:row>271</xdr:row>
      <xdr:rowOff>148590</xdr:rowOff>
    </xdr:to>
    <xdr:pic>
      <xdr:nvPicPr>
        <xdr:cNvPr id="683" name="Imagen 682" descr="Ver detalle">
          <a:hlinkClick xmlns:r="http://schemas.openxmlformats.org/officeDocument/2006/relationships" r:id="rId634" tooltip="Ver detalle"/>
          <a:extLst>
            <a:ext uri="{FF2B5EF4-FFF2-40B4-BE49-F238E27FC236}">
              <a16:creationId xmlns:a16="http://schemas.microsoft.com/office/drawing/2014/main" id="{8908CA17-8D24-49A4-9741-B4675D912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867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</xdr:row>
      <xdr:rowOff>0</xdr:rowOff>
    </xdr:from>
    <xdr:to>
      <xdr:col>13</xdr:col>
      <xdr:colOff>0</xdr:colOff>
      <xdr:row>322</xdr:row>
      <xdr:rowOff>148590</xdr:rowOff>
    </xdr:to>
    <xdr:pic>
      <xdr:nvPicPr>
        <xdr:cNvPr id="684" name="Imagen 683" descr="Ver detalle">
          <a:hlinkClick xmlns:r="http://schemas.openxmlformats.org/officeDocument/2006/relationships" r:id="rId635" tooltip="Ver detalle"/>
          <a:extLst>
            <a:ext uri="{FF2B5EF4-FFF2-40B4-BE49-F238E27FC236}">
              <a16:creationId xmlns:a16="http://schemas.microsoft.com/office/drawing/2014/main" id="{EA136D97-EB92-4266-B7C6-950CCEC9E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886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</xdr:row>
      <xdr:rowOff>0</xdr:rowOff>
    </xdr:from>
    <xdr:to>
      <xdr:col>13</xdr:col>
      <xdr:colOff>0</xdr:colOff>
      <xdr:row>321</xdr:row>
      <xdr:rowOff>148590</xdr:rowOff>
    </xdr:to>
    <xdr:pic>
      <xdr:nvPicPr>
        <xdr:cNvPr id="685" name="Imagen 684" descr="Ver detalle">
          <a:hlinkClick xmlns:r="http://schemas.openxmlformats.org/officeDocument/2006/relationships" r:id="rId636" tooltip="Ver detalle"/>
          <a:extLst>
            <a:ext uri="{FF2B5EF4-FFF2-40B4-BE49-F238E27FC236}">
              <a16:creationId xmlns:a16="http://schemas.microsoft.com/office/drawing/2014/main" id="{5A227819-C6A4-4FEA-AB05-08E4D5B9C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906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</xdr:row>
      <xdr:rowOff>0</xdr:rowOff>
    </xdr:from>
    <xdr:to>
      <xdr:col>13</xdr:col>
      <xdr:colOff>0</xdr:colOff>
      <xdr:row>319</xdr:row>
      <xdr:rowOff>148590</xdr:rowOff>
    </xdr:to>
    <xdr:pic>
      <xdr:nvPicPr>
        <xdr:cNvPr id="686" name="Imagen 685" descr="Ver detalle">
          <a:hlinkClick xmlns:r="http://schemas.openxmlformats.org/officeDocument/2006/relationships" r:id="rId637" tooltip="Ver detalle"/>
          <a:extLst>
            <a:ext uri="{FF2B5EF4-FFF2-40B4-BE49-F238E27FC236}">
              <a16:creationId xmlns:a16="http://schemas.microsoft.com/office/drawing/2014/main" id="{5ECE8471-9C56-4073-BD1A-863D23EA3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944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</xdr:row>
      <xdr:rowOff>0</xdr:rowOff>
    </xdr:from>
    <xdr:to>
      <xdr:col>13</xdr:col>
      <xdr:colOff>0</xdr:colOff>
      <xdr:row>318</xdr:row>
      <xdr:rowOff>148590</xdr:rowOff>
    </xdr:to>
    <xdr:pic>
      <xdr:nvPicPr>
        <xdr:cNvPr id="687" name="Imagen 686" descr="Ver detalle">
          <a:hlinkClick xmlns:r="http://schemas.openxmlformats.org/officeDocument/2006/relationships" r:id="rId638" tooltip="Ver detalle"/>
          <a:extLst>
            <a:ext uri="{FF2B5EF4-FFF2-40B4-BE49-F238E27FC236}">
              <a16:creationId xmlns:a16="http://schemas.microsoft.com/office/drawing/2014/main" id="{F54FC96B-B4B2-4176-9292-57383ECE4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963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</xdr:row>
      <xdr:rowOff>0</xdr:rowOff>
    </xdr:from>
    <xdr:to>
      <xdr:col>13</xdr:col>
      <xdr:colOff>0</xdr:colOff>
      <xdr:row>350</xdr:row>
      <xdr:rowOff>148590</xdr:rowOff>
    </xdr:to>
    <xdr:pic>
      <xdr:nvPicPr>
        <xdr:cNvPr id="688" name="Imagen 687" descr="Ver detalle">
          <a:hlinkClick xmlns:r="http://schemas.openxmlformats.org/officeDocument/2006/relationships" r:id="rId639" tooltip="Ver detalle"/>
          <a:extLst>
            <a:ext uri="{FF2B5EF4-FFF2-40B4-BE49-F238E27FC236}">
              <a16:creationId xmlns:a16="http://schemas.microsoft.com/office/drawing/2014/main" id="{AED149EE-8010-414A-94B7-5DEE20ED6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9822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</xdr:row>
      <xdr:rowOff>0</xdr:rowOff>
    </xdr:from>
    <xdr:to>
      <xdr:col>13</xdr:col>
      <xdr:colOff>0</xdr:colOff>
      <xdr:row>348</xdr:row>
      <xdr:rowOff>148590</xdr:rowOff>
    </xdr:to>
    <xdr:pic>
      <xdr:nvPicPr>
        <xdr:cNvPr id="689" name="Imagen 688" descr="Ver detalle">
          <a:hlinkClick xmlns:r="http://schemas.openxmlformats.org/officeDocument/2006/relationships" r:id="rId640" tooltip="Ver detalle"/>
          <a:extLst>
            <a:ext uri="{FF2B5EF4-FFF2-40B4-BE49-F238E27FC236}">
              <a16:creationId xmlns:a16="http://schemas.microsoft.com/office/drawing/2014/main" id="{417E337E-D1E3-4F22-9AEB-19E1A5A18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001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</xdr:row>
      <xdr:rowOff>0</xdr:rowOff>
    </xdr:from>
    <xdr:to>
      <xdr:col>13</xdr:col>
      <xdr:colOff>0</xdr:colOff>
      <xdr:row>347</xdr:row>
      <xdr:rowOff>148590</xdr:rowOff>
    </xdr:to>
    <xdr:pic>
      <xdr:nvPicPr>
        <xdr:cNvPr id="690" name="Imagen 689" descr="Ver detalle">
          <a:hlinkClick xmlns:r="http://schemas.openxmlformats.org/officeDocument/2006/relationships" r:id="rId641" tooltip="Ver detalle"/>
          <a:extLst>
            <a:ext uri="{FF2B5EF4-FFF2-40B4-BE49-F238E27FC236}">
              <a16:creationId xmlns:a16="http://schemas.microsoft.com/office/drawing/2014/main" id="{78F239ED-2BD5-4F5F-ACCB-A41CFB14B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020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</xdr:row>
      <xdr:rowOff>0</xdr:rowOff>
    </xdr:from>
    <xdr:to>
      <xdr:col>13</xdr:col>
      <xdr:colOff>0</xdr:colOff>
      <xdr:row>339</xdr:row>
      <xdr:rowOff>148590</xdr:rowOff>
    </xdr:to>
    <xdr:pic>
      <xdr:nvPicPr>
        <xdr:cNvPr id="691" name="Imagen 690" descr="Ver detalle">
          <a:hlinkClick xmlns:r="http://schemas.openxmlformats.org/officeDocument/2006/relationships" r:id="rId642" tooltip="Ver detalle"/>
          <a:extLst>
            <a:ext uri="{FF2B5EF4-FFF2-40B4-BE49-F238E27FC236}">
              <a16:creationId xmlns:a16="http://schemas.microsoft.com/office/drawing/2014/main" id="{36E484C2-8969-41BF-9AF0-772012E6B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039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</xdr:row>
      <xdr:rowOff>0</xdr:rowOff>
    </xdr:from>
    <xdr:to>
      <xdr:col>13</xdr:col>
      <xdr:colOff>0</xdr:colOff>
      <xdr:row>338</xdr:row>
      <xdr:rowOff>148590</xdr:rowOff>
    </xdr:to>
    <xdr:pic>
      <xdr:nvPicPr>
        <xdr:cNvPr id="692" name="Imagen 691" descr="Ver detalle">
          <a:hlinkClick xmlns:r="http://schemas.openxmlformats.org/officeDocument/2006/relationships" r:id="rId643" tooltip="Ver detalle"/>
          <a:extLst>
            <a:ext uri="{FF2B5EF4-FFF2-40B4-BE49-F238E27FC236}">
              <a16:creationId xmlns:a16="http://schemas.microsoft.com/office/drawing/2014/main" id="{85D9FDCD-F7C4-4F95-BE36-92DAE400F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058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</xdr:row>
      <xdr:rowOff>0</xdr:rowOff>
    </xdr:from>
    <xdr:to>
      <xdr:col>13</xdr:col>
      <xdr:colOff>0</xdr:colOff>
      <xdr:row>337</xdr:row>
      <xdr:rowOff>148590</xdr:rowOff>
    </xdr:to>
    <xdr:pic>
      <xdr:nvPicPr>
        <xdr:cNvPr id="693" name="Imagen 692" descr="Ver detalle">
          <a:hlinkClick xmlns:r="http://schemas.openxmlformats.org/officeDocument/2006/relationships" r:id="rId644" tooltip="Ver detalle"/>
          <a:extLst>
            <a:ext uri="{FF2B5EF4-FFF2-40B4-BE49-F238E27FC236}">
              <a16:creationId xmlns:a16="http://schemas.microsoft.com/office/drawing/2014/main" id="{00E33B12-6C55-4877-A916-DAE00DF3E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077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</xdr:row>
      <xdr:rowOff>0</xdr:rowOff>
    </xdr:from>
    <xdr:to>
      <xdr:col>13</xdr:col>
      <xdr:colOff>0</xdr:colOff>
      <xdr:row>317</xdr:row>
      <xdr:rowOff>148590</xdr:rowOff>
    </xdr:to>
    <xdr:pic>
      <xdr:nvPicPr>
        <xdr:cNvPr id="694" name="Imagen 693" descr="Ver detalle">
          <a:hlinkClick xmlns:r="http://schemas.openxmlformats.org/officeDocument/2006/relationships" r:id="rId645" tooltip="Ver detalle"/>
          <a:extLst>
            <a:ext uri="{FF2B5EF4-FFF2-40B4-BE49-F238E27FC236}">
              <a16:creationId xmlns:a16="http://schemas.microsoft.com/office/drawing/2014/main" id="{255B1506-77A4-4790-96B7-82AC6A1F5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096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</xdr:row>
      <xdr:rowOff>0</xdr:rowOff>
    </xdr:from>
    <xdr:to>
      <xdr:col>13</xdr:col>
      <xdr:colOff>0</xdr:colOff>
      <xdr:row>316</xdr:row>
      <xdr:rowOff>148590</xdr:rowOff>
    </xdr:to>
    <xdr:pic>
      <xdr:nvPicPr>
        <xdr:cNvPr id="695" name="Imagen 694" descr="Ver detalle">
          <a:hlinkClick xmlns:r="http://schemas.openxmlformats.org/officeDocument/2006/relationships" r:id="rId646" tooltip="Ver detalle"/>
          <a:extLst>
            <a:ext uri="{FF2B5EF4-FFF2-40B4-BE49-F238E27FC236}">
              <a16:creationId xmlns:a16="http://schemas.microsoft.com/office/drawing/2014/main" id="{F230BA42-5E25-4A44-AE3B-6C8DA48E8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115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</xdr:row>
      <xdr:rowOff>0</xdr:rowOff>
    </xdr:from>
    <xdr:to>
      <xdr:col>13</xdr:col>
      <xdr:colOff>0</xdr:colOff>
      <xdr:row>336</xdr:row>
      <xdr:rowOff>148590</xdr:rowOff>
    </xdr:to>
    <xdr:pic>
      <xdr:nvPicPr>
        <xdr:cNvPr id="696" name="Imagen 695" descr="Ver detalle">
          <a:hlinkClick xmlns:r="http://schemas.openxmlformats.org/officeDocument/2006/relationships" r:id="rId647" tooltip="Ver detalle"/>
          <a:extLst>
            <a:ext uri="{FF2B5EF4-FFF2-40B4-BE49-F238E27FC236}">
              <a16:creationId xmlns:a16="http://schemas.microsoft.com/office/drawing/2014/main" id="{9CBDBDAD-6CAD-4391-9951-06C4981C6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134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</xdr:row>
      <xdr:rowOff>0</xdr:rowOff>
    </xdr:from>
    <xdr:to>
      <xdr:col>13</xdr:col>
      <xdr:colOff>0</xdr:colOff>
      <xdr:row>267</xdr:row>
      <xdr:rowOff>148590</xdr:rowOff>
    </xdr:to>
    <xdr:pic>
      <xdr:nvPicPr>
        <xdr:cNvPr id="697" name="Imagen 696" descr="Ver detalle">
          <a:hlinkClick xmlns:r="http://schemas.openxmlformats.org/officeDocument/2006/relationships" r:id="rId648" tooltip="Ver detalle"/>
          <a:extLst>
            <a:ext uri="{FF2B5EF4-FFF2-40B4-BE49-F238E27FC236}">
              <a16:creationId xmlns:a16="http://schemas.microsoft.com/office/drawing/2014/main" id="{A9F65AE3-6E72-49F6-BBC4-DD17BE735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153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</xdr:row>
      <xdr:rowOff>0</xdr:rowOff>
    </xdr:from>
    <xdr:to>
      <xdr:col>13</xdr:col>
      <xdr:colOff>0</xdr:colOff>
      <xdr:row>308</xdr:row>
      <xdr:rowOff>148590</xdr:rowOff>
    </xdr:to>
    <xdr:pic>
      <xdr:nvPicPr>
        <xdr:cNvPr id="698" name="Imagen 697" descr="Ver detalle">
          <a:hlinkClick xmlns:r="http://schemas.openxmlformats.org/officeDocument/2006/relationships" r:id="rId649" tooltip="Ver detalle"/>
          <a:extLst>
            <a:ext uri="{FF2B5EF4-FFF2-40B4-BE49-F238E27FC236}">
              <a16:creationId xmlns:a16="http://schemas.microsoft.com/office/drawing/2014/main" id="{92A82AE0-2B68-41CD-8116-F652EAAD9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172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</xdr:row>
      <xdr:rowOff>0</xdr:rowOff>
    </xdr:from>
    <xdr:to>
      <xdr:col>13</xdr:col>
      <xdr:colOff>0</xdr:colOff>
      <xdr:row>307</xdr:row>
      <xdr:rowOff>148590</xdr:rowOff>
    </xdr:to>
    <xdr:pic>
      <xdr:nvPicPr>
        <xdr:cNvPr id="699" name="Imagen 698" descr="Ver detalle">
          <a:hlinkClick xmlns:r="http://schemas.openxmlformats.org/officeDocument/2006/relationships" r:id="rId650" tooltip="Ver detalle"/>
          <a:extLst>
            <a:ext uri="{FF2B5EF4-FFF2-40B4-BE49-F238E27FC236}">
              <a16:creationId xmlns:a16="http://schemas.microsoft.com/office/drawing/2014/main" id="{04689253-0A38-48A7-A2A5-9C2A10076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191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</xdr:row>
      <xdr:rowOff>0</xdr:rowOff>
    </xdr:from>
    <xdr:to>
      <xdr:col>13</xdr:col>
      <xdr:colOff>0</xdr:colOff>
      <xdr:row>306</xdr:row>
      <xdr:rowOff>148590</xdr:rowOff>
    </xdr:to>
    <xdr:pic>
      <xdr:nvPicPr>
        <xdr:cNvPr id="700" name="Imagen 699" descr="Ver detalle">
          <a:hlinkClick xmlns:r="http://schemas.openxmlformats.org/officeDocument/2006/relationships" r:id="rId651" tooltip="Ver detalle"/>
          <a:extLst>
            <a:ext uri="{FF2B5EF4-FFF2-40B4-BE49-F238E27FC236}">
              <a16:creationId xmlns:a16="http://schemas.microsoft.com/office/drawing/2014/main" id="{6145850E-0303-4D34-ABD0-FE5567ABC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210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</xdr:row>
      <xdr:rowOff>0</xdr:rowOff>
    </xdr:from>
    <xdr:to>
      <xdr:col>13</xdr:col>
      <xdr:colOff>0</xdr:colOff>
      <xdr:row>305</xdr:row>
      <xdr:rowOff>148590</xdr:rowOff>
    </xdr:to>
    <xdr:pic>
      <xdr:nvPicPr>
        <xdr:cNvPr id="701" name="Imagen 700" descr="Ver detalle">
          <a:hlinkClick xmlns:r="http://schemas.openxmlformats.org/officeDocument/2006/relationships" r:id="rId652" tooltip="Ver detalle"/>
          <a:extLst>
            <a:ext uri="{FF2B5EF4-FFF2-40B4-BE49-F238E27FC236}">
              <a16:creationId xmlns:a16="http://schemas.microsoft.com/office/drawing/2014/main" id="{FC797159-0D03-4A96-8719-157020435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229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</xdr:row>
      <xdr:rowOff>0</xdr:rowOff>
    </xdr:from>
    <xdr:to>
      <xdr:col>13</xdr:col>
      <xdr:colOff>0</xdr:colOff>
      <xdr:row>313</xdr:row>
      <xdr:rowOff>148590</xdr:rowOff>
    </xdr:to>
    <xdr:pic>
      <xdr:nvPicPr>
        <xdr:cNvPr id="702" name="Imagen 701" descr="Ver detalle">
          <a:hlinkClick xmlns:r="http://schemas.openxmlformats.org/officeDocument/2006/relationships" r:id="rId653" tooltip="Ver detalle"/>
          <a:extLst>
            <a:ext uri="{FF2B5EF4-FFF2-40B4-BE49-F238E27FC236}">
              <a16:creationId xmlns:a16="http://schemas.microsoft.com/office/drawing/2014/main" id="{47B7366A-DE2C-41CA-AB64-019E7C18D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248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</xdr:row>
      <xdr:rowOff>0</xdr:rowOff>
    </xdr:from>
    <xdr:to>
      <xdr:col>13</xdr:col>
      <xdr:colOff>0</xdr:colOff>
      <xdr:row>312</xdr:row>
      <xdr:rowOff>148590</xdr:rowOff>
    </xdr:to>
    <xdr:pic>
      <xdr:nvPicPr>
        <xdr:cNvPr id="703" name="Imagen 702" descr="Ver detalle">
          <a:hlinkClick xmlns:r="http://schemas.openxmlformats.org/officeDocument/2006/relationships" r:id="rId654" tooltip="Ver detalle"/>
          <a:extLst>
            <a:ext uri="{FF2B5EF4-FFF2-40B4-BE49-F238E27FC236}">
              <a16:creationId xmlns:a16="http://schemas.microsoft.com/office/drawing/2014/main" id="{3F167183-CA71-4C10-B701-35C7254D6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267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</xdr:row>
      <xdr:rowOff>0</xdr:rowOff>
    </xdr:from>
    <xdr:to>
      <xdr:col>13</xdr:col>
      <xdr:colOff>0</xdr:colOff>
      <xdr:row>311</xdr:row>
      <xdr:rowOff>148590</xdr:rowOff>
    </xdr:to>
    <xdr:pic>
      <xdr:nvPicPr>
        <xdr:cNvPr id="704" name="Imagen 703" descr="Ver detalle">
          <a:hlinkClick xmlns:r="http://schemas.openxmlformats.org/officeDocument/2006/relationships" r:id="rId655" tooltip="Ver detalle"/>
          <a:extLst>
            <a:ext uri="{FF2B5EF4-FFF2-40B4-BE49-F238E27FC236}">
              <a16:creationId xmlns:a16="http://schemas.microsoft.com/office/drawing/2014/main" id="{4985746D-71BC-448C-B860-A279E08B2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287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</xdr:row>
      <xdr:rowOff>0</xdr:rowOff>
    </xdr:from>
    <xdr:to>
      <xdr:col>13</xdr:col>
      <xdr:colOff>0</xdr:colOff>
      <xdr:row>310</xdr:row>
      <xdr:rowOff>148590</xdr:rowOff>
    </xdr:to>
    <xdr:pic>
      <xdr:nvPicPr>
        <xdr:cNvPr id="705" name="Imagen 704" descr="Ver detalle">
          <a:hlinkClick xmlns:r="http://schemas.openxmlformats.org/officeDocument/2006/relationships" r:id="rId656" tooltip="Ver detalle"/>
          <a:extLst>
            <a:ext uri="{FF2B5EF4-FFF2-40B4-BE49-F238E27FC236}">
              <a16:creationId xmlns:a16="http://schemas.microsoft.com/office/drawing/2014/main" id="{3C577868-5108-457A-8EC7-6E12163E8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306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</xdr:row>
      <xdr:rowOff>0</xdr:rowOff>
    </xdr:from>
    <xdr:to>
      <xdr:col>13</xdr:col>
      <xdr:colOff>0</xdr:colOff>
      <xdr:row>309</xdr:row>
      <xdr:rowOff>148590</xdr:rowOff>
    </xdr:to>
    <xdr:pic>
      <xdr:nvPicPr>
        <xdr:cNvPr id="706" name="Imagen 705" descr="Ver detalle">
          <a:hlinkClick xmlns:r="http://schemas.openxmlformats.org/officeDocument/2006/relationships" r:id="rId657" tooltip="Ver detalle"/>
          <a:extLst>
            <a:ext uri="{FF2B5EF4-FFF2-40B4-BE49-F238E27FC236}">
              <a16:creationId xmlns:a16="http://schemas.microsoft.com/office/drawing/2014/main" id="{08E015B6-A281-4741-8BC5-2F6971C60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325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</xdr:row>
      <xdr:rowOff>0</xdr:rowOff>
    </xdr:from>
    <xdr:to>
      <xdr:col>13</xdr:col>
      <xdr:colOff>0</xdr:colOff>
      <xdr:row>302</xdr:row>
      <xdr:rowOff>148590</xdr:rowOff>
    </xdr:to>
    <xdr:pic>
      <xdr:nvPicPr>
        <xdr:cNvPr id="707" name="Imagen 706" descr="Ver detalle">
          <a:hlinkClick xmlns:r="http://schemas.openxmlformats.org/officeDocument/2006/relationships" r:id="rId658" tooltip="Ver detalle"/>
          <a:extLst>
            <a:ext uri="{FF2B5EF4-FFF2-40B4-BE49-F238E27FC236}">
              <a16:creationId xmlns:a16="http://schemas.microsoft.com/office/drawing/2014/main" id="{F25B2DC1-AAB8-4E18-B788-B2ECCABDF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344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</xdr:row>
      <xdr:rowOff>0</xdr:rowOff>
    </xdr:from>
    <xdr:to>
      <xdr:col>13</xdr:col>
      <xdr:colOff>0</xdr:colOff>
      <xdr:row>314</xdr:row>
      <xdr:rowOff>148590</xdr:rowOff>
    </xdr:to>
    <xdr:pic>
      <xdr:nvPicPr>
        <xdr:cNvPr id="708" name="Imagen 707" descr="Ver detalle">
          <a:hlinkClick xmlns:r="http://schemas.openxmlformats.org/officeDocument/2006/relationships" r:id="rId659" tooltip="Ver detalle"/>
          <a:extLst>
            <a:ext uri="{FF2B5EF4-FFF2-40B4-BE49-F238E27FC236}">
              <a16:creationId xmlns:a16="http://schemas.microsoft.com/office/drawing/2014/main" id="{BD8CF731-C856-4819-8D21-FCCD723E1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3632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</xdr:row>
      <xdr:rowOff>0</xdr:rowOff>
    </xdr:from>
    <xdr:to>
      <xdr:col>13</xdr:col>
      <xdr:colOff>0</xdr:colOff>
      <xdr:row>304</xdr:row>
      <xdr:rowOff>148590</xdr:rowOff>
    </xdr:to>
    <xdr:pic>
      <xdr:nvPicPr>
        <xdr:cNvPr id="709" name="Imagen 708" descr="Ver detalle">
          <a:hlinkClick xmlns:r="http://schemas.openxmlformats.org/officeDocument/2006/relationships" r:id="rId660" tooltip="Ver detalle"/>
          <a:extLst>
            <a:ext uri="{FF2B5EF4-FFF2-40B4-BE49-F238E27FC236}">
              <a16:creationId xmlns:a16="http://schemas.microsoft.com/office/drawing/2014/main" id="{3451764A-3FFE-4587-A39F-233D98611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382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</xdr:row>
      <xdr:rowOff>0</xdr:rowOff>
    </xdr:from>
    <xdr:to>
      <xdr:col>13</xdr:col>
      <xdr:colOff>0</xdr:colOff>
      <xdr:row>268</xdr:row>
      <xdr:rowOff>148590</xdr:rowOff>
    </xdr:to>
    <xdr:pic>
      <xdr:nvPicPr>
        <xdr:cNvPr id="710" name="Imagen 709" descr="Ver detalle">
          <a:hlinkClick xmlns:r="http://schemas.openxmlformats.org/officeDocument/2006/relationships" r:id="rId661" tooltip="Ver detalle"/>
          <a:extLst>
            <a:ext uri="{FF2B5EF4-FFF2-40B4-BE49-F238E27FC236}">
              <a16:creationId xmlns:a16="http://schemas.microsoft.com/office/drawing/2014/main" id="{477E61F1-1E17-4942-8BC5-3F324451A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420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</xdr:row>
      <xdr:rowOff>0</xdr:rowOff>
    </xdr:from>
    <xdr:to>
      <xdr:col>13</xdr:col>
      <xdr:colOff>0</xdr:colOff>
      <xdr:row>262</xdr:row>
      <xdr:rowOff>148590</xdr:rowOff>
    </xdr:to>
    <xdr:pic>
      <xdr:nvPicPr>
        <xdr:cNvPr id="711" name="Imagen 710" descr="Ver detalle">
          <a:hlinkClick xmlns:r="http://schemas.openxmlformats.org/officeDocument/2006/relationships" r:id="rId662" tooltip="Ver detalle"/>
          <a:extLst>
            <a:ext uri="{FF2B5EF4-FFF2-40B4-BE49-F238E27FC236}">
              <a16:creationId xmlns:a16="http://schemas.microsoft.com/office/drawing/2014/main" id="{C9ED9788-7B30-4DB5-B2E3-7BB14147F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439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</xdr:row>
      <xdr:rowOff>0</xdr:rowOff>
    </xdr:from>
    <xdr:to>
      <xdr:col>13</xdr:col>
      <xdr:colOff>0</xdr:colOff>
      <xdr:row>264</xdr:row>
      <xdr:rowOff>148590</xdr:rowOff>
    </xdr:to>
    <xdr:pic>
      <xdr:nvPicPr>
        <xdr:cNvPr id="712" name="Imagen 711" descr="Ver detalle">
          <a:hlinkClick xmlns:r="http://schemas.openxmlformats.org/officeDocument/2006/relationships" r:id="rId663" tooltip="Ver detalle"/>
          <a:extLst>
            <a:ext uri="{FF2B5EF4-FFF2-40B4-BE49-F238E27FC236}">
              <a16:creationId xmlns:a16="http://schemas.microsoft.com/office/drawing/2014/main" id="{BB480D2E-D74D-49C5-A460-26603D537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458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</xdr:row>
      <xdr:rowOff>0</xdr:rowOff>
    </xdr:from>
    <xdr:to>
      <xdr:col>13</xdr:col>
      <xdr:colOff>0</xdr:colOff>
      <xdr:row>266</xdr:row>
      <xdr:rowOff>148590</xdr:rowOff>
    </xdr:to>
    <xdr:pic>
      <xdr:nvPicPr>
        <xdr:cNvPr id="713" name="Imagen 712" descr="Ver detalle">
          <a:hlinkClick xmlns:r="http://schemas.openxmlformats.org/officeDocument/2006/relationships" r:id="rId664" tooltip="Ver detalle"/>
          <a:extLst>
            <a:ext uri="{FF2B5EF4-FFF2-40B4-BE49-F238E27FC236}">
              <a16:creationId xmlns:a16="http://schemas.microsoft.com/office/drawing/2014/main" id="{C5DDCCF1-F830-48B9-B892-5565736F1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477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</xdr:row>
      <xdr:rowOff>0</xdr:rowOff>
    </xdr:from>
    <xdr:to>
      <xdr:col>13</xdr:col>
      <xdr:colOff>0</xdr:colOff>
      <xdr:row>293</xdr:row>
      <xdr:rowOff>148590</xdr:rowOff>
    </xdr:to>
    <xdr:pic>
      <xdr:nvPicPr>
        <xdr:cNvPr id="714" name="Imagen 713" descr="Ver detalle">
          <a:hlinkClick xmlns:r="http://schemas.openxmlformats.org/officeDocument/2006/relationships" r:id="rId665" tooltip="Ver detalle"/>
          <a:extLst>
            <a:ext uri="{FF2B5EF4-FFF2-40B4-BE49-F238E27FC236}">
              <a16:creationId xmlns:a16="http://schemas.microsoft.com/office/drawing/2014/main" id="{5D7259C1-31B6-4CBF-BEA2-02281E896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496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</xdr:row>
      <xdr:rowOff>0</xdr:rowOff>
    </xdr:from>
    <xdr:to>
      <xdr:col>13</xdr:col>
      <xdr:colOff>0</xdr:colOff>
      <xdr:row>265</xdr:row>
      <xdr:rowOff>148590</xdr:rowOff>
    </xdr:to>
    <xdr:pic>
      <xdr:nvPicPr>
        <xdr:cNvPr id="715" name="Imagen 714" descr="Ver detalle">
          <a:hlinkClick xmlns:r="http://schemas.openxmlformats.org/officeDocument/2006/relationships" r:id="rId666" tooltip="Ver detalle"/>
          <a:extLst>
            <a:ext uri="{FF2B5EF4-FFF2-40B4-BE49-F238E27FC236}">
              <a16:creationId xmlns:a16="http://schemas.microsoft.com/office/drawing/2014/main" id="{AC962B1C-6907-496E-BA1D-6A2336674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515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</xdr:row>
      <xdr:rowOff>0</xdr:rowOff>
    </xdr:from>
    <xdr:to>
      <xdr:col>13</xdr:col>
      <xdr:colOff>0</xdr:colOff>
      <xdr:row>292</xdr:row>
      <xdr:rowOff>148590</xdr:rowOff>
    </xdr:to>
    <xdr:pic>
      <xdr:nvPicPr>
        <xdr:cNvPr id="716" name="Imagen 715" descr="Ver detalle">
          <a:hlinkClick xmlns:r="http://schemas.openxmlformats.org/officeDocument/2006/relationships" r:id="rId667" tooltip="Ver detalle"/>
          <a:extLst>
            <a:ext uri="{FF2B5EF4-FFF2-40B4-BE49-F238E27FC236}">
              <a16:creationId xmlns:a16="http://schemas.microsoft.com/office/drawing/2014/main" id="{5827DE92-D610-4D80-A212-86753E4F2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534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</xdr:row>
      <xdr:rowOff>0</xdr:rowOff>
    </xdr:from>
    <xdr:to>
      <xdr:col>13</xdr:col>
      <xdr:colOff>0</xdr:colOff>
      <xdr:row>260</xdr:row>
      <xdr:rowOff>148590</xdr:rowOff>
    </xdr:to>
    <xdr:pic>
      <xdr:nvPicPr>
        <xdr:cNvPr id="717" name="Imagen 716" descr="Ver detalle">
          <a:hlinkClick xmlns:r="http://schemas.openxmlformats.org/officeDocument/2006/relationships" r:id="rId668" tooltip="Ver detalle"/>
          <a:extLst>
            <a:ext uri="{FF2B5EF4-FFF2-40B4-BE49-F238E27FC236}">
              <a16:creationId xmlns:a16="http://schemas.microsoft.com/office/drawing/2014/main" id="{BC0F3A9E-715C-45BC-B8A1-197BDFD1E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553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</xdr:row>
      <xdr:rowOff>0</xdr:rowOff>
    </xdr:from>
    <xdr:to>
      <xdr:col>13</xdr:col>
      <xdr:colOff>0</xdr:colOff>
      <xdr:row>263</xdr:row>
      <xdr:rowOff>148590</xdr:rowOff>
    </xdr:to>
    <xdr:pic>
      <xdr:nvPicPr>
        <xdr:cNvPr id="718" name="Imagen 717" descr="Ver detalle">
          <a:hlinkClick xmlns:r="http://schemas.openxmlformats.org/officeDocument/2006/relationships" r:id="rId669" tooltip="Ver detalle"/>
          <a:extLst>
            <a:ext uri="{FF2B5EF4-FFF2-40B4-BE49-F238E27FC236}">
              <a16:creationId xmlns:a16="http://schemas.microsoft.com/office/drawing/2014/main" id="{87ED7F61-C73E-4EC9-B65B-EC81EE987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572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</xdr:row>
      <xdr:rowOff>0</xdr:rowOff>
    </xdr:from>
    <xdr:to>
      <xdr:col>13</xdr:col>
      <xdr:colOff>0</xdr:colOff>
      <xdr:row>294</xdr:row>
      <xdr:rowOff>148590</xdr:rowOff>
    </xdr:to>
    <xdr:pic>
      <xdr:nvPicPr>
        <xdr:cNvPr id="719" name="Imagen 718" descr="Ver detalle">
          <a:hlinkClick xmlns:r="http://schemas.openxmlformats.org/officeDocument/2006/relationships" r:id="rId670" tooltip="Ver detalle"/>
          <a:extLst>
            <a:ext uri="{FF2B5EF4-FFF2-40B4-BE49-F238E27FC236}">
              <a16:creationId xmlns:a16="http://schemas.microsoft.com/office/drawing/2014/main" id="{69496832-081B-4245-9B72-C542745A64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591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</xdr:row>
      <xdr:rowOff>0</xdr:rowOff>
    </xdr:from>
    <xdr:to>
      <xdr:col>13</xdr:col>
      <xdr:colOff>0</xdr:colOff>
      <xdr:row>351</xdr:row>
      <xdr:rowOff>148590</xdr:rowOff>
    </xdr:to>
    <xdr:pic>
      <xdr:nvPicPr>
        <xdr:cNvPr id="720" name="Imagen 719" descr="Ver detalle">
          <a:hlinkClick xmlns:r="http://schemas.openxmlformats.org/officeDocument/2006/relationships" r:id="rId671" tooltip="Ver detalle"/>
          <a:extLst>
            <a:ext uri="{FF2B5EF4-FFF2-40B4-BE49-F238E27FC236}">
              <a16:creationId xmlns:a16="http://schemas.microsoft.com/office/drawing/2014/main" id="{BAC46ADA-DE5E-40E9-9C76-8CB68273F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610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</xdr:row>
      <xdr:rowOff>0</xdr:rowOff>
    </xdr:from>
    <xdr:to>
      <xdr:col>13</xdr:col>
      <xdr:colOff>0</xdr:colOff>
      <xdr:row>327</xdr:row>
      <xdr:rowOff>148590</xdr:rowOff>
    </xdr:to>
    <xdr:pic>
      <xdr:nvPicPr>
        <xdr:cNvPr id="721" name="Imagen 720" descr="Ver detalle">
          <a:hlinkClick xmlns:r="http://schemas.openxmlformats.org/officeDocument/2006/relationships" r:id="rId672" tooltip="Ver detalle"/>
          <a:extLst>
            <a:ext uri="{FF2B5EF4-FFF2-40B4-BE49-F238E27FC236}">
              <a16:creationId xmlns:a16="http://schemas.microsoft.com/office/drawing/2014/main" id="{DCCE7F5C-C6B7-4C43-9E4F-4F4E83102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629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</xdr:row>
      <xdr:rowOff>0</xdr:rowOff>
    </xdr:from>
    <xdr:to>
      <xdr:col>13</xdr:col>
      <xdr:colOff>0</xdr:colOff>
      <xdr:row>326</xdr:row>
      <xdr:rowOff>148590</xdr:rowOff>
    </xdr:to>
    <xdr:pic>
      <xdr:nvPicPr>
        <xdr:cNvPr id="722" name="Imagen 721" descr="Ver detalle">
          <a:hlinkClick xmlns:r="http://schemas.openxmlformats.org/officeDocument/2006/relationships" r:id="rId673" tooltip="Ver detalle"/>
          <a:extLst>
            <a:ext uri="{FF2B5EF4-FFF2-40B4-BE49-F238E27FC236}">
              <a16:creationId xmlns:a16="http://schemas.microsoft.com/office/drawing/2014/main" id="{D00EAD5C-BFB8-4DFB-97A1-243D2D157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648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</xdr:row>
      <xdr:rowOff>0</xdr:rowOff>
    </xdr:from>
    <xdr:to>
      <xdr:col>13</xdr:col>
      <xdr:colOff>0</xdr:colOff>
      <xdr:row>352</xdr:row>
      <xdr:rowOff>148590</xdr:rowOff>
    </xdr:to>
    <xdr:pic>
      <xdr:nvPicPr>
        <xdr:cNvPr id="723" name="Imagen 722" descr="Ver detalle">
          <a:hlinkClick xmlns:r="http://schemas.openxmlformats.org/officeDocument/2006/relationships" r:id="rId674" tooltip="Ver detalle"/>
          <a:extLst>
            <a:ext uri="{FF2B5EF4-FFF2-40B4-BE49-F238E27FC236}">
              <a16:creationId xmlns:a16="http://schemas.microsoft.com/office/drawing/2014/main" id="{C0E28E91-1F94-4CDF-983B-8E57B3061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668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</xdr:row>
      <xdr:rowOff>0</xdr:rowOff>
    </xdr:from>
    <xdr:to>
      <xdr:col>13</xdr:col>
      <xdr:colOff>0</xdr:colOff>
      <xdr:row>301</xdr:row>
      <xdr:rowOff>148590</xdr:rowOff>
    </xdr:to>
    <xdr:pic>
      <xdr:nvPicPr>
        <xdr:cNvPr id="724" name="Imagen 723" descr="Ver detalle">
          <a:hlinkClick xmlns:r="http://schemas.openxmlformats.org/officeDocument/2006/relationships" r:id="rId675" tooltip="Ver detalle"/>
          <a:extLst>
            <a:ext uri="{FF2B5EF4-FFF2-40B4-BE49-F238E27FC236}">
              <a16:creationId xmlns:a16="http://schemas.microsoft.com/office/drawing/2014/main" id="{6447D391-360D-4160-A7EC-D1BCF6E80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687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</xdr:row>
      <xdr:rowOff>0</xdr:rowOff>
    </xdr:from>
    <xdr:to>
      <xdr:col>13</xdr:col>
      <xdr:colOff>0</xdr:colOff>
      <xdr:row>300</xdr:row>
      <xdr:rowOff>148590</xdr:rowOff>
    </xdr:to>
    <xdr:pic>
      <xdr:nvPicPr>
        <xdr:cNvPr id="725" name="Imagen 724" descr="Ver detalle">
          <a:hlinkClick xmlns:r="http://schemas.openxmlformats.org/officeDocument/2006/relationships" r:id="rId676" tooltip="Ver detalle"/>
          <a:extLst>
            <a:ext uri="{FF2B5EF4-FFF2-40B4-BE49-F238E27FC236}">
              <a16:creationId xmlns:a16="http://schemas.microsoft.com/office/drawing/2014/main" id="{A58BC996-BCED-4587-90BD-9018D7253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706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</xdr:row>
      <xdr:rowOff>0</xdr:rowOff>
    </xdr:from>
    <xdr:to>
      <xdr:col>13</xdr:col>
      <xdr:colOff>0</xdr:colOff>
      <xdr:row>315</xdr:row>
      <xdr:rowOff>148590</xdr:rowOff>
    </xdr:to>
    <xdr:pic>
      <xdr:nvPicPr>
        <xdr:cNvPr id="726" name="Imagen 725" descr="Ver detalle">
          <a:hlinkClick xmlns:r="http://schemas.openxmlformats.org/officeDocument/2006/relationships" r:id="rId677" tooltip="Ver detalle"/>
          <a:extLst>
            <a:ext uri="{FF2B5EF4-FFF2-40B4-BE49-F238E27FC236}">
              <a16:creationId xmlns:a16="http://schemas.microsoft.com/office/drawing/2014/main" id="{06FDFAA0-2309-468F-AA71-34EC097B3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725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</xdr:row>
      <xdr:rowOff>0</xdr:rowOff>
    </xdr:from>
    <xdr:to>
      <xdr:col>13</xdr:col>
      <xdr:colOff>0</xdr:colOff>
      <xdr:row>295</xdr:row>
      <xdr:rowOff>148590</xdr:rowOff>
    </xdr:to>
    <xdr:pic>
      <xdr:nvPicPr>
        <xdr:cNvPr id="727" name="Imagen 726" descr="Ver detalle">
          <a:hlinkClick xmlns:r="http://schemas.openxmlformats.org/officeDocument/2006/relationships" r:id="rId678" tooltip="Ver detalle"/>
          <a:extLst>
            <a:ext uri="{FF2B5EF4-FFF2-40B4-BE49-F238E27FC236}">
              <a16:creationId xmlns:a16="http://schemas.microsoft.com/office/drawing/2014/main" id="{E7F14509-81E7-44E0-996B-38309FBDA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7442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</xdr:row>
      <xdr:rowOff>0</xdr:rowOff>
    </xdr:from>
    <xdr:to>
      <xdr:col>13</xdr:col>
      <xdr:colOff>0</xdr:colOff>
      <xdr:row>299</xdr:row>
      <xdr:rowOff>148590</xdr:rowOff>
    </xdr:to>
    <xdr:pic>
      <xdr:nvPicPr>
        <xdr:cNvPr id="728" name="Imagen 727" descr="Ver detalle">
          <a:hlinkClick xmlns:r="http://schemas.openxmlformats.org/officeDocument/2006/relationships" r:id="rId679" tooltip="Ver detalle"/>
          <a:extLst>
            <a:ext uri="{FF2B5EF4-FFF2-40B4-BE49-F238E27FC236}">
              <a16:creationId xmlns:a16="http://schemas.microsoft.com/office/drawing/2014/main" id="{B66E7BE0-E6CD-415C-8CD1-85CCFCD00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763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</xdr:row>
      <xdr:rowOff>0</xdr:rowOff>
    </xdr:from>
    <xdr:to>
      <xdr:col>13</xdr:col>
      <xdr:colOff>0</xdr:colOff>
      <xdr:row>298</xdr:row>
      <xdr:rowOff>148590</xdr:rowOff>
    </xdr:to>
    <xdr:pic>
      <xdr:nvPicPr>
        <xdr:cNvPr id="729" name="Imagen 728" descr="Ver detalle">
          <a:hlinkClick xmlns:r="http://schemas.openxmlformats.org/officeDocument/2006/relationships" r:id="rId680" tooltip="Ver detalle"/>
          <a:extLst>
            <a:ext uri="{FF2B5EF4-FFF2-40B4-BE49-F238E27FC236}">
              <a16:creationId xmlns:a16="http://schemas.microsoft.com/office/drawing/2014/main" id="{59AA01BA-49CC-43BA-9DCC-E2A8258C6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782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</xdr:row>
      <xdr:rowOff>0</xdr:rowOff>
    </xdr:from>
    <xdr:to>
      <xdr:col>13</xdr:col>
      <xdr:colOff>0</xdr:colOff>
      <xdr:row>297</xdr:row>
      <xdr:rowOff>148590</xdr:rowOff>
    </xdr:to>
    <xdr:pic>
      <xdr:nvPicPr>
        <xdr:cNvPr id="730" name="Imagen 729" descr="Ver detalle">
          <a:hlinkClick xmlns:r="http://schemas.openxmlformats.org/officeDocument/2006/relationships" r:id="rId681" tooltip="Ver detalle"/>
          <a:extLst>
            <a:ext uri="{FF2B5EF4-FFF2-40B4-BE49-F238E27FC236}">
              <a16:creationId xmlns:a16="http://schemas.microsoft.com/office/drawing/2014/main" id="{9D7C4CA5-32DD-47EF-9CFC-249AEA440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801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</xdr:row>
      <xdr:rowOff>0</xdr:rowOff>
    </xdr:from>
    <xdr:to>
      <xdr:col>13</xdr:col>
      <xdr:colOff>0</xdr:colOff>
      <xdr:row>296</xdr:row>
      <xdr:rowOff>148590</xdr:rowOff>
    </xdr:to>
    <xdr:pic>
      <xdr:nvPicPr>
        <xdr:cNvPr id="731" name="Imagen 730" descr="Ver detalle">
          <a:hlinkClick xmlns:r="http://schemas.openxmlformats.org/officeDocument/2006/relationships" r:id="rId682" tooltip="Ver detalle"/>
          <a:extLst>
            <a:ext uri="{FF2B5EF4-FFF2-40B4-BE49-F238E27FC236}">
              <a16:creationId xmlns:a16="http://schemas.microsoft.com/office/drawing/2014/main" id="{B18A6FF8-F39E-486D-A90B-B4E65296A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820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</xdr:row>
      <xdr:rowOff>0</xdr:rowOff>
    </xdr:from>
    <xdr:to>
      <xdr:col>13</xdr:col>
      <xdr:colOff>0</xdr:colOff>
      <xdr:row>261</xdr:row>
      <xdr:rowOff>148590</xdr:rowOff>
    </xdr:to>
    <xdr:pic>
      <xdr:nvPicPr>
        <xdr:cNvPr id="732" name="Imagen 731" descr="Ver detalle">
          <a:hlinkClick xmlns:r="http://schemas.openxmlformats.org/officeDocument/2006/relationships" r:id="rId683" tooltip="Ver detalle"/>
          <a:extLst>
            <a:ext uri="{FF2B5EF4-FFF2-40B4-BE49-F238E27FC236}">
              <a16:creationId xmlns:a16="http://schemas.microsoft.com/office/drawing/2014/main" id="{69972635-824F-45AC-BF7D-D57629F38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839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</xdr:row>
      <xdr:rowOff>0</xdr:rowOff>
    </xdr:from>
    <xdr:to>
      <xdr:col>13</xdr:col>
      <xdr:colOff>0</xdr:colOff>
      <xdr:row>256</xdr:row>
      <xdr:rowOff>148590</xdr:rowOff>
    </xdr:to>
    <xdr:pic>
      <xdr:nvPicPr>
        <xdr:cNvPr id="733" name="Imagen 732" descr="Ver detalle">
          <a:hlinkClick xmlns:r="http://schemas.openxmlformats.org/officeDocument/2006/relationships" r:id="rId684" tooltip="Ver detalle"/>
          <a:extLst>
            <a:ext uri="{FF2B5EF4-FFF2-40B4-BE49-F238E27FC236}">
              <a16:creationId xmlns:a16="http://schemas.microsoft.com/office/drawing/2014/main" id="{A9AB667E-9250-4013-BE31-FC5FD3A6C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858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</xdr:row>
      <xdr:rowOff>0</xdr:rowOff>
    </xdr:from>
    <xdr:to>
      <xdr:col>13</xdr:col>
      <xdr:colOff>0</xdr:colOff>
      <xdr:row>288</xdr:row>
      <xdr:rowOff>148590</xdr:rowOff>
    </xdr:to>
    <xdr:pic>
      <xdr:nvPicPr>
        <xdr:cNvPr id="734" name="Imagen 733" descr="Ver detalle">
          <a:hlinkClick xmlns:r="http://schemas.openxmlformats.org/officeDocument/2006/relationships" r:id="rId685" tooltip="Ver detalle"/>
          <a:extLst>
            <a:ext uri="{FF2B5EF4-FFF2-40B4-BE49-F238E27FC236}">
              <a16:creationId xmlns:a16="http://schemas.microsoft.com/office/drawing/2014/main" id="{A0616C34-FB44-4263-B440-1E07CD656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896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</xdr:row>
      <xdr:rowOff>0</xdr:rowOff>
    </xdr:from>
    <xdr:to>
      <xdr:col>13</xdr:col>
      <xdr:colOff>0</xdr:colOff>
      <xdr:row>291</xdr:row>
      <xdr:rowOff>148590</xdr:rowOff>
    </xdr:to>
    <xdr:pic>
      <xdr:nvPicPr>
        <xdr:cNvPr id="735" name="Imagen 734" descr="Ver detalle">
          <a:hlinkClick xmlns:r="http://schemas.openxmlformats.org/officeDocument/2006/relationships" r:id="rId686" tooltip="Ver detalle"/>
          <a:extLst>
            <a:ext uri="{FF2B5EF4-FFF2-40B4-BE49-F238E27FC236}">
              <a16:creationId xmlns:a16="http://schemas.microsoft.com/office/drawing/2014/main" id="{EE329F1D-B6AB-4617-AE79-0AFB9AB46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915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</xdr:row>
      <xdr:rowOff>0</xdr:rowOff>
    </xdr:from>
    <xdr:to>
      <xdr:col>13</xdr:col>
      <xdr:colOff>0</xdr:colOff>
      <xdr:row>290</xdr:row>
      <xdr:rowOff>148590</xdr:rowOff>
    </xdr:to>
    <xdr:pic>
      <xdr:nvPicPr>
        <xdr:cNvPr id="736" name="Imagen 735" descr="Ver detalle">
          <a:hlinkClick xmlns:r="http://schemas.openxmlformats.org/officeDocument/2006/relationships" r:id="rId687" tooltip="Ver detalle"/>
          <a:extLst>
            <a:ext uri="{FF2B5EF4-FFF2-40B4-BE49-F238E27FC236}">
              <a16:creationId xmlns:a16="http://schemas.microsoft.com/office/drawing/2014/main" id="{DE51C9B8-FA1E-4DF3-AE9F-19015E55D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934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</xdr:row>
      <xdr:rowOff>0</xdr:rowOff>
    </xdr:from>
    <xdr:to>
      <xdr:col>13</xdr:col>
      <xdr:colOff>0</xdr:colOff>
      <xdr:row>289</xdr:row>
      <xdr:rowOff>148590</xdr:rowOff>
    </xdr:to>
    <xdr:pic>
      <xdr:nvPicPr>
        <xdr:cNvPr id="737" name="Imagen 736" descr="Ver detalle">
          <a:hlinkClick xmlns:r="http://schemas.openxmlformats.org/officeDocument/2006/relationships" r:id="rId688" tooltip="Ver detalle"/>
          <a:extLst>
            <a:ext uri="{FF2B5EF4-FFF2-40B4-BE49-F238E27FC236}">
              <a16:creationId xmlns:a16="http://schemas.microsoft.com/office/drawing/2014/main" id="{F86F4188-61CB-49A9-B0DC-DD8D71B60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953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</xdr:row>
      <xdr:rowOff>0</xdr:rowOff>
    </xdr:from>
    <xdr:to>
      <xdr:col>13</xdr:col>
      <xdr:colOff>0</xdr:colOff>
      <xdr:row>255</xdr:row>
      <xdr:rowOff>148590</xdr:rowOff>
    </xdr:to>
    <xdr:pic>
      <xdr:nvPicPr>
        <xdr:cNvPr id="738" name="Imagen 737" descr="Ver detalle">
          <a:hlinkClick xmlns:r="http://schemas.openxmlformats.org/officeDocument/2006/relationships" r:id="rId689" tooltip="Ver detalle"/>
          <a:extLst>
            <a:ext uri="{FF2B5EF4-FFF2-40B4-BE49-F238E27FC236}">
              <a16:creationId xmlns:a16="http://schemas.microsoft.com/office/drawing/2014/main" id="{D68A9DE7-41A6-451C-BBE2-73F94FBDE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972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</xdr:row>
      <xdr:rowOff>0</xdr:rowOff>
    </xdr:from>
    <xdr:to>
      <xdr:col>13</xdr:col>
      <xdr:colOff>0</xdr:colOff>
      <xdr:row>254</xdr:row>
      <xdr:rowOff>148590</xdr:rowOff>
    </xdr:to>
    <xdr:pic>
      <xdr:nvPicPr>
        <xdr:cNvPr id="739" name="Imagen 738" descr="Ver detalle">
          <a:hlinkClick xmlns:r="http://schemas.openxmlformats.org/officeDocument/2006/relationships" r:id="rId481" tooltip="Ver detalle"/>
          <a:extLst>
            <a:ext uri="{FF2B5EF4-FFF2-40B4-BE49-F238E27FC236}">
              <a16:creationId xmlns:a16="http://schemas.microsoft.com/office/drawing/2014/main" id="{8515614C-271C-4936-ACE1-EAFE28E99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991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</xdr:row>
      <xdr:rowOff>0</xdr:rowOff>
    </xdr:from>
    <xdr:to>
      <xdr:col>13</xdr:col>
      <xdr:colOff>0</xdr:colOff>
      <xdr:row>249</xdr:row>
      <xdr:rowOff>148590</xdr:rowOff>
    </xdr:to>
    <xdr:pic>
      <xdr:nvPicPr>
        <xdr:cNvPr id="740" name="Imagen 739" descr="Ver detalle">
          <a:hlinkClick xmlns:r="http://schemas.openxmlformats.org/officeDocument/2006/relationships" r:id="rId690" tooltip="Ver detalle"/>
          <a:extLst>
            <a:ext uri="{FF2B5EF4-FFF2-40B4-BE49-F238E27FC236}">
              <a16:creationId xmlns:a16="http://schemas.microsoft.com/office/drawing/2014/main" id="{E3C2A601-116A-48F3-9E4A-CE88940AB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010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</xdr:row>
      <xdr:rowOff>0</xdr:rowOff>
    </xdr:from>
    <xdr:to>
      <xdr:col>13</xdr:col>
      <xdr:colOff>0</xdr:colOff>
      <xdr:row>250</xdr:row>
      <xdr:rowOff>148590</xdr:rowOff>
    </xdr:to>
    <xdr:pic>
      <xdr:nvPicPr>
        <xdr:cNvPr id="741" name="Imagen 740" descr="Ver detalle">
          <a:hlinkClick xmlns:r="http://schemas.openxmlformats.org/officeDocument/2006/relationships" r:id="rId691" tooltip="Ver detalle"/>
          <a:extLst>
            <a:ext uri="{FF2B5EF4-FFF2-40B4-BE49-F238E27FC236}">
              <a16:creationId xmlns:a16="http://schemas.microsoft.com/office/drawing/2014/main" id="{D020428E-80B1-4A1A-B746-78074CAA7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029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</xdr:row>
      <xdr:rowOff>0</xdr:rowOff>
    </xdr:from>
    <xdr:to>
      <xdr:col>13</xdr:col>
      <xdr:colOff>0</xdr:colOff>
      <xdr:row>257</xdr:row>
      <xdr:rowOff>148590</xdr:rowOff>
    </xdr:to>
    <xdr:pic>
      <xdr:nvPicPr>
        <xdr:cNvPr id="742" name="Imagen 741" descr="Ver detalle">
          <a:hlinkClick xmlns:r="http://schemas.openxmlformats.org/officeDocument/2006/relationships" r:id="rId692" tooltip="Ver detalle"/>
          <a:extLst>
            <a:ext uri="{FF2B5EF4-FFF2-40B4-BE49-F238E27FC236}">
              <a16:creationId xmlns:a16="http://schemas.microsoft.com/office/drawing/2014/main" id="{7298AB9F-5FDF-440A-AB8E-C8720A75B6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049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</xdr:row>
      <xdr:rowOff>0</xdr:rowOff>
    </xdr:from>
    <xdr:to>
      <xdr:col>13</xdr:col>
      <xdr:colOff>0</xdr:colOff>
      <xdr:row>287</xdr:row>
      <xdr:rowOff>148590</xdr:rowOff>
    </xdr:to>
    <xdr:pic>
      <xdr:nvPicPr>
        <xdr:cNvPr id="743" name="Imagen 742" descr="Ver detalle">
          <a:hlinkClick xmlns:r="http://schemas.openxmlformats.org/officeDocument/2006/relationships" r:id="rId693" tooltip="Ver detalle"/>
          <a:extLst>
            <a:ext uri="{FF2B5EF4-FFF2-40B4-BE49-F238E27FC236}">
              <a16:creationId xmlns:a16="http://schemas.microsoft.com/office/drawing/2014/main" id="{7682A6DB-FB5F-43C8-98A4-00BD45D76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068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</xdr:row>
      <xdr:rowOff>0</xdr:rowOff>
    </xdr:from>
    <xdr:to>
      <xdr:col>13</xdr:col>
      <xdr:colOff>0</xdr:colOff>
      <xdr:row>286</xdr:row>
      <xdr:rowOff>148590</xdr:rowOff>
    </xdr:to>
    <xdr:pic>
      <xdr:nvPicPr>
        <xdr:cNvPr id="744" name="Imagen 743" descr="Ver detalle">
          <a:hlinkClick xmlns:r="http://schemas.openxmlformats.org/officeDocument/2006/relationships" r:id="rId694" tooltip="Ver detalle"/>
          <a:extLst>
            <a:ext uri="{FF2B5EF4-FFF2-40B4-BE49-F238E27FC236}">
              <a16:creationId xmlns:a16="http://schemas.microsoft.com/office/drawing/2014/main" id="{5FE1BB9A-D37E-4DE6-8488-3D8DC34B3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087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</xdr:row>
      <xdr:rowOff>0</xdr:rowOff>
    </xdr:from>
    <xdr:to>
      <xdr:col>13</xdr:col>
      <xdr:colOff>0</xdr:colOff>
      <xdr:row>285</xdr:row>
      <xdr:rowOff>148590</xdr:rowOff>
    </xdr:to>
    <xdr:pic>
      <xdr:nvPicPr>
        <xdr:cNvPr id="745" name="Imagen 744" descr="Ver detalle">
          <a:hlinkClick xmlns:r="http://schemas.openxmlformats.org/officeDocument/2006/relationships" r:id="rId695" tooltip="Ver detalle"/>
          <a:extLst>
            <a:ext uri="{FF2B5EF4-FFF2-40B4-BE49-F238E27FC236}">
              <a16:creationId xmlns:a16="http://schemas.microsoft.com/office/drawing/2014/main" id="{8531D583-D560-46CA-A94D-C1A90929E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106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</xdr:row>
      <xdr:rowOff>0</xdr:rowOff>
    </xdr:from>
    <xdr:to>
      <xdr:col>13</xdr:col>
      <xdr:colOff>0</xdr:colOff>
      <xdr:row>284</xdr:row>
      <xdr:rowOff>148590</xdr:rowOff>
    </xdr:to>
    <xdr:pic>
      <xdr:nvPicPr>
        <xdr:cNvPr id="746" name="Imagen 745" descr="Ver detalle">
          <a:hlinkClick xmlns:r="http://schemas.openxmlformats.org/officeDocument/2006/relationships" r:id="rId696" tooltip="Ver detalle"/>
          <a:extLst>
            <a:ext uri="{FF2B5EF4-FFF2-40B4-BE49-F238E27FC236}">
              <a16:creationId xmlns:a16="http://schemas.microsoft.com/office/drawing/2014/main" id="{F17E1A1A-FD25-4575-B3E3-A680069C1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1252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</xdr:row>
      <xdr:rowOff>0</xdr:rowOff>
    </xdr:from>
    <xdr:to>
      <xdr:col>13</xdr:col>
      <xdr:colOff>0</xdr:colOff>
      <xdr:row>253</xdr:row>
      <xdr:rowOff>148590</xdr:rowOff>
    </xdr:to>
    <xdr:pic>
      <xdr:nvPicPr>
        <xdr:cNvPr id="747" name="Imagen 746" descr="Ver detalle">
          <a:hlinkClick xmlns:r="http://schemas.openxmlformats.org/officeDocument/2006/relationships" r:id="rId697" tooltip="Ver detalle"/>
          <a:extLst>
            <a:ext uri="{FF2B5EF4-FFF2-40B4-BE49-F238E27FC236}">
              <a16:creationId xmlns:a16="http://schemas.microsoft.com/office/drawing/2014/main" id="{9E504A04-A73D-4999-9B1F-54982B3A8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144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</xdr:row>
      <xdr:rowOff>0</xdr:rowOff>
    </xdr:from>
    <xdr:to>
      <xdr:col>13</xdr:col>
      <xdr:colOff>0</xdr:colOff>
      <xdr:row>276</xdr:row>
      <xdr:rowOff>114300</xdr:rowOff>
    </xdr:to>
    <xdr:pic>
      <xdr:nvPicPr>
        <xdr:cNvPr id="748" name="Imagen 747" descr="Ver detalle">
          <a:hlinkClick xmlns:r="http://schemas.openxmlformats.org/officeDocument/2006/relationships" r:id="rId698" tooltip="Ver detalle"/>
          <a:extLst>
            <a:ext uri="{FF2B5EF4-FFF2-40B4-BE49-F238E27FC236}">
              <a16:creationId xmlns:a16="http://schemas.microsoft.com/office/drawing/2014/main" id="{0C6918C8-F072-45F1-9C80-A3D20C2C5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163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</xdr:row>
      <xdr:rowOff>0</xdr:rowOff>
    </xdr:from>
    <xdr:to>
      <xdr:col>13</xdr:col>
      <xdr:colOff>0</xdr:colOff>
      <xdr:row>248</xdr:row>
      <xdr:rowOff>148590</xdr:rowOff>
    </xdr:to>
    <xdr:pic>
      <xdr:nvPicPr>
        <xdr:cNvPr id="749" name="Imagen 748" descr="Ver detalle">
          <a:hlinkClick xmlns:r="http://schemas.openxmlformats.org/officeDocument/2006/relationships" r:id="rId699" tooltip="Ver detalle"/>
          <a:extLst>
            <a:ext uri="{FF2B5EF4-FFF2-40B4-BE49-F238E27FC236}">
              <a16:creationId xmlns:a16="http://schemas.microsoft.com/office/drawing/2014/main" id="{568D977A-C534-479D-8DE1-CD326600C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182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</xdr:row>
      <xdr:rowOff>0</xdr:rowOff>
    </xdr:from>
    <xdr:to>
      <xdr:col>13</xdr:col>
      <xdr:colOff>0</xdr:colOff>
      <xdr:row>283</xdr:row>
      <xdr:rowOff>148590</xdr:rowOff>
    </xdr:to>
    <xdr:pic>
      <xdr:nvPicPr>
        <xdr:cNvPr id="750" name="Imagen 749" descr="Ver detalle">
          <a:hlinkClick xmlns:r="http://schemas.openxmlformats.org/officeDocument/2006/relationships" r:id="rId700" tooltip="Ver detalle"/>
          <a:extLst>
            <a:ext uri="{FF2B5EF4-FFF2-40B4-BE49-F238E27FC236}">
              <a16:creationId xmlns:a16="http://schemas.microsoft.com/office/drawing/2014/main" id="{9C290A2D-A27C-4B2C-90EF-3F83640A7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201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</xdr:row>
      <xdr:rowOff>0</xdr:rowOff>
    </xdr:from>
    <xdr:to>
      <xdr:col>13</xdr:col>
      <xdr:colOff>0</xdr:colOff>
      <xdr:row>282</xdr:row>
      <xdr:rowOff>148590</xdr:rowOff>
    </xdr:to>
    <xdr:pic>
      <xdr:nvPicPr>
        <xdr:cNvPr id="751" name="Imagen 750" descr="Ver detalle">
          <a:hlinkClick xmlns:r="http://schemas.openxmlformats.org/officeDocument/2006/relationships" r:id="rId701" tooltip="Ver detalle"/>
          <a:extLst>
            <a:ext uri="{FF2B5EF4-FFF2-40B4-BE49-F238E27FC236}">
              <a16:creationId xmlns:a16="http://schemas.microsoft.com/office/drawing/2014/main" id="{1B2EEC3D-2FC1-4925-A466-D4773B137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220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</xdr:row>
      <xdr:rowOff>0</xdr:rowOff>
    </xdr:from>
    <xdr:to>
      <xdr:col>13</xdr:col>
      <xdr:colOff>0</xdr:colOff>
      <xdr:row>281</xdr:row>
      <xdr:rowOff>148590</xdr:rowOff>
    </xdr:to>
    <xdr:pic>
      <xdr:nvPicPr>
        <xdr:cNvPr id="752" name="Imagen 751" descr="Ver detalle">
          <a:hlinkClick xmlns:r="http://schemas.openxmlformats.org/officeDocument/2006/relationships" r:id="rId702" tooltip="Ver detalle"/>
          <a:extLst>
            <a:ext uri="{FF2B5EF4-FFF2-40B4-BE49-F238E27FC236}">
              <a16:creationId xmlns:a16="http://schemas.microsoft.com/office/drawing/2014/main" id="{63AA7682-7E97-4BEB-83BE-5276A71A5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239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</xdr:row>
      <xdr:rowOff>0</xdr:rowOff>
    </xdr:from>
    <xdr:to>
      <xdr:col>13</xdr:col>
      <xdr:colOff>0</xdr:colOff>
      <xdr:row>280</xdr:row>
      <xdr:rowOff>148590</xdr:rowOff>
    </xdr:to>
    <xdr:pic>
      <xdr:nvPicPr>
        <xdr:cNvPr id="753" name="Imagen 752" descr="Ver detalle">
          <a:hlinkClick xmlns:r="http://schemas.openxmlformats.org/officeDocument/2006/relationships" r:id="rId703" tooltip="Ver detalle"/>
          <a:extLst>
            <a:ext uri="{FF2B5EF4-FFF2-40B4-BE49-F238E27FC236}">
              <a16:creationId xmlns:a16="http://schemas.microsoft.com/office/drawing/2014/main" id="{F6E23269-FC36-445D-A3E4-E2E2D8DBC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258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</xdr:row>
      <xdr:rowOff>0</xdr:rowOff>
    </xdr:from>
    <xdr:to>
      <xdr:col>13</xdr:col>
      <xdr:colOff>0</xdr:colOff>
      <xdr:row>275</xdr:row>
      <xdr:rowOff>148590</xdr:rowOff>
    </xdr:to>
    <xdr:pic>
      <xdr:nvPicPr>
        <xdr:cNvPr id="754" name="Imagen 753" descr="Ver detalle">
          <a:hlinkClick xmlns:r="http://schemas.openxmlformats.org/officeDocument/2006/relationships" r:id="rId704" tooltip="Ver detalle"/>
          <a:extLst>
            <a:ext uri="{FF2B5EF4-FFF2-40B4-BE49-F238E27FC236}">
              <a16:creationId xmlns:a16="http://schemas.microsoft.com/office/drawing/2014/main" id="{442ACE0E-FCCA-4EBF-8B56-467872585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277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</xdr:row>
      <xdr:rowOff>0</xdr:rowOff>
    </xdr:from>
    <xdr:to>
      <xdr:col>13</xdr:col>
      <xdr:colOff>0</xdr:colOff>
      <xdr:row>258</xdr:row>
      <xdr:rowOff>148590</xdr:rowOff>
    </xdr:to>
    <xdr:pic>
      <xdr:nvPicPr>
        <xdr:cNvPr id="755" name="Imagen 754" descr="Ver detalle">
          <a:hlinkClick xmlns:r="http://schemas.openxmlformats.org/officeDocument/2006/relationships" r:id="rId705" tooltip="Ver detalle"/>
          <a:extLst>
            <a:ext uri="{FF2B5EF4-FFF2-40B4-BE49-F238E27FC236}">
              <a16:creationId xmlns:a16="http://schemas.microsoft.com/office/drawing/2014/main" id="{2CAC2CC0-1931-4112-AA54-CBB5175E6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296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</xdr:row>
      <xdr:rowOff>0</xdr:rowOff>
    </xdr:from>
    <xdr:to>
      <xdr:col>13</xdr:col>
      <xdr:colOff>0</xdr:colOff>
      <xdr:row>252</xdr:row>
      <xdr:rowOff>148590</xdr:rowOff>
    </xdr:to>
    <xdr:pic>
      <xdr:nvPicPr>
        <xdr:cNvPr id="756" name="Imagen 755" descr="Ver detalle">
          <a:hlinkClick xmlns:r="http://schemas.openxmlformats.org/officeDocument/2006/relationships" r:id="rId706" tooltip="Ver detalle"/>
          <a:extLst>
            <a:ext uri="{FF2B5EF4-FFF2-40B4-BE49-F238E27FC236}">
              <a16:creationId xmlns:a16="http://schemas.microsoft.com/office/drawing/2014/main" id="{0D68DB09-EE84-4E3D-9D4E-11DA82759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315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</xdr:row>
      <xdr:rowOff>0</xdr:rowOff>
    </xdr:from>
    <xdr:to>
      <xdr:col>13</xdr:col>
      <xdr:colOff>0</xdr:colOff>
      <xdr:row>251</xdr:row>
      <xdr:rowOff>148590</xdr:rowOff>
    </xdr:to>
    <xdr:pic>
      <xdr:nvPicPr>
        <xdr:cNvPr id="757" name="Imagen 756" descr="Ver detalle">
          <a:hlinkClick xmlns:r="http://schemas.openxmlformats.org/officeDocument/2006/relationships" r:id="rId707" tooltip="Ver detalle"/>
          <a:extLst>
            <a:ext uri="{FF2B5EF4-FFF2-40B4-BE49-F238E27FC236}">
              <a16:creationId xmlns:a16="http://schemas.microsoft.com/office/drawing/2014/main" id="{2A39845E-1A09-4ABE-ACA6-5D875BB743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334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</xdr:row>
      <xdr:rowOff>0</xdr:rowOff>
    </xdr:from>
    <xdr:to>
      <xdr:col>13</xdr:col>
      <xdr:colOff>0</xdr:colOff>
      <xdr:row>247</xdr:row>
      <xdr:rowOff>148590</xdr:rowOff>
    </xdr:to>
    <xdr:pic>
      <xdr:nvPicPr>
        <xdr:cNvPr id="758" name="Imagen 757" descr="Ver detalle">
          <a:hlinkClick xmlns:r="http://schemas.openxmlformats.org/officeDocument/2006/relationships" r:id="rId708" tooltip="Ver detalle"/>
          <a:extLst>
            <a:ext uri="{FF2B5EF4-FFF2-40B4-BE49-F238E27FC236}">
              <a16:creationId xmlns:a16="http://schemas.microsoft.com/office/drawing/2014/main" id="{6112B93A-EE37-42B7-AF17-0411379905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372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</xdr:row>
      <xdr:rowOff>0</xdr:rowOff>
    </xdr:from>
    <xdr:to>
      <xdr:col>13</xdr:col>
      <xdr:colOff>0</xdr:colOff>
      <xdr:row>246</xdr:row>
      <xdr:rowOff>148590</xdr:rowOff>
    </xdr:to>
    <xdr:pic>
      <xdr:nvPicPr>
        <xdr:cNvPr id="759" name="Imagen 758" descr="Ver detalle">
          <a:hlinkClick xmlns:r="http://schemas.openxmlformats.org/officeDocument/2006/relationships" r:id="rId709" tooltip="Ver detalle"/>
          <a:extLst>
            <a:ext uri="{FF2B5EF4-FFF2-40B4-BE49-F238E27FC236}">
              <a16:creationId xmlns:a16="http://schemas.microsoft.com/office/drawing/2014/main" id="{BF329E3C-3877-4AF0-8708-A33B3817C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391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</xdr:row>
      <xdr:rowOff>0</xdr:rowOff>
    </xdr:from>
    <xdr:to>
      <xdr:col>13</xdr:col>
      <xdr:colOff>0</xdr:colOff>
      <xdr:row>349</xdr:row>
      <xdr:rowOff>148590</xdr:rowOff>
    </xdr:to>
    <xdr:pic>
      <xdr:nvPicPr>
        <xdr:cNvPr id="760" name="Imagen 759" descr="Ver detalle">
          <a:hlinkClick xmlns:r="http://schemas.openxmlformats.org/officeDocument/2006/relationships" r:id="rId710" tooltip="Ver detalle"/>
          <a:extLst>
            <a:ext uri="{FF2B5EF4-FFF2-40B4-BE49-F238E27FC236}">
              <a16:creationId xmlns:a16="http://schemas.microsoft.com/office/drawing/2014/main" id="{8AC1DA07-165C-4B92-9AD4-33593F449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410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</xdr:row>
      <xdr:rowOff>0</xdr:rowOff>
    </xdr:from>
    <xdr:to>
      <xdr:col>13</xdr:col>
      <xdr:colOff>0</xdr:colOff>
      <xdr:row>346</xdr:row>
      <xdr:rowOff>148590</xdr:rowOff>
    </xdr:to>
    <xdr:pic>
      <xdr:nvPicPr>
        <xdr:cNvPr id="761" name="Imagen 760" descr="Ver detalle">
          <a:hlinkClick xmlns:r="http://schemas.openxmlformats.org/officeDocument/2006/relationships" r:id="rId711" tooltip="Ver detalle"/>
          <a:extLst>
            <a:ext uri="{FF2B5EF4-FFF2-40B4-BE49-F238E27FC236}">
              <a16:creationId xmlns:a16="http://schemas.microsoft.com/office/drawing/2014/main" id="{D829A3D9-26D9-4486-A40A-359B407925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430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</xdr:row>
      <xdr:rowOff>0</xdr:rowOff>
    </xdr:from>
    <xdr:to>
      <xdr:col>13</xdr:col>
      <xdr:colOff>0</xdr:colOff>
      <xdr:row>345</xdr:row>
      <xdr:rowOff>148590</xdr:rowOff>
    </xdr:to>
    <xdr:pic>
      <xdr:nvPicPr>
        <xdr:cNvPr id="762" name="Imagen 761" descr="Ver detalle">
          <a:hlinkClick xmlns:r="http://schemas.openxmlformats.org/officeDocument/2006/relationships" r:id="rId712" tooltip="Ver detalle"/>
          <a:extLst>
            <a:ext uri="{FF2B5EF4-FFF2-40B4-BE49-F238E27FC236}">
              <a16:creationId xmlns:a16="http://schemas.microsoft.com/office/drawing/2014/main" id="{1265891C-3ECE-4B82-BB39-9AAF4CB8FE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449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</xdr:row>
      <xdr:rowOff>0</xdr:rowOff>
    </xdr:from>
    <xdr:to>
      <xdr:col>13</xdr:col>
      <xdr:colOff>0</xdr:colOff>
      <xdr:row>344</xdr:row>
      <xdr:rowOff>148590</xdr:rowOff>
    </xdr:to>
    <xdr:pic>
      <xdr:nvPicPr>
        <xdr:cNvPr id="763" name="Imagen 762" descr="Ver detalle">
          <a:hlinkClick xmlns:r="http://schemas.openxmlformats.org/officeDocument/2006/relationships" r:id="rId713" tooltip="Ver detalle"/>
          <a:extLst>
            <a:ext uri="{FF2B5EF4-FFF2-40B4-BE49-F238E27FC236}">
              <a16:creationId xmlns:a16="http://schemas.microsoft.com/office/drawing/2014/main" id="{5B9489BE-5016-4009-88C8-340257659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468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</xdr:row>
      <xdr:rowOff>0</xdr:rowOff>
    </xdr:from>
    <xdr:to>
      <xdr:col>13</xdr:col>
      <xdr:colOff>0</xdr:colOff>
      <xdr:row>343</xdr:row>
      <xdr:rowOff>148590</xdr:rowOff>
    </xdr:to>
    <xdr:pic>
      <xdr:nvPicPr>
        <xdr:cNvPr id="764" name="Imagen 763" descr="Ver detalle">
          <a:hlinkClick xmlns:r="http://schemas.openxmlformats.org/officeDocument/2006/relationships" r:id="rId714" tooltip="Ver detalle"/>
          <a:extLst>
            <a:ext uri="{FF2B5EF4-FFF2-40B4-BE49-F238E27FC236}">
              <a16:creationId xmlns:a16="http://schemas.microsoft.com/office/drawing/2014/main" id="{8FFFEB7F-3C49-4F76-902F-C843CD035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487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</xdr:row>
      <xdr:rowOff>0</xdr:rowOff>
    </xdr:from>
    <xdr:to>
      <xdr:col>13</xdr:col>
      <xdr:colOff>0</xdr:colOff>
      <xdr:row>342</xdr:row>
      <xdr:rowOff>148590</xdr:rowOff>
    </xdr:to>
    <xdr:pic>
      <xdr:nvPicPr>
        <xdr:cNvPr id="765" name="Imagen 764" descr="Ver detalle">
          <a:hlinkClick xmlns:r="http://schemas.openxmlformats.org/officeDocument/2006/relationships" r:id="rId715" tooltip="Ver detalle"/>
          <a:extLst>
            <a:ext uri="{FF2B5EF4-FFF2-40B4-BE49-F238E27FC236}">
              <a16:creationId xmlns:a16="http://schemas.microsoft.com/office/drawing/2014/main" id="{EB274BB0-01C2-4DE1-B731-31FE073BE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5062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</xdr:row>
      <xdr:rowOff>0</xdr:rowOff>
    </xdr:from>
    <xdr:to>
      <xdr:col>13</xdr:col>
      <xdr:colOff>0</xdr:colOff>
      <xdr:row>341</xdr:row>
      <xdr:rowOff>148590</xdr:rowOff>
    </xdr:to>
    <xdr:pic>
      <xdr:nvPicPr>
        <xdr:cNvPr id="766" name="Imagen 765" descr="Ver detalle">
          <a:hlinkClick xmlns:r="http://schemas.openxmlformats.org/officeDocument/2006/relationships" r:id="rId716" tooltip="Ver detalle"/>
          <a:extLst>
            <a:ext uri="{FF2B5EF4-FFF2-40B4-BE49-F238E27FC236}">
              <a16:creationId xmlns:a16="http://schemas.microsoft.com/office/drawing/2014/main" id="{874F16AA-479F-4268-B787-A744BFC81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525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</xdr:row>
      <xdr:rowOff>0</xdr:rowOff>
    </xdr:from>
    <xdr:to>
      <xdr:col>13</xdr:col>
      <xdr:colOff>0</xdr:colOff>
      <xdr:row>386</xdr:row>
      <xdr:rowOff>114300</xdr:rowOff>
    </xdr:to>
    <xdr:pic>
      <xdr:nvPicPr>
        <xdr:cNvPr id="767" name="Imagen 766" descr="Ver detalle">
          <a:hlinkClick xmlns:r="http://schemas.openxmlformats.org/officeDocument/2006/relationships" r:id="rId717" tooltip="Ver detalle"/>
          <a:extLst>
            <a:ext uri="{FF2B5EF4-FFF2-40B4-BE49-F238E27FC236}">
              <a16:creationId xmlns:a16="http://schemas.microsoft.com/office/drawing/2014/main" id="{2F77DA6B-E1E0-480E-A761-C87ED1500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7022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</xdr:row>
      <xdr:rowOff>0</xdr:rowOff>
    </xdr:from>
    <xdr:to>
      <xdr:col>13</xdr:col>
      <xdr:colOff>0</xdr:colOff>
      <xdr:row>384</xdr:row>
      <xdr:rowOff>114300</xdr:rowOff>
    </xdr:to>
    <xdr:pic>
      <xdr:nvPicPr>
        <xdr:cNvPr id="768" name="Imagen 767" descr="Ver detalle">
          <a:hlinkClick xmlns:r="http://schemas.openxmlformats.org/officeDocument/2006/relationships" r:id="rId718" tooltip="Ver detalle"/>
          <a:extLst>
            <a:ext uri="{FF2B5EF4-FFF2-40B4-BE49-F238E27FC236}">
              <a16:creationId xmlns:a16="http://schemas.microsoft.com/office/drawing/2014/main" id="{B1867692-B509-4BFF-B083-4B2962F1E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7266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</xdr:row>
      <xdr:rowOff>0</xdr:rowOff>
    </xdr:from>
    <xdr:to>
      <xdr:col>13</xdr:col>
      <xdr:colOff>0</xdr:colOff>
      <xdr:row>385</xdr:row>
      <xdr:rowOff>114300</xdr:rowOff>
    </xdr:to>
    <xdr:pic>
      <xdr:nvPicPr>
        <xdr:cNvPr id="769" name="Imagen 768" descr="Ver detalle">
          <a:hlinkClick xmlns:r="http://schemas.openxmlformats.org/officeDocument/2006/relationships" r:id="rId719" tooltip="Ver detalle"/>
          <a:extLst>
            <a:ext uri="{FF2B5EF4-FFF2-40B4-BE49-F238E27FC236}">
              <a16:creationId xmlns:a16="http://schemas.microsoft.com/office/drawing/2014/main" id="{58A679DD-73C3-42FC-8747-CFB9962C9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7510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</xdr:row>
      <xdr:rowOff>0</xdr:rowOff>
    </xdr:from>
    <xdr:to>
      <xdr:col>13</xdr:col>
      <xdr:colOff>0</xdr:colOff>
      <xdr:row>389</xdr:row>
      <xdr:rowOff>114300</xdr:rowOff>
    </xdr:to>
    <xdr:pic>
      <xdr:nvPicPr>
        <xdr:cNvPr id="770" name="Imagen 769" descr="Ver detalle">
          <a:hlinkClick xmlns:r="http://schemas.openxmlformats.org/officeDocument/2006/relationships" r:id="rId720" tooltip="Ver detalle"/>
          <a:extLst>
            <a:ext uri="{FF2B5EF4-FFF2-40B4-BE49-F238E27FC236}">
              <a16:creationId xmlns:a16="http://schemas.microsoft.com/office/drawing/2014/main" id="{D903FC44-9223-4306-B72B-BFAF84E42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7624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</xdr:row>
      <xdr:rowOff>0</xdr:rowOff>
    </xdr:from>
    <xdr:to>
      <xdr:col>13</xdr:col>
      <xdr:colOff>0</xdr:colOff>
      <xdr:row>387</xdr:row>
      <xdr:rowOff>114300</xdr:rowOff>
    </xdr:to>
    <xdr:pic>
      <xdr:nvPicPr>
        <xdr:cNvPr id="771" name="Imagen 770" descr="Ver detalle">
          <a:hlinkClick xmlns:r="http://schemas.openxmlformats.org/officeDocument/2006/relationships" r:id="rId721" tooltip="Ver detalle"/>
          <a:extLst>
            <a:ext uri="{FF2B5EF4-FFF2-40B4-BE49-F238E27FC236}">
              <a16:creationId xmlns:a16="http://schemas.microsoft.com/office/drawing/2014/main" id="{08E29B93-FA18-429F-B0D3-83F07B04A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7755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380</xdr:row>
      <xdr:rowOff>0</xdr:rowOff>
    </xdr:from>
    <xdr:to>
      <xdr:col>13</xdr:col>
      <xdr:colOff>0</xdr:colOff>
      <xdr:row>381</xdr:row>
      <xdr:rowOff>114300</xdr:rowOff>
    </xdr:to>
    <xdr:pic>
      <xdr:nvPicPr>
        <xdr:cNvPr id="772" name="Imagen 771" descr="Ver detalle">
          <a:hlinkClick xmlns:r="http://schemas.openxmlformats.org/officeDocument/2006/relationships" r:id="rId722" tooltip="Ver detalle"/>
          <a:extLst>
            <a:ext uri="{FF2B5EF4-FFF2-40B4-BE49-F238E27FC236}">
              <a16:creationId xmlns:a16="http://schemas.microsoft.com/office/drawing/2014/main" id="{7CD4BB10-E004-4E7A-8472-F5221E31B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7885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</xdr:row>
      <xdr:rowOff>0</xdr:rowOff>
    </xdr:from>
    <xdr:to>
      <xdr:col>13</xdr:col>
      <xdr:colOff>0</xdr:colOff>
      <xdr:row>383</xdr:row>
      <xdr:rowOff>114300</xdr:rowOff>
    </xdr:to>
    <xdr:pic>
      <xdr:nvPicPr>
        <xdr:cNvPr id="773" name="Imagen 772" descr="Ver detalle">
          <a:hlinkClick xmlns:r="http://schemas.openxmlformats.org/officeDocument/2006/relationships" r:id="rId723" tooltip="Ver detalle"/>
          <a:extLst>
            <a:ext uri="{FF2B5EF4-FFF2-40B4-BE49-F238E27FC236}">
              <a16:creationId xmlns:a16="http://schemas.microsoft.com/office/drawing/2014/main" id="{A5A34DDA-76CB-4087-B1CA-3EC18F80F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8129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</xdr:row>
      <xdr:rowOff>0</xdr:rowOff>
    </xdr:from>
    <xdr:to>
      <xdr:col>13</xdr:col>
      <xdr:colOff>0</xdr:colOff>
      <xdr:row>378</xdr:row>
      <xdr:rowOff>114300</xdr:rowOff>
    </xdr:to>
    <xdr:pic>
      <xdr:nvPicPr>
        <xdr:cNvPr id="774" name="Imagen 773" descr="Ver detalle">
          <a:hlinkClick xmlns:r="http://schemas.openxmlformats.org/officeDocument/2006/relationships" r:id="rId724" tooltip="Ver detalle"/>
          <a:extLst>
            <a:ext uri="{FF2B5EF4-FFF2-40B4-BE49-F238E27FC236}">
              <a16:creationId xmlns:a16="http://schemas.microsoft.com/office/drawing/2014/main" id="{A6D7E6FE-FBE8-4DAC-BA52-FE75A93E6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8373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</xdr:row>
      <xdr:rowOff>0</xdr:rowOff>
    </xdr:from>
    <xdr:to>
      <xdr:col>13</xdr:col>
      <xdr:colOff>0</xdr:colOff>
      <xdr:row>426</xdr:row>
      <xdr:rowOff>110490</xdr:rowOff>
    </xdr:to>
    <xdr:pic>
      <xdr:nvPicPr>
        <xdr:cNvPr id="775" name="Imagen 774" descr="Ver detalle">
          <a:hlinkClick xmlns:r="http://schemas.openxmlformats.org/officeDocument/2006/relationships" r:id="rId725" tooltip="Ver detalle"/>
          <a:extLst>
            <a:ext uri="{FF2B5EF4-FFF2-40B4-BE49-F238E27FC236}">
              <a16:creationId xmlns:a16="http://schemas.microsoft.com/office/drawing/2014/main" id="{6988C3F7-5D6F-4923-8E5C-0F9FE4399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861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424</xdr:row>
      <xdr:rowOff>0</xdr:rowOff>
    </xdr:from>
    <xdr:to>
      <xdr:col>13</xdr:col>
      <xdr:colOff>0</xdr:colOff>
      <xdr:row>425</xdr:row>
      <xdr:rowOff>114300</xdr:rowOff>
    </xdr:to>
    <xdr:pic>
      <xdr:nvPicPr>
        <xdr:cNvPr id="776" name="Imagen 775" descr="Ver detalle">
          <a:hlinkClick xmlns:r="http://schemas.openxmlformats.org/officeDocument/2006/relationships" r:id="rId726" tooltip="Ver detalle"/>
          <a:extLst>
            <a:ext uri="{FF2B5EF4-FFF2-40B4-BE49-F238E27FC236}">
              <a16:creationId xmlns:a16="http://schemas.microsoft.com/office/drawing/2014/main" id="{C4AFA59F-9C69-4D54-A701-8394A9138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8731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</xdr:row>
      <xdr:rowOff>0</xdr:rowOff>
    </xdr:from>
    <xdr:to>
      <xdr:col>13</xdr:col>
      <xdr:colOff>0</xdr:colOff>
      <xdr:row>375</xdr:row>
      <xdr:rowOff>114300</xdr:rowOff>
    </xdr:to>
    <xdr:pic>
      <xdr:nvPicPr>
        <xdr:cNvPr id="777" name="Imagen 776" descr="Ver detalle">
          <a:hlinkClick xmlns:r="http://schemas.openxmlformats.org/officeDocument/2006/relationships" r:id="rId727" tooltip="Ver detalle"/>
          <a:extLst>
            <a:ext uri="{FF2B5EF4-FFF2-40B4-BE49-F238E27FC236}">
              <a16:creationId xmlns:a16="http://schemas.microsoft.com/office/drawing/2014/main" id="{BF108CDA-5588-4323-9A94-B01AE234E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8975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</xdr:row>
      <xdr:rowOff>0</xdr:rowOff>
    </xdr:from>
    <xdr:to>
      <xdr:col>13</xdr:col>
      <xdr:colOff>0</xdr:colOff>
      <xdr:row>380</xdr:row>
      <xdr:rowOff>114300</xdr:rowOff>
    </xdr:to>
    <xdr:pic>
      <xdr:nvPicPr>
        <xdr:cNvPr id="778" name="Imagen 777" descr="Ver detalle">
          <a:hlinkClick xmlns:r="http://schemas.openxmlformats.org/officeDocument/2006/relationships" r:id="rId728" tooltip="Ver detalle"/>
          <a:extLst>
            <a:ext uri="{FF2B5EF4-FFF2-40B4-BE49-F238E27FC236}">
              <a16:creationId xmlns:a16="http://schemas.microsoft.com/office/drawing/2014/main" id="{644A3DA6-24DD-4B60-8BE5-F904795D8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9089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</xdr:row>
      <xdr:rowOff>0</xdr:rowOff>
    </xdr:from>
    <xdr:to>
      <xdr:col>13</xdr:col>
      <xdr:colOff>0</xdr:colOff>
      <xdr:row>374</xdr:row>
      <xdr:rowOff>114300</xdr:rowOff>
    </xdr:to>
    <xdr:pic>
      <xdr:nvPicPr>
        <xdr:cNvPr id="779" name="Imagen 778" descr="Ver detalle">
          <a:hlinkClick xmlns:r="http://schemas.openxmlformats.org/officeDocument/2006/relationships" r:id="rId729" tooltip="Ver detalle"/>
          <a:extLst>
            <a:ext uri="{FF2B5EF4-FFF2-40B4-BE49-F238E27FC236}">
              <a16:creationId xmlns:a16="http://schemas.microsoft.com/office/drawing/2014/main" id="{851F304F-092B-405A-BD56-6EF258837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922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</xdr:row>
      <xdr:rowOff>0</xdr:rowOff>
    </xdr:from>
    <xdr:to>
      <xdr:col>13</xdr:col>
      <xdr:colOff>0</xdr:colOff>
      <xdr:row>379</xdr:row>
      <xdr:rowOff>114300</xdr:rowOff>
    </xdr:to>
    <xdr:pic>
      <xdr:nvPicPr>
        <xdr:cNvPr id="780" name="Imagen 779" descr="Ver detalle">
          <a:hlinkClick xmlns:r="http://schemas.openxmlformats.org/officeDocument/2006/relationships" r:id="rId730" tooltip="Ver detalle"/>
          <a:extLst>
            <a:ext uri="{FF2B5EF4-FFF2-40B4-BE49-F238E27FC236}">
              <a16:creationId xmlns:a16="http://schemas.microsoft.com/office/drawing/2014/main" id="{F92257AD-A1B9-4422-931F-A19053436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9464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</xdr:row>
      <xdr:rowOff>0</xdr:rowOff>
    </xdr:from>
    <xdr:to>
      <xdr:col>13</xdr:col>
      <xdr:colOff>0</xdr:colOff>
      <xdr:row>376</xdr:row>
      <xdr:rowOff>114300</xdr:rowOff>
    </xdr:to>
    <xdr:pic>
      <xdr:nvPicPr>
        <xdr:cNvPr id="781" name="Imagen 780" descr="Ver detalle">
          <a:hlinkClick xmlns:r="http://schemas.openxmlformats.org/officeDocument/2006/relationships" r:id="rId731" tooltip="Ver detalle"/>
          <a:extLst>
            <a:ext uri="{FF2B5EF4-FFF2-40B4-BE49-F238E27FC236}">
              <a16:creationId xmlns:a16="http://schemas.microsoft.com/office/drawing/2014/main" id="{965EFEF1-FC91-41B2-BD55-462EB7FC2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9578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381</xdr:row>
      <xdr:rowOff>0</xdr:rowOff>
    </xdr:from>
    <xdr:to>
      <xdr:col>13</xdr:col>
      <xdr:colOff>0</xdr:colOff>
      <xdr:row>382</xdr:row>
      <xdr:rowOff>114300</xdr:rowOff>
    </xdr:to>
    <xdr:pic>
      <xdr:nvPicPr>
        <xdr:cNvPr id="782" name="Imagen 781" descr="Ver detalle">
          <a:hlinkClick xmlns:r="http://schemas.openxmlformats.org/officeDocument/2006/relationships" r:id="rId732" tooltip="Ver detalle"/>
          <a:extLst>
            <a:ext uri="{FF2B5EF4-FFF2-40B4-BE49-F238E27FC236}">
              <a16:creationId xmlns:a16="http://schemas.microsoft.com/office/drawing/2014/main" id="{228ADCC4-2937-4C63-8B84-CB1B1DD2E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9708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376</xdr:row>
      <xdr:rowOff>0</xdr:rowOff>
    </xdr:from>
    <xdr:to>
      <xdr:col>13</xdr:col>
      <xdr:colOff>0</xdr:colOff>
      <xdr:row>377</xdr:row>
      <xdr:rowOff>114300</xdr:rowOff>
    </xdr:to>
    <xdr:pic>
      <xdr:nvPicPr>
        <xdr:cNvPr id="783" name="Imagen 782" descr="Ver detalle">
          <a:hlinkClick xmlns:r="http://schemas.openxmlformats.org/officeDocument/2006/relationships" r:id="rId733" tooltip="Ver detalle"/>
          <a:extLst>
            <a:ext uri="{FF2B5EF4-FFF2-40B4-BE49-F238E27FC236}">
              <a16:creationId xmlns:a16="http://schemas.microsoft.com/office/drawing/2014/main" id="{82357B55-7E22-4A10-B173-C5B32AADD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9871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</xdr:row>
      <xdr:rowOff>0</xdr:rowOff>
    </xdr:from>
    <xdr:to>
      <xdr:col>13</xdr:col>
      <xdr:colOff>0</xdr:colOff>
      <xdr:row>423</xdr:row>
      <xdr:rowOff>114300</xdr:rowOff>
    </xdr:to>
    <xdr:pic>
      <xdr:nvPicPr>
        <xdr:cNvPr id="784" name="Imagen 783" descr="Ver detalle">
          <a:hlinkClick xmlns:r="http://schemas.openxmlformats.org/officeDocument/2006/relationships" r:id="rId734" tooltip="Ver detalle"/>
          <a:extLst>
            <a:ext uri="{FF2B5EF4-FFF2-40B4-BE49-F238E27FC236}">
              <a16:creationId xmlns:a16="http://schemas.microsoft.com/office/drawing/2014/main" id="{1E16D96D-F83A-4349-BFBE-D50B6CDC1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0002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</xdr:row>
      <xdr:rowOff>0</xdr:rowOff>
    </xdr:from>
    <xdr:to>
      <xdr:col>13</xdr:col>
      <xdr:colOff>0</xdr:colOff>
      <xdr:row>424</xdr:row>
      <xdr:rowOff>114300</xdr:rowOff>
    </xdr:to>
    <xdr:pic>
      <xdr:nvPicPr>
        <xdr:cNvPr id="785" name="Imagen 784" descr="Ver detalle">
          <a:hlinkClick xmlns:r="http://schemas.openxmlformats.org/officeDocument/2006/relationships" r:id="rId735" tooltip="Ver detalle"/>
          <a:extLst>
            <a:ext uri="{FF2B5EF4-FFF2-40B4-BE49-F238E27FC236}">
              <a16:creationId xmlns:a16="http://schemas.microsoft.com/office/drawing/2014/main" id="{6B389599-F2CF-4C8B-A71E-F7065522A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0246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</xdr:row>
      <xdr:rowOff>0</xdr:rowOff>
    </xdr:from>
    <xdr:to>
      <xdr:col>13</xdr:col>
      <xdr:colOff>0</xdr:colOff>
      <xdr:row>366</xdr:row>
      <xdr:rowOff>114300</xdr:rowOff>
    </xdr:to>
    <xdr:pic>
      <xdr:nvPicPr>
        <xdr:cNvPr id="786" name="Imagen 785" descr="Ver detalle">
          <a:hlinkClick xmlns:r="http://schemas.openxmlformats.org/officeDocument/2006/relationships" r:id="rId736" tooltip="Ver detalle"/>
          <a:extLst>
            <a:ext uri="{FF2B5EF4-FFF2-40B4-BE49-F238E27FC236}">
              <a16:creationId xmlns:a16="http://schemas.microsoft.com/office/drawing/2014/main" id="{816D730F-A244-466F-9B57-F56B2ADEB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0489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389</xdr:row>
      <xdr:rowOff>0</xdr:rowOff>
    </xdr:from>
    <xdr:to>
      <xdr:col>13</xdr:col>
      <xdr:colOff>0</xdr:colOff>
      <xdr:row>390</xdr:row>
      <xdr:rowOff>110490</xdr:rowOff>
    </xdr:to>
    <xdr:pic>
      <xdr:nvPicPr>
        <xdr:cNvPr id="787" name="Imagen 786" descr="Ver detalle">
          <a:hlinkClick xmlns:r="http://schemas.openxmlformats.org/officeDocument/2006/relationships" r:id="rId737" tooltip="Ver detalle"/>
          <a:extLst>
            <a:ext uri="{FF2B5EF4-FFF2-40B4-BE49-F238E27FC236}">
              <a16:creationId xmlns:a16="http://schemas.microsoft.com/office/drawing/2014/main" id="{48FDDFE3-C247-4CF5-BB22-294CA2C19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0733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372</xdr:row>
      <xdr:rowOff>0</xdr:rowOff>
    </xdr:from>
    <xdr:to>
      <xdr:col>13</xdr:col>
      <xdr:colOff>0</xdr:colOff>
      <xdr:row>373</xdr:row>
      <xdr:rowOff>114300</xdr:rowOff>
    </xdr:to>
    <xdr:pic>
      <xdr:nvPicPr>
        <xdr:cNvPr id="788" name="Imagen 787" descr="Ver detalle">
          <a:hlinkClick xmlns:r="http://schemas.openxmlformats.org/officeDocument/2006/relationships" r:id="rId738" tooltip="Ver detalle"/>
          <a:extLst>
            <a:ext uri="{FF2B5EF4-FFF2-40B4-BE49-F238E27FC236}">
              <a16:creationId xmlns:a16="http://schemas.microsoft.com/office/drawing/2014/main" id="{FDA570FA-309D-4CF6-A937-AE1D73979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089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371</xdr:row>
      <xdr:rowOff>0</xdr:rowOff>
    </xdr:from>
    <xdr:to>
      <xdr:col>13</xdr:col>
      <xdr:colOff>0</xdr:colOff>
      <xdr:row>372</xdr:row>
      <xdr:rowOff>114300</xdr:rowOff>
    </xdr:to>
    <xdr:pic>
      <xdr:nvPicPr>
        <xdr:cNvPr id="789" name="Imagen 788" descr="Ver detalle">
          <a:hlinkClick xmlns:r="http://schemas.openxmlformats.org/officeDocument/2006/relationships" r:id="rId739" tooltip="Ver detalle"/>
          <a:extLst>
            <a:ext uri="{FF2B5EF4-FFF2-40B4-BE49-F238E27FC236}">
              <a16:creationId xmlns:a16="http://schemas.microsoft.com/office/drawing/2014/main" id="{21DE7D4E-9D80-4425-8916-19BD0CC7C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1027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</xdr:row>
      <xdr:rowOff>0</xdr:rowOff>
    </xdr:from>
    <xdr:to>
      <xdr:col>13</xdr:col>
      <xdr:colOff>0</xdr:colOff>
      <xdr:row>371</xdr:row>
      <xdr:rowOff>114300</xdr:rowOff>
    </xdr:to>
    <xdr:pic>
      <xdr:nvPicPr>
        <xdr:cNvPr id="790" name="Imagen 789" descr="Ver detalle">
          <a:hlinkClick xmlns:r="http://schemas.openxmlformats.org/officeDocument/2006/relationships" r:id="rId740" tooltip="Ver detalle"/>
          <a:extLst>
            <a:ext uri="{FF2B5EF4-FFF2-40B4-BE49-F238E27FC236}">
              <a16:creationId xmlns:a16="http://schemas.microsoft.com/office/drawing/2014/main" id="{B8E574B3-DD7D-464E-A46C-D69B698A1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1157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</xdr:row>
      <xdr:rowOff>0</xdr:rowOff>
    </xdr:from>
    <xdr:to>
      <xdr:col>13</xdr:col>
      <xdr:colOff>0</xdr:colOff>
      <xdr:row>413</xdr:row>
      <xdr:rowOff>114300</xdr:rowOff>
    </xdr:to>
    <xdr:pic>
      <xdr:nvPicPr>
        <xdr:cNvPr id="791" name="Imagen 790" descr="Ver detalle">
          <a:hlinkClick xmlns:r="http://schemas.openxmlformats.org/officeDocument/2006/relationships" r:id="rId741" tooltip="Ver detalle"/>
          <a:extLst>
            <a:ext uri="{FF2B5EF4-FFF2-40B4-BE49-F238E27FC236}">
              <a16:creationId xmlns:a16="http://schemas.microsoft.com/office/drawing/2014/main" id="{415A0193-CED0-438C-8348-63CE7651E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153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</xdr:row>
      <xdr:rowOff>0</xdr:rowOff>
    </xdr:from>
    <xdr:to>
      <xdr:col>13</xdr:col>
      <xdr:colOff>0</xdr:colOff>
      <xdr:row>412</xdr:row>
      <xdr:rowOff>114300</xdr:rowOff>
    </xdr:to>
    <xdr:pic>
      <xdr:nvPicPr>
        <xdr:cNvPr id="792" name="Imagen 791" descr="Ver detalle">
          <a:hlinkClick xmlns:r="http://schemas.openxmlformats.org/officeDocument/2006/relationships" r:id="rId742" tooltip="Ver detalle"/>
          <a:extLst>
            <a:ext uri="{FF2B5EF4-FFF2-40B4-BE49-F238E27FC236}">
              <a16:creationId xmlns:a16="http://schemas.microsoft.com/office/drawing/2014/main" id="{C8A8B8DA-0307-44E0-81AC-D6E80FCED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1775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410</xdr:row>
      <xdr:rowOff>0</xdr:rowOff>
    </xdr:from>
    <xdr:to>
      <xdr:col>13</xdr:col>
      <xdr:colOff>0</xdr:colOff>
      <xdr:row>411</xdr:row>
      <xdr:rowOff>114300</xdr:rowOff>
    </xdr:to>
    <xdr:pic>
      <xdr:nvPicPr>
        <xdr:cNvPr id="793" name="Imagen 792" descr="Ver detalle">
          <a:hlinkClick xmlns:r="http://schemas.openxmlformats.org/officeDocument/2006/relationships" r:id="rId743" tooltip="Ver detalle"/>
          <a:extLst>
            <a:ext uri="{FF2B5EF4-FFF2-40B4-BE49-F238E27FC236}">
              <a16:creationId xmlns:a16="http://schemas.microsoft.com/office/drawing/2014/main" id="{8E1B6369-15FE-402E-8C31-5EBB21F97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019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</xdr:row>
      <xdr:rowOff>0</xdr:rowOff>
    </xdr:from>
    <xdr:to>
      <xdr:col>13</xdr:col>
      <xdr:colOff>0</xdr:colOff>
      <xdr:row>421</xdr:row>
      <xdr:rowOff>114300</xdr:rowOff>
    </xdr:to>
    <xdr:pic>
      <xdr:nvPicPr>
        <xdr:cNvPr id="794" name="Imagen 793" descr="Ver detalle">
          <a:hlinkClick xmlns:r="http://schemas.openxmlformats.org/officeDocument/2006/relationships" r:id="rId744" tooltip="Ver detalle"/>
          <a:extLst>
            <a:ext uri="{FF2B5EF4-FFF2-40B4-BE49-F238E27FC236}">
              <a16:creationId xmlns:a16="http://schemas.microsoft.com/office/drawing/2014/main" id="{463C16F4-1B52-4FA7-AC9E-B27ADCC82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263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409</xdr:row>
      <xdr:rowOff>0</xdr:rowOff>
    </xdr:from>
    <xdr:to>
      <xdr:col>13</xdr:col>
      <xdr:colOff>0</xdr:colOff>
      <xdr:row>410</xdr:row>
      <xdr:rowOff>114300</xdr:rowOff>
    </xdr:to>
    <xdr:pic>
      <xdr:nvPicPr>
        <xdr:cNvPr id="795" name="Imagen 794" descr="Ver detalle">
          <a:hlinkClick xmlns:r="http://schemas.openxmlformats.org/officeDocument/2006/relationships" r:id="rId745" tooltip="Ver detalle"/>
          <a:extLst>
            <a:ext uri="{FF2B5EF4-FFF2-40B4-BE49-F238E27FC236}">
              <a16:creationId xmlns:a16="http://schemas.microsoft.com/office/drawing/2014/main" id="{7C8A25CB-1AC7-4AF3-931D-BA231359C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507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</xdr:row>
      <xdr:rowOff>0</xdr:rowOff>
    </xdr:from>
    <xdr:to>
      <xdr:col>13</xdr:col>
      <xdr:colOff>0</xdr:colOff>
      <xdr:row>409</xdr:row>
      <xdr:rowOff>114300</xdr:rowOff>
    </xdr:to>
    <xdr:pic>
      <xdr:nvPicPr>
        <xdr:cNvPr id="796" name="Imagen 795" descr="Ver detalle">
          <a:hlinkClick xmlns:r="http://schemas.openxmlformats.org/officeDocument/2006/relationships" r:id="rId746" tooltip="Ver detalle"/>
          <a:extLst>
            <a:ext uri="{FF2B5EF4-FFF2-40B4-BE49-F238E27FC236}">
              <a16:creationId xmlns:a16="http://schemas.microsoft.com/office/drawing/2014/main" id="{E29359BC-E509-4ED9-A464-27D8CA7D1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75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</xdr:row>
      <xdr:rowOff>0</xdr:rowOff>
    </xdr:from>
    <xdr:to>
      <xdr:col>13</xdr:col>
      <xdr:colOff>0</xdr:colOff>
      <xdr:row>408</xdr:row>
      <xdr:rowOff>114300</xdr:rowOff>
    </xdr:to>
    <xdr:pic>
      <xdr:nvPicPr>
        <xdr:cNvPr id="797" name="Imagen 796" descr="Ver detalle">
          <a:hlinkClick xmlns:r="http://schemas.openxmlformats.org/officeDocument/2006/relationships" r:id="rId747" tooltip="Ver detalle"/>
          <a:extLst>
            <a:ext uri="{FF2B5EF4-FFF2-40B4-BE49-F238E27FC236}">
              <a16:creationId xmlns:a16="http://schemas.microsoft.com/office/drawing/2014/main" id="{C65787F1-C654-4C7B-A226-1B2DB4B94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930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406</xdr:row>
      <xdr:rowOff>0</xdr:rowOff>
    </xdr:from>
    <xdr:to>
      <xdr:col>13</xdr:col>
      <xdr:colOff>0</xdr:colOff>
      <xdr:row>407</xdr:row>
      <xdr:rowOff>114300</xdr:rowOff>
    </xdr:to>
    <xdr:pic>
      <xdr:nvPicPr>
        <xdr:cNvPr id="798" name="Imagen 797" descr="Ver detalle">
          <a:hlinkClick xmlns:r="http://schemas.openxmlformats.org/officeDocument/2006/relationships" r:id="rId748" tooltip="Ver detalle"/>
          <a:extLst>
            <a:ext uri="{FF2B5EF4-FFF2-40B4-BE49-F238E27FC236}">
              <a16:creationId xmlns:a16="http://schemas.microsoft.com/office/drawing/2014/main" id="{8E658E28-A7B0-49D6-A487-1C02BC91F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3044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</xdr:row>
      <xdr:rowOff>0</xdr:rowOff>
    </xdr:from>
    <xdr:to>
      <xdr:col>13</xdr:col>
      <xdr:colOff>0</xdr:colOff>
      <xdr:row>365</xdr:row>
      <xdr:rowOff>114300</xdr:rowOff>
    </xdr:to>
    <xdr:pic>
      <xdr:nvPicPr>
        <xdr:cNvPr id="799" name="Imagen 798" descr="Ver detalle">
          <a:hlinkClick xmlns:r="http://schemas.openxmlformats.org/officeDocument/2006/relationships" r:id="rId749" tooltip="Ver detalle"/>
          <a:extLst>
            <a:ext uri="{FF2B5EF4-FFF2-40B4-BE49-F238E27FC236}">
              <a16:creationId xmlns:a16="http://schemas.microsoft.com/office/drawing/2014/main" id="{F770FA5E-226A-45F3-9680-2E9CD4440A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3158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367</xdr:row>
      <xdr:rowOff>0</xdr:rowOff>
    </xdr:from>
    <xdr:to>
      <xdr:col>13</xdr:col>
      <xdr:colOff>0</xdr:colOff>
      <xdr:row>368</xdr:row>
      <xdr:rowOff>114300</xdr:rowOff>
    </xdr:to>
    <xdr:pic>
      <xdr:nvPicPr>
        <xdr:cNvPr id="800" name="Imagen 799" descr="Ver detalle">
          <a:hlinkClick xmlns:r="http://schemas.openxmlformats.org/officeDocument/2006/relationships" r:id="rId750" tooltip="Ver detalle"/>
          <a:extLst>
            <a:ext uri="{FF2B5EF4-FFF2-40B4-BE49-F238E27FC236}">
              <a16:creationId xmlns:a16="http://schemas.microsoft.com/office/drawing/2014/main" id="{8B195085-20A9-41E6-B7D3-67E624AC8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3402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387</xdr:row>
      <xdr:rowOff>0</xdr:rowOff>
    </xdr:from>
    <xdr:to>
      <xdr:col>13</xdr:col>
      <xdr:colOff>0</xdr:colOff>
      <xdr:row>388</xdr:row>
      <xdr:rowOff>114300</xdr:rowOff>
    </xdr:to>
    <xdr:pic>
      <xdr:nvPicPr>
        <xdr:cNvPr id="801" name="Imagen 800" descr="Ver detalle">
          <a:hlinkClick xmlns:r="http://schemas.openxmlformats.org/officeDocument/2006/relationships" r:id="rId751" tooltip="Ver detalle"/>
          <a:extLst>
            <a:ext uri="{FF2B5EF4-FFF2-40B4-BE49-F238E27FC236}">
              <a16:creationId xmlns:a16="http://schemas.microsoft.com/office/drawing/2014/main" id="{B7578265-D2BD-4F1C-9DF7-28DE4934E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3646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</xdr:row>
      <xdr:rowOff>0</xdr:rowOff>
    </xdr:from>
    <xdr:to>
      <xdr:col>13</xdr:col>
      <xdr:colOff>0</xdr:colOff>
      <xdr:row>406</xdr:row>
      <xdr:rowOff>114300</xdr:rowOff>
    </xdr:to>
    <xdr:pic>
      <xdr:nvPicPr>
        <xdr:cNvPr id="802" name="Imagen 801" descr="Ver detalle">
          <a:hlinkClick xmlns:r="http://schemas.openxmlformats.org/officeDocument/2006/relationships" r:id="rId752" tooltip="Ver detalle"/>
          <a:extLst>
            <a:ext uri="{FF2B5EF4-FFF2-40B4-BE49-F238E27FC236}">
              <a16:creationId xmlns:a16="http://schemas.microsoft.com/office/drawing/2014/main" id="{902C2B4E-C13D-4AD7-8301-AFD20C84C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3760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</xdr:row>
      <xdr:rowOff>0</xdr:rowOff>
    </xdr:from>
    <xdr:to>
      <xdr:col>13</xdr:col>
      <xdr:colOff>0</xdr:colOff>
      <xdr:row>405</xdr:row>
      <xdr:rowOff>114300</xdr:rowOff>
    </xdr:to>
    <xdr:pic>
      <xdr:nvPicPr>
        <xdr:cNvPr id="803" name="Imagen 802" descr="Ver detalle">
          <a:hlinkClick xmlns:r="http://schemas.openxmlformats.org/officeDocument/2006/relationships" r:id="rId753" tooltip="Ver detalle"/>
          <a:extLst>
            <a:ext uri="{FF2B5EF4-FFF2-40B4-BE49-F238E27FC236}">
              <a16:creationId xmlns:a16="http://schemas.microsoft.com/office/drawing/2014/main" id="{8FB49551-956D-4CF1-B130-3FA51702E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3907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</xdr:row>
      <xdr:rowOff>0</xdr:rowOff>
    </xdr:from>
    <xdr:to>
      <xdr:col>13</xdr:col>
      <xdr:colOff>0</xdr:colOff>
      <xdr:row>404</xdr:row>
      <xdr:rowOff>114300</xdr:rowOff>
    </xdr:to>
    <xdr:pic>
      <xdr:nvPicPr>
        <xdr:cNvPr id="804" name="Imagen 803" descr="Ver detalle">
          <a:hlinkClick xmlns:r="http://schemas.openxmlformats.org/officeDocument/2006/relationships" r:id="rId754" tooltip="Ver detalle"/>
          <a:extLst>
            <a:ext uri="{FF2B5EF4-FFF2-40B4-BE49-F238E27FC236}">
              <a16:creationId xmlns:a16="http://schemas.microsoft.com/office/drawing/2014/main" id="{CC0CB56E-B959-4B7E-8414-B67B196BB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4151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400</xdr:row>
      <xdr:rowOff>0</xdr:rowOff>
    </xdr:from>
    <xdr:to>
      <xdr:col>13</xdr:col>
      <xdr:colOff>0</xdr:colOff>
      <xdr:row>401</xdr:row>
      <xdr:rowOff>114300</xdr:rowOff>
    </xdr:to>
    <xdr:pic>
      <xdr:nvPicPr>
        <xdr:cNvPr id="805" name="Imagen 804" descr="Ver detalle">
          <a:hlinkClick xmlns:r="http://schemas.openxmlformats.org/officeDocument/2006/relationships" r:id="rId755" tooltip="Ver detalle"/>
          <a:extLst>
            <a:ext uri="{FF2B5EF4-FFF2-40B4-BE49-F238E27FC236}">
              <a16:creationId xmlns:a16="http://schemas.microsoft.com/office/drawing/2014/main" id="{DBBBF476-D9E3-471A-A488-44AD54393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4395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</xdr:row>
      <xdr:rowOff>0</xdr:rowOff>
    </xdr:from>
    <xdr:to>
      <xdr:col>13</xdr:col>
      <xdr:colOff>0</xdr:colOff>
      <xdr:row>400</xdr:row>
      <xdr:rowOff>114300</xdr:rowOff>
    </xdr:to>
    <xdr:pic>
      <xdr:nvPicPr>
        <xdr:cNvPr id="806" name="Imagen 805" descr="Ver detalle">
          <a:hlinkClick xmlns:r="http://schemas.openxmlformats.org/officeDocument/2006/relationships" r:id="rId756" tooltip="Ver detalle"/>
          <a:extLst>
            <a:ext uri="{FF2B5EF4-FFF2-40B4-BE49-F238E27FC236}">
              <a16:creationId xmlns:a16="http://schemas.microsoft.com/office/drawing/2014/main" id="{CF9A07D9-06D0-44AB-87A0-DCEF11D9F4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4638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</xdr:row>
      <xdr:rowOff>0</xdr:rowOff>
    </xdr:from>
    <xdr:to>
      <xdr:col>13</xdr:col>
      <xdr:colOff>0</xdr:colOff>
      <xdr:row>399</xdr:row>
      <xdr:rowOff>114300</xdr:rowOff>
    </xdr:to>
    <xdr:pic>
      <xdr:nvPicPr>
        <xdr:cNvPr id="807" name="Imagen 806" descr="Ver detalle">
          <a:hlinkClick xmlns:r="http://schemas.openxmlformats.org/officeDocument/2006/relationships" r:id="rId757" tooltip="Ver detalle"/>
          <a:extLst>
            <a:ext uri="{FF2B5EF4-FFF2-40B4-BE49-F238E27FC236}">
              <a16:creationId xmlns:a16="http://schemas.microsoft.com/office/drawing/2014/main" id="{E5184790-09E0-436D-9598-2E1C174C1D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4882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368</xdr:row>
      <xdr:rowOff>0</xdr:rowOff>
    </xdr:from>
    <xdr:to>
      <xdr:col>13</xdr:col>
      <xdr:colOff>0</xdr:colOff>
      <xdr:row>369</xdr:row>
      <xdr:rowOff>114300</xdr:rowOff>
    </xdr:to>
    <xdr:pic>
      <xdr:nvPicPr>
        <xdr:cNvPr id="808" name="Imagen 807" descr="Ver detalle">
          <a:hlinkClick xmlns:r="http://schemas.openxmlformats.org/officeDocument/2006/relationships" r:id="rId758" tooltip="Ver detalle"/>
          <a:extLst>
            <a:ext uri="{FF2B5EF4-FFF2-40B4-BE49-F238E27FC236}">
              <a16:creationId xmlns:a16="http://schemas.microsoft.com/office/drawing/2014/main" id="{807311D2-0734-4898-BBFE-3C14764DE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5126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</xdr:row>
      <xdr:rowOff>0</xdr:rowOff>
    </xdr:from>
    <xdr:to>
      <xdr:col>13</xdr:col>
      <xdr:colOff>0</xdr:colOff>
      <xdr:row>370</xdr:row>
      <xdr:rowOff>114300</xdr:rowOff>
    </xdr:to>
    <xdr:pic>
      <xdr:nvPicPr>
        <xdr:cNvPr id="809" name="Imagen 808" descr="Ver detalle">
          <a:hlinkClick xmlns:r="http://schemas.openxmlformats.org/officeDocument/2006/relationships" r:id="rId759" tooltip="Ver detalle"/>
          <a:extLst>
            <a:ext uri="{FF2B5EF4-FFF2-40B4-BE49-F238E27FC236}">
              <a16:creationId xmlns:a16="http://schemas.microsoft.com/office/drawing/2014/main" id="{9FA4C304-B870-4168-A9BB-CA22F982F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5257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</xdr:row>
      <xdr:rowOff>0</xdr:rowOff>
    </xdr:from>
    <xdr:to>
      <xdr:col>13</xdr:col>
      <xdr:colOff>0</xdr:colOff>
      <xdr:row>367</xdr:row>
      <xdr:rowOff>114300</xdr:rowOff>
    </xdr:to>
    <xdr:pic>
      <xdr:nvPicPr>
        <xdr:cNvPr id="810" name="Imagen 809" descr="Ver detalle">
          <a:hlinkClick xmlns:r="http://schemas.openxmlformats.org/officeDocument/2006/relationships" r:id="rId760" tooltip="Ver detalle"/>
          <a:extLst>
            <a:ext uri="{FF2B5EF4-FFF2-40B4-BE49-F238E27FC236}">
              <a16:creationId xmlns:a16="http://schemas.microsoft.com/office/drawing/2014/main" id="{E814E6F4-B367-48E4-929A-90595DFFD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5387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395</xdr:row>
      <xdr:rowOff>0</xdr:rowOff>
    </xdr:from>
    <xdr:to>
      <xdr:col>13</xdr:col>
      <xdr:colOff>0</xdr:colOff>
      <xdr:row>396</xdr:row>
      <xdr:rowOff>114300</xdr:rowOff>
    </xdr:to>
    <xdr:pic>
      <xdr:nvPicPr>
        <xdr:cNvPr id="811" name="Imagen 810" descr="Ver detalle">
          <a:hlinkClick xmlns:r="http://schemas.openxmlformats.org/officeDocument/2006/relationships" r:id="rId761" tooltip="Ver detalle"/>
          <a:extLst>
            <a:ext uri="{FF2B5EF4-FFF2-40B4-BE49-F238E27FC236}">
              <a16:creationId xmlns:a16="http://schemas.microsoft.com/office/drawing/2014/main" id="{7EDB5CBD-8386-4A6C-B594-DD47704C8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5518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396</xdr:row>
      <xdr:rowOff>0</xdr:rowOff>
    </xdr:from>
    <xdr:to>
      <xdr:col>13</xdr:col>
      <xdr:colOff>0</xdr:colOff>
      <xdr:row>397</xdr:row>
      <xdr:rowOff>114300</xdr:rowOff>
    </xdr:to>
    <xdr:pic>
      <xdr:nvPicPr>
        <xdr:cNvPr id="812" name="Imagen 811" descr="Ver detalle">
          <a:hlinkClick xmlns:r="http://schemas.openxmlformats.org/officeDocument/2006/relationships" r:id="rId762" tooltip="Ver detalle"/>
          <a:extLst>
            <a:ext uri="{FF2B5EF4-FFF2-40B4-BE49-F238E27FC236}">
              <a16:creationId xmlns:a16="http://schemas.microsoft.com/office/drawing/2014/main" id="{1AE165D3-8E8C-49DA-873C-665108B49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5761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</xdr:row>
      <xdr:rowOff>0</xdr:rowOff>
    </xdr:from>
    <xdr:to>
      <xdr:col>13</xdr:col>
      <xdr:colOff>0</xdr:colOff>
      <xdr:row>417</xdr:row>
      <xdr:rowOff>114300</xdr:rowOff>
    </xdr:to>
    <xdr:pic>
      <xdr:nvPicPr>
        <xdr:cNvPr id="813" name="Imagen 812" descr="Ver detalle">
          <a:hlinkClick xmlns:r="http://schemas.openxmlformats.org/officeDocument/2006/relationships" r:id="rId763" tooltip="Ver detalle"/>
          <a:extLst>
            <a:ext uri="{FF2B5EF4-FFF2-40B4-BE49-F238E27FC236}">
              <a16:creationId xmlns:a16="http://schemas.microsoft.com/office/drawing/2014/main" id="{36994EBE-EBE0-4457-BB23-4F9367CB5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6005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</xdr:row>
      <xdr:rowOff>0</xdr:rowOff>
    </xdr:from>
    <xdr:to>
      <xdr:col>13</xdr:col>
      <xdr:colOff>0</xdr:colOff>
      <xdr:row>416</xdr:row>
      <xdr:rowOff>114300</xdr:rowOff>
    </xdr:to>
    <xdr:pic>
      <xdr:nvPicPr>
        <xdr:cNvPr id="814" name="Imagen 813" descr="Ver detalle">
          <a:hlinkClick xmlns:r="http://schemas.openxmlformats.org/officeDocument/2006/relationships" r:id="rId764" tooltip="Ver detalle"/>
          <a:extLst>
            <a:ext uri="{FF2B5EF4-FFF2-40B4-BE49-F238E27FC236}">
              <a16:creationId xmlns:a16="http://schemas.microsoft.com/office/drawing/2014/main" id="{D1BB4BF8-B6BB-4941-BAFF-8B4A51E9D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6168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</xdr:row>
      <xdr:rowOff>0</xdr:rowOff>
    </xdr:from>
    <xdr:to>
      <xdr:col>13</xdr:col>
      <xdr:colOff>0</xdr:colOff>
      <xdr:row>415</xdr:row>
      <xdr:rowOff>114300</xdr:rowOff>
    </xdr:to>
    <xdr:pic>
      <xdr:nvPicPr>
        <xdr:cNvPr id="815" name="Imagen 814" descr="Ver detalle">
          <a:hlinkClick xmlns:r="http://schemas.openxmlformats.org/officeDocument/2006/relationships" r:id="rId765" tooltip="Ver detalle"/>
          <a:extLst>
            <a:ext uri="{FF2B5EF4-FFF2-40B4-BE49-F238E27FC236}">
              <a16:creationId xmlns:a16="http://schemas.microsoft.com/office/drawing/2014/main" id="{A8A62335-57A8-4963-9057-8EB6714E8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6494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</xdr:row>
      <xdr:rowOff>0</xdr:rowOff>
    </xdr:from>
    <xdr:to>
      <xdr:col>13</xdr:col>
      <xdr:colOff>0</xdr:colOff>
      <xdr:row>398</xdr:row>
      <xdr:rowOff>114300</xdr:rowOff>
    </xdr:to>
    <xdr:pic>
      <xdr:nvPicPr>
        <xdr:cNvPr id="816" name="Imagen 815" descr="Ver detalle">
          <a:hlinkClick xmlns:r="http://schemas.openxmlformats.org/officeDocument/2006/relationships" r:id="rId766" tooltip="Ver detalle"/>
          <a:extLst>
            <a:ext uri="{FF2B5EF4-FFF2-40B4-BE49-F238E27FC236}">
              <a16:creationId xmlns:a16="http://schemas.microsoft.com/office/drawing/2014/main" id="{05E20E24-D8FE-43E1-9BFA-8A971C097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6657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</xdr:row>
      <xdr:rowOff>0</xdr:rowOff>
    </xdr:from>
    <xdr:to>
      <xdr:col>13</xdr:col>
      <xdr:colOff>0</xdr:colOff>
      <xdr:row>402</xdr:row>
      <xdr:rowOff>114300</xdr:rowOff>
    </xdr:to>
    <xdr:pic>
      <xdr:nvPicPr>
        <xdr:cNvPr id="817" name="Imagen 816" descr="Ver detalle">
          <a:hlinkClick xmlns:r="http://schemas.openxmlformats.org/officeDocument/2006/relationships" r:id="rId767" tooltip="Ver detalle"/>
          <a:extLst>
            <a:ext uri="{FF2B5EF4-FFF2-40B4-BE49-F238E27FC236}">
              <a16:creationId xmlns:a16="http://schemas.microsoft.com/office/drawing/2014/main" id="{86E9CC12-6FD4-455E-9182-29D5A5AE5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6901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</xdr:row>
      <xdr:rowOff>0</xdr:rowOff>
    </xdr:from>
    <xdr:to>
      <xdr:col>13</xdr:col>
      <xdr:colOff>0</xdr:colOff>
      <xdr:row>403</xdr:row>
      <xdr:rowOff>114300</xdr:rowOff>
    </xdr:to>
    <xdr:pic>
      <xdr:nvPicPr>
        <xdr:cNvPr id="818" name="Imagen 817" descr="Ver detalle">
          <a:hlinkClick xmlns:r="http://schemas.openxmlformats.org/officeDocument/2006/relationships" r:id="rId768" tooltip="Ver detalle"/>
          <a:extLst>
            <a:ext uri="{FF2B5EF4-FFF2-40B4-BE49-F238E27FC236}">
              <a16:creationId xmlns:a16="http://schemas.microsoft.com/office/drawing/2014/main" id="{DF5E3A51-5A52-4E92-A221-446FF7929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7064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</xdr:row>
      <xdr:rowOff>0</xdr:rowOff>
    </xdr:from>
    <xdr:to>
      <xdr:col>13</xdr:col>
      <xdr:colOff>0</xdr:colOff>
      <xdr:row>420</xdr:row>
      <xdr:rowOff>114300</xdr:rowOff>
    </xdr:to>
    <xdr:pic>
      <xdr:nvPicPr>
        <xdr:cNvPr id="819" name="Imagen 818" descr="Ver detalle">
          <a:hlinkClick xmlns:r="http://schemas.openxmlformats.org/officeDocument/2006/relationships" r:id="rId769" tooltip="Ver detalle"/>
          <a:extLst>
            <a:ext uri="{FF2B5EF4-FFF2-40B4-BE49-F238E27FC236}">
              <a16:creationId xmlns:a16="http://schemas.microsoft.com/office/drawing/2014/main" id="{AE13FE7E-B724-45B0-8B00-FCF700094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7307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418</xdr:row>
      <xdr:rowOff>0</xdr:rowOff>
    </xdr:from>
    <xdr:to>
      <xdr:col>13</xdr:col>
      <xdr:colOff>0</xdr:colOff>
      <xdr:row>419</xdr:row>
      <xdr:rowOff>114300</xdr:rowOff>
    </xdr:to>
    <xdr:pic>
      <xdr:nvPicPr>
        <xdr:cNvPr id="820" name="Imagen 819" descr="Ver detalle">
          <a:hlinkClick xmlns:r="http://schemas.openxmlformats.org/officeDocument/2006/relationships" r:id="rId770" tooltip="Ver detalle"/>
          <a:extLst>
            <a:ext uri="{FF2B5EF4-FFF2-40B4-BE49-F238E27FC236}">
              <a16:creationId xmlns:a16="http://schemas.microsoft.com/office/drawing/2014/main" id="{B5AB2BDA-6A69-4415-9A92-45FD04A41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7551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417</xdr:row>
      <xdr:rowOff>0</xdr:rowOff>
    </xdr:from>
    <xdr:to>
      <xdr:col>13</xdr:col>
      <xdr:colOff>0</xdr:colOff>
      <xdr:row>418</xdr:row>
      <xdr:rowOff>114300</xdr:rowOff>
    </xdr:to>
    <xdr:pic>
      <xdr:nvPicPr>
        <xdr:cNvPr id="821" name="Imagen 820" descr="Ver detalle">
          <a:hlinkClick xmlns:r="http://schemas.openxmlformats.org/officeDocument/2006/relationships" r:id="rId771" tooltip="Ver detalle"/>
          <a:extLst>
            <a:ext uri="{FF2B5EF4-FFF2-40B4-BE49-F238E27FC236}">
              <a16:creationId xmlns:a16="http://schemas.microsoft.com/office/drawing/2014/main" id="{AC55325C-31A9-4082-803A-85C207C03F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7795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</xdr:row>
      <xdr:rowOff>0</xdr:rowOff>
    </xdr:from>
    <xdr:to>
      <xdr:col>13</xdr:col>
      <xdr:colOff>0</xdr:colOff>
      <xdr:row>362</xdr:row>
      <xdr:rowOff>114300</xdr:rowOff>
    </xdr:to>
    <xdr:pic>
      <xdr:nvPicPr>
        <xdr:cNvPr id="822" name="Imagen 821" descr="Ver detalle">
          <a:hlinkClick xmlns:r="http://schemas.openxmlformats.org/officeDocument/2006/relationships" r:id="rId772" tooltip="Ver detalle"/>
          <a:extLst>
            <a:ext uri="{FF2B5EF4-FFF2-40B4-BE49-F238E27FC236}">
              <a16:creationId xmlns:a16="http://schemas.microsoft.com/office/drawing/2014/main" id="{9427F9C5-4F01-4F85-A1A2-8D65CF62F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8039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</xdr:row>
      <xdr:rowOff>0</xdr:rowOff>
    </xdr:from>
    <xdr:to>
      <xdr:col>13</xdr:col>
      <xdr:colOff>0</xdr:colOff>
      <xdr:row>364</xdr:row>
      <xdr:rowOff>114300</xdr:rowOff>
    </xdr:to>
    <xdr:pic>
      <xdr:nvPicPr>
        <xdr:cNvPr id="823" name="Imagen 822" descr="Ver detalle">
          <a:hlinkClick xmlns:r="http://schemas.openxmlformats.org/officeDocument/2006/relationships" r:id="rId773" tooltip="Ver detalle"/>
          <a:extLst>
            <a:ext uri="{FF2B5EF4-FFF2-40B4-BE49-F238E27FC236}">
              <a16:creationId xmlns:a16="http://schemas.microsoft.com/office/drawing/2014/main" id="{346D4FAB-9DD7-4BA5-A44F-352508B37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8202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</xdr:row>
      <xdr:rowOff>0</xdr:rowOff>
    </xdr:from>
    <xdr:to>
      <xdr:col>13</xdr:col>
      <xdr:colOff>0</xdr:colOff>
      <xdr:row>395</xdr:row>
      <xdr:rowOff>114300</xdr:rowOff>
    </xdr:to>
    <xdr:pic>
      <xdr:nvPicPr>
        <xdr:cNvPr id="824" name="Imagen 823" descr="Ver detalle">
          <a:hlinkClick xmlns:r="http://schemas.openxmlformats.org/officeDocument/2006/relationships" r:id="rId774" tooltip="Ver detalle"/>
          <a:extLst>
            <a:ext uri="{FF2B5EF4-FFF2-40B4-BE49-F238E27FC236}">
              <a16:creationId xmlns:a16="http://schemas.microsoft.com/office/drawing/2014/main" id="{5A55C9A1-9110-4C87-A36D-463320B8B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8446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</xdr:row>
      <xdr:rowOff>0</xdr:rowOff>
    </xdr:from>
    <xdr:to>
      <xdr:col>13</xdr:col>
      <xdr:colOff>0</xdr:colOff>
      <xdr:row>363</xdr:row>
      <xdr:rowOff>114300</xdr:rowOff>
    </xdr:to>
    <xdr:pic>
      <xdr:nvPicPr>
        <xdr:cNvPr id="825" name="Imagen 824" descr="Ver detalle">
          <a:hlinkClick xmlns:r="http://schemas.openxmlformats.org/officeDocument/2006/relationships" r:id="rId775" tooltip="Ver detalle"/>
          <a:extLst>
            <a:ext uri="{FF2B5EF4-FFF2-40B4-BE49-F238E27FC236}">
              <a16:creationId xmlns:a16="http://schemas.microsoft.com/office/drawing/2014/main" id="{9F0660FB-AB4A-425A-8401-AF6E4E5D9A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8689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</xdr:row>
      <xdr:rowOff>0</xdr:rowOff>
    </xdr:from>
    <xdr:to>
      <xdr:col>13</xdr:col>
      <xdr:colOff>0</xdr:colOff>
      <xdr:row>393</xdr:row>
      <xdr:rowOff>114300</xdr:rowOff>
    </xdr:to>
    <xdr:pic>
      <xdr:nvPicPr>
        <xdr:cNvPr id="826" name="Imagen 825" descr="Ver detalle">
          <a:hlinkClick xmlns:r="http://schemas.openxmlformats.org/officeDocument/2006/relationships" r:id="rId776" tooltip="Ver detalle"/>
          <a:extLst>
            <a:ext uri="{FF2B5EF4-FFF2-40B4-BE49-F238E27FC236}">
              <a16:creationId xmlns:a16="http://schemas.microsoft.com/office/drawing/2014/main" id="{26FB85BA-DA29-43C6-B3F7-B3E96EC4F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8804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393</xdr:row>
      <xdr:rowOff>0</xdr:rowOff>
    </xdr:from>
    <xdr:to>
      <xdr:col>13</xdr:col>
      <xdr:colOff>0</xdr:colOff>
      <xdr:row>394</xdr:row>
      <xdr:rowOff>114300</xdr:rowOff>
    </xdr:to>
    <xdr:pic>
      <xdr:nvPicPr>
        <xdr:cNvPr id="827" name="Imagen 826" descr="Ver detalle">
          <a:hlinkClick xmlns:r="http://schemas.openxmlformats.org/officeDocument/2006/relationships" r:id="rId777" tooltip="Ver detalle"/>
          <a:extLst>
            <a:ext uri="{FF2B5EF4-FFF2-40B4-BE49-F238E27FC236}">
              <a16:creationId xmlns:a16="http://schemas.microsoft.com/office/drawing/2014/main" id="{11B993F6-367C-4D7E-B9EE-C685C0992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9048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391</xdr:row>
      <xdr:rowOff>0</xdr:rowOff>
    </xdr:from>
    <xdr:to>
      <xdr:col>13</xdr:col>
      <xdr:colOff>0</xdr:colOff>
      <xdr:row>392</xdr:row>
      <xdr:rowOff>114300</xdr:rowOff>
    </xdr:to>
    <xdr:pic>
      <xdr:nvPicPr>
        <xdr:cNvPr id="828" name="Imagen 827" descr="Ver detalle">
          <a:hlinkClick xmlns:r="http://schemas.openxmlformats.org/officeDocument/2006/relationships" r:id="rId778" tooltip="Ver detalle"/>
          <a:extLst>
            <a:ext uri="{FF2B5EF4-FFF2-40B4-BE49-F238E27FC236}">
              <a16:creationId xmlns:a16="http://schemas.microsoft.com/office/drawing/2014/main" id="{36F70746-8A36-4237-934B-CE9FFAC9F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9291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457</xdr:row>
      <xdr:rowOff>0</xdr:rowOff>
    </xdr:from>
    <xdr:to>
      <xdr:col>13</xdr:col>
      <xdr:colOff>0</xdr:colOff>
      <xdr:row>458</xdr:row>
      <xdr:rowOff>148590</xdr:rowOff>
    </xdr:to>
    <xdr:pic>
      <xdr:nvPicPr>
        <xdr:cNvPr id="829" name="Imagen 828" descr="Ver detalle">
          <a:hlinkClick xmlns:r="http://schemas.openxmlformats.org/officeDocument/2006/relationships" r:id="rId779" tooltip="Ver detalle"/>
          <a:extLst>
            <a:ext uri="{FF2B5EF4-FFF2-40B4-BE49-F238E27FC236}">
              <a16:creationId xmlns:a16="http://schemas.microsoft.com/office/drawing/2014/main" id="{410C9E70-80EC-4AAF-982E-FF5A676F0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8341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454</xdr:row>
      <xdr:rowOff>0</xdr:rowOff>
    </xdr:from>
    <xdr:to>
      <xdr:col>13</xdr:col>
      <xdr:colOff>0</xdr:colOff>
      <xdr:row>455</xdr:row>
      <xdr:rowOff>148590</xdr:rowOff>
    </xdr:to>
    <xdr:pic>
      <xdr:nvPicPr>
        <xdr:cNvPr id="830" name="Imagen 829" descr="Ver detalle">
          <a:hlinkClick xmlns:r="http://schemas.openxmlformats.org/officeDocument/2006/relationships" r:id="rId780" tooltip="Ver detalle"/>
          <a:extLst>
            <a:ext uri="{FF2B5EF4-FFF2-40B4-BE49-F238E27FC236}">
              <a16:creationId xmlns:a16="http://schemas.microsoft.com/office/drawing/2014/main" id="{FBB9D075-9B63-45C8-9EDD-FDD839810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8584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455</xdr:row>
      <xdr:rowOff>0</xdr:rowOff>
    </xdr:from>
    <xdr:to>
      <xdr:col>13</xdr:col>
      <xdr:colOff>0</xdr:colOff>
      <xdr:row>456</xdr:row>
      <xdr:rowOff>148590</xdr:rowOff>
    </xdr:to>
    <xdr:pic>
      <xdr:nvPicPr>
        <xdr:cNvPr id="831" name="Imagen 830" descr="Ver detalle">
          <a:hlinkClick xmlns:r="http://schemas.openxmlformats.org/officeDocument/2006/relationships" r:id="rId781" tooltip="Ver detalle"/>
          <a:extLst>
            <a:ext uri="{FF2B5EF4-FFF2-40B4-BE49-F238E27FC236}">
              <a16:creationId xmlns:a16="http://schemas.microsoft.com/office/drawing/2014/main" id="{4FB040CE-0CED-428A-870D-FFD17589D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8699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456</xdr:row>
      <xdr:rowOff>0</xdr:rowOff>
    </xdr:from>
    <xdr:to>
      <xdr:col>13</xdr:col>
      <xdr:colOff>0</xdr:colOff>
      <xdr:row>457</xdr:row>
      <xdr:rowOff>148590</xdr:rowOff>
    </xdr:to>
    <xdr:pic>
      <xdr:nvPicPr>
        <xdr:cNvPr id="832" name="Imagen 831" descr="Ver detalle">
          <a:hlinkClick xmlns:r="http://schemas.openxmlformats.org/officeDocument/2006/relationships" r:id="rId782" tooltip="Ver detalle"/>
          <a:extLst>
            <a:ext uri="{FF2B5EF4-FFF2-40B4-BE49-F238E27FC236}">
              <a16:creationId xmlns:a16="http://schemas.microsoft.com/office/drawing/2014/main" id="{35EBBC5C-DF7B-4239-940C-1F8D54C32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8813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458</xdr:row>
      <xdr:rowOff>0</xdr:rowOff>
    </xdr:from>
    <xdr:to>
      <xdr:col>13</xdr:col>
      <xdr:colOff>0</xdr:colOff>
      <xdr:row>459</xdr:row>
      <xdr:rowOff>110490</xdr:rowOff>
    </xdr:to>
    <xdr:pic>
      <xdr:nvPicPr>
        <xdr:cNvPr id="833" name="Imagen 832" descr="Ver detalle">
          <a:hlinkClick xmlns:r="http://schemas.openxmlformats.org/officeDocument/2006/relationships" r:id="rId783" tooltip="Ver detalle"/>
          <a:extLst>
            <a:ext uri="{FF2B5EF4-FFF2-40B4-BE49-F238E27FC236}">
              <a16:creationId xmlns:a16="http://schemas.microsoft.com/office/drawing/2014/main" id="{D7D2CC42-97AD-464D-9BFA-197EC8C8A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8927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453</xdr:row>
      <xdr:rowOff>0</xdr:rowOff>
    </xdr:from>
    <xdr:to>
      <xdr:col>13</xdr:col>
      <xdr:colOff>0</xdr:colOff>
      <xdr:row>454</xdr:row>
      <xdr:rowOff>148590</xdr:rowOff>
    </xdr:to>
    <xdr:pic>
      <xdr:nvPicPr>
        <xdr:cNvPr id="834" name="Imagen 833" descr="Ver detalle">
          <a:hlinkClick xmlns:r="http://schemas.openxmlformats.org/officeDocument/2006/relationships" r:id="rId784" tooltip="Ver detalle"/>
          <a:extLst>
            <a:ext uri="{FF2B5EF4-FFF2-40B4-BE49-F238E27FC236}">
              <a16:creationId xmlns:a16="http://schemas.microsoft.com/office/drawing/2014/main" id="{94909550-25AA-42B0-9EC0-F0FAFF6D8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9171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</xdr:row>
      <xdr:rowOff>0</xdr:rowOff>
    </xdr:from>
    <xdr:to>
      <xdr:col>13</xdr:col>
      <xdr:colOff>0</xdr:colOff>
      <xdr:row>448</xdr:row>
      <xdr:rowOff>148590</xdr:rowOff>
    </xdr:to>
    <xdr:pic>
      <xdr:nvPicPr>
        <xdr:cNvPr id="835" name="Imagen 834" descr="Ver detalle">
          <a:hlinkClick xmlns:r="http://schemas.openxmlformats.org/officeDocument/2006/relationships" r:id="rId785" tooltip="Ver detalle"/>
          <a:extLst>
            <a:ext uri="{FF2B5EF4-FFF2-40B4-BE49-F238E27FC236}">
              <a16:creationId xmlns:a16="http://schemas.microsoft.com/office/drawing/2014/main" id="{7EFA04F9-8192-4266-9C35-D1A97CFA0D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9415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</xdr:row>
      <xdr:rowOff>0</xdr:rowOff>
    </xdr:from>
    <xdr:to>
      <xdr:col>13</xdr:col>
      <xdr:colOff>0</xdr:colOff>
      <xdr:row>452</xdr:row>
      <xdr:rowOff>148590</xdr:rowOff>
    </xdr:to>
    <xdr:pic>
      <xdr:nvPicPr>
        <xdr:cNvPr id="836" name="Imagen 835" descr="Ver detalle">
          <a:hlinkClick xmlns:r="http://schemas.openxmlformats.org/officeDocument/2006/relationships" r:id="rId786" tooltip="Ver detalle"/>
          <a:extLst>
            <a:ext uri="{FF2B5EF4-FFF2-40B4-BE49-F238E27FC236}">
              <a16:creationId xmlns:a16="http://schemas.microsoft.com/office/drawing/2014/main" id="{92888A67-F45D-4024-B9AB-7C78EC098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9659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452</xdr:row>
      <xdr:rowOff>0</xdr:rowOff>
    </xdr:from>
    <xdr:to>
      <xdr:col>13</xdr:col>
      <xdr:colOff>0</xdr:colOff>
      <xdr:row>453</xdr:row>
      <xdr:rowOff>148590</xdr:rowOff>
    </xdr:to>
    <xdr:pic>
      <xdr:nvPicPr>
        <xdr:cNvPr id="837" name="Imagen 836" descr="Ver detalle">
          <a:hlinkClick xmlns:r="http://schemas.openxmlformats.org/officeDocument/2006/relationships" r:id="rId787" tooltip="Ver detalle"/>
          <a:extLst>
            <a:ext uri="{FF2B5EF4-FFF2-40B4-BE49-F238E27FC236}">
              <a16:creationId xmlns:a16="http://schemas.microsoft.com/office/drawing/2014/main" id="{747C941A-3AFF-4FAA-BA64-1A2A3434F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9789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</xdr:row>
      <xdr:rowOff>0</xdr:rowOff>
    </xdr:from>
    <xdr:to>
      <xdr:col>13</xdr:col>
      <xdr:colOff>0</xdr:colOff>
      <xdr:row>451</xdr:row>
      <xdr:rowOff>148590</xdr:rowOff>
    </xdr:to>
    <xdr:pic>
      <xdr:nvPicPr>
        <xdr:cNvPr id="838" name="Imagen 837" descr="Ver detalle">
          <a:hlinkClick xmlns:r="http://schemas.openxmlformats.org/officeDocument/2006/relationships" r:id="rId788" tooltip="Ver detalle"/>
          <a:extLst>
            <a:ext uri="{FF2B5EF4-FFF2-40B4-BE49-F238E27FC236}">
              <a16:creationId xmlns:a16="http://schemas.microsoft.com/office/drawing/2014/main" id="{ABB19CAF-1E7D-487F-A1BF-70171C4F1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9920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</xdr:row>
      <xdr:rowOff>0</xdr:rowOff>
    </xdr:from>
    <xdr:to>
      <xdr:col>13</xdr:col>
      <xdr:colOff>0</xdr:colOff>
      <xdr:row>447</xdr:row>
      <xdr:rowOff>148590</xdr:rowOff>
    </xdr:to>
    <xdr:pic>
      <xdr:nvPicPr>
        <xdr:cNvPr id="839" name="Imagen 838" descr="Ver detalle">
          <a:hlinkClick xmlns:r="http://schemas.openxmlformats.org/officeDocument/2006/relationships" r:id="rId789" tooltip="Ver detalle"/>
          <a:extLst>
            <a:ext uri="{FF2B5EF4-FFF2-40B4-BE49-F238E27FC236}">
              <a16:creationId xmlns:a16="http://schemas.microsoft.com/office/drawing/2014/main" id="{C26412E4-E8C7-4A8A-869A-15BA89172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0050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</xdr:row>
      <xdr:rowOff>0</xdr:rowOff>
    </xdr:from>
    <xdr:to>
      <xdr:col>13</xdr:col>
      <xdr:colOff>0</xdr:colOff>
      <xdr:row>445</xdr:row>
      <xdr:rowOff>148590</xdr:rowOff>
    </xdr:to>
    <xdr:pic>
      <xdr:nvPicPr>
        <xdr:cNvPr id="840" name="Imagen 839" descr="Ver detalle">
          <a:hlinkClick xmlns:r="http://schemas.openxmlformats.org/officeDocument/2006/relationships" r:id="rId790" tooltip="Ver detalle"/>
          <a:extLst>
            <a:ext uri="{FF2B5EF4-FFF2-40B4-BE49-F238E27FC236}">
              <a16:creationId xmlns:a16="http://schemas.microsoft.com/office/drawing/2014/main" id="{6272FCDB-69BD-40DC-A9F5-BC0D88136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0213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</xdr:row>
      <xdr:rowOff>0</xdr:rowOff>
    </xdr:from>
    <xdr:to>
      <xdr:col>13</xdr:col>
      <xdr:colOff>0</xdr:colOff>
      <xdr:row>449</xdr:row>
      <xdr:rowOff>148590</xdr:rowOff>
    </xdr:to>
    <xdr:pic>
      <xdr:nvPicPr>
        <xdr:cNvPr id="841" name="Imagen 840" descr="Ver detalle">
          <a:hlinkClick xmlns:r="http://schemas.openxmlformats.org/officeDocument/2006/relationships" r:id="rId791" tooltip="Ver detalle"/>
          <a:extLst>
            <a:ext uri="{FF2B5EF4-FFF2-40B4-BE49-F238E27FC236}">
              <a16:creationId xmlns:a16="http://schemas.microsoft.com/office/drawing/2014/main" id="{A1E88D53-06C5-4E60-A96F-5972AC5C3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0376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445</xdr:row>
      <xdr:rowOff>0</xdr:rowOff>
    </xdr:from>
    <xdr:to>
      <xdr:col>13</xdr:col>
      <xdr:colOff>0</xdr:colOff>
      <xdr:row>446</xdr:row>
      <xdr:rowOff>148590</xdr:rowOff>
    </xdr:to>
    <xdr:pic>
      <xdr:nvPicPr>
        <xdr:cNvPr id="842" name="Imagen 841" descr="Ver detalle">
          <a:hlinkClick xmlns:r="http://schemas.openxmlformats.org/officeDocument/2006/relationships" r:id="rId792" tooltip="Ver detalle"/>
          <a:extLst>
            <a:ext uri="{FF2B5EF4-FFF2-40B4-BE49-F238E27FC236}">
              <a16:creationId xmlns:a16="http://schemas.microsoft.com/office/drawing/2014/main" id="{7E08ADAC-048E-4B33-A38C-9B03ADFE9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0507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</xdr:row>
      <xdr:rowOff>0</xdr:rowOff>
    </xdr:from>
    <xdr:to>
      <xdr:col>13</xdr:col>
      <xdr:colOff>0</xdr:colOff>
      <xdr:row>443</xdr:row>
      <xdr:rowOff>148590</xdr:rowOff>
    </xdr:to>
    <xdr:pic>
      <xdr:nvPicPr>
        <xdr:cNvPr id="843" name="Imagen 842" descr="Ver detalle">
          <a:hlinkClick xmlns:r="http://schemas.openxmlformats.org/officeDocument/2006/relationships" r:id="rId793" tooltip="Ver detalle"/>
          <a:extLst>
            <a:ext uri="{FF2B5EF4-FFF2-40B4-BE49-F238E27FC236}">
              <a16:creationId xmlns:a16="http://schemas.microsoft.com/office/drawing/2014/main" id="{346D9717-D3C6-4E6F-A766-A902E5E33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0637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</xdr:row>
      <xdr:rowOff>0</xdr:rowOff>
    </xdr:from>
    <xdr:to>
      <xdr:col>13</xdr:col>
      <xdr:colOff>0</xdr:colOff>
      <xdr:row>441</xdr:row>
      <xdr:rowOff>148590</xdr:rowOff>
    </xdr:to>
    <xdr:pic>
      <xdr:nvPicPr>
        <xdr:cNvPr id="844" name="Imagen 843" descr="Ver detalle">
          <a:hlinkClick xmlns:r="http://schemas.openxmlformats.org/officeDocument/2006/relationships" r:id="rId794" tooltip="Ver detalle"/>
          <a:extLst>
            <a:ext uri="{FF2B5EF4-FFF2-40B4-BE49-F238E27FC236}">
              <a16:creationId xmlns:a16="http://schemas.microsoft.com/office/drawing/2014/main" id="{9C447EA2-012E-42FA-AB58-3C095DDDC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0881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</xdr:row>
      <xdr:rowOff>0</xdr:rowOff>
    </xdr:from>
    <xdr:to>
      <xdr:col>13</xdr:col>
      <xdr:colOff>0</xdr:colOff>
      <xdr:row>438</xdr:row>
      <xdr:rowOff>148590</xdr:rowOff>
    </xdr:to>
    <xdr:pic>
      <xdr:nvPicPr>
        <xdr:cNvPr id="845" name="Imagen 844" descr="Ver detalle">
          <a:hlinkClick xmlns:r="http://schemas.openxmlformats.org/officeDocument/2006/relationships" r:id="rId795" tooltip="Ver detalle"/>
          <a:extLst>
            <a:ext uri="{FF2B5EF4-FFF2-40B4-BE49-F238E27FC236}">
              <a16:creationId xmlns:a16="http://schemas.microsoft.com/office/drawing/2014/main" id="{C30DF1BE-0DED-48CC-900A-019043552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0995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</xdr:row>
      <xdr:rowOff>0</xdr:rowOff>
    </xdr:from>
    <xdr:to>
      <xdr:col>13</xdr:col>
      <xdr:colOff>0</xdr:colOff>
      <xdr:row>439</xdr:row>
      <xdr:rowOff>148590</xdr:rowOff>
    </xdr:to>
    <xdr:pic>
      <xdr:nvPicPr>
        <xdr:cNvPr id="846" name="Imagen 845" descr="Ver detalle">
          <a:hlinkClick xmlns:r="http://schemas.openxmlformats.org/officeDocument/2006/relationships" r:id="rId796" tooltip="Ver detalle"/>
          <a:extLst>
            <a:ext uri="{FF2B5EF4-FFF2-40B4-BE49-F238E27FC236}">
              <a16:creationId xmlns:a16="http://schemas.microsoft.com/office/drawing/2014/main" id="{950F197D-C902-4E50-A155-479DCFC9D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1239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</xdr:row>
      <xdr:rowOff>0</xdr:rowOff>
    </xdr:from>
    <xdr:to>
      <xdr:col>13</xdr:col>
      <xdr:colOff>0</xdr:colOff>
      <xdr:row>442</xdr:row>
      <xdr:rowOff>148590</xdr:rowOff>
    </xdr:to>
    <xdr:pic>
      <xdr:nvPicPr>
        <xdr:cNvPr id="847" name="Imagen 846" descr="Ver detalle">
          <a:hlinkClick xmlns:r="http://schemas.openxmlformats.org/officeDocument/2006/relationships" r:id="rId797" tooltip="Ver detalle"/>
          <a:extLst>
            <a:ext uri="{FF2B5EF4-FFF2-40B4-BE49-F238E27FC236}">
              <a16:creationId xmlns:a16="http://schemas.microsoft.com/office/drawing/2014/main" id="{3260952C-50D7-446C-A069-A4EDBD579A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1483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</xdr:row>
      <xdr:rowOff>0</xdr:rowOff>
    </xdr:from>
    <xdr:to>
      <xdr:col>13</xdr:col>
      <xdr:colOff>0</xdr:colOff>
      <xdr:row>450</xdr:row>
      <xdr:rowOff>148590</xdr:rowOff>
    </xdr:to>
    <xdr:pic>
      <xdr:nvPicPr>
        <xdr:cNvPr id="848" name="Imagen 847" descr="Ver detalle">
          <a:hlinkClick xmlns:r="http://schemas.openxmlformats.org/officeDocument/2006/relationships" r:id="rId798" tooltip="Ver detalle"/>
          <a:extLst>
            <a:ext uri="{FF2B5EF4-FFF2-40B4-BE49-F238E27FC236}">
              <a16:creationId xmlns:a16="http://schemas.microsoft.com/office/drawing/2014/main" id="{E1614286-954C-4E3F-817F-67583770D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1613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</xdr:row>
      <xdr:rowOff>0</xdr:rowOff>
    </xdr:from>
    <xdr:to>
      <xdr:col>13</xdr:col>
      <xdr:colOff>0</xdr:colOff>
      <xdr:row>435</xdr:row>
      <xdr:rowOff>148590</xdr:rowOff>
    </xdr:to>
    <xdr:pic>
      <xdr:nvPicPr>
        <xdr:cNvPr id="849" name="Imagen 848" descr="Ver detalle">
          <a:hlinkClick xmlns:r="http://schemas.openxmlformats.org/officeDocument/2006/relationships" r:id="rId799" tooltip="Ver detalle"/>
          <a:extLst>
            <a:ext uri="{FF2B5EF4-FFF2-40B4-BE49-F238E27FC236}">
              <a16:creationId xmlns:a16="http://schemas.microsoft.com/office/drawing/2014/main" id="{0FF5C885-7C4A-4E09-8CFF-F6230EC86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1744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</xdr:row>
      <xdr:rowOff>0</xdr:rowOff>
    </xdr:from>
    <xdr:to>
      <xdr:col>13</xdr:col>
      <xdr:colOff>0</xdr:colOff>
      <xdr:row>436</xdr:row>
      <xdr:rowOff>148590</xdr:rowOff>
    </xdr:to>
    <xdr:pic>
      <xdr:nvPicPr>
        <xdr:cNvPr id="850" name="Imagen 849" descr="Ver detalle">
          <a:hlinkClick xmlns:r="http://schemas.openxmlformats.org/officeDocument/2006/relationships" r:id="rId800" tooltip="Ver detalle"/>
          <a:extLst>
            <a:ext uri="{FF2B5EF4-FFF2-40B4-BE49-F238E27FC236}">
              <a16:creationId xmlns:a16="http://schemas.microsoft.com/office/drawing/2014/main" id="{F5F3FC41-811A-4DE2-855E-642EEC459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1988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</xdr:row>
      <xdr:rowOff>0</xdr:rowOff>
    </xdr:from>
    <xdr:to>
      <xdr:col>13</xdr:col>
      <xdr:colOff>0</xdr:colOff>
      <xdr:row>440</xdr:row>
      <xdr:rowOff>148590</xdr:rowOff>
    </xdr:to>
    <xdr:pic>
      <xdr:nvPicPr>
        <xdr:cNvPr id="851" name="Imagen 850" descr="Ver detalle">
          <a:hlinkClick xmlns:r="http://schemas.openxmlformats.org/officeDocument/2006/relationships" r:id="rId801" tooltip="Ver detalle"/>
          <a:extLst>
            <a:ext uri="{FF2B5EF4-FFF2-40B4-BE49-F238E27FC236}">
              <a16:creationId xmlns:a16="http://schemas.microsoft.com/office/drawing/2014/main" id="{D41943C1-E729-4F5C-9413-A2CCEEFAF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102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436</xdr:row>
      <xdr:rowOff>0</xdr:rowOff>
    </xdr:from>
    <xdr:to>
      <xdr:col>13</xdr:col>
      <xdr:colOff>0</xdr:colOff>
      <xdr:row>437</xdr:row>
      <xdr:rowOff>148590</xdr:rowOff>
    </xdr:to>
    <xdr:pic>
      <xdr:nvPicPr>
        <xdr:cNvPr id="852" name="Imagen 851" descr="Ver detalle">
          <a:hlinkClick xmlns:r="http://schemas.openxmlformats.org/officeDocument/2006/relationships" r:id="rId802" tooltip="Ver detalle"/>
          <a:extLst>
            <a:ext uri="{FF2B5EF4-FFF2-40B4-BE49-F238E27FC236}">
              <a16:creationId xmlns:a16="http://schemas.microsoft.com/office/drawing/2014/main" id="{A413C1AC-FADC-474D-879D-5AA2FF845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346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</xdr:row>
      <xdr:rowOff>0</xdr:rowOff>
    </xdr:from>
    <xdr:to>
      <xdr:col>13</xdr:col>
      <xdr:colOff>0</xdr:colOff>
      <xdr:row>433</xdr:row>
      <xdr:rowOff>148590</xdr:rowOff>
    </xdr:to>
    <xdr:pic>
      <xdr:nvPicPr>
        <xdr:cNvPr id="853" name="Imagen 852" descr="Ver detalle">
          <a:hlinkClick xmlns:r="http://schemas.openxmlformats.org/officeDocument/2006/relationships" r:id="rId803" tooltip="Ver detalle"/>
          <a:extLst>
            <a:ext uri="{FF2B5EF4-FFF2-40B4-BE49-F238E27FC236}">
              <a16:creationId xmlns:a16="http://schemas.microsoft.com/office/drawing/2014/main" id="{BFA556DA-9D72-446F-A9A9-80FA89525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639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430</xdr:row>
      <xdr:rowOff>0</xdr:rowOff>
    </xdr:from>
    <xdr:to>
      <xdr:col>13</xdr:col>
      <xdr:colOff>0</xdr:colOff>
      <xdr:row>431</xdr:row>
      <xdr:rowOff>114300</xdr:rowOff>
    </xdr:to>
    <xdr:pic>
      <xdr:nvPicPr>
        <xdr:cNvPr id="854" name="Imagen 853" descr="Ver detalle">
          <a:hlinkClick xmlns:r="http://schemas.openxmlformats.org/officeDocument/2006/relationships" r:id="rId804" tooltip="Ver detalle"/>
          <a:extLst>
            <a:ext uri="{FF2B5EF4-FFF2-40B4-BE49-F238E27FC236}">
              <a16:creationId xmlns:a16="http://schemas.microsoft.com/office/drawing/2014/main" id="{7B000F03-F70C-4428-A28C-2F0A986C7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883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431</xdr:row>
      <xdr:rowOff>0</xdr:rowOff>
    </xdr:from>
    <xdr:to>
      <xdr:col>13</xdr:col>
      <xdr:colOff>0</xdr:colOff>
      <xdr:row>432</xdr:row>
      <xdr:rowOff>148590</xdr:rowOff>
    </xdr:to>
    <xdr:pic>
      <xdr:nvPicPr>
        <xdr:cNvPr id="855" name="Imagen 854" descr="Ver detalle">
          <a:hlinkClick xmlns:r="http://schemas.openxmlformats.org/officeDocument/2006/relationships" r:id="rId805" tooltip="Ver detalle"/>
          <a:extLst>
            <a:ext uri="{FF2B5EF4-FFF2-40B4-BE49-F238E27FC236}">
              <a16:creationId xmlns:a16="http://schemas.microsoft.com/office/drawing/2014/main" id="{BD611BA4-3403-4242-864D-DE56CA978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3127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</xdr:row>
      <xdr:rowOff>0</xdr:rowOff>
    </xdr:from>
    <xdr:to>
      <xdr:col>13</xdr:col>
      <xdr:colOff>0</xdr:colOff>
      <xdr:row>495</xdr:row>
      <xdr:rowOff>114300</xdr:rowOff>
    </xdr:to>
    <xdr:pic>
      <xdr:nvPicPr>
        <xdr:cNvPr id="856" name="Imagen 855" descr="Ver detalle">
          <a:hlinkClick xmlns:r="http://schemas.openxmlformats.org/officeDocument/2006/relationships" r:id="rId806" tooltip="Ver detalle"/>
          <a:extLst>
            <a:ext uri="{FF2B5EF4-FFF2-40B4-BE49-F238E27FC236}">
              <a16:creationId xmlns:a16="http://schemas.microsoft.com/office/drawing/2014/main" id="{8633CE21-6820-4250-8BDF-8BF7301C8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8933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494</xdr:row>
      <xdr:rowOff>0</xdr:rowOff>
    </xdr:from>
    <xdr:to>
      <xdr:col>13</xdr:col>
      <xdr:colOff>329565</xdr:colOff>
      <xdr:row>495</xdr:row>
      <xdr:rowOff>114300</xdr:rowOff>
    </xdr:to>
    <xdr:pic>
      <xdr:nvPicPr>
        <xdr:cNvPr id="857" name="Imagen 856">
          <a:hlinkClick xmlns:r="http://schemas.openxmlformats.org/officeDocument/2006/relationships" r:id="rId807" tooltip="Quitar este incidente de la liquidación"/>
          <a:extLst>
            <a:ext uri="{FF2B5EF4-FFF2-40B4-BE49-F238E27FC236}">
              <a16:creationId xmlns:a16="http://schemas.microsoft.com/office/drawing/2014/main" id="{182ADEFE-AFCB-44FD-B73F-304D03649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8933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</xdr:row>
      <xdr:rowOff>0</xdr:rowOff>
    </xdr:from>
    <xdr:to>
      <xdr:col>13</xdr:col>
      <xdr:colOff>0</xdr:colOff>
      <xdr:row>492</xdr:row>
      <xdr:rowOff>112395</xdr:rowOff>
    </xdr:to>
    <xdr:pic>
      <xdr:nvPicPr>
        <xdr:cNvPr id="858" name="Imagen 857" descr="Ver detalle">
          <a:hlinkClick xmlns:r="http://schemas.openxmlformats.org/officeDocument/2006/relationships" r:id="rId808" tooltip="Ver detalle"/>
          <a:extLst>
            <a:ext uri="{FF2B5EF4-FFF2-40B4-BE49-F238E27FC236}">
              <a16:creationId xmlns:a16="http://schemas.microsoft.com/office/drawing/2014/main" id="{FD49B5D0-1B2D-45D4-A5A2-911022E8B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9177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491</xdr:row>
      <xdr:rowOff>0</xdr:rowOff>
    </xdr:from>
    <xdr:to>
      <xdr:col>13</xdr:col>
      <xdr:colOff>329565</xdr:colOff>
      <xdr:row>492</xdr:row>
      <xdr:rowOff>112395</xdr:rowOff>
    </xdr:to>
    <xdr:pic>
      <xdr:nvPicPr>
        <xdr:cNvPr id="859" name="Imagen 858">
          <a:hlinkClick xmlns:r="http://schemas.openxmlformats.org/officeDocument/2006/relationships" r:id="rId809" tooltip="Quitar este incidente de la liquidación"/>
          <a:extLst>
            <a:ext uri="{FF2B5EF4-FFF2-40B4-BE49-F238E27FC236}">
              <a16:creationId xmlns:a16="http://schemas.microsoft.com/office/drawing/2014/main" id="{6811FF66-F781-4C48-A336-848033B6B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9177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</xdr:row>
      <xdr:rowOff>0</xdr:rowOff>
    </xdr:from>
    <xdr:to>
      <xdr:col>13</xdr:col>
      <xdr:colOff>0</xdr:colOff>
      <xdr:row>495</xdr:row>
      <xdr:rowOff>114300</xdr:rowOff>
    </xdr:to>
    <xdr:pic>
      <xdr:nvPicPr>
        <xdr:cNvPr id="860" name="Imagen 859" descr="Ver detalle">
          <a:hlinkClick xmlns:r="http://schemas.openxmlformats.org/officeDocument/2006/relationships" r:id="rId810" tooltip="Ver detalle"/>
          <a:extLst>
            <a:ext uri="{FF2B5EF4-FFF2-40B4-BE49-F238E27FC236}">
              <a16:creationId xmlns:a16="http://schemas.microsoft.com/office/drawing/2014/main" id="{0C1754AB-C8F0-4383-A704-3D33AB920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9421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494</xdr:row>
      <xdr:rowOff>0</xdr:rowOff>
    </xdr:from>
    <xdr:to>
      <xdr:col>13</xdr:col>
      <xdr:colOff>329565</xdr:colOff>
      <xdr:row>495</xdr:row>
      <xdr:rowOff>114300</xdr:rowOff>
    </xdr:to>
    <xdr:pic>
      <xdr:nvPicPr>
        <xdr:cNvPr id="861" name="Imagen 860">
          <a:hlinkClick xmlns:r="http://schemas.openxmlformats.org/officeDocument/2006/relationships" r:id="rId811" tooltip="Quitar este incidente de la liquidación"/>
          <a:extLst>
            <a:ext uri="{FF2B5EF4-FFF2-40B4-BE49-F238E27FC236}">
              <a16:creationId xmlns:a16="http://schemas.microsoft.com/office/drawing/2014/main" id="{CA8F1D15-E4BF-47EF-8DAB-3FBFB9436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9421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489</xdr:row>
      <xdr:rowOff>0</xdr:rowOff>
    </xdr:from>
    <xdr:to>
      <xdr:col>13</xdr:col>
      <xdr:colOff>0</xdr:colOff>
      <xdr:row>490</xdr:row>
      <xdr:rowOff>112395</xdr:rowOff>
    </xdr:to>
    <xdr:pic>
      <xdr:nvPicPr>
        <xdr:cNvPr id="862" name="Imagen 861" descr="Ver detalle">
          <a:hlinkClick xmlns:r="http://schemas.openxmlformats.org/officeDocument/2006/relationships" r:id="rId812" tooltip="Ver detalle"/>
          <a:extLst>
            <a:ext uri="{FF2B5EF4-FFF2-40B4-BE49-F238E27FC236}">
              <a16:creationId xmlns:a16="http://schemas.microsoft.com/office/drawing/2014/main" id="{599BF96B-F288-4CF9-ABF7-4EDB1CD67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9535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489</xdr:row>
      <xdr:rowOff>0</xdr:rowOff>
    </xdr:from>
    <xdr:to>
      <xdr:col>13</xdr:col>
      <xdr:colOff>329565</xdr:colOff>
      <xdr:row>490</xdr:row>
      <xdr:rowOff>112395</xdr:rowOff>
    </xdr:to>
    <xdr:pic>
      <xdr:nvPicPr>
        <xdr:cNvPr id="863" name="Imagen 862">
          <a:hlinkClick xmlns:r="http://schemas.openxmlformats.org/officeDocument/2006/relationships" r:id="rId813" tooltip="Quitar este incidente de la liquidación"/>
          <a:extLst>
            <a:ext uri="{FF2B5EF4-FFF2-40B4-BE49-F238E27FC236}">
              <a16:creationId xmlns:a16="http://schemas.microsoft.com/office/drawing/2014/main" id="{D5B91AD2-C290-4697-9E87-6EB8D675F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9535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</xdr:row>
      <xdr:rowOff>0</xdr:rowOff>
    </xdr:from>
    <xdr:to>
      <xdr:col>13</xdr:col>
      <xdr:colOff>0</xdr:colOff>
      <xdr:row>493</xdr:row>
      <xdr:rowOff>110490</xdr:rowOff>
    </xdr:to>
    <xdr:pic>
      <xdr:nvPicPr>
        <xdr:cNvPr id="864" name="Imagen 863" descr="Ver detalle">
          <a:hlinkClick xmlns:r="http://schemas.openxmlformats.org/officeDocument/2006/relationships" r:id="rId814" tooltip="Ver detalle"/>
          <a:extLst>
            <a:ext uri="{FF2B5EF4-FFF2-40B4-BE49-F238E27FC236}">
              <a16:creationId xmlns:a16="http://schemas.microsoft.com/office/drawing/2014/main" id="{9A00D735-2989-4783-8F88-F327A386D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9779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492</xdr:row>
      <xdr:rowOff>0</xdr:rowOff>
    </xdr:from>
    <xdr:to>
      <xdr:col>13</xdr:col>
      <xdr:colOff>329565</xdr:colOff>
      <xdr:row>493</xdr:row>
      <xdr:rowOff>110490</xdr:rowOff>
    </xdr:to>
    <xdr:pic>
      <xdr:nvPicPr>
        <xdr:cNvPr id="865" name="Imagen 864">
          <a:hlinkClick xmlns:r="http://schemas.openxmlformats.org/officeDocument/2006/relationships" r:id="rId815" tooltip="Quitar este incidente de la liquidación"/>
          <a:extLst>
            <a:ext uri="{FF2B5EF4-FFF2-40B4-BE49-F238E27FC236}">
              <a16:creationId xmlns:a16="http://schemas.microsoft.com/office/drawing/2014/main" id="{1F59D9C3-3372-4C65-9069-1D709E1EE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9779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</xdr:row>
      <xdr:rowOff>0</xdr:rowOff>
    </xdr:from>
    <xdr:to>
      <xdr:col>13</xdr:col>
      <xdr:colOff>0</xdr:colOff>
      <xdr:row>488</xdr:row>
      <xdr:rowOff>114300</xdr:rowOff>
    </xdr:to>
    <xdr:pic>
      <xdr:nvPicPr>
        <xdr:cNvPr id="866" name="Imagen 865" descr="Ver detalle">
          <a:hlinkClick xmlns:r="http://schemas.openxmlformats.org/officeDocument/2006/relationships" r:id="rId816" tooltip="Ver detalle"/>
          <a:extLst>
            <a:ext uri="{FF2B5EF4-FFF2-40B4-BE49-F238E27FC236}">
              <a16:creationId xmlns:a16="http://schemas.microsoft.com/office/drawing/2014/main" id="{5159D1B5-E815-47B6-9513-CA298F5D8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9893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487</xdr:row>
      <xdr:rowOff>0</xdr:rowOff>
    </xdr:from>
    <xdr:to>
      <xdr:col>13</xdr:col>
      <xdr:colOff>329565</xdr:colOff>
      <xdr:row>488</xdr:row>
      <xdr:rowOff>114300</xdr:rowOff>
    </xdr:to>
    <xdr:pic>
      <xdr:nvPicPr>
        <xdr:cNvPr id="867" name="Imagen 866">
          <a:hlinkClick xmlns:r="http://schemas.openxmlformats.org/officeDocument/2006/relationships" r:id="rId817" tooltip="Quitar este incidente de la liquidación"/>
          <a:extLst>
            <a:ext uri="{FF2B5EF4-FFF2-40B4-BE49-F238E27FC236}">
              <a16:creationId xmlns:a16="http://schemas.microsoft.com/office/drawing/2014/main" id="{A7541FB1-45AE-4038-945E-B48BAFA51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9893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</xdr:row>
      <xdr:rowOff>0</xdr:rowOff>
    </xdr:from>
    <xdr:to>
      <xdr:col>13</xdr:col>
      <xdr:colOff>0</xdr:colOff>
      <xdr:row>487</xdr:row>
      <xdr:rowOff>114300</xdr:rowOff>
    </xdr:to>
    <xdr:pic>
      <xdr:nvPicPr>
        <xdr:cNvPr id="868" name="Imagen 867" descr="Ver detalle">
          <a:hlinkClick xmlns:r="http://schemas.openxmlformats.org/officeDocument/2006/relationships" r:id="rId818" tooltip="Ver detalle"/>
          <a:extLst>
            <a:ext uri="{FF2B5EF4-FFF2-40B4-BE49-F238E27FC236}">
              <a16:creationId xmlns:a16="http://schemas.microsoft.com/office/drawing/2014/main" id="{E118C543-6FA3-4526-A467-269F66AFC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0137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486</xdr:row>
      <xdr:rowOff>0</xdr:rowOff>
    </xdr:from>
    <xdr:to>
      <xdr:col>13</xdr:col>
      <xdr:colOff>329565</xdr:colOff>
      <xdr:row>487</xdr:row>
      <xdr:rowOff>114300</xdr:rowOff>
    </xdr:to>
    <xdr:pic>
      <xdr:nvPicPr>
        <xdr:cNvPr id="869" name="Imagen 868">
          <a:hlinkClick xmlns:r="http://schemas.openxmlformats.org/officeDocument/2006/relationships" r:id="rId819" tooltip="Quitar este incidente de la liquidación"/>
          <a:extLst>
            <a:ext uri="{FF2B5EF4-FFF2-40B4-BE49-F238E27FC236}">
              <a16:creationId xmlns:a16="http://schemas.microsoft.com/office/drawing/2014/main" id="{AD621A8D-CBF7-4BFE-A6D4-3D8CBFFC4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0137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</xdr:row>
      <xdr:rowOff>0</xdr:rowOff>
    </xdr:from>
    <xdr:to>
      <xdr:col>13</xdr:col>
      <xdr:colOff>0</xdr:colOff>
      <xdr:row>495</xdr:row>
      <xdr:rowOff>114300</xdr:rowOff>
    </xdr:to>
    <xdr:pic>
      <xdr:nvPicPr>
        <xdr:cNvPr id="870" name="Imagen 869" descr="Ver detalle">
          <a:hlinkClick xmlns:r="http://schemas.openxmlformats.org/officeDocument/2006/relationships" r:id="rId820" tooltip="Ver detalle"/>
          <a:extLst>
            <a:ext uri="{FF2B5EF4-FFF2-40B4-BE49-F238E27FC236}">
              <a16:creationId xmlns:a16="http://schemas.microsoft.com/office/drawing/2014/main" id="{8B34A934-1529-457F-B64E-CAA18FCD7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0381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494</xdr:row>
      <xdr:rowOff>0</xdr:rowOff>
    </xdr:from>
    <xdr:to>
      <xdr:col>13</xdr:col>
      <xdr:colOff>329565</xdr:colOff>
      <xdr:row>495</xdr:row>
      <xdr:rowOff>114300</xdr:rowOff>
    </xdr:to>
    <xdr:pic>
      <xdr:nvPicPr>
        <xdr:cNvPr id="871" name="Imagen 870">
          <a:hlinkClick xmlns:r="http://schemas.openxmlformats.org/officeDocument/2006/relationships" r:id="rId821" tooltip="Quitar este incidente de la liquidación"/>
          <a:extLst>
            <a:ext uri="{FF2B5EF4-FFF2-40B4-BE49-F238E27FC236}">
              <a16:creationId xmlns:a16="http://schemas.microsoft.com/office/drawing/2014/main" id="{32A0F7F3-10F8-4236-A1BB-8DB247D93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0381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483</xdr:row>
      <xdr:rowOff>0</xdr:rowOff>
    </xdr:from>
    <xdr:to>
      <xdr:col>13</xdr:col>
      <xdr:colOff>0</xdr:colOff>
      <xdr:row>484</xdr:row>
      <xdr:rowOff>114300</xdr:rowOff>
    </xdr:to>
    <xdr:pic>
      <xdr:nvPicPr>
        <xdr:cNvPr id="872" name="Imagen 871" descr="Ver detalle">
          <a:hlinkClick xmlns:r="http://schemas.openxmlformats.org/officeDocument/2006/relationships" r:id="rId822" tooltip="Ver detalle"/>
          <a:extLst>
            <a:ext uri="{FF2B5EF4-FFF2-40B4-BE49-F238E27FC236}">
              <a16:creationId xmlns:a16="http://schemas.microsoft.com/office/drawing/2014/main" id="{5BA7F5E3-906A-425A-A294-E6BE40FAD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0544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483</xdr:row>
      <xdr:rowOff>0</xdr:rowOff>
    </xdr:from>
    <xdr:to>
      <xdr:col>13</xdr:col>
      <xdr:colOff>329565</xdr:colOff>
      <xdr:row>484</xdr:row>
      <xdr:rowOff>114300</xdr:rowOff>
    </xdr:to>
    <xdr:pic>
      <xdr:nvPicPr>
        <xdr:cNvPr id="873" name="Imagen 872">
          <a:hlinkClick xmlns:r="http://schemas.openxmlformats.org/officeDocument/2006/relationships" r:id="rId823" tooltip="Quitar este incidente de la liquidación"/>
          <a:extLst>
            <a:ext uri="{FF2B5EF4-FFF2-40B4-BE49-F238E27FC236}">
              <a16:creationId xmlns:a16="http://schemas.microsoft.com/office/drawing/2014/main" id="{429428A3-E433-4346-B87F-ADA931361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0544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</xdr:row>
      <xdr:rowOff>0</xdr:rowOff>
    </xdr:from>
    <xdr:to>
      <xdr:col>13</xdr:col>
      <xdr:colOff>0</xdr:colOff>
      <xdr:row>495</xdr:row>
      <xdr:rowOff>114300</xdr:rowOff>
    </xdr:to>
    <xdr:pic>
      <xdr:nvPicPr>
        <xdr:cNvPr id="874" name="Imagen 873" descr="Ver detalle">
          <a:hlinkClick xmlns:r="http://schemas.openxmlformats.org/officeDocument/2006/relationships" r:id="rId824" tooltip="Ver detalle"/>
          <a:extLst>
            <a:ext uri="{FF2B5EF4-FFF2-40B4-BE49-F238E27FC236}">
              <a16:creationId xmlns:a16="http://schemas.microsoft.com/office/drawing/2014/main" id="{0F36CC25-5575-4CB6-B334-BC37F4A02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078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494</xdr:row>
      <xdr:rowOff>0</xdr:rowOff>
    </xdr:from>
    <xdr:to>
      <xdr:col>13</xdr:col>
      <xdr:colOff>329565</xdr:colOff>
      <xdr:row>495</xdr:row>
      <xdr:rowOff>114300</xdr:rowOff>
    </xdr:to>
    <xdr:pic>
      <xdr:nvPicPr>
        <xdr:cNvPr id="875" name="Imagen 874">
          <a:hlinkClick xmlns:r="http://schemas.openxmlformats.org/officeDocument/2006/relationships" r:id="rId825" tooltip="Quitar este incidente de la liquidación"/>
          <a:extLst>
            <a:ext uri="{FF2B5EF4-FFF2-40B4-BE49-F238E27FC236}">
              <a16:creationId xmlns:a16="http://schemas.microsoft.com/office/drawing/2014/main" id="{7F13851F-36FE-4E25-834B-B14A5F272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078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484</xdr:row>
      <xdr:rowOff>0</xdr:rowOff>
    </xdr:from>
    <xdr:to>
      <xdr:col>13</xdr:col>
      <xdr:colOff>0</xdr:colOff>
      <xdr:row>485</xdr:row>
      <xdr:rowOff>114300</xdr:rowOff>
    </xdr:to>
    <xdr:pic>
      <xdr:nvPicPr>
        <xdr:cNvPr id="876" name="Imagen 875" descr="Ver detalle">
          <a:hlinkClick xmlns:r="http://schemas.openxmlformats.org/officeDocument/2006/relationships" r:id="rId826" tooltip="Ver detalle"/>
          <a:extLst>
            <a:ext uri="{FF2B5EF4-FFF2-40B4-BE49-F238E27FC236}">
              <a16:creationId xmlns:a16="http://schemas.microsoft.com/office/drawing/2014/main" id="{5B7BB314-84B2-4BA7-84D3-1CFD27208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1031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484</xdr:row>
      <xdr:rowOff>0</xdr:rowOff>
    </xdr:from>
    <xdr:to>
      <xdr:col>13</xdr:col>
      <xdr:colOff>329565</xdr:colOff>
      <xdr:row>485</xdr:row>
      <xdr:rowOff>114300</xdr:rowOff>
    </xdr:to>
    <xdr:pic>
      <xdr:nvPicPr>
        <xdr:cNvPr id="877" name="Imagen 876">
          <a:hlinkClick xmlns:r="http://schemas.openxmlformats.org/officeDocument/2006/relationships" r:id="rId827" tooltip="Quitar este incidente de la liquidación"/>
          <a:extLst>
            <a:ext uri="{FF2B5EF4-FFF2-40B4-BE49-F238E27FC236}">
              <a16:creationId xmlns:a16="http://schemas.microsoft.com/office/drawing/2014/main" id="{FA3D6D58-6667-4F8A-9A7B-E9B3F384E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1031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</xdr:row>
      <xdr:rowOff>0</xdr:rowOff>
    </xdr:from>
    <xdr:to>
      <xdr:col>13</xdr:col>
      <xdr:colOff>0</xdr:colOff>
      <xdr:row>481</xdr:row>
      <xdr:rowOff>114300</xdr:rowOff>
    </xdr:to>
    <xdr:pic>
      <xdr:nvPicPr>
        <xdr:cNvPr id="878" name="Imagen 877" descr="Ver detalle">
          <a:hlinkClick xmlns:r="http://schemas.openxmlformats.org/officeDocument/2006/relationships" r:id="rId828" tooltip="Ver detalle"/>
          <a:extLst>
            <a:ext uri="{FF2B5EF4-FFF2-40B4-BE49-F238E27FC236}">
              <a16:creationId xmlns:a16="http://schemas.microsoft.com/office/drawing/2014/main" id="{E64303D5-43C2-4A95-80DE-46ECEDD24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1194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480</xdr:row>
      <xdr:rowOff>0</xdr:rowOff>
    </xdr:from>
    <xdr:to>
      <xdr:col>13</xdr:col>
      <xdr:colOff>329565</xdr:colOff>
      <xdr:row>481</xdr:row>
      <xdr:rowOff>114300</xdr:rowOff>
    </xdr:to>
    <xdr:pic>
      <xdr:nvPicPr>
        <xdr:cNvPr id="879" name="Imagen 878">
          <a:hlinkClick xmlns:r="http://schemas.openxmlformats.org/officeDocument/2006/relationships" r:id="rId829" tooltip="Quitar este incidente de la liquidación"/>
          <a:extLst>
            <a:ext uri="{FF2B5EF4-FFF2-40B4-BE49-F238E27FC236}">
              <a16:creationId xmlns:a16="http://schemas.microsoft.com/office/drawing/2014/main" id="{E79FFA2D-8668-4B08-A72E-B29DAA58A7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1194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482</xdr:row>
      <xdr:rowOff>0</xdr:rowOff>
    </xdr:from>
    <xdr:to>
      <xdr:col>13</xdr:col>
      <xdr:colOff>0</xdr:colOff>
      <xdr:row>483</xdr:row>
      <xdr:rowOff>114300</xdr:rowOff>
    </xdr:to>
    <xdr:pic>
      <xdr:nvPicPr>
        <xdr:cNvPr id="880" name="Imagen 879" descr="Ver detalle">
          <a:hlinkClick xmlns:r="http://schemas.openxmlformats.org/officeDocument/2006/relationships" r:id="rId830" tooltip="Ver detalle"/>
          <a:extLst>
            <a:ext uri="{FF2B5EF4-FFF2-40B4-BE49-F238E27FC236}">
              <a16:creationId xmlns:a16="http://schemas.microsoft.com/office/drawing/2014/main" id="{3A80AD0D-8F6C-4AA9-80FA-C672A6B26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1438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482</xdr:row>
      <xdr:rowOff>0</xdr:rowOff>
    </xdr:from>
    <xdr:to>
      <xdr:col>13</xdr:col>
      <xdr:colOff>329565</xdr:colOff>
      <xdr:row>483</xdr:row>
      <xdr:rowOff>114300</xdr:rowOff>
    </xdr:to>
    <xdr:pic>
      <xdr:nvPicPr>
        <xdr:cNvPr id="881" name="Imagen 880">
          <a:hlinkClick xmlns:r="http://schemas.openxmlformats.org/officeDocument/2006/relationships" r:id="rId831" tooltip="Quitar este incidente de la liquidación"/>
          <a:extLst>
            <a:ext uri="{FF2B5EF4-FFF2-40B4-BE49-F238E27FC236}">
              <a16:creationId xmlns:a16="http://schemas.microsoft.com/office/drawing/2014/main" id="{43CF18EB-54E3-4B53-AA93-8C34EB82A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1438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</xdr:row>
      <xdr:rowOff>0</xdr:rowOff>
    </xdr:from>
    <xdr:to>
      <xdr:col>13</xdr:col>
      <xdr:colOff>0</xdr:colOff>
      <xdr:row>482</xdr:row>
      <xdr:rowOff>114300</xdr:rowOff>
    </xdr:to>
    <xdr:pic>
      <xdr:nvPicPr>
        <xdr:cNvPr id="882" name="Imagen 881" descr="Ver detalle">
          <a:hlinkClick xmlns:r="http://schemas.openxmlformats.org/officeDocument/2006/relationships" r:id="rId832" tooltip="Ver detalle"/>
          <a:extLst>
            <a:ext uri="{FF2B5EF4-FFF2-40B4-BE49-F238E27FC236}">
              <a16:creationId xmlns:a16="http://schemas.microsoft.com/office/drawing/2014/main" id="{DAE98236-3184-452D-AB4C-CA18AD9AEA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1682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481</xdr:row>
      <xdr:rowOff>0</xdr:rowOff>
    </xdr:from>
    <xdr:to>
      <xdr:col>13</xdr:col>
      <xdr:colOff>329565</xdr:colOff>
      <xdr:row>482</xdr:row>
      <xdr:rowOff>114300</xdr:rowOff>
    </xdr:to>
    <xdr:pic>
      <xdr:nvPicPr>
        <xdr:cNvPr id="883" name="Imagen 882">
          <a:hlinkClick xmlns:r="http://schemas.openxmlformats.org/officeDocument/2006/relationships" r:id="rId833" tooltip="Quitar este incidente de la liquidación"/>
          <a:extLst>
            <a:ext uri="{FF2B5EF4-FFF2-40B4-BE49-F238E27FC236}">
              <a16:creationId xmlns:a16="http://schemas.microsoft.com/office/drawing/2014/main" id="{FF3F59EC-D344-455A-AA52-4D76EF720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1682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488</xdr:row>
      <xdr:rowOff>0</xdr:rowOff>
    </xdr:from>
    <xdr:to>
      <xdr:col>13</xdr:col>
      <xdr:colOff>0</xdr:colOff>
      <xdr:row>489</xdr:row>
      <xdr:rowOff>112395</xdr:rowOff>
    </xdr:to>
    <xdr:pic>
      <xdr:nvPicPr>
        <xdr:cNvPr id="884" name="Imagen 883" descr="Ver detalle">
          <a:hlinkClick xmlns:r="http://schemas.openxmlformats.org/officeDocument/2006/relationships" r:id="rId834" tooltip="Ver detalle"/>
          <a:extLst>
            <a:ext uri="{FF2B5EF4-FFF2-40B4-BE49-F238E27FC236}">
              <a16:creationId xmlns:a16="http://schemas.microsoft.com/office/drawing/2014/main" id="{3B3BA767-F5B2-48CD-80A0-F06C41285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1926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488</xdr:row>
      <xdr:rowOff>0</xdr:rowOff>
    </xdr:from>
    <xdr:to>
      <xdr:col>13</xdr:col>
      <xdr:colOff>329565</xdr:colOff>
      <xdr:row>489</xdr:row>
      <xdr:rowOff>112395</xdr:rowOff>
    </xdr:to>
    <xdr:pic>
      <xdr:nvPicPr>
        <xdr:cNvPr id="885" name="Imagen 884">
          <a:hlinkClick xmlns:r="http://schemas.openxmlformats.org/officeDocument/2006/relationships" r:id="rId835" tooltip="Quitar este incidente de la liquidación"/>
          <a:extLst>
            <a:ext uri="{FF2B5EF4-FFF2-40B4-BE49-F238E27FC236}">
              <a16:creationId xmlns:a16="http://schemas.microsoft.com/office/drawing/2014/main" id="{C793EACF-9809-4525-B689-A7F910CFB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1926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517</xdr:row>
      <xdr:rowOff>0</xdr:rowOff>
    </xdr:from>
    <xdr:to>
      <xdr:col>13</xdr:col>
      <xdr:colOff>0</xdr:colOff>
      <xdr:row>518</xdr:row>
      <xdr:rowOff>110490</xdr:rowOff>
    </xdr:to>
    <xdr:pic>
      <xdr:nvPicPr>
        <xdr:cNvPr id="886" name="Imagen 885" descr="Ver detalle">
          <a:hlinkClick xmlns:r="http://schemas.openxmlformats.org/officeDocument/2006/relationships" r:id="rId836" tooltip="Ver detalle"/>
          <a:extLst>
            <a:ext uri="{FF2B5EF4-FFF2-40B4-BE49-F238E27FC236}">
              <a16:creationId xmlns:a16="http://schemas.microsoft.com/office/drawing/2014/main" id="{6E1CAD4F-8ED6-4830-A037-92A33D58F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170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517</xdr:row>
      <xdr:rowOff>0</xdr:rowOff>
    </xdr:from>
    <xdr:to>
      <xdr:col>13</xdr:col>
      <xdr:colOff>329565</xdr:colOff>
      <xdr:row>518</xdr:row>
      <xdr:rowOff>110490</xdr:rowOff>
    </xdr:to>
    <xdr:pic>
      <xdr:nvPicPr>
        <xdr:cNvPr id="887" name="Imagen 886">
          <a:hlinkClick xmlns:r="http://schemas.openxmlformats.org/officeDocument/2006/relationships" r:id="rId837" tooltip="Quitar este incidente de la liquidación"/>
          <a:extLst>
            <a:ext uri="{FF2B5EF4-FFF2-40B4-BE49-F238E27FC236}">
              <a16:creationId xmlns:a16="http://schemas.microsoft.com/office/drawing/2014/main" id="{2714E7B4-A9E3-4BB4-BE8F-65E7484A6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2170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516</xdr:row>
      <xdr:rowOff>0</xdr:rowOff>
    </xdr:from>
    <xdr:to>
      <xdr:col>13</xdr:col>
      <xdr:colOff>0</xdr:colOff>
      <xdr:row>517</xdr:row>
      <xdr:rowOff>114300</xdr:rowOff>
    </xdr:to>
    <xdr:pic>
      <xdr:nvPicPr>
        <xdr:cNvPr id="888" name="Imagen 887" descr="Ver detalle">
          <a:hlinkClick xmlns:r="http://schemas.openxmlformats.org/officeDocument/2006/relationships" r:id="rId838" tooltip="Ver detalle"/>
          <a:extLst>
            <a:ext uri="{FF2B5EF4-FFF2-40B4-BE49-F238E27FC236}">
              <a16:creationId xmlns:a16="http://schemas.microsoft.com/office/drawing/2014/main" id="{9C73DDB8-53A8-4723-A545-70D2785E9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413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516</xdr:row>
      <xdr:rowOff>0</xdr:rowOff>
    </xdr:from>
    <xdr:to>
      <xdr:col>13</xdr:col>
      <xdr:colOff>329565</xdr:colOff>
      <xdr:row>517</xdr:row>
      <xdr:rowOff>114300</xdr:rowOff>
    </xdr:to>
    <xdr:pic>
      <xdr:nvPicPr>
        <xdr:cNvPr id="889" name="Imagen 888">
          <a:hlinkClick xmlns:r="http://schemas.openxmlformats.org/officeDocument/2006/relationships" r:id="rId839" tooltip="Quitar este incidente de la liquidación"/>
          <a:extLst>
            <a:ext uri="{FF2B5EF4-FFF2-40B4-BE49-F238E27FC236}">
              <a16:creationId xmlns:a16="http://schemas.microsoft.com/office/drawing/2014/main" id="{99BEC6D6-D5A6-4099-9C68-EF1F4CB49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2413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515</xdr:row>
      <xdr:rowOff>0</xdr:rowOff>
    </xdr:from>
    <xdr:to>
      <xdr:col>13</xdr:col>
      <xdr:colOff>0</xdr:colOff>
      <xdr:row>516</xdr:row>
      <xdr:rowOff>114300</xdr:rowOff>
    </xdr:to>
    <xdr:pic>
      <xdr:nvPicPr>
        <xdr:cNvPr id="890" name="Imagen 889" descr="Ver detalle">
          <a:hlinkClick xmlns:r="http://schemas.openxmlformats.org/officeDocument/2006/relationships" r:id="rId840" tooltip="Ver detalle"/>
          <a:extLst>
            <a:ext uri="{FF2B5EF4-FFF2-40B4-BE49-F238E27FC236}">
              <a16:creationId xmlns:a16="http://schemas.microsoft.com/office/drawing/2014/main" id="{53A5E2E3-6AB8-49C1-A167-0372E8EE4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657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515</xdr:row>
      <xdr:rowOff>0</xdr:rowOff>
    </xdr:from>
    <xdr:to>
      <xdr:col>13</xdr:col>
      <xdr:colOff>329565</xdr:colOff>
      <xdr:row>516</xdr:row>
      <xdr:rowOff>114300</xdr:rowOff>
    </xdr:to>
    <xdr:pic>
      <xdr:nvPicPr>
        <xdr:cNvPr id="891" name="Imagen 890">
          <a:hlinkClick xmlns:r="http://schemas.openxmlformats.org/officeDocument/2006/relationships" r:id="rId841" tooltip="Quitar este incidente de la liquidación"/>
          <a:extLst>
            <a:ext uri="{FF2B5EF4-FFF2-40B4-BE49-F238E27FC236}">
              <a16:creationId xmlns:a16="http://schemas.microsoft.com/office/drawing/2014/main" id="{8580573A-6E45-4094-A3E4-02B9C2772B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2657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514</xdr:row>
      <xdr:rowOff>0</xdr:rowOff>
    </xdr:from>
    <xdr:to>
      <xdr:col>13</xdr:col>
      <xdr:colOff>0</xdr:colOff>
      <xdr:row>515</xdr:row>
      <xdr:rowOff>114300</xdr:rowOff>
    </xdr:to>
    <xdr:pic>
      <xdr:nvPicPr>
        <xdr:cNvPr id="892" name="Imagen 891" descr="Ver detalle">
          <a:hlinkClick xmlns:r="http://schemas.openxmlformats.org/officeDocument/2006/relationships" r:id="rId842" tooltip="Ver detalle"/>
          <a:extLst>
            <a:ext uri="{FF2B5EF4-FFF2-40B4-BE49-F238E27FC236}">
              <a16:creationId xmlns:a16="http://schemas.microsoft.com/office/drawing/2014/main" id="{BFBC59E1-2748-4128-8FF7-095FDEAF5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901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514</xdr:row>
      <xdr:rowOff>0</xdr:rowOff>
    </xdr:from>
    <xdr:to>
      <xdr:col>13</xdr:col>
      <xdr:colOff>329565</xdr:colOff>
      <xdr:row>515</xdr:row>
      <xdr:rowOff>114300</xdr:rowOff>
    </xdr:to>
    <xdr:pic>
      <xdr:nvPicPr>
        <xdr:cNvPr id="893" name="Imagen 892">
          <a:hlinkClick xmlns:r="http://schemas.openxmlformats.org/officeDocument/2006/relationships" r:id="rId843" tooltip="Quitar este incidente de la liquidación"/>
          <a:extLst>
            <a:ext uri="{FF2B5EF4-FFF2-40B4-BE49-F238E27FC236}">
              <a16:creationId xmlns:a16="http://schemas.microsoft.com/office/drawing/2014/main" id="{166862F2-FB7A-4F94-88ED-724B20499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2901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513</xdr:row>
      <xdr:rowOff>0</xdr:rowOff>
    </xdr:from>
    <xdr:to>
      <xdr:col>13</xdr:col>
      <xdr:colOff>0</xdr:colOff>
      <xdr:row>514</xdr:row>
      <xdr:rowOff>114300</xdr:rowOff>
    </xdr:to>
    <xdr:pic>
      <xdr:nvPicPr>
        <xdr:cNvPr id="894" name="Imagen 893" descr="Ver detalle">
          <a:hlinkClick xmlns:r="http://schemas.openxmlformats.org/officeDocument/2006/relationships" r:id="rId844" tooltip="Ver detalle"/>
          <a:extLst>
            <a:ext uri="{FF2B5EF4-FFF2-40B4-BE49-F238E27FC236}">
              <a16:creationId xmlns:a16="http://schemas.microsoft.com/office/drawing/2014/main" id="{0FCFD5CF-5CBB-4B0C-9D1A-BD4E1A019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3145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513</xdr:row>
      <xdr:rowOff>0</xdr:rowOff>
    </xdr:from>
    <xdr:to>
      <xdr:col>13</xdr:col>
      <xdr:colOff>329565</xdr:colOff>
      <xdr:row>514</xdr:row>
      <xdr:rowOff>114300</xdr:rowOff>
    </xdr:to>
    <xdr:pic>
      <xdr:nvPicPr>
        <xdr:cNvPr id="895" name="Imagen 894">
          <a:hlinkClick xmlns:r="http://schemas.openxmlformats.org/officeDocument/2006/relationships" r:id="rId845" tooltip="Quitar este incidente de la liquidación"/>
          <a:extLst>
            <a:ext uri="{FF2B5EF4-FFF2-40B4-BE49-F238E27FC236}">
              <a16:creationId xmlns:a16="http://schemas.microsoft.com/office/drawing/2014/main" id="{A4B6936E-B1F3-418C-BC41-1BC3AC61B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3145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512</xdr:row>
      <xdr:rowOff>0</xdr:rowOff>
    </xdr:from>
    <xdr:to>
      <xdr:col>13</xdr:col>
      <xdr:colOff>0</xdr:colOff>
      <xdr:row>513</xdr:row>
      <xdr:rowOff>114300</xdr:rowOff>
    </xdr:to>
    <xdr:pic>
      <xdr:nvPicPr>
        <xdr:cNvPr id="896" name="Imagen 895" descr="Ver detalle">
          <a:hlinkClick xmlns:r="http://schemas.openxmlformats.org/officeDocument/2006/relationships" r:id="rId846" tooltip="Ver detalle"/>
          <a:extLst>
            <a:ext uri="{FF2B5EF4-FFF2-40B4-BE49-F238E27FC236}">
              <a16:creationId xmlns:a16="http://schemas.microsoft.com/office/drawing/2014/main" id="{0B8209AE-DBA2-4BFD-B9E6-7566BA590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3389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512</xdr:row>
      <xdr:rowOff>0</xdr:rowOff>
    </xdr:from>
    <xdr:to>
      <xdr:col>13</xdr:col>
      <xdr:colOff>329565</xdr:colOff>
      <xdr:row>513</xdr:row>
      <xdr:rowOff>114300</xdr:rowOff>
    </xdr:to>
    <xdr:pic>
      <xdr:nvPicPr>
        <xdr:cNvPr id="897" name="Imagen 896">
          <a:hlinkClick xmlns:r="http://schemas.openxmlformats.org/officeDocument/2006/relationships" r:id="rId847" tooltip="Quitar este incidente de la liquidación"/>
          <a:extLst>
            <a:ext uri="{FF2B5EF4-FFF2-40B4-BE49-F238E27FC236}">
              <a16:creationId xmlns:a16="http://schemas.microsoft.com/office/drawing/2014/main" id="{003932F6-A21D-48E0-A176-E123EB1B6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3389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511</xdr:row>
      <xdr:rowOff>0</xdr:rowOff>
    </xdr:from>
    <xdr:to>
      <xdr:col>13</xdr:col>
      <xdr:colOff>0</xdr:colOff>
      <xdr:row>512</xdr:row>
      <xdr:rowOff>114300</xdr:rowOff>
    </xdr:to>
    <xdr:pic>
      <xdr:nvPicPr>
        <xdr:cNvPr id="898" name="Imagen 897" descr="Ver detalle">
          <a:hlinkClick xmlns:r="http://schemas.openxmlformats.org/officeDocument/2006/relationships" r:id="rId848" tooltip="Ver detalle"/>
          <a:extLst>
            <a:ext uri="{FF2B5EF4-FFF2-40B4-BE49-F238E27FC236}">
              <a16:creationId xmlns:a16="http://schemas.microsoft.com/office/drawing/2014/main" id="{895327A0-22FB-479F-A2DE-B08EBF11A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3633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511</xdr:row>
      <xdr:rowOff>0</xdr:rowOff>
    </xdr:from>
    <xdr:to>
      <xdr:col>13</xdr:col>
      <xdr:colOff>329565</xdr:colOff>
      <xdr:row>512</xdr:row>
      <xdr:rowOff>114300</xdr:rowOff>
    </xdr:to>
    <xdr:pic>
      <xdr:nvPicPr>
        <xdr:cNvPr id="899" name="Imagen 898">
          <a:hlinkClick xmlns:r="http://schemas.openxmlformats.org/officeDocument/2006/relationships" r:id="rId849" tooltip="Quitar este incidente de la liquidación"/>
          <a:extLst>
            <a:ext uri="{FF2B5EF4-FFF2-40B4-BE49-F238E27FC236}">
              <a16:creationId xmlns:a16="http://schemas.microsoft.com/office/drawing/2014/main" id="{EEBE6799-B990-4453-A720-B695337FE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3633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510</xdr:row>
      <xdr:rowOff>0</xdr:rowOff>
    </xdr:from>
    <xdr:to>
      <xdr:col>13</xdr:col>
      <xdr:colOff>0</xdr:colOff>
      <xdr:row>511</xdr:row>
      <xdr:rowOff>114300</xdr:rowOff>
    </xdr:to>
    <xdr:pic>
      <xdr:nvPicPr>
        <xdr:cNvPr id="900" name="Imagen 899" descr="Ver detalle">
          <a:hlinkClick xmlns:r="http://schemas.openxmlformats.org/officeDocument/2006/relationships" r:id="rId850" tooltip="Ver detalle"/>
          <a:extLst>
            <a:ext uri="{FF2B5EF4-FFF2-40B4-BE49-F238E27FC236}">
              <a16:creationId xmlns:a16="http://schemas.microsoft.com/office/drawing/2014/main" id="{8AF1963C-E005-485E-B204-B7626A458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3747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510</xdr:row>
      <xdr:rowOff>0</xdr:rowOff>
    </xdr:from>
    <xdr:to>
      <xdr:col>13</xdr:col>
      <xdr:colOff>329565</xdr:colOff>
      <xdr:row>511</xdr:row>
      <xdr:rowOff>114300</xdr:rowOff>
    </xdr:to>
    <xdr:pic>
      <xdr:nvPicPr>
        <xdr:cNvPr id="901" name="Imagen 900">
          <a:hlinkClick xmlns:r="http://schemas.openxmlformats.org/officeDocument/2006/relationships" r:id="rId851" tooltip="Quitar este incidente de la liquidación"/>
          <a:extLst>
            <a:ext uri="{FF2B5EF4-FFF2-40B4-BE49-F238E27FC236}">
              <a16:creationId xmlns:a16="http://schemas.microsoft.com/office/drawing/2014/main" id="{E102504F-2532-4C13-9217-C9597325D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3747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509</xdr:row>
      <xdr:rowOff>0</xdr:rowOff>
    </xdr:from>
    <xdr:to>
      <xdr:col>13</xdr:col>
      <xdr:colOff>0</xdr:colOff>
      <xdr:row>510</xdr:row>
      <xdr:rowOff>114300</xdr:rowOff>
    </xdr:to>
    <xdr:pic>
      <xdr:nvPicPr>
        <xdr:cNvPr id="902" name="Imagen 901" descr="Ver detalle">
          <a:hlinkClick xmlns:r="http://schemas.openxmlformats.org/officeDocument/2006/relationships" r:id="rId852" tooltip="Ver detalle"/>
          <a:extLst>
            <a:ext uri="{FF2B5EF4-FFF2-40B4-BE49-F238E27FC236}">
              <a16:creationId xmlns:a16="http://schemas.microsoft.com/office/drawing/2014/main" id="{48C47651-A040-4D9A-B327-28A269850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3861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509</xdr:row>
      <xdr:rowOff>0</xdr:rowOff>
    </xdr:from>
    <xdr:to>
      <xdr:col>13</xdr:col>
      <xdr:colOff>329565</xdr:colOff>
      <xdr:row>510</xdr:row>
      <xdr:rowOff>114300</xdr:rowOff>
    </xdr:to>
    <xdr:pic>
      <xdr:nvPicPr>
        <xdr:cNvPr id="903" name="Imagen 902">
          <a:hlinkClick xmlns:r="http://schemas.openxmlformats.org/officeDocument/2006/relationships" r:id="rId853" tooltip="Quitar este incidente de la liquidación"/>
          <a:extLst>
            <a:ext uri="{FF2B5EF4-FFF2-40B4-BE49-F238E27FC236}">
              <a16:creationId xmlns:a16="http://schemas.microsoft.com/office/drawing/2014/main" id="{4F054613-CBB0-41AD-896E-2EC6C6803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3861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</xdr:row>
      <xdr:rowOff>0</xdr:rowOff>
    </xdr:from>
    <xdr:to>
      <xdr:col>13</xdr:col>
      <xdr:colOff>0</xdr:colOff>
      <xdr:row>479</xdr:row>
      <xdr:rowOff>114300</xdr:rowOff>
    </xdr:to>
    <xdr:pic>
      <xdr:nvPicPr>
        <xdr:cNvPr id="904" name="Imagen 903" descr="Ver detalle">
          <a:hlinkClick xmlns:r="http://schemas.openxmlformats.org/officeDocument/2006/relationships" r:id="rId854" tooltip="Ver detalle"/>
          <a:extLst>
            <a:ext uri="{FF2B5EF4-FFF2-40B4-BE49-F238E27FC236}">
              <a16:creationId xmlns:a16="http://schemas.microsoft.com/office/drawing/2014/main" id="{B5EC0B48-7E90-4CD7-8C8F-A9820A7E6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4219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478</xdr:row>
      <xdr:rowOff>0</xdr:rowOff>
    </xdr:from>
    <xdr:to>
      <xdr:col>13</xdr:col>
      <xdr:colOff>329565</xdr:colOff>
      <xdr:row>479</xdr:row>
      <xdr:rowOff>114300</xdr:rowOff>
    </xdr:to>
    <xdr:pic>
      <xdr:nvPicPr>
        <xdr:cNvPr id="905" name="Imagen 904">
          <a:hlinkClick xmlns:r="http://schemas.openxmlformats.org/officeDocument/2006/relationships" r:id="rId855" tooltip="Quitar este incidente de la liquidación"/>
          <a:extLst>
            <a:ext uri="{FF2B5EF4-FFF2-40B4-BE49-F238E27FC236}">
              <a16:creationId xmlns:a16="http://schemas.microsoft.com/office/drawing/2014/main" id="{CA0F5B70-1D30-4EC4-98DA-717209688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4219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</xdr:row>
      <xdr:rowOff>0</xdr:rowOff>
    </xdr:from>
    <xdr:to>
      <xdr:col>13</xdr:col>
      <xdr:colOff>0</xdr:colOff>
      <xdr:row>491</xdr:row>
      <xdr:rowOff>112395</xdr:rowOff>
    </xdr:to>
    <xdr:pic>
      <xdr:nvPicPr>
        <xdr:cNvPr id="906" name="Imagen 905" descr="Ver detalle">
          <a:hlinkClick xmlns:r="http://schemas.openxmlformats.org/officeDocument/2006/relationships" r:id="rId856" tooltip="Ver detalle"/>
          <a:extLst>
            <a:ext uri="{FF2B5EF4-FFF2-40B4-BE49-F238E27FC236}">
              <a16:creationId xmlns:a16="http://schemas.microsoft.com/office/drawing/2014/main" id="{0883A569-F00C-434F-B506-FB0A7AFC4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433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490</xdr:row>
      <xdr:rowOff>0</xdr:rowOff>
    </xdr:from>
    <xdr:to>
      <xdr:col>13</xdr:col>
      <xdr:colOff>329565</xdr:colOff>
      <xdr:row>491</xdr:row>
      <xdr:rowOff>112395</xdr:rowOff>
    </xdr:to>
    <xdr:pic>
      <xdr:nvPicPr>
        <xdr:cNvPr id="907" name="Imagen 906">
          <a:hlinkClick xmlns:r="http://schemas.openxmlformats.org/officeDocument/2006/relationships" r:id="rId857" tooltip="Quitar este incidente de la liquidación"/>
          <a:extLst>
            <a:ext uri="{FF2B5EF4-FFF2-40B4-BE49-F238E27FC236}">
              <a16:creationId xmlns:a16="http://schemas.microsoft.com/office/drawing/2014/main" id="{49273122-4BE3-4FA3-B679-2B8CA0DE1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433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475</xdr:row>
      <xdr:rowOff>0</xdr:rowOff>
    </xdr:from>
    <xdr:to>
      <xdr:col>13</xdr:col>
      <xdr:colOff>0</xdr:colOff>
      <xdr:row>476</xdr:row>
      <xdr:rowOff>114300</xdr:rowOff>
    </xdr:to>
    <xdr:pic>
      <xdr:nvPicPr>
        <xdr:cNvPr id="908" name="Imagen 907" descr="Ver detalle">
          <a:hlinkClick xmlns:r="http://schemas.openxmlformats.org/officeDocument/2006/relationships" r:id="rId858" tooltip="Ver detalle"/>
          <a:extLst>
            <a:ext uri="{FF2B5EF4-FFF2-40B4-BE49-F238E27FC236}">
              <a16:creationId xmlns:a16="http://schemas.microsoft.com/office/drawing/2014/main" id="{229616D9-26BA-4A3D-88AF-047837CD6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4578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475</xdr:row>
      <xdr:rowOff>0</xdr:rowOff>
    </xdr:from>
    <xdr:to>
      <xdr:col>13</xdr:col>
      <xdr:colOff>329565</xdr:colOff>
      <xdr:row>476</xdr:row>
      <xdr:rowOff>114300</xdr:rowOff>
    </xdr:to>
    <xdr:pic>
      <xdr:nvPicPr>
        <xdr:cNvPr id="909" name="Imagen 908">
          <a:hlinkClick xmlns:r="http://schemas.openxmlformats.org/officeDocument/2006/relationships" r:id="rId859" tooltip="Quitar este incidente de la liquidación"/>
          <a:extLst>
            <a:ext uri="{FF2B5EF4-FFF2-40B4-BE49-F238E27FC236}">
              <a16:creationId xmlns:a16="http://schemas.microsoft.com/office/drawing/2014/main" id="{6610BDC3-1BEE-4636-893B-45869A4D1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4578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</xdr:row>
      <xdr:rowOff>0</xdr:rowOff>
    </xdr:from>
    <xdr:to>
      <xdr:col>13</xdr:col>
      <xdr:colOff>0</xdr:colOff>
      <xdr:row>477</xdr:row>
      <xdr:rowOff>114300</xdr:rowOff>
    </xdr:to>
    <xdr:pic>
      <xdr:nvPicPr>
        <xdr:cNvPr id="910" name="Imagen 909" descr="Ver detalle">
          <a:hlinkClick xmlns:r="http://schemas.openxmlformats.org/officeDocument/2006/relationships" r:id="rId860" tooltip="Ver detalle"/>
          <a:extLst>
            <a:ext uri="{FF2B5EF4-FFF2-40B4-BE49-F238E27FC236}">
              <a16:creationId xmlns:a16="http://schemas.microsoft.com/office/drawing/2014/main" id="{E1833ACF-D327-467F-81F8-E9EE07487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4692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476</xdr:row>
      <xdr:rowOff>0</xdr:rowOff>
    </xdr:from>
    <xdr:to>
      <xdr:col>13</xdr:col>
      <xdr:colOff>329565</xdr:colOff>
      <xdr:row>477</xdr:row>
      <xdr:rowOff>114300</xdr:rowOff>
    </xdr:to>
    <xdr:pic>
      <xdr:nvPicPr>
        <xdr:cNvPr id="911" name="Imagen 910">
          <a:hlinkClick xmlns:r="http://schemas.openxmlformats.org/officeDocument/2006/relationships" r:id="rId861" tooltip="Quitar este incidente de la liquidación"/>
          <a:extLst>
            <a:ext uri="{FF2B5EF4-FFF2-40B4-BE49-F238E27FC236}">
              <a16:creationId xmlns:a16="http://schemas.microsoft.com/office/drawing/2014/main" id="{AFF72EA6-E9D7-4E15-B756-FA49F8392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4692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474</xdr:row>
      <xdr:rowOff>0</xdr:rowOff>
    </xdr:from>
    <xdr:to>
      <xdr:col>13</xdr:col>
      <xdr:colOff>0</xdr:colOff>
      <xdr:row>475</xdr:row>
      <xdr:rowOff>114300</xdr:rowOff>
    </xdr:to>
    <xdr:pic>
      <xdr:nvPicPr>
        <xdr:cNvPr id="912" name="Imagen 911" descr="Ver detalle">
          <a:hlinkClick xmlns:r="http://schemas.openxmlformats.org/officeDocument/2006/relationships" r:id="rId862" tooltip="Ver detalle"/>
          <a:extLst>
            <a:ext uri="{FF2B5EF4-FFF2-40B4-BE49-F238E27FC236}">
              <a16:creationId xmlns:a16="http://schemas.microsoft.com/office/drawing/2014/main" id="{96CD3583-194C-4D1F-B97C-81511E214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4806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474</xdr:row>
      <xdr:rowOff>0</xdr:rowOff>
    </xdr:from>
    <xdr:to>
      <xdr:col>13</xdr:col>
      <xdr:colOff>329565</xdr:colOff>
      <xdr:row>475</xdr:row>
      <xdr:rowOff>114300</xdr:rowOff>
    </xdr:to>
    <xdr:pic>
      <xdr:nvPicPr>
        <xdr:cNvPr id="913" name="Imagen 912">
          <a:hlinkClick xmlns:r="http://schemas.openxmlformats.org/officeDocument/2006/relationships" r:id="rId863" tooltip="Quitar este incidente de la liquidación"/>
          <a:extLst>
            <a:ext uri="{FF2B5EF4-FFF2-40B4-BE49-F238E27FC236}">
              <a16:creationId xmlns:a16="http://schemas.microsoft.com/office/drawing/2014/main" id="{2A6831E0-26D6-497F-BD5E-81C2021EA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4806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</xdr:row>
      <xdr:rowOff>0</xdr:rowOff>
    </xdr:from>
    <xdr:to>
      <xdr:col>13</xdr:col>
      <xdr:colOff>0</xdr:colOff>
      <xdr:row>470</xdr:row>
      <xdr:rowOff>114300</xdr:rowOff>
    </xdr:to>
    <xdr:pic>
      <xdr:nvPicPr>
        <xdr:cNvPr id="914" name="Imagen 913" descr="Ver detalle">
          <a:hlinkClick xmlns:r="http://schemas.openxmlformats.org/officeDocument/2006/relationships" r:id="rId864" tooltip="Ver detalle"/>
          <a:extLst>
            <a:ext uri="{FF2B5EF4-FFF2-40B4-BE49-F238E27FC236}">
              <a16:creationId xmlns:a16="http://schemas.microsoft.com/office/drawing/2014/main" id="{DD053F73-1575-4F50-A0B3-DE62B14788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5050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469</xdr:row>
      <xdr:rowOff>0</xdr:rowOff>
    </xdr:from>
    <xdr:to>
      <xdr:col>13</xdr:col>
      <xdr:colOff>329565</xdr:colOff>
      <xdr:row>470</xdr:row>
      <xdr:rowOff>114300</xdr:rowOff>
    </xdr:to>
    <xdr:pic>
      <xdr:nvPicPr>
        <xdr:cNvPr id="915" name="Imagen 914">
          <a:hlinkClick xmlns:r="http://schemas.openxmlformats.org/officeDocument/2006/relationships" r:id="rId865" tooltip="Quitar este incidente de la liquidación"/>
          <a:extLst>
            <a:ext uri="{FF2B5EF4-FFF2-40B4-BE49-F238E27FC236}">
              <a16:creationId xmlns:a16="http://schemas.microsoft.com/office/drawing/2014/main" id="{DACC555F-3B80-4BFA-92DC-F7CB9B97D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5050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</xdr:row>
      <xdr:rowOff>0</xdr:rowOff>
    </xdr:from>
    <xdr:to>
      <xdr:col>13</xdr:col>
      <xdr:colOff>0</xdr:colOff>
      <xdr:row>469</xdr:row>
      <xdr:rowOff>114300</xdr:rowOff>
    </xdr:to>
    <xdr:pic>
      <xdr:nvPicPr>
        <xdr:cNvPr id="916" name="Imagen 915" descr="Ver detalle">
          <a:hlinkClick xmlns:r="http://schemas.openxmlformats.org/officeDocument/2006/relationships" r:id="rId866" tooltip="Ver detalle"/>
          <a:extLst>
            <a:ext uri="{FF2B5EF4-FFF2-40B4-BE49-F238E27FC236}">
              <a16:creationId xmlns:a16="http://schemas.microsoft.com/office/drawing/2014/main" id="{7348084B-B6A3-494E-A886-4417EEF57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5294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468</xdr:row>
      <xdr:rowOff>0</xdr:rowOff>
    </xdr:from>
    <xdr:to>
      <xdr:col>13</xdr:col>
      <xdr:colOff>329565</xdr:colOff>
      <xdr:row>469</xdr:row>
      <xdr:rowOff>114300</xdr:rowOff>
    </xdr:to>
    <xdr:pic>
      <xdr:nvPicPr>
        <xdr:cNvPr id="917" name="Imagen 916">
          <a:hlinkClick xmlns:r="http://schemas.openxmlformats.org/officeDocument/2006/relationships" r:id="rId867" tooltip="Quitar este incidente de la liquidación"/>
          <a:extLst>
            <a:ext uri="{FF2B5EF4-FFF2-40B4-BE49-F238E27FC236}">
              <a16:creationId xmlns:a16="http://schemas.microsoft.com/office/drawing/2014/main" id="{01088D95-A77C-4739-BF59-AE7F451B1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5294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473</xdr:row>
      <xdr:rowOff>0</xdr:rowOff>
    </xdr:from>
    <xdr:to>
      <xdr:col>13</xdr:col>
      <xdr:colOff>0</xdr:colOff>
      <xdr:row>474</xdr:row>
      <xdr:rowOff>114300</xdr:rowOff>
    </xdr:to>
    <xdr:pic>
      <xdr:nvPicPr>
        <xdr:cNvPr id="918" name="Imagen 917" descr="Ver detalle">
          <a:hlinkClick xmlns:r="http://schemas.openxmlformats.org/officeDocument/2006/relationships" r:id="rId868" tooltip="Ver detalle"/>
          <a:extLst>
            <a:ext uri="{FF2B5EF4-FFF2-40B4-BE49-F238E27FC236}">
              <a16:creationId xmlns:a16="http://schemas.microsoft.com/office/drawing/2014/main" id="{036119AC-20EB-4903-BBA3-7B60682CF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5538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473</xdr:row>
      <xdr:rowOff>0</xdr:rowOff>
    </xdr:from>
    <xdr:to>
      <xdr:col>13</xdr:col>
      <xdr:colOff>329565</xdr:colOff>
      <xdr:row>474</xdr:row>
      <xdr:rowOff>114300</xdr:rowOff>
    </xdr:to>
    <xdr:pic>
      <xdr:nvPicPr>
        <xdr:cNvPr id="919" name="Imagen 918">
          <a:hlinkClick xmlns:r="http://schemas.openxmlformats.org/officeDocument/2006/relationships" r:id="rId869" tooltip="Quitar este incidente de la liquidación"/>
          <a:extLst>
            <a:ext uri="{FF2B5EF4-FFF2-40B4-BE49-F238E27FC236}">
              <a16:creationId xmlns:a16="http://schemas.microsoft.com/office/drawing/2014/main" id="{A4F238C2-6233-430D-9438-F5246933B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5538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</xdr:row>
      <xdr:rowOff>0</xdr:rowOff>
    </xdr:from>
    <xdr:to>
      <xdr:col>13</xdr:col>
      <xdr:colOff>0</xdr:colOff>
      <xdr:row>472</xdr:row>
      <xdr:rowOff>114300</xdr:rowOff>
    </xdr:to>
    <xdr:pic>
      <xdr:nvPicPr>
        <xdr:cNvPr id="920" name="Imagen 919" descr="Ver detalle">
          <a:hlinkClick xmlns:r="http://schemas.openxmlformats.org/officeDocument/2006/relationships" r:id="rId870" tooltip="Ver detalle"/>
          <a:extLst>
            <a:ext uri="{FF2B5EF4-FFF2-40B4-BE49-F238E27FC236}">
              <a16:creationId xmlns:a16="http://schemas.microsoft.com/office/drawing/2014/main" id="{08FF9C2B-D0D4-4A52-A917-D6215D2DD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5781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471</xdr:row>
      <xdr:rowOff>0</xdr:rowOff>
    </xdr:from>
    <xdr:to>
      <xdr:col>13</xdr:col>
      <xdr:colOff>329565</xdr:colOff>
      <xdr:row>472</xdr:row>
      <xdr:rowOff>114300</xdr:rowOff>
    </xdr:to>
    <xdr:pic>
      <xdr:nvPicPr>
        <xdr:cNvPr id="921" name="Imagen 920">
          <a:hlinkClick xmlns:r="http://schemas.openxmlformats.org/officeDocument/2006/relationships" r:id="rId871" tooltip="Quitar este incidente de la liquidación"/>
          <a:extLst>
            <a:ext uri="{FF2B5EF4-FFF2-40B4-BE49-F238E27FC236}">
              <a16:creationId xmlns:a16="http://schemas.microsoft.com/office/drawing/2014/main" id="{3C2C46C7-297B-4D5B-B5FE-F8232E058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5781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</xdr:row>
      <xdr:rowOff>0</xdr:rowOff>
    </xdr:from>
    <xdr:to>
      <xdr:col>13</xdr:col>
      <xdr:colOff>0</xdr:colOff>
      <xdr:row>486</xdr:row>
      <xdr:rowOff>114300</xdr:rowOff>
    </xdr:to>
    <xdr:pic>
      <xdr:nvPicPr>
        <xdr:cNvPr id="922" name="Imagen 921" descr="Ver detalle">
          <a:hlinkClick xmlns:r="http://schemas.openxmlformats.org/officeDocument/2006/relationships" r:id="rId872" tooltip="Ver detalle"/>
          <a:extLst>
            <a:ext uri="{FF2B5EF4-FFF2-40B4-BE49-F238E27FC236}">
              <a16:creationId xmlns:a16="http://schemas.microsoft.com/office/drawing/2014/main" id="{AFE7384D-C813-44F8-BC91-BA0BAFBB3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6025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485</xdr:row>
      <xdr:rowOff>0</xdr:rowOff>
    </xdr:from>
    <xdr:to>
      <xdr:col>13</xdr:col>
      <xdr:colOff>329565</xdr:colOff>
      <xdr:row>486</xdr:row>
      <xdr:rowOff>114300</xdr:rowOff>
    </xdr:to>
    <xdr:pic>
      <xdr:nvPicPr>
        <xdr:cNvPr id="923" name="Imagen 922">
          <a:hlinkClick xmlns:r="http://schemas.openxmlformats.org/officeDocument/2006/relationships" r:id="rId873" tooltip="Quitar este incidente de la liquidación"/>
          <a:extLst>
            <a:ext uri="{FF2B5EF4-FFF2-40B4-BE49-F238E27FC236}">
              <a16:creationId xmlns:a16="http://schemas.microsoft.com/office/drawing/2014/main" id="{B4771082-E1A7-4805-84AC-7C5739931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6025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</xdr:row>
      <xdr:rowOff>0</xdr:rowOff>
    </xdr:from>
    <xdr:to>
      <xdr:col>13</xdr:col>
      <xdr:colOff>0</xdr:colOff>
      <xdr:row>466</xdr:row>
      <xdr:rowOff>114300</xdr:rowOff>
    </xdr:to>
    <xdr:pic>
      <xdr:nvPicPr>
        <xdr:cNvPr id="924" name="Imagen 923" descr="Ver detalle">
          <a:hlinkClick xmlns:r="http://schemas.openxmlformats.org/officeDocument/2006/relationships" r:id="rId874" tooltip="Ver detalle"/>
          <a:extLst>
            <a:ext uri="{FF2B5EF4-FFF2-40B4-BE49-F238E27FC236}">
              <a16:creationId xmlns:a16="http://schemas.microsoft.com/office/drawing/2014/main" id="{EE5557F6-D1EE-40E7-8F93-E7AFE47A3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6188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465</xdr:row>
      <xdr:rowOff>0</xdr:rowOff>
    </xdr:from>
    <xdr:to>
      <xdr:col>13</xdr:col>
      <xdr:colOff>329565</xdr:colOff>
      <xdr:row>466</xdr:row>
      <xdr:rowOff>114300</xdr:rowOff>
    </xdr:to>
    <xdr:pic>
      <xdr:nvPicPr>
        <xdr:cNvPr id="925" name="Imagen 924">
          <a:hlinkClick xmlns:r="http://schemas.openxmlformats.org/officeDocument/2006/relationships" r:id="rId875" tooltip="Quitar este incidente de la liquidación"/>
          <a:extLst>
            <a:ext uri="{FF2B5EF4-FFF2-40B4-BE49-F238E27FC236}">
              <a16:creationId xmlns:a16="http://schemas.microsoft.com/office/drawing/2014/main" id="{5670C8BD-7515-4D67-9103-4F3161E44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6188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</xdr:row>
      <xdr:rowOff>0</xdr:rowOff>
    </xdr:from>
    <xdr:to>
      <xdr:col>13</xdr:col>
      <xdr:colOff>0</xdr:colOff>
      <xdr:row>471</xdr:row>
      <xdr:rowOff>114300</xdr:rowOff>
    </xdr:to>
    <xdr:pic>
      <xdr:nvPicPr>
        <xdr:cNvPr id="926" name="Imagen 925" descr="Ver detalle">
          <a:hlinkClick xmlns:r="http://schemas.openxmlformats.org/officeDocument/2006/relationships" r:id="rId876" tooltip="Ver detalle"/>
          <a:extLst>
            <a:ext uri="{FF2B5EF4-FFF2-40B4-BE49-F238E27FC236}">
              <a16:creationId xmlns:a16="http://schemas.microsoft.com/office/drawing/2014/main" id="{520D9123-2991-44E5-923F-D32191534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6432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470</xdr:row>
      <xdr:rowOff>0</xdr:rowOff>
    </xdr:from>
    <xdr:to>
      <xdr:col>13</xdr:col>
      <xdr:colOff>329565</xdr:colOff>
      <xdr:row>471</xdr:row>
      <xdr:rowOff>114300</xdr:rowOff>
    </xdr:to>
    <xdr:pic>
      <xdr:nvPicPr>
        <xdr:cNvPr id="927" name="Imagen 926">
          <a:hlinkClick xmlns:r="http://schemas.openxmlformats.org/officeDocument/2006/relationships" r:id="rId877" tooltip="Quitar este incidente de la liquidación"/>
          <a:extLst>
            <a:ext uri="{FF2B5EF4-FFF2-40B4-BE49-F238E27FC236}">
              <a16:creationId xmlns:a16="http://schemas.microsoft.com/office/drawing/2014/main" id="{1534AA3B-B2B1-4474-BE9C-BA72ADA90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6432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498</xdr:row>
      <xdr:rowOff>0</xdr:rowOff>
    </xdr:from>
    <xdr:to>
      <xdr:col>13</xdr:col>
      <xdr:colOff>0</xdr:colOff>
      <xdr:row>499</xdr:row>
      <xdr:rowOff>114300</xdr:rowOff>
    </xdr:to>
    <xdr:pic>
      <xdr:nvPicPr>
        <xdr:cNvPr id="928" name="Imagen 927" descr="Ver detalle">
          <a:hlinkClick xmlns:r="http://schemas.openxmlformats.org/officeDocument/2006/relationships" r:id="rId878" tooltip="Ver detalle"/>
          <a:extLst>
            <a:ext uri="{FF2B5EF4-FFF2-40B4-BE49-F238E27FC236}">
              <a16:creationId xmlns:a16="http://schemas.microsoft.com/office/drawing/2014/main" id="{9E50BB97-F2CC-4F72-9D30-CD74E4CD9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6676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498</xdr:row>
      <xdr:rowOff>0</xdr:rowOff>
    </xdr:from>
    <xdr:to>
      <xdr:col>13</xdr:col>
      <xdr:colOff>329565</xdr:colOff>
      <xdr:row>499</xdr:row>
      <xdr:rowOff>114300</xdr:rowOff>
    </xdr:to>
    <xdr:pic>
      <xdr:nvPicPr>
        <xdr:cNvPr id="929" name="Imagen 928">
          <a:hlinkClick xmlns:r="http://schemas.openxmlformats.org/officeDocument/2006/relationships" r:id="rId879" tooltip="Quitar este incidente de la liquidación"/>
          <a:extLst>
            <a:ext uri="{FF2B5EF4-FFF2-40B4-BE49-F238E27FC236}">
              <a16:creationId xmlns:a16="http://schemas.microsoft.com/office/drawing/2014/main" id="{ABFB64AD-EEAF-483D-860D-7E9957C70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6676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</xdr:row>
      <xdr:rowOff>0</xdr:rowOff>
    </xdr:from>
    <xdr:to>
      <xdr:col>13</xdr:col>
      <xdr:colOff>0</xdr:colOff>
      <xdr:row>498</xdr:row>
      <xdr:rowOff>114300</xdr:rowOff>
    </xdr:to>
    <xdr:pic>
      <xdr:nvPicPr>
        <xdr:cNvPr id="930" name="Imagen 929" descr="Ver detalle">
          <a:hlinkClick xmlns:r="http://schemas.openxmlformats.org/officeDocument/2006/relationships" r:id="rId880" tooltip="Ver detalle"/>
          <a:extLst>
            <a:ext uri="{FF2B5EF4-FFF2-40B4-BE49-F238E27FC236}">
              <a16:creationId xmlns:a16="http://schemas.microsoft.com/office/drawing/2014/main" id="{D1158672-023C-4FDE-AA78-882194B48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6920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497</xdr:row>
      <xdr:rowOff>0</xdr:rowOff>
    </xdr:from>
    <xdr:to>
      <xdr:col>13</xdr:col>
      <xdr:colOff>329565</xdr:colOff>
      <xdr:row>498</xdr:row>
      <xdr:rowOff>114300</xdr:rowOff>
    </xdr:to>
    <xdr:pic>
      <xdr:nvPicPr>
        <xdr:cNvPr id="931" name="Imagen 930">
          <a:hlinkClick xmlns:r="http://schemas.openxmlformats.org/officeDocument/2006/relationships" r:id="rId881" tooltip="Quitar este incidente de la liquidación"/>
          <a:extLst>
            <a:ext uri="{FF2B5EF4-FFF2-40B4-BE49-F238E27FC236}">
              <a16:creationId xmlns:a16="http://schemas.microsoft.com/office/drawing/2014/main" id="{E50FA6B8-1EC5-4269-A630-163275449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6920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</xdr:row>
      <xdr:rowOff>0</xdr:rowOff>
    </xdr:from>
    <xdr:to>
      <xdr:col>13</xdr:col>
      <xdr:colOff>0</xdr:colOff>
      <xdr:row>497</xdr:row>
      <xdr:rowOff>114300</xdr:rowOff>
    </xdr:to>
    <xdr:pic>
      <xdr:nvPicPr>
        <xdr:cNvPr id="932" name="Imagen 931" descr="Ver detalle">
          <a:hlinkClick xmlns:r="http://schemas.openxmlformats.org/officeDocument/2006/relationships" r:id="rId882" tooltip="Ver detalle"/>
          <a:extLst>
            <a:ext uri="{FF2B5EF4-FFF2-40B4-BE49-F238E27FC236}">
              <a16:creationId xmlns:a16="http://schemas.microsoft.com/office/drawing/2014/main" id="{191C8A5E-DCFD-4B8A-81FC-C45E4043A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7083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496</xdr:row>
      <xdr:rowOff>0</xdr:rowOff>
    </xdr:from>
    <xdr:to>
      <xdr:col>13</xdr:col>
      <xdr:colOff>329565</xdr:colOff>
      <xdr:row>497</xdr:row>
      <xdr:rowOff>114300</xdr:rowOff>
    </xdr:to>
    <xdr:pic>
      <xdr:nvPicPr>
        <xdr:cNvPr id="933" name="Imagen 932">
          <a:hlinkClick xmlns:r="http://schemas.openxmlformats.org/officeDocument/2006/relationships" r:id="rId883" tooltip="Quitar este incidente de la liquidación"/>
          <a:extLst>
            <a:ext uri="{FF2B5EF4-FFF2-40B4-BE49-F238E27FC236}">
              <a16:creationId xmlns:a16="http://schemas.microsoft.com/office/drawing/2014/main" id="{48090D8A-70CC-41C3-B924-6DAF68733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7083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</xdr:row>
      <xdr:rowOff>0</xdr:rowOff>
    </xdr:from>
    <xdr:to>
      <xdr:col>13</xdr:col>
      <xdr:colOff>0</xdr:colOff>
      <xdr:row>496</xdr:row>
      <xdr:rowOff>114300</xdr:rowOff>
    </xdr:to>
    <xdr:pic>
      <xdr:nvPicPr>
        <xdr:cNvPr id="934" name="Imagen 933" descr="Ver detalle">
          <a:hlinkClick xmlns:r="http://schemas.openxmlformats.org/officeDocument/2006/relationships" r:id="rId884" tooltip="Ver detalle"/>
          <a:extLst>
            <a:ext uri="{FF2B5EF4-FFF2-40B4-BE49-F238E27FC236}">
              <a16:creationId xmlns:a16="http://schemas.microsoft.com/office/drawing/2014/main" id="{F421CB5D-60E0-494E-8FD4-9F28C90FD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7245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495</xdr:row>
      <xdr:rowOff>0</xdr:rowOff>
    </xdr:from>
    <xdr:to>
      <xdr:col>13</xdr:col>
      <xdr:colOff>329565</xdr:colOff>
      <xdr:row>496</xdr:row>
      <xdr:rowOff>114300</xdr:rowOff>
    </xdr:to>
    <xdr:pic>
      <xdr:nvPicPr>
        <xdr:cNvPr id="935" name="Imagen 934">
          <a:hlinkClick xmlns:r="http://schemas.openxmlformats.org/officeDocument/2006/relationships" r:id="rId885" tooltip="Quitar este incidente de la liquidación"/>
          <a:extLst>
            <a:ext uri="{FF2B5EF4-FFF2-40B4-BE49-F238E27FC236}">
              <a16:creationId xmlns:a16="http://schemas.microsoft.com/office/drawing/2014/main" id="{4D51FB88-C456-4D81-8211-FBA9F64ED6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7245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</xdr:row>
      <xdr:rowOff>0</xdr:rowOff>
    </xdr:from>
    <xdr:to>
      <xdr:col>13</xdr:col>
      <xdr:colOff>0</xdr:colOff>
      <xdr:row>495</xdr:row>
      <xdr:rowOff>114300</xdr:rowOff>
    </xdr:to>
    <xdr:pic>
      <xdr:nvPicPr>
        <xdr:cNvPr id="936" name="Imagen 935" descr="Ver detalle">
          <a:hlinkClick xmlns:r="http://schemas.openxmlformats.org/officeDocument/2006/relationships" r:id="rId886" tooltip="Ver detalle"/>
          <a:extLst>
            <a:ext uri="{FF2B5EF4-FFF2-40B4-BE49-F238E27FC236}">
              <a16:creationId xmlns:a16="http://schemas.microsoft.com/office/drawing/2014/main" id="{7EF3C08D-7A71-4231-9D61-74B11DF5F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7408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494</xdr:row>
      <xdr:rowOff>0</xdr:rowOff>
    </xdr:from>
    <xdr:to>
      <xdr:col>13</xdr:col>
      <xdr:colOff>329565</xdr:colOff>
      <xdr:row>495</xdr:row>
      <xdr:rowOff>114300</xdr:rowOff>
    </xdr:to>
    <xdr:pic>
      <xdr:nvPicPr>
        <xdr:cNvPr id="937" name="Imagen 936">
          <a:hlinkClick xmlns:r="http://schemas.openxmlformats.org/officeDocument/2006/relationships" r:id="rId887" tooltip="Quitar este incidente de la liquidación"/>
          <a:extLst>
            <a:ext uri="{FF2B5EF4-FFF2-40B4-BE49-F238E27FC236}">
              <a16:creationId xmlns:a16="http://schemas.microsoft.com/office/drawing/2014/main" id="{82F03957-DF94-4B53-9FB6-2C797D6B4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7408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</xdr:row>
      <xdr:rowOff>0</xdr:rowOff>
    </xdr:from>
    <xdr:to>
      <xdr:col>13</xdr:col>
      <xdr:colOff>0</xdr:colOff>
      <xdr:row>473</xdr:row>
      <xdr:rowOff>114300</xdr:rowOff>
    </xdr:to>
    <xdr:pic>
      <xdr:nvPicPr>
        <xdr:cNvPr id="938" name="Imagen 937" descr="Ver detalle">
          <a:hlinkClick xmlns:r="http://schemas.openxmlformats.org/officeDocument/2006/relationships" r:id="rId888" tooltip="Ver detalle"/>
          <a:extLst>
            <a:ext uri="{FF2B5EF4-FFF2-40B4-BE49-F238E27FC236}">
              <a16:creationId xmlns:a16="http://schemas.microsoft.com/office/drawing/2014/main" id="{1F4A2D52-FD21-4707-96C0-B4BFEC82C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757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472</xdr:row>
      <xdr:rowOff>0</xdr:rowOff>
    </xdr:from>
    <xdr:to>
      <xdr:col>13</xdr:col>
      <xdr:colOff>329565</xdr:colOff>
      <xdr:row>473</xdr:row>
      <xdr:rowOff>114300</xdr:rowOff>
    </xdr:to>
    <xdr:pic>
      <xdr:nvPicPr>
        <xdr:cNvPr id="939" name="Imagen 938">
          <a:hlinkClick xmlns:r="http://schemas.openxmlformats.org/officeDocument/2006/relationships" r:id="rId889" tooltip="Quitar este incidente de la liquidación"/>
          <a:extLst>
            <a:ext uri="{FF2B5EF4-FFF2-40B4-BE49-F238E27FC236}">
              <a16:creationId xmlns:a16="http://schemas.microsoft.com/office/drawing/2014/main" id="{8458AA9C-698A-4C30-AC95-177A400EF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757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</xdr:row>
      <xdr:rowOff>0</xdr:rowOff>
    </xdr:from>
    <xdr:to>
      <xdr:col>13</xdr:col>
      <xdr:colOff>0</xdr:colOff>
      <xdr:row>468</xdr:row>
      <xdr:rowOff>114300</xdr:rowOff>
    </xdr:to>
    <xdr:pic>
      <xdr:nvPicPr>
        <xdr:cNvPr id="940" name="Imagen 939" descr="Ver detalle">
          <a:hlinkClick xmlns:r="http://schemas.openxmlformats.org/officeDocument/2006/relationships" r:id="rId890" tooltip="Ver detalle"/>
          <a:extLst>
            <a:ext uri="{FF2B5EF4-FFF2-40B4-BE49-F238E27FC236}">
              <a16:creationId xmlns:a16="http://schemas.microsoft.com/office/drawing/2014/main" id="{E107F0CF-FB79-4A18-A81C-99D8B5A0E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7815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467</xdr:row>
      <xdr:rowOff>0</xdr:rowOff>
    </xdr:from>
    <xdr:to>
      <xdr:col>13</xdr:col>
      <xdr:colOff>329565</xdr:colOff>
      <xdr:row>468</xdr:row>
      <xdr:rowOff>114300</xdr:rowOff>
    </xdr:to>
    <xdr:pic>
      <xdr:nvPicPr>
        <xdr:cNvPr id="941" name="Imagen 940">
          <a:hlinkClick xmlns:r="http://schemas.openxmlformats.org/officeDocument/2006/relationships" r:id="rId891" tooltip="Quitar este incidente de la liquidación"/>
          <a:extLst>
            <a:ext uri="{FF2B5EF4-FFF2-40B4-BE49-F238E27FC236}">
              <a16:creationId xmlns:a16="http://schemas.microsoft.com/office/drawing/2014/main" id="{946F4422-AE6A-457B-886B-361419748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7815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</xdr:row>
      <xdr:rowOff>0</xdr:rowOff>
    </xdr:from>
    <xdr:to>
      <xdr:col>13</xdr:col>
      <xdr:colOff>0</xdr:colOff>
      <xdr:row>463</xdr:row>
      <xdr:rowOff>114300</xdr:rowOff>
    </xdr:to>
    <xdr:pic>
      <xdr:nvPicPr>
        <xdr:cNvPr id="942" name="Imagen 941" descr="Ver detalle">
          <a:hlinkClick xmlns:r="http://schemas.openxmlformats.org/officeDocument/2006/relationships" r:id="rId892" tooltip="Ver detalle"/>
          <a:extLst>
            <a:ext uri="{FF2B5EF4-FFF2-40B4-BE49-F238E27FC236}">
              <a16:creationId xmlns:a16="http://schemas.microsoft.com/office/drawing/2014/main" id="{38708305-9529-43ED-A788-CB6EE8513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7946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462</xdr:row>
      <xdr:rowOff>0</xdr:rowOff>
    </xdr:from>
    <xdr:to>
      <xdr:col>13</xdr:col>
      <xdr:colOff>329565</xdr:colOff>
      <xdr:row>463</xdr:row>
      <xdr:rowOff>114300</xdr:rowOff>
    </xdr:to>
    <xdr:pic>
      <xdr:nvPicPr>
        <xdr:cNvPr id="943" name="Imagen 942">
          <a:hlinkClick xmlns:r="http://schemas.openxmlformats.org/officeDocument/2006/relationships" r:id="rId893" tooltip="Quitar este incidente de la liquidación"/>
          <a:extLst>
            <a:ext uri="{FF2B5EF4-FFF2-40B4-BE49-F238E27FC236}">
              <a16:creationId xmlns:a16="http://schemas.microsoft.com/office/drawing/2014/main" id="{8A97470E-2C0D-479B-BD17-84743C1C7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7946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477</xdr:row>
      <xdr:rowOff>0</xdr:rowOff>
    </xdr:from>
    <xdr:to>
      <xdr:col>13</xdr:col>
      <xdr:colOff>0</xdr:colOff>
      <xdr:row>478</xdr:row>
      <xdr:rowOff>114300</xdr:rowOff>
    </xdr:to>
    <xdr:pic>
      <xdr:nvPicPr>
        <xdr:cNvPr id="944" name="Imagen 943" descr="Ver detalle">
          <a:hlinkClick xmlns:r="http://schemas.openxmlformats.org/officeDocument/2006/relationships" r:id="rId894" tooltip="Ver detalle"/>
          <a:extLst>
            <a:ext uri="{FF2B5EF4-FFF2-40B4-BE49-F238E27FC236}">
              <a16:creationId xmlns:a16="http://schemas.microsoft.com/office/drawing/2014/main" id="{3FB88CB4-FFC8-45F8-9E78-D9F64FB0F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8189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477</xdr:row>
      <xdr:rowOff>0</xdr:rowOff>
    </xdr:from>
    <xdr:to>
      <xdr:col>13</xdr:col>
      <xdr:colOff>329565</xdr:colOff>
      <xdr:row>478</xdr:row>
      <xdr:rowOff>114300</xdr:rowOff>
    </xdr:to>
    <xdr:pic>
      <xdr:nvPicPr>
        <xdr:cNvPr id="945" name="Imagen 944">
          <a:hlinkClick xmlns:r="http://schemas.openxmlformats.org/officeDocument/2006/relationships" r:id="rId895" tooltip="Quitar este incidente de la liquidación"/>
          <a:extLst>
            <a:ext uri="{FF2B5EF4-FFF2-40B4-BE49-F238E27FC236}">
              <a16:creationId xmlns:a16="http://schemas.microsoft.com/office/drawing/2014/main" id="{1D0D3DD1-7A80-4F1E-A51C-65B59019D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8189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</xdr:row>
      <xdr:rowOff>0</xdr:rowOff>
    </xdr:from>
    <xdr:to>
      <xdr:col>13</xdr:col>
      <xdr:colOff>0</xdr:colOff>
      <xdr:row>464</xdr:row>
      <xdr:rowOff>114300</xdr:rowOff>
    </xdr:to>
    <xdr:pic>
      <xdr:nvPicPr>
        <xdr:cNvPr id="946" name="Imagen 945" descr="Ver detalle">
          <a:hlinkClick xmlns:r="http://schemas.openxmlformats.org/officeDocument/2006/relationships" r:id="rId896" tooltip="Ver detalle"/>
          <a:extLst>
            <a:ext uri="{FF2B5EF4-FFF2-40B4-BE49-F238E27FC236}">
              <a16:creationId xmlns:a16="http://schemas.microsoft.com/office/drawing/2014/main" id="{343B6E63-596A-40B9-989F-9D1E8D46E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8304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463</xdr:row>
      <xdr:rowOff>0</xdr:rowOff>
    </xdr:from>
    <xdr:to>
      <xdr:col>13</xdr:col>
      <xdr:colOff>329565</xdr:colOff>
      <xdr:row>464</xdr:row>
      <xdr:rowOff>114300</xdr:rowOff>
    </xdr:to>
    <xdr:pic>
      <xdr:nvPicPr>
        <xdr:cNvPr id="947" name="Imagen 946">
          <a:hlinkClick xmlns:r="http://schemas.openxmlformats.org/officeDocument/2006/relationships" r:id="rId897" tooltip="Quitar este incidente de la liquidación"/>
          <a:extLst>
            <a:ext uri="{FF2B5EF4-FFF2-40B4-BE49-F238E27FC236}">
              <a16:creationId xmlns:a16="http://schemas.microsoft.com/office/drawing/2014/main" id="{A9EFEDED-9804-44A1-B626-5332445D7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8304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464</xdr:row>
      <xdr:rowOff>0</xdr:rowOff>
    </xdr:from>
    <xdr:to>
      <xdr:col>13</xdr:col>
      <xdr:colOff>0</xdr:colOff>
      <xdr:row>465</xdr:row>
      <xdr:rowOff>114300</xdr:rowOff>
    </xdr:to>
    <xdr:pic>
      <xdr:nvPicPr>
        <xdr:cNvPr id="948" name="Imagen 947" descr="Ver detalle">
          <a:hlinkClick xmlns:r="http://schemas.openxmlformats.org/officeDocument/2006/relationships" r:id="rId898" tooltip="Ver detalle"/>
          <a:extLst>
            <a:ext uri="{FF2B5EF4-FFF2-40B4-BE49-F238E27FC236}">
              <a16:creationId xmlns:a16="http://schemas.microsoft.com/office/drawing/2014/main" id="{9E6D7769-81C3-4B6D-9E1C-EC6DF672F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8548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464</xdr:row>
      <xdr:rowOff>0</xdr:rowOff>
    </xdr:from>
    <xdr:to>
      <xdr:col>13</xdr:col>
      <xdr:colOff>329565</xdr:colOff>
      <xdr:row>465</xdr:row>
      <xdr:rowOff>114300</xdr:rowOff>
    </xdr:to>
    <xdr:pic>
      <xdr:nvPicPr>
        <xdr:cNvPr id="949" name="Imagen 948">
          <a:hlinkClick xmlns:r="http://schemas.openxmlformats.org/officeDocument/2006/relationships" r:id="rId899" tooltip="Quitar este incidente de la liquidación"/>
          <a:extLst>
            <a:ext uri="{FF2B5EF4-FFF2-40B4-BE49-F238E27FC236}">
              <a16:creationId xmlns:a16="http://schemas.microsoft.com/office/drawing/2014/main" id="{1EF3CD4C-A758-40D2-9EA1-802BCE406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8548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</xdr:row>
      <xdr:rowOff>0</xdr:rowOff>
    </xdr:from>
    <xdr:to>
      <xdr:col>13</xdr:col>
      <xdr:colOff>0</xdr:colOff>
      <xdr:row>467</xdr:row>
      <xdr:rowOff>114300</xdr:rowOff>
    </xdr:to>
    <xdr:pic>
      <xdr:nvPicPr>
        <xdr:cNvPr id="950" name="Imagen 949" descr="Ver detalle">
          <a:hlinkClick xmlns:r="http://schemas.openxmlformats.org/officeDocument/2006/relationships" r:id="rId900" tooltip="Ver detalle"/>
          <a:extLst>
            <a:ext uri="{FF2B5EF4-FFF2-40B4-BE49-F238E27FC236}">
              <a16:creationId xmlns:a16="http://schemas.microsoft.com/office/drawing/2014/main" id="{64F49257-8856-4C53-94F0-97661E8BF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8678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466</xdr:row>
      <xdr:rowOff>0</xdr:rowOff>
    </xdr:from>
    <xdr:to>
      <xdr:col>13</xdr:col>
      <xdr:colOff>329565</xdr:colOff>
      <xdr:row>467</xdr:row>
      <xdr:rowOff>114300</xdr:rowOff>
    </xdr:to>
    <xdr:pic>
      <xdr:nvPicPr>
        <xdr:cNvPr id="951" name="Imagen 950">
          <a:hlinkClick xmlns:r="http://schemas.openxmlformats.org/officeDocument/2006/relationships" r:id="rId901" tooltip="Quitar este incidente de la liquidación"/>
          <a:extLst>
            <a:ext uri="{FF2B5EF4-FFF2-40B4-BE49-F238E27FC236}">
              <a16:creationId xmlns:a16="http://schemas.microsoft.com/office/drawing/2014/main" id="{451A1601-BF1F-48AC-BD9F-D78B3EF82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8678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508</xdr:row>
      <xdr:rowOff>0</xdr:rowOff>
    </xdr:from>
    <xdr:to>
      <xdr:col>13</xdr:col>
      <xdr:colOff>0</xdr:colOff>
      <xdr:row>509</xdr:row>
      <xdr:rowOff>114300</xdr:rowOff>
    </xdr:to>
    <xdr:pic>
      <xdr:nvPicPr>
        <xdr:cNvPr id="952" name="Imagen 951" descr="Ver detalle">
          <a:hlinkClick xmlns:r="http://schemas.openxmlformats.org/officeDocument/2006/relationships" r:id="rId902" tooltip="Ver detalle"/>
          <a:extLst>
            <a:ext uri="{FF2B5EF4-FFF2-40B4-BE49-F238E27FC236}">
              <a16:creationId xmlns:a16="http://schemas.microsoft.com/office/drawing/2014/main" id="{2BD7519B-BD8B-4D57-8122-C4ABE52A1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8939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508</xdr:row>
      <xdr:rowOff>0</xdr:rowOff>
    </xdr:from>
    <xdr:to>
      <xdr:col>13</xdr:col>
      <xdr:colOff>329565</xdr:colOff>
      <xdr:row>509</xdr:row>
      <xdr:rowOff>114300</xdr:rowOff>
    </xdr:to>
    <xdr:pic>
      <xdr:nvPicPr>
        <xdr:cNvPr id="953" name="Imagen 952">
          <a:hlinkClick xmlns:r="http://schemas.openxmlformats.org/officeDocument/2006/relationships" r:id="rId903" tooltip="Quitar este incidente de la liquidación"/>
          <a:extLst>
            <a:ext uri="{FF2B5EF4-FFF2-40B4-BE49-F238E27FC236}">
              <a16:creationId xmlns:a16="http://schemas.microsoft.com/office/drawing/2014/main" id="{BEA65FD0-BADE-46B8-BE96-9CB328268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8939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507</xdr:row>
      <xdr:rowOff>0</xdr:rowOff>
    </xdr:from>
    <xdr:to>
      <xdr:col>13</xdr:col>
      <xdr:colOff>0</xdr:colOff>
      <xdr:row>508</xdr:row>
      <xdr:rowOff>114300</xdr:rowOff>
    </xdr:to>
    <xdr:pic>
      <xdr:nvPicPr>
        <xdr:cNvPr id="954" name="Imagen 953" descr="Ver detalle">
          <a:hlinkClick xmlns:r="http://schemas.openxmlformats.org/officeDocument/2006/relationships" r:id="rId904" tooltip="Ver detalle"/>
          <a:extLst>
            <a:ext uri="{FF2B5EF4-FFF2-40B4-BE49-F238E27FC236}">
              <a16:creationId xmlns:a16="http://schemas.microsoft.com/office/drawing/2014/main" id="{52792419-64F5-417A-AB93-296263F290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918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507</xdr:row>
      <xdr:rowOff>0</xdr:rowOff>
    </xdr:from>
    <xdr:to>
      <xdr:col>13</xdr:col>
      <xdr:colOff>329565</xdr:colOff>
      <xdr:row>508</xdr:row>
      <xdr:rowOff>114300</xdr:rowOff>
    </xdr:to>
    <xdr:pic>
      <xdr:nvPicPr>
        <xdr:cNvPr id="955" name="Imagen 954">
          <a:hlinkClick xmlns:r="http://schemas.openxmlformats.org/officeDocument/2006/relationships" r:id="rId905" tooltip="Quitar este incidente de la liquidación"/>
          <a:extLst>
            <a:ext uri="{FF2B5EF4-FFF2-40B4-BE49-F238E27FC236}">
              <a16:creationId xmlns:a16="http://schemas.microsoft.com/office/drawing/2014/main" id="{7EE77CFA-5219-4A10-B808-74AD7BF4C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918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506</xdr:row>
      <xdr:rowOff>0</xdr:rowOff>
    </xdr:from>
    <xdr:to>
      <xdr:col>13</xdr:col>
      <xdr:colOff>0</xdr:colOff>
      <xdr:row>507</xdr:row>
      <xdr:rowOff>114300</xdr:rowOff>
    </xdr:to>
    <xdr:pic>
      <xdr:nvPicPr>
        <xdr:cNvPr id="956" name="Imagen 955" descr="Ver detalle">
          <a:hlinkClick xmlns:r="http://schemas.openxmlformats.org/officeDocument/2006/relationships" r:id="rId906" tooltip="Ver detalle"/>
          <a:extLst>
            <a:ext uri="{FF2B5EF4-FFF2-40B4-BE49-F238E27FC236}">
              <a16:creationId xmlns:a16="http://schemas.microsoft.com/office/drawing/2014/main" id="{C525DDB0-4DF5-4176-BD8D-EAB02CE07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9427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506</xdr:row>
      <xdr:rowOff>0</xdr:rowOff>
    </xdr:from>
    <xdr:to>
      <xdr:col>13</xdr:col>
      <xdr:colOff>329565</xdr:colOff>
      <xdr:row>507</xdr:row>
      <xdr:rowOff>114300</xdr:rowOff>
    </xdr:to>
    <xdr:pic>
      <xdr:nvPicPr>
        <xdr:cNvPr id="957" name="Imagen 956">
          <a:hlinkClick xmlns:r="http://schemas.openxmlformats.org/officeDocument/2006/relationships" r:id="rId907" tooltip="Quitar este incidente de la liquidación"/>
          <a:extLst>
            <a:ext uri="{FF2B5EF4-FFF2-40B4-BE49-F238E27FC236}">
              <a16:creationId xmlns:a16="http://schemas.microsoft.com/office/drawing/2014/main" id="{12F28ED9-1DF9-4CC5-8266-11701D2BD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9427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505</xdr:row>
      <xdr:rowOff>0</xdr:rowOff>
    </xdr:from>
    <xdr:to>
      <xdr:col>13</xdr:col>
      <xdr:colOff>0</xdr:colOff>
      <xdr:row>506</xdr:row>
      <xdr:rowOff>114300</xdr:rowOff>
    </xdr:to>
    <xdr:pic>
      <xdr:nvPicPr>
        <xdr:cNvPr id="958" name="Imagen 957" descr="Ver detalle">
          <a:hlinkClick xmlns:r="http://schemas.openxmlformats.org/officeDocument/2006/relationships" r:id="rId908" tooltip="Ver detalle"/>
          <a:extLst>
            <a:ext uri="{FF2B5EF4-FFF2-40B4-BE49-F238E27FC236}">
              <a16:creationId xmlns:a16="http://schemas.microsoft.com/office/drawing/2014/main" id="{6C1F2530-5A9D-46E6-A525-E75B22981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9671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505</xdr:row>
      <xdr:rowOff>0</xdr:rowOff>
    </xdr:from>
    <xdr:to>
      <xdr:col>13</xdr:col>
      <xdr:colOff>329565</xdr:colOff>
      <xdr:row>506</xdr:row>
      <xdr:rowOff>114300</xdr:rowOff>
    </xdr:to>
    <xdr:pic>
      <xdr:nvPicPr>
        <xdr:cNvPr id="959" name="Imagen 958">
          <a:hlinkClick xmlns:r="http://schemas.openxmlformats.org/officeDocument/2006/relationships" r:id="rId909" tooltip="Quitar este incidente de la liquidación"/>
          <a:extLst>
            <a:ext uri="{FF2B5EF4-FFF2-40B4-BE49-F238E27FC236}">
              <a16:creationId xmlns:a16="http://schemas.microsoft.com/office/drawing/2014/main" id="{19D28D3C-DB5E-49E1-AC51-F58C156260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9671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504</xdr:row>
      <xdr:rowOff>0</xdr:rowOff>
    </xdr:from>
    <xdr:to>
      <xdr:col>13</xdr:col>
      <xdr:colOff>0</xdr:colOff>
      <xdr:row>505</xdr:row>
      <xdr:rowOff>114300</xdr:rowOff>
    </xdr:to>
    <xdr:pic>
      <xdr:nvPicPr>
        <xdr:cNvPr id="960" name="Imagen 959" descr="Ver detalle">
          <a:hlinkClick xmlns:r="http://schemas.openxmlformats.org/officeDocument/2006/relationships" r:id="rId910" tooltip="Ver detalle"/>
          <a:extLst>
            <a:ext uri="{FF2B5EF4-FFF2-40B4-BE49-F238E27FC236}">
              <a16:creationId xmlns:a16="http://schemas.microsoft.com/office/drawing/2014/main" id="{29E181C1-0F98-4D7D-B56D-A687667D7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9914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504</xdr:row>
      <xdr:rowOff>0</xdr:rowOff>
    </xdr:from>
    <xdr:to>
      <xdr:col>13</xdr:col>
      <xdr:colOff>329565</xdr:colOff>
      <xdr:row>505</xdr:row>
      <xdr:rowOff>114300</xdr:rowOff>
    </xdr:to>
    <xdr:pic>
      <xdr:nvPicPr>
        <xdr:cNvPr id="961" name="Imagen 960">
          <a:hlinkClick xmlns:r="http://schemas.openxmlformats.org/officeDocument/2006/relationships" r:id="rId911" tooltip="Quitar este incidente de la liquidación"/>
          <a:extLst>
            <a:ext uri="{FF2B5EF4-FFF2-40B4-BE49-F238E27FC236}">
              <a16:creationId xmlns:a16="http://schemas.microsoft.com/office/drawing/2014/main" id="{3EC10C5F-274F-499C-A88A-1100DFAF8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9914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503</xdr:row>
      <xdr:rowOff>0</xdr:rowOff>
    </xdr:from>
    <xdr:to>
      <xdr:col>13</xdr:col>
      <xdr:colOff>0</xdr:colOff>
      <xdr:row>504</xdr:row>
      <xdr:rowOff>114300</xdr:rowOff>
    </xdr:to>
    <xdr:pic>
      <xdr:nvPicPr>
        <xdr:cNvPr id="962" name="Imagen 961" descr="Ver detalle">
          <a:hlinkClick xmlns:r="http://schemas.openxmlformats.org/officeDocument/2006/relationships" r:id="rId912" tooltip="Ver detalle"/>
          <a:extLst>
            <a:ext uri="{FF2B5EF4-FFF2-40B4-BE49-F238E27FC236}">
              <a16:creationId xmlns:a16="http://schemas.microsoft.com/office/drawing/2014/main" id="{611C3E48-20D3-4AED-A4E2-6E480A06F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20158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503</xdr:row>
      <xdr:rowOff>0</xdr:rowOff>
    </xdr:from>
    <xdr:to>
      <xdr:col>13</xdr:col>
      <xdr:colOff>329565</xdr:colOff>
      <xdr:row>504</xdr:row>
      <xdr:rowOff>114300</xdr:rowOff>
    </xdr:to>
    <xdr:pic>
      <xdr:nvPicPr>
        <xdr:cNvPr id="963" name="Imagen 962">
          <a:hlinkClick xmlns:r="http://schemas.openxmlformats.org/officeDocument/2006/relationships" r:id="rId913" tooltip="Quitar este incidente de la liquidación"/>
          <a:extLst>
            <a:ext uri="{FF2B5EF4-FFF2-40B4-BE49-F238E27FC236}">
              <a16:creationId xmlns:a16="http://schemas.microsoft.com/office/drawing/2014/main" id="{FB8DF214-1710-460A-8E0D-48951EEB4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20158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502</xdr:row>
      <xdr:rowOff>0</xdr:rowOff>
    </xdr:from>
    <xdr:to>
      <xdr:col>13</xdr:col>
      <xdr:colOff>0</xdr:colOff>
      <xdr:row>503</xdr:row>
      <xdr:rowOff>114300</xdr:rowOff>
    </xdr:to>
    <xdr:pic>
      <xdr:nvPicPr>
        <xdr:cNvPr id="964" name="Imagen 963" descr="Ver detalle">
          <a:hlinkClick xmlns:r="http://schemas.openxmlformats.org/officeDocument/2006/relationships" r:id="rId914" tooltip="Ver detalle"/>
          <a:extLst>
            <a:ext uri="{FF2B5EF4-FFF2-40B4-BE49-F238E27FC236}">
              <a16:creationId xmlns:a16="http://schemas.microsoft.com/office/drawing/2014/main" id="{3AEDE71A-5D1F-4555-975F-C5AD02E50E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20402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502</xdr:row>
      <xdr:rowOff>0</xdr:rowOff>
    </xdr:from>
    <xdr:to>
      <xdr:col>13</xdr:col>
      <xdr:colOff>329565</xdr:colOff>
      <xdr:row>503</xdr:row>
      <xdr:rowOff>114300</xdr:rowOff>
    </xdr:to>
    <xdr:pic>
      <xdr:nvPicPr>
        <xdr:cNvPr id="965" name="Imagen 964">
          <a:hlinkClick xmlns:r="http://schemas.openxmlformats.org/officeDocument/2006/relationships" r:id="rId915" tooltip="Quitar este incidente de la liquidación"/>
          <a:extLst>
            <a:ext uri="{FF2B5EF4-FFF2-40B4-BE49-F238E27FC236}">
              <a16:creationId xmlns:a16="http://schemas.microsoft.com/office/drawing/2014/main" id="{6104D9E2-122A-4DDE-B5BA-60970996E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20402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501</xdr:row>
      <xdr:rowOff>0</xdr:rowOff>
    </xdr:from>
    <xdr:to>
      <xdr:col>13</xdr:col>
      <xdr:colOff>0</xdr:colOff>
      <xdr:row>502</xdr:row>
      <xdr:rowOff>114300</xdr:rowOff>
    </xdr:to>
    <xdr:pic>
      <xdr:nvPicPr>
        <xdr:cNvPr id="966" name="Imagen 965" descr="Ver detalle">
          <a:hlinkClick xmlns:r="http://schemas.openxmlformats.org/officeDocument/2006/relationships" r:id="rId916" tooltip="Ver detalle"/>
          <a:extLst>
            <a:ext uri="{FF2B5EF4-FFF2-40B4-BE49-F238E27FC236}">
              <a16:creationId xmlns:a16="http://schemas.microsoft.com/office/drawing/2014/main" id="{FFFD7D70-3FAF-4587-B315-B92E0C746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20646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501</xdr:row>
      <xdr:rowOff>0</xdr:rowOff>
    </xdr:from>
    <xdr:to>
      <xdr:col>13</xdr:col>
      <xdr:colOff>329565</xdr:colOff>
      <xdr:row>502</xdr:row>
      <xdr:rowOff>114300</xdr:rowOff>
    </xdr:to>
    <xdr:pic>
      <xdr:nvPicPr>
        <xdr:cNvPr id="967" name="Imagen 966">
          <a:hlinkClick xmlns:r="http://schemas.openxmlformats.org/officeDocument/2006/relationships" r:id="rId917" tooltip="Quitar este incidente de la liquidación"/>
          <a:extLst>
            <a:ext uri="{FF2B5EF4-FFF2-40B4-BE49-F238E27FC236}">
              <a16:creationId xmlns:a16="http://schemas.microsoft.com/office/drawing/2014/main" id="{5873DEB1-E586-42C1-AF63-D98C42583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20646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500</xdr:row>
      <xdr:rowOff>0</xdr:rowOff>
    </xdr:from>
    <xdr:to>
      <xdr:col>13</xdr:col>
      <xdr:colOff>0</xdr:colOff>
      <xdr:row>501</xdr:row>
      <xdr:rowOff>114300</xdr:rowOff>
    </xdr:to>
    <xdr:pic>
      <xdr:nvPicPr>
        <xdr:cNvPr id="968" name="Imagen 967" descr="Ver detalle">
          <a:hlinkClick xmlns:r="http://schemas.openxmlformats.org/officeDocument/2006/relationships" r:id="rId918" tooltip="Ver detalle"/>
          <a:extLst>
            <a:ext uri="{FF2B5EF4-FFF2-40B4-BE49-F238E27FC236}">
              <a16:creationId xmlns:a16="http://schemas.microsoft.com/office/drawing/2014/main" id="{7552DCC5-CD39-4ED5-B980-D17434769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20809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500</xdr:row>
      <xdr:rowOff>0</xdr:rowOff>
    </xdr:from>
    <xdr:to>
      <xdr:col>13</xdr:col>
      <xdr:colOff>329565</xdr:colOff>
      <xdr:row>501</xdr:row>
      <xdr:rowOff>114300</xdr:rowOff>
    </xdr:to>
    <xdr:pic>
      <xdr:nvPicPr>
        <xdr:cNvPr id="969" name="Imagen 968">
          <a:hlinkClick xmlns:r="http://schemas.openxmlformats.org/officeDocument/2006/relationships" r:id="rId919" tooltip="Quitar este incidente de la liquidación"/>
          <a:extLst>
            <a:ext uri="{FF2B5EF4-FFF2-40B4-BE49-F238E27FC236}">
              <a16:creationId xmlns:a16="http://schemas.microsoft.com/office/drawing/2014/main" id="{8F360B34-5E94-46F4-BF15-CEC1D411E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20809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499</xdr:row>
      <xdr:rowOff>0</xdr:rowOff>
    </xdr:from>
    <xdr:to>
      <xdr:col>13</xdr:col>
      <xdr:colOff>0</xdr:colOff>
      <xdr:row>500</xdr:row>
      <xdr:rowOff>114300</xdr:rowOff>
    </xdr:to>
    <xdr:pic>
      <xdr:nvPicPr>
        <xdr:cNvPr id="970" name="Imagen 969" descr="Ver detalle">
          <a:hlinkClick xmlns:r="http://schemas.openxmlformats.org/officeDocument/2006/relationships" r:id="rId920" tooltip="Ver detalle"/>
          <a:extLst>
            <a:ext uri="{FF2B5EF4-FFF2-40B4-BE49-F238E27FC236}">
              <a16:creationId xmlns:a16="http://schemas.microsoft.com/office/drawing/2014/main" id="{3FA4276D-0D3B-45DF-8C59-687CBCD4F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20972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499</xdr:row>
      <xdr:rowOff>0</xdr:rowOff>
    </xdr:from>
    <xdr:to>
      <xdr:col>13</xdr:col>
      <xdr:colOff>329565</xdr:colOff>
      <xdr:row>500</xdr:row>
      <xdr:rowOff>114300</xdr:rowOff>
    </xdr:to>
    <xdr:pic>
      <xdr:nvPicPr>
        <xdr:cNvPr id="971" name="Imagen 970">
          <a:hlinkClick xmlns:r="http://schemas.openxmlformats.org/officeDocument/2006/relationships" r:id="rId921" tooltip="Quitar este incidente de la liquidación"/>
          <a:extLst>
            <a:ext uri="{FF2B5EF4-FFF2-40B4-BE49-F238E27FC236}">
              <a16:creationId xmlns:a16="http://schemas.microsoft.com/office/drawing/2014/main" id="{4121C8B8-F2F0-4721-A2BF-D43D27891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20972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590</xdr:row>
      <xdr:rowOff>0</xdr:rowOff>
    </xdr:from>
    <xdr:to>
      <xdr:col>13</xdr:col>
      <xdr:colOff>0</xdr:colOff>
      <xdr:row>591</xdr:row>
      <xdr:rowOff>148590</xdr:rowOff>
    </xdr:to>
    <xdr:pic>
      <xdr:nvPicPr>
        <xdr:cNvPr id="972" name="Imagen 971" descr="Ver detalle">
          <a:hlinkClick xmlns:r="http://schemas.openxmlformats.org/officeDocument/2006/relationships" r:id="rId922" tooltip="Ver detalle"/>
          <a:extLst>
            <a:ext uri="{FF2B5EF4-FFF2-40B4-BE49-F238E27FC236}">
              <a16:creationId xmlns:a16="http://schemas.microsoft.com/office/drawing/2014/main" id="{90B30883-1A7C-4D6C-9DD0-21825393D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9637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588</xdr:row>
      <xdr:rowOff>0</xdr:rowOff>
    </xdr:from>
    <xdr:to>
      <xdr:col>13</xdr:col>
      <xdr:colOff>0</xdr:colOff>
      <xdr:row>589</xdr:row>
      <xdr:rowOff>148590</xdr:rowOff>
    </xdr:to>
    <xdr:pic>
      <xdr:nvPicPr>
        <xdr:cNvPr id="973" name="Imagen 972" descr="Ver detalle">
          <a:hlinkClick xmlns:r="http://schemas.openxmlformats.org/officeDocument/2006/relationships" r:id="rId923" tooltip="Ver detalle"/>
          <a:extLst>
            <a:ext uri="{FF2B5EF4-FFF2-40B4-BE49-F238E27FC236}">
              <a16:creationId xmlns:a16="http://schemas.microsoft.com/office/drawing/2014/main" id="{C0B02390-A4A3-4BED-9736-46D65EDC0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98320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549</xdr:row>
      <xdr:rowOff>0</xdr:rowOff>
    </xdr:from>
    <xdr:to>
      <xdr:col>13</xdr:col>
      <xdr:colOff>0</xdr:colOff>
      <xdr:row>550</xdr:row>
      <xdr:rowOff>114300</xdr:rowOff>
    </xdr:to>
    <xdr:pic>
      <xdr:nvPicPr>
        <xdr:cNvPr id="974" name="Imagen 973" descr="Ver detalle">
          <a:hlinkClick xmlns:r="http://schemas.openxmlformats.org/officeDocument/2006/relationships" r:id="rId924" tooltip="Ver detalle"/>
          <a:extLst>
            <a:ext uri="{FF2B5EF4-FFF2-40B4-BE49-F238E27FC236}">
              <a16:creationId xmlns:a16="http://schemas.microsoft.com/office/drawing/2014/main" id="{73D4FE80-6EB8-420D-93EA-293A3772D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0027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546</xdr:row>
      <xdr:rowOff>0</xdr:rowOff>
    </xdr:from>
    <xdr:to>
      <xdr:col>13</xdr:col>
      <xdr:colOff>0</xdr:colOff>
      <xdr:row>547</xdr:row>
      <xdr:rowOff>148590</xdr:rowOff>
    </xdr:to>
    <xdr:pic>
      <xdr:nvPicPr>
        <xdr:cNvPr id="975" name="Imagen 974" descr="Ver detalle">
          <a:hlinkClick xmlns:r="http://schemas.openxmlformats.org/officeDocument/2006/relationships" r:id="rId925" tooltip="Ver detalle"/>
          <a:extLst>
            <a:ext uri="{FF2B5EF4-FFF2-40B4-BE49-F238E27FC236}">
              <a16:creationId xmlns:a16="http://schemas.microsoft.com/office/drawing/2014/main" id="{0A0E4618-CD47-43A2-AE8A-767490075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0222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545</xdr:row>
      <xdr:rowOff>0</xdr:rowOff>
    </xdr:from>
    <xdr:to>
      <xdr:col>13</xdr:col>
      <xdr:colOff>0</xdr:colOff>
      <xdr:row>546</xdr:row>
      <xdr:rowOff>148590</xdr:rowOff>
    </xdr:to>
    <xdr:pic>
      <xdr:nvPicPr>
        <xdr:cNvPr id="976" name="Imagen 975" descr="Ver detalle">
          <a:hlinkClick xmlns:r="http://schemas.openxmlformats.org/officeDocument/2006/relationships" r:id="rId926" tooltip="Ver detalle"/>
          <a:extLst>
            <a:ext uri="{FF2B5EF4-FFF2-40B4-BE49-F238E27FC236}">
              <a16:creationId xmlns:a16="http://schemas.microsoft.com/office/drawing/2014/main" id="{E8950A59-2BEB-4D78-8EF4-7E98FB3F5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0313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548</xdr:row>
      <xdr:rowOff>0</xdr:rowOff>
    </xdr:from>
    <xdr:to>
      <xdr:col>13</xdr:col>
      <xdr:colOff>0</xdr:colOff>
      <xdr:row>549</xdr:row>
      <xdr:rowOff>148590</xdr:rowOff>
    </xdr:to>
    <xdr:pic>
      <xdr:nvPicPr>
        <xdr:cNvPr id="977" name="Imagen 976" descr="Ver detalle">
          <a:hlinkClick xmlns:r="http://schemas.openxmlformats.org/officeDocument/2006/relationships" r:id="rId927" tooltip="Ver detalle"/>
          <a:extLst>
            <a:ext uri="{FF2B5EF4-FFF2-40B4-BE49-F238E27FC236}">
              <a16:creationId xmlns:a16="http://schemas.microsoft.com/office/drawing/2014/main" id="{F30129FB-9F06-4A25-BCD0-F76ECDD6F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0508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547</xdr:row>
      <xdr:rowOff>0</xdr:rowOff>
    </xdr:from>
    <xdr:to>
      <xdr:col>13</xdr:col>
      <xdr:colOff>0</xdr:colOff>
      <xdr:row>548</xdr:row>
      <xdr:rowOff>148590</xdr:rowOff>
    </xdr:to>
    <xdr:pic>
      <xdr:nvPicPr>
        <xdr:cNvPr id="978" name="Imagen 977" descr="Ver detalle">
          <a:hlinkClick xmlns:r="http://schemas.openxmlformats.org/officeDocument/2006/relationships" r:id="rId928" tooltip="Ver detalle"/>
          <a:extLst>
            <a:ext uri="{FF2B5EF4-FFF2-40B4-BE49-F238E27FC236}">
              <a16:creationId xmlns:a16="http://schemas.microsoft.com/office/drawing/2014/main" id="{66E43DDF-F4A9-4DEA-A33A-DDB29EA139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07038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586</xdr:row>
      <xdr:rowOff>0</xdr:rowOff>
    </xdr:from>
    <xdr:to>
      <xdr:col>13</xdr:col>
      <xdr:colOff>0</xdr:colOff>
      <xdr:row>587</xdr:row>
      <xdr:rowOff>148590</xdr:rowOff>
    </xdr:to>
    <xdr:pic>
      <xdr:nvPicPr>
        <xdr:cNvPr id="979" name="Imagen 978" descr="Ver detalle">
          <a:hlinkClick xmlns:r="http://schemas.openxmlformats.org/officeDocument/2006/relationships" r:id="rId929" tooltip="Ver detalle"/>
          <a:extLst>
            <a:ext uri="{FF2B5EF4-FFF2-40B4-BE49-F238E27FC236}">
              <a16:creationId xmlns:a16="http://schemas.microsoft.com/office/drawing/2014/main" id="{56C41D2C-9A20-427E-B14F-5915135E7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07952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585</xdr:row>
      <xdr:rowOff>0</xdr:rowOff>
    </xdr:from>
    <xdr:to>
      <xdr:col>13</xdr:col>
      <xdr:colOff>0</xdr:colOff>
      <xdr:row>586</xdr:row>
      <xdr:rowOff>148590</xdr:rowOff>
    </xdr:to>
    <xdr:pic>
      <xdr:nvPicPr>
        <xdr:cNvPr id="980" name="Imagen 979" descr="Ver detalle">
          <a:hlinkClick xmlns:r="http://schemas.openxmlformats.org/officeDocument/2006/relationships" r:id="rId930" tooltip="Ver detalle"/>
          <a:extLst>
            <a:ext uri="{FF2B5EF4-FFF2-40B4-BE49-F238E27FC236}">
              <a16:creationId xmlns:a16="http://schemas.microsoft.com/office/drawing/2014/main" id="{F5F4C676-6BB2-4635-BC25-7F3040FFA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09903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587</xdr:row>
      <xdr:rowOff>0</xdr:rowOff>
    </xdr:from>
    <xdr:to>
      <xdr:col>13</xdr:col>
      <xdr:colOff>0</xdr:colOff>
      <xdr:row>588</xdr:row>
      <xdr:rowOff>148590</xdr:rowOff>
    </xdr:to>
    <xdr:pic>
      <xdr:nvPicPr>
        <xdr:cNvPr id="981" name="Imagen 980" descr="Ver detalle">
          <a:hlinkClick xmlns:r="http://schemas.openxmlformats.org/officeDocument/2006/relationships" r:id="rId931" tooltip="Ver detalle"/>
          <a:extLst>
            <a:ext uri="{FF2B5EF4-FFF2-40B4-BE49-F238E27FC236}">
              <a16:creationId xmlns:a16="http://schemas.microsoft.com/office/drawing/2014/main" id="{A2C702D2-C930-43C4-A3E7-32618F78A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1185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570</xdr:row>
      <xdr:rowOff>0</xdr:rowOff>
    </xdr:from>
    <xdr:to>
      <xdr:col>13</xdr:col>
      <xdr:colOff>0</xdr:colOff>
      <xdr:row>571</xdr:row>
      <xdr:rowOff>148590</xdr:rowOff>
    </xdr:to>
    <xdr:pic>
      <xdr:nvPicPr>
        <xdr:cNvPr id="982" name="Imagen 981" descr="Ver detalle">
          <a:hlinkClick xmlns:r="http://schemas.openxmlformats.org/officeDocument/2006/relationships" r:id="rId932" tooltip="Ver detalle"/>
          <a:extLst>
            <a:ext uri="{FF2B5EF4-FFF2-40B4-BE49-F238E27FC236}">
              <a16:creationId xmlns:a16="http://schemas.microsoft.com/office/drawing/2014/main" id="{B361548E-F38F-4500-BD7E-8D4140408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1380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567</xdr:row>
      <xdr:rowOff>0</xdr:rowOff>
    </xdr:from>
    <xdr:to>
      <xdr:col>13</xdr:col>
      <xdr:colOff>0</xdr:colOff>
      <xdr:row>568</xdr:row>
      <xdr:rowOff>148590</xdr:rowOff>
    </xdr:to>
    <xdr:pic>
      <xdr:nvPicPr>
        <xdr:cNvPr id="983" name="Imagen 982" descr="Ver detalle">
          <a:hlinkClick xmlns:r="http://schemas.openxmlformats.org/officeDocument/2006/relationships" r:id="rId933" tooltip="Ver detalle"/>
          <a:extLst>
            <a:ext uri="{FF2B5EF4-FFF2-40B4-BE49-F238E27FC236}">
              <a16:creationId xmlns:a16="http://schemas.microsoft.com/office/drawing/2014/main" id="{A96D30C6-E2AC-4FD0-9B2C-A695D03EC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1575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569</xdr:row>
      <xdr:rowOff>0</xdr:rowOff>
    </xdr:from>
    <xdr:to>
      <xdr:col>13</xdr:col>
      <xdr:colOff>0</xdr:colOff>
      <xdr:row>570</xdr:row>
      <xdr:rowOff>148590</xdr:rowOff>
    </xdr:to>
    <xdr:pic>
      <xdr:nvPicPr>
        <xdr:cNvPr id="984" name="Imagen 983" descr="Ver detalle">
          <a:hlinkClick xmlns:r="http://schemas.openxmlformats.org/officeDocument/2006/relationships" r:id="rId934" tooltip="Ver detalle"/>
          <a:extLst>
            <a:ext uri="{FF2B5EF4-FFF2-40B4-BE49-F238E27FC236}">
              <a16:creationId xmlns:a16="http://schemas.microsoft.com/office/drawing/2014/main" id="{D38E8EED-C7DF-48EB-BD10-98C4F3901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17706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568</xdr:row>
      <xdr:rowOff>0</xdr:rowOff>
    </xdr:from>
    <xdr:to>
      <xdr:col>13</xdr:col>
      <xdr:colOff>0</xdr:colOff>
      <xdr:row>569</xdr:row>
      <xdr:rowOff>148590</xdr:rowOff>
    </xdr:to>
    <xdr:pic>
      <xdr:nvPicPr>
        <xdr:cNvPr id="985" name="Imagen 984" descr="Ver detalle">
          <a:hlinkClick xmlns:r="http://schemas.openxmlformats.org/officeDocument/2006/relationships" r:id="rId935" tooltip="Ver detalle"/>
          <a:extLst>
            <a:ext uri="{FF2B5EF4-FFF2-40B4-BE49-F238E27FC236}">
              <a16:creationId xmlns:a16="http://schemas.microsoft.com/office/drawing/2014/main" id="{B369BF78-8098-49EB-926C-34A7E0B21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1965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544</xdr:row>
      <xdr:rowOff>0</xdr:rowOff>
    </xdr:from>
    <xdr:to>
      <xdr:col>13</xdr:col>
      <xdr:colOff>0</xdr:colOff>
      <xdr:row>545</xdr:row>
      <xdr:rowOff>148590</xdr:rowOff>
    </xdr:to>
    <xdr:pic>
      <xdr:nvPicPr>
        <xdr:cNvPr id="986" name="Imagen 985" descr="Ver detalle">
          <a:hlinkClick xmlns:r="http://schemas.openxmlformats.org/officeDocument/2006/relationships" r:id="rId936" tooltip="Ver detalle"/>
          <a:extLst>
            <a:ext uri="{FF2B5EF4-FFF2-40B4-BE49-F238E27FC236}">
              <a16:creationId xmlns:a16="http://schemas.microsoft.com/office/drawing/2014/main" id="{4CCE7E73-478B-43C1-A22E-4FA232F69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2160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584</xdr:row>
      <xdr:rowOff>0</xdr:rowOff>
    </xdr:from>
    <xdr:to>
      <xdr:col>13</xdr:col>
      <xdr:colOff>0</xdr:colOff>
      <xdr:row>585</xdr:row>
      <xdr:rowOff>148590</xdr:rowOff>
    </xdr:to>
    <xdr:pic>
      <xdr:nvPicPr>
        <xdr:cNvPr id="987" name="Imagen 986" descr="Ver detalle">
          <a:hlinkClick xmlns:r="http://schemas.openxmlformats.org/officeDocument/2006/relationships" r:id="rId937" tooltip="Ver detalle"/>
          <a:extLst>
            <a:ext uri="{FF2B5EF4-FFF2-40B4-BE49-F238E27FC236}">
              <a16:creationId xmlns:a16="http://schemas.microsoft.com/office/drawing/2014/main" id="{1C76383A-5D0E-4C37-85D5-D02172894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2355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583</xdr:row>
      <xdr:rowOff>0</xdr:rowOff>
    </xdr:from>
    <xdr:to>
      <xdr:col>13</xdr:col>
      <xdr:colOff>0</xdr:colOff>
      <xdr:row>584</xdr:row>
      <xdr:rowOff>148590</xdr:rowOff>
    </xdr:to>
    <xdr:pic>
      <xdr:nvPicPr>
        <xdr:cNvPr id="988" name="Imagen 987" descr="Ver detalle">
          <a:hlinkClick xmlns:r="http://schemas.openxmlformats.org/officeDocument/2006/relationships" r:id="rId938" tooltip="Ver detalle"/>
          <a:extLst>
            <a:ext uri="{FF2B5EF4-FFF2-40B4-BE49-F238E27FC236}">
              <a16:creationId xmlns:a16="http://schemas.microsoft.com/office/drawing/2014/main" id="{7717BC38-B145-4AFA-AC57-64690D4CC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25509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582</xdr:row>
      <xdr:rowOff>0</xdr:rowOff>
    </xdr:from>
    <xdr:to>
      <xdr:col>13</xdr:col>
      <xdr:colOff>0</xdr:colOff>
      <xdr:row>583</xdr:row>
      <xdr:rowOff>148590</xdr:rowOff>
    </xdr:to>
    <xdr:pic>
      <xdr:nvPicPr>
        <xdr:cNvPr id="989" name="Imagen 988" descr="Ver detalle">
          <a:hlinkClick xmlns:r="http://schemas.openxmlformats.org/officeDocument/2006/relationships" r:id="rId939" tooltip="Ver detalle"/>
          <a:extLst>
            <a:ext uri="{FF2B5EF4-FFF2-40B4-BE49-F238E27FC236}">
              <a16:creationId xmlns:a16="http://schemas.microsoft.com/office/drawing/2014/main" id="{D41E33CC-BE96-49E7-BAD4-19BFF42BC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2642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581</xdr:row>
      <xdr:rowOff>0</xdr:rowOff>
    </xdr:from>
    <xdr:to>
      <xdr:col>13</xdr:col>
      <xdr:colOff>0</xdr:colOff>
      <xdr:row>582</xdr:row>
      <xdr:rowOff>148590</xdr:rowOff>
    </xdr:to>
    <xdr:pic>
      <xdr:nvPicPr>
        <xdr:cNvPr id="990" name="Imagen 989" descr="Ver detalle">
          <a:hlinkClick xmlns:r="http://schemas.openxmlformats.org/officeDocument/2006/relationships" r:id="rId940" tooltip="Ver detalle"/>
          <a:extLst>
            <a:ext uri="{FF2B5EF4-FFF2-40B4-BE49-F238E27FC236}">
              <a16:creationId xmlns:a16="http://schemas.microsoft.com/office/drawing/2014/main" id="{05961264-EE88-4331-A890-FDE5E493F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2733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580</xdr:row>
      <xdr:rowOff>0</xdr:rowOff>
    </xdr:from>
    <xdr:to>
      <xdr:col>13</xdr:col>
      <xdr:colOff>0</xdr:colOff>
      <xdr:row>581</xdr:row>
      <xdr:rowOff>148590</xdr:rowOff>
    </xdr:to>
    <xdr:pic>
      <xdr:nvPicPr>
        <xdr:cNvPr id="991" name="Imagen 990" descr="Ver detalle">
          <a:hlinkClick xmlns:r="http://schemas.openxmlformats.org/officeDocument/2006/relationships" r:id="rId941" tooltip="Ver detalle"/>
          <a:extLst>
            <a:ext uri="{FF2B5EF4-FFF2-40B4-BE49-F238E27FC236}">
              <a16:creationId xmlns:a16="http://schemas.microsoft.com/office/drawing/2014/main" id="{E80B4722-6A73-47CA-86BE-06B2F7DA9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28252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579</xdr:row>
      <xdr:rowOff>0</xdr:rowOff>
    </xdr:from>
    <xdr:to>
      <xdr:col>13</xdr:col>
      <xdr:colOff>0</xdr:colOff>
      <xdr:row>580</xdr:row>
      <xdr:rowOff>148590</xdr:rowOff>
    </xdr:to>
    <xdr:pic>
      <xdr:nvPicPr>
        <xdr:cNvPr id="992" name="Imagen 991" descr="Ver detalle">
          <a:hlinkClick xmlns:r="http://schemas.openxmlformats.org/officeDocument/2006/relationships" r:id="rId942" tooltip="Ver detalle"/>
          <a:extLst>
            <a:ext uri="{FF2B5EF4-FFF2-40B4-BE49-F238E27FC236}">
              <a16:creationId xmlns:a16="http://schemas.microsoft.com/office/drawing/2014/main" id="{0E0C0C15-435C-466D-A4A0-41F239277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2916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578</xdr:row>
      <xdr:rowOff>0</xdr:rowOff>
    </xdr:from>
    <xdr:to>
      <xdr:col>13</xdr:col>
      <xdr:colOff>0</xdr:colOff>
      <xdr:row>579</xdr:row>
      <xdr:rowOff>148590</xdr:rowOff>
    </xdr:to>
    <xdr:pic>
      <xdr:nvPicPr>
        <xdr:cNvPr id="993" name="Imagen 992" descr="Ver detalle">
          <a:hlinkClick xmlns:r="http://schemas.openxmlformats.org/officeDocument/2006/relationships" r:id="rId943" tooltip="Ver detalle"/>
          <a:extLst>
            <a:ext uri="{FF2B5EF4-FFF2-40B4-BE49-F238E27FC236}">
              <a16:creationId xmlns:a16="http://schemas.microsoft.com/office/drawing/2014/main" id="{DBDBF447-B5CB-4DB5-B927-3B3B10200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0081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577</xdr:row>
      <xdr:rowOff>0</xdr:rowOff>
    </xdr:from>
    <xdr:to>
      <xdr:col>13</xdr:col>
      <xdr:colOff>0</xdr:colOff>
      <xdr:row>578</xdr:row>
      <xdr:rowOff>148590</xdr:rowOff>
    </xdr:to>
    <xdr:pic>
      <xdr:nvPicPr>
        <xdr:cNvPr id="994" name="Imagen 993" descr="Ver detalle">
          <a:hlinkClick xmlns:r="http://schemas.openxmlformats.org/officeDocument/2006/relationships" r:id="rId944" tooltip="Ver detalle"/>
          <a:extLst>
            <a:ext uri="{FF2B5EF4-FFF2-40B4-BE49-F238E27FC236}">
              <a16:creationId xmlns:a16="http://schemas.microsoft.com/office/drawing/2014/main" id="{186BE71F-E881-4789-B945-328F030B1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099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576</xdr:row>
      <xdr:rowOff>0</xdr:rowOff>
    </xdr:from>
    <xdr:to>
      <xdr:col>13</xdr:col>
      <xdr:colOff>0</xdr:colOff>
      <xdr:row>577</xdr:row>
      <xdr:rowOff>148590</xdr:rowOff>
    </xdr:to>
    <xdr:pic>
      <xdr:nvPicPr>
        <xdr:cNvPr id="995" name="Imagen 994" descr="Ver detalle">
          <a:hlinkClick xmlns:r="http://schemas.openxmlformats.org/officeDocument/2006/relationships" r:id="rId945" tooltip="Ver detalle"/>
          <a:extLst>
            <a:ext uri="{FF2B5EF4-FFF2-40B4-BE49-F238E27FC236}">
              <a16:creationId xmlns:a16="http://schemas.microsoft.com/office/drawing/2014/main" id="{8315CF2C-7F16-4FB3-A708-AE2D74FCA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190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574</xdr:row>
      <xdr:rowOff>0</xdr:rowOff>
    </xdr:from>
    <xdr:to>
      <xdr:col>13</xdr:col>
      <xdr:colOff>0</xdr:colOff>
      <xdr:row>575</xdr:row>
      <xdr:rowOff>148590</xdr:rowOff>
    </xdr:to>
    <xdr:pic>
      <xdr:nvPicPr>
        <xdr:cNvPr id="996" name="Imagen 995" descr="Ver detalle">
          <a:hlinkClick xmlns:r="http://schemas.openxmlformats.org/officeDocument/2006/relationships" r:id="rId946" tooltip="Ver detalle"/>
          <a:extLst>
            <a:ext uri="{FF2B5EF4-FFF2-40B4-BE49-F238E27FC236}">
              <a16:creationId xmlns:a16="http://schemas.microsoft.com/office/drawing/2014/main" id="{EF0E9984-F2EA-4DD2-A8AF-004B01936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373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573</xdr:row>
      <xdr:rowOff>0</xdr:rowOff>
    </xdr:from>
    <xdr:to>
      <xdr:col>13</xdr:col>
      <xdr:colOff>0</xdr:colOff>
      <xdr:row>574</xdr:row>
      <xdr:rowOff>148590</xdr:rowOff>
    </xdr:to>
    <xdr:pic>
      <xdr:nvPicPr>
        <xdr:cNvPr id="997" name="Imagen 996" descr="Ver detalle">
          <a:hlinkClick xmlns:r="http://schemas.openxmlformats.org/officeDocument/2006/relationships" r:id="rId947" tooltip="Ver detalle"/>
          <a:extLst>
            <a:ext uri="{FF2B5EF4-FFF2-40B4-BE49-F238E27FC236}">
              <a16:creationId xmlns:a16="http://schemas.microsoft.com/office/drawing/2014/main" id="{FFCBE783-AD64-41C5-BDCE-F83BE72D7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465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572</xdr:row>
      <xdr:rowOff>0</xdr:rowOff>
    </xdr:from>
    <xdr:to>
      <xdr:col>13</xdr:col>
      <xdr:colOff>0</xdr:colOff>
      <xdr:row>573</xdr:row>
      <xdr:rowOff>148590</xdr:rowOff>
    </xdr:to>
    <xdr:pic>
      <xdr:nvPicPr>
        <xdr:cNvPr id="998" name="Imagen 997" descr="Ver detalle">
          <a:hlinkClick xmlns:r="http://schemas.openxmlformats.org/officeDocument/2006/relationships" r:id="rId948" tooltip="Ver detalle"/>
          <a:extLst>
            <a:ext uri="{FF2B5EF4-FFF2-40B4-BE49-F238E27FC236}">
              <a16:creationId xmlns:a16="http://schemas.microsoft.com/office/drawing/2014/main" id="{E559D856-9FE0-4D1A-AC36-28DBA0273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556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571</xdr:row>
      <xdr:rowOff>0</xdr:rowOff>
    </xdr:from>
    <xdr:to>
      <xdr:col>13</xdr:col>
      <xdr:colOff>0</xdr:colOff>
      <xdr:row>572</xdr:row>
      <xdr:rowOff>148590</xdr:rowOff>
    </xdr:to>
    <xdr:pic>
      <xdr:nvPicPr>
        <xdr:cNvPr id="999" name="Imagen 998" descr="Ver detalle">
          <a:hlinkClick xmlns:r="http://schemas.openxmlformats.org/officeDocument/2006/relationships" r:id="rId949" tooltip="Ver detalle"/>
          <a:extLst>
            <a:ext uri="{FF2B5EF4-FFF2-40B4-BE49-F238E27FC236}">
              <a16:creationId xmlns:a16="http://schemas.microsoft.com/office/drawing/2014/main" id="{85428994-6B9F-4351-8A8A-90AD5FE0D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7518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541</xdr:row>
      <xdr:rowOff>0</xdr:rowOff>
    </xdr:from>
    <xdr:to>
      <xdr:col>13</xdr:col>
      <xdr:colOff>0</xdr:colOff>
      <xdr:row>542</xdr:row>
      <xdr:rowOff>148590</xdr:rowOff>
    </xdr:to>
    <xdr:pic>
      <xdr:nvPicPr>
        <xdr:cNvPr id="1000" name="Imagen 999" descr="Ver detalle">
          <a:hlinkClick xmlns:r="http://schemas.openxmlformats.org/officeDocument/2006/relationships" r:id="rId950" tooltip="Ver detalle"/>
          <a:extLst>
            <a:ext uri="{FF2B5EF4-FFF2-40B4-BE49-F238E27FC236}">
              <a16:creationId xmlns:a16="http://schemas.microsoft.com/office/drawing/2014/main" id="{C789F815-5BF9-4703-9860-BC8F30402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9468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542</xdr:row>
      <xdr:rowOff>0</xdr:rowOff>
    </xdr:from>
    <xdr:to>
      <xdr:col>13</xdr:col>
      <xdr:colOff>0</xdr:colOff>
      <xdr:row>543</xdr:row>
      <xdr:rowOff>148590</xdr:rowOff>
    </xdr:to>
    <xdr:pic>
      <xdr:nvPicPr>
        <xdr:cNvPr id="1001" name="Imagen 1000" descr="Ver detalle">
          <a:hlinkClick xmlns:r="http://schemas.openxmlformats.org/officeDocument/2006/relationships" r:id="rId951" tooltip="Ver detalle"/>
          <a:extLst>
            <a:ext uri="{FF2B5EF4-FFF2-40B4-BE49-F238E27FC236}">
              <a16:creationId xmlns:a16="http://schemas.microsoft.com/office/drawing/2014/main" id="{048F4087-25A9-4FC8-A548-EAB57BBDE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0383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539</xdr:row>
      <xdr:rowOff>0</xdr:rowOff>
    </xdr:from>
    <xdr:to>
      <xdr:col>13</xdr:col>
      <xdr:colOff>0</xdr:colOff>
      <xdr:row>540</xdr:row>
      <xdr:rowOff>148590</xdr:rowOff>
    </xdr:to>
    <xdr:pic>
      <xdr:nvPicPr>
        <xdr:cNvPr id="1002" name="Imagen 1001" descr="Ver detalle">
          <a:hlinkClick xmlns:r="http://schemas.openxmlformats.org/officeDocument/2006/relationships" r:id="rId952" tooltip="Ver detalle"/>
          <a:extLst>
            <a:ext uri="{FF2B5EF4-FFF2-40B4-BE49-F238E27FC236}">
              <a16:creationId xmlns:a16="http://schemas.microsoft.com/office/drawing/2014/main" id="{A5656E02-6D7C-48A6-BF6F-1232A465E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233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538</xdr:row>
      <xdr:rowOff>0</xdr:rowOff>
    </xdr:from>
    <xdr:to>
      <xdr:col>13</xdr:col>
      <xdr:colOff>0</xdr:colOff>
      <xdr:row>539</xdr:row>
      <xdr:rowOff>148590</xdr:rowOff>
    </xdr:to>
    <xdr:pic>
      <xdr:nvPicPr>
        <xdr:cNvPr id="1003" name="Imagen 1002" descr="Ver detalle">
          <a:hlinkClick xmlns:r="http://schemas.openxmlformats.org/officeDocument/2006/relationships" r:id="rId953" tooltip="Ver detalle"/>
          <a:extLst>
            <a:ext uri="{FF2B5EF4-FFF2-40B4-BE49-F238E27FC236}">
              <a16:creationId xmlns:a16="http://schemas.microsoft.com/office/drawing/2014/main" id="{1A5F238D-3A51-4B2C-8908-2A8603BEF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428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540</xdr:row>
      <xdr:rowOff>0</xdr:rowOff>
    </xdr:from>
    <xdr:to>
      <xdr:col>13</xdr:col>
      <xdr:colOff>0</xdr:colOff>
      <xdr:row>541</xdr:row>
      <xdr:rowOff>148590</xdr:rowOff>
    </xdr:to>
    <xdr:pic>
      <xdr:nvPicPr>
        <xdr:cNvPr id="1004" name="Imagen 1003" descr="Ver detalle">
          <a:hlinkClick xmlns:r="http://schemas.openxmlformats.org/officeDocument/2006/relationships" r:id="rId954" tooltip="Ver detalle"/>
          <a:extLst>
            <a:ext uri="{FF2B5EF4-FFF2-40B4-BE49-F238E27FC236}">
              <a16:creationId xmlns:a16="http://schemas.microsoft.com/office/drawing/2014/main" id="{53BF806F-0F57-4854-9454-FBB317C31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623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537</xdr:row>
      <xdr:rowOff>0</xdr:rowOff>
    </xdr:from>
    <xdr:to>
      <xdr:col>13</xdr:col>
      <xdr:colOff>0</xdr:colOff>
      <xdr:row>538</xdr:row>
      <xdr:rowOff>148590</xdr:rowOff>
    </xdr:to>
    <xdr:pic>
      <xdr:nvPicPr>
        <xdr:cNvPr id="1005" name="Imagen 1004" descr="Ver detalle">
          <a:hlinkClick xmlns:r="http://schemas.openxmlformats.org/officeDocument/2006/relationships" r:id="rId955" tooltip="Ver detalle"/>
          <a:extLst>
            <a:ext uri="{FF2B5EF4-FFF2-40B4-BE49-F238E27FC236}">
              <a16:creationId xmlns:a16="http://schemas.microsoft.com/office/drawing/2014/main" id="{ADB0073B-B065-443E-B298-51347576D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8186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536</xdr:row>
      <xdr:rowOff>0</xdr:rowOff>
    </xdr:from>
    <xdr:to>
      <xdr:col>13</xdr:col>
      <xdr:colOff>0</xdr:colOff>
      <xdr:row>537</xdr:row>
      <xdr:rowOff>148590</xdr:rowOff>
    </xdr:to>
    <xdr:pic>
      <xdr:nvPicPr>
        <xdr:cNvPr id="1006" name="Imagen 1005" descr="Ver detalle">
          <a:hlinkClick xmlns:r="http://schemas.openxmlformats.org/officeDocument/2006/relationships" r:id="rId956" tooltip="Ver detalle"/>
          <a:extLst>
            <a:ext uri="{FF2B5EF4-FFF2-40B4-BE49-F238E27FC236}">
              <a16:creationId xmlns:a16="http://schemas.microsoft.com/office/drawing/2014/main" id="{DC9DD03B-C648-472F-A4D4-A378B32BD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013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535</xdr:row>
      <xdr:rowOff>0</xdr:rowOff>
    </xdr:from>
    <xdr:to>
      <xdr:col>13</xdr:col>
      <xdr:colOff>0</xdr:colOff>
      <xdr:row>536</xdr:row>
      <xdr:rowOff>148590</xdr:rowOff>
    </xdr:to>
    <xdr:pic>
      <xdr:nvPicPr>
        <xdr:cNvPr id="1007" name="Imagen 1006" descr="Ver detalle">
          <a:hlinkClick xmlns:r="http://schemas.openxmlformats.org/officeDocument/2006/relationships" r:id="rId957" tooltip="Ver detalle"/>
          <a:extLst>
            <a:ext uri="{FF2B5EF4-FFF2-40B4-BE49-F238E27FC236}">
              <a16:creationId xmlns:a16="http://schemas.microsoft.com/office/drawing/2014/main" id="{E295C38E-6A13-4677-B024-FFC4B34FF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208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564</xdr:row>
      <xdr:rowOff>0</xdr:rowOff>
    </xdr:from>
    <xdr:to>
      <xdr:col>13</xdr:col>
      <xdr:colOff>0</xdr:colOff>
      <xdr:row>565</xdr:row>
      <xdr:rowOff>148590</xdr:rowOff>
    </xdr:to>
    <xdr:pic>
      <xdr:nvPicPr>
        <xdr:cNvPr id="1008" name="Imagen 1007" descr="Ver detalle">
          <a:hlinkClick xmlns:r="http://schemas.openxmlformats.org/officeDocument/2006/relationships" r:id="rId958" tooltip="Ver detalle"/>
          <a:extLst>
            <a:ext uri="{FF2B5EF4-FFF2-40B4-BE49-F238E27FC236}">
              <a16:creationId xmlns:a16="http://schemas.microsoft.com/office/drawing/2014/main" id="{B9E5A287-C5EC-49ED-9489-15E7A8ACE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339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563</xdr:row>
      <xdr:rowOff>0</xdr:rowOff>
    </xdr:from>
    <xdr:to>
      <xdr:col>13</xdr:col>
      <xdr:colOff>0</xdr:colOff>
      <xdr:row>564</xdr:row>
      <xdr:rowOff>148590</xdr:rowOff>
    </xdr:to>
    <xdr:pic>
      <xdr:nvPicPr>
        <xdr:cNvPr id="1009" name="Imagen 1008" descr="Ver detalle">
          <a:hlinkClick xmlns:r="http://schemas.openxmlformats.org/officeDocument/2006/relationships" r:id="rId959" tooltip="Ver detalle"/>
          <a:extLst>
            <a:ext uri="{FF2B5EF4-FFF2-40B4-BE49-F238E27FC236}">
              <a16:creationId xmlns:a16="http://schemas.microsoft.com/office/drawing/2014/main" id="{3886DAD1-794D-4175-9DB6-C9F9F04E7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5341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562</xdr:row>
      <xdr:rowOff>0</xdr:rowOff>
    </xdr:from>
    <xdr:to>
      <xdr:col>13</xdr:col>
      <xdr:colOff>0</xdr:colOff>
      <xdr:row>563</xdr:row>
      <xdr:rowOff>148590</xdr:rowOff>
    </xdr:to>
    <xdr:pic>
      <xdr:nvPicPr>
        <xdr:cNvPr id="1010" name="Imagen 1009" descr="Ver detalle">
          <a:hlinkClick xmlns:r="http://schemas.openxmlformats.org/officeDocument/2006/relationships" r:id="rId960" tooltip="Ver detalle"/>
          <a:extLst>
            <a:ext uri="{FF2B5EF4-FFF2-40B4-BE49-F238E27FC236}">
              <a16:creationId xmlns:a16="http://schemas.microsoft.com/office/drawing/2014/main" id="{C4C350BE-E2DB-4664-ADDF-3876EED4E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664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561</xdr:row>
      <xdr:rowOff>0</xdr:rowOff>
    </xdr:from>
    <xdr:to>
      <xdr:col>13</xdr:col>
      <xdr:colOff>0</xdr:colOff>
      <xdr:row>562</xdr:row>
      <xdr:rowOff>148590</xdr:rowOff>
    </xdr:to>
    <xdr:pic>
      <xdr:nvPicPr>
        <xdr:cNvPr id="1011" name="Imagen 1010" descr="Ver detalle">
          <a:hlinkClick xmlns:r="http://schemas.openxmlformats.org/officeDocument/2006/relationships" r:id="rId961" tooltip="Ver detalle"/>
          <a:extLst>
            <a:ext uri="{FF2B5EF4-FFF2-40B4-BE49-F238E27FC236}">
              <a16:creationId xmlns:a16="http://schemas.microsoft.com/office/drawing/2014/main" id="{6126E2C7-3064-434D-B120-6E3016ED5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794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566</xdr:row>
      <xdr:rowOff>0</xdr:rowOff>
    </xdr:from>
    <xdr:to>
      <xdr:col>13</xdr:col>
      <xdr:colOff>0</xdr:colOff>
      <xdr:row>567</xdr:row>
      <xdr:rowOff>148590</xdr:rowOff>
    </xdr:to>
    <xdr:pic>
      <xdr:nvPicPr>
        <xdr:cNvPr id="1012" name="Imagen 1011" descr="Ver detalle">
          <a:hlinkClick xmlns:r="http://schemas.openxmlformats.org/officeDocument/2006/relationships" r:id="rId962" tooltip="Ver detalle"/>
          <a:extLst>
            <a:ext uri="{FF2B5EF4-FFF2-40B4-BE49-F238E27FC236}">
              <a16:creationId xmlns:a16="http://schemas.microsoft.com/office/drawing/2014/main" id="{9E020DFE-18E0-499D-B4D6-DBD359BEC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989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565</xdr:row>
      <xdr:rowOff>0</xdr:rowOff>
    </xdr:from>
    <xdr:to>
      <xdr:col>13</xdr:col>
      <xdr:colOff>0</xdr:colOff>
      <xdr:row>566</xdr:row>
      <xdr:rowOff>148590</xdr:rowOff>
    </xdr:to>
    <xdr:pic>
      <xdr:nvPicPr>
        <xdr:cNvPr id="1013" name="Imagen 1012" descr="Ver detalle">
          <a:hlinkClick xmlns:r="http://schemas.openxmlformats.org/officeDocument/2006/relationships" r:id="rId963" tooltip="Ver detalle"/>
          <a:extLst>
            <a:ext uri="{FF2B5EF4-FFF2-40B4-BE49-F238E27FC236}">
              <a16:creationId xmlns:a16="http://schemas.microsoft.com/office/drawing/2014/main" id="{FFE62D40-9198-4458-B229-366C2CA6F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18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532</xdr:row>
      <xdr:rowOff>0</xdr:rowOff>
    </xdr:from>
    <xdr:to>
      <xdr:col>13</xdr:col>
      <xdr:colOff>0</xdr:colOff>
      <xdr:row>533</xdr:row>
      <xdr:rowOff>148590</xdr:rowOff>
    </xdr:to>
    <xdr:pic>
      <xdr:nvPicPr>
        <xdr:cNvPr id="1014" name="Imagen 1013" descr="Ver detalle">
          <a:hlinkClick xmlns:r="http://schemas.openxmlformats.org/officeDocument/2006/relationships" r:id="rId964" tooltip="Ver detalle"/>
          <a:extLst>
            <a:ext uri="{FF2B5EF4-FFF2-40B4-BE49-F238E27FC236}">
              <a16:creationId xmlns:a16="http://schemas.microsoft.com/office/drawing/2014/main" id="{618CB7FF-3600-4DE3-BB3F-A2EF4339B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276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555</xdr:row>
      <xdr:rowOff>0</xdr:rowOff>
    </xdr:from>
    <xdr:to>
      <xdr:col>13</xdr:col>
      <xdr:colOff>0</xdr:colOff>
      <xdr:row>556</xdr:row>
      <xdr:rowOff>148590</xdr:rowOff>
    </xdr:to>
    <xdr:pic>
      <xdr:nvPicPr>
        <xdr:cNvPr id="1015" name="Imagen 1014" descr="Ver detalle">
          <a:hlinkClick xmlns:r="http://schemas.openxmlformats.org/officeDocument/2006/relationships" r:id="rId965" tooltip="Ver detalle"/>
          <a:extLst>
            <a:ext uri="{FF2B5EF4-FFF2-40B4-BE49-F238E27FC236}">
              <a16:creationId xmlns:a16="http://schemas.microsoft.com/office/drawing/2014/main" id="{7BB8EDAA-99CD-4CC7-BDE4-0F9F0A5CB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3936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554</xdr:row>
      <xdr:rowOff>0</xdr:rowOff>
    </xdr:from>
    <xdr:to>
      <xdr:col>13</xdr:col>
      <xdr:colOff>0</xdr:colOff>
      <xdr:row>555</xdr:row>
      <xdr:rowOff>148590</xdr:rowOff>
    </xdr:to>
    <xdr:pic>
      <xdr:nvPicPr>
        <xdr:cNvPr id="1016" name="Imagen 1015" descr="Ver detalle">
          <a:hlinkClick xmlns:r="http://schemas.openxmlformats.org/officeDocument/2006/relationships" r:id="rId966" tooltip="Ver detalle"/>
          <a:extLst>
            <a:ext uri="{FF2B5EF4-FFF2-40B4-BE49-F238E27FC236}">
              <a16:creationId xmlns:a16="http://schemas.microsoft.com/office/drawing/2014/main" id="{081846A4-1141-4672-9224-64B6CB2EC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588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553</xdr:row>
      <xdr:rowOff>0</xdr:rowOff>
    </xdr:from>
    <xdr:to>
      <xdr:col>13</xdr:col>
      <xdr:colOff>0</xdr:colOff>
      <xdr:row>554</xdr:row>
      <xdr:rowOff>148590</xdr:rowOff>
    </xdr:to>
    <xdr:pic>
      <xdr:nvPicPr>
        <xdr:cNvPr id="1017" name="Imagen 1016" descr="Ver detalle">
          <a:hlinkClick xmlns:r="http://schemas.openxmlformats.org/officeDocument/2006/relationships" r:id="rId967" tooltip="Ver detalle"/>
          <a:extLst>
            <a:ext uri="{FF2B5EF4-FFF2-40B4-BE49-F238E27FC236}">
              <a16:creationId xmlns:a16="http://schemas.microsoft.com/office/drawing/2014/main" id="{033C6CDF-2729-45D9-8B74-17CFD23DA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783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552</xdr:row>
      <xdr:rowOff>0</xdr:rowOff>
    </xdr:from>
    <xdr:to>
      <xdr:col>13</xdr:col>
      <xdr:colOff>0</xdr:colOff>
      <xdr:row>553</xdr:row>
      <xdr:rowOff>148590</xdr:rowOff>
    </xdr:to>
    <xdr:pic>
      <xdr:nvPicPr>
        <xdr:cNvPr id="1018" name="Imagen 1017" descr="Ver detalle">
          <a:hlinkClick xmlns:r="http://schemas.openxmlformats.org/officeDocument/2006/relationships" r:id="rId968" tooltip="Ver detalle"/>
          <a:extLst>
            <a:ext uri="{FF2B5EF4-FFF2-40B4-BE49-F238E27FC236}">
              <a16:creationId xmlns:a16="http://schemas.microsoft.com/office/drawing/2014/main" id="{016E6F85-4CA0-440D-9089-673084F87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9788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551</xdr:row>
      <xdr:rowOff>0</xdr:rowOff>
    </xdr:from>
    <xdr:to>
      <xdr:col>13</xdr:col>
      <xdr:colOff>0</xdr:colOff>
      <xdr:row>552</xdr:row>
      <xdr:rowOff>148590</xdr:rowOff>
    </xdr:to>
    <xdr:pic>
      <xdr:nvPicPr>
        <xdr:cNvPr id="1019" name="Imagen 1018" descr="Ver detalle">
          <a:hlinkClick xmlns:r="http://schemas.openxmlformats.org/officeDocument/2006/relationships" r:id="rId969" tooltip="Ver detalle"/>
          <a:extLst>
            <a:ext uri="{FF2B5EF4-FFF2-40B4-BE49-F238E27FC236}">
              <a16:creationId xmlns:a16="http://schemas.microsoft.com/office/drawing/2014/main" id="{C4FA0E1B-B5AA-4F20-8062-67F280434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1739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560</xdr:row>
      <xdr:rowOff>0</xdr:rowOff>
    </xdr:from>
    <xdr:to>
      <xdr:col>13</xdr:col>
      <xdr:colOff>0</xdr:colOff>
      <xdr:row>561</xdr:row>
      <xdr:rowOff>148590</xdr:rowOff>
    </xdr:to>
    <xdr:pic>
      <xdr:nvPicPr>
        <xdr:cNvPr id="1020" name="Imagen 1019" descr="Ver detalle">
          <a:hlinkClick xmlns:r="http://schemas.openxmlformats.org/officeDocument/2006/relationships" r:id="rId970" tooltip="Ver detalle"/>
          <a:extLst>
            <a:ext uri="{FF2B5EF4-FFF2-40B4-BE49-F238E27FC236}">
              <a16:creationId xmlns:a16="http://schemas.microsoft.com/office/drawing/2014/main" id="{54021309-F8EA-4EC6-A297-8DC9B45FB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564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559</xdr:row>
      <xdr:rowOff>0</xdr:rowOff>
    </xdr:from>
    <xdr:to>
      <xdr:col>13</xdr:col>
      <xdr:colOff>0</xdr:colOff>
      <xdr:row>560</xdr:row>
      <xdr:rowOff>148590</xdr:rowOff>
    </xdr:to>
    <xdr:pic>
      <xdr:nvPicPr>
        <xdr:cNvPr id="1021" name="Imagen 1020" descr="Ver detalle">
          <a:hlinkClick xmlns:r="http://schemas.openxmlformats.org/officeDocument/2006/relationships" r:id="rId971" tooltip="Ver detalle"/>
          <a:extLst>
            <a:ext uri="{FF2B5EF4-FFF2-40B4-BE49-F238E27FC236}">
              <a16:creationId xmlns:a16="http://schemas.microsoft.com/office/drawing/2014/main" id="{095FD2F8-9589-4EEC-80ED-B7A9C8B49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7591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558</xdr:row>
      <xdr:rowOff>0</xdr:rowOff>
    </xdr:from>
    <xdr:to>
      <xdr:col>13</xdr:col>
      <xdr:colOff>0</xdr:colOff>
      <xdr:row>559</xdr:row>
      <xdr:rowOff>148590</xdr:rowOff>
    </xdr:to>
    <xdr:pic>
      <xdr:nvPicPr>
        <xdr:cNvPr id="1022" name="Imagen 1021" descr="Ver detalle">
          <a:hlinkClick xmlns:r="http://schemas.openxmlformats.org/officeDocument/2006/relationships" r:id="rId972" tooltip="Ver detalle"/>
          <a:extLst>
            <a:ext uri="{FF2B5EF4-FFF2-40B4-BE49-F238E27FC236}">
              <a16:creationId xmlns:a16="http://schemas.microsoft.com/office/drawing/2014/main" id="{D830F23A-2257-4A43-A17E-B1005A1BF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9542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557</xdr:row>
      <xdr:rowOff>0</xdr:rowOff>
    </xdr:from>
    <xdr:to>
      <xdr:col>13</xdr:col>
      <xdr:colOff>0</xdr:colOff>
      <xdr:row>558</xdr:row>
      <xdr:rowOff>148590</xdr:rowOff>
    </xdr:to>
    <xdr:pic>
      <xdr:nvPicPr>
        <xdr:cNvPr id="1023" name="Imagen 1022" descr="Ver detalle">
          <a:hlinkClick xmlns:r="http://schemas.openxmlformats.org/officeDocument/2006/relationships" r:id="rId973" tooltip="Ver detalle"/>
          <a:extLst>
            <a:ext uri="{FF2B5EF4-FFF2-40B4-BE49-F238E27FC236}">
              <a16:creationId xmlns:a16="http://schemas.microsoft.com/office/drawing/2014/main" id="{983FBCE7-81B3-4471-AE58-06359267D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149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556</xdr:row>
      <xdr:rowOff>0</xdr:rowOff>
    </xdr:from>
    <xdr:to>
      <xdr:col>13</xdr:col>
      <xdr:colOff>0</xdr:colOff>
      <xdr:row>557</xdr:row>
      <xdr:rowOff>148590</xdr:rowOff>
    </xdr:to>
    <xdr:pic>
      <xdr:nvPicPr>
        <xdr:cNvPr id="1024" name="Imagen 1023" descr="Ver detalle">
          <a:hlinkClick xmlns:r="http://schemas.openxmlformats.org/officeDocument/2006/relationships" r:id="rId974" tooltip="Ver detalle"/>
          <a:extLst>
            <a:ext uri="{FF2B5EF4-FFF2-40B4-BE49-F238E27FC236}">
              <a16:creationId xmlns:a16="http://schemas.microsoft.com/office/drawing/2014/main" id="{0918D7A7-61E8-4115-B26B-D9A7BAA26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3443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522</xdr:row>
      <xdr:rowOff>0</xdr:rowOff>
    </xdr:from>
    <xdr:to>
      <xdr:col>13</xdr:col>
      <xdr:colOff>0</xdr:colOff>
      <xdr:row>523</xdr:row>
      <xdr:rowOff>148590</xdr:rowOff>
    </xdr:to>
    <xdr:pic>
      <xdr:nvPicPr>
        <xdr:cNvPr id="1025" name="Imagen 1024" descr="Ver detalle">
          <a:hlinkClick xmlns:r="http://schemas.openxmlformats.org/officeDocument/2006/relationships" r:id="rId806" tooltip="Ver detalle"/>
          <a:extLst>
            <a:ext uri="{FF2B5EF4-FFF2-40B4-BE49-F238E27FC236}">
              <a16:creationId xmlns:a16="http://schemas.microsoft.com/office/drawing/2014/main" id="{5147DE49-F1FD-45CE-9E8C-7ADB3449C6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539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533</xdr:row>
      <xdr:rowOff>0</xdr:rowOff>
    </xdr:from>
    <xdr:to>
      <xdr:col>13</xdr:col>
      <xdr:colOff>0</xdr:colOff>
      <xdr:row>534</xdr:row>
      <xdr:rowOff>148590</xdr:rowOff>
    </xdr:to>
    <xdr:pic>
      <xdr:nvPicPr>
        <xdr:cNvPr id="1026" name="Imagen 1025" descr="Ver detalle">
          <a:hlinkClick xmlns:r="http://schemas.openxmlformats.org/officeDocument/2006/relationships" r:id="rId975" tooltip="Ver detalle"/>
          <a:extLst>
            <a:ext uri="{FF2B5EF4-FFF2-40B4-BE49-F238E27FC236}">
              <a16:creationId xmlns:a16="http://schemas.microsoft.com/office/drawing/2014/main" id="{C66ADE5A-5468-4582-88BA-9B06B3160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7345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525</xdr:row>
      <xdr:rowOff>0</xdr:rowOff>
    </xdr:from>
    <xdr:to>
      <xdr:col>13</xdr:col>
      <xdr:colOff>0</xdr:colOff>
      <xdr:row>526</xdr:row>
      <xdr:rowOff>148590</xdr:rowOff>
    </xdr:to>
    <xdr:pic>
      <xdr:nvPicPr>
        <xdr:cNvPr id="1027" name="Imagen 1026" descr="Ver detalle">
          <a:hlinkClick xmlns:r="http://schemas.openxmlformats.org/officeDocument/2006/relationships" r:id="rId976" tooltip="Ver detalle"/>
          <a:extLst>
            <a:ext uri="{FF2B5EF4-FFF2-40B4-BE49-F238E27FC236}">
              <a16:creationId xmlns:a16="http://schemas.microsoft.com/office/drawing/2014/main" id="{4248E1C1-6533-4B81-B877-C66986A9E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9296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527</xdr:row>
      <xdr:rowOff>0</xdr:rowOff>
    </xdr:from>
    <xdr:to>
      <xdr:col>13</xdr:col>
      <xdr:colOff>0</xdr:colOff>
      <xdr:row>528</xdr:row>
      <xdr:rowOff>148590</xdr:rowOff>
    </xdr:to>
    <xdr:pic>
      <xdr:nvPicPr>
        <xdr:cNvPr id="1028" name="Imagen 1027" descr="Ver detalle">
          <a:hlinkClick xmlns:r="http://schemas.openxmlformats.org/officeDocument/2006/relationships" r:id="rId977" tooltip="Ver detalle"/>
          <a:extLst>
            <a:ext uri="{FF2B5EF4-FFF2-40B4-BE49-F238E27FC236}">
              <a16:creationId xmlns:a16="http://schemas.microsoft.com/office/drawing/2014/main" id="{FC39AFFF-9173-48CC-9E00-7412C511F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1246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534</xdr:row>
      <xdr:rowOff>0</xdr:rowOff>
    </xdr:from>
    <xdr:to>
      <xdr:col>13</xdr:col>
      <xdr:colOff>0</xdr:colOff>
      <xdr:row>535</xdr:row>
      <xdr:rowOff>148590</xdr:rowOff>
    </xdr:to>
    <xdr:pic>
      <xdr:nvPicPr>
        <xdr:cNvPr id="1029" name="Imagen 1028" descr="Ver detalle">
          <a:hlinkClick xmlns:r="http://schemas.openxmlformats.org/officeDocument/2006/relationships" r:id="rId978" tooltip="Ver detalle"/>
          <a:extLst>
            <a:ext uri="{FF2B5EF4-FFF2-40B4-BE49-F238E27FC236}">
              <a16:creationId xmlns:a16="http://schemas.microsoft.com/office/drawing/2014/main" id="{ACCB4595-4963-4F60-8605-BA7990DA0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254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529</xdr:row>
      <xdr:rowOff>0</xdr:rowOff>
    </xdr:from>
    <xdr:to>
      <xdr:col>13</xdr:col>
      <xdr:colOff>0</xdr:colOff>
      <xdr:row>530</xdr:row>
      <xdr:rowOff>148590</xdr:rowOff>
    </xdr:to>
    <xdr:pic>
      <xdr:nvPicPr>
        <xdr:cNvPr id="1030" name="Imagen 1029" descr="Ver detalle">
          <a:hlinkClick xmlns:r="http://schemas.openxmlformats.org/officeDocument/2006/relationships" r:id="rId979" tooltip="Ver detalle"/>
          <a:extLst>
            <a:ext uri="{FF2B5EF4-FFF2-40B4-BE49-F238E27FC236}">
              <a16:creationId xmlns:a16="http://schemas.microsoft.com/office/drawing/2014/main" id="{4AE8326B-2681-465A-A7CA-3018F131D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398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528</xdr:row>
      <xdr:rowOff>0</xdr:rowOff>
    </xdr:from>
    <xdr:to>
      <xdr:col>13</xdr:col>
      <xdr:colOff>0</xdr:colOff>
      <xdr:row>529</xdr:row>
      <xdr:rowOff>148590</xdr:rowOff>
    </xdr:to>
    <xdr:pic>
      <xdr:nvPicPr>
        <xdr:cNvPr id="1031" name="Imagen 1030" descr="Ver detalle">
          <a:hlinkClick xmlns:r="http://schemas.openxmlformats.org/officeDocument/2006/relationships" r:id="rId980" tooltip="Ver detalle"/>
          <a:extLst>
            <a:ext uri="{FF2B5EF4-FFF2-40B4-BE49-F238E27FC236}">
              <a16:creationId xmlns:a16="http://schemas.microsoft.com/office/drawing/2014/main" id="{95358783-5BB0-4461-9647-26B12C0B4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4896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530</xdr:row>
      <xdr:rowOff>0</xdr:rowOff>
    </xdr:from>
    <xdr:to>
      <xdr:col>13</xdr:col>
      <xdr:colOff>0</xdr:colOff>
      <xdr:row>531</xdr:row>
      <xdr:rowOff>148590</xdr:rowOff>
    </xdr:to>
    <xdr:pic>
      <xdr:nvPicPr>
        <xdr:cNvPr id="1032" name="Imagen 1031" descr="Ver detalle">
          <a:hlinkClick xmlns:r="http://schemas.openxmlformats.org/officeDocument/2006/relationships" r:id="rId981" tooltip="Ver detalle"/>
          <a:extLst>
            <a:ext uri="{FF2B5EF4-FFF2-40B4-BE49-F238E27FC236}">
              <a16:creationId xmlns:a16="http://schemas.microsoft.com/office/drawing/2014/main" id="{DFA95CD7-F9B9-4C44-A253-3B4510C53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5811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524</xdr:row>
      <xdr:rowOff>0</xdr:rowOff>
    </xdr:from>
    <xdr:to>
      <xdr:col>13</xdr:col>
      <xdr:colOff>0</xdr:colOff>
      <xdr:row>525</xdr:row>
      <xdr:rowOff>148590</xdr:rowOff>
    </xdr:to>
    <xdr:pic>
      <xdr:nvPicPr>
        <xdr:cNvPr id="1033" name="Imagen 1032" descr="Ver detalle">
          <a:hlinkClick xmlns:r="http://schemas.openxmlformats.org/officeDocument/2006/relationships" r:id="rId810" tooltip="Ver detalle"/>
          <a:extLst>
            <a:ext uri="{FF2B5EF4-FFF2-40B4-BE49-F238E27FC236}">
              <a16:creationId xmlns:a16="http://schemas.microsoft.com/office/drawing/2014/main" id="{E443C532-60E0-496D-8F5C-93774A29D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776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521</xdr:row>
      <xdr:rowOff>0</xdr:rowOff>
    </xdr:from>
    <xdr:to>
      <xdr:col>13</xdr:col>
      <xdr:colOff>0</xdr:colOff>
      <xdr:row>522</xdr:row>
      <xdr:rowOff>148590</xdr:rowOff>
    </xdr:to>
    <xdr:pic>
      <xdr:nvPicPr>
        <xdr:cNvPr id="1034" name="Imagen 1033" descr="Ver detalle">
          <a:hlinkClick xmlns:r="http://schemas.openxmlformats.org/officeDocument/2006/relationships" r:id="rId820" tooltip="Ver detalle"/>
          <a:extLst>
            <a:ext uri="{FF2B5EF4-FFF2-40B4-BE49-F238E27FC236}">
              <a16:creationId xmlns:a16="http://schemas.microsoft.com/office/drawing/2014/main" id="{3DE5DA75-62C1-4AB1-B80C-2C39A9839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867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543</xdr:row>
      <xdr:rowOff>0</xdr:rowOff>
    </xdr:from>
    <xdr:to>
      <xdr:col>13</xdr:col>
      <xdr:colOff>0</xdr:colOff>
      <xdr:row>544</xdr:row>
      <xdr:rowOff>148590</xdr:rowOff>
    </xdr:to>
    <xdr:pic>
      <xdr:nvPicPr>
        <xdr:cNvPr id="1035" name="Imagen 1034" descr="Ver detalle">
          <a:hlinkClick xmlns:r="http://schemas.openxmlformats.org/officeDocument/2006/relationships" r:id="rId982" tooltip="Ver detalle"/>
          <a:extLst>
            <a:ext uri="{FF2B5EF4-FFF2-40B4-BE49-F238E27FC236}">
              <a16:creationId xmlns:a16="http://schemas.microsoft.com/office/drawing/2014/main" id="{FC6AA1A5-7AF9-456E-8570-1EB224572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997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523</xdr:row>
      <xdr:rowOff>0</xdr:rowOff>
    </xdr:from>
    <xdr:to>
      <xdr:col>13</xdr:col>
      <xdr:colOff>0</xdr:colOff>
      <xdr:row>524</xdr:row>
      <xdr:rowOff>148590</xdr:rowOff>
    </xdr:to>
    <xdr:pic>
      <xdr:nvPicPr>
        <xdr:cNvPr id="1036" name="Imagen 1035" descr="Ver detalle">
          <a:hlinkClick xmlns:r="http://schemas.openxmlformats.org/officeDocument/2006/relationships" r:id="rId824" tooltip="Ver detalle"/>
          <a:extLst>
            <a:ext uri="{FF2B5EF4-FFF2-40B4-BE49-F238E27FC236}">
              <a16:creationId xmlns:a16="http://schemas.microsoft.com/office/drawing/2014/main" id="{9D5F37AB-2843-48FE-835C-3D504C3B7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128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526</xdr:row>
      <xdr:rowOff>0</xdr:rowOff>
    </xdr:from>
    <xdr:to>
      <xdr:col>13</xdr:col>
      <xdr:colOff>0</xdr:colOff>
      <xdr:row>527</xdr:row>
      <xdr:rowOff>148590</xdr:rowOff>
    </xdr:to>
    <xdr:pic>
      <xdr:nvPicPr>
        <xdr:cNvPr id="1037" name="Imagen 1036" descr="Ver detalle">
          <a:hlinkClick xmlns:r="http://schemas.openxmlformats.org/officeDocument/2006/relationships" r:id="rId983" tooltip="Ver detalle"/>
          <a:extLst>
            <a:ext uri="{FF2B5EF4-FFF2-40B4-BE49-F238E27FC236}">
              <a16:creationId xmlns:a16="http://schemas.microsoft.com/office/drawing/2014/main" id="{F2A8E056-9560-4AC8-92D7-191FFC9D4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323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591</xdr:row>
      <xdr:rowOff>0</xdr:rowOff>
    </xdr:from>
    <xdr:to>
      <xdr:col>13</xdr:col>
      <xdr:colOff>0</xdr:colOff>
      <xdr:row>592</xdr:row>
      <xdr:rowOff>112395</xdr:rowOff>
    </xdr:to>
    <xdr:pic>
      <xdr:nvPicPr>
        <xdr:cNvPr id="1038" name="Imagen 1037" descr="Ver detalle">
          <a:hlinkClick xmlns:r="http://schemas.openxmlformats.org/officeDocument/2006/relationships" r:id="rId984" tooltip="Ver detalle"/>
          <a:extLst>
            <a:ext uri="{FF2B5EF4-FFF2-40B4-BE49-F238E27FC236}">
              <a16:creationId xmlns:a16="http://schemas.microsoft.com/office/drawing/2014/main" id="{C0777ACE-2F35-4DA0-BABC-E012B1B79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427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596</xdr:row>
      <xdr:rowOff>0</xdr:rowOff>
    </xdr:from>
    <xdr:to>
      <xdr:col>13</xdr:col>
      <xdr:colOff>0</xdr:colOff>
      <xdr:row>597</xdr:row>
      <xdr:rowOff>114300</xdr:rowOff>
    </xdr:to>
    <xdr:pic>
      <xdr:nvPicPr>
        <xdr:cNvPr id="1039" name="Imagen 1038" descr="Ver detalle">
          <a:hlinkClick xmlns:r="http://schemas.openxmlformats.org/officeDocument/2006/relationships" r:id="rId985" tooltip="Ver detalle"/>
          <a:extLst>
            <a:ext uri="{FF2B5EF4-FFF2-40B4-BE49-F238E27FC236}">
              <a16:creationId xmlns:a16="http://schemas.microsoft.com/office/drawing/2014/main" id="{AD1F760C-FC21-44C6-9F80-93A8B23F0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151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597</xdr:row>
      <xdr:rowOff>0</xdr:rowOff>
    </xdr:from>
    <xdr:to>
      <xdr:col>13</xdr:col>
      <xdr:colOff>0</xdr:colOff>
      <xdr:row>598</xdr:row>
      <xdr:rowOff>114300</xdr:rowOff>
    </xdr:to>
    <xdr:pic>
      <xdr:nvPicPr>
        <xdr:cNvPr id="1040" name="Imagen 1039" descr="Ver detalle">
          <a:hlinkClick xmlns:r="http://schemas.openxmlformats.org/officeDocument/2006/relationships" r:id="rId986" tooltip="Ver detalle"/>
          <a:extLst>
            <a:ext uri="{FF2B5EF4-FFF2-40B4-BE49-F238E27FC236}">
              <a16:creationId xmlns:a16="http://schemas.microsoft.com/office/drawing/2014/main" id="{C47C17C1-1FD0-482D-8603-5EBE74EF1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1756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598</xdr:row>
      <xdr:rowOff>0</xdr:rowOff>
    </xdr:from>
    <xdr:to>
      <xdr:col>13</xdr:col>
      <xdr:colOff>0</xdr:colOff>
      <xdr:row>599</xdr:row>
      <xdr:rowOff>114300</xdr:rowOff>
    </xdr:to>
    <xdr:pic>
      <xdr:nvPicPr>
        <xdr:cNvPr id="1041" name="Imagen 1040" descr="Ver detalle">
          <a:hlinkClick xmlns:r="http://schemas.openxmlformats.org/officeDocument/2006/relationships" r:id="rId987" tooltip="Ver detalle"/>
          <a:extLst>
            <a:ext uri="{FF2B5EF4-FFF2-40B4-BE49-F238E27FC236}">
              <a16:creationId xmlns:a16="http://schemas.microsoft.com/office/drawing/2014/main" id="{95004FE7-BB0F-4C8C-9B1B-3644A76F3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000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599</xdr:row>
      <xdr:rowOff>0</xdr:rowOff>
    </xdr:from>
    <xdr:to>
      <xdr:col>13</xdr:col>
      <xdr:colOff>0</xdr:colOff>
      <xdr:row>600</xdr:row>
      <xdr:rowOff>114300</xdr:rowOff>
    </xdr:to>
    <xdr:pic>
      <xdr:nvPicPr>
        <xdr:cNvPr id="1042" name="Imagen 1041" descr="Ver detalle">
          <a:hlinkClick xmlns:r="http://schemas.openxmlformats.org/officeDocument/2006/relationships" r:id="rId988" tooltip="Ver detalle"/>
          <a:extLst>
            <a:ext uri="{FF2B5EF4-FFF2-40B4-BE49-F238E27FC236}">
              <a16:creationId xmlns:a16="http://schemas.microsoft.com/office/drawing/2014/main" id="{971613ED-9E71-400A-83A9-7216881EE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244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600</xdr:row>
      <xdr:rowOff>0</xdr:rowOff>
    </xdr:from>
    <xdr:to>
      <xdr:col>13</xdr:col>
      <xdr:colOff>0</xdr:colOff>
      <xdr:row>601</xdr:row>
      <xdr:rowOff>114300</xdr:rowOff>
    </xdr:to>
    <xdr:pic>
      <xdr:nvPicPr>
        <xdr:cNvPr id="1043" name="Imagen 1042" descr="Ver detalle">
          <a:hlinkClick xmlns:r="http://schemas.openxmlformats.org/officeDocument/2006/relationships" r:id="rId989" tooltip="Ver detalle"/>
          <a:extLst>
            <a:ext uri="{FF2B5EF4-FFF2-40B4-BE49-F238E27FC236}">
              <a16:creationId xmlns:a16="http://schemas.microsoft.com/office/drawing/2014/main" id="{753CE736-0AED-4005-991A-79565753C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488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601</xdr:row>
      <xdr:rowOff>0</xdr:rowOff>
    </xdr:from>
    <xdr:to>
      <xdr:col>13</xdr:col>
      <xdr:colOff>0</xdr:colOff>
      <xdr:row>602</xdr:row>
      <xdr:rowOff>114300</xdr:rowOff>
    </xdr:to>
    <xdr:pic>
      <xdr:nvPicPr>
        <xdr:cNvPr id="1044" name="Imagen 1043" descr="Ver detalle">
          <a:hlinkClick xmlns:r="http://schemas.openxmlformats.org/officeDocument/2006/relationships" r:id="rId990" tooltip="Ver detalle"/>
          <a:extLst>
            <a:ext uri="{FF2B5EF4-FFF2-40B4-BE49-F238E27FC236}">
              <a16:creationId xmlns:a16="http://schemas.microsoft.com/office/drawing/2014/main" id="{F5928D00-7490-4F24-BF5F-592BE14ED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634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602</xdr:row>
      <xdr:rowOff>0</xdr:rowOff>
    </xdr:from>
    <xdr:to>
      <xdr:col>13</xdr:col>
      <xdr:colOff>0</xdr:colOff>
      <xdr:row>603</xdr:row>
      <xdr:rowOff>114300</xdr:rowOff>
    </xdr:to>
    <xdr:pic>
      <xdr:nvPicPr>
        <xdr:cNvPr id="1045" name="Imagen 1044" descr="Ver detalle">
          <a:hlinkClick xmlns:r="http://schemas.openxmlformats.org/officeDocument/2006/relationships" r:id="rId991" tooltip="Ver detalle"/>
          <a:extLst>
            <a:ext uri="{FF2B5EF4-FFF2-40B4-BE49-F238E27FC236}">
              <a16:creationId xmlns:a16="http://schemas.microsoft.com/office/drawing/2014/main" id="{A814570B-7AF7-44DE-A583-798BAA7AB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878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603</xdr:row>
      <xdr:rowOff>0</xdr:rowOff>
    </xdr:from>
    <xdr:to>
      <xdr:col>13</xdr:col>
      <xdr:colOff>0</xdr:colOff>
      <xdr:row>604</xdr:row>
      <xdr:rowOff>114300</xdr:rowOff>
    </xdr:to>
    <xdr:pic>
      <xdr:nvPicPr>
        <xdr:cNvPr id="1046" name="Imagen 1045" descr="Ver detalle">
          <a:hlinkClick xmlns:r="http://schemas.openxmlformats.org/officeDocument/2006/relationships" r:id="rId992" tooltip="Ver detalle"/>
          <a:extLst>
            <a:ext uri="{FF2B5EF4-FFF2-40B4-BE49-F238E27FC236}">
              <a16:creationId xmlns:a16="http://schemas.microsoft.com/office/drawing/2014/main" id="{114A7F2F-BEB9-47B1-B21A-8B8B3A5E5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3122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604</xdr:row>
      <xdr:rowOff>0</xdr:rowOff>
    </xdr:from>
    <xdr:to>
      <xdr:col>13</xdr:col>
      <xdr:colOff>0</xdr:colOff>
      <xdr:row>605</xdr:row>
      <xdr:rowOff>114300</xdr:rowOff>
    </xdr:to>
    <xdr:pic>
      <xdr:nvPicPr>
        <xdr:cNvPr id="1047" name="Imagen 1046" descr="Ver detalle">
          <a:hlinkClick xmlns:r="http://schemas.openxmlformats.org/officeDocument/2006/relationships" r:id="rId993" tooltip="Ver detalle"/>
          <a:extLst>
            <a:ext uri="{FF2B5EF4-FFF2-40B4-BE49-F238E27FC236}">
              <a16:creationId xmlns:a16="http://schemas.microsoft.com/office/drawing/2014/main" id="{61B9BB4C-E3AA-4786-B470-87EF1154A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3366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605</xdr:row>
      <xdr:rowOff>0</xdr:rowOff>
    </xdr:from>
    <xdr:to>
      <xdr:col>13</xdr:col>
      <xdr:colOff>0</xdr:colOff>
      <xdr:row>606</xdr:row>
      <xdr:rowOff>114300</xdr:rowOff>
    </xdr:to>
    <xdr:pic>
      <xdr:nvPicPr>
        <xdr:cNvPr id="1048" name="Imagen 1047" descr="Ver detalle">
          <a:hlinkClick xmlns:r="http://schemas.openxmlformats.org/officeDocument/2006/relationships" r:id="rId994" tooltip="Ver detalle"/>
          <a:extLst>
            <a:ext uri="{FF2B5EF4-FFF2-40B4-BE49-F238E27FC236}">
              <a16:creationId xmlns:a16="http://schemas.microsoft.com/office/drawing/2014/main" id="{4565AE7C-04C6-459A-A227-836F880D19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3529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606</xdr:row>
      <xdr:rowOff>0</xdr:rowOff>
    </xdr:from>
    <xdr:to>
      <xdr:col>13</xdr:col>
      <xdr:colOff>0</xdr:colOff>
      <xdr:row>607</xdr:row>
      <xdr:rowOff>114300</xdr:rowOff>
    </xdr:to>
    <xdr:pic>
      <xdr:nvPicPr>
        <xdr:cNvPr id="1049" name="Imagen 1048" descr="Ver detalle">
          <a:hlinkClick xmlns:r="http://schemas.openxmlformats.org/officeDocument/2006/relationships" r:id="rId995" tooltip="Ver detalle"/>
          <a:extLst>
            <a:ext uri="{FF2B5EF4-FFF2-40B4-BE49-F238E27FC236}">
              <a16:creationId xmlns:a16="http://schemas.microsoft.com/office/drawing/2014/main" id="{267D8DE6-56C4-4192-AC35-1A31F1CA8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3692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607</xdr:row>
      <xdr:rowOff>0</xdr:rowOff>
    </xdr:from>
    <xdr:to>
      <xdr:col>13</xdr:col>
      <xdr:colOff>0</xdr:colOff>
      <xdr:row>608</xdr:row>
      <xdr:rowOff>114300</xdr:rowOff>
    </xdr:to>
    <xdr:pic>
      <xdr:nvPicPr>
        <xdr:cNvPr id="1050" name="Imagen 1049" descr="Ver detalle">
          <a:hlinkClick xmlns:r="http://schemas.openxmlformats.org/officeDocument/2006/relationships" r:id="rId996" tooltip="Ver detalle"/>
          <a:extLst>
            <a:ext uri="{FF2B5EF4-FFF2-40B4-BE49-F238E27FC236}">
              <a16:creationId xmlns:a16="http://schemas.microsoft.com/office/drawing/2014/main" id="{663CEE5C-85DB-44E8-BE4C-A074239DD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3936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608</xdr:row>
      <xdr:rowOff>0</xdr:rowOff>
    </xdr:from>
    <xdr:to>
      <xdr:col>13</xdr:col>
      <xdr:colOff>0</xdr:colOff>
      <xdr:row>609</xdr:row>
      <xdr:rowOff>114300</xdr:rowOff>
    </xdr:to>
    <xdr:pic>
      <xdr:nvPicPr>
        <xdr:cNvPr id="1051" name="Imagen 1050" descr="Ver detalle">
          <a:hlinkClick xmlns:r="http://schemas.openxmlformats.org/officeDocument/2006/relationships" r:id="rId997" tooltip="Ver detalle"/>
          <a:extLst>
            <a:ext uri="{FF2B5EF4-FFF2-40B4-BE49-F238E27FC236}">
              <a16:creationId xmlns:a16="http://schemas.microsoft.com/office/drawing/2014/main" id="{9463A2BA-B7D7-47A6-A02D-DEE38C562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4179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609</xdr:row>
      <xdr:rowOff>0</xdr:rowOff>
    </xdr:from>
    <xdr:to>
      <xdr:col>13</xdr:col>
      <xdr:colOff>0</xdr:colOff>
      <xdr:row>610</xdr:row>
      <xdr:rowOff>114300</xdr:rowOff>
    </xdr:to>
    <xdr:pic>
      <xdr:nvPicPr>
        <xdr:cNvPr id="1052" name="Imagen 1051" descr="Ver detalle">
          <a:hlinkClick xmlns:r="http://schemas.openxmlformats.org/officeDocument/2006/relationships" r:id="rId998" tooltip="Ver detalle"/>
          <a:extLst>
            <a:ext uri="{FF2B5EF4-FFF2-40B4-BE49-F238E27FC236}">
              <a16:creationId xmlns:a16="http://schemas.microsoft.com/office/drawing/2014/main" id="{21212CCF-4E49-4894-8956-E885D70C6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4423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610</xdr:row>
      <xdr:rowOff>0</xdr:rowOff>
    </xdr:from>
    <xdr:to>
      <xdr:col>13</xdr:col>
      <xdr:colOff>0</xdr:colOff>
      <xdr:row>611</xdr:row>
      <xdr:rowOff>114300</xdr:rowOff>
    </xdr:to>
    <xdr:pic>
      <xdr:nvPicPr>
        <xdr:cNvPr id="1053" name="Imagen 1052" descr="Ver detalle">
          <a:hlinkClick xmlns:r="http://schemas.openxmlformats.org/officeDocument/2006/relationships" r:id="rId999" tooltip="Ver detalle"/>
          <a:extLst>
            <a:ext uri="{FF2B5EF4-FFF2-40B4-BE49-F238E27FC236}">
              <a16:creationId xmlns:a16="http://schemas.microsoft.com/office/drawing/2014/main" id="{DAE4383C-ADCD-4F84-BFBA-B9C5E033E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4667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611</xdr:row>
      <xdr:rowOff>0</xdr:rowOff>
    </xdr:from>
    <xdr:to>
      <xdr:col>13</xdr:col>
      <xdr:colOff>0</xdr:colOff>
      <xdr:row>612</xdr:row>
      <xdr:rowOff>114300</xdr:rowOff>
    </xdr:to>
    <xdr:pic>
      <xdr:nvPicPr>
        <xdr:cNvPr id="1054" name="Imagen 1053" descr="Ver detalle">
          <a:hlinkClick xmlns:r="http://schemas.openxmlformats.org/officeDocument/2006/relationships" r:id="rId1000" tooltip="Ver detalle"/>
          <a:extLst>
            <a:ext uri="{FF2B5EF4-FFF2-40B4-BE49-F238E27FC236}">
              <a16:creationId xmlns:a16="http://schemas.microsoft.com/office/drawing/2014/main" id="{C8CEBEB8-B8DB-4199-B7C2-5F13BBB18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4781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612</xdr:row>
      <xdr:rowOff>0</xdr:rowOff>
    </xdr:from>
    <xdr:to>
      <xdr:col>13</xdr:col>
      <xdr:colOff>0</xdr:colOff>
      <xdr:row>613</xdr:row>
      <xdr:rowOff>114300</xdr:rowOff>
    </xdr:to>
    <xdr:pic>
      <xdr:nvPicPr>
        <xdr:cNvPr id="1055" name="Imagen 1054" descr="Ver detalle">
          <a:hlinkClick xmlns:r="http://schemas.openxmlformats.org/officeDocument/2006/relationships" r:id="rId1001" tooltip="Ver detalle"/>
          <a:extLst>
            <a:ext uri="{FF2B5EF4-FFF2-40B4-BE49-F238E27FC236}">
              <a16:creationId xmlns:a16="http://schemas.microsoft.com/office/drawing/2014/main" id="{D5F016DD-EE5B-448C-92ED-D7027AE595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5025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613</xdr:row>
      <xdr:rowOff>0</xdr:rowOff>
    </xdr:from>
    <xdr:to>
      <xdr:col>13</xdr:col>
      <xdr:colOff>0</xdr:colOff>
      <xdr:row>614</xdr:row>
      <xdr:rowOff>114300</xdr:rowOff>
    </xdr:to>
    <xdr:pic>
      <xdr:nvPicPr>
        <xdr:cNvPr id="1056" name="Imagen 1055" descr="Ver detalle">
          <a:hlinkClick xmlns:r="http://schemas.openxmlformats.org/officeDocument/2006/relationships" r:id="rId1002" tooltip="Ver detalle"/>
          <a:extLst>
            <a:ext uri="{FF2B5EF4-FFF2-40B4-BE49-F238E27FC236}">
              <a16:creationId xmlns:a16="http://schemas.microsoft.com/office/drawing/2014/main" id="{57FC9CDF-81F3-4490-ACEF-252637509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5139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614</xdr:row>
      <xdr:rowOff>0</xdr:rowOff>
    </xdr:from>
    <xdr:to>
      <xdr:col>13</xdr:col>
      <xdr:colOff>0</xdr:colOff>
      <xdr:row>615</xdr:row>
      <xdr:rowOff>114300</xdr:rowOff>
    </xdr:to>
    <xdr:pic>
      <xdr:nvPicPr>
        <xdr:cNvPr id="1057" name="Imagen 1056" descr="Ver detalle">
          <a:hlinkClick xmlns:r="http://schemas.openxmlformats.org/officeDocument/2006/relationships" r:id="rId1003" tooltip="Ver detalle"/>
          <a:extLst>
            <a:ext uri="{FF2B5EF4-FFF2-40B4-BE49-F238E27FC236}">
              <a16:creationId xmlns:a16="http://schemas.microsoft.com/office/drawing/2014/main" id="{1F042D8C-CFFC-4982-9D7C-0D54C5D28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5383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615</xdr:row>
      <xdr:rowOff>0</xdr:rowOff>
    </xdr:from>
    <xdr:to>
      <xdr:col>13</xdr:col>
      <xdr:colOff>0</xdr:colOff>
      <xdr:row>616</xdr:row>
      <xdr:rowOff>114300</xdr:rowOff>
    </xdr:to>
    <xdr:pic>
      <xdr:nvPicPr>
        <xdr:cNvPr id="1058" name="Imagen 1057" descr="Ver detalle">
          <a:hlinkClick xmlns:r="http://schemas.openxmlformats.org/officeDocument/2006/relationships" r:id="rId1004" tooltip="Ver detalle"/>
          <a:extLst>
            <a:ext uri="{FF2B5EF4-FFF2-40B4-BE49-F238E27FC236}">
              <a16:creationId xmlns:a16="http://schemas.microsoft.com/office/drawing/2014/main" id="{1F36BD5C-9A2A-4655-A936-CB28200F4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5498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616</xdr:row>
      <xdr:rowOff>0</xdr:rowOff>
    </xdr:from>
    <xdr:to>
      <xdr:col>13</xdr:col>
      <xdr:colOff>0</xdr:colOff>
      <xdr:row>617</xdr:row>
      <xdr:rowOff>114300</xdr:rowOff>
    </xdr:to>
    <xdr:pic>
      <xdr:nvPicPr>
        <xdr:cNvPr id="1059" name="Imagen 1058" descr="Ver detalle">
          <a:hlinkClick xmlns:r="http://schemas.openxmlformats.org/officeDocument/2006/relationships" r:id="rId1005" tooltip="Ver detalle"/>
          <a:extLst>
            <a:ext uri="{FF2B5EF4-FFF2-40B4-BE49-F238E27FC236}">
              <a16:creationId xmlns:a16="http://schemas.microsoft.com/office/drawing/2014/main" id="{FD392DDD-4E98-439E-B497-96F171BD1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5612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617</xdr:row>
      <xdr:rowOff>0</xdr:rowOff>
    </xdr:from>
    <xdr:to>
      <xdr:col>13</xdr:col>
      <xdr:colOff>0</xdr:colOff>
      <xdr:row>618</xdr:row>
      <xdr:rowOff>114300</xdr:rowOff>
    </xdr:to>
    <xdr:pic>
      <xdr:nvPicPr>
        <xdr:cNvPr id="1060" name="Imagen 1059" descr="Ver detalle">
          <a:hlinkClick xmlns:r="http://schemas.openxmlformats.org/officeDocument/2006/relationships" r:id="rId1006" tooltip="Ver detalle"/>
          <a:extLst>
            <a:ext uri="{FF2B5EF4-FFF2-40B4-BE49-F238E27FC236}">
              <a16:creationId xmlns:a16="http://schemas.microsoft.com/office/drawing/2014/main" id="{844C5E65-727A-4CC8-A790-CA9A682FE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5759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618</xdr:row>
      <xdr:rowOff>0</xdr:rowOff>
    </xdr:from>
    <xdr:to>
      <xdr:col>13</xdr:col>
      <xdr:colOff>0</xdr:colOff>
      <xdr:row>619</xdr:row>
      <xdr:rowOff>114300</xdr:rowOff>
    </xdr:to>
    <xdr:pic>
      <xdr:nvPicPr>
        <xdr:cNvPr id="1061" name="Imagen 1060" descr="Ver detalle">
          <a:hlinkClick xmlns:r="http://schemas.openxmlformats.org/officeDocument/2006/relationships" r:id="rId1007" tooltip="Ver detalle"/>
          <a:extLst>
            <a:ext uri="{FF2B5EF4-FFF2-40B4-BE49-F238E27FC236}">
              <a16:creationId xmlns:a16="http://schemas.microsoft.com/office/drawing/2014/main" id="{CE87C92F-1E5B-45CF-9F3D-AA9CA70F9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5873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619</xdr:row>
      <xdr:rowOff>0</xdr:rowOff>
    </xdr:from>
    <xdr:to>
      <xdr:col>13</xdr:col>
      <xdr:colOff>0</xdr:colOff>
      <xdr:row>620</xdr:row>
      <xdr:rowOff>114300</xdr:rowOff>
    </xdr:to>
    <xdr:pic>
      <xdr:nvPicPr>
        <xdr:cNvPr id="1062" name="Imagen 1061" descr="Ver detalle">
          <a:hlinkClick xmlns:r="http://schemas.openxmlformats.org/officeDocument/2006/relationships" r:id="rId1008" tooltip="Ver detalle"/>
          <a:extLst>
            <a:ext uri="{FF2B5EF4-FFF2-40B4-BE49-F238E27FC236}">
              <a16:creationId xmlns:a16="http://schemas.microsoft.com/office/drawing/2014/main" id="{77E2E877-EC71-4B91-8049-51B0863AC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6117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621</xdr:row>
      <xdr:rowOff>0</xdr:rowOff>
    </xdr:from>
    <xdr:to>
      <xdr:col>13</xdr:col>
      <xdr:colOff>0</xdr:colOff>
      <xdr:row>622</xdr:row>
      <xdr:rowOff>114300</xdr:rowOff>
    </xdr:to>
    <xdr:pic>
      <xdr:nvPicPr>
        <xdr:cNvPr id="1063" name="Imagen 1062" descr="Ver detalle">
          <a:hlinkClick xmlns:r="http://schemas.openxmlformats.org/officeDocument/2006/relationships" r:id="rId1009" tooltip="Ver detalle"/>
          <a:extLst>
            <a:ext uri="{FF2B5EF4-FFF2-40B4-BE49-F238E27FC236}">
              <a16:creationId xmlns:a16="http://schemas.microsoft.com/office/drawing/2014/main" id="{36EDA3CD-70DC-423F-8AFA-C182E3223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6604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622</xdr:row>
      <xdr:rowOff>0</xdr:rowOff>
    </xdr:from>
    <xdr:to>
      <xdr:col>13</xdr:col>
      <xdr:colOff>0</xdr:colOff>
      <xdr:row>623</xdr:row>
      <xdr:rowOff>114300</xdr:rowOff>
    </xdr:to>
    <xdr:pic>
      <xdr:nvPicPr>
        <xdr:cNvPr id="1064" name="Imagen 1063" descr="Ver detalle">
          <a:hlinkClick xmlns:r="http://schemas.openxmlformats.org/officeDocument/2006/relationships" r:id="rId1010" tooltip="Ver detalle"/>
          <a:extLst>
            <a:ext uri="{FF2B5EF4-FFF2-40B4-BE49-F238E27FC236}">
              <a16:creationId xmlns:a16="http://schemas.microsoft.com/office/drawing/2014/main" id="{D6A2C6AF-1301-453C-9314-9AD17FF2C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6848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623</xdr:row>
      <xdr:rowOff>0</xdr:rowOff>
    </xdr:from>
    <xdr:to>
      <xdr:col>13</xdr:col>
      <xdr:colOff>0</xdr:colOff>
      <xdr:row>624</xdr:row>
      <xdr:rowOff>114300</xdr:rowOff>
    </xdr:to>
    <xdr:pic>
      <xdr:nvPicPr>
        <xdr:cNvPr id="1065" name="Imagen 1064" descr="Ver detalle">
          <a:hlinkClick xmlns:r="http://schemas.openxmlformats.org/officeDocument/2006/relationships" r:id="rId1011" tooltip="Ver detalle"/>
          <a:extLst>
            <a:ext uri="{FF2B5EF4-FFF2-40B4-BE49-F238E27FC236}">
              <a16:creationId xmlns:a16="http://schemas.microsoft.com/office/drawing/2014/main" id="{B6D09F47-3ED1-4B6C-8A95-479969272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7092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624</xdr:row>
      <xdr:rowOff>0</xdr:rowOff>
    </xdr:from>
    <xdr:to>
      <xdr:col>13</xdr:col>
      <xdr:colOff>0</xdr:colOff>
      <xdr:row>625</xdr:row>
      <xdr:rowOff>114300</xdr:rowOff>
    </xdr:to>
    <xdr:pic>
      <xdr:nvPicPr>
        <xdr:cNvPr id="1066" name="Imagen 1065" descr="Ver detalle">
          <a:hlinkClick xmlns:r="http://schemas.openxmlformats.org/officeDocument/2006/relationships" r:id="rId1012" tooltip="Ver detalle"/>
          <a:extLst>
            <a:ext uri="{FF2B5EF4-FFF2-40B4-BE49-F238E27FC236}">
              <a16:creationId xmlns:a16="http://schemas.microsoft.com/office/drawing/2014/main" id="{D4D5140A-25C5-4F86-8011-28FF732FF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7336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625</xdr:row>
      <xdr:rowOff>0</xdr:rowOff>
    </xdr:from>
    <xdr:to>
      <xdr:col>13</xdr:col>
      <xdr:colOff>0</xdr:colOff>
      <xdr:row>626</xdr:row>
      <xdr:rowOff>110490</xdr:rowOff>
    </xdr:to>
    <xdr:pic>
      <xdr:nvPicPr>
        <xdr:cNvPr id="1067" name="Imagen 1066" descr="Ver detalle">
          <a:hlinkClick xmlns:r="http://schemas.openxmlformats.org/officeDocument/2006/relationships" r:id="rId1013" tooltip="Ver detalle"/>
          <a:extLst>
            <a:ext uri="{FF2B5EF4-FFF2-40B4-BE49-F238E27FC236}">
              <a16:creationId xmlns:a16="http://schemas.microsoft.com/office/drawing/2014/main" id="{4C3C84A3-8CA7-49B0-9730-91B43695B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7580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628</xdr:row>
      <xdr:rowOff>0</xdr:rowOff>
    </xdr:from>
    <xdr:to>
      <xdr:col>13</xdr:col>
      <xdr:colOff>0</xdr:colOff>
      <xdr:row>629</xdr:row>
      <xdr:rowOff>114300</xdr:rowOff>
    </xdr:to>
    <xdr:pic>
      <xdr:nvPicPr>
        <xdr:cNvPr id="1068" name="Imagen 1067" descr="Ver detalle">
          <a:hlinkClick xmlns:r="http://schemas.openxmlformats.org/officeDocument/2006/relationships" r:id="rId1014" tooltip="Ver detalle"/>
          <a:extLst>
            <a:ext uri="{FF2B5EF4-FFF2-40B4-BE49-F238E27FC236}">
              <a16:creationId xmlns:a16="http://schemas.microsoft.com/office/drawing/2014/main" id="{A9916E3E-4B61-4D8E-AA9C-CE822A584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7824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629</xdr:row>
      <xdr:rowOff>0</xdr:rowOff>
    </xdr:from>
    <xdr:to>
      <xdr:col>13</xdr:col>
      <xdr:colOff>0</xdr:colOff>
      <xdr:row>630</xdr:row>
      <xdr:rowOff>114300</xdr:rowOff>
    </xdr:to>
    <xdr:pic>
      <xdr:nvPicPr>
        <xdr:cNvPr id="1069" name="Imagen 1068" descr="Ver detalle">
          <a:hlinkClick xmlns:r="http://schemas.openxmlformats.org/officeDocument/2006/relationships" r:id="rId1015" tooltip="Ver detalle"/>
          <a:extLst>
            <a:ext uri="{FF2B5EF4-FFF2-40B4-BE49-F238E27FC236}">
              <a16:creationId xmlns:a16="http://schemas.microsoft.com/office/drawing/2014/main" id="{2AAD0EB0-0D72-4DEB-A28F-8C579397F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8067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630</xdr:row>
      <xdr:rowOff>0</xdr:rowOff>
    </xdr:from>
    <xdr:to>
      <xdr:col>13</xdr:col>
      <xdr:colOff>0</xdr:colOff>
      <xdr:row>631</xdr:row>
      <xdr:rowOff>114300</xdr:rowOff>
    </xdr:to>
    <xdr:pic>
      <xdr:nvPicPr>
        <xdr:cNvPr id="1070" name="Imagen 1069" descr="Ver detalle">
          <a:hlinkClick xmlns:r="http://schemas.openxmlformats.org/officeDocument/2006/relationships" r:id="rId1016" tooltip="Ver detalle"/>
          <a:extLst>
            <a:ext uri="{FF2B5EF4-FFF2-40B4-BE49-F238E27FC236}">
              <a16:creationId xmlns:a16="http://schemas.microsoft.com/office/drawing/2014/main" id="{BBAA017C-5063-42E6-85E3-3DD0BF8EF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8311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631</xdr:row>
      <xdr:rowOff>0</xdr:rowOff>
    </xdr:from>
    <xdr:to>
      <xdr:col>13</xdr:col>
      <xdr:colOff>0</xdr:colOff>
      <xdr:row>632</xdr:row>
      <xdr:rowOff>114300</xdr:rowOff>
    </xdr:to>
    <xdr:pic>
      <xdr:nvPicPr>
        <xdr:cNvPr id="1071" name="Imagen 1070" descr="Ver detalle">
          <a:hlinkClick xmlns:r="http://schemas.openxmlformats.org/officeDocument/2006/relationships" r:id="rId1017" tooltip="Ver detalle"/>
          <a:extLst>
            <a:ext uri="{FF2B5EF4-FFF2-40B4-BE49-F238E27FC236}">
              <a16:creationId xmlns:a16="http://schemas.microsoft.com/office/drawing/2014/main" id="{2BB59AFC-ED09-403F-A40F-830C68BFC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8426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632</xdr:row>
      <xdr:rowOff>0</xdr:rowOff>
    </xdr:from>
    <xdr:to>
      <xdr:col>13</xdr:col>
      <xdr:colOff>0</xdr:colOff>
      <xdr:row>633</xdr:row>
      <xdr:rowOff>114300</xdr:rowOff>
    </xdr:to>
    <xdr:pic>
      <xdr:nvPicPr>
        <xdr:cNvPr id="1072" name="Imagen 1071" descr="Ver detalle">
          <a:hlinkClick xmlns:r="http://schemas.openxmlformats.org/officeDocument/2006/relationships" r:id="rId1018" tooltip="Ver detalle"/>
          <a:extLst>
            <a:ext uri="{FF2B5EF4-FFF2-40B4-BE49-F238E27FC236}">
              <a16:creationId xmlns:a16="http://schemas.microsoft.com/office/drawing/2014/main" id="{BE94E224-EB74-4E58-BE42-75626A98B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8669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633</xdr:row>
      <xdr:rowOff>0</xdr:rowOff>
    </xdr:from>
    <xdr:to>
      <xdr:col>13</xdr:col>
      <xdr:colOff>0</xdr:colOff>
      <xdr:row>634</xdr:row>
      <xdr:rowOff>114300</xdr:rowOff>
    </xdr:to>
    <xdr:pic>
      <xdr:nvPicPr>
        <xdr:cNvPr id="1073" name="Imagen 1072" descr="Ver detalle">
          <a:hlinkClick xmlns:r="http://schemas.openxmlformats.org/officeDocument/2006/relationships" r:id="rId1019" tooltip="Ver detalle"/>
          <a:extLst>
            <a:ext uri="{FF2B5EF4-FFF2-40B4-BE49-F238E27FC236}">
              <a16:creationId xmlns:a16="http://schemas.microsoft.com/office/drawing/2014/main" id="{027BFA1A-EC6B-4805-939C-872646C01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8913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634</xdr:row>
      <xdr:rowOff>0</xdr:rowOff>
    </xdr:from>
    <xdr:to>
      <xdr:col>13</xdr:col>
      <xdr:colOff>0</xdr:colOff>
      <xdr:row>635</xdr:row>
      <xdr:rowOff>114300</xdr:rowOff>
    </xdr:to>
    <xdr:pic>
      <xdr:nvPicPr>
        <xdr:cNvPr id="1074" name="Imagen 1073" descr="Ver detalle">
          <a:hlinkClick xmlns:r="http://schemas.openxmlformats.org/officeDocument/2006/relationships" r:id="rId1020" tooltip="Ver detalle"/>
          <a:extLst>
            <a:ext uri="{FF2B5EF4-FFF2-40B4-BE49-F238E27FC236}">
              <a16:creationId xmlns:a16="http://schemas.microsoft.com/office/drawing/2014/main" id="{037823A2-6D1E-48BD-B87D-6C3079DC1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9157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635</xdr:row>
      <xdr:rowOff>0</xdr:rowOff>
    </xdr:from>
    <xdr:to>
      <xdr:col>13</xdr:col>
      <xdr:colOff>0</xdr:colOff>
      <xdr:row>636</xdr:row>
      <xdr:rowOff>114300</xdr:rowOff>
    </xdr:to>
    <xdr:pic>
      <xdr:nvPicPr>
        <xdr:cNvPr id="1075" name="Imagen 1074" descr="Ver detalle">
          <a:hlinkClick xmlns:r="http://schemas.openxmlformats.org/officeDocument/2006/relationships" r:id="rId1021" tooltip="Ver detalle"/>
          <a:extLst>
            <a:ext uri="{FF2B5EF4-FFF2-40B4-BE49-F238E27FC236}">
              <a16:creationId xmlns:a16="http://schemas.microsoft.com/office/drawing/2014/main" id="{206DD4F4-7FBE-440D-BD6D-1B4D4414E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9401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636</xdr:row>
      <xdr:rowOff>0</xdr:rowOff>
    </xdr:from>
    <xdr:to>
      <xdr:col>13</xdr:col>
      <xdr:colOff>0</xdr:colOff>
      <xdr:row>637</xdr:row>
      <xdr:rowOff>114300</xdr:rowOff>
    </xdr:to>
    <xdr:pic>
      <xdr:nvPicPr>
        <xdr:cNvPr id="1076" name="Imagen 1075" descr="Ver detalle">
          <a:hlinkClick xmlns:r="http://schemas.openxmlformats.org/officeDocument/2006/relationships" r:id="rId1022" tooltip="Ver detalle"/>
          <a:extLst>
            <a:ext uri="{FF2B5EF4-FFF2-40B4-BE49-F238E27FC236}">
              <a16:creationId xmlns:a16="http://schemas.microsoft.com/office/drawing/2014/main" id="{003A72AA-44D2-409A-922B-E4AEB9AD6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9645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637</xdr:row>
      <xdr:rowOff>0</xdr:rowOff>
    </xdr:from>
    <xdr:to>
      <xdr:col>13</xdr:col>
      <xdr:colOff>0</xdr:colOff>
      <xdr:row>638</xdr:row>
      <xdr:rowOff>114300</xdr:rowOff>
    </xdr:to>
    <xdr:pic>
      <xdr:nvPicPr>
        <xdr:cNvPr id="1077" name="Imagen 1076" descr="Ver detalle">
          <a:hlinkClick xmlns:r="http://schemas.openxmlformats.org/officeDocument/2006/relationships" r:id="rId1023" tooltip="Ver detalle"/>
          <a:extLst>
            <a:ext uri="{FF2B5EF4-FFF2-40B4-BE49-F238E27FC236}">
              <a16:creationId xmlns:a16="http://schemas.microsoft.com/office/drawing/2014/main" id="{7732D8F0-7363-4792-8239-31B0B1592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9889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638</xdr:row>
      <xdr:rowOff>0</xdr:rowOff>
    </xdr:from>
    <xdr:to>
      <xdr:col>13</xdr:col>
      <xdr:colOff>0</xdr:colOff>
      <xdr:row>639</xdr:row>
      <xdr:rowOff>114300</xdr:rowOff>
    </xdr:to>
    <xdr:pic>
      <xdr:nvPicPr>
        <xdr:cNvPr id="1078" name="Imagen 1077" descr="Ver detalle">
          <a:hlinkClick xmlns:r="http://schemas.openxmlformats.org/officeDocument/2006/relationships" r:id="rId1024" tooltip="Ver detalle"/>
          <a:extLst>
            <a:ext uri="{FF2B5EF4-FFF2-40B4-BE49-F238E27FC236}">
              <a16:creationId xmlns:a16="http://schemas.microsoft.com/office/drawing/2014/main" id="{A95CFA5D-BC6A-40CE-A967-3AAD16BE7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20132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639</xdr:row>
      <xdr:rowOff>0</xdr:rowOff>
    </xdr:from>
    <xdr:to>
      <xdr:col>13</xdr:col>
      <xdr:colOff>0</xdr:colOff>
      <xdr:row>640</xdr:row>
      <xdr:rowOff>114300</xdr:rowOff>
    </xdr:to>
    <xdr:pic>
      <xdr:nvPicPr>
        <xdr:cNvPr id="1079" name="Imagen 1078" descr="Ver detalle">
          <a:hlinkClick xmlns:r="http://schemas.openxmlformats.org/officeDocument/2006/relationships" r:id="rId1025" tooltip="Ver detalle"/>
          <a:extLst>
            <a:ext uri="{FF2B5EF4-FFF2-40B4-BE49-F238E27FC236}">
              <a16:creationId xmlns:a16="http://schemas.microsoft.com/office/drawing/2014/main" id="{0BCF784B-BC8D-4923-BD6A-6AA7C7AF8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20360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678</xdr:row>
      <xdr:rowOff>0</xdr:rowOff>
    </xdr:from>
    <xdr:to>
      <xdr:col>13</xdr:col>
      <xdr:colOff>0</xdr:colOff>
      <xdr:row>679</xdr:row>
      <xdr:rowOff>148590</xdr:rowOff>
    </xdr:to>
    <xdr:pic>
      <xdr:nvPicPr>
        <xdr:cNvPr id="1080" name="Imagen 1079" descr="Ver detalle">
          <a:hlinkClick xmlns:r="http://schemas.openxmlformats.org/officeDocument/2006/relationships" r:id="rId1026" tooltip="Ver detalle"/>
          <a:extLst>
            <a:ext uri="{FF2B5EF4-FFF2-40B4-BE49-F238E27FC236}">
              <a16:creationId xmlns:a16="http://schemas.microsoft.com/office/drawing/2014/main" id="{27015DF9-4E8E-47DF-89D7-968153C8D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19108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675</xdr:row>
      <xdr:rowOff>0</xdr:rowOff>
    </xdr:from>
    <xdr:to>
      <xdr:col>13</xdr:col>
      <xdr:colOff>0</xdr:colOff>
      <xdr:row>676</xdr:row>
      <xdr:rowOff>148590</xdr:rowOff>
    </xdr:to>
    <xdr:pic>
      <xdr:nvPicPr>
        <xdr:cNvPr id="1081" name="Imagen 1080" descr="Ver detalle">
          <a:hlinkClick xmlns:r="http://schemas.openxmlformats.org/officeDocument/2006/relationships" r:id="rId1027" tooltip="Ver detalle"/>
          <a:extLst>
            <a:ext uri="{FF2B5EF4-FFF2-40B4-BE49-F238E27FC236}">
              <a16:creationId xmlns:a16="http://schemas.microsoft.com/office/drawing/2014/main" id="{DA385E83-D931-4EF9-A4DC-8780E8B76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2105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676</xdr:row>
      <xdr:rowOff>0</xdr:rowOff>
    </xdr:from>
    <xdr:to>
      <xdr:col>13</xdr:col>
      <xdr:colOff>0</xdr:colOff>
      <xdr:row>677</xdr:row>
      <xdr:rowOff>148590</xdr:rowOff>
    </xdr:to>
    <xdr:pic>
      <xdr:nvPicPr>
        <xdr:cNvPr id="1082" name="Imagen 1081" descr="Ver detalle">
          <a:hlinkClick xmlns:r="http://schemas.openxmlformats.org/officeDocument/2006/relationships" r:id="rId1028" tooltip="Ver detalle"/>
          <a:extLst>
            <a:ext uri="{FF2B5EF4-FFF2-40B4-BE49-F238E27FC236}">
              <a16:creationId xmlns:a16="http://schemas.microsoft.com/office/drawing/2014/main" id="{96340851-4EFD-46D4-ABE8-2D668304D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2197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673</xdr:row>
      <xdr:rowOff>0</xdr:rowOff>
    </xdr:from>
    <xdr:to>
      <xdr:col>13</xdr:col>
      <xdr:colOff>0</xdr:colOff>
      <xdr:row>674</xdr:row>
      <xdr:rowOff>148590</xdr:rowOff>
    </xdr:to>
    <xdr:pic>
      <xdr:nvPicPr>
        <xdr:cNvPr id="1083" name="Imagen 1082" descr="Ver detalle">
          <a:hlinkClick xmlns:r="http://schemas.openxmlformats.org/officeDocument/2006/relationships" r:id="rId1029" tooltip="Ver detalle"/>
          <a:extLst>
            <a:ext uri="{FF2B5EF4-FFF2-40B4-BE49-F238E27FC236}">
              <a16:creationId xmlns:a16="http://schemas.microsoft.com/office/drawing/2014/main" id="{A7098642-7C2E-4EB6-A12A-E25D62FB5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2288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680</xdr:row>
      <xdr:rowOff>0</xdr:rowOff>
    </xdr:from>
    <xdr:to>
      <xdr:col>13</xdr:col>
      <xdr:colOff>0</xdr:colOff>
      <xdr:row>681</xdr:row>
      <xdr:rowOff>148590</xdr:rowOff>
    </xdr:to>
    <xdr:pic>
      <xdr:nvPicPr>
        <xdr:cNvPr id="1084" name="Imagen 1083" descr="Ver detalle">
          <a:hlinkClick xmlns:r="http://schemas.openxmlformats.org/officeDocument/2006/relationships" r:id="rId1030" tooltip="Ver detalle"/>
          <a:extLst>
            <a:ext uri="{FF2B5EF4-FFF2-40B4-BE49-F238E27FC236}">
              <a16:creationId xmlns:a16="http://schemas.microsoft.com/office/drawing/2014/main" id="{D74BD102-02DF-4D21-BA0C-6069C8836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2380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669</xdr:row>
      <xdr:rowOff>0</xdr:rowOff>
    </xdr:from>
    <xdr:to>
      <xdr:col>13</xdr:col>
      <xdr:colOff>0</xdr:colOff>
      <xdr:row>670</xdr:row>
      <xdr:rowOff>148590</xdr:rowOff>
    </xdr:to>
    <xdr:pic>
      <xdr:nvPicPr>
        <xdr:cNvPr id="1085" name="Imagen 1084" descr="Ver detalle">
          <a:hlinkClick xmlns:r="http://schemas.openxmlformats.org/officeDocument/2006/relationships" r:id="rId1031" tooltip="Ver detalle"/>
          <a:extLst>
            <a:ext uri="{FF2B5EF4-FFF2-40B4-BE49-F238E27FC236}">
              <a16:creationId xmlns:a16="http://schemas.microsoft.com/office/drawing/2014/main" id="{957D44C8-A8D8-4DA1-AA74-39D9EC304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2575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670</xdr:row>
      <xdr:rowOff>0</xdr:rowOff>
    </xdr:from>
    <xdr:to>
      <xdr:col>13</xdr:col>
      <xdr:colOff>0</xdr:colOff>
      <xdr:row>671</xdr:row>
      <xdr:rowOff>148590</xdr:rowOff>
    </xdr:to>
    <xdr:pic>
      <xdr:nvPicPr>
        <xdr:cNvPr id="1086" name="Imagen 1085" descr="Ver detalle">
          <a:hlinkClick xmlns:r="http://schemas.openxmlformats.org/officeDocument/2006/relationships" r:id="rId1032" tooltip="Ver detalle"/>
          <a:extLst>
            <a:ext uri="{FF2B5EF4-FFF2-40B4-BE49-F238E27FC236}">
              <a16:creationId xmlns:a16="http://schemas.microsoft.com/office/drawing/2014/main" id="{B8E283CB-7930-4390-A58C-65846EFE6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26667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679</xdr:row>
      <xdr:rowOff>0</xdr:rowOff>
    </xdr:from>
    <xdr:to>
      <xdr:col>13</xdr:col>
      <xdr:colOff>0</xdr:colOff>
      <xdr:row>680</xdr:row>
      <xdr:rowOff>148590</xdr:rowOff>
    </xdr:to>
    <xdr:pic>
      <xdr:nvPicPr>
        <xdr:cNvPr id="1087" name="Imagen 1086" descr="Ver detalle">
          <a:hlinkClick xmlns:r="http://schemas.openxmlformats.org/officeDocument/2006/relationships" r:id="rId1033" tooltip="Ver detalle"/>
          <a:extLst>
            <a:ext uri="{FF2B5EF4-FFF2-40B4-BE49-F238E27FC236}">
              <a16:creationId xmlns:a16="http://schemas.microsoft.com/office/drawing/2014/main" id="{F0CE41E3-57C0-43BD-936A-3639524AC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2861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692</xdr:row>
      <xdr:rowOff>0</xdr:rowOff>
    </xdr:from>
    <xdr:to>
      <xdr:col>13</xdr:col>
      <xdr:colOff>0</xdr:colOff>
      <xdr:row>693</xdr:row>
      <xdr:rowOff>114300</xdr:rowOff>
    </xdr:to>
    <xdr:pic>
      <xdr:nvPicPr>
        <xdr:cNvPr id="1088" name="Imagen 1087" descr="Ver detalle">
          <a:hlinkClick xmlns:r="http://schemas.openxmlformats.org/officeDocument/2006/relationships" r:id="rId1034" tooltip="Ver detalle"/>
          <a:extLst>
            <a:ext uri="{FF2B5EF4-FFF2-40B4-BE49-F238E27FC236}">
              <a16:creationId xmlns:a16="http://schemas.microsoft.com/office/drawing/2014/main" id="{BB291A0F-14C3-4BE4-9F4F-12944C108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2979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665</xdr:row>
      <xdr:rowOff>0</xdr:rowOff>
    </xdr:from>
    <xdr:to>
      <xdr:col>13</xdr:col>
      <xdr:colOff>0</xdr:colOff>
      <xdr:row>666</xdr:row>
      <xdr:rowOff>148590</xdr:rowOff>
    </xdr:to>
    <xdr:pic>
      <xdr:nvPicPr>
        <xdr:cNvPr id="1089" name="Imagen 1088" descr="Ver detalle">
          <a:hlinkClick xmlns:r="http://schemas.openxmlformats.org/officeDocument/2006/relationships" r:id="rId1035" tooltip="Ver detalle"/>
          <a:extLst>
            <a:ext uri="{FF2B5EF4-FFF2-40B4-BE49-F238E27FC236}">
              <a16:creationId xmlns:a16="http://schemas.microsoft.com/office/drawing/2014/main" id="{4602E36C-4F0E-40FD-8F03-27F7ADC9C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174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666</xdr:row>
      <xdr:rowOff>0</xdr:rowOff>
    </xdr:from>
    <xdr:to>
      <xdr:col>13</xdr:col>
      <xdr:colOff>0</xdr:colOff>
      <xdr:row>667</xdr:row>
      <xdr:rowOff>148590</xdr:rowOff>
    </xdr:to>
    <xdr:pic>
      <xdr:nvPicPr>
        <xdr:cNvPr id="1090" name="Imagen 1089" descr="Ver detalle">
          <a:hlinkClick xmlns:r="http://schemas.openxmlformats.org/officeDocument/2006/relationships" r:id="rId1036" tooltip="Ver detalle"/>
          <a:extLst>
            <a:ext uri="{FF2B5EF4-FFF2-40B4-BE49-F238E27FC236}">
              <a16:creationId xmlns:a16="http://schemas.microsoft.com/office/drawing/2014/main" id="{30EBE160-B12F-487D-AC95-943E146D9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369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667</xdr:row>
      <xdr:rowOff>0</xdr:rowOff>
    </xdr:from>
    <xdr:to>
      <xdr:col>13</xdr:col>
      <xdr:colOff>0</xdr:colOff>
      <xdr:row>668</xdr:row>
      <xdr:rowOff>148590</xdr:rowOff>
    </xdr:to>
    <xdr:pic>
      <xdr:nvPicPr>
        <xdr:cNvPr id="1091" name="Imagen 1090" descr="Ver detalle">
          <a:hlinkClick xmlns:r="http://schemas.openxmlformats.org/officeDocument/2006/relationships" r:id="rId1037" tooltip="Ver detalle"/>
          <a:extLst>
            <a:ext uri="{FF2B5EF4-FFF2-40B4-BE49-F238E27FC236}">
              <a16:creationId xmlns:a16="http://schemas.microsoft.com/office/drawing/2014/main" id="{E73956A3-4BF6-4DAE-A654-70D556106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564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668</xdr:row>
      <xdr:rowOff>0</xdr:rowOff>
    </xdr:from>
    <xdr:to>
      <xdr:col>13</xdr:col>
      <xdr:colOff>0</xdr:colOff>
      <xdr:row>669</xdr:row>
      <xdr:rowOff>148590</xdr:rowOff>
    </xdr:to>
    <xdr:pic>
      <xdr:nvPicPr>
        <xdr:cNvPr id="1092" name="Imagen 1091" descr="Ver detalle">
          <a:hlinkClick xmlns:r="http://schemas.openxmlformats.org/officeDocument/2006/relationships" r:id="rId1038" tooltip="Ver detalle"/>
          <a:extLst>
            <a:ext uri="{FF2B5EF4-FFF2-40B4-BE49-F238E27FC236}">
              <a16:creationId xmlns:a16="http://schemas.microsoft.com/office/drawing/2014/main" id="{7AE8313A-F644-4D8C-AA8B-450210A78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759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677</xdr:row>
      <xdr:rowOff>0</xdr:rowOff>
    </xdr:from>
    <xdr:to>
      <xdr:col>13</xdr:col>
      <xdr:colOff>0</xdr:colOff>
      <xdr:row>678</xdr:row>
      <xdr:rowOff>148590</xdr:rowOff>
    </xdr:to>
    <xdr:pic>
      <xdr:nvPicPr>
        <xdr:cNvPr id="1093" name="Imagen 1092" descr="Ver detalle">
          <a:hlinkClick xmlns:r="http://schemas.openxmlformats.org/officeDocument/2006/relationships" r:id="rId1039" tooltip="Ver detalle"/>
          <a:extLst>
            <a:ext uri="{FF2B5EF4-FFF2-40B4-BE49-F238E27FC236}">
              <a16:creationId xmlns:a16="http://schemas.microsoft.com/office/drawing/2014/main" id="{872AAE04-BCAB-4F02-95F3-4C4C5EFD2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8508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672</xdr:row>
      <xdr:rowOff>0</xdr:rowOff>
    </xdr:from>
    <xdr:to>
      <xdr:col>13</xdr:col>
      <xdr:colOff>0</xdr:colOff>
      <xdr:row>673</xdr:row>
      <xdr:rowOff>148590</xdr:rowOff>
    </xdr:to>
    <xdr:pic>
      <xdr:nvPicPr>
        <xdr:cNvPr id="1094" name="Imagen 1093" descr="Ver detalle">
          <a:hlinkClick xmlns:r="http://schemas.openxmlformats.org/officeDocument/2006/relationships" r:id="rId1040" tooltip="Ver detalle"/>
          <a:extLst>
            <a:ext uri="{FF2B5EF4-FFF2-40B4-BE49-F238E27FC236}">
              <a16:creationId xmlns:a16="http://schemas.microsoft.com/office/drawing/2014/main" id="{EB938F6C-9EE7-4AED-8498-2D7E947D4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981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664</xdr:row>
      <xdr:rowOff>0</xdr:rowOff>
    </xdr:from>
    <xdr:to>
      <xdr:col>13</xdr:col>
      <xdr:colOff>0</xdr:colOff>
      <xdr:row>665</xdr:row>
      <xdr:rowOff>148590</xdr:rowOff>
    </xdr:to>
    <xdr:pic>
      <xdr:nvPicPr>
        <xdr:cNvPr id="1095" name="Imagen 1094" descr="Ver detalle">
          <a:hlinkClick xmlns:r="http://schemas.openxmlformats.org/officeDocument/2006/relationships" r:id="rId1041" tooltip="Ver detalle"/>
          <a:extLst>
            <a:ext uri="{FF2B5EF4-FFF2-40B4-BE49-F238E27FC236}">
              <a16:creationId xmlns:a16="http://schemas.microsoft.com/office/drawing/2014/main" id="{1126C19F-D732-4D0B-AC9A-7423CFEA0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176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662</xdr:row>
      <xdr:rowOff>0</xdr:rowOff>
    </xdr:from>
    <xdr:to>
      <xdr:col>13</xdr:col>
      <xdr:colOff>0</xdr:colOff>
      <xdr:row>663</xdr:row>
      <xdr:rowOff>148590</xdr:rowOff>
    </xdr:to>
    <xdr:pic>
      <xdr:nvPicPr>
        <xdr:cNvPr id="1096" name="Imagen 1095" descr="Ver detalle">
          <a:hlinkClick xmlns:r="http://schemas.openxmlformats.org/officeDocument/2006/relationships" r:id="rId1042" tooltip="Ver detalle"/>
          <a:extLst>
            <a:ext uri="{FF2B5EF4-FFF2-40B4-BE49-F238E27FC236}">
              <a16:creationId xmlns:a16="http://schemas.microsoft.com/office/drawing/2014/main" id="{F269ADF7-B169-49E2-B276-B5B7FF190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371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661</xdr:row>
      <xdr:rowOff>0</xdr:rowOff>
    </xdr:from>
    <xdr:to>
      <xdr:col>13</xdr:col>
      <xdr:colOff>0</xdr:colOff>
      <xdr:row>662</xdr:row>
      <xdr:rowOff>148590</xdr:rowOff>
    </xdr:to>
    <xdr:pic>
      <xdr:nvPicPr>
        <xdr:cNvPr id="1097" name="Imagen 1096" descr="Ver detalle">
          <a:hlinkClick xmlns:r="http://schemas.openxmlformats.org/officeDocument/2006/relationships" r:id="rId1043" tooltip="Ver detalle"/>
          <a:extLst>
            <a:ext uri="{FF2B5EF4-FFF2-40B4-BE49-F238E27FC236}">
              <a16:creationId xmlns:a16="http://schemas.microsoft.com/office/drawing/2014/main" id="{A1351D27-3844-4692-B476-53851B12E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462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663</xdr:row>
      <xdr:rowOff>0</xdr:rowOff>
    </xdr:from>
    <xdr:to>
      <xdr:col>13</xdr:col>
      <xdr:colOff>0</xdr:colOff>
      <xdr:row>664</xdr:row>
      <xdr:rowOff>148590</xdr:rowOff>
    </xdr:to>
    <xdr:pic>
      <xdr:nvPicPr>
        <xdr:cNvPr id="1098" name="Imagen 1097" descr="Ver detalle">
          <a:hlinkClick xmlns:r="http://schemas.openxmlformats.org/officeDocument/2006/relationships" r:id="rId1044" tooltip="Ver detalle"/>
          <a:extLst>
            <a:ext uri="{FF2B5EF4-FFF2-40B4-BE49-F238E27FC236}">
              <a16:creationId xmlns:a16="http://schemas.microsoft.com/office/drawing/2014/main" id="{E35CDD41-7CCC-43BA-8F60-7D743147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657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657</xdr:row>
      <xdr:rowOff>0</xdr:rowOff>
    </xdr:from>
    <xdr:to>
      <xdr:col>13</xdr:col>
      <xdr:colOff>0</xdr:colOff>
      <xdr:row>658</xdr:row>
      <xdr:rowOff>148590</xdr:rowOff>
    </xdr:to>
    <xdr:pic>
      <xdr:nvPicPr>
        <xdr:cNvPr id="1099" name="Imagen 1098" descr="Ver detalle">
          <a:hlinkClick xmlns:r="http://schemas.openxmlformats.org/officeDocument/2006/relationships" r:id="rId1045" tooltip="Ver detalle"/>
          <a:extLst>
            <a:ext uri="{FF2B5EF4-FFF2-40B4-BE49-F238E27FC236}">
              <a16:creationId xmlns:a16="http://schemas.microsoft.com/office/drawing/2014/main" id="{ACF93C5D-5312-4845-ACC6-E4D1037F5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749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681</xdr:row>
      <xdr:rowOff>0</xdr:rowOff>
    </xdr:from>
    <xdr:to>
      <xdr:col>13</xdr:col>
      <xdr:colOff>0</xdr:colOff>
      <xdr:row>682</xdr:row>
      <xdr:rowOff>114300</xdr:rowOff>
    </xdr:to>
    <xdr:pic>
      <xdr:nvPicPr>
        <xdr:cNvPr id="1100" name="Imagen 1099" descr="Ver detalle">
          <a:hlinkClick xmlns:r="http://schemas.openxmlformats.org/officeDocument/2006/relationships" r:id="rId1046" tooltip="Ver detalle"/>
          <a:extLst>
            <a:ext uri="{FF2B5EF4-FFF2-40B4-BE49-F238E27FC236}">
              <a16:creationId xmlns:a16="http://schemas.microsoft.com/office/drawing/2014/main" id="{0813F220-8FC4-471B-8F8E-985E19142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944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652</xdr:row>
      <xdr:rowOff>0</xdr:rowOff>
    </xdr:from>
    <xdr:to>
      <xdr:col>13</xdr:col>
      <xdr:colOff>0</xdr:colOff>
      <xdr:row>653</xdr:row>
      <xdr:rowOff>148590</xdr:rowOff>
    </xdr:to>
    <xdr:pic>
      <xdr:nvPicPr>
        <xdr:cNvPr id="1101" name="Imagen 1100" descr="Ver detalle">
          <a:hlinkClick xmlns:r="http://schemas.openxmlformats.org/officeDocument/2006/relationships" r:id="rId1047" tooltip="Ver detalle"/>
          <a:extLst>
            <a:ext uri="{FF2B5EF4-FFF2-40B4-BE49-F238E27FC236}">
              <a16:creationId xmlns:a16="http://schemas.microsoft.com/office/drawing/2014/main" id="{6DD6A235-55BA-44D8-AB7A-77092030D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139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654</xdr:row>
      <xdr:rowOff>0</xdr:rowOff>
    </xdr:from>
    <xdr:to>
      <xdr:col>13</xdr:col>
      <xdr:colOff>0</xdr:colOff>
      <xdr:row>655</xdr:row>
      <xdr:rowOff>148590</xdr:rowOff>
    </xdr:to>
    <xdr:pic>
      <xdr:nvPicPr>
        <xdr:cNvPr id="1102" name="Imagen 1101" descr="Ver detalle">
          <a:hlinkClick xmlns:r="http://schemas.openxmlformats.org/officeDocument/2006/relationships" r:id="rId1048" tooltip="Ver detalle"/>
          <a:extLst>
            <a:ext uri="{FF2B5EF4-FFF2-40B4-BE49-F238E27FC236}">
              <a16:creationId xmlns:a16="http://schemas.microsoft.com/office/drawing/2014/main" id="{ED57C938-521D-4440-84FD-8C53C4F50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334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674</xdr:row>
      <xdr:rowOff>0</xdr:rowOff>
    </xdr:from>
    <xdr:to>
      <xdr:col>13</xdr:col>
      <xdr:colOff>0</xdr:colOff>
      <xdr:row>675</xdr:row>
      <xdr:rowOff>148590</xdr:rowOff>
    </xdr:to>
    <xdr:pic>
      <xdr:nvPicPr>
        <xdr:cNvPr id="1103" name="Imagen 1102" descr="Ver detalle">
          <a:hlinkClick xmlns:r="http://schemas.openxmlformats.org/officeDocument/2006/relationships" r:id="rId1049" tooltip="Ver detalle"/>
          <a:extLst>
            <a:ext uri="{FF2B5EF4-FFF2-40B4-BE49-F238E27FC236}">
              <a16:creationId xmlns:a16="http://schemas.microsoft.com/office/drawing/2014/main" id="{EB012A72-42CE-441A-8D4B-F5CCCAA54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425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651</xdr:row>
      <xdr:rowOff>0</xdr:rowOff>
    </xdr:from>
    <xdr:to>
      <xdr:col>13</xdr:col>
      <xdr:colOff>0</xdr:colOff>
      <xdr:row>652</xdr:row>
      <xdr:rowOff>148590</xdr:rowOff>
    </xdr:to>
    <xdr:pic>
      <xdr:nvPicPr>
        <xdr:cNvPr id="1104" name="Imagen 1103" descr="Ver detalle">
          <a:hlinkClick xmlns:r="http://schemas.openxmlformats.org/officeDocument/2006/relationships" r:id="rId1050" tooltip="Ver detalle"/>
          <a:extLst>
            <a:ext uri="{FF2B5EF4-FFF2-40B4-BE49-F238E27FC236}">
              <a16:creationId xmlns:a16="http://schemas.microsoft.com/office/drawing/2014/main" id="{1F1AACC8-D888-418C-B2C8-D49BB1183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7253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656</xdr:row>
      <xdr:rowOff>0</xdr:rowOff>
    </xdr:from>
    <xdr:to>
      <xdr:col>13</xdr:col>
      <xdr:colOff>0</xdr:colOff>
      <xdr:row>657</xdr:row>
      <xdr:rowOff>148590</xdr:rowOff>
    </xdr:to>
    <xdr:pic>
      <xdr:nvPicPr>
        <xdr:cNvPr id="1105" name="Imagen 1104" descr="Ver detalle">
          <a:hlinkClick xmlns:r="http://schemas.openxmlformats.org/officeDocument/2006/relationships" r:id="rId1051" tooltip="Ver detalle"/>
          <a:extLst>
            <a:ext uri="{FF2B5EF4-FFF2-40B4-BE49-F238E27FC236}">
              <a16:creationId xmlns:a16="http://schemas.microsoft.com/office/drawing/2014/main" id="{668A8BA5-FF61-4C55-AF3B-8DC0B5E15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9204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660</xdr:row>
      <xdr:rowOff>0</xdr:rowOff>
    </xdr:from>
    <xdr:to>
      <xdr:col>13</xdr:col>
      <xdr:colOff>0</xdr:colOff>
      <xdr:row>661</xdr:row>
      <xdr:rowOff>148590</xdr:rowOff>
    </xdr:to>
    <xdr:pic>
      <xdr:nvPicPr>
        <xdr:cNvPr id="1106" name="Imagen 1105" descr="Ver detalle">
          <a:hlinkClick xmlns:r="http://schemas.openxmlformats.org/officeDocument/2006/relationships" r:id="rId1052" tooltip="Ver detalle"/>
          <a:extLst>
            <a:ext uri="{FF2B5EF4-FFF2-40B4-BE49-F238E27FC236}">
              <a16:creationId xmlns:a16="http://schemas.microsoft.com/office/drawing/2014/main" id="{A181D2C5-13AB-4EDA-A531-DD51D0A01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024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659</xdr:row>
      <xdr:rowOff>0</xdr:rowOff>
    </xdr:from>
    <xdr:to>
      <xdr:col>13</xdr:col>
      <xdr:colOff>0</xdr:colOff>
      <xdr:row>660</xdr:row>
      <xdr:rowOff>148590</xdr:rowOff>
    </xdr:to>
    <xdr:pic>
      <xdr:nvPicPr>
        <xdr:cNvPr id="1107" name="Imagen 1106" descr="Ver detalle">
          <a:hlinkClick xmlns:r="http://schemas.openxmlformats.org/officeDocument/2006/relationships" r:id="rId1053" tooltip="Ver detalle"/>
          <a:extLst>
            <a:ext uri="{FF2B5EF4-FFF2-40B4-BE49-F238E27FC236}">
              <a16:creationId xmlns:a16="http://schemas.microsoft.com/office/drawing/2014/main" id="{4225792A-BEA3-4CDC-AECA-4F0AA34C2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2199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653</xdr:row>
      <xdr:rowOff>0</xdr:rowOff>
    </xdr:from>
    <xdr:to>
      <xdr:col>13</xdr:col>
      <xdr:colOff>0</xdr:colOff>
      <xdr:row>654</xdr:row>
      <xdr:rowOff>148590</xdr:rowOff>
    </xdr:to>
    <xdr:pic>
      <xdr:nvPicPr>
        <xdr:cNvPr id="1108" name="Imagen 1107" descr="Ver detalle">
          <a:hlinkClick xmlns:r="http://schemas.openxmlformats.org/officeDocument/2006/relationships" r:id="rId1054" tooltip="Ver detalle"/>
          <a:extLst>
            <a:ext uri="{FF2B5EF4-FFF2-40B4-BE49-F238E27FC236}">
              <a16:creationId xmlns:a16="http://schemas.microsoft.com/office/drawing/2014/main" id="{5A08A350-2141-4CB9-B65C-63FCA3C07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4150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655</xdr:row>
      <xdr:rowOff>0</xdr:rowOff>
    </xdr:from>
    <xdr:to>
      <xdr:col>13</xdr:col>
      <xdr:colOff>0</xdr:colOff>
      <xdr:row>656</xdr:row>
      <xdr:rowOff>148590</xdr:rowOff>
    </xdr:to>
    <xdr:pic>
      <xdr:nvPicPr>
        <xdr:cNvPr id="1109" name="Imagen 1108" descr="Ver detalle">
          <a:hlinkClick xmlns:r="http://schemas.openxmlformats.org/officeDocument/2006/relationships" r:id="rId1055" tooltip="Ver detalle"/>
          <a:extLst>
            <a:ext uri="{FF2B5EF4-FFF2-40B4-BE49-F238E27FC236}">
              <a16:creationId xmlns:a16="http://schemas.microsoft.com/office/drawing/2014/main" id="{112449A2-0F23-4DCC-BB98-5CF1A9D94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6100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650</xdr:row>
      <xdr:rowOff>0</xdr:rowOff>
    </xdr:from>
    <xdr:to>
      <xdr:col>13</xdr:col>
      <xdr:colOff>0</xdr:colOff>
      <xdr:row>651</xdr:row>
      <xdr:rowOff>148590</xdr:rowOff>
    </xdr:to>
    <xdr:pic>
      <xdr:nvPicPr>
        <xdr:cNvPr id="1110" name="Imagen 1109" descr="Ver detalle">
          <a:hlinkClick xmlns:r="http://schemas.openxmlformats.org/officeDocument/2006/relationships" r:id="rId1056" tooltip="Ver detalle"/>
          <a:extLst>
            <a:ext uri="{FF2B5EF4-FFF2-40B4-BE49-F238E27FC236}">
              <a16:creationId xmlns:a16="http://schemas.microsoft.com/office/drawing/2014/main" id="{5C93B779-3FCC-4F10-A9FF-08C5BD2DD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701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646</xdr:row>
      <xdr:rowOff>0</xdr:rowOff>
    </xdr:from>
    <xdr:to>
      <xdr:col>13</xdr:col>
      <xdr:colOff>0</xdr:colOff>
      <xdr:row>647</xdr:row>
      <xdr:rowOff>148590</xdr:rowOff>
    </xdr:to>
    <xdr:pic>
      <xdr:nvPicPr>
        <xdr:cNvPr id="1111" name="Imagen 1110" descr="Ver detalle">
          <a:hlinkClick xmlns:r="http://schemas.openxmlformats.org/officeDocument/2006/relationships" r:id="rId1057" tooltip="Ver detalle"/>
          <a:extLst>
            <a:ext uri="{FF2B5EF4-FFF2-40B4-BE49-F238E27FC236}">
              <a16:creationId xmlns:a16="http://schemas.microsoft.com/office/drawing/2014/main" id="{0751FDE6-BB47-4EF8-99D4-1177388A6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8965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649</xdr:row>
      <xdr:rowOff>0</xdr:rowOff>
    </xdr:from>
    <xdr:to>
      <xdr:col>13</xdr:col>
      <xdr:colOff>0</xdr:colOff>
      <xdr:row>650</xdr:row>
      <xdr:rowOff>148590</xdr:rowOff>
    </xdr:to>
    <xdr:pic>
      <xdr:nvPicPr>
        <xdr:cNvPr id="1112" name="Imagen 1111" descr="Ver detalle">
          <a:hlinkClick xmlns:r="http://schemas.openxmlformats.org/officeDocument/2006/relationships" r:id="rId1058" tooltip="Ver detalle"/>
          <a:extLst>
            <a:ext uri="{FF2B5EF4-FFF2-40B4-BE49-F238E27FC236}">
              <a16:creationId xmlns:a16="http://schemas.microsoft.com/office/drawing/2014/main" id="{FEA702D4-524E-401F-99DE-1CD338DA4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026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648</xdr:row>
      <xdr:rowOff>0</xdr:rowOff>
    </xdr:from>
    <xdr:to>
      <xdr:col>13</xdr:col>
      <xdr:colOff>0</xdr:colOff>
      <xdr:row>649</xdr:row>
      <xdr:rowOff>148590</xdr:rowOff>
    </xdr:to>
    <xdr:pic>
      <xdr:nvPicPr>
        <xdr:cNvPr id="1113" name="Imagen 1112" descr="Ver detalle">
          <a:hlinkClick xmlns:r="http://schemas.openxmlformats.org/officeDocument/2006/relationships" r:id="rId1059" tooltip="Ver detalle"/>
          <a:extLst>
            <a:ext uri="{FF2B5EF4-FFF2-40B4-BE49-F238E27FC236}">
              <a16:creationId xmlns:a16="http://schemas.microsoft.com/office/drawing/2014/main" id="{06552528-3AAA-461A-A6E7-90F89B92D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221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645</xdr:row>
      <xdr:rowOff>0</xdr:rowOff>
    </xdr:from>
    <xdr:to>
      <xdr:col>13</xdr:col>
      <xdr:colOff>0</xdr:colOff>
      <xdr:row>646</xdr:row>
      <xdr:rowOff>148590</xdr:rowOff>
    </xdr:to>
    <xdr:pic>
      <xdr:nvPicPr>
        <xdr:cNvPr id="1114" name="Imagen 1113" descr="Ver detalle">
          <a:hlinkClick xmlns:r="http://schemas.openxmlformats.org/officeDocument/2006/relationships" r:id="rId1060" tooltip="Ver detalle"/>
          <a:extLst>
            <a:ext uri="{FF2B5EF4-FFF2-40B4-BE49-F238E27FC236}">
              <a16:creationId xmlns:a16="http://schemas.microsoft.com/office/drawing/2014/main" id="{F218B395-E014-49E9-A155-F7076992A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3522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671</xdr:row>
      <xdr:rowOff>0</xdr:rowOff>
    </xdr:from>
    <xdr:to>
      <xdr:col>13</xdr:col>
      <xdr:colOff>0</xdr:colOff>
      <xdr:row>672</xdr:row>
      <xdr:rowOff>148590</xdr:rowOff>
    </xdr:to>
    <xdr:pic>
      <xdr:nvPicPr>
        <xdr:cNvPr id="1115" name="Imagen 1114" descr="Ver detalle">
          <a:hlinkClick xmlns:r="http://schemas.openxmlformats.org/officeDocument/2006/relationships" r:id="rId1061" tooltip="Ver detalle"/>
          <a:extLst>
            <a:ext uri="{FF2B5EF4-FFF2-40B4-BE49-F238E27FC236}">
              <a16:creationId xmlns:a16="http://schemas.microsoft.com/office/drawing/2014/main" id="{7661E7DB-8A87-4C6C-8581-89C6A6E4F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547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647</xdr:row>
      <xdr:rowOff>0</xdr:rowOff>
    </xdr:from>
    <xdr:to>
      <xdr:col>13</xdr:col>
      <xdr:colOff>0</xdr:colOff>
      <xdr:row>648</xdr:row>
      <xdr:rowOff>148590</xdr:rowOff>
    </xdr:to>
    <xdr:pic>
      <xdr:nvPicPr>
        <xdr:cNvPr id="1116" name="Imagen 1115" descr="Ver detalle">
          <a:hlinkClick xmlns:r="http://schemas.openxmlformats.org/officeDocument/2006/relationships" r:id="rId1062" tooltip="Ver detalle"/>
          <a:extLst>
            <a:ext uri="{FF2B5EF4-FFF2-40B4-BE49-F238E27FC236}">
              <a16:creationId xmlns:a16="http://schemas.microsoft.com/office/drawing/2014/main" id="{DBC66CBC-777E-4B1E-A9B4-8D3855EF9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7424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691</xdr:row>
      <xdr:rowOff>0</xdr:rowOff>
    </xdr:from>
    <xdr:to>
      <xdr:col>13</xdr:col>
      <xdr:colOff>0</xdr:colOff>
      <xdr:row>692</xdr:row>
      <xdr:rowOff>148590</xdr:rowOff>
    </xdr:to>
    <xdr:pic>
      <xdr:nvPicPr>
        <xdr:cNvPr id="1117" name="Imagen 1116" descr="Ver detalle">
          <a:hlinkClick xmlns:r="http://schemas.openxmlformats.org/officeDocument/2006/relationships" r:id="rId1063" tooltip="Ver detalle"/>
          <a:extLst>
            <a:ext uri="{FF2B5EF4-FFF2-40B4-BE49-F238E27FC236}">
              <a16:creationId xmlns:a16="http://schemas.microsoft.com/office/drawing/2014/main" id="{6B5CD792-2D45-42F5-8192-14AB5FA31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937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690</xdr:row>
      <xdr:rowOff>0</xdr:rowOff>
    </xdr:from>
    <xdr:to>
      <xdr:col>13</xdr:col>
      <xdr:colOff>0</xdr:colOff>
      <xdr:row>691</xdr:row>
      <xdr:rowOff>148590</xdr:rowOff>
    </xdr:to>
    <xdr:pic>
      <xdr:nvPicPr>
        <xdr:cNvPr id="1118" name="Imagen 1117" descr="Ver detalle">
          <a:hlinkClick xmlns:r="http://schemas.openxmlformats.org/officeDocument/2006/relationships" r:id="rId1064" tooltip="Ver detalle"/>
          <a:extLst>
            <a:ext uri="{FF2B5EF4-FFF2-40B4-BE49-F238E27FC236}">
              <a16:creationId xmlns:a16="http://schemas.microsoft.com/office/drawing/2014/main" id="{DA22EEC8-4093-420F-885B-478FF9910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132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689</xdr:row>
      <xdr:rowOff>0</xdr:rowOff>
    </xdr:from>
    <xdr:to>
      <xdr:col>13</xdr:col>
      <xdr:colOff>0</xdr:colOff>
      <xdr:row>690</xdr:row>
      <xdr:rowOff>148590</xdr:rowOff>
    </xdr:to>
    <xdr:pic>
      <xdr:nvPicPr>
        <xdr:cNvPr id="1119" name="Imagen 1118" descr="Ver detalle">
          <a:hlinkClick xmlns:r="http://schemas.openxmlformats.org/officeDocument/2006/relationships" r:id="rId1065" tooltip="Ver detalle"/>
          <a:extLst>
            <a:ext uri="{FF2B5EF4-FFF2-40B4-BE49-F238E27FC236}">
              <a16:creationId xmlns:a16="http://schemas.microsoft.com/office/drawing/2014/main" id="{68364FB7-A70A-41C7-8315-E054DC4ED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3276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688</xdr:row>
      <xdr:rowOff>0</xdr:rowOff>
    </xdr:from>
    <xdr:to>
      <xdr:col>13</xdr:col>
      <xdr:colOff>0</xdr:colOff>
      <xdr:row>689</xdr:row>
      <xdr:rowOff>148590</xdr:rowOff>
    </xdr:to>
    <xdr:pic>
      <xdr:nvPicPr>
        <xdr:cNvPr id="1120" name="Imagen 1119" descr="Ver detalle">
          <a:hlinkClick xmlns:r="http://schemas.openxmlformats.org/officeDocument/2006/relationships" r:id="rId1066" tooltip="Ver detalle"/>
          <a:extLst>
            <a:ext uri="{FF2B5EF4-FFF2-40B4-BE49-F238E27FC236}">
              <a16:creationId xmlns:a16="http://schemas.microsoft.com/office/drawing/2014/main" id="{5A4F2DE9-257C-4D80-9CB6-3622C6781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522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687</xdr:row>
      <xdr:rowOff>0</xdr:rowOff>
    </xdr:from>
    <xdr:to>
      <xdr:col>13</xdr:col>
      <xdr:colOff>0</xdr:colOff>
      <xdr:row>688</xdr:row>
      <xdr:rowOff>148590</xdr:rowOff>
    </xdr:to>
    <xdr:pic>
      <xdr:nvPicPr>
        <xdr:cNvPr id="1121" name="Imagen 1120" descr="Ver detalle">
          <a:hlinkClick xmlns:r="http://schemas.openxmlformats.org/officeDocument/2006/relationships" r:id="rId1067" tooltip="Ver detalle"/>
          <a:extLst>
            <a:ext uri="{FF2B5EF4-FFF2-40B4-BE49-F238E27FC236}">
              <a16:creationId xmlns:a16="http://schemas.microsoft.com/office/drawing/2014/main" id="{BA0E1614-1E14-4158-98F3-6AF224B57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717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686</xdr:row>
      <xdr:rowOff>0</xdr:rowOff>
    </xdr:from>
    <xdr:to>
      <xdr:col>13</xdr:col>
      <xdr:colOff>0</xdr:colOff>
      <xdr:row>687</xdr:row>
      <xdr:rowOff>148590</xdr:rowOff>
    </xdr:to>
    <xdr:pic>
      <xdr:nvPicPr>
        <xdr:cNvPr id="1122" name="Imagen 1121" descr="Ver detalle">
          <a:hlinkClick xmlns:r="http://schemas.openxmlformats.org/officeDocument/2006/relationships" r:id="rId1068" tooltip="Ver detalle"/>
          <a:extLst>
            <a:ext uri="{FF2B5EF4-FFF2-40B4-BE49-F238E27FC236}">
              <a16:creationId xmlns:a16="http://schemas.microsoft.com/office/drawing/2014/main" id="{5438EB1C-E049-41C3-B61E-A7FC10A7B5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809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685</xdr:row>
      <xdr:rowOff>0</xdr:rowOff>
    </xdr:from>
    <xdr:to>
      <xdr:col>13</xdr:col>
      <xdr:colOff>0</xdr:colOff>
      <xdr:row>686</xdr:row>
      <xdr:rowOff>148590</xdr:rowOff>
    </xdr:to>
    <xdr:pic>
      <xdr:nvPicPr>
        <xdr:cNvPr id="1123" name="Imagen 1122" descr="Ver detalle">
          <a:hlinkClick xmlns:r="http://schemas.openxmlformats.org/officeDocument/2006/relationships" r:id="rId1069" tooltip="Ver detalle"/>
          <a:extLst>
            <a:ext uri="{FF2B5EF4-FFF2-40B4-BE49-F238E27FC236}">
              <a16:creationId xmlns:a16="http://schemas.microsoft.com/office/drawing/2014/main" id="{90995FF6-6DBC-42CC-B916-381872DC9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900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684</xdr:row>
      <xdr:rowOff>0</xdr:rowOff>
    </xdr:from>
    <xdr:to>
      <xdr:col>13</xdr:col>
      <xdr:colOff>0</xdr:colOff>
      <xdr:row>685</xdr:row>
      <xdr:rowOff>148590</xdr:rowOff>
    </xdr:to>
    <xdr:pic>
      <xdr:nvPicPr>
        <xdr:cNvPr id="1124" name="Imagen 1123" descr="Ver detalle">
          <a:hlinkClick xmlns:r="http://schemas.openxmlformats.org/officeDocument/2006/relationships" r:id="rId1070" tooltip="Ver detalle"/>
          <a:extLst>
            <a:ext uri="{FF2B5EF4-FFF2-40B4-BE49-F238E27FC236}">
              <a16:creationId xmlns:a16="http://schemas.microsoft.com/office/drawing/2014/main" id="{0B380A27-7B71-4D76-A2AD-DD038070D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9920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716</xdr:row>
      <xdr:rowOff>0</xdr:rowOff>
    </xdr:from>
    <xdr:to>
      <xdr:col>13</xdr:col>
      <xdr:colOff>0</xdr:colOff>
      <xdr:row>717</xdr:row>
      <xdr:rowOff>148590</xdr:rowOff>
    </xdr:to>
    <xdr:pic>
      <xdr:nvPicPr>
        <xdr:cNvPr id="1125" name="Imagen 1124" descr="Ver detalle">
          <a:hlinkClick xmlns:r="http://schemas.openxmlformats.org/officeDocument/2006/relationships" r:id="rId1071" tooltip="Ver detalle"/>
          <a:extLst>
            <a:ext uri="{FF2B5EF4-FFF2-40B4-BE49-F238E27FC236}">
              <a16:creationId xmlns:a16="http://schemas.microsoft.com/office/drawing/2014/main" id="{8D5988FF-8424-3A26-175A-E99D089CB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2864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715</xdr:row>
      <xdr:rowOff>0</xdr:rowOff>
    </xdr:from>
    <xdr:to>
      <xdr:col>13</xdr:col>
      <xdr:colOff>0</xdr:colOff>
      <xdr:row>716</xdr:row>
      <xdr:rowOff>148590</xdr:rowOff>
    </xdr:to>
    <xdr:pic>
      <xdr:nvPicPr>
        <xdr:cNvPr id="1126" name="Imagen 1125" descr="Ver detalle">
          <a:hlinkClick xmlns:r="http://schemas.openxmlformats.org/officeDocument/2006/relationships" r:id="rId1072" tooltip="Ver detalle"/>
          <a:extLst>
            <a:ext uri="{FF2B5EF4-FFF2-40B4-BE49-F238E27FC236}">
              <a16:creationId xmlns:a16="http://schemas.microsoft.com/office/drawing/2014/main" id="{70F5B411-00CB-5C93-DDC9-F02CD6333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059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714</xdr:row>
      <xdr:rowOff>0</xdr:rowOff>
    </xdr:from>
    <xdr:to>
      <xdr:col>13</xdr:col>
      <xdr:colOff>0</xdr:colOff>
      <xdr:row>715</xdr:row>
      <xdr:rowOff>148590</xdr:rowOff>
    </xdr:to>
    <xdr:pic>
      <xdr:nvPicPr>
        <xdr:cNvPr id="1127" name="Imagen 1126" descr="Ver detalle">
          <a:hlinkClick xmlns:r="http://schemas.openxmlformats.org/officeDocument/2006/relationships" r:id="rId1073" tooltip="Ver detalle"/>
          <a:extLst>
            <a:ext uri="{FF2B5EF4-FFF2-40B4-BE49-F238E27FC236}">
              <a16:creationId xmlns:a16="http://schemas.microsoft.com/office/drawing/2014/main" id="{B3A59302-106D-14B3-9D81-5B764DA76F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254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711</xdr:row>
      <xdr:rowOff>0</xdr:rowOff>
    </xdr:from>
    <xdr:to>
      <xdr:col>13</xdr:col>
      <xdr:colOff>0</xdr:colOff>
      <xdr:row>712</xdr:row>
      <xdr:rowOff>148590</xdr:rowOff>
    </xdr:to>
    <xdr:pic>
      <xdr:nvPicPr>
        <xdr:cNvPr id="1128" name="Imagen 1127" descr="Ver detalle">
          <a:hlinkClick xmlns:r="http://schemas.openxmlformats.org/officeDocument/2006/relationships" r:id="rId1074" tooltip="Ver detalle"/>
          <a:extLst>
            <a:ext uri="{FF2B5EF4-FFF2-40B4-BE49-F238E27FC236}">
              <a16:creationId xmlns:a16="http://schemas.microsoft.com/office/drawing/2014/main" id="{FB9BEF84-D2C7-8492-DAF3-B1E75C9A31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450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712</xdr:row>
      <xdr:rowOff>0</xdr:rowOff>
    </xdr:from>
    <xdr:to>
      <xdr:col>13</xdr:col>
      <xdr:colOff>0</xdr:colOff>
      <xdr:row>713</xdr:row>
      <xdr:rowOff>148590</xdr:rowOff>
    </xdr:to>
    <xdr:pic>
      <xdr:nvPicPr>
        <xdr:cNvPr id="1129" name="Imagen 1128" descr="Ver detalle">
          <a:hlinkClick xmlns:r="http://schemas.openxmlformats.org/officeDocument/2006/relationships" r:id="rId1075" tooltip="Ver detalle"/>
          <a:extLst>
            <a:ext uri="{FF2B5EF4-FFF2-40B4-BE49-F238E27FC236}">
              <a16:creationId xmlns:a16="http://schemas.microsoft.com/office/drawing/2014/main" id="{0B609CF7-BC61-75AC-8846-51087FFAB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541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718</xdr:row>
      <xdr:rowOff>0</xdr:rowOff>
    </xdr:from>
    <xdr:to>
      <xdr:col>13</xdr:col>
      <xdr:colOff>0</xdr:colOff>
      <xdr:row>719</xdr:row>
      <xdr:rowOff>148590</xdr:rowOff>
    </xdr:to>
    <xdr:pic>
      <xdr:nvPicPr>
        <xdr:cNvPr id="1130" name="Imagen 1129" descr="Ver detalle">
          <a:hlinkClick xmlns:r="http://schemas.openxmlformats.org/officeDocument/2006/relationships" r:id="rId1076" tooltip="Ver detalle"/>
          <a:extLst>
            <a:ext uri="{FF2B5EF4-FFF2-40B4-BE49-F238E27FC236}">
              <a16:creationId xmlns:a16="http://schemas.microsoft.com/office/drawing/2014/main" id="{C96B06C2-5166-5FA3-A0C9-EACBF087F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736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710</xdr:row>
      <xdr:rowOff>0</xdr:rowOff>
    </xdr:from>
    <xdr:to>
      <xdr:col>13</xdr:col>
      <xdr:colOff>0</xdr:colOff>
      <xdr:row>711</xdr:row>
      <xdr:rowOff>148590</xdr:rowOff>
    </xdr:to>
    <xdr:pic>
      <xdr:nvPicPr>
        <xdr:cNvPr id="1131" name="Imagen 1130" descr="Ver detalle">
          <a:hlinkClick xmlns:r="http://schemas.openxmlformats.org/officeDocument/2006/relationships" r:id="rId1077" tooltip="Ver detalle"/>
          <a:extLst>
            <a:ext uri="{FF2B5EF4-FFF2-40B4-BE49-F238E27FC236}">
              <a16:creationId xmlns:a16="http://schemas.microsoft.com/office/drawing/2014/main" id="{BF02C7EE-E20A-3DDA-9BBE-076AF02EF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931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713</xdr:row>
      <xdr:rowOff>0</xdr:rowOff>
    </xdr:from>
    <xdr:to>
      <xdr:col>13</xdr:col>
      <xdr:colOff>0</xdr:colOff>
      <xdr:row>714</xdr:row>
      <xdr:rowOff>148590</xdr:rowOff>
    </xdr:to>
    <xdr:pic>
      <xdr:nvPicPr>
        <xdr:cNvPr id="1132" name="Imagen 1131" descr="Ver detalle">
          <a:hlinkClick xmlns:r="http://schemas.openxmlformats.org/officeDocument/2006/relationships" r:id="rId1078" tooltip="Ver detalle"/>
          <a:extLst>
            <a:ext uri="{FF2B5EF4-FFF2-40B4-BE49-F238E27FC236}">
              <a16:creationId xmlns:a16="http://schemas.microsoft.com/office/drawing/2014/main" id="{27D2DBA4-0DAB-60C6-8A14-A5A881AAD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126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708</xdr:row>
      <xdr:rowOff>0</xdr:rowOff>
    </xdr:from>
    <xdr:to>
      <xdr:col>13</xdr:col>
      <xdr:colOff>0</xdr:colOff>
      <xdr:row>709</xdr:row>
      <xdr:rowOff>148590</xdr:rowOff>
    </xdr:to>
    <xdr:pic>
      <xdr:nvPicPr>
        <xdr:cNvPr id="1133" name="Imagen 1132" descr="Ver detalle">
          <a:hlinkClick xmlns:r="http://schemas.openxmlformats.org/officeDocument/2006/relationships" r:id="rId1079" tooltip="Ver detalle"/>
          <a:extLst>
            <a:ext uri="{FF2B5EF4-FFF2-40B4-BE49-F238E27FC236}">
              <a16:creationId xmlns:a16="http://schemas.microsoft.com/office/drawing/2014/main" id="{12296AAD-B2FB-853F-7AC5-F54F6FD2F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218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709</xdr:row>
      <xdr:rowOff>0</xdr:rowOff>
    </xdr:from>
    <xdr:to>
      <xdr:col>13</xdr:col>
      <xdr:colOff>0</xdr:colOff>
      <xdr:row>710</xdr:row>
      <xdr:rowOff>148590</xdr:rowOff>
    </xdr:to>
    <xdr:pic>
      <xdr:nvPicPr>
        <xdr:cNvPr id="1134" name="Imagen 1133" descr="Ver detalle">
          <a:hlinkClick xmlns:r="http://schemas.openxmlformats.org/officeDocument/2006/relationships" r:id="rId1080" tooltip="Ver detalle"/>
          <a:extLst>
            <a:ext uri="{FF2B5EF4-FFF2-40B4-BE49-F238E27FC236}">
              <a16:creationId xmlns:a16="http://schemas.microsoft.com/office/drawing/2014/main" id="{C6F796A7-D1D8-1090-8230-4004784A1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413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703</xdr:row>
      <xdr:rowOff>0</xdr:rowOff>
    </xdr:from>
    <xdr:to>
      <xdr:col>13</xdr:col>
      <xdr:colOff>0</xdr:colOff>
      <xdr:row>704</xdr:row>
      <xdr:rowOff>148590</xdr:rowOff>
    </xdr:to>
    <xdr:pic>
      <xdr:nvPicPr>
        <xdr:cNvPr id="1135" name="Imagen 1134" descr="Ver detalle">
          <a:hlinkClick xmlns:r="http://schemas.openxmlformats.org/officeDocument/2006/relationships" r:id="rId1081" tooltip="Ver detalle"/>
          <a:extLst>
            <a:ext uri="{FF2B5EF4-FFF2-40B4-BE49-F238E27FC236}">
              <a16:creationId xmlns:a16="http://schemas.microsoft.com/office/drawing/2014/main" id="{B94FA3F5-A42A-95DC-4EF6-010C2F3F7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5435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706</xdr:row>
      <xdr:rowOff>0</xdr:rowOff>
    </xdr:from>
    <xdr:to>
      <xdr:col>13</xdr:col>
      <xdr:colOff>0</xdr:colOff>
      <xdr:row>707</xdr:row>
      <xdr:rowOff>148590</xdr:rowOff>
    </xdr:to>
    <xdr:pic>
      <xdr:nvPicPr>
        <xdr:cNvPr id="1136" name="Imagen 1135" descr="Ver detalle">
          <a:hlinkClick xmlns:r="http://schemas.openxmlformats.org/officeDocument/2006/relationships" r:id="rId1082" tooltip="Ver detalle"/>
          <a:extLst>
            <a:ext uri="{FF2B5EF4-FFF2-40B4-BE49-F238E27FC236}">
              <a16:creationId xmlns:a16="http://schemas.microsoft.com/office/drawing/2014/main" id="{CDBE7361-5A5A-01E7-3900-B7B0B55F8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673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702</xdr:row>
      <xdr:rowOff>0</xdr:rowOff>
    </xdr:from>
    <xdr:to>
      <xdr:col>13</xdr:col>
      <xdr:colOff>0</xdr:colOff>
      <xdr:row>703</xdr:row>
      <xdr:rowOff>148590</xdr:rowOff>
    </xdr:to>
    <xdr:pic>
      <xdr:nvPicPr>
        <xdr:cNvPr id="1137" name="Imagen 1136" descr="Ver detalle">
          <a:hlinkClick xmlns:r="http://schemas.openxmlformats.org/officeDocument/2006/relationships" r:id="rId1083" tooltip="Ver detalle"/>
          <a:extLst>
            <a:ext uri="{FF2B5EF4-FFF2-40B4-BE49-F238E27FC236}">
              <a16:creationId xmlns:a16="http://schemas.microsoft.com/office/drawing/2014/main" id="{A241AE0C-D229-1727-4913-F9918B224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868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697</xdr:row>
      <xdr:rowOff>0</xdr:rowOff>
    </xdr:from>
    <xdr:to>
      <xdr:col>13</xdr:col>
      <xdr:colOff>0</xdr:colOff>
      <xdr:row>698</xdr:row>
      <xdr:rowOff>148590</xdr:rowOff>
    </xdr:to>
    <xdr:pic>
      <xdr:nvPicPr>
        <xdr:cNvPr id="1138" name="Imagen 1137" descr="Ver detalle">
          <a:hlinkClick xmlns:r="http://schemas.openxmlformats.org/officeDocument/2006/relationships" r:id="rId1084" tooltip="Ver detalle"/>
          <a:extLst>
            <a:ext uri="{FF2B5EF4-FFF2-40B4-BE49-F238E27FC236}">
              <a16:creationId xmlns:a16="http://schemas.microsoft.com/office/drawing/2014/main" id="{A69A7689-CB37-7515-7AA7-E23DAA99B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063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704</xdr:row>
      <xdr:rowOff>0</xdr:rowOff>
    </xdr:from>
    <xdr:to>
      <xdr:col>13</xdr:col>
      <xdr:colOff>0</xdr:colOff>
      <xdr:row>705</xdr:row>
      <xdr:rowOff>148590</xdr:rowOff>
    </xdr:to>
    <xdr:pic>
      <xdr:nvPicPr>
        <xdr:cNvPr id="1139" name="Imagen 1138" descr="Ver detalle">
          <a:hlinkClick xmlns:r="http://schemas.openxmlformats.org/officeDocument/2006/relationships" r:id="rId1085" tooltip="Ver detalle"/>
          <a:extLst>
            <a:ext uri="{FF2B5EF4-FFF2-40B4-BE49-F238E27FC236}">
              <a16:creationId xmlns:a16="http://schemas.microsoft.com/office/drawing/2014/main" id="{147E764F-7A0A-C6C4-4178-47BAF6710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25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707</xdr:row>
      <xdr:rowOff>0</xdr:rowOff>
    </xdr:from>
    <xdr:to>
      <xdr:col>13</xdr:col>
      <xdr:colOff>0</xdr:colOff>
      <xdr:row>708</xdr:row>
      <xdr:rowOff>148590</xdr:rowOff>
    </xdr:to>
    <xdr:pic>
      <xdr:nvPicPr>
        <xdr:cNvPr id="1140" name="Imagen 1139" descr="Ver detalle">
          <a:hlinkClick xmlns:r="http://schemas.openxmlformats.org/officeDocument/2006/relationships" r:id="rId1086" tooltip="Ver detalle"/>
          <a:extLst>
            <a:ext uri="{FF2B5EF4-FFF2-40B4-BE49-F238E27FC236}">
              <a16:creationId xmlns:a16="http://schemas.microsoft.com/office/drawing/2014/main" id="{4F0516DD-6CB9-6BC3-5806-B311AD6D3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350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705</xdr:row>
      <xdr:rowOff>0</xdr:rowOff>
    </xdr:from>
    <xdr:to>
      <xdr:col>13</xdr:col>
      <xdr:colOff>0</xdr:colOff>
      <xdr:row>706</xdr:row>
      <xdr:rowOff>148590</xdr:rowOff>
    </xdr:to>
    <xdr:pic>
      <xdr:nvPicPr>
        <xdr:cNvPr id="1141" name="Imagen 1140" descr="Ver detalle">
          <a:hlinkClick xmlns:r="http://schemas.openxmlformats.org/officeDocument/2006/relationships" r:id="rId1087" tooltip="Ver detalle"/>
          <a:extLst>
            <a:ext uri="{FF2B5EF4-FFF2-40B4-BE49-F238E27FC236}">
              <a16:creationId xmlns:a16="http://schemas.microsoft.com/office/drawing/2014/main" id="{0CB57FD9-CF3C-299E-A354-FD2B43653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545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698</xdr:row>
      <xdr:rowOff>0</xdr:rowOff>
    </xdr:from>
    <xdr:to>
      <xdr:col>13</xdr:col>
      <xdr:colOff>0</xdr:colOff>
      <xdr:row>699</xdr:row>
      <xdr:rowOff>148590</xdr:rowOff>
    </xdr:to>
    <xdr:pic>
      <xdr:nvPicPr>
        <xdr:cNvPr id="1142" name="Imagen 1141" descr="Ver detalle">
          <a:hlinkClick xmlns:r="http://schemas.openxmlformats.org/officeDocument/2006/relationships" r:id="rId1088" tooltip="Ver detalle"/>
          <a:extLst>
            <a:ext uri="{FF2B5EF4-FFF2-40B4-BE49-F238E27FC236}">
              <a16:creationId xmlns:a16="http://schemas.microsoft.com/office/drawing/2014/main" id="{4DC7CEAB-76B5-7902-EF27-488750B07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740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701</xdr:row>
      <xdr:rowOff>0</xdr:rowOff>
    </xdr:from>
    <xdr:to>
      <xdr:col>13</xdr:col>
      <xdr:colOff>0</xdr:colOff>
      <xdr:row>702</xdr:row>
      <xdr:rowOff>148590</xdr:rowOff>
    </xdr:to>
    <xdr:pic>
      <xdr:nvPicPr>
        <xdr:cNvPr id="1143" name="Imagen 1142" descr="Ver detalle">
          <a:hlinkClick xmlns:r="http://schemas.openxmlformats.org/officeDocument/2006/relationships" r:id="rId1089" tooltip="Ver detalle"/>
          <a:extLst>
            <a:ext uri="{FF2B5EF4-FFF2-40B4-BE49-F238E27FC236}">
              <a16:creationId xmlns:a16="http://schemas.microsoft.com/office/drawing/2014/main" id="{6B8013A7-EB3F-DEAF-78AE-B9A67EA97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8320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700</xdr:row>
      <xdr:rowOff>0</xdr:rowOff>
    </xdr:from>
    <xdr:to>
      <xdr:col>13</xdr:col>
      <xdr:colOff>0</xdr:colOff>
      <xdr:row>701</xdr:row>
      <xdr:rowOff>148590</xdr:rowOff>
    </xdr:to>
    <xdr:pic>
      <xdr:nvPicPr>
        <xdr:cNvPr id="1144" name="Imagen 1143" descr="Ver detalle">
          <a:hlinkClick xmlns:r="http://schemas.openxmlformats.org/officeDocument/2006/relationships" r:id="rId1090" tooltip="Ver detalle"/>
          <a:extLst>
            <a:ext uri="{FF2B5EF4-FFF2-40B4-BE49-F238E27FC236}">
              <a16:creationId xmlns:a16="http://schemas.microsoft.com/office/drawing/2014/main" id="{98CDF580-13D3-B191-A0EF-3DF9718DA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027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754</xdr:row>
      <xdr:rowOff>0</xdr:rowOff>
    </xdr:from>
    <xdr:to>
      <xdr:col>13</xdr:col>
      <xdr:colOff>0</xdr:colOff>
      <xdr:row>755</xdr:row>
      <xdr:rowOff>148590</xdr:rowOff>
    </xdr:to>
    <xdr:pic>
      <xdr:nvPicPr>
        <xdr:cNvPr id="1145" name="Imagen 1144" descr="Ver detalle">
          <a:hlinkClick xmlns:r="http://schemas.openxmlformats.org/officeDocument/2006/relationships" r:id="rId1091" tooltip="Ver detalle"/>
          <a:extLst>
            <a:ext uri="{FF2B5EF4-FFF2-40B4-BE49-F238E27FC236}">
              <a16:creationId xmlns:a16="http://schemas.microsoft.com/office/drawing/2014/main" id="{B0F37E71-B03E-1A66-2D55-4C94E90B6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402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751</xdr:row>
      <xdr:rowOff>0</xdr:rowOff>
    </xdr:from>
    <xdr:to>
      <xdr:col>13</xdr:col>
      <xdr:colOff>0</xdr:colOff>
      <xdr:row>752</xdr:row>
      <xdr:rowOff>148590</xdr:rowOff>
    </xdr:to>
    <xdr:pic>
      <xdr:nvPicPr>
        <xdr:cNvPr id="1146" name="Imagen 1145" descr="Ver detalle">
          <a:hlinkClick xmlns:r="http://schemas.openxmlformats.org/officeDocument/2006/relationships" r:id="rId1092" tooltip="Ver detalle"/>
          <a:extLst>
            <a:ext uri="{FF2B5EF4-FFF2-40B4-BE49-F238E27FC236}">
              <a16:creationId xmlns:a16="http://schemas.microsoft.com/office/drawing/2014/main" id="{F5004EF9-9965-F11E-18D2-447D6D604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5315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753</xdr:row>
      <xdr:rowOff>0</xdr:rowOff>
    </xdr:from>
    <xdr:to>
      <xdr:col>13</xdr:col>
      <xdr:colOff>0</xdr:colOff>
      <xdr:row>754</xdr:row>
      <xdr:rowOff>148590</xdr:rowOff>
    </xdr:to>
    <xdr:pic>
      <xdr:nvPicPr>
        <xdr:cNvPr id="1147" name="Imagen 1146" descr="Ver detalle">
          <a:hlinkClick xmlns:r="http://schemas.openxmlformats.org/officeDocument/2006/relationships" r:id="rId1093" tooltip="Ver detalle"/>
          <a:extLst>
            <a:ext uri="{FF2B5EF4-FFF2-40B4-BE49-F238E27FC236}">
              <a16:creationId xmlns:a16="http://schemas.microsoft.com/office/drawing/2014/main" id="{6CE98894-2768-1F3E-103F-74E88C7D9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8066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755</xdr:row>
      <xdr:rowOff>0</xdr:rowOff>
    </xdr:from>
    <xdr:to>
      <xdr:col>13</xdr:col>
      <xdr:colOff>0</xdr:colOff>
      <xdr:row>756</xdr:row>
      <xdr:rowOff>114300</xdr:rowOff>
    </xdr:to>
    <xdr:pic>
      <xdr:nvPicPr>
        <xdr:cNvPr id="1148" name="Imagen 1147" descr="Ver detalle">
          <a:hlinkClick xmlns:r="http://schemas.openxmlformats.org/officeDocument/2006/relationships" r:id="rId1094" tooltip="Ver detalle"/>
          <a:extLst>
            <a:ext uri="{FF2B5EF4-FFF2-40B4-BE49-F238E27FC236}">
              <a16:creationId xmlns:a16="http://schemas.microsoft.com/office/drawing/2014/main" id="{89028315-64D2-306C-C895-05F949ABA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081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750</xdr:row>
      <xdr:rowOff>0</xdr:rowOff>
    </xdr:from>
    <xdr:to>
      <xdr:col>13</xdr:col>
      <xdr:colOff>0</xdr:colOff>
      <xdr:row>751</xdr:row>
      <xdr:rowOff>148590</xdr:rowOff>
    </xdr:to>
    <xdr:pic>
      <xdr:nvPicPr>
        <xdr:cNvPr id="1149" name="Imagen 1148" descr="Ver detalle">
          <a:hlinkClick xmlns:r="http://schemas.openxmlformats.org/officeDocument/2006/relationships" r:id="rId1095" tooltip="Ver detalle"/>
          <a:extLst>
            <a:ext uri="{FF2B5EF4-FFF2-40B4-BE49-F238E27FC236}">
              <a16:creationId xmlns:a16="http://schemas.microsoft.com/office/drawing/2014/main" id="{4E01F718-DB87-8A21-2928-7DA737C74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3568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743</xdr:row>
      <xdr:rowOff>0</xdr:rowOff>
    </xdr:from>
    <xdr:to>
      <xdr:col>13</xdr:col>
      <xdr:colOff>0</xdr:colOff>
      <xdr:row>744</xdr:row>
      <xdr:rowOff>148590</xdr:rowOff>
    </xdr:to>
    <xdr:pic>
      <xdr:nvPicPr>
        <xdr:cNvPr id="1150" name="Imagen 1149" descr="Ver detalle">
          <a:hlinkClick xmlns:r="http://schemas.openxmlformats.org/officeDocument/2006/relationships" r:id="rId1096" tooltip="Ver detalle"/>
          <a:extLst>
            <a:ext uri="{FF2B5EF4-FFF2-40B4-BE49-F238E27FC236}">
              <a16:creationId xmlns:a16="http://schemas.microsoft.com/office/drawing/2014/main" id="{006441CB-BA40-C45D-9F09-B5C6089F6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6319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746</xdr:row>
      <xdr:rowOff>0</xdr:rowOff>
    </xdr:from>
    <xdr:to>
      <xdr:col>13</xdr:col>
      <xdr:colOff>0</xdr:colOff>
      <xdr:row>747</xdr:row>
      <xdr:rowOff>148590</xdr:rowOff>
    </xdr:to>
    <xdr:pic>
      <xdr:nvPicPr>
        <xdr:cNvPr id="1151" name="Imagen 1150" descr="Ver detalle">
          <a:hlinkClick xmlns:r="http://schemas.openxmlformats.org/officeDocument/2006/relationships" r:id="rId1097" tooltip="Ver detalle"/>
          <a:extLst>
            <a:ext uri="{FF2B5EF4-FFF2-40B4-BE49-F238E27FC236}">
              <a16:creationId xmlns:a16="http://schemas.microsoft.com/office/drawing/2014/main" id="{65367BBC-C0D1-F05C-9716-EDC35D994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760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748</xdr:row>
      <xdr:rowOff>0</xdr:rowOff>
    </xdr:from>
    <xdr:to>
      <xdr:col>13</xdr:col>
      <xdr:colOff>0</xdr:colOff>
      <xdr:row>749</xdr:row>
      <xdr:rowOff>148590</xdr:rowOff>
    </xdr:to>
    <xdr:pic>
      <xdr:nvPicPr>
        <xdr:cNvPr id="1152" name="Imagen 1151" descr="Ver detalle">
          <a:hlinkClick xmlns:r="http://schemas.openxmlformats.org/officeDocument/2006/relationships" r:id="rId1098" tooltip="Ver detalle"/>
          <a:extLst>
            <a:ext uri="{FF2B5EF4-FFF2-40B4-BE49-F238E27FC236}">
              <a16:creationId xmlns:a16="http://schemas.microsoft.com/office/drawing/2014/main" id="{094C8BC4-52B3-C69D-99A5-BBC7FC5CE2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889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752</xdr:row>
      <xdr:rowOff>0</xdr:rowOff>
    </xdr:from>
    <xdr:to>
      <xdr:col>13</xdr:col>
      <xdr:colOff>0</xdr:colOff>
      <xdr:row>753</xdr:row>
      <xdr:rowOff>148590</xdr:rowOff>
    </xdr:to>
    <xdr:pic>
      <xdr:nvPicPr>
        <xdr:cNvPr id="1153" name="Imagen 1152" descr="Ver detalle">
          <a:hlinkClick xmlns:r="http://schemas.openxmlformats.org/officeDocument/2006/relationships" r:id="rId1099" tooltip="Ver detalle"/>
          <a:extLst>
            <a:ext uri="{FF2B5EF4-FFF2-40B4-BE49-F238E27FC236}">
              <a16:creationId xmlns:a16="http://schemas.microsoft.com/office/drawing/2014/main" id="{E03DC579-A77F-97ED-9C28-5491F6006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0182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745</xdr:row>
      <xdr:rowOff>0</xdr:rowOff>
    </xdr:from>
    <xdr:to>
      <xdr:col>13</xdr:col>
      <xdr:colOff>0</xdr:colOff>
      <xdr:row>746</xdr:row>
      <xdr:rowOff>148590</xdr:rowOff>
    </xdr:to>
    <xdr:pic>
      <xdr:nvPicPr>
        <xdr:cNvPr id="1154" name="Imagen 1153" descr="Ver detalle">
          <a:hlinkClick xmlns:r="http://schemas.openxmlformats.org/officeDocument/2006/relationships" r:id="rId1100" tooltip="Ver detalle"/>
          <a:extLst>
            <a:ext uri="{FF2B5EF4-FFF2-40B4-BE49-F238E27FC236}">
              <a16:creationId xmlns:a16="http://schemas.microsoft.com/office/drawing/2014/main" id="{7F655864-F63C-4D9C-817F-B047948B2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293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740</xdr:row>
      <xdr:rowOff>0</xdr:rowOff>
    </xdr:from>
    <xdr:to>
      <xdr:col>13</xdr:col>
      <xdr:colOff>0</xdr:colOff>
      <xdr:row>741</xdr:row>
      <xdr:rowOff>148590</xdr:rowOff>
    </xdr:to>
    <xdr:pic>
      <xdr:nvPicPr>
        <xdr:cNvPr id="1155" name="Imagen 1154" descr="Ver detalle">
          <a:hlinkClick xmlns:r="http://schemas.openxmlformats.org/officeDocument/2006/relationships" r:id="rId1101" tooltip="Ver detalle"/>
          <a:extLst>
            <a:ext uri="{FF2B5EF4-FFF2-40B4-BE49-F238E27FC236}">
              <a16:creationId xmlns:a16="http://schemas.microsoft.com/office/drawing/2014/main" id="{F32DBD1C-D5E0-6CB3-CC16-8CC365CB3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422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741</xdr:row>
      <xdr:rowOff>0</xdr:rowOff>
    </xdr:from>
    <xdr:to>
      <xdr:col>13</xdr:col>
      <xdr:colOff>0</xdr:colOff>
      <xdr:row>742</xdr:row>
      <xdr:rowOff>148590</xdr:rowOff>
    </xdr:to>
    <xdr:pic>
      <xdr:nvPicPr>
        <xdr:cNvPr id="1156" name="Imagen 1155" descr="Ver detalle">
          <a:hlinkClick xmlns:r="http://schemas.openxmlformats.org/officeDocument/2006/relationships" r:id="rId1102" tooltip="Ver detalle"/>
          <a:extLst>
            <a:ext uri="{FF2B5EF4-FFF2-40B4-BE49-F238E27FC236}">
              <a16:creationId xmlns:a16="http://schemas.microsoft.com/office/drawing/2014/main" id="{D03DB4BE-1217-C4CC-0E22-E5D82EDBD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550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747</xdr:row>
      <xdr:rowOff>0</xdr:rowOff>
    </xdr:from>
    <xdr:to>
      <xdr:col>13</xdr:col>
      <xdr:colOff>0</xdr:colOff>
      <xdr:row>748</xdr:row>
      <xdr:rowOff>148590</xdr:rowOff>
    </xdr:to>
    <xdr:pic>
      <xdr:nvPicPr>
        <xdr:cNvPr id="1157" name="Imagen 1156" descr="Ver detalle">
          <a:hlinkClick xmlns:r="http://schemas.openxmlformats.org/officeDocument/2006/relationships" r:id="rId1103" tooltip="Ver detalle"/>
          <a:extLst>
            <a:ext uri="{FF2B5EF4-FFF2-40B4-BE49-F238E27FC236}">
              <a16:creationId xmlns:a16="http://schemas.microsoft.com/office/drawing/2014/main" id="{E1019548-70B0-1E89-460A-1614FD1E6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6796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735</xdr:row>
      <xdr:rowOff>0</xdr:rowOff>
    </xdr:from>
    <xdr:to>
      <xdr:col>13</xdr:col>
      <xdr:colOff>0</xdr:colOff>
      <xdr:row>736</xdr:row>
      <xdr:rowOff>148590</xdr:rowOff>
    </xdr:to>
    <xdr:pic>
      <xdr:nvPicPr>
        <xdr:cNvPr id="1158" name="Imagen 1157" descr="Ver detalle">
          <a:hlinkClick xmlns:r="http://schemas.openxmlformats.org/officeDocument/2006/relationships" r:id="rId1104" tooltip="Ver detalle"/>
          <a:extLst>
            <a:ext uri="{FF2B5EF4-FFF2-40B4-BE49-F238E27FC236}">
              <a16:creationId xmlns:a16="http://schemas.microsoft.com/office/drawing/2014/main" id="{D07615DD-6E58-4950-E668-C61BACBCA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863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738</xdr:row>
      <xdr:rowOff>0</xdr:rowOff>
    </xdr:from>
    <xdr:to>
      <xdr:col>13</xdr:col>
      <xdr:colOff>0</xdr:colOff>
      <xdr:row>739</xdr:row>
      <xdr:rowOff>148590</xdr:rowOff>
    </xdr:to>
    <xdr:pic>
      <xdr:nvPicPr>
        <xdr:cNvPr id="1159" name="Imagen 1158" descr="Ver detalle">
          <a:hlinkClick xmlns:r="http://schemas.openxmlformats.org/officeDocument/2006/relationships" r:id="rId1105" tooltip="Ver detalle"/>
          <a:extLst>
            <a:ext uri="{FF2B5EF4-FFF2-40B4-BE49-F238E27FC236}">
              <a16:creationId xmlns:a16="http://schemas.microsoft.com/office/drawing/2014/main" id="{8C080882-6C83-A81E-8FCB-35EA9A5B4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138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737</xdr:row>
      <xdr:rowOff>0</xdr:rowOff>
    </xdr:from>
    <xdr:to>
      <xdr:col>13</xdr:col>
      <xdr:colOff>0</xdr:colOff>
      <xdr:row>738</xdr:row>
      <xdr:rowOff>148590</xdr:rowOff>
    </xdr:to>
    <xdr:pic>
      <xdr:nvPicPr>
        <xdr:cNvPr id="1160" name="Imagen 1159" descr="Ver detalle">
          <a:hlinkClick xmlns:r="http://schemas.openxmlformats.org/officeDocument/2006/relationships" r:id="rId1106" tooltip="Ver detalle"/>
          <a:extLst>
            <a:ext uri="{FF2B5EF4-FFF2-40B4-BE49-F238E27FC236}">
              <a16:creationId xmlns:a16="http://schemas.microsoft.com/office/drawing/2014/main" id="{F46C3FB0-1038-5198-F8D9-2B43EDC54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2854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734</xdr:row>
      <xdr:rowOff>0</xdr:rowOff>
    </xdr:from>
    <xdr:to>
      <xdr:col>13</xdr:col>
      <xdr:colOff>0</xdr:colOff>
      <xdr:row>735</xdr:row>
      <xdr:rowOff>148590</xdr:rowOff>
    </xdr:to>
    <xdr:pic>
      <xdr:nvPicPr>
        <xdr:cNvPr id="1161" name="Imagen 1160" descr="Ver detalle">
          <a:hlinkClick xmlns:r="http://schemas.openxmlformats.org/officeDocument/2006/relationships" r:id="rId1107" tooltip="Ver detalle"/>
          <a:extLst>
            <a:ext uri="{FF2B5EF4-FFF2-40B4-BE49-F238E27FC236}">
              <a16:creationId xmlns:a16="http://schemas.microsoft.com/office/drawing/2014/main" id="{8E19B223-61A3-30C7-5406-0467F483A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432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742</xdr:row>
      <xdr:rowOff>0</xdr:rowOff>
    </xdr:from>
    <xdr:to>
      <xdr:col>13</xdr:col>
      <xdr:colOff>0</xdr:colOff>
      <xdr:row>743</xdr:row>
      <xdr:rowOff>148590</xdr:rowOff>
    </xdr:to>
    <xdr:pic>
      <xdr:nvPicPr>
        <xdr:cNvPr id="1162" name="Imagen 1161" descr="Ver detalle">
          <a:hlinkClick xmlns:r="http://schemas.openxmlformats.org/officeDocument/2006/relationships" r:id="rId1108" tooltip="Ver detalle"/>
          <a:extLst>
            <a:ext uri="{FF2B5EF4-FFF2-40B4-BE49-F238E27FC236}">
              <a16:creationId xmlns:a16="http://schemas.microsoft.com/office/drawing/2014/main" id="{0B20DDB4-EED8-32E0-F3D5-3E6BFFFCC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707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736</xdr:row>
      <xdr:rowOff>0</xdr:rowOff>
    </xdr:from>
    <xdr:to>
      <xdr:col>13</xdr:col>
      <xdr:colOff>0</xdr:colOff>
      <xdr:row>737</xdr:row>
      <xdr:rowOff>148590</xdr:rowOff>
    </xdr:to>
    <xdr:pic>
      <xdr:nvPicPr>
        <xdr:cNvPr id="1163" name="Imagen 1162" descr="Ver detalle">
          <a:hlinkClick xmlns:r="http://schemas.openxmlformats.org/officeDocument/2006/relationships" r:id="rId1109" tooltip="Ver detalle"/>
          <a:extLst>
            <a:ext uri="{FF2B5EF4-FFF2-40B4-BE49-F238E27FC236}">
              <a16:creationId xmlns:a16="http://schemas.microsoft.com/office/drawing/2014/main" id="{C2D421C6-2084-6364-2E3E-D7D0220CD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836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733</xdr:row>
      <xdr:rowOff>0</xdr:rowOff>
    </xdr:from>
    <xdr:to>
      <xdr:col>13</xdr:col>
      <xdr:colOff>0</xdr:colOff>
      <xdr:row>734</xdr:row>
      <xdr:rowOff>148590</xdr:rowOff>
    </xdr:to>
    <xdr:pic>
      <xdr:nvPicPr>
        <xdr:cNvPr id="1164" name="Imagen 1163" descr="Ver detalle">
          <a:hlinkClick xmlns:r="http://schemas.openxmlformats.org/officeDocument/2006/relationships" r:id="rId1110" tooltip="Ver detalle"/>
          <a:extLst>
            <a:ext uri="{FF2B5EF4-FFF2-40B4-BE49-F238E27FC236}">
              <a16:creationId xmlns:a16="http://schemas.microsoft.com/office/drawing/2014/main" id="{32E58061-550E-2577-28A2-46EB387AB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111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730</xdr:row>
      <xdr:rowOff>0</xdr:rowOff>
    </xdr:from>
    <xdr:to>
      <xdr:col>13</xdr:col>
      <xdr:colOff>0</xdr:colOff>
      <xdr:row>731</xdr:row>
      <xdr:rowOff>148590</xdr:rowOff>
    </xdr:to>
    <xdr:pic>
      <xdr:nvPicPr>
        <xdr:cNvPr id="1165" name="Imagen 1164" descr="Ver detalle">
          <a:hlinkClick xmlns:r="http://schemas.openxmlformats.org/officeDocument/2006/relationships" r:id="rId1111" tooltip="Ver detalle"/>
          <a:extLst>
            <a:ext uri="{FF2B5EF4-FFF2-40B4-BE49-F238E27FC236}">
              <a16:creationId xmlns:a16="http://schemas.microsoft.com/office/drawing/2014/main" id="{AE59327F-389A-7CBF-096F-2013CC83F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386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749</xdr:row>
      <xdr:rowOff>0</xdr:rowOff>
    </xdr:from>
    <xdr:to>
      <xdr:col>13</xdr:col>
      <xdr:colOff>0</xdr:colOff>
      <xdr:row>750</xdr:row>
      <xdr:rowOff>148590</xdr:rowOff>
    </xdr:to>
    <xdr:pic>
      <xdr:nvPicPr>
        <xdr:cNvPr id="1166" name="Imagen 1165" descr="Ver detalle">
          <a:hlinkClick xmlns:r="http://schemas.openxmlformats.org/officeDocument/2006/relationships" r:id="rId1112" tooltip="Ver detalle"/>
          <a:extLst>
            <a:ext uri="{FF2B5EF4-FFF2-40B4-BE49-F238E27FC236}">
              <a16:creationId xmlns:a16="http://schemas.microsoft.com/office/drawing/2014/main" id="{089DE4B8-FC0B-4170-5533-45F8C9A09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6616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744</xdr:row>
      <xdr:rowOff>0</xdr:rowOff>
    </xdr:from>
    <xdr:to>
      <xdr:col>13</xdr:col>
      <xdr:colOff>0</xdr:colOff>
      <xdr:row>745</xdr:row>
      <xdr:rowOff>148590</xdr:rowOff>
    </xdr:to>
    <xdr:pic>
      <xdr:nvPicPr>
        <xdr:cNvPr id="1167" name="Imagen 1166" descr="Ver detalle">
          <a:hlinkClick xmlns:r="http://schemas.openxmlformats.org/officeDocument/2006/relationships" r:id="rId1113" tooltip="Ver detalle"/>
          <a:extLst>
            <a:ext uri="{FF2B5EF4-FFF2-40B4-BE49-F238E27FC236}">
              <a16:creationId xmlns:a16="http://schemas.microsoft.com/office/drawing/2014/main" id="{52BE247A-E1A8-3C35-03D2-AE9D41F20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936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729</xdr:row>
      <xdr:rowOff>0</xdr:rowOff>
    </xdr:from>
    <xdr:to>
      <xdr:col>13</xdr:col>
      <xdr:colOff>0</xdr:colOff>
      <xdr:row>730</xdr:row>
      <xdr:rowOff>148590</xdr:rowOff>
    </xdr:to>
    <xdr:pic>
      <xdr:nvPicPr>
        <xdr:cNvPr id="1168" name="Imagen 1167" descr="Ver detalle">
          <a:hlinkClick xmlns:r="http://schemas.openxmlformats.org/officeDocument/2006/relationships" r:id="rId1114" tooltip="Ver detalle"/>
          <a:extLst>
            <a:ext uri="{FF2B5EF4-FFF2-40B4-BE49-F238E27FC236}">
              <a16:creationId xmlns:a16="http://schemas.microsoft.com/office/drawing/2014/main" id="{146396CC-4137-730F-D8DD-C1263908D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120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732</xdr:row>
      <xdr:rowOff>0</xdr:rowOff>
    </xdr:from>
    <xdr:to>
      <xdr:col>13</xdr:col>
      <xdr:colOff>0</xdr:colOff>
      <xdr:row>733</xdr:row>
      <xdr:rowOff>148590</xdr:rowOff>
    </xdr:to>
    <xdr:pic>
      <xdr:nvPicPr>
        <xdr:cNvPr id="1169" name="Imagen 1168" descr="Ver detalle">
          <a:hlinkClick xmlns:r="http://schemas.openxmlformats.org/officeDocument/2006/relationships" r:id="rId1115" tooltip="Ver detalle"/>
          <a:extLst>
            <a:ext uri="{FF2B5EF4-FFF2-40B4-BE49-F238E27FC236}">
              <a16:creationId xmlns:a16="http://schemas.microsoft.com/office/drawing/2014/main" id="{D94432C1-1F9F-5339-E85D-86BC12033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5905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739</xdr:row>
      <xdr:rowOff>0</xdr:rowOff>
    </xdr:from>
    <xdr:to>
      <xdr:col>13</xdr:col>
      <xdr:colOff>0</xdr:colOff>
      <xdr:row>740</xdr:row>
      <xdr:rowOff>148590</xdr:rowOff>
    </xdr:to>
    <xdr:pic>
      <xdr:nvPicPr>
        <xdr:cNvPr id="1170" name="Imagen 1169" descr="Ver detalle">
          <a:hlinkClick xmlns:r="http://schemas.openxmlformats.org/officeDocument/2006/relationships" r:id="rId1116" tooltip="Ver detalle"/>
          <a:extLst>
            <a:ext uri="{FF2B5EF4-FFF2-40B4-BE49-F238E27FC236}">
              <a16:creationId xmlns:a16="http://schemas.microsoft.com/office/drawing/2014/main" id="{68BE8BEC-811E-140E-A74D-48D78C01B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7855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726</xdr:row>
      <xdr:rowOff>0</xdr:rowOff>
    </xdr:from>
    <xdr:to>
      <xdr:col>13</xdr:col>
      <xdr:colOff>0</xdr:colOff>
      <xdr:row>727</xdr:row>
      <xdr:rowOff>148590</xdr:rowOff>
    </xdr:to>
    <xdr:pic>
      <xdr:nvPicPr>
        <xdr:cNvPr id="1171" name="Imagen 1170" descr="Ver detalle">
          <a:hlinkClick xmlns:r="http://schemas.openxmlformats.org/officeDocument/2006/relationships" r:id="rId1117" tooltip="Ver detalle"/>
          <a:extLst>
            <a:ext uri="{FF2B5EF4-FFF2-40B4-BE49-F238E27FC236}">
              <a16:creationId xmlns:a16="http://schemas.microsoft.com/office/drawing/2014/main" id="{FA780397-C691-8506-CF46-12384BC62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9158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727</xdr:row>
      <xdr:rowOff>0</xdr:rowOff>
    </xdr:from>
    <xdr:to>
      <xdr:col>13</xdr:col>
      <xdr:colOff>0</xdr:colOff>
      <xdr:row>728</xdr:row>
      <xdr:rowOff>148590</xdr:rowOff>
    </xdr:to>
    <xdr:pic>
      <xdr:nvPicPr>
        <xdr:cNvPr id="1172" name="Imagen 1171" descr="Ver detalle">
          <a:hlinkClick xmlns:r="http://schemas.openxmlformats.org/officeDocument/2006/relationships" r:id="rId1118" tooltip="Ver detalle"/>
          <a:extLst>
            <a:ext uri="{FF2B5EF4-FFF2-40B4-BE49-F238E27FC236}">
              <a16:creationId xmlns:a16="http://schemas.microsoft.com/office/drawing/2014/main" id="{8B0ABD93-B9AB-6272-6BF8-F0CD6DE41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11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724</xdr:row>
      <xdr:rowOff>0</xdr:rowOff>
    </xdr:from>
    <xdr:to>
      <xdr:col>13</xdr:col>
      <xdr:colOff>0</xdr:colOff>
      <xdr:row>725</xdr:row>
      <xdr:rowOff>148590</xdr:rowOff>
    </xdr:to>
    <xdr:pic>
      <xdr:nvPicPr>
        <xdr:cNvPr id="1173" name="Imagen 1172" descr="Ver detalle">
          <a:hlinkClick xmlns:r="http://schemas.openxmlformats.org/officeDocument/2006/relationships" r:id="rId1119" tooltip="Ver detalle"/>
          <a:extLst>
            <a:ext uri="{FF2B5EF4-FFF2-40B4-BE49-F238E27FC236}">
              <a16:creationId xmlns:a16="http://schemas.microsoft.com/office/drawing/2014/main" id="{42E286D5-FE9A-9559-5AA5-18F57BAE4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306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766</xdr:row>
      <xdr:rowOff>0</xdr:rowOff>
    </xdr:from>
    <xdr:to>
      <xdr:col>13</xdr:col>
      <xdr:colOff>0</xdr:colOff>
      <xdr:row>767</xdr:row>
      <xdr:rowOff>114300</xdr:rowOff>
    </xdr:to>
    <xdr:pic>
      <xdr:nvPicPr>
        <xdr:cNvPr id="1174" name="Imagen 1173" descr="Ver detalle">
          <a:hlinkClick xmlns:r="http://schemas.openxmlformats.org/officeDocument/2006/relationships" r:id="rId1120" tooltip="Ver detalle"/>
          <a:extLst>
            <a:ext uri="{FF2B5EF4-FFF2-40B4-BE49-F238E27FC236}">
              <a16:creationId xmlns:a16="http://schemas.microsoft.com/office/drawing/2014/main" id="{28BC3274-6C97-A9F7-25CE-AFEBC544A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501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765</xdr:row>
      <xdr:rowOff>0</xdr:rowOff>
    </xdr:from>
    <xdr:to>
      <xdr:col>13</xdr:col>
      <xdr:colOff>0</xdr:colOff>
      <xdr:row>766</xdr:row>
      <xdr:rowOff>148590</xdr:rowOff>
    </xdr:to>
    <xdr:pic>
      <xdr:nvPicPr>
        <xdr:cNvPr id="1175" name="Imagen 1174" descr="Ver detalle">
          <a:hlinkClick xmlns:r="http://schemas.openxmlformats.org/officeDocument/2006/relationships" r:id="rId1121" tooltip="Ver detalle"/>
          <a:extLst>
            <a:ext uri="{FF2B5EF4-FFF2-40B4-BE49-F238E27FC236}">
              <a16:creationId xmlns:a16="http://schemas.microsoft.com/office/drawing/2014/main" id="{C92CD57E-9EE9-9D46-7CD9-D9AEC1CF99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696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764</xdr:row>
      <xdr:rowOff>0</xdr:rowOff>
    </xdr:from>
    <xdr:to>
      <xdr:col>13</xdr:col>
      <xdr:colOff>0</xdr:colOff>
      <xdr:row>765</xdr:row>
      <xdr:rowOff>148590</xdr:rowOff>
    </xdr:to>
    <xdr:pic>
      <xdr:nvPicPr>
        <xdr:cNvPr id="1176" name="Imagen 1175" descr="Ver detalle">
          <a:hlinkClick xmlns:r="http://schemas.openxmlformats.org/officeDocument/2006/relationships" r:id="rId1122" tooltip="Ver detalle"/>
          <a:extLst>
            <a:ext uri="{FF2B5EF4-FFF2-40B4-BE49-F238E27FC236}">
              <a16:creationId xmlns:a16="http://schemas.microsoft.com/office/drawing/2014/main" id="{3F10B867-5259-1F8E-0A68-09BEA6608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891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763</xdr:row>
      <xdr:rowOff>0</xdr:rowOff>
    </xdr:from>
    <xdr:to>
      <xdr:col>13</xdr:col>
      <xdr:colOff>0</xdr:colOff>
      <xdr:row>764</xdr:row>
      <xdr:rowOff>148590</xdr:rowOff>
    </xdr:to>
    <xdr:pic>
      <xdr:nvPicPr>
        <xdr:cNvPr id="1177" name="Imagen 1176" descr="Ver detalle">
          <a:hlinkClick xmlns:r="http://schemas.openxmlformats.org/officeDocument/2006/relationships" r:id="rId1123" tooltip="Ver detalle"/>
          <a:extLst>
            <a:ext uri="{FF2B5EF4-FFF2-40B4-BE49-F238E27FC236}">
              <a16:creationId xmlns:a16="http://schemas.microsoft.com/office/drawing/2014/main" id="{BE5366DC-16F3-CEB1-13FE-5E44878EB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086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762</xdr:row>
      <xdr:rowOff>0</xdr:rowOff>
    </xdr:from>
    <xdr:to>
      <xdr:col>13</xdr:col>
      <xdr:colOff>0</xdr:colOff>
      <xdr:row>763</xdr:row>
      <xdr:rowOff>148590</xdr:rowOff>
    </xdr:to>
    <xdr:pic>
      <xdr:nvPicPr>
        <xdr:cNvPr id="1178" name="Imagen 1177" descr="Ver detalle">
          <a:hlinkClick xmlns:r="http://schemas.openxmlformats.org/officeDocument/2006/relationships" r:id="rId1124" tooltip="Ver detalle"/>
          <a:extLst>
            <a:ext uri="{FF2B5EF4-FFF2-40B4-BE49-F238E27FC236}">
              <a16:creationId xmlns:a16="http://schemas.microsoft.com/office/drawing/2014/main" id="{0F55A572-0009-A23B-E21C-1D7C83754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2813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761</xdr:row>
      <xdr:rowOff>0</xdr:rowOff>
    </xdr:from>
    <xdr:to>
      <xdr:col>13</xdr:col>
      <xdr:colOff>0</xdr:colOff>
      <xdr:row>762</xdr:row>
      <xdr:rowOff>148590</xdr:rowOff>
    </xdr:to>
    <xdr:pic>
      <xdr:nvPicPr>
        <xdr:cNvPr id="1179" name="Imagen 1178" descr="Ver detalle">
          <a:hlinkClick xmlns:r="http://schemas.openxmlformats.org/officeDocument/2006/relationships" r:id="rId1125" tooltip="Ver detalle"/>
          <a:extLst>
            <a:ext uri="{FF2B5EF4-FFF2-40B4-BE49-F238E27FC236}">
              <a16:creationId xmlns:a16="http://schemas.microsoft.com/office/drawing/2014/main" id="{2700E5A2-AE08-471C-A1CA-96222AEA3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4764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760</xdr:row>
      <xdr:rowOff>0</xdr:rowOff>
    </xdr:from>
    <xdr:to>
      <xdr:col>13</xdr:col>
      <xdr:colOff>0</xdr:colOff>
      <xdr:row>761</xdr:row>
      <xdr:rowOff>148590</xdr:rowOff>
    </xdr:to>
    <xdr:pic>
      <xdr:nvPicPr>
        <xdr:cNvPr id="1180" name="Imagen 1179" descr="Ver detalle">
          <a:hlinkClick xmlns:r="http://schemas.openxmlformats.org/officeDocument/2006/relationships" r:id="rId1126" tooltip="Ver detalle"/>
          <a:extLst>
            <a:ext uri="{FF2B5EF4-FFF2-40B4-BE49-F238E27FC236}">
              <a16:creationId xmlns:a16="http://schemas.microsoft.com/office/drawing/2014/main" id="{5C8AE59F-5647-9663-EA31-C046003A4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6715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759</xdr:row>
      <xdr:rowOff>0</xdr:rowOff>
    </xdr:from>
    <xdr:to>
      <xdr:col>13</xdr:col>
      <xdr:colOff>0</xdr:colOff>
      <xdr:row>760</xdr:row>
      <xdr:rowOff>148590</xdr:rowOff>
    </xdr:to>
    <xdr:pic>
      <xdr:nvPicPr>
        <xdr:cNvPr id="1181" name="Imagen 1180" descr="Ver detalle">
          <a:hlinkClick xmlns:r="http://schemas.openxmlformats.org/officeDocument/2006/relationships" r:id="rId1127" tooltip="Ver detalle"/>
          <a:extLst>
            <a:ext uri="{FF2B5EF4-FFF2-40B4-BE49-F238E27FC236}">
              <a16:creationId xmlns:a16="http://schemas.microsoft.com/office/drawing/2014/main" id="{30C044FD-09E3-8970-E375-F198BA748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866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725</xdr:row>
      <xdr:rowOff>0</xdr:rowOff>
    </xdr:from>
    <xdr:to>
      <xdr:col>13</xdr:col>
      <xdr:colOff>0</xdr:colOff>
      <xdr:row>726</xdr:row>
      <xdr:rowOff>148590</xdr:rowOff>
    </xdr:to>
    <xdr:pic>
      <xdr:nvPicPr>
        <xdr:cNvPr id="1182" name="Imagen 1181" descr="Ver detalle">
          <a:hlinkClick xmlns:r="http://schemas.openxmlformats.org/officeDocument/2006/relationships" r:id="rId1128" tooltip="Ver detalle"/>
          <a:extLst>
            <a:ext uri="{FF2B5EF4-FFF2-40B4-BE49-F238E27FC236}">
              <a16:creationId xmlns:a16="http://schemas.microsoft.com/office/drawing/2014/main" id="{740706C6-C7BD-0B89-168A-693910E71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061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728</xdr:row>
      <xdr:rowOff>0</xdr:rowOff>
    </xdr:from>
    <xdr:to>
      <xdr:col>13</xdr:col>
      <xdr:colOff>0</xdr:colOff>
      <xdr:row>729</xdr:row>
      <xdr:rowOff>148590</xdr:rowOff>
    </xdr:to>
    <xdr:pic>
      <xdr:nvPicPr>
        <xdr:cNvPr id="1183" name="Imagen 1182" descr="Ver detalle">
          <a:hlinkClick xmlns:r="http://schemas.openxmlformats.org/officeDocument/2006/relationships" r:id="rId1129" tooltip="Ver detalle"/>
          <a:extLst>
            <a:ext uri="{FF2B5EF4-FFF2-40B4-BE49-F238E27FC236}">
              <a16:creationId xmlns:a16="http://schemas.microsoft.com/office/drawing/2014/main" id="{6F1467CE-67D3-9283-F2BC-0521BBDE2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1790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723</xdr:row>
      <xdr:rowOff>0</xdr:rowOff>
    </xdr:from>
    <xdr:to>
      <xdr:col>13</xdr:col>
      <xdr:colOff>0</xdr:colOff>
      <xdr:row>724</xdr:row>
      <xdr:rowOff>148590</xdr:rowOff>
    </xdr:to>
    <xdr:pic>
      <xdr:nvPicPr>
        <xdr:cNvPr id="1184" name="Imagen 1183" descr="Ver detalle">
          <a:hlinkClick xmlns:r="http://schemas.openxmlformats.org/officeDocument/2006/relationships" r:id="rId1130" tooltip="Ver detalle"/>
          <a:extLst>
            <a:ext uri="{FF2B5EF4-FFF2-40B4-BE49-F238E27FC236}">
              <a16:creationId xmlns:a16="http://schemas.microsoft.com/office/drawing/2014/main" id="{3DF9FD53-612C-82C9-12D1-2E4AEA2492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270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810</xdr:row>
      <xdr:rowOff>0</xdr:rowOff>
    </xdr:from>
    <xdr:to>
      <xdr:col>13</xdr:col>
      <xdr:colOff>0</xdr:colOff>
      <xdr:row>811</xdr:row>
      <xdr:rowOff>148590</xdr:rowOff>
    </xdr:to>
    <xdr:pic>
      <xdr:nvPicPr>
        <xdr:cNvPr id="1185" name="Imagen 1184" descr="Ver detalle">
          <a:hlinkClick xmlns:r="http://schemas.openxmlformats.org/officeDocument/2006/relationships" r:id="rId1131" tooltip="Ver detalle"/>
          <a:extLst>
            <a:ext uri="{FF2B5EF4-FFF2-40B4-BE49-F238E27FC236}">
              <a16:creationId xmlns:a16="http://schemas.microsoft.com/office/drawing/2014/main" id="{4BA1CAA8-6799-83E7-5097-C9E15C444C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283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807</xdr:row>
      <xdr:rowOff>0</xdr:rowOff>
    </xdr:from>
    <xdr:to>
      <xdr:col>13</xdr:col>
      <xdr:colOff>0</xdr:colOff>
      <xdr:row>808</xdr:row>
      <xdr:rowOff>148590</xdr:rowOff>
    </xdr:to>
    <xdr:pic>
      <xdr:nvPicPr>
        <xdr:cNvPr id="1186" name="Imagen 1185" descr="Ver detalle">
          <a:hlinkClick xmlns:r="http://schemas.openxmlformats.org/officeDocument/2006/relationships" r:id="rId1132" tooltip="Ver detalle"/>
          <a:extLst>
            <a:ext uri="{FF2B5EF4-FFF2-40B4-BE49-F238E27FC236}">
              <a16:creationId xmlns:a16="http://schemas.microsoft.com/office/drawing/2014/main" id="{C2BA8BE6-8FA2-C33A-8BDB-B4630C6AA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4673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805</xdr:row>
      <xdr:rowOff>0</xdr:rowOff>
    </xdr:from>
    <xdr:to>
      <xdr:col>13</xdr:col>
      <xdr:colOff>0</xdr:colOff>
      <xdr:row>806</xdr:row>
      <xdr:rowOff>148590</xdr:rowOff>
    </xdr:to>
    <xdr:pic>
      <xdr:nvPicPr>
        <xdr:cNvPr id="1187" name="Imagen 1186" descr="Ver detalle">
          <a:hlinkClick xmlns:r="http://schemas.openxmlformats.org/officeDocument/2006/relationships" r:id="rId1133" tooltip="Ver detalle"/>
          <a:extLst>
            <a:ext uri="{FF2B5EF4-FFF2-40B4-BE49-F238E27FC236}">
              <a16:creationId xmlns:a16="http://schemas.microsoft.com/office/drawing/2014/main" id="{CF73D9CD-F11A-D39A-1D34-3453617C5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596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808</xdr:row>
      <xdr:rowOff>0</xdr:rowOff>
    </xdr:from>
    <xdr:to>
      <xdr:col>13</xdr:col>
      <xdr:colOff>0</xdr:colOff>
      <xdr:row>809</xdr:row>
      <xdr:rowOff>148590</xdr:rowOff>
    </xdr:to>
    <xdr:pic>
      <xdr:nvPicPr>
        <xdr:cNvPr id="1188" name="Imagen 1187" descr="Ver detalle">
          <a:hlinkClick xmlns:r="http://schemas.openxmlformats.org/officeDocument/2006/relationships" r:id="rId1134" tooltip="Ver detalle"/>
          <a:extLst>
            <a:ext uri="{FF2B5EF4-FFF2-40B4-BE49-F238E27FC236}">
              <a16:creationId xmlns:a16="http://schemas.microsoft.com/office/drawing/2014/main" id="{764312F3-8B8B-1CCD-BB60-16075DE1B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8711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811</xdr:row>
      <xdr:rowOff>0</xdr:rowOff>
    </xdr:from>
    <xdr:to>
      <xdr:col>13</xdr:col>
      <xdr:colOff>0</xdr:colOff>
      <xdr:row>812</xdr:row>
      <xdr:rowOff>148590</xdr:rowOff>
    </xdr:to>
    <xdr:pic>
      <xdr:nvPicPr>
        <xdr:cNvPr id="1189" name="Imagen 1188" descr="Ver detalle">
          <a:hlinkClick xmlns:r="http://schemas.openxmlformats.org/officeDocument/2006/relationships" r:id="rId1135" tooltip="Ver detalle"/>
          <a:extLst>
            <a:ext uri="{FF2B5EF4-FFF2-40B4-BE49-F238E27FC236}">
              <a16:creationId xmlns:a16="http://schemas.microsoft.com/office/drawing/2014/main" id="{25E6AF3C-F913-F221-AEA5-E98960954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999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809</xdr:row>
      <xdr:rowOff>0</xdr:rowOff>
    </xdr:from>
    <xdr:to>
      <xdr:col>13</xdr:col>
      <xdr:colOff>0</xdr:colOff>
      <xdr:row>810</xdr:row>
      <xdr:rowOff>148590</xdr:rowOff>
    </xdr:to>
    <xdr:pic>
      <xdr:nvPicPr>
        <xdr:cNvPr id="1190" name="Imagen 1189" descr="Ver detalle">
          <a:hlinkClick xmlns:r="http://schemas.openxmlformats.org/officeDocument/2006/relationships" r:id="rId1136" tooltip="Ver detalle"/>
          <a:extLst>
            <a:ext uri="{FF2B5EF4-FFF2-40B4-BE49-F238E27FC236}">
              <a16:creationId xmlns:a16="http://schemas.microsoft.com/office/drawing/2014/main" id="{0DD3446C-EE92-0C2C-CF23-3023DEA708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1470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806</xdr:row>
      <xdr:rowOff>0</xdr:rowOff>
    </xdr:from>
    <xdr:to>
      <xdr:col>13</xdr:col>
      <xdr:colOff>0</xdr:colOff>
      <xdr:row>807</xdr:row>
      <xdr:rowOff>148590</xdr:rowOff>
    </xdr:to>
    <xdr:pic>
      <xdr:nvPicPr>
        <xdr:cNvPr id="1191" name="Imagen 1190" descr="Ver detalle">
          <a:hlinkClick xmlns:r="http://schemas.openxmlformats.org/officeDocument/2006/relationships" r:id="rId1137" tooltip="Ver detalle"/>
          <a:extLst>
            <a:ext uri="{FF2B5EF4-FFF2-40B4-BE49-F238E27FC236}">
              <a16:creationId xmlns:a16="http://schemas.microsoft.com/office/drawing/2014/main" id="{7BAA74BB-3F06-50F5-76B2-A53052B61B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2758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814</xdr:row>
      <xdr:rowOff>0</xdr:rowOff>
    </xdr:from>
    <xdr:to>
      <xdr:col>13</xdr:col>
      <xdr:colOff>0</xdr:colOff>
      <xdr:row>815</xdr:row>
      <xdr:rowOff>114300</xdr:rowOff>
    </xdr:to>
    <xdr:pic>
      <xdr:nvPicPr>
        <xdr:cNvPr id="1192" name="Imagen 1191" descr="Ver detalle">
          <a:hlinkClick xmlns:r="http://schemas.openxmlformats.org/officeDocument/2006/relationships" r:id="rId1138" tooltip="Ver detalle"/>
          <a:extLst>
            <a:ext uri="{FF2B5EF4-FFF2-40B4-BE49-F238E27FC236}">
              <a16:creationId xmlns:a16="http://schemas.microsoft.com/office/drawing/2014/main" id="{5E3ED19A-EC66-5A82-E27E-F3EB4FCD6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550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813</xdr:row>
      <xdr:rowOff>0</xdr:rowOff>
    </xdr:from>
    <xdr:to>
      <xdr:col>13</xdr:col>
      <xdr:colOff>0</xdr:colOff>
      <xdr:row>814</xdr:row>
      <xdr:rowOff>148590</xdr:rowOff>
    </xdr:to>
    <xdr:pic>
      <xdr:nvPicPr>
        <xdr:cNvPr id="1193" name="Imagen 1192" descr="Ver detalle">
          <a:hlinkClick xmlns:r="http://schemas.openxmlformats.org/officeDocument/2006/relationships" r:id="rId1139" tooltip="Ver detalle"/>
          <a:extLst>
            <a:ext uri="{FF2B5EF4-FFF2-40B4-BE49-F238E27FC236}">
              <a16:creationId xmlns:a16="http://schemas.microsoft.com/office/drawing/2014/main" id="{3D09B9FE-4489-DB29-3971-BEF90D2EF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825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799</xdr:row>
      <xdr:rowOff>0</xdr:rowOff>
    </xdr:from>
    <xdr:to>
      <xdr:col>13</xdr:col>
      <xdr:colOff>0</xdr:colOff>
      <xdr:row>800</xdr:row>
      <xdr:rowOff>148590</xdr:rowOff>
    </xdr:to>
    <xdr:pic>
      <xdr:nvPicPr>
        <xdr:cNvPr id="1194" name="Imagen 1193" descr="Ver detalle">
          <a:hlinkClick xmlns:r="http://schemas.openxmlformats.org/officeDocument/2006/relationships" r:id="rId1140" tooltip="Ver detalle"/>
          <a:extLst>
            <a:ext uri="{FF2B5EF4-FFF2-40B4-BE49-F238E27FC236}">
              <a16:creationId xmlns:a16="http://schemas.microsoft.com/office/drawing/2014/main" id="{0EB7A0BA-B924-9E89-EC8B-644373925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009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800</xdr:row>
      <xdr:rowOff>0</xdr:rowOff>
    </xdr:from>
    <xdr:to>
      <xdr:col>13</xdr:col>
      <xdr:colOff>0</xdr:colOff>
      <xdr:row>801</xdr:row>
      <xdr:rowOff>148590</xdr:rowOff>
    </xdr:to>
    <xdr:pic>
      <xdr:nvPicPr>
        <xdr:cNvPr id="1195" name="Imagen 1194" descr="Ver detalle">
          <a:hlinkClick xmlns:r="http://schemas.openxmlformats.org/officeDocument/2006/relationships" r:id="rId1141" tooltip="Ver detalle"/>
          <a:extLst>
            <a:ext uri="{FF2B5EF4-FFF2-40B4-BE49-F238E27FC236}">
              <a16:creationId xmlns:a16="http://schemas.microsoft.com/office/drawing/2014/main" id="{654AA946-CBDB-2A86-C0CA-4F67334849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284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812</xdr:row>
      <xdr:rowOff>0</xdr:rowOff>
    </xdr:from>
    <xdr:to>
      <xdr:col>13</xdr:col>
      <xdr:colOff>0</xdr:colOff>
      <xdr:row>813</xdr:row>
      <xdr:rowOff>148590</xdr:rowOff>
    </xdr:to>
    <xdr:pic>
      <xdr:nvPicPr>
        <xdr:cNvPr id="1196" name="Imagen 1195" descr="Ver detalle">
          <a:hlinkClick xmlns:r="http://schemas.openxmlformats.org/officeDocument/2006/relationships" r:id="rId1142" tooltip="Ver detalle"/>
          <a:extLst>
            <a:ext uri="{FF2B5EF4-FFF2-40B4-BE49-F238E27FC236}">
              <a16:creationId xmlns:a16="http://schemas.microsoft.com/office/drawing/2014/main" id="{12782A52-AD6E-C1AD-B363-A929657B9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559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798</xdr:row>
      <xdr:rowOff>0</xdr:rowOff>
    </xdr:from>
    <xdr:to>
      <xdr:col>13</xdr:col>
      <xdr:colOff>0</xdr:colOff>
      <xdr:row>799</xdr:row>
      <xdr:rowOff>148590</xdr:rowOff>
    </xdr:to>
    <xdr:pic>
      <xdr:nvPicPr>
        <xdr:cNvPr id="1197" name="Imagen 1196" descr="Ver detalle">
          <a:hlinkClick xmlns:r="http://schemas.openxmlformats.org/officeDocument/2006/relationships" r:id="rId1143" tooltip="Ver detalle"/>
          <a:extLst>
            <a:ext uri="{FF2B5EF4-FFF2-40B4-BE49-F238E27FC236}">
              <a16:creationId xmlns:a16="http://schemas.microsoft.com/office/drawing/2014/main" id="{4F5FBC62-45FE-1F33-B61B-21F7DDAA7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688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802</xdr:row>
      <xdr:rowOff>0</xdr:rowOff>
    </xdr:from>
    <xdr:to>
      <xdr:col>13</xdr:col>
      <xdr:colOff>0</xdr:colOff>
      <xdr:row>803</xdr:row>
      <xdr:rowOff>148590</xdr:rowOff>
    </xdr:to>
    <xdr:pic>
      <xdr:nvPicPr>
        <xdr:cNvPr id="1198" name="Imagen 1197" descr="Ver detalle">
          <a:hlinkClick xmlns:r="http://schemas.openxmlformats.org/officeDocument/2006/relationships" r:id="rId1144" tooltip="Ver detalle"/>
          <a:extLst>
            <a:ext uri="{FF2B5EF4-FFF2-40B4-BE49-F238E27FC236}">
              <a16:creationId xmlns:a16="http://schemas.microsoft.com/office/drawing/2014/main" id="{4862FF91-5423-9789-E4C2-7A97A8A8D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9636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793</xdr:row>
      <xdr:rowOff>0</xdr:rowOff>
    </xdr:from>
    <xdr:to>
      <xdr:col>13</xdr:col>
      <xdr:colOff>0</xdr:colOff>
      <xdr:row>794</xdr:row>
      <xdr:rowOff>148590</xdr:rowOff>
    </xdr:to>
    <xdr:pic>
      <xdr:nvPicPr>
        <xdr:cNvPr id="1199" name="Imagen 1198" descr="Ver detalle">
          <a:hlinkClick xmlns:r="http://schemas.openxmlformats.org/officeDocument/2006/relationships" r:id="rId1145" tooltip="Ver detalle"/>
          <a:extLst>
            <a:ext uri="{FF2B5EF4-FFF2-40B4-BE49-F238E27FC236}">
              <a16:creationId xmlns:a16="http://schemas.microsoft.com/office/drawing/2014/main" id="{A121E2EB-7401-DA8A-9102-3DDE83E07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0924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801</xdr:row>
      <xdr:rowOff>0</xdr:rowOff>
    </xdr:from>
    <xdr:to>
      <xdr:col>13</xdr:col>
      <xdr:colOff>0</xdr:colOff>
      <xdr:row>802</xdr:row>
      <xdr:rowOff>148590</xdr:rowOff>
    </xdr:to>
    <xdr:pic>
      <xdr:nvPicPr>
        <xdr:cNvPr id="1200" name="Imagen 1199" descr="Ver detalle">
          <a:hlinkClick xmlns:r="http://schemas.openxmlformats.org/officeDocument/2006/relationships" r:id="rId1146" tooltip="Ver detalle"/>
          <a:extLst>
            <a:ext uri="{FF2B5EF4-FFF2-40B4-BE49-F238E27FC236}">
              <a16:creationId xmlns:a16="http://schemas.microsoft.com/office/drawing/2014/main" id="{904A6F3F-CA9E-9EF9-FD93-0D5F45393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367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796</xdr:row>
      <xdr:rowOff>0</xdr:rowOff>
    </xdr:from>
    <xdr:to>
      <xdr:col>13</xdr:col>
      <xdr:colOff>0</xdr:colOff>
      <xdr:row>797</xdr:row>
      <xdr:rowOff>148590</xdr:rowOff>
    </xdr:to>
    <xdr:pic>
      <xdr:nvPicPr>
        <xdr:cNvPr id="1201" name="Imagen 1200" descr="Ver detalle">
          <a:hlinkClick xmlns:r="http://schemas.openxmlformats.org/officeDocument/2006/relationships" r:id="rId1147" tooltip="Ver detalle"/>
          <a:extLst>
            <a:ext uri="{FF2B5EF4-FFF2-40B4-BE49-F238E27FC236}">
              <a16:creationId xmlns:a16="http://schemas.microsoft.com/office/drawing/2014/main" id="{1118C124-E48F-0674-DE69-8CABC7A3F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4962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795</xdr:row>
      <xdr:rowOff>0</xdr:rowOff>
    </xdr:from>
    <xdr:to>
      <xdr:col>13</xdr:col>
      <xdr:colOff>0</xdr:colOff>
      <xdr:row>796</xdr:row>
      <xdr:rowOff>148590</xdr:rowOff>
    </xdr:to>
    <xdr:pic>
      <xdr:nvPicPr>
        <xdr:cNvPr id="1202" name="Imagen 1201" descr="Ver detalle">
          <a:hlinkClick xmlns:r="http://schemas.openxmlformats.org/officeDocument/2006/relationships" r:id="rId1148" tooltip="Ver detalle"/>
          <a:extLst>
            <a:ext uri="{FF2B5EF4-FFF2-40B4-BE49-F238E27FC236}">
              <a16:creationId xmlns:a16="http://schemas.microsoft.com/office/drawing/2014/main" id="{8F221A3A-BF5B-AADD-E3F3-9B20D7938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7713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790</xdr:row>
      <xdr:rowOff>0</xdr:rowOff>
    </xdr:from>
    <xdr:to>
      <xdr:col>13</xdr:col>
      <xdr:colOff>0</xdr:colOff>
      <xdr:row>791</xdr:row>
      <xdr:rowOff>148590</xdr:rowOff>
    </xdr:to>
    <xdr:pic>
      <xdr:nvPicPr>
        <xdr:cNvPr id="1203" name="Imagen 1202" descr="Ver detalle">
          <a:hlinkClick xmlns:r="http://schemas.openxmlformats.org/officeDocument/2006/relationships" r:id="rId1149" tooltip="Ver detalle"/>
          <a:extLst>
            <a:ext uri="{FF2B5EF4-FFF2-40B4-BE49-F238E27FC236}">
              <a16:creationId xmlns:a16="http://schemas.microsoft.com/office/drawing/2014/main" id="{77DE4E6C-2190-66F2-C7DA-80C9C2D07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046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794</xdr:row>
      <xdr:rowOff>0</xdr:rowOff>
    </xdr:from>
    <xdr:to>
      <xdr:col>13</xdr:col>
      <xdr:colOff>0</xdr:colOff>
      <xdr:row>795</xdr:row>
      <xdr:rowOff>148590</xdr:rowOff>
    </xdr:to>
    <xdr:pic>
      <xdr:nvPicPr>
        <xdr:cNvPr id="1204" name="Imagen 1203" descr="Ver detalle">
          <a:hlinkClick xmlns:r="http://schemas.openxmlformats.org/officeDocument/2006/relationships" r:id="rId1150" tooltip="Ver detalle"/>
          <a:extLst>
            <a:ext uri="{FF2B5EF4-FFF2-40B4-BE49-F238E27FC236}">
              <a16:creationId xmlns:a16="http://schemas.microsoft.com/office/drawing/2014/main" id="{4A10D4D1-AC2E-0096-D56F-ADDA49CD9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321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791</xdr:row>
      <xdr:rowOff>0</xdr:rowOff>
    </xdr:from>
    <xdr:to>
      <xdr:col>13</xdr:col>
      <xdr:colOff>0</xdr:colOff>
      <xdr:row>792</xdr:row>
      <xdr:rowOff>148590</xdr:rowOff>
    </xdr:to>
    <xdr:pic>
      <xdr:nvPicPr>
        <xdr:cNvPr id="1205" name="Imagen 1204" descr="Ver detalle">
          <a:hlinkClick xmlns:r="http://schemas.openxmlformats.org/officeDocument/2006/relationships" r:id="rId1151" tooltip="Ver detalle"/>
          <a:extLst>
            <a:ext uri="{FF2B5EF4-FFF2-40B4-BE49-F238E27FC236}">
              <a16:creationId xmlns:a16="http://schemas.microsoft.com/office/drawing/2014/main" id="{D54591E8-DA0E-192C-E197-93D125045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596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792</xdr:row>
      <xdr:rowOff>0</xdr:rowOff>
    </xdr:from>
    <xdr:to>
      <xdr:col>13</xdr:col>
      <xdr:colOff>0</xdr:colOff>
      <xdr:row>793</xdr:row>
      <xdr:rowOff>148590</xdr:rowOff>
    </xdr:to>
    <xdr:pic>
      <xdr:nvPicPr>
        <xdr:cNvPr id="1206" name="Imagen 1205" descr="Ver detalle">
          <a:hlinkClick xmlns:r="http://schemas.openxmlformats.org/officeDocument/2006/relationships" r:id="rId1152" tooltip="Ver detalle"/>
          <a:extLst>
            <a:ext uri="{FF2B5EF4-FFF2-40B4-BE49-F238E27FC236}">
              <a16:creationId xmlns:a16="http://schemas.microsoft.com/office/drawing/2014/main" id="{50BAB2D9-EB92-7D8F-E7B8-3B558640E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8716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786</xdr:row>
      <xdr:rowOff>0</xdr:rowOff>
    </xdr:from>
    <xdr:to>
      <xdr:col>13</xdr:col>
      <xdr:colOff>0</xdr:colOff>
      <xdr:row>787</xdr:row>
      <xdr:rowOff>148590</xdr:rowOff>
    </xdr:to>
    <xdr:pic>
      <xdr:nvPicPr>
        <xdr:cNvPr id="1207" name="Imagen 1206" descr="Ver detalle">
          <a:hlinkClick xmlns:r="http://schemas.openxmlformats.org/officeDocument/2006/relationships" r:id="rId1153" tooltip="Ver detalle"/>
          <a:extLst>
            <a:ext uri="{FF2B5EF4-FFF2-40B4-BE49-F238E27FC236}">
              <a16:creationId xmlns:a16="http://schemas.microsoft.com/office/drawing/2014/main" id="{F352F22A-9909-13DD-BBA5-C8D3F23AD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146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797</xdr:row>
      <xdr:rowOff>0</xdr:rowOff>
    </xdr:from>
    <xdr:to>
      <xdr:col>13</xdr:col>
      <xdr:colOff>0</xdr:colOff>
      <xdr:row>798</xdr:row>
      <xdr:rowOff>148590</xdr:rowOff>
    </xdr:to>
    <xdr:pic>
      <xdr:nvPicPr>
        <xdr:cNvPr id="1208" name="Imagen 1207" descr="Ver detalle">
          <a:hlinkClick xmlns:r="http://schemas.openxmlformats.org/officeDocument/2006/relationships" r:id="rId1154" tooltip="Ver detalle"/>
          <a:extLst>
            <a:ext uri="{FF2B5EF4-FFF2-40B4-BE49-F238E27FC236}">
              <a16:creationId xmlns:a16="http://schemas.microsoft.com/office/drawing/2014/main" id="{969D547A-4778-4D4A-2C98-06AD0A91A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421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820</xdr:row>
      <xdr:rowOff>0</xdr:rowOff>
    </xdr:from>
    <xdr:to>
      <xdr:col>13</xdr:col>
      <xdr:colOff>0</xdr:colOff>
      <xdr:row>821</xdr:row>
      <xdr:rowOff>148590</xdr:rowOff>
    </xdr:to>
    <xdr:pic>
      <xdr:nvPicPr>
        <xdr:cNvPr id="1209" name="Imagen 1208" descr="Ver detalle">
          <a:hlinkClick xmlns:r="http://schemas.openxmlformats.org/officeDocument/2006/relationships" r:id="rId1155" tooltip="Ver detalle"/>
          <a:extLst>
            <a:ext uri="{FF2B5EF4-FFF2-40B4-BE49-F238E27FC236}">
              <a16:creationId xmlns:a16="http://schemas.microsoft.com/office/drawing/2014/main" id="{2E8AA78D-BA86-4860-84C6-2E88949D4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7098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819</xdr:row>
      <xdr:rowOff>0</xdr:rowOff>
    </xdr:from>
    <xdr:to>
      <xdr:col>13</xdr:col>
      <xdr:colOff>0</xdr:colOff>
      <xdr:row>820</xdr:row>
      <xdr:rowOff>148590</xdr:rowOff>
    </xdr:to>
    <xdr:pic>
      <xdr:nvPicPr>
        <xdr:cNvPr id="1210" name="Imagen 1209" descr="Ver detalle">
          <a:hlinkClick xmlns:r="http://schemas.openxmlformats.org/officeDocument/2006/relationships" r:id="rId1156" tooltip="Ver detalle"/>
          <a:extLst>
            <a:ext uri="{FF2B5EF4-FFF2-40B4-BE49-F238E27FC236}">
              <a16:creationId xmlns:a16="http://schemas.microsoft.com/office/drawing/2014/main" id="{B5F04733-B350-166A-AC3F-4C3711976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9049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783</xdr:row>
      <xdr:rowOff>0</xdr:rowOff>
    </xdr:from>
    <xdr:to>
      <xdr:col>13</xdr:col>
      <xdr:colOff>0</xdr:colOff>
      <xdr:row>784</xdr:row>
      <xdr:rowOff>148590</xdr:rowOff>
    </xdr:to>
    <xdr:pic>
      <xdr:nvPicPr>
        <xdr:cNvPr id="1211" name="Imagen 1210" descr="Ver detalle">
          <a:hlinkClick xmlns:r="http://schemas.openxmlformats.org/officeDocument/2006/relationships" r:id="rId1157" tooltip="Ver detalle"/>
          <a:extLst>
            <a:ext uri="{FF2B5EF4-FFF2-40B4-BE49-F238E27FC236}">
              <a16:creationId xmlns:a16="http://schemas.microsoft.com/office/drawing/2014/main" id="{7158D4C8-574B-995B-DE07-04710BF8E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9964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781</xdr:row>
      <xdr:rowOff>0</xdr:rowOff>
    </xdr:from>
    <xdr:to>
      <xdr:col>13</xdr:col>
      <xdr:colOff>0</xdr:colOff>
      <xdr:row>782</xdr:row>
      <xdr:rowOff>148590</xdr:rowOff>
    </xdr:to>
    <xdr:pic>
      <xdr:nvPicPr>
        <xdr:cNvPr id="1212" name="Imagen 1211" descr="Ver detalle">
          <a:hlinkClick xmlns:r="http://schemas.openxmlformats.org/officeDocument/2006/relationships" r:id="rId1158" tooltip="Ver detalle"/>
          <a:extLst>
            <a:ext uri="{FF2B5EF4-FFF2-40B4-BE49-F238E27FC236}">
              <a16:creationId xmlns:a16="http://schemas.microsoft.com/office/drawing/2014/main" id="{32C92AF2-98DF-4B4F-1755-A56B8A7A7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1914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785</xdr:row>
      <xdr:rowOff>0</xdr:rowOff>
    </xdr:from>
    <xdr:to>
      <xdr:col>13</xdr:col>
      <xdr:colOff>0</xdr:colOff>
      <xdr:row>786</xdr:row>
      <xdr:rowOff>148590</xdr:rowOff>
    </xdr:to>
    <xdr:pic>
      <xdr:nvPicPr>
        <xdr:cNvPr id="1213" name="Imagen 1212" descr="Ver detalle">
          <a:hlinkClick xmlns:r="http://schemas.openxmlformats.org/officeDocument/2006/relationships" r:id="rId1159" tooltip="Ver detalle"/>
          <a:extLst>
            <a:ext uri="{FF2B5EF4-FFF2-40B4-BE49-F238E27FC236}">
              <a16:creationId xmlns:a16="http://schemas.microsoft.com/office/drawing/2014/main" id="{BC829E8F-DC25-1E2F-4C9A-3892B76E0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3217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787</xdr:row>
      <xdr:rowOff>0</xdr:rowOff>
    </xdr:from>
    <xdr:to>
      <xdr:col>13</xdr:col>
      <xdr:colOff>0</xdr:colOff>
      <xdr:row>788</xdr:row>
      <xdr:rowOff>148590</xdr:rowOff>
    </xdr:to>
    <xdr:pic>
      <xdr:nvPicPr>
        <xdr:cNvPr id="1214" name="Imagen 1213" descr="Ver detalle">
          <a:hlinkClick xmlns:r="http://schemas.openxmlformats.org/officeDocument/2006/relationships" r:id="rId1160" tooltip="Ver detalle"/>
          <a:extLst>
            <a:ext uri="{FF2B5EF4-FFF2-40B4-BE49-F238E27FC236}">
              <a16:creationId xmlns:a16="http://schemas.microsoft.com/office/drawing/2014/main" id="{7BD49FF8-54B3-3707-17CC-AF6ED7C39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516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788</xdr:row>
      <xdr:rowOff>0</xdr:rowOff>
    </xdr:from>
    <xdr:to>
      <xdr:col>13</xdr:col>
      <xdr:colOff>0</xdr:colOff>
      <xdr:row>789</xdr:row>
      <xdr:rowOff>148590</xdr:rowOff>
    </xdr:to>
    <xdr:pic>
      <xdr:nvPicPr>
        <xdr:cNvPr id="1215" name="Imagen 1214" descr="Ver detalle">
          <a:hlinkClick xmlns:r="http://schemas.openxmlformats.org/officeDocument/2006/relationships" r:id="rId1161" tooltip="Ver detalle"/>
          <a:extLst>
            <a:ext uri="{FF2B5EF4-FFF2-40B4-BE49-F238E27FC236}">
              <a16:creationId xmlns:a16="http://schemas.microsoft.com/office/drawing/2014/main" id="{435F773E-C6D8-8A69-14FE-6B93F3F1C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608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780</xdr:row>
      <xdr:rowOff>0</xdr:rowOff>
    </xdr:from>
    <xdr:to>
      <xdr:col>13</xdr:col>
      <xdr:colOff>0</xdr:colOff>
      <xdr:row>781</xdr:row>
      <xdr:rowOff>148590</xdr:rowOff>
    </xdr:to>
    <xdr:pic>
      <xdr:nvPicPr>
        <xdr:cNvPr id="1216" name="Imagen 1215" descr="Ver detalle">
          <a:hlinkClick xmlns:r="http://schemas.openxmlformats.org/officeDocument/2006/relationships" r:id="rId1162" tooltip="Ver detalle"/>
          <a:extLst>
            <a:ext uri="{FF2B5EF4-FFF2-40B4-BE49-F238E27FC236}">
              <a16:creationId xmlns:a16="http://schemas.microsoft.com/office/drawing/2014/main" id="{57971CA2-7525-FA37-73A3-510145662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699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822</xdr:row>
      <xdr:rowOff>0</xdr:rowOff>
    </xdr:from>
    <xdr:to>
      <xdr:col>13</xdr:col>
      <xdr:colOff>0</xdr:colOff>
      <xdr:row>823</xdr:row>
      <xdr:rowOff>114300</xdr:rowOff>
    </xdr:to>
    <xdr:pic>
      <xdr:nvPicPr>
        <xdr:cNvPr id="1217" name="Imagen 1216" descr="Ver detalle">
          <a:hlinkClick xmlns:r="http://schemas.openxmlformats.org/officeDocument/2006/relationships" r:id="rId1163" tooltip="Ver detalle"/>
          <a:extLst>
            <a:ext uri="{FF2B5EF4-FFF2-40B4-BE49-F238E27FC236}">
              <a16:creationId xmlns:a16="http://schemas.microsoft.com/office/drawing/2014/main" id="{09DAAD36-910D-DC58-DEFB-B1E2D78FE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8948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818</xdr:row>
      <xdr:rowOff>0</xdr:rowOff>
    </xdr:from>
    <xdr:to>
      <xdr:col>13</xdr:col>
      <xdr:colOff>0</xdr:colOff>
      <xdr:row>819</xdr:row>
      <xdr:rowOff>148590</xdr:rowOff>
    </xdr:to>
    <xdr:pic>
      <xdr:nvPicPr>
        <xdr:cNvPr id="1218" name="Imagen 1217" descr="Ver detalle">
          <a:hlinkClick xmlns:r="http://schemas.openxmlformats.org/officeDocument/2006/relationships" r:id="rId1164" tooltip="Ver detalle"/>
          <a:extLst>
            <a:ext uri="{FF2B5EF4-FFF2-40B4-BE49-F238E27FC236}">
              <a16:creationId xmlns:a16="http://schemas.microsoft.com/office/drawing/2014/main" id="{6CA9731C-2EE6-5BBD-CA68-145B59357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0898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821</xdr:row>
      <xdr:rowOff>0</xdr:rowOff>
    </xdr:from>
    <xdr:to>
      <xdr:col>13</xdr:col>
      <xdr:colOff>0</xdr:colOff>
      <xdr:row>822</xdr:row>
      <xdr:rowOff>148590</xdr:rowOff>
    </xdr:to>
    <xdr:pic>
      <xdr:nvPicPr>
        <xdr:cNvPr id="1219" name="Imagen 1218" descr="Ver detalle">
          <a:hlinkClick xmlns:r="http://schemas.openxmlformats.org/officeDocument/2006/relationships" r:id="rId1165" tooltip="Ver detalle"/>
          <a:extLst>
            <a:ext uri="{FF2B5EF4-FFF2-40B4-BE49-F238E27FC236}">
              <a16:creationId xmlns:a16="http://schemas.microsoft.com/office/drawing/2014/main" id="{A1860BC6-28F7-AF16-D15E-4E65C9A1C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284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779</xdr:row>
      <xdr:rowOff>0</xdr:rowOff>
    </xdr:from>
    <xdr:to>
      <xdr:col>13</xdr:col>
      <xdr:colOff>0</xdr:colOff>
      <xdr:row>780</xdr:row>
      <xdr:rowOff>148590</xdr:rowOff>
    </xdr:to>
    <xdr:pic>
      <xdr:nvPicPr>
        <xdr:cNvPr id="1220" name="Imagen 1219" descr="Ver detalle">
          <a:hlinkClick xmlns:r="http://schemas.openxmlformats.org/officeDocument/2006/relationships" r:id="rId1166" tooltip="Ver detalle"/>
          <a:extLst>
            <a:ext uri="{FF2B5EF4-FFF2-40B4-BE49-F238E27FC236}">
              <a16:creationId xmlns:a16="http://schemas.microsoft.com/office/drawing/2014/main" id="{896001B4-9FFC-D1B5-4A07-0760A4555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480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778</xdr:row>
      <xdr:rowOff>0</xdr:rowOff>
    </xdr:from>
    <xdr:to>
      <xdr:col>13</xdr:col>
      <xdr:colOff>0</xdr:colOff>
      <xdr:row>779</xdr:row>
      <xdr:rowOff>148590</xdr:rowOff>
    </xdr:to>
    <xdr:pic>
      <xdr:nvPicPr>
        <xdr:cNvPr id="1221" name="Imagen 1220" descr="Ver detalle">
          <a:hlinkClick xmlns:r="http://schemas.openxmlformats.org/officeDocument/2006/relationships" r:id="rId1167" tooltip="Ver detalle"/>
          <a:extLst>
            <a:ext uri="{FF2B5EF4-FFF2-40B4-BE49-F238E27FC236}">
              <a16:creationId xmlns:a16="http://schemas.microsoft.com/office/drawing/2014/main" id="{54F0C21B-DDB7-AC71-CF1B-113D31389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675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773</xdr:row>
      <xdr:rowOff>0</xdr:rowOff>
    </xdr:from>
    <xdr:to>
      <xdr:col>13</xdr:col>
      <xdr:colOff>0</xdr:colOff>
      <xdr:row>774</xdr:row>
      <xdr:rowOff>148590</xdr:rowOff>
    </xdr:to>
    <xdr:pic>
      <xdr:nvPicPr>
        <xdr:cNvPr id="1222" name="Imagen 1221" descr="Ver detalle">
          <a:hlinkClick xmlns:r="http://schemas.openxmlformats.org/officeDocument/2006/relationships" r:id="rId1091" tooltip="Ver detalle"/>
          <a:extLst>
            <a:ext uri="{FF2B5EF4-FFF2-40B4-BE49-F238E27FC236}">
              <a16:creationId xmlns:a16="http://schemas.microsoft.com/office/drawing/2014/main" id="{FAB9E983-265B-5834-A38A-06EAE78BD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766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784</xdr:row>
      <xdr:rowOff>0</xdr:rowOff>
    </xdr:from>
    <xdr:to>
      <xdr:col>13</xdr:col>
      <xdr:colOff>0</xdr:colOff>
      <xdr:row>785</xdr:row>
      <xdr:rowOff>148590</xdr:rowOff>
    </xdr:to>
    <xdr:pic>
      <xdr:nvPicPr>
        <xdr:cNvPr id="1223" name="Imagen 1222" descr="Ver detalle">
          <a:hlinkClick xmlns:r="http://schemas.openxmlformats.org/officeDocument/2006/relationships" r:id="rId1168" tooltip="Ver detalle"/>
          <a:extLst>
            <a:ext uri="{FF2B5EF4-FFF2-40B4-BE49-F238E27FC236}">
              <a16:creationId xmlns:a16="http://schemas.microsoft.com/office/drawing/2014/main" id="{A28CF2BF-20A1-DC0E-4349-53DBE7A94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857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782</xdr:row>
      <xdr:rowOff>0</xdr:rowOff>
    </xdr:from>
    <xdr:to>
      <xdr:col>13</xdr:col>
      <xdr:colOff>0</xdr:colOff>
      <xdr:row>783</xdr:row>
      <xdr:rowOff>148590</xdr:rowOff>
    </xdr:to>
    <xdr:pic>
      <xdr:nvPicPr>
        <xdr:cNvPr id="1224" name="Imagen 1223" descr="Ver detalle">
          <a:hlinkClick xmlns:r="http://schemas.openxmlformats.org/officeDocument/2006/relationships" r:id="rId1169" tooltip="Ver detalle"/>
          <a:extLst>
            <a:ext uri="{FF2B5EF4-FFF2-40B4-BE49-F238E27FC236}">
              <a16:creationId xmlns:a16="http://schemas.microsoft.com/office/drawing/2014/main" id="{047B757A-B813-5C9A-1EAD-38E397CAC4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988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772</xdr:row>
      <xdr:rowOff>0</xdr:rowOff>
    </xdr:from>
    <xdr:to>
      <xdr:col>13</xdr:col>
      <xdr:colOff>0</xdr:colOff>
      <xdr:row>773</xdr:row>
      <xdr:rowOff>148590</xdr:rowOff>
    </xdr:to>
    <xdr:pic>
      <xdr:nvPicPr>
        <xdr:cNvPr id="1225" name="Imagen 1224" descr="Ver detalle">
          <a:hlinkClick xmlns:r="http://schemas.openxmlformats.org/officeDocument/2006/relationships" r:id="rId1093" tooltip="Ver detalle"/>
          <a:extLst>
            <a:ext uri="{FF2B5EF4-FFF2-40B4-BE49-F238E27FC236}">
              <a16:creationId xmlns:a16="http://schemas.microsoft.com/office/drawing/2014/main" id="{E3A24951-F243-E391-8189-07E3DAD87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2183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774</xdr:row>
      <xdr:rowOff>0</xdr:rowOff>
    </xdr:from>
    <xdr:to>
      <xdr:col>13</xdr:col>
      <xdr:colOff>0</xdr:colOff>
      <xdr:row>775</xdr:row>
      <xdr:rowOff>148590</xdr:rowOff>
    </xdr:to>
    <xdr:pic>
      <xdr:nvPicPr>
        <xdr:cNvPr id="1226" name="Imagen 1225" descr="Ver detalle">
          <a:hlinkClick xmlns:r="http://schemas.openxmlformats.org/officeDocument/2006/relationships" r:id="rId1094" tooltip="Ver detalle"/>
          <a:extLst>
            <a:ext uri="{FF2B5EF4-FFF2-40B4-BE49-F238E27FC236}">
              <a16:creationId xmlns:a16="http://schemas.microsoft.com/office/drawing/2014/main" id="{1B96656F-891C-C96D-D76A-85BFF67CC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2378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776</xdr:row>
      <xdr:rowOff>0</xdr:rowOff>
    </xdr:from>
    <xdr:to>
      <xdr:col>13</xdr:col>
      <xdr:colOff>0</xdr:colOff>
      <xdr:row>777</xdr:row>
      <xdr:rowOff>148590</xdr:rowOff>
    </xdr:to>
    <xdr:pic>
      <xdr:nvPicPr>
        <xdr:cNvPr id="1227" name="Imagen 1226" descr="Ver detalle">
          <a:hlinkClick xmlns:r="http://schemas.openxmlformats.org/officeDocument/2006/relationships" r:id="rId1170" tooltip="Ver detalle"/>
          <a:extLst>
            <a:ext uri="{FF2B5EF4-FFF2-40B4-BE49-F238E27FC236}">
              <a16:creationId xmlns:a16="http://schemas.microsoft.com/office/drawing/2014/main" id="{4EF914E3-19AB-81EB-19EE-5FFE2FAD2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2573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775</xdr:row>
      <xdr:rowOff>0</xdr:rowOff>
    </xdr:from>
    <xdr:to>
      <xdr:col>13</xdr:col>
      <xdr:colOff>0</xdr:colOff>
      <xdr:row>776</xdr:row>
      <xdr:rowOff>148590</xdr:rowOff>
    </xdr:to>
    <xdr:pic>
      <xdr:nvPicPr>
        <xdr:cNvPr id="1228" name="Imagen 1227" descr="Ver detalle">
          <a:hlinkClick xmlns:r="http://schemas.openxmlformats.org/officeDocument/2006/relationships" r:id="rId1171" tooltip="Ver detalle"/>
          <a:extLst>
            <a:ext uri="{FF2B5EF4-FFF2-40B4-BE49-F238E27FC236}">
              <a16:creationId xmlns:a16="http://schemas.microsoft.com/office/drawing/2014/main" id="{71FD97A2-8504-BDC4-7A0B-B22D98563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2768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789</xdr:row>
      <xdr:rowOff>0</xdr:rowOff>
    </xdr:from>
    <xdr:to>
      <xdr:col>13</xdr:col>
      <xdr:colOff>0</xdr:colOff>
      <xdr:row>790</xdr:row>
      <xdr:rowOff>148590</xdr:rowOff>
    </xdr:to>
    <xdr:pic>
      <xdr:nvPicPr>
        <xdr:cNvPr id="1229" name="Imagen 1228" descr="Ver detalle">
          <a:hlinkClick xmlns:r="http://schemas.openxmlformats.org/officeDocument/2006/relationships" r:id="rId1172" tooltip="Ver detalle"/>
          <a:extLst>
            <a:ext uri="{FF2B5EF4-FFF2-40B4-BE49-F238E27FC236}">
              <a16:creationId xmlns:a16="http://schemas.microsoft.com/office/drawing/2014/main" id="{63D16BC1-E6E8-EA81-68CC-35E6D70F5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2860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771</xdr:row>
      <xdr:rowOff>0</xdr:rowOff>
    </xdr:from>
    <xdr:to>
      <xdr:col>13</xdr:col>
      <xdr:colOff>0</xdr:colOff>
      <xdr:row>772</xdr:row>
      <xdr:rowOff>148590</xdr:rowOff>
    </xdr:to>
    <xdr:pic>
      <xdr:nvPicPr>
        <xdr:cNvPr id="1230" name="Imagen 1229" descr="Ver detalle">
          <a:hlinkClick xmlns:r="http://schemas.openxmlformats.org/officeDocument/2006/relationships" r:id="rId1099" tooltip="Ver detalle"/>
          <a:extLst>
            <a:ext uri="{FF2B5EF4-FFF2-40B4-BE49-F238E27FC236}">
              <a16:creationId xmlns:a16="http://schemas.microsoft.com/office/drawing/2014/main" id="{B0E02210-5ECD-0985-9EC3-2CB91036A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299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777</xdr:row>
      <xdr:rowOff>0</xdr:rowOff>
    </xdr:from>
    <xdr:to>
      <xdr:col>13</xdr:col>
      <xdr:colOff>0</xdr:colOff>
      <xdr:row>778</xdr:row>
      <xdr:rowOff>148590</xdr:rowOff>
    </xdr:to>
    <xdr:pic>
      <xdr:nvPicPr>
        <xdr:cNvPr id="1231" name="Imagen 1230" descr="Ver detalle">
          <a:hlinkClick xmlns:r="http://schemas.openxmlformats.org/officeDocument/2006/relationships" r:id="rId1173" tooltip="Ver detalle"/>
          <a:extLst>
            <a:ext uri="{FF2B5EF4-FFF2-40B4-BE49-F238E27FC236}">
              <a16:creationId xmlns:a16="http://schemas.microsoft.com/office/drawing/2014/main" id="{1A2DC26B-EEFE-2394-7E82-6D12CD91F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31853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804</xdr:row>
      <xdr:rowOff>0</xdr:rowOff>
    </xdr:from>
    <xdr:to>
      <xdr:col>13</xdr:col>
      <xdr:colOff>0</xdr:colOff>
      <xdr:row>805</xdr:row>
      <xdr:rowOff>148590</xdr:rowOff>
    </xdr:to>
    <xdr:pic>
      <xdr:nvPicPr>
        <xdr:cNvPr id="1232" name="Imagen 1231" descr="Ver detalle">
          <a:hlinkClick xmlns:r="http://schemas.openxmlformats.org/officeDocument/2006/relationships" r:id="rId1174" tooltip="Ver detalle"/>
          <a:extLst>
            <a:ext uri="{FF2B5EF4-FFF2-40B4-BE49-F238E27FC236}">
              <a16:creationId xmlns:a16="http://schemas.microsoft.com/office/drawing/2014/main" id="{562255C6-E6FB-114B-B46D-78BE092EF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3380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874</xdr:row>
      <xdr:rowOff>0</xdr:rowOff>
    </xdr:from>
    <xdr:to>
      <xdr:col>13</xdr:col>
      <xdr:colOff>0</xdr:colOff>
      <xdr:row>875</xdr:row>
      <xdr:rowOff>114300</xdr:rowOff>
    </xdr:to>
    <xdr:pic>
      <xdr:nvPicPr>
        <xdr:cNvPr id="1233" name="Imagen 1232" descr="Ver detalle">
          <a:hlinkClick xmlns:r="http://schemas.openxmlformats.org/officeDocument/2006/relationships" r:id="rId1175" tooltip="Ver detalle"/>
          <a:extLst>
            <a:ext uri="{FF2B5EF4-FFF2-40B4-BE49-F238E27FC236}">
              <a16:creationId xmlns:a16="http://schemas.microsoft.com/office/drawing/2014/main" id="{447126F2-352C-5BB4-87F2-B05CB7E1C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6023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873</xdr:row>
      <xdr:rowOff>0</xdr:rowOff>
    </xdr:from>
    <xdr:to>
      <xdr:col>13</xdr:col>
      <xdr:colOff>0</xdr:colOff>
      <xdr:row>874</xdr:row>
      <xdr:rowOff>148590</xdr:rowOff>
    </xdr:to>
    <xdr:pic>
      <xdr:nvPicPr>
        <xdr:cNvPr id="1234" name="Imagen 1233" descr="Ver detalle">
          <a:hlinkClick xmlns:r="http://schemas.openxmlformats.org/officeDocument/2006/relationships" r:id="rId1176" tooltip="Ver detalle"/>
          <a:extLst>
            <a:ext uri="{FF2B5EF4-FFF2-40B4-BE49-F238E27FC236}">
              <a16:creationId xmlns:a16="http://schemas.microsoft.com/office/drawing/2014/main" id="{590061FC-1F7D-363D-DEA8-D3EB97A13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6005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871</xdr:row>
      <xdr:rowOff>0</xdr:rowOff>
    </xdr:from>
    <xdr:to>
      <xdr:col>13</xdr:col>
      <xdr:colOff>0</xdr:colOff>
      <xdr:row>872</xdr:row>
      <xdr:rowOff>148590</xdr:rowOff>
    </xdr:to>
    <xdr:pic>
      <xdr:nvPicPr>
        <xdr:cNvPr id="1235" name="Imagen 1234" descr="Ver detalle">
          <a:hlinkClick xmlns:r="http://schemas.openxmlformats.org/officeDocument/2006/relationships" r:id="rId1177" tooltip="Ver detalle"/>
          <a:extLst>
            <a:ext uri="{FF2B5EF4-FFF2-40B4-BE49-F238E27FC236}">
              <a16:creationId xmlns:a16="http://schemas.microsoft.com/office/drawing/2014/main" id="{BF0531F6-2F4F-6F22-A623-A43FF250C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968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867</xdr:row>
      <xdr:rowOff>0</xdr:rowOff>
    </xdr:from>
    <xdr:to>
      <xdr:col>13</xdr:col>
      <xdr:colOff>0</xdr:colOff>
      <xdr:row>868</xdr:row>
      <xdr:rowOff>148590</xdr:rowOff>
    </xdr:to>
    <xdr:pic>
      <xdr:nvPicPr>
        <xdr:cNvPr id="1236" name="Imagen 1235" descr="Ver detalle">
          <a:hlinkClick xmlns:r="http://schemas.openxmlformats.org/officeDocument/2006/relationships" r:id="rId1178" tooltip="Ver detalle"/>
          <a:extLst>
            <a:ext uri="{FF2B5EF4-FFF2-40B4-BE49-F238E27FC236}">
              <a16:creationId xmlns:a16="http://schemas.microsoft.com/office/drawing/2014/main" id="{1E282B91-A07C-9BE8-34FD-EF7103B3D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895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872</xdr:row>
      <xdr:rowOff>0</xdr:rowOff>
    </xdr:from>
    <xdr:to>
      <xdr:col>13</xdr:col>
      <xdr:colOff>0</xdr:colOff>
      <xdr:row>873</xdr:row>
      <xdr:rowOff>148590</xdr:rowOff>
    </xdr:to>
    <xdr:pic>
      <xdr:nvPicPr>
        <xdr:cNvPr id="1237" name="Imagen 1236" descr="Ver detalle">
          <a:hlinkClick xmlns:r="http://schemas.openxmlformats.org/officeDocument/2006/relationships" r:id="rId1179" tooltip="Ver detalle"/>
          <a:extLst>
            <a:ext uri="{FF2B5EF4-FFF2-40B4-BE49-F238E27FC236}">
              <a16:creationId xmlns:a16="http://schemas.microsoft.com/office/drawing/2014/main" id="{70594373-FEF2-FD85-7760-CB78FB8CC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986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865</xdr:row>
      <xdr:rowOff>0</xdr:rowOff>
    </xdr:from>
    <xdr:to>
      <xdr:col>13</xdr:col>
      <xdr:colOff>0</xdr:colOff>
      <xdr:row>866</xdr:row>
      <xdr:rowOff>148590</xdr:rowOff>
    </xdr:to>
    <xdr:pic>
      <xdr:nvPicPr>
        <xdr:cNvPr id="1238" name="Imagen 1237" descr="Ver detalle">
          <a:hlinkClick xmlns:r="http://schemas.openxmlformats.org/officeDocument/2006/relationships" r:id="rId1180" tooltip="Ver detalle"/>
          <a:extLst>
            <a:ext uri="{FF2B5EF4-FFF2-40B4-BE49-F238E27FC236}">
              <a16:creationId xmlns:a16="http://schemas.microsoft.com/office/drawing/2014/main" id="{97FFEF69-DE1B-B778-C2E0-052A1BBAD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858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862</xdr:row>
      <xdr:rowOff>0</xdr:rowOff>
    </xdr:from>
    <xdr:to>
      <xdr:col>13</xdr:col>
      <xdr:colOff>0</xdr:colOff>
      <xdr:row>863</xdr:row>
      <xdr:rowOff>148590</xdr:rowOff>
    </xdr:to>
    <xdr:pic>
      <xdr:nvPicPr>
        <xdr:cNvPr id="1239" name="Imagen 1238" descr="Ver detalle">
          <a:hlinkClick xmlns:r="http://schemas.openxmlformats.org/officeDocument/2006/relationships" r:id="rId1181" tooltip="Ver detalle"/>
          <a:extLst>
            <a:ext uri="{FF2B5EF4-FFF2-40B4-BE49-F238E27FC236}">
              <a16:creationId xmlns:a16="http://schemas.microsoft.com/office/drawing/2014/main" id="{B9A08064-1060-121F-F01F-41FB613F4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803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866</xdr:row>
      <xdr:rowOff>0</xdr:rowOff>
    </xdr:from>
    <xdr:to>
      <xdr:col>13</xdr:col>
      <xdr:colOff>0</xdr:colOff>
      <xdr:row>867</xdr:row>
      <xdr:rowOff>148590</xdr:rowOff>
    </xdr:to>
    <xdr:pic>
      <xdr:nvPicPr>
        <xdr:cNvPr id="1240" name="Imagen 1239" descr="Ver detalle">
          <a:hlinkClick xmlns:r="http://schemas.openxmlformats.org/officeDocument/2006/relationships" r:id="rId1182" tooltip="Ver detalle"/>
          <a:extLst>
            <a:ext uri="{FF2B5EF4-FFF2-40B4-BE49-F238E27FC236}">
              <a16:creationId xmlns:a16="http://schemas.microsoft.com/office/drawing/2014/main" id="{239715AA-B770-BEE1-A13D-760E8ED0A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877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861</xdr:row>
      <xdr:rowOff>0</xdr:rowOff>
    </xdr:from>
    <xdr:to>
      <xdr:col>13</xdr:col>
      <xdr:colOff>0</xdr:colOff>
      <xdr:row>862</xdr:row>
      <xdr:rowOff>148590</xdr:rowOff>
    </xdr:to>
    <xdr:pic>
      <xdr:nvPicPr>
        <xdr:cNvPr id="1241" name="Imagen 1240" descr="Ver detalle">
          <a:hlinkClick xmlns:r="http://schemas.openxmlformats.org/officeDocument/2006/relationships" r:id="rId1183" tooltip="Ver detalle"/>
          <a:extLst>
            <a:ext uri="{FF2B5EF4-FFF2-40B4-BE49-F238E27FC236}">
              <a16:creationId xmlns:a16="http://schemas.microsoft.com/office/drawing/2014/main" id="{8057C3C1-19BD-769E-4C5E-AE9767A755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785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868</xdr:row>
      <xdr:rowOff>0</xdr:rowOff>
    </xdr:from>
    <xdr:to>
      <xdr:col>13</xdr:col>
      <xdr:colOff>0</xdr:colOff>
      <xdr:row>869</xdr:row>
      <xdr:rowOff>148590</xdr:rowOff>
    </xdr:to>
    <xdr:pic>
      <xdr:nvPicPr>
        <xdr:cNvPr id="1242" name="Imagen 1241" descr="Ver detalle">
          <a:hlinkClick xmlns:r="http://schemas.openxmlformats.org/officeDocument/2006/relationships" r:id="rId1184" tooltip="Ver detalle"/>
          <a:extLst>
            <a:ext uri="{FF2B5EF4-FFF2-40B4-BE49-F238E27FC236}">
              <a16:creationId xmlns:a16="http://schemas.microsoft.com/office/drawing/2014/main" id="{3C4167EA-D11E-5D69-3703-96DCA9060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913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859</xdr:row>
      <xdr:rowOff>0</xdr:rowOff>
    </xdr:from>
    <xdr:to>
      <xdr:col>13</xdr:col>
      <xdr:colOff>0</xdr:colOff>
      <xdr:row>860</xdr:row>
      <xdr:rowOff>148590</xdr:rowOff>
    </xdr:to>
    <xdr:pic>
      <xdr:nvPicPr>
        <xdr:cNvPr id="1243" name="Imagen 1242" descr="Ver detalle">
          <a:hlinkClick xmlns:r="http://schemas.openxmlformats.org/officeDocument/2006/relationships" r:id="rId1185" tooltip="Ver detalle"/>
          <a:extLst>
            <a:ext uri="{FF2B5EF4-FFF2-40B4-BE49-F238E27FC236}">
              <a16:creationId xmlns:a16="http://schemas.microsoft.com/office/drawing/2014/main" id="{F589DEE4-E5E0-E8C5-751F-0A333FE0A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749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869</xdr:row>
      <xdr:rowOff>0</xdr:rowOff>
    </xdr:from>
    <xdr:to>
      <xdr:col>13</xdr:col>
      <xdr:colOff>0</xdr:colOff>
      <xdr:row>870</xdr:row>
      <xdr:rowOff>148590</xdr:rowOff>
    </xdr:to>
    <xdr:pic>
      <xdr:nvPicPr>
        <xdr:cNvPr id="1244" name="Imagen 1243" descr="Ver detalle">
          <a:hlinkClick xmlns:r="http://schemas.openxmlformats.org/officeDocument/2006/relationships" r:id="rId1186" tooltip="Ver detalle"/>
          <a:extLst>
            <a:ext uri="{FF2B5EF4-FFF2-40B4-BE49-F238E27FC236}">
              <a16:creationId xmlns:a16="http://schemas.microsoft.com/office/drawing/2014/main" id="{A6514DAB-9145-FF2F-5EB3-FF2779E5E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931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855</xdr:row>
      <xdr:rowOff>0</xdr:rowOff>
    </xdr:from>
    <xdr:to>
      <xdr:col>13</xdr:col>
      <xdr:colOff>0</xdr:colOff>
      <xdr:row>856</xdr:row>
      <xdr:rowOff>148590</xdr:rowOff>
    </xdr:to>
    <xdr:pic>
      <xdr:nvPicPr>
        <xdr:cNvPr id="1245" name="Imagen 1244" descr="Ver detalle">
          <a:hlinkClick xmlns:r="http://schemas.openxmlformats.org/officeDocument/2006/relationships" r:id="rId1187" tooltip="Ver detalle"/>
          <a:extLst>
            <a:ext uri="{FF2B5EF4-FFF2-40B4-BE49-F238E27FC236}">
              <a16:creationId xmlns:a16="http://schemas.microsoft.com/office/drawing/2014/main" id="{8EA24D62-1232-22DF-390F-9CDCB6788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675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863</xdr:row>
      <xdr:rowOff>0</xdr:rowOff>
    </xdr:from>
    <xdr:to>
      <xdr:col>13</xdr:col>
      <xdr:colOff>0</xdr:colOff>
      <xdr:row>864</xdr:row>
      <xdr:rowOff>148590</xdr:rowOff>
    </xdr:to>
    <xdr:pic>
      <xdr:nvPicPr>
        <xdr:cNvPr id="1246" name="Imagen 1245" descr="Ver detalle">
          <a:hlinkClick xmlns:r="http://schemas.openxmlformats.org/officeDocument/2006/relationships" r:id="rId1188" tooltip="Ver detalle"/>
          <a:extLst>
            <a:ext uri="{FF2B5EF4-FFF2-40B4-BE49-F238E27FC236}">
              <a16:creationId xmlns:a16="http://schemas.microsoft.com/office/drawing/2014/main" id="{40DBD94A-5A38-3A46-BB8F-5C6E0D2F0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822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864</xdr:row>
      <xdr:rowOff>0</xdr:rowOff>
    </xdr:from>
    <xdr:to>
      <xdr:col>13</xdr:col>
      <xdr:colOff>0</xdr:colOff>
      <xdr:row>865</xdr:row>
      <xdr:rowOff>148590</xdr:rowOff>
    </xdr:to>
    <xdr:pic>
      <xdr:nvPicPr>
        <xdr:cNvPr id="1247" name="Imagen 1246" descr="Ver detalle">
          <a:hlinkClick xmlns:r="http://schemas.openxmlformats.org/officeDocument/2006/relationships" r:id="rId1189" tooltip="Ver detalle"/>
          <a:extLst>
            <a:ext uri="{FF2B5EF4-FFF2-40B4-BE49-F238E27FC236}">
              <a16:creationId xmlns:a16="http://schemas.microsoft.com/office/drawing/2014/main" id="{EB80E6BB-7435-D4E4-0683-F3604D4A8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840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856</xdr:row>
      <xdr:rowOff>0</xdr:rowOff>
    </xdr:from>
    <xdr:to>
      <xdr:col>13</xdr:col>
      <xdr:colOff>0</xdr:colOff>
      <xdr:row>857</xdr:row>
      <xdr:rowOff>148590</xdr:rowOff>
    </xdr:to>
    <xdr:pic>
      <xdr:nvPicPr>
        <xdr:cNvPr id="1248" name="Imagen 1247" descr="Ver detalle">
          <a:hlinkClick xmlns:r="http://schemas.openxmlformats.org/officeDocument/2006/relationships" r:id="rId1190" tooltip="Ver detalle"/>
          <a:extLst>
            <a:ext uri="{FF2B5EF4-FFF2-40B4-BE49-F238E27FC236}">
              <a16:creationId xmlns:a16="http://schemas.microsoft.com/office/drawing/2014/main" id="{C322A718-A2D7-3056-72A7-DC4CEB163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694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858</xdr:row>
      <xdr:rowOff>0</xdr:rowOff>
    </xdr:from>
    <xdr:to>
      <xdr:col>13</xdr:col>
      <xdr:colOff>0</xdr:colOff>
      <xdr:row>859</xdr:row>
      <xdr:rowOff>148590</xdr:rowOff>
    </xdr:to>
    <xdr:pic>
      <xdr:nvPicPr>
        <xdr:cNvPr id="1249" name="Imagen 1248" descr="Ver detalle">
          <a:hlinkClick xmlns:r="http://schemas.openxmlformats.org/officeDocument/2006/relationships" r:id="rId1191" tooltip="Ver detalle"/>
          <a:extLst>
            <a:ext uri="{FF2B5EF4-FFF2-40B4-BE49-F238E27FC236}">
              <a16:creationId xmlns:a16="http://schemas.microsoft.com/office/drawing/2014/main" id="{D296539B-4448-B67D-F4AD-B909C71D7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730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860</xdr:row>
      <xdr:rowOff>0</xdr:rowOff>
    </xdr:from>
    <xdr:to>
      <xdr:col>13</xdr:col>
      <xdr:colOff>0</xdr:colOff>
      <xdr:row>861</xdr:row>
      <xdr:rowOff>148590</xdr:rowOff>
    </xdr:to>
    <xdr:pic>
      <xdr:nvPicPr>
        <xdr:cNvPr id="1250" name="Imagen 1249" descr="Ver detalle">
          <a:hlinkClick xmlns:r="http://schemas.openxmlformats.org/officeDocument/2006/relationships" r:id="rId1192" tooltip="Ver detalle"/>
          <a:extLst>
            <a:ext uri="{FF2B5EF4-FFF2-40B4-BE49-F238E27FC236}">
              <a16:creationId xmlns:a16="http://schemas.microsoft.com/office/drawing/2014/main" id="{0D4C482F-EAE7-3A09-FA26-655202436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7673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844</xdr:row>
      <xdr:rowOff>0</xdr:rowOff>
    </xdr:from>
    <xdr:to>
      <xdr:col>13</xdr:col>
      <xdr:colOff>0</xdr:colOff>
      <xdr:row>845</xdr:row>
      <xdr:rowOff>148590</xdr:rowOff>
    </xdr:to>
    <xdr:pic>
      <xdr:nvPicPr>
        <xdr:cNvPr id="1251" name="Imagen 1250" descr="Ver detalle">
          <a:hlinkClick xmlns:r="http://schemas.openxmlformats.org/officeDocument/2006/relationships" r:id="rId1193" tooltip="Ver detalle"/>
          <a:extLst>
            <a:ext uri="{FF2B5EF4-FFF2-40B4-BE49-F238E27FC236}">
              <a16:creationId xmlns:a16="http://schemas.microsoft.com/office/drawing/2014/main" id="{39C86EFA-30C4-C0A7-D6AA-3314E22DF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474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845</xdr:row>
      <xdr:rowOff>0</xdr:rowOff>
    </xdr:from>
    <xdr:to>
      <xdr:col>13</xdr:col>
      <xdr:colOff>0</xdr:colOff>
      <xdr:row>846</xdr:row>
      <xdr:rowOff>148590</xdr:rowOff>
    </xdr:to>
    <xdr:pic>
      <xdr:nvPicPr>
        <xdr:cNvPr id="1252" name="Imagen 1251" descr="Ver detalle">
          <a:hlinkClick xmlns:r="http://schemas.openxmlformats.org/officeDocument/2006/relationships" r:id="rId1194" tooltip="Ver detalle"/>
          <a:extLst>
            <a:ext uri="{FF2B5EF4-FFF2-40B4-BE49-F238E27FC236}">
              <a16:creationId xmlns:a16="http://schemas.microsoft.com/office/drawing/2014/main" id="{9CDD8778-C53B-278B-7663-9A1644CFA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492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846</xdr:row>
      <xdr:rowOff>0</xdr:rowOff>
    </xdr:from>
    <xdr:to>
      <xdr:col>13</xdr:col>
      <xdr:colOff>0</xdr:colOff>
      <xdr:row>847</xdr:row>
      <xdr:rowOff>148590</xdr:rowOff>
    </xdr:to>
    <xdr:pic>
      <xdr:nvPicPr>
        <xdr:cNvPr id="1253" name="Imagen 1252" descr="Ver detalle">
          <a:hlinkClick xmlns:r="http://schemas.openxmlformats.org/officeDocument/2006/relationships" r:id="rId1195" tooltip="Ver detalle"/>
          <a:extLst>
            <a:ext uri="{FF2B5EF4-FFF2-40B4-BE49-F238E27FC236}">
              <a16:creationId xmlns:a16="http://schemas.microsoft.com/office/drawing/2014/main" id="{38C78B83-6637-063C-BF84-93678D263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511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847</xdr:row>
      <xdr:rowOff>0</xdr:rowOff>
    </xdr:from>
    <xdr:to>
      <xdr:col>13</xdr:col>
      <xdr:colOff>0</xdr:colOff>
      <xdr:row>848</xdr:row>
      <xdr:rowOff>148590</xdr:rowOff>
    </xdr:to>
    <xdr:pic>
      <xdr:nvPicPr>
        <xdr:cNvPr id="1254" name="Imagen 1253" descr="Ver detalle">
          <a:hlinkClick xmlns:r="http://schemas.openxmlformats.org/officeDocument/2006/relationships" r:id="rId1196" tooltip="Ver detalle"/>
          <a:extLst>
            <a:ext uri="{FF2B5EF4-FFF2-40B4-BE49-F238E27FC236}">
              <a16:creationId xmlns:a16="http://schemas.microsoft.com/office/drawing/2014/main" id="{1BB8FD9A-661E-9D9E-DD2B-A7FABA666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529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848</xdr:row>
      <xdr:rowOff>0</xdr:rowOff>
    </xdr:from>
    <xdr:to>
      <xdr:col>13</xdr:col>
      <xdr:colOff>0</xdr:colOff>
      <xdr:row>849</xdr:row>
      <xdr:rowOff>148590</xdr:rowOff>
    </xdr:to>
    <xdr:pic>
      <xdr:nvPicPr>
        <xdr:cNvPr id="1255" name="Imagen 1254" descr="Ver detalle">
          <a:hlinkClick xmlns:r="http://schemas.openxmlformats.org/officeDocument/2006/relationships" r:id="rId1197" tooltip="Ver detalle"/>
          <a:extLst>
            <a:ext uri="{FF2B5EF4-FFF2-40B4-BE49-F238E27FC236}">
              <a16:creationId xmlns:a16="http://schemas.microsoft.com/office/drawing/2014/main" id="{C284F783-B4E8-F982-1936-6F6FA1C28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5478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849</xdr:row>
      <xdr:rowOff>0</xdr:rowOff>
    </xdr:from>
    <xdr:to>
      <xdr:col>13</xdr:col>
      <xdr:colOff>0</xdr:colOff>
      <xdr:row>850</xdr:row>
      <xdr:rowOff>148590</xdr:rowOff>
    </xdr:to>
    <xdr:pic>
      <xdr:nvPicPr>
        <xdr:cNvPr id="1256" name="Imagen 1255" descr="Ver detalle">
          <a:hlinkClick xmlns:r="http://schemas.openxmlformats.org/officeDocument/2006/relationships" r:id="rId1198" tooltip="Ver detalle"/>
          <a:extLst>
            <a:ext uri="{FF2B5EF4-FFF2-40B4-BE49-F238E27FC236}">
              <a16:creationId xmlns:a16="http://schemas.microsoft.com/office/drawing/2014/main" id="{C1541224-54D6-5D57-13FF-A3FBB99D4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5661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850</xdr:row>
      <xdr:rowOff>0</xdr:rowOff>
    </xdr:from>
    <xdr:to>
      <xdr:col>13</xdr:col>
      <xdr:colOff>0</xdr:colOff>
      <xdr:row>851</xdr:row>
      <xdr:rowOff>148590</xdr:rowOff>
    </xdr:to>
    <xdr:pic>
      <xdr:nvPicPr>
        <xdr:cNvPr id="1257" name="Imagen 1256" descr="Ver detalle">
          <a:hlinkClick xmlns:r="http://schemas.openxmlformats.org/officeDocument/2006/relationships" r:id="rId1199" tooltip="Ver detalle"/>
          <a:extLst>
            <a:ext uri="{FF2B5EF4-FFF2-40B4-BE49-F238E27FC236}">
              <a16:creationId xmlns:a16="http://schemas.microsoft.com/office/drawing/2014/main" id="{F562FC0C-7D26-1D43-75A0-DBFBE883D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5844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851</xdr:row>
      <xdr:rowOff>0</xdr:rowOff>
    </xdr:from>
    <xdr:to>
      <xdr:col>13</xdr:col>
      <xdr:colOff>0</xdr:colOff>
      <xdr:row>852</xdr:row>
      <xdr:rowOff>148590</xdr:rowOff>
    </xdr:to>
    <xdr:pic>
      <xdr:nvPicPr>
        <xdr:cNvPr id="1258" name="Imagen 1257" descr="Ver detalle">
          <a:hlinkClick xmlns:r="http://schemas.openxmlformats.org/officeDocument/2006/relationships" r:id="rId1200" tooltip="Ver detalle"/>
          <a:extLst>
            <a:ext uri="{FF2B5EF4-FFF2-40B4-BE49-F238E27FC236}">
              <a16:creationId xmlns:a16="http://schemas.microsoft.com/office/drawing/2014/main" id="{C30D7A4D-B5FE-AB1E-A0F2-4D524D692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602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843</xdr:row>
      <xdr:rowOff>0</xdr:rowOff>
    </xdr:from>
    <xdr:to>
      <xdr:col>13</xdr:col>
      <xdr:colOff>0</xdr:colOff>
      <xdr:row>844</xdr:row>
      <xdr:rowOff>148590</xdr:rowOff>
    </xdr:to>
    <xdr:pic>
      <xdr:nvPicPr>
        <xdr:cNvPr id="1259" name="Imagen 1258" descr="Ver detalle">
          <a:hlinkClick xmlns:r="http://schemas.openxmlformats.org/officeDocument/2006/relationships" r:id="rId1201" tooltip="Ver detalle"/>
          <a:extLst>
            <a:ext uri="{FF2B5EF4-FFF2-40B4-BE49-F238E27FC236}">
              <a16:creationId xmlns:a16="http://schemas.microsoft.com/office/drawing/2014/main" id="{A0ADCA04-E2B0-22A6-D2A8-DA4815C42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4564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870</xdr:row>
      <xdr:rowOff>0</xdr:rowOff>
    </xdr:from>
    <xdr:to>
      <xdr:col>13</xdr:col>
      <xdr:colOff>0</xdr:colOff>
      <xdr:row>871</xdr:row>
      <xdr:rowOff>148590</xdr:rowOff>
    </xdr:to>
    <xdr:pic>
      <xdr:nvPicPr>
        <xdr:cNvPr id="1260" name="Imagen 1259" descr="Ver detalle">
          <a:hlinkClick xmlns:r="http://schemas.openxmlformats.org/officeDocument/2006/relationships" r:id="rId1202" tooltip="Ver detalle"/>
          <a:extLst>
            <a:ext uri="{FF2B5EF4-FFF2-40B4-BE49-F238E27FC236}">
              <a16:creationId xmlns:a16="http://schemas.microsoft.com/office/drawing/2014/main" id="{FE16941B-1FB3-AA6B-D9F3-B2611EAFE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950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853</xdr:row>
      <xdr:rowOff>0</xdr:rowOff>
    </xdr:from>
    <xdr:to>
      <xdr:col>13</xdr:col>
      <xdr:colOff>0</xdr:colOff>
      <xdr:row>854</xdr:row>
      <xdr:rowOff>148590</xdr:rowOff>
    </xdr:to>
    <xdr:pic>
      <xdr:nvPicPr>
        <xdr:cNvPr id="1261" name="Imagen 1260" descr="Ver detalle">
          <a:hlinkClick xmlns:r="http://schemas.openxmlformats.org/officeDocument/2006/relationships" r:id="rId1203" tooltip="Ver detalle"/>
          <a:extLst>
            <a:ext uri="{FF2B5EF4-FFF2-40B4-BE49-F238E27FC236}">
              <a16:creationId xmlns:a16="http://schemas.microsoft.com/office/drawing/2014/main" id="{32B8217A-D07C-56DD-48E1-3CCCA1F64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639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840</xdr:row>
      <xdr:rowOff>0</xdr:rowOff>
    </xdr:from>
    <xdr:to>
      <xdr:col>13</xdr:col>
      <xdr:colOff>0</xdr:colOff>
      <xdr:row>841</xdr:row>
      <xdr:rowOff>148590</xdr:rowOff>
    </xdr:to>
    <xdr:pic>
      <xdr:nvPicPr>
        <xdr:cNvPr id="1262" name="Imagen 1261" descr="Ver detalle">
          <a:hlinkClick xmlns:r="http://schemas.openxmlformats.org/officeDocument/2006/relationships" r:id="rId1204" tooltip="Ver detalle"/>
          <a:extLst>
            <a:ext uri="{FF2B5EF4-FFF2-40B4-BE49-F238E27FC236}">
              <a16:creationId xmlns:a16="http://schemas.microsoft.com/office/drawing/2014/main" id="{DD3DEC95-FF7E-9F40-BDDA-EA4CDC038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4015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841</xdr:row>
      <xdr:rowOff>0</xdr:rowOff>
    </xdr:from>
    <xdr:to>
      <xdr:col>13</xdr:col>
      <xdr:colOff>0</xdr:colOff>
      <xdr:row>842</xdr:row>
      <xdr:rowOff>148590</xdr:rowOff>
    </xdr:to>
    <xdr:pic>
      <xdr:nvPicPr>
        <xdr:cNvPr id="1263" name="Imagen 1262" descr="Ver detalle">
          <a:hlinkClick xmlns:r="http://schemas.openxmlformats.org/officeDocument/2006/relationships" r:id="rId1205" tooltip="Ver detalle"/>
          <a:extLst>
            <a:ext uri="{FF2B5EF4-FFF2-40B4-BE49-F238E27FC236}">
              <a16:creationId xmlns:a16="http://schemas.microsoft.com/office/drawing/2014/main" id="{529CCAE0-CA07-A235-7A49-6B69441EA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419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842</xdr:row>
      <xdr:rowOff>0</xdr:rowOff>
    </xdr:from>
    <xdr:to>
      <xdr:col>13</xdr:col>
      <xdr:colOff>0</xdr:colOff>
      <xdr:row>843</xdr:row>
      <xdr:rowOff>148590</xdr:rowOff>
    </xdr:to>
    <xdr:pic>
      <xdr:nvPicPr>
        <xdr:cNvPr id="1264" name="Imagen 1263" descr="Ver detalle">
          <a:hlinkClick xmlns:r="http://schemas.openxmlformats.org/officeDocument/2006/relationships" r:id="rId1206" tooltip="Ver detalle"/>
          <a:extLst>
            <a:ext uri="{FF2B5EF4-FFF2-40B4-BE49-F238E27FC236}">
              <a16:creationId xmlns:a16="http://schemas.microsoft.com/office/drawing/2014/main" id="{8B867207-081F-FF96-27F5-CC5D2E7F9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438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835</xdr:row>
      <xdr:rowOff>0</xdr:rowOff>
    </xdr:from>
    <xdr:to>
      <xdr:col>13</xdr:col>
      <xdr:colOff>0</xdr:colOff>
      <xdr:row>836</xdr:row>
      <xdr:rowOff>148590</xdr:rowOff>
    </xdr:to>
    <xdr:pic>
      <xdr:nvPicPr>
        <xdr:cNvPr id="1265" name="Imagen 1264" descr="Ver detalle">
          <a:hlinkClick xmlns:r="http://schemas.openxmlformats.org/officeDocument/2006/relationships" r:id="rId1207" tooltip="Ver detalle"/>
          <a:extLst>
            <a:ext uri="{FF2B5EF4-FFF2-40B4-BE49-F238E27FC236}">
              <a16:creationId xmlns:a16="http://schemas.microsoft.com/office/drawing/2014/main" id="{F3817564-1F6F-F910-78D4-67A7381D7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310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877</xdr:row>
      <xdr:rowOff>0</xdr:rowOff>
    </xdr:from>
    <xdr:to>
      <xdr:col>13</xdr:col>
      <xdr:colOff>0</xdr:colOff>
      <xdr:row>878</xdr:row>
      <xdr:rowOff>148590</xdr:rowOff>
    </xdr:to>
    <xdr:pic>
      <xdr:nvPicPr>
        <xdr:cNvPr id="1266" name="Imagen 1265" descr="Ver detalle">
          <a:hlinkClick xmlns:r="http://schemas.openxmlformats.org/officeDocument/2006/relationships" r:id="rId1208" tooltip="Ver detalle"/>
          <a:extLst>
            <a:ext uri="{FF2B5EF4-FFF2-40B4-BE49-F238E27FC236}">
              <a16:creationId xmlns:a16="http://schemas.microsoft.com/office/drawing/2014/main" id="{38D1627B-25C9-D36F-0B23-0E279C5B7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607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878</xdr:row>
      <xdr:rowOff>0</xdr:rowOff>
    </xdr:from>
    <xdr:to>
      <xdr:col>13</xdr:col>
      <xdr:colOff>0</xdr:colOff>
      <xdr:row>879</xdr:row>
      <xdr:rowOff>148590</xdr:rowOff>
    </xdr:to>
    <xdr:pic>
      <xdr:nvPicPr>
        <xdr:cNvPr id="1267" name="Imagen 1266" descr="Ver detalle">
          <a:hlinkClick xmlns:r="http://schemas.openxmlformats.org/officeDocument/2006/relationships" r:id="rId1209" tooltip="Ver detalle"/>
          <a:extLst>
            <a:ext uri="{FF2B5EF4-FFF2-40B4-BE49-F238E27FC236}">
              <a16:creationId xmlns:a16="http://schemas.microsoft.com/office/drawing/2014/main" id="{69ED0A89-F9B0-0596-F94F-A0D789B89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6096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831</xdr:row>
      <xdr:rowOff>0</xdr:rowOff>
    </xdr:from>
    <xdr:to>
      <xdr:col>13</xdr:col>
      <xdr:colOff>0</xdr:colOff>
      <xdr:row>832</xdr:row>
      <xdr:rowOff>148590</xdr:rowOff>
    </xdr:to>
    <xdr:pic>
      <xdr:nvPicPr>
        <xdr:cNvPr id="1268" name="Imagen 1267" descr="Ver detalle">
          <a:hlinkClick xmlns:r="http://schemas.openxmlformats.org/officeDocument/2006/relationships" r:id="rId1210" tooltip="Ver detalle"/>
          <a:extLst>
            <a:ext uri="{FF2B5EF4-FFF2-40B4-BE49-F238E27FC236}">
              <a16:creationId xmlns:a16="http://schemas.microsoft.com/office/drawing/2014/main" id="{DF28E62E-72E6-3A2C-A41D-91A847BFA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2369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834</xdr:row>
      <xdr:rowOff>0</xdr:rowOff>
    </xdr:from>
    <xdr:to>
      <xdr:col>13</xdr:col>
      <xdr:colOff>0</xdr:colOff>
      <xdr:row>835</xdr:row>
      <xdr:rowOff>148590</xdr:rowOff>
    </xdr:to>
    <xdr:pic>
      <xdr:nvPicPr>
        <xdr:cNvPr id="1269" name="Imagen 1268" descr="Ver detalle">
          <a:hlinkClick xmlns:r="http://schemas.openxmlformats.org/officeDocument/2006/relationships" r:id="rId1211" tooltip="Ver detalle"/>
          <a:extLst>
            <a:ext uri="{FF2B5EF4-FFF2-40B4-BE49-F238E27FC236}">
              <a16:creationId xmlns:a16="http://schemas.microsoft.com/office/drawing/2014/main" id="{ECC9C854-3D69-D098-C7FF-5EF2488CA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291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830</xdr:row>
      <xdr:rowOff>0</xdr:rowOff>
    </xdr:from>
    <xdr:to>
      <xdr:col>13</xdr:col>
      <xdr:colOff>0</xdr:colOff>
      <xdr:row>831</xdr:row>
      <xdr:rowOff>148590</xdr:rowOff>
    </xdr:to>
    <xdr:pic>
      <xdr:nvPicPr>
        <xdr:cNvPr id="1270" name="Imagen 1269" descr="Ver detalle">
          <a:hlinkClick xmlns:r="http://schemas.openxmlformats.org/officeDocument/2006/relationships" r:id="rId1212" tooltip="Ver detalle"/>
          <a:extLst>
            <a:ext uri="{FF2B5EF4-FFF2-40B4-BE49-F238E27FC236}">
              <a16:creationId xmlns:a16="http://schemas.microsoft.com/office/drawing/2014/main" id="{966FF991-CFBD-4E7D-D1CC-E143E2E4D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218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854</xdr:row>
      <xdr:rowOff>0</xdr:rowOff>
    </xdr:from>
    <xdr:to>
      <xdr:col>13</xdr:col>
      <xdr:colOff>0</xdr:colOff>
      <xdr:row>855</xdr:row>
      <xdr:rowOff>148590</xdr:rowOff>
    </xdr:to>
    <xdr:pic>
      <xdr:nvPicPr>
        <xdr:cNvPr id="1271" name="Imagen 1270" descr="Ver detalle">
          <a:hlinkClick xmlns:r="http://schemas.openxmlformats.org/officeDocument/2006/relationships" r:id="rId1213" tooltip="Ver detalle"/>
          <a:extLst>
            <a:ext uri="{FF2B5EF4-FFF2-40B4-BE49-F238E27FC236}">
              <a16:creationId xmlns:a16="http://schemas.microsoft.com/office/drawing/2014/main" id="{3DD4D041-04BE-A242-DD8F-656141BF2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657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832</xdr:row>
      <xdr:rowOff>0</xdr:rowOff>
    </xdr:from>
    <xdr:to>
      <xdr:col>13</xdr:col>
      <xdr:colOff>0</xdr:colOff>
      <xdr:row>833</xdr:row>
      <xdr:rowOff>148590</xdr:rowOff>
    </xdr:to>
    <xdr:pic>
      <xdr:nvPicPr>
        <xdr:cNvPr id="1272" name="Imagen 1271" descr="Ver detalle">
          <a:hlinkClick xmlns:r="http://schemas.openxmlformats.org/officeDocument/2006/relationships" r:id="rId1214" tooltip="Ver detalle"/>
          <a:extLst>
            <a:ext uri="{FF2B5EF4-FFF2-40B4-BE49-F238E27FC236}">
              <a16:creationId xmlns:a16="http://schemas.microsoft.com/office/drawing/2014/main" id="{9C57BA13-D9C1-120B-E1E8-A22CD47C5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255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828</xdr:row>
      <xdr:rowOff>0</xdr:rowOff>
    </xdr:from>
    <xdr:to>
      <xdr:col>13</xdr:col>
      <xdr:colOff>0</xdr:colOff>
      <xdr:row>829</xdr:row>
      <xdr:rowOff>148590</xdr:rowOff>
    </xdr:to>
    <xdr:pic>
      <xdr:nvPicPr>
        <xdr:cNvPr id="1273" name="Imagen 1272" descr="Ver detalle">
          <a:hlinkClick xmlns:r="http://schemas.openxmlformats.org/officeDocument/2006/relationships" r:id="rId1215" tooltip="Ver detalle"/>
          <a:extLst>
            <a:ext uri="{FF2B5EF4-FFF2-40B4-BE49-F238E27FC236}">
              <a16:creationId xmlns:a16="http://schemas.microsoft.com/office/drawing/2014/main" id="{1A40B7B0-9B6C-29F7-AF14-C7B54EE59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1820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857</xdr:row>
      <xdr:rowOff>0</xdr:rowOff>
    </xdr:from>
    <xdr:to>
      <xdr:col>13</xdr:col>
      <xdr:colOff>0</xdr:colOff>
      <xdr:row>858</xdr:row>
      <xdr:rowOff>148590</xdr:rowOff>
    </xdr:to>
    <xdr:pic>
      <xdr:nvPicPr>
        <xdr:cNvPr id="1274" name="Imagen 1273" descr="Ver detalle">
          <a:hlinkClick xmlns:r="http://schemas.openxmlformats.org/officeDocument/2006/relationships" r:id="rId1216" tooltip="Ver detalle"/>
          <a:extLst>
            <a:ext uri="{FF2B5EF4-FFF2-40B4-BE49-F238E27FC236}">
              <a16:creationId xmlns:a16="http://schemas.microsoft.com/office/drawing/2014/main" id="{2910FD9A-B618-D9E6-BC3B-2C8BEA75B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712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852</xdr:row>
      <xdr:rowOff>0</xdr:rowOff>
    </xdr:from>
    <xdr:to>
      <xdr:col>13</xdr:col>
      <xdr:colOff>0</xdr:colOff>
      <xdr:row>853</xdr:row>
      <xdr:rowOff>148590</xdr:rowOff>
    </xdr:to>
    <xdr:pic>
      <xdr:nvPicPr>
        <xdr:cNvPr id="1275" name="Imagen 1274" descr="Ver detalle">
          <a:hlinkClick xmlns:r="http://schemas.openxmlformats.org/officeDocument/2006/relationships" r:id="rId1217" tooltip="Ver detalle"/>
          <a:extLst>
            <a:ext uri="{FF2B5EF4-FFF2-40B4-BE49-F238E27FC236}">
              <a16:creationId xmlns:a16="http://schemas.microsoft.com/office/drawing/2014/main" id="{6109C2D9-1D96-93E9-5BEF-469D1A3FE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62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836</xdr:row>
      <xdr:rowOff>0</xdr:rowOff>
    </xdr:from>
    <xdr:to>
      <xdr:col>13</xdr:col>
      <xdr:colOff>0</xdr:colOff>
      <xdr:row>837</xdr:row>
      <xdr:rowOff>148590</xdr:rowOff>
    </xdr:to>
    <xdr:pic>
      <xdr:nvPicPr>
        <xdr:cNvPr id="1276" name="Imagen 1275" descr="Ver detalle">
          <a:hlinkClick xmlns:r="http://schemas.openxmlformats.org/officeDocument/2006/relationships" r:id="rId1218" tooltip="Ver detalle"/>
          <a:extLst>
            <a:ext uri="{FF2B5EF4-FFF2-40B4-BE49-F238E27FC236}">
              <a16:creationId xmlns:a16="http://schemas.microsoft.com/office/drawing/2014/main" id="{1EA40A6C-D0BD-0323-07D5-A7321EC61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3283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837</xdr:row>
      <xdr:rowOff>0</xdr:rowOff>
    </xdr:from>
    <xdr:to>
      <xdr:col>13</xdr:col>
      <xdr:colOff>0</xdr:colOff>
      <xdr:row>838</xdr:row>
      <xdr:rowOff>148590</xdr:rowOff>
    </xdr:to>
    <xdr:pic>
      <xdr:nvPicPr>
        <xdr:cNvPr id="1277" name="Imagen 1276" descr="Ver detalle">
          <a:hlinkClick xmlns:r="http://schemas.openxmlformats.org/officeDocument/2006/relationships" r:id="rId1219" tooltip="Ver detalle"/>
          <a:extLst>
            <a:ext uri="{FF2B5EF4-FFF2-40B4-BE49-F238E27FC236}">
              <a16:creationId xmlns:a16="http://schemas.microsoft.com/office/drawing/2014/main" id="{7E26F555-299F-1A21-A7F3-AC34E24D3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346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839</xdr:row>
      <xdr:rowOff>0</xdr:rowOff>
    </xdr:from>
    <xdr:to>
      <xdr:col>13</xdr:col>
      <xdr:colOff>0</xdr:colOff>
      <xdr:row>840</xdr:row>
      <xdr:rowOff>148590</xdr:rowOff>
    </xdr:to>
    <xdr:pic>
      <xdr:nvPicPr>
        <xdr:cNvPr id="1278" name="Imagen 1277" descr="Ver detalle">
          <a:hlinkClick xmlns:r="http://schemas.openxmlformats.org/officeDocument/2006/relationships" r:id="rId1220" tooltip="Ver detalle"/>
          <a:extLst>
            <a:ext uri="{FF2B5EF4-FFF2-40B4-BE49-F238E27FC236}">
              <a16:creationId xmlns:a16="http://schemas.microsoft.com/office/drawing/2014/main" id="{FEF88BFC-8423-D6C2-0406-AE62504B2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383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838</xdr:row>
      <xdr:rowOff>0</xdr:rowOff>
    </xdr:from>
    <xdr:to>
      <xdr:col>13</xdr:col>
      <xdr:colOff>0</xdr:colOff>
      <xdr:row>839</xdr:row>
      <xdr:rowOff>148590</xdr:rowOff>
    </xdr:to>
    <xdr:pic>
      <xdr:nvPicPr>
        <xdr:cNvPr id="1279" name="Imagen 1278" descr="Ver detalle">
          <a:hlinkClick xmlns:r="http://schemas.openxmlformats.org/officeDocument/2006/relationships" r:id="rId1221" tooltip="Ver detalle"/>
          <a:extLst>
            <a:ext uri="{FF2B5EF4-FFF2-40B4-BE49-F238E27FC236}">
              <a16:creationId xmlns:a16="http://schemas.microsoft.com/office/drawing/2014/main" id="{DD94C738-129F-4DB7-F52B-C49B2DEC9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364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827</xdr:row>
      <xdr:rowOff>0</xdr:rowOff>
    </xdr:from>
    <xdr:to>
      <xdr:col>13</xdr:col>
      <xdr:colOff>0</xdr:colOff>
      <xdr:row>828</xdr:row>
      <xdr:rowOff>148590</xdr:rowOff>
    </xdr:to>
    <xdr:pic>
      <xdr:nvPicPr>
        <xdr:cNvPr id="1280" name="Imagen 1279" descr="Ver detalle">
          <a:hlinkClick xmlns:r="http://schemas.openxmlformats.org/officeDocument/2006/relationships" r:id="rId1222" tooltip="Ver detalle"/>
          <a:extLst>
            <a:ext uri="{FF2B5EF4-FFF2-40B4-BE49-F238E27FC236}">
              <a16:creationId xmlns:a16="http://schemas.microsoft.com/office/drawing/2014/main" id="{01B8CFDF-4579-84FC-2E7E-9B48D938D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163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833</xdr:row>
      <xdr:rowOff>0</xdr:rowOff>
    </xdr:from>
    <xdr:to>
      <xdr:col>13</xdr:col>
      <xdr:colOff>0</xdr:colOff>
      <xdr:row>834</xdr:row>
      <xdr:rowOff>148590</xdr:rowOff>
    </xdr:to>
    <xdr:pic>
      <xdr:nvPicPr>
        <xdr:cNvPr id="1281" name="Imagen 1280" descr="Ver detalle">
          <a:hlinkClick xmlns:r="http://schemas.openxmlformats.org/officeDocument/2006/relationships" r:id="rId1223" tooltip="Ver detalle"/>
          <a:extLst>
            <a:ext uri="{FF2B5EF4-FFF2-40B4-BE49-F238E27FC236}">
              <a16:creationId xmlns:a16="http://schemas.microsoft.com/office/drawing/2014/main" id="{CA8592D1-E6E0-36E2-B1C9-17089E744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273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938</xdr:row>
      <xdr:rowOff>0</xdr:rowOff>
    </xdr:from>
    <xdr:to>
      <xdr:col>13</xdr:col>
      <xdr:colOff>0</xdr:colOff>
      <xdr:row>939</xdr:row>
      <xdr:rowOff>148590</xdr:rowOff>
    </xdr:to>
    <xdr:pic>
      <xdr:nvPicPr>
        <xdr:cNvPr id="1282" name="Imagen 1281" descr="Ver detalle">
          <a:hlinkClick xmlns:r="http://schemas.openxmlformats.org/officeDocument/2006/relationships" r:id="rId1224" tooltip="Ver detalle"/>
          <a:extLst>
            <a:ext uri="{FF2B5EF4-FFF2-40B4-BE49-F238E27FC236}">
              <a16:creationId xmlns:a16="http://schemas.microsoft.com/office/drawing/2014/main" id="{8BDD29A3-887E-E5D4-B267-DBBCA6C8A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296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954</xdr:row>
      <xdr:rowOff>0</xdr:rowOff>
    </xdr:from>
    <xdr:to>
      <xdr:col>13</xdr:col>
      <xdr:colOff>0</xdr:colOff>
      <xdr:row>955</xdr:row>
      <xdr:rowOff>148590</xdr:rowOff>
    </xdr:to>
    <xdr:pic>
      <xdr:nvPicPr>
        <xdr:cNvPr id="1283" name="Imagen 1282" descr="Ver detalle">
          <a:hlinkClick xmlns:r="http://schemas.openxmlformats.org/officeDocument/2006/relationships" r:id="rId1225" tooltip="Ver detalle"/>
          <a:extLst>
            <a:ext uri="{FF2B5EF4-FFF2-40B4-BE49-F238E27FC236}">
              <a16:creationId xmlns:a16="http://schemas.microsoft.com/office/drawing/2014/main" id="{74C588E9-8F64-8142-FD23-592CB26E45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4919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955</xdr:row>
      <xdr:rowOff>0</xdr:rowOff>
    </xdr:from>
    <xdr:to>
      <xdr:col>13</xdr:col>
      <xdr:colOff>0</xdr:colOff>
      <xdr:row>956</xdr:row>
      <xdr:rowOff>148590</xdr:rowOff>
    </xdr:to>
    <xdr:pic>
      <xdr:nvPicPr>
        <xdr:cNvPr id="1284" name="Imagen 1283" descr="Ver detalle">
          <a:hlinkClick xmlns:r="http://schemas.openxmlformats.org/officeDocument/2006/relationships" r:id="rId1226" tooltip="Ver detalle"/>
          <a:extLst>
            <a:ext uri="{FF2B5EF4-FFF2-40B4-BE49-F238E27FC236}">
              <a16:creationId xmlns:a16="http://schemas.microsoft.com/office/drawing/2014/main" id="{D44AA12F-056B-E5B4-BFC6-4EA9DF33F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687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956</xdr:row>
      <xdr:rowOff>0</xdr:rowOff>
    </xdr:from>
    <xdr:to>
      <xdr:col>13</xdr:col>
      <xdr:colOff>0</xdr:colOff>
      <xdr:row>957</xdr:row>
      <xdr:rowOff>114300</xdr:rowOff>
    </xdr:to>
    <xdr:pic>
      <xdr:nvPicPr>
        <xdr:cNvPr id="1285" name="Imagen 1284" descr="Ver detalle">
          <a:hlinkClick xmlns:r="http://schemas.openxmlformats.org/officeDocument/2006/relationships" r:id="rId1227" tooltip="Ver detalle"/>
          <a:extLst>
            <a:ext uri="{FF2B5EF4-FFF2-40B4-BE49-F238E27FC236}">
              <a16:creationId xmlns:a16="http://schemas.microsoft.com/office/drawing/2014/main" id="{19E12BA0-1727-1AAF-416E-F873ADF73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882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935</xdr:row>
      <xdr:rowOff>0</xdr:rowOff>
    </xdr:from>
    <xdr:to>
      <xdr:col>13</xdr:col>
      <xdr:colOff>0</xdr:colOff>
      <xdr:row>936</xdr:row>
      <xdr:rowOff>148590</xdr:rowOff>
    </xdr:to>
    <xdr:pic>
      <xdr:nvPicPr>
        <xdr:cNvPr id="1286" name="Imagen 1285" descr="Ver detalle">
          <a:hlinkClick xmlns:r="http://schemas.openxmlformats.org/officeDocument/2006/relationships" r:id="rId1228" tooltip="Ver detalle"/>
          <a:extLst>
            <a:ext uri="{FF2B5EF4-FFF2-40B4-BE49-F238E27FC236}">
              <a16:creationId xmlns:a16="http://schemas.microsoft.com/office/drawing/2014/main" id="{A62D608E-49A3-7AF4-4346-09F5A5BA8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077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936</xdr:row>
      <xdr:rowOff>0</xdr:rowOff>
    </xdr:from>
    <xdr:to>
      <xdr:col>13</xdr:col>
      <xdr:colOff>0</xdr:colOff>
      <xdr:row>937</xdr:row>
      <xdr:rowOff>148590</xdr:rowOff>
    </xdr:to>
    <xdr:pic>
      <xdr:nvPicPr>
        <xdr:cNvPr id="1287" name="Imagen 1286" descr="Ver detalle">
          <a:hlinkClick xmlns:r="http://schemas.openxmlformats.org/officeDocument/2006/relationships" r:id="rId1229" tooltip="Ver detalle"/>
          <a:extLst>
            <a:ext uri="{FF2B5EF4-FFF2-40B4-BE49-F238E27FC236}">
              <a16:creationId xmlns:a16="http://schemas.microsoft.com/office/drawing/2014/main" id="{CB43366C-0580-99EB-A18C-64DD102B3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2722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939</xdr:row>
      <xdr:rowOff>0</xdr:rowOff>
    </xdr:from>
    <xdr:to>
      <xdr:col>13</xdr:col>
      <xdr:colOff>0</xdr:colOff>
      <xdr:row>940</xdr:row>
      <xdr:rowOff>114300</xdr:rowOff>
    </xdr:to>
    <xdr:pic>
      <xdr:nvPicPr>
        <xdr:cNvPr id="1288" name="Imagen 1287" descr="Ver detalle">
          <a:hlinkClick xmlns:r="http://schemas.openxmlformats.org/officeDocument/2006/relationships" r:id="rId1230" tooltip="Ver detalle"/>
          <a:extLst>
            <a:ext uri="{FF2B5EF4-FFF2-40B4-BE49-F238E27FC236}">
              <a16:creationId xmlns:a16="http://schemas.microsoft.com/office/drawing/2014/main" id="{530249C5-4E9F-4271-BE73-665BA8A36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4673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932</xdr:row>
      <xdr:rowOff>0</xdr:rowOff>
    </xdr:from>
    <xdr:to>
      <xdr:col>13</xdr:col>
      <xdr:colOff>0</xdr:colOff>
      <xdr:row>933</xdr:row>
      <xdr:rowOff>148590</xdr:rowOff>
    </xdr:to>
    <xdr:pic>
      <xdr:nvPicPr>
        <xdr:cNvPr id="1289" name="Imagen 1288" descr="Ver detalle">
          <a:hlinkClick xmlns:r="http://schemas.openxmlformats.org/officeDocument/2006/relationships" r:id="rId1231" tooltip="Ver detalle"/>
          <a:extLst>
            <a:ext uri="{FF2B5EF4-FFF2-40B4-BE49-F238E27FC236}">
              <a16:creationId xmlns:a16="http://schemas.microsoft.com/office/drawing/2014/main" id="{D3425786-C81E-4539-B400-3654513D2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662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931</xdr:row>
      <xdr:rowOff>0</xdr:rowOff>
    </xdr:from>
    <xdr:to>
      <xdr:col>13</xdr:col>
      <xdr:colOff>0</xdr:colOff>
      <xdr:row>932</xdr:row>
      <xdr:rowOff>148590</xdr:rowOff>
    </xdr:to>
    <xdr:pic>
      <xdr:nvPicPr>
        <xdr:cNvPr id="1290" name="Imagen 1289" descr="Ver detalle">
          <a:hlinkClick xmlns:r="http://schemas.openxmlformats.org/officeDocument/2006/relationships" r:id="rId1232" tooltip="Ver detalle"/>
          <a:extLst>
            <a:ext uri="{FF2B5EF4-FFF2-40B4-BE49-F238E27FC236}">
              <a16:creationId xmlns:a16="http://schemas.microsoft.com/office/drawing/2014/main" id="{53BD66F2-AF34-23C3-17C9-98920C782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857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933</xdr:row>
      <xdr:rowOff>0</xdr:rowOff>
    </xdr:from>
    <xdr:to>
      <xdr:col>13</xdr:col>
      <xdr:colOff>0</xdr:colOff>
      <xdr:row>934</xdr:row>
      <xdr:rowOff>148590</xdr:rowOff>
    </xdr:to>
    <xdr:pic>
      <xdr:nvPicPr>
        <xdr:cNvPr id="1291" name="Imagen 1290" descr="Ver detalle">
          <a:hlinkClick xmlns:r="http://schemas.openxmlformats.org/officeDocument/2006/relationships" r:id="rId1233" tooltip="Ver detalle"/>
          <a:extLst>
            <a:ext uri="{FF2B5EF4-FFF2-40B4-BE49-F238E27FC236}">
              <a16:creationId xmlns:a16="http://schemas.microsoft.com/office/drawing/2014/main" id="{5E71CD17-83AF-AA15-0F2E-6406299E3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052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924</xdr:row>
      <xdr:rowOff>0</xdr:rowOff>
    </xdr:from>
    <xdr:to>
      <xdr:col>13</xdr:col>
      <xdr:colOff>0</xdr:colOff>
      <xdr:row>925</xdr:row>
      <xdr:rowOff>148590</xdr:rowOff>
    </xdr:to>
    <xdr:pic>
      <xdr:nvPicPr>
        <xdr:cNvPr id="1292" name="Imagen 1291" descr="Ver detalle">
          <a:hlinkClick xmlns:r="http://schemas.openxmlformats.org/officeDocument/2006/relationships" r:id="rId1234" tooltip="Ver detalle"/>
          <a:extLst>
            <a:ext uri="{FF2B5EF4-FFF2-40B4-BE49-F238E27FC236}">
              <a16:creationId xmlns:a16="http://schemas.microsoft.com/office/drawing/2014/main" id="{F588614C-30ED-BD1E-B784-BAC3E4A75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2476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925</xdr:row>
      <xdr:rowOff>0</xdr:rowOff>
    </xdr:from>
    <xdr:to>
      <xdr:col>13</xdr:col>
      <xdr:colOff>0</xdr:colOff>
      <xdr:row>926</xdr:row>
      <xdr:rowOff>148590</xdr:rowOff>
    </xdr:to>
    <xdr:pic>
      <xdr:nvPicPr>
        <xdr:cNvPr id="1293" name="Imagen 1292" descr="Ver detalle">
          <a:hlinkClick xmlns:r="http://schemas.openxmlformats.org/officeDocument/2006/relationships" r:id="rId1235" tooltip="Ver detalle"/>
          <a:extLst>
            <a:ext uri="{FF2B5EF4-FFF2-40B4-BE49-F238E27FC236}">
              <a16:creationId xmlns:a16="http://schemas.microsoft.com/office/drawing/2014/main" id="{8529300D-9841-BF0E-E9F0-C0222FFD0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442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926</xdr:row>
      <xdr:rowOff>0</xdr:rowOff>
    </xdr:from>
    <xdr:to>
      <xdr:col>13</xdr:col>
      <xdr:colOff>0</xdr:colOff>
      <xdr:row>927</xdr:row>
      <xdr:rowOff>148590</xdr:rowOff>
    </xdr:to>
    <xdr:pic>
      <xdr:nvPicPr>
        <xdr:cNvPr id="1294" name="Imagen 1293" descr="Ver detalle">
          <a:hlinkClick xmlns:r="http://schemas.openxmlformats.org/officeDocument/2006/relationships" r:id="rId1236" tooltip="Ver detalle"/>
          <a:extLst>
            <a:ext uri="{FF2B5EF4-FFF2-40B4-BE49-F238E27FC236}">
              <a16:creationId xmlns:a16="http://schemas.microsoft.com/office/drawing/2014/main" id="{304F1CFB-F384-B216-778C-CDDC065A0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637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927</xdr:row>
      <xdr:rowOff>0</xdr:rowOff>
    </xdr:from>
    <xdr:to>
      <xdr:col>13</xdr:col>
      <xdr:colOff>0</xdr:colOff>
      <xdr:row>928</xdr:row>
      <xdr:rowOff>148590</xdr:rowOff>
    </xdr:to>
    <xdr:pic>
      <xdr:nvPicPr>
        <xdr:cNvPr id="1295" name="Imagen 1294" descr="Ver detalle">
          <a:hlinkClick xmlns:r="http://schemas.openxmlformats.org/officeDocument/2006/relationships" r:id="rId1237" tooltip="Ver detalle"/>
          <a:extLst>
            <a:ext uri="{FF2B5EF4-FFF2-40B4-BE49-F238E27FC236}">
              <a16:creationId xmlns:a16="http://schemas.microsoft.com/office/drawing/2014/main" id="{55A18E71-FCA8-F7B4-9264-ED9BDABD3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832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929</xdr:row>
      <xdr:rowOff>0</xdr:rowOff>
    </xdr:from>
    <xdr:to>
      <xdr:col>13</xdr:col>
      <xdr:colOff>0</xdr:colOff>
      <xdr:row>930</xdr:row>
      <xdr:rowOff>148590</xdr:rowOff>
    </xdr:to>
    <xdr:pic>
      <xdr:nvPicPr>
        <xdr:cNvPr id="1296" name="Imagen 1295" descr="Ver detalle">
          <a:hlinkClick xmlns:r="http://schemas.openxmlformats.org/officeDocument/2006/relationships" r:id="rId1238" tooltip="Ver detalle"/>
          <a:extLst>
            <a:ext uri="{FF2B5EF4-FFF2-40B4-BE49-F238E27FC236}">
              <a16:creationId xmlns:a16="http://schemas.microsoft.com/office/drawing/2014/main" id="{F6219B3F-1AC4-662F-47FE-1099D761E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0279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928</xdr:row>
      <xdr:rowOff>0</xdr:rowOff>
    </xdr:from>
    <xdr:to>
      <xdr:col>13</xdr:col>
      <xdr:colOff>0</xdr:colOff>
      <xdr:row>929</xdr:row>
      <xdr:rowOff>148590</xdr:rowOff>
    </xdr:to>
    <xdr:pic>
      <xdr:nvPicPr>
        <xdr:cNvPr id="1297" name="Imagen 1296" descr="Ver detalle">
          <a:hlinkClick xmlns:r="http://schemas.openxmlformats.org/officeDocument/2006/relationships" r:id="rId1239" tooltip="Ver detalle"/>
          <a:extLst>
            <a:ext uri="{FF2B5EF4-FFF2-40B4-BE49-F238E27FC236}">
              <a16:creationId xmlns:a16="http://schemas.microsoft.com/office/drawing/2014/main" id="{7E1B08F3-6B66-E843-850F-09A798B7B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2229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919</xdr:row>
      <xdr:rowOff>0</xdr:rowOff>
    </xdr:from>
    <xdr:to>
      <xdr:col>13</xdr:col>
      <xdr:colOff>0</xdr:colOff>
      <xdr:row>920</xdr:row>
      <xdr:rowOff>148590</xdr:rowOff>
    </xdr:to>
    <xdr:pic>
      <xdr:nvPicPr>
        <xdr:cNvPr id="1298" name="Imagen 1297" descr="Ver detalle">
          <a:hlinkClick xmlns:r="http://schemas.openxmlformats.org/officeDocument/2006/relationships" r:id="rId1240" tooltip="Ver detalle"/>
          <a:extLst>
            <a:ext uri="{FF2B5EF4-FFF2-40B4-BE49-F238E27FC236}">
              <a16:creationId xmlns:a16="http://schemas.microsoft.com/office/drawing/2014/main" id="{5BA80320-E28F-F650-7EEF-EACB6389B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418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922</xdr:row>
      <xdr:rowOff>0</xdr:rowOff>
    </xdr:from>
    <xdr:to>
      <xdr:col>13</xdr:col>
      <xdr:colOff>0</xdr:colOff>
      <xdr:row>923</xdr:row>
      <xdr:rowOff>148590</xdr:rowOff>
    </xdr:to>
    <xdr:pic>
      <xdr:nvPicPr>
        <xdr:cNvPr id="1299" name="Imagen 1298" descr="Ver detalle">
          <a:hlinkClick xmlns:r="http://schemas.openxmlformats.org/officeDocument/2006/relationships" r:id="rId1241" tooltip="Ver detalle"/>
          <a:extLst>
            <a:ext uri="{FF2B5EF4-FFF2-40B4-BE49-F238E27FC236}">
              <a16:creationId xmlns:a16="http://schemas.microsoft.com/office/drawing/2014/main" id="{318A6F67-654C-EB42-96C2-F93B7A2AE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613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918</xdr:row>
      <xdr:rowOff>0</xdr:rowOff>
    </xdr:from>
    <xdr:to>
      <xdr:col>13</xdr:col>
      <xdr:colOff>0</xdr:colOff>
      <xdr:row>919</xdr:row>
      <xdr:rowOff>148590</xdr:rowOff>
    </xdr:to>
    <xdr:pic>
      <xdr:nvPicPr>
        <xdr:cNvPr id="1300" name="Imagen 1299" descr="Ver detalle">
          <a:hlinkClick xmlns:r="http://schemas.openxmlformats.org/officeDocument/2006/relationships" r:id="rId1242" tooltip="Ver detalle"/>
          <a:extLst>
            <a:ext uri="{FF2B5EF4-FFF2-40B4-BE49-F238E27FC236}">
              <a16:creationId xmlns:a16="http://schemas.microsoft.com/office/drawing/2014/main" id="{4E083B07-58D7-6F52-8183-17F8EA416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808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921</xdr:row>
      <xdr:rowOff>0</xdr:rowOff>
    </xdr:from>
    <xdr:to>
      <xdr:col>13</xdr:col>
      <xdr:colOff>0</xdr:colOff>
      <xdr:row>922</xdr:row>
      <xdr:rowOff>148590</xdr:rowOff>
    </xdr:to>
    <xdr:pic>
      <xdr:nvPicPr>
        <xdr:cNvPr id="1301" name="Imagen 1300" descr="Ver detalle">
          <a:hlinkClick xmlns:r="http://schemas.openxmlformats.org/officeDocument/2006/relationships" r:id="rId1243" tooltip="Ver detalle"/>
          <a:extLst>
            <a:ext uri="{FF2B5EF4-FFF2-40B4-BE49-F238E27FC236}">
              <a16:creationId xmlns:a16="http://schemas.microsoft.com/office/drawing/2014/main" id="{08EFBD62-A5E7-F4B2-7BBF-90F22ADF5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003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920</xdr:row>
      <xdr:rowOff>0</xdr:rowOff>
    </xdr:from>
    <xdr:to>
      <xdr:col>13</xdr:col>
      <xdr:colOff>0</xdr:colOff>
      <xdr:row>921</xdr:row>
      <xdr:rowOff>148590</xdr:rowOff>
    </xdr:to>
    <xdr:pic>
      <xdr:nvPicPr>
        <xdr:cNvPr id="1302" name="Imagen 1301" descr="Ver detalle">
          <a:hlinkClick xmlns:r="http://schemas.openxmlformats.org/officeDocument/2006/relationships" r:id="rId1244" tooltip="Ver detalle"/>
          <a:extLst>
            <a:ext uri="{FF2B5EF4-FFF2-40B4-BE49-F238E27FC236}">
              <a16:creationId xmlns:a16="http://schemas.microsoft.com/office/drawing/2014/main" id="{18DEF98C-38ED-E0BD-E6AE-91C1F8254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198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915</xdr:row>
      <xdr:rowOff>0</xdr:rowOff>
    </xdr:from>
    <xdr:to>
      <xdr:col>13</xdr:col>
      <xdr:colOff>0</xdr:colOff>
      <xdr:row>916</xdr:row>
      <xdr:rowOff>148590</xdr:rowOff>
    </xdr:to>
    <xdr:pic>
      <xdr:nvPicPr>
        <xdr:cNvPr id="1303" name="Imagen 1302" descr="Ver detalle">
          <a:hlinkClick xmlns:r="http://schemas.openxmlformats.org/officeDocument/2006/relationships" r:id="rId1245" tooltip="Ver detalle"/>
          <a:extLst>
            <a:ext uri="{FF2B5EF4-FFF2-40B4-BE49-F238E27FC236}">
              <a16:creationId xmlns:a16="http://schemas.microsoft.com/office/drawing/2014/main" id="{C7EBD4AC-F7B8-1846-9BE7-941BF5AA82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289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934</xdr:row>
      <xdr:rowOff>0</xdr:rowOff>
    </xdr:from>
    <xdr:to>
      <xdr:col>13</xdr:col>
      <xdr:colOff>0</xdr:colOff>
      <xdr:row>935</xdr:row>
      <xdr:rowOff>148590</xdr:rowOff>
    </xdr:to>
    <xdr:pic>
      <xdr:nvPicPr>
        <xdr:cNvPr id="1304" name="Imagen 1303" descr="Ver detalle">
          <a:hlinkClick xmlns:r="http://schemas.openxmlformats.org/officeDocument/2006/relationships" r:id="rId1246" tooltip="Ver detalle"/>
          <a:extLst>
            <a:ext uri="{FF2B5EF4-FFF2-40B4-BE49-F238E27FC236}">
              <a16:creationId xmlns:a16="http://schemas.microsoft.com/office/drawing/2014/main" id="{02532FD5-81CC-DAD1-0510-6053A36E9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484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914</xdr:row>
      <xdr:rowOff>0</xdr:rowOff>
    </xdr:from>
    <xdr:to>
      <xdr:col>13</xdr:col>
      <xdr:colOff>0</xdr:colOff>
      <xdr:row>915</xdr:row>
      <xdr:rowOff>148590</xdr:rowOff>
    </xdr:to>
    <xdr:pic>
      <xdr:nvPicPr>
        <xdr:cNvPr id="1305" name="Imagen 1304" descr="Ver detalle">
          <a:hlinkClick xmlns:r="http://schemas.openxmlformats.org/officeDocument/2006/relationships" r:id="rId1247" tooltip="Ver detalle"/>
          <a:extLst>
            <a:ext uri="{FF2B5EF4-FFF2-40B4-BE49-F238E27FC236}">
              <a16:creationId xmlns:a16="http://schemas.microsoft.com/office/drawing/2014/main" id="{1DF2F6BC-83D7-3991-42FE-F01A53482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679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913</xdr:row>
      <xdr:rowOff>0</xdr:rowOff>
    </xdr:from>
    <xdr:to>
      <xdr:col>13</xdr:col>
      <xdr:colOff>0</xdr:colOff>
      <xdr:row>914</xdr:row>
      <xdr:rowOff>148590</xdr:rowOff>
    </xdr:to>
    <xdr:pic>
      <xdr:nvPicPr>
        <xdr:cNvPr id="1306" name="Imagen 1305" descr="Ver detalle">
          <a:hlinkClick xmlns:r="http://schemas.openxmlformats.org/officeDocument/2006/relationships" r:id="rId1248" tooltip="Ver detalle"/>
          <a:extLst>
            <a:ext uri="{FF2B5EF4-FFF2-40B4-BE49-F238E27FC236}">
              <a16:creationId xmlns:a16="http://schemas.microsoft.com/office/drawing/2014/main" id="{8B7A1CB4-A9EE-8448-0999-3A311C940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070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951</xdr:row>
      <xdr:rowOff>0</xdr:rowOff>
    </xdr:from>
    <xdr:to>
      <xdr:col>13</xdr:col>
      <xdr:colOff>0</xdr:colOff>
      <xdr:row>952</xdr:row>
      <xdr:rowOff>148590</xdr:rowOff>
    </xdr:to>
    <xdr:pic>
      <xdr:nvPicPr>
        <xdr:cNvPr id="1307" name="Imagen 1306" descr="Ver detalle">
          <a:hlinkClick xmlns:r="http://schemas.openxmlformats.org/officeDocument/2006/relationships" r:id="rId1249" tooltip="Ver detalle"/>
          <a:extLst>
            <a:ext uri="{FF2B5EF4-FFF2-40B4-BE49-F238E27FC236}">
              <a16:creationId xmlns:a16="http://schemas.microsoft.com/office/drawing/2014/main" id="{EB396795-D813-E077-B470-A95F2AC1E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265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952</xdr:row>
      <xdr:rowOff>0</xdr:rowOff>
    </xdr:from>
    <xdr:to>
      <xdr:col>13</xdr:col>
      <xdr:colOff>0</xdr:colOff>
      <xdr:row>953</xdr:row>
      <xdr:rowOff>148590</xdr:rowOff>
    </xdr:to>
    <xdr:pic>
      <xdr:nvPicPr>
        <xdr:cNvPr id="1308" name="Imagen 1307" descr="Ver detalle">
          <a:hlinkClick xmlns:r="http://schemas.openxmlformats.org/officeDocument/2006/relationships" r:id="rId1250" tooltip="Ver detalle"/>
          <a:extLst>
            <a:ext uri="{FF2B5EF4-FFF2-40B4-BE49-F238E27FC236}">
              <a16:creationId xmlns:a16="http://schemas.microsoft.com/office/drawing/2014/main" id="{5586E978-A830-4208-A668-2C9E844B2F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460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953</xdr:row>
      <xdr:rowOff>0</xdr:rowOff>
    </xdr:from>
    <xdr:to>
      <xdr:col>13</xdr:col>
      <xdr:colOff>0</xdr:colOff>
      <xdr:row>954</xdr:row>
      <xdr:rowOff>148590</xdr:rowOff>
    </xdr:to>
    <xdr:pic>
      <xdr:nvPicPr>
        <xdr:cNvPr id="1309" name="Imagen 1308" descr="Ver detalle">
          <a:hlinkClick xmlns:r="http://schemas.openxmlformats.org/officeDocument/2006/relationships" r:id="rId1251" tooltip="Ver detalle"/>
          <a:extLst>
            <a:ext uri="{FF2B5EF4-FFF2-40B4-BE49-F238E27FC236}">
              <a16:creationId xmlns:a16="http://schemas.microsoft.com/office/drawing/2014/main" id="{74E1DB16-8AFA-28FC-8B90-EF2557F26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655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905</xdr:row>
      <xdr:rowOff>0</xdr:rowOff>
    </xdr:from>
    <xdr:to>
      <xdr:col>13</xdr:col>
      <xdr:colOff>0</xdr:colOff>
      <xdr:row>906</xdr:row>
      <xdr:rowOff>148590</xdr:rowOff>
    </xdr:to>
    <xdr:pic>
      <xdr:nvPicPr>
        <xdr:cNvPr id="1310" name="Imagen 1309" descr="Ver detalle">
          <a:hlinkClick xmlns:r="http://schemas.openxmlformats.org/officeDocument/2006/relationships" r:id="rId1252" tooltip="Ver detalle"/>
          <a:extLst>
            <a:ext uri="{FF2B5EF4-FFF2-40B4-BE49-F238E27FC236}">
              <a16:creationId xmlns:a16="http://schemas.microsoft.com/office/drawing/2014/main" id="{9A98DB40-C4C2-7ECE-C98E-A9C5D59198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850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937</xdr:row>
      <xdr:rowOff>0</xdr:rowOff>
    </xdr:from>
    <xdr:to>
      <xdr:col>13</xdr:col>
      <xdr:colOff>0</xdr:colOff>
      <xdr:row>938</xdr:row>
      <xdr:rowOff>148590</xdr:rowOff>
    </xdr:to>
    <xdr:pic>
      <xdr:nvPicPr>
        <xdr:cNvPr id="1311" name="Imagen 1310" descr="Ver detalle">
          <a:hlinkClick xmlns:r="http://schemas.openxmlformats.org/officeDocument/2006/relationships" r:id="rId1253" tooltip="Ver detalle"/>
          <a:extLst>
            <a:ext uri="{FF2B5EF4-FFF2-40B4-BE49-F238E27FC236}">
              <a16:creationId xmlns:a16="http://schemas.microsoft.com/office/drawing/2014/main" id="{C5E540FE-7F26-2EBB-9715-172BACB0D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20454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947</xdr:row>
      <xdr:rowOff>0</xdr:rowOff>
    </xdr:from>
    <xdr:to>
      <xdr:col>13</xdr:col>
      <xdr:colOff>0</xdr:colOff>
      <xdr:row>948</xdr:row>
      <xdr:rowOff>148590</xdr:rowOff>
    </xdr:to>
    <xdr:pic>
      <xdr:nvPicPr>
        <xdr:cNvPr id="1312" name="Imagen 1311" descr="Ver detalle">
          <a:hlinkClick xmlns:r="http://schemas.openxmlformats.org/officeDocument/2006/relationships" r:id="rId1254" tooltip="Ver detalle"/>
          <a:extLst>
            <a:ext uri="{FF2B5EF4-FFF2-40B4-BE49-F238E27FC236}">
              <a16:creationId xmlns:a16="http://schemas.microsoft.com/office/drawing/2014/main" id="{A3EE601A-6CE8-49F3-2BCA-14E033571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21757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948</xdr:row>
      <xdr:rowOff>0</xdr:rowOff>
    </xdr:from>
    <xdr:to>
      <xdr:col>13</xdr:col>
      <xdr:colOff>0</xdr:colOff>
      <xdr:row>949</xdr:row>
      <xdr:rowOff>148590</xdr:rowOff>
    </xdr:to>
    <xdr:pic>
      <xdr:nvPicPr>
        <xdr:cNvPr id="1313" name="Imagen 1312" descr="Ver detalle">
          <a:hlinkClick xmlns:r="http://schemas.openxmlformats.org/officeDocument/2006/relationships" r:id="rId1255" tooltip="Ver detalle"/>
          <a:extLst>
            <a:ext uri="{FF2B5EF4-FFF2-40B4-BE49-F238E27FC236}">
              <a16:creationId xmlns:a16="http://schemas.microsoft.com/office/drawing/2014/main" id="{57462AA9-B043-16F3-74CE-DC964629E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23707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949</xdr:row>
      <xdr:rowOff>0</xdr:rowOff>
    </xdr:from>
    <xdr:to>
      <xdr:col>13</xdr:col>
      <xdr:colOff>0</xdr:colOff>
      <xdr:row>950</xdr:row>
      <xdr:rowOff>148590</xdr:rowOff>
    </xdr:to>
    <xdr:pic>
      <xdr:nvPicPr>
        <xdr:cNvPr id="1314" name="Imagen 1313" descr="Ver detalle">
          <a:hlinkClick xmlns:r="http://schemas.openxmlformats.org/officeDocument/2006/relationships" r:id="rId1256" tooltip="Ver detalle"/>
          <a:extLst>
            <a:ext uri="{FF2B5EF4-FFF2-40B4-BE49-F238E27FC236}">
              <a16:creationId xmlns:a16="http://schemas.microsoft.com/office/drawing/2014/main" id="{EFE53D67-9A28-5AB4-936B-96DAB597A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25658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950</xdr:row>
      <xdr:rowOff>0</xdr:rowOff>
    </xdr:from>
    <xdr:to>
      <xdr:col>13</xdr:col>
      <xdr:colOff>0</xdr:colOff>
      <xdr:row>951</xdr:row>
      <xdr:rowOff>148590</xdr:rowOff>
    </xdr:to>
    <xdr:pic>
      <xdr:nvPicPr>
        <xdr:cNvPr id="1315" name="Imagen 1314" descr="Ver detalle">
          <a:hlinkClick xmlns:r="http://schemas.openxmlformats.org/officeDocument/2006/relationships" r:id="rId1257" tooltip="Ver detalle"/>
          <a:extLst>
            <a:ext uri="{FF2B5EF4-FFF2-40B4-BE49-F238E27FC236}">
              <a16:creationId xmlns:a16="http://schemas.microsoft.com/office/drawing/2014/main" id="{6B907A0A-5F3C-BB4C-BE02-B2919AAABC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2760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945</xdr:row>
      <xdr:rowOff>0</xdr:rowOff>
    </xdr:from>
    <xdr:to>
      <xdr:col>13</xdr:col>
      <xdr:colOff>0</xdr:colOff>
      <xdr:row>946</xdr:row>
      <xdr:rowOff>148590</xdr:rowOff>
    </xdr:to>
    <xdr:pic>
      <xdr:nvPicPr>
        <xdr:cNvPr id="1316" name="Imagen 1315" descr="Ver detalle">
          <a:hlinkClick xmlns:r="http://schemas.openxmlformats.org/officeDocument/2006/relationships" r:id="rId1258" tooltip="Ver detalle"/>
          <a:extLst>
            <a:ext uri="{FF2B5EF4-FFF2-40B4-BE49-F238E27FC236}">
              <a16:creationId xmlns:a16="http://schemas.microsoft.com/office/drawing/2014/main" id="{A5110055-FB55-6559-AAA2-690F1D4C1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2956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946</xdr:row>
      <xdr:rowOff>0</xdr:rowOff>
    </xdr:from>
    <xdr:to>
      <xdr:col>13</xdr:col>
      <xdr:colOff>0</xdr:colOff>
      <xdr:row>947</xdr:row>
      <xdr:rowOff>148590</xdr:rowOff>
    </xdr:to>
    <xdr:pic>
      <xdr:nvPicPr>
        <xdr:cNvPr id="1317" name="Imagen 1316" descr="Ver detalle">
          <a:hlinkClick xmlns:r="http://schemas.openxmlformats.org/officeDocument/2006/relationships" r:id="rId1259" tooltip="Ver detalle"/>
          <a:extLst>
            <a:ext uri="{FF2B5EF4-FFF2-40B4-BE49-F238E27FC236}">
              <a16:creationId xmlns:a16="http://schemas.microsoft.com/office/drawing/2014/main" id="{4FA3E1D8-832D-A932-7783-DDE1854C8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31510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901</xdr:row>
      <xdr:rowOff>0</xdr:rowOff>
    </xdr:from>
    <xdr:to>
      <xdr:col>13</xdr:col>
      <xdr:colOff>0</xdr:colOff>
      <xdr:row>902</xdr:row>
      <xdr:rowOff>148590</xdr:rowOff>
    </xdr:to>
    <xdr:pic>
      <xdr:nvPicPr>
        <xdr:cNvPr id="1318" name="Imagen 1317" descr="Ver detalle">
          <a:hlinkClick xmlns:r="http://schemas.openxmlformats.org/officeDocument/2006/relationships" r:id="rId1260" tooltip="Ver detalle"/>
          <a:extLst>
            <a:ext uri="{FF2B5EF4-FFF2-40B4-BE49-F238E27FC236}">
              <a16:creationId xmlns:a16="http://schemas.microsoft.com/office/drawing/2014/main" id="{15B396C2-0C5C-6EC8-11B6-5DA237774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33461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930</xdr:row>
      <xdr:rowOff>0</xdr:rowOff>
    </xdr:from>
    <xdr:to>
      <xdr:col>13</xdr:col>
      <xdr:colOff>0</xdr:colOff>
      <xdr:row>931</xdr:row>
      <xdr:rowOff>148590</xdr:rowOff>
    </xdr:to>
    <xdr:pic>
      <xdr:nvPicPr>
        <xdr:cNvPr id="1319" name="Imagen 1318" descr="Ver detalle">
          <a:hlinkClick xmlns:r="http://schemas.openxmlformats.org/officeDocument/2006/relationships" r:id="rId1261" tooltip="Ver detalle"/>
          <a:extLst>
            <a:ext uri="{FF2B5EF4-FFF2-40B4-BE49-F238E27FC236}">
              <a16:creationId xmlns:a16="http://schemas.microsoft.com/office/drawing/2014/main" id="{880C54D7-A36F-566E-4721-347CF3B4DA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35412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917</xdr:row>
      <xdr:rowOff>0</xdr:rowOff>
    </xdr:from>
    <xdr:to>
      <xdr:col>13</xdr:col>
      <xdr:colOff>0</xdr:colOff>
      <xdr:row>918</xdr:row>
      <xdr:rowOff>148590</xdr:rowOff>
    </xdr:to>
    <xdr:pic>
      <xdr:nvPicPr>
        <xdr:cNvPr id="1320" name="Imagen 1319" descr="Ver detalle">
          <a:hlinkClick xmlns:r="http://schemas.openxmlformats.org/officeDocument/2006/relationships" r:id="rId1262" tooltip="Ver detalle"/>
          <a:extLst>
            <a:ext uri="{FF2B5EF4-FFF2-40B4-BE49-F238E27FC236}">
              <a16:creationId xmlns:a16="http://schemas.microsoft.com/office/drawing/2014/main" id="{15DA773C-616A-1625-4F79-F75A1C587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373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900</xdr:row>
      <xdr:rowOff>0</xdr:rowOff>
    </xdr:from>
    <xdr:to>
      <xdr:col>13</xdr:col>
      <xdr:colOff>0</xdr:colOff>
      <xdr:row>901</xdr:row>
      <xdr:rowOff>148590</xdr:rowOff>
    </xdr:to>
    <xdr:pic>
      <xdr:nvPicPr>
        <xdr:cNvPr id="1321" name="Imagen 1320" descr="Ver detalle">
          <a:hlinkClick xmlns:r="http://schemas.openxmlformats.org/officeDocument/2006/relationships" r:id="rId1263" tooltip="Ver detalle"/>
          <a:extLst>
            <a:ext uri="{FF2B5EF4-FFF2-40B4-BE49-F238E27FC236}">
              <a16:creationId xmlns:a16="http://schemas.microsoft.com/office/drawing/2014/main" id="{B35398B2-85AD-52F0-A6C1-ABA621BDD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38666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916</xdr:row>
      <xdr:rowOff>0</xdr:rowOff>
    </xdr:from>
    <xdr:to>
      <xdr:col>13</xdr:col>
      <xdr:colOff>0</xdr:colOff>
      <xdr:row>917</xdr:row>
      <xdr:rowOff>148590</xdr:rowOff>
    </xdr:to>
    <xdr:pic>
      <xdr:nvPicPr>
        <xdr:cNvPr id="1322" name="Imagen 1321" descr="Ver detalle">
          <a:hlinkClick xmlns:r="http://schemas.openxmlformats.org/officeDocument/2006/relationships" r:id="rId1264" tooltip="Ver detalle"/>
          <a:extLst>
            <a:ext uri="{FF2B5EF4-FFF2-40B4-BE49-F238E27FC236}">
              <a16:creationId xmlns:a16="http://schemas.microsoft.com/office/drawing/2014/main" id="{D7BA99E6-8D06-8186-2D6A-37B2B60DD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40616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897</xdr:row>
      <xdr:rowOff>0</xdr:rowOff>
    </xdr:from>
    <xdr:to>
      <xdr:col>13</xdr:col>
      <xdr:colOff>0</xdr:colOff>
      <xdr:row>898</xdr:row>
      <xdr:rowOff>148590</xdr:rowOff>
    </xdr:to>
    <xdr:pic>
      <xdr:nvPicPr>
        <xdr:cNvPr id="1323" name="Imagen 1322" descr="Ver detalle">
          <a:hlinkClick xmlns:r="http://schemas.openxmlformats.org/officeDocument/2006/relationships" r:id="rId1265" tooltip="Ver detalle"/>
          <a:extLst>
            <a:ext uri="{FF2B5EF4-FFF2-40B4-BE49-F238E27FC236}">
              <a16:creationId xmlns:a16="http://schemas.microsoft.com/office/drawing/2014/main" id="{376E61BC-ABFA-A54B-8B73-A94163758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41531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907</xdr:row>
      <xdr:rowOff>0</xdr:rowOff>
    </xdr:from>
    <xdr:to>
      <xdr:col>13</xdr:col>
      <xdr:colOff>0</xdr:colOff>
      <xdr:row>908</xdr:row>
      <xdr:rowOff>148590</xdr:rowOff>
    </xdr:to>
    <xdr:pic>
      <xdr:nvPicPr>
        <xdr:cNvPr id="1324" name="Imagen 1323" descr="Ver detalle">
          <a:hlinkClick xmlns:r="http://schemas.openxmlformats.org/officeDocument/2006/relationships" r:id="rId1266" tooltip="Ver detalle"/>
          <a:extLst>
            <a:ext uri="{FF2B5EF4-FFF2-40B4-BE49-F238E27FC236}">
              <a16:creationId xmlns:a16="http://schemas.microsoft.com/office/drawing/2014/main" id="{87AFFB5D-A9D0-4B4B-1B06-A09FC65A1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4348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908</xdr:row>
      <xdr:rowOff>0</xdr:rowOff>
    </xdr:from>
    <xdr:to>
      <xdr:col>13</xdr:col>
      <xdr:colOff>0</xdr:colOff>
      <xdr:row>909</xdr:row>
      <xdr:rowOff>148590</xdr:rowOff>
    </xdr:to>
    <xdr:pic>
      <xdr:nvPicPr>
        <xdr:cNvPr id="1325" name="Imagen 1324" descr="Ver detalle">
          <a:hlinkClick xmlns:r="http://schemas.openxmlformats.org/officeDocument/2006/relationships" r:id="rId1267" tooltip="Ver detalle"/>
          <a:extLst>
            <a:ext uri="{FF2B5EF4-FFF2-40B4-BE49-F238E27FC236}">
              <a16:creationId xmlns:a16="http://schemas.microsoft.com/office/drawing/2014/main" id="{4D0D8D35-7B99-C1BF-8089-F5509094C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45432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896</xdr:row>
      <xdr:rowOff>0</xdr:rowOff>
    </xdr:from>
    <xdr:to>
      <xdr:col>13</xdr:col>
      <xdr:colOff>0</xdr:colOff>
      <xdr:row>897</xdr:row>
      <xdr:rowOff>148590</xdr:rowOff>
    </xdr:to>
    <xdr:pic>
      <xdr:nvPicPr>
        <xdr:cNvPr id="1326" name="Imagen 1325" descr="Ver detalle">
          <a:hlinkClick xmlns:r="http://schemas.openxmlformats.org/officeDocument/2006/relationships" r:id="rId1268" tooltip="Ver detalle"/>
          <a:extLst>
            <a:ext uri="{FF2B5EF4-FFF2-40B4-BE49-F238E27FC236}">
              <a16:creationId xmlns:a16="http://schemas.microsoft.com/office/drawing/2014/main" id="{7BC39E83-AAF9-2BCD-14C8-33C52DC74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473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906</xdr:row>
      <xdr:rowOff>0</xdr:rowOff>
    </xdr:from>
    <xdr:to>
      <xdr:col>13</xdr:col>
      <xdr:colOff>0</xdr:colOff>
      <xdr:row>907</xdr:row>
      <xdr:rowOff>148590</xdr:rowOff>
    </xdr:to>
    <xdr:pic>
      <xdr:nvPicPr>
        <xdr:cNvPr id="1327" name="Imagen 1326" descr="Ver detalle">
          <a:hlinkClick xmlns:r="http://schemas.openxmlformats.org/officeDocument/2006/relationships" r:id="rId1269" tooltip="Ver detalle"/>
          <a:extLst>
            <a:ext uri="{FF2B5EF4-FFF2-40B4-BE49-F238E27FC236}">
              <a16:creationId xmlns:a16="http://schemas.microsoft.com/office/drawing/2014/main" id="{F9E69288-6B98-A14D-09C9-557B3292A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49334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903</xdr:row>
      <xdr:rowOff>0</xdr:rowOff>
    </xdr:from>
    <xdr:to>
      <xdr:col>13</xdr:col>
      <xdr:colOff>0</xdr:colOff>
      <xdr:row>904</xdr:row>
      <xdr:rowOff>148590</xdr:rowOff>
    </xdr:to>
    <xdr:pic>
      <xdr:nvPicPr>
        <xdr:cNvPr id="1328" name="Imagen 1327" descr="Ver detalle">
          <a:hlinkClick xmlns:r="http://schemas.openxmlformats.org/officeDocument/2006/relationships" r:id="rId1270" tooltip="Ver detalle"/>
          <a:extLst>
            <a:ext uri="{FF2B5EF4-FFF2-40B4-BE49-F238E27FC236}">
              <a16:creationId xmlns:a16="http://schemas.microsoft.com/office/drawing/2014/main" id="{6FD0D07B-767E-7FB8-73EA-2849EAA63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50248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910</xdr:row>
      <xdr:rowOff>0</xdr:rowOff>
    </xdr:from>
    <xdr:to>
      <xdr:col>13</xdr:col>
      <xdr:colOff>0</xdr:colOff>
      <xdr:row>911</xdr:row>
      <xdr:rowOff>148590</xdr:rowOff>
    </xdr:to>
    <xdr:pic>
      <xdr:nvPicPr>
        <xdr:cNvPr id="1329" name="Imagen 1328" descr="Ver detalle">
          <a:hlinkClick xmlns:r="http://schemas.openxmlformats.org/officeDocument/2006/relationships" r:id="rId1271" tooltip="Ver detalle"/>
          <a:extLst>
            <a:ext uri="{FF2B5EF4-FFF2-40B4-BE49-F238E27FC236}">
              <a16:creationId xmlns:a16="http://schemas.microsoft.com/office/drawing/2014/main" id="{54D1627B-4805-23F2-2E89-3EF7B8AE4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52199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888</xdr:row>
      <xdr:rowOff>0</xdr:rowOff>
    </xdr:from>
    <xdr:to>
      <xdr:col>13</xdr:col>
      <xdr:colOff>0</xdr:colOff>
      <xdr:row>889</xdr:row>
      <xdr:rowOff>148590</xdr:rowOff>
    </xdr:to>
    <xdr:pic>
      <xdr:nvPicPr>
        <xdr:cNvPr id="1330" name="Imagen 1329" descr="Ver detalle">
          <a:hlinkClick xmlns:r="http://schemas.openxmlformats.org/officeDocument/2006/relationships" r:id="rId1272" tooltip="Ver detalle"/>
          <a:extLst>
            <a:ext uri="{FF2B5EF4-FFF2-40B4-BE49-F238E27FC236}">
              <a16:creationId xmlns:a16="http://schemas.microsoft.com/office/drawing/2014/main" id="{27FFDCC9-1FF5-C360-CF46-F00B2CD84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5610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904</xdr:row>
      <xdr:rowOff>0</xdr:rowOff>
    </xdr:from>
    <xdr:to>
      <xdr:col>13</xdr:col>
      <xdr:colOff>0</xdr:colOff>
      <xdr:row>905</xdr:row>
      <xdr:rowOff>148590</xdr:rowOff>
    </xdr:to>
    <xdr:pic>
      <xdr:nvPicPr>
        <xdr:cNvPr id="1331" name="Imagen 1330" descr="Ver detalle">
          <a:hlinkClick xmlns:r="http://schemas.openxmlformats.org/officeDocument/2006/relationships" r:id="rId1273" tooltip="Ver detalle"/>
          <a:extLst>
            <a:ext uri="{FF2B5EF4-FFF2-40B4-BE49-F238E27FC236}">
              <a16:creationId xmlns:a16="http://schemas.microsoft.com/office/drawing/2014/main" id="{E714A533-9944-40FC-6BE6-F4C377D78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5805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911</xdr:row>
      <xdr:rowOff>0</xdr:rowOff>
    </xdr:from>
    <xdr:to>
      <xdr:col>13</xdr:col>
      <xdr:colOff>0</xdr:colOff>
      <xdr:row>912</xdr:row>
      <xdr:rowOff>148590</xdr:rowOff>
    </xdr:to>
    <xdr:pic>
      <xdr:nvPicPr>
        <xdr:cNvPr id="1332" name="Imagen 1331" descr="Ver detalle">
          <a:hlinkClick xmlns:r="http://schemas.openxmlformats.org/officeDocument/2006/relationships" r:id="rId1274" tooltip="Ver detalle"/>
          <a:extLst>
            <a:ext uri="{FF2B5EF4-FFF2-40B4-BE49-F238E27FC236}">
              <a16:creationId xmlns:a16="http://schemas.microsoft.com/office/drawing/2014/main" id="{C557425E-7849-53C1-2460-976DE8621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60002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902</xdr:row>
      <xdr:rowOff>0</xdr:rowOff>
    </xdr:from>
    <xdr:to>
      <xdr:col>13</xdr:col>
      <xdr:colOff>0</xdr:colOff>
      <xdr:row>903</xdr:row>
      <xdr:rowOff>148590</xdr:rowOff>
    </xdr:to>
    <xdr:pic>
      <xdr:nvPicPr>
        <xdr:cNvPr id="1333" name="Imagen 1332" descr="Ver detalle">
          <a:hlinkClick xmlns:r="http://schemas.openxmlformats.org/officeDocument/2006/relationships" r:id="rId1275" tooltip="Ver detalle"/>
          <a:extLst>
            <a:ext uri="{FF2B5EF4-FFF2-40B4-BE49-F238E27FC236}">
              <a16:creationId xmlns:a16="http://schemas.microsoft.com/office/drawing/2014/main" id="{3A83DC9F-986E-164B-2E4E-18E785E14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61952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923</xdr:row>
      <xdr:rowOff>0</xdr:rowOff>
    </xdr:from>
    <xdr:to>
      <xdr:col>13</xdr:col>
      <xdr:colOff>0</xdr:colOff>
      <xdr:row>924</xdr:row>
      <xdr:rowOff>148590</xdr:rowOff>
    </xdr:to>
    <xdr:pic>
      <xdr:nvPicPr>
        <xdr:cNvPr id="1334" name="Imagen 1333" descr="Ver detalle">
          <a:hlinkClick xmlns:r="http://schemas.openxmlformats.org/officeDocument/2006/relationships" r:id="rId1276" tooltip="Ver detalle"/>
          <a:extLst>
            <a:ext uri="{FF2B5EF4-FFF2-40B4-BE49-F238E27FC236}">
              <a16:creationId xmlns:a16="http://schemas.microsoft.com/office/drawing/2014/main" id="{347347CB-6A0D-7963-3E49-DBF293548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6390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898</xdr:row>
      <xdr:rowOff>0</xdr:rowOff>
    </xdr:from>
    <xdr:to>
      <xdr:col>13</xdr:col>
      <xdr:colOff>0</xdr:colOff>
      <xdr:row>899</xdr:row>
      <xdr:rowOff>148590</xdr:rowOff>
    </xdr:to>
    <xdr:pic>
      <xdr:nvPicPr>
        <xdr:cNvPr id="1335" name="Imagen 1334" descr="Ver detalle">
          <a:hlinkClick xmlns:r="http://schemas.openxmlformats.org/officeDocument/2006/relationships" r:id="rId1277" tooltip="Ver detalle"/>
          <a:extLst>
            <a:ext uri="{FF2B5EF4-FFF2-40B4-BE49-F238E27FC236}">
              <a16:creationId xmlns:a16="http://schemas.microsoft.com/office/drawing/2014/main" id="{5563DC78-4C00-D9FC-AFD4-262928DA0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65854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887</xdr:row>
      <xdr:rowOff>0</xdr:rowOff>
    </xdr:from>
    <xdr:to>
      <xdr:col>13</xdr:col>
      <xdr:colOff>0</xdr:colOff>
      <xdr:row>888</xdr:row>
      <xdr:rowOff>148590</xdr:rowOff>
    </xdr:to>
    <xdr:pic>
      <xdr:nvPicPr>
        <xdr:cNvPr id="1336" name="Imagen 1335" descr="Ver detalle">
          <a:hlinkClick xmlns:r="http://schemas.openxmlformats.org/officeDocument/2006/relationships" r:id="rId1278" tooltip="Ver detalle"/>
          <a:extLst>
            <a:ext uri="{FF2B5EF4-FFF2-40B4-BE49-F238E27FC236}">
              <a16:creationId xmlns:a16="http://schemas.microsoft.com/office/drawing/2014/main" id="{E08E6468-364F-C3CB-BF6D-7F93653CC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6780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889</xdr:row>
      <xdr:rowOff>0</xdr:rowOff>
    </xdr:from>
    <xdr:to>
      <xdr:col>13</xdr:col>
      <xdr:colOff>0</xdr:colOff>
      <xdr:row>890</xdr:row>
      <xdr:rowOff>148590</xdr:rowOff>
    </xdr:to>
    <xdr:pic>
      <xdr:nvPicPr>
        <xdr:cNvPr id="1337" name="Imagen 1336" descr="Ver detalle">
          <a:hlinkClick xmlns:r="http://schemas.openxmlformats.org/officeDocument/2006/relationships" r:id="rId1279" tooltip="Ver detalle"/>
          <a:extLst>
            <a:ext uri="{FF2B5EF4-FFF2-40B4-BE49-F238E27FC236}">
              <a16:creationId xmlns:a16="http://schemas.microsoft.com/office/drawing/2014/main" id="{9C555DBD-9983-A19E-5AD9-2BA753879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6975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893</xdr:row>
      <xdr:rowOff>0</xdr:rowOff>
    </xdr:from>
    <xdr:to>
      <xdr:col>13</xdr:col>
      <xdr:colOff>0</xdr:colOff>
      <xdr:row>894</xdr:row>
      <xdr:rowOff>148590</xdr:rowOff>
    </xdr:to>
    <xdr:pic>
      <xdr:nvPicPr>
        <xdr:cNvPr id="1338" name="Imagen 1337" descr="Ver detalle">
          <a:hlinkClick xmlns:r="http://schemas.openxmlformats.org/officeDocument/2006/relationships" r:id="rId1280" tooltip="Ver detalle"/>
          <a:extLst>
            <a:ext uri="{FF2B5EF4-FFF2-40B4-BE49-F238E27FC236}">
              <a16:creationId xmlns:a16="http://schemas.microsoft.com/office/drawing/2014/main" id="{05D83750-77E6-4A3C-B58A-BC779BEA9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7170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894</xdr:row>
      <xdr:rowOff>0</xdr:rowOff>
    </xdr:from>
    <xdr:to>
      <xdr:col>13</xdr:col>
      <xdr:colOff>0</xdr:colOff>
      <xdr:row>895</xdr:row>
      <xdr:rowOff>148590</xdr:rowOff>
    </xdr:to>
    <xdr:pic>
      <xdr:nvPicPr>
        <xdr:cNvPr id="1339" name="Imagen 1338" descr="Ver detalle">
          <a:hlinkClick xmlns:r="http://schemas.openxmlformats.org/officeDocument/2006/relationships" r:id="rId1281" tooltip="Ver detalle"/>
          <a:extLst>
            <a:ext uri="{FF2B5EF4-FFF2-40B4-BE49-F238E27FC236}">
              <a16:creationId xmlns:a16="http://schemas.microsoft.com/office/drawing/2014/main" id="{18CA48CC-29E6-EC71-746D-C8865ED6B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73657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890</xdr:row>
      <xdr:rowOff>0</xdr:rowOff>
    </xdr:from>
    <xdr:to>
      <xdr:col>13</xdr:col>
      <xdr:colOff>0</xdr:colOff>
      <xdr:row>891</xdr:row>
      <xdr:rowOff>148590</xdr:rowOff>
    </xdr:to>
    <xdr:pic>
      <xdr:nvPicPr>
        <xdr:cNvPr id="1340" name="Imagen 1339" descr="Ver detalle">
          <a:hlinkClick xmlns:r="http://schemas.openxmlformats.org/officeDocument/2006/relationships" r:id="rId1282" tooltip="Ver detalle"/>
          <a:extLst>
            <a:ext uri="{FF2B5EF4-FFF2-40B4-BE49-F238E27FC236}">
              <a16:creationId xmlns:a16="http://schemas.microsoft.com/office/drawing/2014/main" id="{A2F125C9-B157-FCE0-CF46-63FF526DC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75607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899</xdr:row>
      <xdr:rowOff>0</xdr:rowOff>
    </xdr:from>
    <xdr:to>
      <xdr:col>13</xdr:col>
      <xdr:colOff>0</xdr:colOff>
      <xdr:row>900</xdr:row>
      <xdr:rowOff>148590</xdr:rowOff>
    </xdr:to>
    <xdr:pic>
      <xdr:nvPicPr>
        <xdr:cNvPr id="1341" name="Imagen 1340" descr="Ver detalle">
          <a:hlinkClick xmlns:r="http://schemas.openxmlformats.org/officeDocument/2006/relationships" r:id="rId1283" tooltip="Ver detalle"/>
          <a:extLst>
            <a:ext uri="{FF2B5EF4-FFF2-40B4-BE49-F238E27FC236}">
              <a16:creationId xmlns:a16="http://schemas.microsoft.com/office/drawing/2014/main" id="{A5BDD85F-2D70-28D4-DA31-5DA4874B1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775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892</xdr:row>
      <xdr:rowOff>0</xdr:rowOff>
    </xdr:from>
    <xdr:to>
      <xdr:col>13</xdr:col>
      <xdr:colOff>0</xdr:colOff>
      <xdr:row>893</xdr:row>
      <xdr:rowOff>148590</xdr:rowOff>
    </xdr:to>
    <xdr:pic>
      <xdr:nvPicPr>
        <xdr:cNvPr id="1342" name="Imagen 1341" descr="Ver detalle">
          <a:hlinkClick xmlns:r="http://schemas.openxmlformats.org/officeDocument/2006/relationships" r:id="rId1284" tooltip="Ver detalle"/>
          <a:extLst>
            <a:ext uri="{FF2B5EF4-FFF2-40B4-BE49-F238E27FC236}">
              <a16:creationId xmlns:a16="http://schemas.microsoft.com/office/drawing/2014/main" id="{DF8350C9-099F-55D4-63E7-6D3EE10D6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79509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885</xdr:row>
      <xdr:rowOff>0</xdr:rowOff>
    </xdr:from>
    <xdr:to>
      <xdr:col>13</xdr:col>
      <xdr:colOff>0</xdr:colOff>
      <xdr:row>886</xdr:row>
      <xdr:rowOff>148590</xdr:rowOff>
    </xdr:to>
    <xdr:pic>
      <xdr:nvPicPr>
        <xdr:cNvPr id="1343" name="Imagen 1342" descr="Ver detalle">
          <a:hlinkClick xmlns:r="http://schemas.openxmlformats.org/officeDocument/2006/relationships" r:id="rId1285" tooltip="Ver detalle"/>
          <a:extLst>
            <a:ext uri="{FF2B5EF4-FFF2-40B4-BE49-F238E27FC236}">
              <a16:creationId xmlns:a16="http://schemas.microsoft.com/office/drawing/2014/main" id="{B6C907FC-9C2D-4073-9DBE-7F94747E9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8042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886</xdr:row>
      <xdr:rowOff>0</xdr:rowOff>
    </xdr:from>
    <xdr:to>
      <xdr:col>13</xdr:col>
      <xdr:colOff>0</xdr:colOff>
      <xdr:row>887</xdr:row>
      <xdr:rowOff>148590</xdr:rowOff>
    </xdr:to>
    <xdr:pic>
      <xdr:nvPicPr>
        <xdr:cNvPr id="1344" name="Imagen 1343" descr="Ver detalle">
          <a:hlinkClick xmlns:r="http://schemas.openxmlformats.org/officeDocument/2006/relationships" r:id="rId1286" tooltip="Ver detalle"/>
          <a:extLst>
            <a:ext uri="{FF2B5EF4-FFF2-40B4-BE49-F238E27FC236}">
              <a16:creationId xmlns:a16="http://schemas.microsoft.com/office/drawing/2014/main" id="{F57BADB1-77EC-8595-FD6C-B84CE1D30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8237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895</xdr:row>
      <xdr:rowOff>0</xdr:rowOff>
    </xdr:from>
    <xdr:to>
      <xdr:col>13</xdr:col>
      <xdr:colOff>0</xdr:colOff>
      <xdr:row>896</xdr:row>
      <xdr:rowOff>148590</xdr:rowOff>
    </xdr:to>
    <xdr:pic>
      <xdr:nvPicPr>
        <xdr:cNvPr id="1345" name="Imagen 1344" descr="Ver detalle">
          <a:hlinkClick xmlns:r="http://schemas.openxmlformats.org/officeDocument/2006/relationships" r:id="rId1287" tooltip="Ver detalle"/>
          <a:extLst>
            <a:ext uri="{FF2B5EF4-FFF2-40B4-BE49-F238E27FC236}">
              <a16:creationId xmlns:a16="http://schemas.microsoft.com/office/drawing/2014/main" id="{914FA461-3ECC-D63A-4F61-9DB61A1EE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84325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909</xdr:row>
      <xdr:rowOff>0</xdr:rowOff>
    </xdr:from>
    <xdr:to>
      <xdr:col>13</xdr:col>
      <xdr:colOff>0</xdr:colOff>
      <xdr:row>910</xdr:row>
      <xdr:rowOff>148590</xdr:rowOff>
    </xdr:to>
    <xdr:pic>
      <xdr:nvPicPr>
        <xdr:cNvPr id="1346" name="Imagen 1345" descr="Ver detalle">
          <a:hlinkClick xmlns:r="http://schemas.openxmlformats.org/officeDocument/2006/relationships" r:id="rId1288" tooltip="Ver detalle"/>
          <a:extLst>
            <a:ext uri="{FF2B5EF4-FFF2-40B4-BE49-F238E27FC236}">
              <a16:creationId xmlns:a16="http://schemas.microsoft.com/office/drawing/2014/main" id="{74A58202-0C23-496E-1EEA-8EF32702F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8523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891</xdr:row>
      <xdr:rowOff>0</xdr:rowOff>
    </xdr:from>
    <xdr:to>
      <xdr:col>13</xdr:col>
      <xdr:colOff>0</xdr:colOff>
      <xdr:row>892</xdr:row>
      <xdr:rowOff>148590</xdr:rowOff>
    </xdr:to>
    <xdr:pic>
      <xdr:nvPicPr>
        <xdr:cNvPr id="1347" name="Imagen 1346" descr="Ver detalle">
          <a:hlinkClick xmlns:r="http://schemas.openxmlformats.org/officeDocument/2006/relationships" r:id="rId1289" tooltip="Ver detalle"/>
          <a:extLst>
            <a:ext uri="{FF2B5EF4-FFF2-40B4-BE49-F238E27FC236}">
              <a16:creationId xmlns:a16="http://schemas.microsoft.com/office/drawing/2014/main" id="{A366E7F3-679D-A78C-D400-608E4FCC5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86412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941</xdr:row>
      <xdr:rowOff>0</xdr:rowOff>
    </xdr:from>
    <xdr:to>
      <xdr:col>13</xdr:col>
      <xdr:colOff>0</xdr:colOff>
      <xdr:row>942</xdr:row>
      <xdr:rowOff>148590</xdr:rowOff>
    </xdr:to>
    <xdr:pic>
      <xdr:nvPicPr>
        <xdr:cNvPr id="1348" name="Imagen 1347" descr="Ver detalle">
          <a:hlinkClick xmlns:r="http://schemas.openxmlformats.org/officeDocument/2006/relationships" r:id="rId1290" tooltip="Ver detalle"/>
          <a:extLst>
            <a:ext uri="{FF2B5EF4-FFF2-40B4-BE49-F238E27FC236}">
              <a16:creationId xmlns:a16="http://schemas.microsoft.com/office/drawing/2014/main" id="{612EB683-F728-8BBB-B284-ACFD97C80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88363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942</xdr:row>
      <xdr:rowOff>0</xdr:rowOff>
    </xdr:from>
    <xdr:to>
      <xdr:col>13</xdr:col>
      <xdr:colOff>0</xdr:colOff>
      <xdr:row>943</xdr:row>
      <xdr:rowOff>148590</xdr:rowOff>
    </xdr:to>
    <xdr:pic>
      <xdr:nvPicPr>
        <xdr:cNvPr id="1349" name="Imagen 1348" descr="Ver detalle">
          <a:hlinkClick xmlns:r="http://schemas.openxmlformats.org/officeDocument/2006/relationships" r:id="rId1291" tooltip="Ver detalle"/>
          <a:extLst>
            <a:ext uri="{FF2B5EF4-FFF2-40B4-BE49-F238E27FC236}">
              <a16:creationId xmlns:a16="http://schemas.microsoft.com/office/drawing/2014/main" id="{14E0FCCD-86EF-97DD-751D-603335EC1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9031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943</xdr:row>
      <xdr:rowOff>0</xdr:rowOff>
    </xdr:from>
    <xdr:to>
      <xdr:col>13</xdr:col>
      <xdr:colOff>0</xdr:colOff>
      <xdr:row>944</xdr:row>
      <xdr:rowOff>148590</xdr:rowOff>
    </xdr:to>
    <xdr:pic>
      <xdr:nvPicPr>
        <xdr:cNvPr id="1350" name="Imagen 1349" descr="Ver detalle">
          <a:hlinkClick xmlns:r="http://schemas.openxmlformats.org/officeDocument/2006/relationships" r:id="rId1292" tooltip="Ver detalle"/>
          <a:extLst>
            <a:ext uri="{FF2B5EF4-FFF2-40B4-BE49-F238E27FC236}">
              <a16:creationId xmlns:a16="http://schemas.microsoft.com/office/drawing/2014/main" id="{49423233-1CAF-77E0-B827-9A7F4BA2F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9226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983</xdr:row>
      <xdr:rowOff>0</xdr:rowOff>
    </xdr:from>
    <xdr:to>
      <xdr:col>13</xdr:col>
      <xdr:colOff>0</xdr:colOff>
      <xdr:row>984</xdr:row>
      <xdr:rowOff>114300</xdr:rowOff>
    </xdr:to>
    <xdr:pic>
      <xdr:nvPicPr>
        <xdr:cNvPr id="1351" name="Imagen 1350" descr="Ver detalle">
          <a:hlinkClick xmlns:r="http://schemas.openxmlformats.org/officeDocument/2006/relationships" r:id="rId1293" tooltip="Ver detalle"/>
          <a:extLst>
            <a:ext uri="{FF2B5EF4-FFF2-40B4-BE49-F238E27FC236}">
              <a16:creationId xmlns:a16="http://schemas.microsoft.com/office/drawing/2014/main" id="{FA358C00-BCEC-3EF3-04C0-B4FC61A9A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689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980</xdr:row>
      <xdr:rowOff>0</xdr:rowOff>
    </xdr:from>
    <xdr:to>
      <xdr:col>13</xdr:col>
      <xdr:colOff>0</xdr:colOff>
      <xdr:row>981</xdr:row>
      <xdr:rowOff>148590</xdr:rowOff>
    </xdr:to>
    <xdr:pic>
      <xdr:nvPicPr>
        <xdr:cNvPr id="1352" name="Imagen 1351" descr="Ver detalle">
          <a:hlinkClick xmlns:r="http://schemas.openxmlformats.org/officeDocument/2006/relationships" r:id="rId1294" tooltip="Ver detalle"/>
          <a:extLst>
            <a:ext uri="{FF2B5EF4-FFF2-40B4-BE49-F238E27FC236}">
              <a16:creationId xmlns:a16="http://schemas.microsoft.com/office/drawing/2014/main" id="{9DDFF5A1-727B-C1E4-CFA3-0B0DBE54B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8849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979</xdr:row>
      <xdr:rowOff>0</xdr:rowOff>
    </xdr:from>
    <xdr:to>
      <xdr:col>13</xdr:col>
      <xdr:colOff>0</xdr:colOff>
      <xdr:row>980</xdr:row>
      <xdr:rowOff>148590</xdr:rowOff>
    </xdr:to>
    <xdr:pic>
      <xdr:nvPicPr>
        <xdr:cNvPr id="1353" name="Imagen 1352" descr="Ver detalle">
          <a:hlinkClick xmlns:r="http://schemas.openxmlformats.org/officeDocument/2006/relationships" r:id="rId1295" tooltip="Ver detalle"/>
          <a:extLst>
            <a:ext uri="{FF2B5EF4-FFF2-40B4-BE49-F238E27FC236}">
              <a16:creationId xmlns:a16="http://schemas.microsoft.com/office/drawing/2014/main" id="{5A5A433B-FF72-0B14-796C-D7633A335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0799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976</xdr:row>
      <xdr:rowOff>0</xdr:rowOff>
    </xdr:from>
    <xdr:to>
      <xdr:col>13</xdr:col>
      <xdr:colOff>0</xdr:colOff>
      <xdr:row>977</xdr:row>
      <xdr:rowOff>148590</xdr:rowOff>
    </xdr:to>
    <xdr:pic>
      <xdr:nvPicPr>
        <xdr:cNvPr id="1354" name="Imagen 1353" descr="Ver detalle">
          <a:hlinkClick xmlns:r="http://schemas.openxmlformats.org/officeDocument/2006/relationships" r:id="rId1296" tooltip="Ver detalle"/>
          <a:extLst>
            <a:ext uri="{FF2B5EF4-FFF2-40B4-BE49-F238E27FC236}">
              <a16:creationId xmlns:a16="http://schemas.microsoft.com/office/drawing/2014/main" id="{2E8EC0E2-1183-4D93-4118-7A591468E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275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977</xdr:row>
      <xdr:rowOff>0</xdr:rowOff>
    </xdr:from>
    <xdr:to>
      <xdr:col>13</xdr:col>
      <xdr:colOff>0</xdr:colOff>
      <xdr:row>978</xdr:row>
      <xdr:rowOff>148590</xdr:rowOff>
    </xdr:to>
    <xdr:pic>
      <xdr:nvPicPr>
        <xdr:cNvPr id="1355" name="Imagen 1354" descr="Ver detalle">
          <a:hlinkClick xmlns:r="http://schemas.openxmlformats.org/officeDocument/2006/relationships" r:id="rId1297" tooltip="Ver detalle"/>
          <a:extLst>
            <a:ext uri="{FF2B5EF4-FFF2-40B4-BE49-F238E27FC236}">
              <a16:creationId xmlns:a16="http://schemas.microsoft.com/office/drawing/2014/main" id="{E1E18F62-DA37-4945-21BE-F781CE25A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470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978</xdr:row>
      <xdr:rowOff>0</xdr:rowOff>
    </xdr:from>
    <xdr:to>
      <xdr:col>13</xdr:col>
      <xdr:colOff>0</xdr:colOff>
      <xdr:row>979</xdr:row>
      <xdr:rowOff>148590</xdr:rowOff>
    </xdr:to>
    <xdr:pic>
      <xdr:nvPicPr>
        <xdr:cNvPr id="1356" name="Imagen 1355" descr="Ver detalle">
          <a:hlinkClick xmlns:r="http://schemas.openxmlformats.org/officeDocument/2006/relationships" r:id="rId1298" tooltip="Ver detalle"/>
          <a:extLst>
            <a:ext uri="{FF2B5EF4-FFF2-40B4-BE49-F238E27FC236}">
              <a16:creationId xmlns:a16="http://schemas.microsoft.com/office/drawing/2014/main" id="{84A8A99B-EBA0-A2D5-A9E0-2385E6DED1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665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974</xdr:row>
      <xdr:rowOff>0</xdr:rowOff>
    </xdr:from>
    <xdr:to>
      <xdr:col>13</xdr:col>
      <xdr:colOff>0</xdr:colOff>
      <xdr:row>975</xdr:row>
      <xdr:rowOff>148590</xdr:rowOff>
    </xdr:to>
    <xdr:pic>
      <xdr:nvPicPr>
        <xdr:cNvPr id="1357" name="Imagen 1356" descr="Ver detalle">
          <a:hlinkClick xmlns:r="http://schemas.openxmlformats.org/officeDocument/2006/relationships" r:id="rId1299" tooltip="Ver detalle"/>
          <a:extLst>
            <a:ext uri="{FF2B5EF4-FFF2-40B4-BE49-F238E27FC236}">
              <a16:creationId xmlns:a16="http://schemas.microsoft.com/office/drawing/2014/main" id="{5547C0FE-89D6-5D2A-E593-39565A931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7954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972</xdr:row>
      <xdr:rowOff>0</xdr:rowOff>
    </xdr:from>
    <xdr:to>
      <xdr:col>13</xdr:col>
      <xdr:colOff>0</xdr:colOff>
      <xdr:row>973</xdr:row>
      <xdr:rowOff>148590</xdr:rowOff>
    </xdr:to>
    <xdr:pic>
      <xdr:nvPicPr>
        <xdr:cNvPr id="1358" name="Imagen 1357" descr="Ver detalle">
          <a:hlinkClick xmlns:r="http://schemas.openxmlformats.org/officeDocument/2006/relationships" r:id="rId1300" tooltip="Ver detalle"/>
          <a:extLst>
            <a:ext uri="{FF2B5EF4-FFF2-40B4-BE49-F238E27FC236}">
              <a16:creationId xmlns:a16="http://schemas.microsoft.com/office/drawing/2014/main" id="{12FDD137-42CE-7B5A-23DE-68BA7428F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9905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1055</xdr:row>
      <xdr:rowOff>0</xdr:rowOff>
    </xdr:from>
    <xdr:to>
      <xdr:col>13</xdr:col>
      <xdr:colOff>0</xdr:colOff>
      <xdr:row>1056</xdr:row>
      <xdr:rowOff>148590</xdr:rowOff>
    </xdr:to>
    <xdr:pic>
      <xdr:nvPicPr>
        <xdr:cNvPr id="1359" name="Imagen 1358" descr="Ver detalle">
          <a:hlinkClick xmlns:r="http://schemas.openxmlformats.org/officeDocument/2006/relationships" r:id="rId1301" tooltip="Ver detalle"/>
          <a:extLst>
            <a:ext uri="{FF2B5EF4-FFF2-40B4-BE49-F238E27FC236}">
              <a16:creationId xmlns:a16="http://schemas.microsoft.com/office/drawing/2014/main" id="{42E01131-85AD-CF15-4102-A9A623D7B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1856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1056</xdr:row>
      <xdr:rowOff>0</xdr:rowOff>
    </xdr:from>
    <xdr:to>
      <xdr:col>13</xdr:col>
      <xdr:colOff>0</xdr:colOff>
      <xdr:row>1057</xdr:row>
      <xdr:rowOff>148590</xdr:rowOff>
    </xdr:to>
    <xdr:pic>
      <xdr:nvPicPr>
        <xdr:cNvPr id="1360" name="Imagen 1359" descr="Ver detalle">
          <a:hlinkClick xmlns:r="http://schemas.openxmlformats.org/officeDocument/2006/relationships" r:id="rId1302" tooltip="Ver detalle"/>
          <a:extLst>
            <a:ext uri="{FF2B5EF4-FFF2-40B4-BE49-F238E27FC236}">
              <a16:creationId xmlns:a16="http://schemas.microsoft.com/office/drawing/2014/main" id="{86E51FD1-F142-5EDC-1738-0CAF37335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3807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1057</xdr:row>
      <xdr:rowOff>0</xdr:rowOff>
    </xdr:from>
    <xdr:to>
      <xdr:col>13</xdr:col>
      <xdr:colOff>0</xdr:colOff>
      <xdr:row>1058</xdr:row>
      <xdr:rowOff>148590</xdr:rowOff>
    </xdr:to>
    <xdr:pic>
      <xdr:nvPicPr>
        <xdr:cNvPr id="1361" name="Imagen 1360" descr="Ver detalle">
          <a:hlinkClick xmlns:r="http://schemas.openxmlformats.org/officeDocument/2006/relationships" r:id="rId1303" tooltip="Ver detalle"/>
          <a:extLst>
            <a:ext uri="{FF2B5EF4-FFF2-40B4-BE49-F238E27FC236}">
              <a16:creationId xmlns:a16="http://schemas.microsoft.com/office/drawing/2014/main" id="{45B337EA-7DC2-B45A-5BC2-EB194A54B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575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1058</xdr:row>
      <xdr:rowOff>0</xdr:rowOff>
    </xdr:from>
    <xdr:to>
      <xdr:col>13</xdr:col>
      <xdr:colOff>0</xdr:colOff>
      <xdr:row>1059</xdr:row>
      <xdr:rowOff>148590</xdr:rowOff>
    </xdr:to>
    <xdr:pic>
      <xdr:nvPicPr>
        <xdr:cNvPr id="1362" name="Imagen 1361" descr="Ver detalle">
          <a:hlinkClick xmlns:r="http://schemas.openxmlformats.org/officeDocument/2006/relationships" r:id="rId1304" tooltip="Ver detalle"/>
          <a:extLst>
            <a:ext uri="{FF2B5EF4-FFF2-40B4-BE49-F238E27FC236}">
              <a16:creationId xmlns:a16="http://schemas.microsoft.com/office/drawing/2014/main" id="{25B12184-8B80-3F0A-4E3B-4840FFBBE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7708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1059</xdr:row>
      <xdr:rowOff>0</xdr:rowOff>
    </xdr:from>
    <xdr:to>
      <xdr:col>13</xdr:col>
      <xdr:colOff>0</xdr:colOff>
      <xdr:row>1060</xdr:row>
      <xdr:rowOff>148590</xdr:rowOff>
    </xdr:to>
    <xdr:pic>
      <xdr:nvPicPr>
        <xdr:cNvPr id="1363" name="Imagen 1362" descr="Ver detalle">
          <a:hlinkClick xmlns:r="http://schemas.openxmlformats.org/officeDocument/2006/relationships" r:id="rId1305" tooltip="Ver detalle"/>
          <a:extLst>
            <a:ext uri="{FF2B5EF4-FFF2-40B4-BE49-F238E27FC236}">
              <a16:creationId xmlns:a16="http://schemas.microsoft.com/office/drawing/2014/main" id="{FCAE45FA-2544-8F00-700E-C92C16EB5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9659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1060</xdr:row>
      <xdr:rowOff>0</xdr:rowOff>
    </xdr:from>
    <xdr:to>
      <xdr:col>13</xdr:col>
      <xdr:colOff>0</xdr:colOff>
      <xdr:row>1061</xdr:row>
      <xdr:rowOff>148590</xdr:rowOff>
    </xdr:to>
    <xdr:pic>
      <xdr:nvPicPr>
        <xdr:cNvPr id="1364" name="Imagen 1363" descr="Ver detalle">
          <a:hlinkClick xmlns:r="http://schemas.openxmlformats.org/officeDocument/2006/relationships" r:id="rId1306" tooltip="Ver detalle"/>
          <a:extLst>
            <a:ext uri="{FF2B5EF4-FFF2-40B4-BE49-F238E27FC236}">
              <a16:creationId xmlns:a16="http://schemas.microsoft.com/office/drawing/2014/main" id="{265B5373-9759-2073-4508-8BA0F5F95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0573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1061</xdr:row>
      <xdr:rowOff>0</xdr:rowOff>
    </xdr:from>
    <xdr:to>
      <xdr:col>13</xdr:col>
      <xdr:colOff>0</xdr:colOff>
      <xdr:row>1062</xdr:row>
      <xdr:rowOff>148590</xdr:rowOff>
    </xdr:to>
    <xdr:pic>
      <xdr:nvPicPr>
        <xdr:cNvPr id="1365" name="Imagen 1364" descr="Ver detalle">
          <a:hlinkClick xmlns:r="http://schemas.openxmlformats.org/officeDocument/2006/relationships" r:id="rId1307" tooltip="Ver detalle"/>
          <a:extLst>
            <a:ext uri="{FF2B5EF4-FFF2-40B4-BE49-F238E27FC236}">
              <a16:creationId xmlns:a16="http://schemas.microsoft.com/office/drawing/2014/main" id="{6E64A7AE-7EDF-DF3B-DAC5-EDAEBFED37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2524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1062</xdr:row>
      <xdr:rowOff>0</xdr:rowOff>
    </xdr:from>
    <xdr:to>
      <xdr:col>13</xdr:col>
      <xdr:colOff>0</xdr:colOff>
      <xdr:row>1063</xdr:row>
      <xdr:rowOff>148590</xdr:rowOff>
    </xdr:to>
    <xdr:pic>
      <xdr:nvPicPr>
        <xdr:cNvPr id="1366" name="Imagen 1365" descr="Ver detalle">
          <a:hlinkClick xmlns:r="http://schemas.openxmlformats.org/officeDocument/2006/relationships" r:id="rId1308" tooltip="Ver detalle"/>
          <a:extLst>
            <a:ext uri="{FF2B5EF4-FFF2-40B4-BE49-F238E27FC236}">
              <a16:creationId xmlns:a16="http://schemas.microsoft.com/office/drawing/2014/main" id="{057A4937-E5E1-50E7-B343-6CDF2522B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4475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1063</xdr:row>
      <xdr:rowOff>0</xdr:rowOff>
    </xdr:from>
    <xdr:to>
      <xdr:col>13</xdr:col>
      <xdr:colOff>0</xdr:colOff>
      <xdr:row>1064</xdr:row>
      <xdr:rowOff>148590</xdr:rowOff>
    </xdr:to>
    <xdr:pic>
      <xdr:nvPicPr>
        <xdr:cNvPr id="1367" name="Imagen 1366" descr="Ver detalle">
          <a:hlinkClick xmlns:r="http://schemas.openxmlformats.org/officeDocument/2006/relationships" r:id="rId1309" tooltip="Ver detalle"/>
          <a:extLst>
            <a:ext uri="{FF2B5EF4-FFF2-40B4-BE49-F238E27FC236}">
              <a16:creationId xmlns:a16="http://schemas.microsoft.com/office/drawing/2014/main" id="{3DCE45EB-FA63-9383-F7BB-ED2A4FE4D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577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1064</xdr:row>
      <xdr:rowOff>0</xdr:rowOff>
    </xdr:from>
    <xdr:to>
      <xdr:col>13</xdr:col>
      <xdr:colOff>0</xdr:colOff>
      <xdr:row>1065</xdr:row>
      <xdr:rowOff>148590</xdr:rowOff>
    </xdr:to>
    <xdr:pic>
      <xdr:nvPicPr>
        <xdr:cNvPr id="1368" name="Imagen 1367" descr="Ver detalle">
          <a:hlinkClick xmlns:r="http://schemas.openxmlformats.org/officeDocument/2006/relationships" r:id="rId1310" tooltip="Ver detalle"/>
          <a:extLst>
            <a:ext uri="{FF2B5EF4-FFF2-40B4-BE49-F238E27FC236}">
              <a16:creationId xmlns:a16="http://schemas.microsoft.com/office/drawing/2014/main" id="{726AF00A-55F7-84D5-38CF-824626C57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708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1071</xdr:row>
      <xdr:rowOff>0</xdr:rowOff>
    </xdr:from>
    <xdr:to>
      <xdr:col>13</xdr:col>
      <xdr:colOff>0</xdr:colOff>
      <xdr:row>1072</xdr:row>
      <xdr:rowOff>114300</xdr:rowOff>
    </xdr:to>
    <xdr:pic>
      <xdr:nvPicPr>
        <xdr:cNvPr id="1369" name="Imagen 1368" descr="Ver detalle">
          <a:hlinkClick xmlns:r="http://schemas.openxmlformats.org/officeDocument/2006/relationships" r:id="rId1311" tooltip="Ver detalle"/>
          <a:extLst>
            <a:ext uri="{FF2B5EF4-FFF2-40B4-BE49-F238E27FC236}">
              <a16:creationId xmlns:a16="http://schemas.microsoft.com/office/drawing/2014/main" id="{E5CBB249-7043-D7B9-3CD0-2F928100D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8384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1066</xdr:row>
      <xdr:rowOff>0</xdr:rowOff>
    </xdr:from>
    <xdr:to>
      <xdr:col>13</xdr:col>
      <xdr:colOff>0</xdr:colOff>
      <xdr:row>1067</xdr:row>
      <xdr:rowOff>148590</xdr:rowOff>
    </xdr:to>
    <xdr:pic>
      <xdr:nvPicPr>
        <xdr:cNvPr id="1370" name="Imagen 1369" descr="Ver detalle">
          <a:hlinkClick xmlns:r="http://schemas.openxmlformats.org/officeDocument/2006/relationships" r:id="rId1312" tooltip="Ver detalle"/>
          <a:extLst>
            <a:ext uri="{FF2B5EF4-FFF2-40B4-BE49-F238E27FC236}">
              <a16:creationId xmlns:a16="http://schemas.microsoft.com/office/drawing/2014/main" id="{05497E81-7E32-67EF-BCD7-5FC8DA411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033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1067</xdr:row>
      <xdr:rowOff>0</xdr:rowOff>
    </xdr:from>
    <xdr:to>
      <xdr:col>13</xdr:col>
      <xdr:colOff>0</xdr:colOff>
      <xdr:row>1068</xdr:row>
      <xdr:rowOff>148590</xdr:rowOff>
    </xdr:to>
    <xdr:pic>
      <xdr:nvPicPr>
        <xdr:cNvPr id="1371" name="Imagen 1370" descr="Ver detalle">
          <a:hlinkClick xmlns:r="http://schemas.openxmlformats.org/officeDocument/2006/relationships" r:id="rId1313" tooltip="Ver detalle"/>
          <a:extLst>
            <a:ext uri="{FF2B5EF4-FFF2-40B4-BE49-F238E27FC236}">
              <a16:creationId xmlns:a16="http://schemas.microsoft.com/office/drawing/2014/main" id="{D79E8049-46A9-A563-655A-35FC038A8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228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1042</xdr:row>
      <xdr:rowOff>0</xdr:rowOff>
    </xdr:from>
    <xdr:to>
      <xdr:col>13</xdr:col>
      <xdr:colOff>0</xdr:colOff>
      <xdr:row>1043</xdr:row>
      <xdr:rowOff>148590</xdr:rowOff>
    </xdr:to>
    <xdr:pic>
      <xdr:nvPicPr>
        <xdr:cNvPr id="1372" name="Imagen 1371" descr="Ver detalle">
          <a:hlinkClick xmlns:r="http://schemas.openxmlformats.org/officeDocument/2006/relationships" r:id="rId1314" tooltip="Ver detalle"/>
          <a:extLst>
            <a:ext uri="{FF2B5EF4-FFF2-40B4-BE49-F238E27FC236}">
              <a16:creationId xmlns:a16="http://schemas.microsoft.com/office/drawing/2014/main" id="{C5A7BD6B-F90A-6ABC-4C36-C9D17001F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423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1049</xdr:row>
      <xdr:rowOff>0</xdr:rowOff>
    </xdr:from>
    <xdr:to>
      <xdr:col>13</xdr:col>
      <xdr:colOff>0</xdr:colOff>
      <xdr:row>1050</xdr:row>
      <xdr:rowOff>148590</xdr:rowOff>
    </xdr:to>
    <xdr:pic>
      <xdr:nvPicPr>
        <xdr:cNvPr id="1373" name="Imagen 1372" descr="Ver detalle">
          <a:hlinkClick xmlns:r="http://schemas.openxmlformats.org/officeDocument/2006/relationships" r:id="rId1315" tooltip="Ver detalle"/>
          <a:extLst>
            <a:ext uri="{FF2B5EF4-FFF2-40B4-BE49-F238E27FC236}">
              <a16:creationId xmlns:a16="http://schemas.microsoft.com/office/drawing/2014/main" id="{117696E9-E24D-1FDE-FE4B-FA3B814E7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618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1043</xdr:row>
      <xdr:rowOff>0</xdr:rowOff>
    </xdr:from>
    <xdr:to>
      <xdr:col>13</xdr:col>
      <xdr:colOff>0</xdr:colOff>
      <xdr:row>1044</xdr:row>
      <xdr:rowOff>148590</xdr:rowOff>
    </xdr:to>
    <xdr:pic>
      <xdr:nvPicPr>
        <xdr:cNvPr id="1374" name="Imagen 1373" descr="Ver detalle">
          <a:hlinkClick xmlns:r="http://schemas.openxmlformats.org/officeDocument/2006/relationships" r:id="rId1316" tooltip="Ver detalle"/>
          <a:extLst>
            <a:ext uri="{FF2B5EF4-FFF2-40B4-BE49-F238E27FC236}">
              <a16:creationId xmlns:a16="http://schemas.microsoft.com/office/drawing/2014/main" id="{E6B23A38-76B1-4604-7B0B-131D88937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813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1045</xdr:row>
      <xdr:rowOff>0</xdr:rowOff>
    </xdr:from>
    <xdr:to>
      <xdr:col>13</xdr:col>
      <xdr:colOff>0</xdr:colOff>
      <xdr:row>1046</xdr:row>
      <xdr:rowOff>148590</xdr:rowOff>
    </xdr:to>
    <xdr:pic>
      <xdr:nvPicPr>
        <xdr:cNvPr id="1375" name="Imagen 1374" descr="Ver detalle">
          <a:hlinkClick xmlns:r="http://schemas.openxmlformats.org/officeDocument/2006/relationships" r:id="rId1317" tooltip="Ver detalle"/>
          <a:extLst>
            <a:ext uri="{FF2B5EF4-FFF2-40B4-BE49-F238E27FC236}">
              <a16:creationId xmlns:a16="http://schemas.microsoft.com/office/drawing/2014/main" id="{C2468D01-7353-6708-0F2B-7480469B6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2203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1050</xdr:row>
      <xdr:rowOff>0</xdr:rowOff>
    </xdr:from>
    <xdr:to>
      <xdr:col>13</xdr:col>
      <xdr:colOff>0</xdr:colOff>
      <xdr:row>1051</xdr:row>
      <xdr:rowOff>148590</xdr:rowOff>
    </xdr:to>
    <xdr:pic>
      <xdr:nvPicPr>
        <xdr:cNvPr id="1376" name="Imagen 1375" descr="Ver detalle">
          <a:hlinkClick xmlns:r="http://schemas.openxmlformats.org/officeDocument/2006/relationships" r:id="rId1318" tooltip="Ver detalle"/>
          <a:extLst>
            <a:ext uri="{FF2B5EF4-FFF2-40B4-BE49-F238E27FC236}">
              <a16:creationId xmlns:a16="http://schemas.microsoft.com/office/drawing/2014/main" id="{E1BDF7EC-603B-AF8B-DDC9-7CC622C80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2398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1051</xdr:row>
      <xdr:rowOff>0</xdr:rowOff>
    </xdr:from>
    <xdr:to>
      <xdr:col>13</xdr:col>
      <xdr:colOff>0</xdr:colOff>
      <xdr:row>1052</xdr:row>
      <xdr:rowOff>148590</xdr:rowOff>
    </xdr:to>
    <xdr:pic>
      <xdr:nvPicPr>
        <xdr:cNvPr id="1377" name="Imagen 1376" descr="Ver detalle">
          <a:hlinkClick xmlns:r="http://schemas.openxmlformats.org/officeDocument/2006/relationships" r:id="rId1319" tooltip="Ver detalle"/>
          <a:extLst>
            <a:ext uri="{FF2B5EF4-FFF2-40B4-BE49-F238E27FC236}">
              <a16:creationId xmlns:a16="http://schemas.microsoft.com/office/drawing/2014/main" id="{146B9DBD-9113-DC7C-68F6-516104452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2594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1046</xdr:row>
      <xdr:rowOff>0</xdr:rowOff>
    </xdr:from>
    <xdr:to>
      <xdr:col>13</xdr:col>
      <xdr:colOff>0</xdr:colOff>
      <xdr:row>1047</xdr:row>
      <xdr:rowOff>148590</xdr:rowOff>
    </xdr:to>
    <xdr:pic>
      <xdr:nvPicPr>
        <xdr:cNvPr id="1378" name="Imagen 1377" descr="Ver detalle">
          <a:hlinkClick xmlns:r="http://schemas.openxmlformats.org/officeDocument/2006/relationships" r:id="rId1320" tooltip="Ver detalle"/>
          <a:extLst>
            <a:ext uri="{FF2B5EF4-FFF2-40B4-BE49-F238E27FC236}">
              <a16:creationId xmlns:a16="http://schemas.microsoft.com/office/drawing/2014/main" id="{96A18B87-1808-40F6-4CFD-4D5FDA190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2789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1047</xdr:row>
      <xdr:rowOff>0</xdr:rowOff>
    </xdr:from>
    <xdr:to>
      <xdr:col>13</xdr:col>
      <xdr:colOff>0</xdr:colOff>
      <xdr:row>1048</xdr:row>
      <xdr:rowOff>148590</xdr:rowOff>
    </xdr:to>
    <xdr:pic>
      <xdr:nvPicPr>
        <xdr:cNvPr id="1379" name="Imagen 1378" descr="Ver detalle">
          <a:hlinkClick xmlns:r="http://schemas.openxmlformats.org/officeDocument/2006/relationships" r:id="rId1321" tooltip="Ver detalle"/>
          <a:extLst>
            <a:ext uri="{FF2B5EF4-FFF2-40B4-BE49-F238E27FC236}">
              <a16:creationId xmlns:a16="http://schemas.microsoft.com/office/drawing/2014/main" id="{65CDF289-635C-3615-8B71-030A24EC4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2984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1048</xdr:row>
      <xdr:rowOff>0</xdr:rowOff>
    </xdr:from>
    <xdr:to>
      <xdr:col>13</xdr:col>
      <xdr:colOff>0</xdr:colOff>
      <xdr:row>1049</xdr:row>
      <xdr:rowOff>148590</xdr:rowOff>
    </xdr:to>
    <xdr:pic>
      <xdr:nvPicPr>
        <xdr:cNvPr id="1380" name="Imagen 1379" descr="Ver detalle">
          <a:hlinkClick xmlns:r="http://schemas.openxmlformats.org/officeDocument/2006/relationships" r:id="rId1322" tooltip="Ver detalle"/>
          <a:extLst>
            <a:ext uri="{FF2B5EF4-FFF2-40B4-BE49-F238E27FC236}">
              <a16:creationId xmlns:a16="http://schemas.microsoft.com/office/drawing/2014/main" id="{EAACF034-2F5E-7D37-3258-F9060DE83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3179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1032</xdr:row>
      <xdr:rowOff>0</xdr:rowOff>
    </xdr:from>
    <xdr:to>
      <xdr:col>13</xdr:col>
      <xdr:colOff>0</xdr:colOff>
      <xdr:row>1033</xdr:row>
      <xdr:rowOff>148590</xdr:rowOff>
    </xdr:to>
    <xdr:pic>
      <xdr:nvPicPr>
        <xdr:cNvPr id="1381" name="Imagen 1380" descr="Ver detalle">
          <a:hlinkClick xmlns:r="http://schemas.openxmlformats.org/officeDocument/2006/relationships" r:id="rId1323" tooltip="Ver detalle"/>
          <a:extLst>
            <a:ext uri="{FF2B5EF4-FFF2-40B4-BE49-F238E27FC236}">
              <a16:creationId xmlns:a16="http://schemas.microsoft.com/office/drawing/2014/main" id="{5DA82342-6800-5667-22DB-1F00D822C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337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1033</xdr:row>
      <xdr:rowOff>0</xdr:rowOff>
    </xdr:from>
    <xdr:to>
      <xdr:col>13</xdr:col>
      <xdr:colOff>0</xdr:colOff>
      <xdr:row>1034</xdr:row>
      <xdr:rowOff>148590</xdr:rowOff>
    </xdr:to>
    <xdr:pic>
      <xdr:nvPicPr>
        <xdr:cNvPr id="1382" name="Imagen 1381" descr="Ver detalle">
          <a:hlinkClick xmlns:r="http://schemas.openxmlformats.org/officeDocument/2006/relationships" r:id="rId1324" tooltip="Ver detalle"/>
          <a:extLst>
            <a:ext uri="{FF2B5EF4-FFF2-40B4-BE49-F238E27FC236}">
              <a16:creationId xmlns:a16="http://schemas.microsoft.com/office/drawing/2014/main" id="{0A18F1BC-72B4-1F07-EA8C-8E3B161D1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35694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1034</xdr:row>
      <xdr:rowOff>0</xdr:rowOff>
    </xdr:from>
    <xdr:to>
      <xdr:col>13</xdr:col>
      <xdr:colOff>0</xdr:colOff>
      <xdr:row>1035</xdr:row>
      <xdr:rowOff>148590</xdr:rowOff>
    </xdr:to>
    <xdr:pic>
      <xdr:nvPicPr>
        <xdr:cNvPr id="1383" name="Imagen 1382" descr="Ver detalle">
          <a:hlinkClick xmlns:r="http://schemas.openxmlformats.org/officeDocument/2006/relationships" r:id="rId1325" tooltip="Ver detalle"/>
          <a:extLst>
            <a:ext uri="{FF2B5EF4-FFF2-40B4-BE49-F238E27FC236}">
              <a16:creationId xmlns:a16="http://schemas.microsoft.com/office/drawing/2014/main" id="{BB32ED34-ECF1-A5B0-4ACE-F5D9DEC6B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3764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1035</xdr:row>
      <xdr:rowOff>0</xdr:rowOff>
    </xdr:from>
    <xdr:to>
      <xdr:col>13</xdr:col>
      <xdr:colOff>0</xdr:colOff>
      <xdr:row>1036</xdr:row>
      <xdr:rowOff>148590</xdr:rowOff>
    </xdr:to>
    <xdr:pic>
      <xdr:nvPicPr>
        <xdr:cNvPr id="1384" name="Imagen 1383" descr="Ver detalle">
          <a:hlinkClick xmlns:r="http://schemas.openxmlformats.org/officeDocument/2006/relationships" r:id="rId1326" tooltip="Ver detalle"/>
          <a:extLst>
            <a:ext uri="{FF2B5EF4-FFF2-40B4-BE49-F238E27FC236}">
              <a16:creationId xmlns:a16="http://schemas.microsoft.com/office/drawing/2014/main" id="{C2546750-44B9-1814-1BC7-F76FE0CBA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39595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1036</xdr:row>
      <xdr:rowOff>0</xdr:rowOff>
    </xdr:from>
    <xdr:to>
      <xdr:col>13</xdr:col>
      <xdr:colOff>0</xdr:colOff>
      <xdr:row>1037</xdr:row>
      <xdr:rowOff>148590</xdr:rowOff>
    </xdr:to>
    <xdr:pic>
      <xdr:nvPicPr>
        <xdr:cNvPr id="1385" name="Imagen 1384" descr="Ver detalle">
          <a:hlinkClick xmlns:r="http://schemas.openxmlformats.org/officeDocument/2006/relationships" r:id="rId1327" tooltip="Ver detalle"/>
          <a:extLst>
            <a:ext uri="{FF2B5EF4-FFF2-40B4-BE49-F238E27FC236}">
              <a16:creationId xmlns:a16="http://schemas.microsoft.com/office/drawing/2014/main" id="{6E8DF4EC-B569-0C37-0CA7-E43984BDB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4154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1037</xdr:row>
      <xdr:rowOff>0</xdr:rowOff>
    </xdr:from>
    <xdr:to>
      <xdr:col>13</xdr:col>
      <xdr:colOff>0</xdr:colOff>
      <xdr:row>1038</xdr:row>
      <xdr:rowOff>148590</xdr:rowOff>
    </xdr:to>
    <xdr:pic>
      <xdr:nvPicPr>
        <xdr:cNvPr id="1386" name="Imagen 1385" descr="Ver detalle">
          <a:hlinkClick xmlns:r="http://schemas.openxmlformats.org/officeDocument/2006/relationships" r:id="rId1328" tooltip="Ver detalle"/>
          <a:extLst>
            <a:ext uri="{FF2B5EF4-FFF2-40B4-BE49-F238E27FC236}">
              <a16:creationId xmlns:a16="http://schemas.microsoft.com/office/drawing/2014/main" id="{6606DF23-84CA-1007-F4B0-1129ED660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4349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1038</xdr:row>
      <xdr:rowOff>0</xdr:rowOff>
    </xdr:from>
    <xdr:to>
      <xdr:col>13</xdr:col>
      <xdr:colOff>0</xdr:colOff>
      <xdr:row>1039</xdr:row>
      <xdr:rowOff>148590</xdr:rowOff>
    </xdr:to>
    <xdr:pic>
      <xdr:nvPicPr>
        <xdr:cNvPr id="1387" name="Imagen 1386" descr="Ver detalle">
          <a:hlinkClick xmlns:r="http://schemas.openxmlformats.org/officeDocument/2006/relationships" r:id="rId1329" tooltip="Ver detalle"/>
          <a:extLst>
            <a:ext uri="{FF2B5EF4-FFF2-40B4-BE49-F238E27FC236}">
              <a16:creationId xmlns:a16="http://schemas.microsoft.com/office/drawing/2014/main" id="{0784913F-CF79-0A28-480B-98E14351E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4544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1039</xdr:row>
      <xdr:rowOff>0</xdr:rowOff>
    </xdr:from>
    <xdr:to>
      <xdr:col>13</xdr:col>
      <xdr:colOff>0</xdr:colOff>
      <xdr:row>1040</xdr:row>
      <xdr:rowOff>148590</xdr:rowOff>
    </xdr:to>
    <xdr:pic>
      <xdr:nvPicPr>
        <xdr:cNvPr id="1388" name="Imagen 1387" descr="Ver detalle">
          <a:hlinkClick xmlns:r="http://schemas.openxmlformats.org/officeDocument/2006/relationships" r:id="rId1330" tooltip="Ver detalle"/>
          <a:extLst>
            <a:ext uri="{FF2B5EF4-FFF2-40B4-BE49-F238E27FC236}">
              <a16:creationId xmlns:a16="http://schemas.microsoft.com/office/drawing/2014/main" id="{D1F372F3-B9FF-F5E0-182E-F720D99B3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4739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1040</xdr:row>
      <xdr:rowOff>0</xdr:rowOff>
    </xdr:from>
    <xdr:to>
      <xdr:col>13</xdr:col>
      <xdr:colOff>0</xdr:colOff>
      <xdr:row>1041</xdr:row>
      <xdr:rowOff>148590</xdr:rowOff>
    </xdr:to>
    <xdr:pic>
      <xdr:nvPicPr>
        <xdr:cNvPr id="1389" name="Imagen 1388" descr="Ver detalle">
          <a:hlinkClick xmlns:r="http://schemas.openxmlformats.org/officeDocument/2006/relationships" r:id="rId1331" tooltip="Ver detalle"/>
          <a:extLst>
            <a:ext uri="{FF2B5EF4-FFF2-40B4-BE49-F238E27FC236}">
              <a16:creationId xmlns:a16="http://schemas.microsoft.com/office/drawing/2014/main" id="{EDF93E53-33D5-28DF-6918-182655B83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4934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1041</xdr:row>
      <xdr:rowOff>0</xdr:rowOff>
    </xdr:from>
    <xdr:to>
      <xdr:col>13</xdr:col>
      <xdr:colOff>0</xdr:colOff>
      <xdr:row>1042</xdr:row>
      <xdr:rowOff>148590</xdr:rowOff>
    </xdr:to>
    <xdr:pic>
      <xdr:nvPicPr>
        <xdr:cNvPr id="1390" name="Imagen 1389" descr="Ver detalle">
          <a:hlinkClick xmlns:r="http://schemas.openxmlformats.org/officeDocument/2006/relationships" r:id="rId1332" tooltip="Ver detalle"/>
          <a:extLst>
            <a:ext uri="{FF2B5EF4-FFF2-40B4-BE49-F238E27FC236}">
              <a16:creationId xmlns:a16="http://schemas.microsoft.com/office/drawing/2014/main" id="{C5CC1E7E-6E76-4B3A-4495-3AF668A6E3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51299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970</xdr:row>
      <xdr:rowOff>0</xdr:rowOff>
    </xdr:from>
    <xdr:to>
      <xdr:col>13</xdr:col>
      <xdr:colOff>0</xdr:colOff>
      <xdr:row>971</xdr:row>
      <xdr:rowOff>148590</xdr:rowOff>
    </xdr:to>
    <xdr:pic>
      <xdr:nvPicPr>
        <xdr:cNvPr id="1391" name="Imagen 1390" descr="Ver detalle">
          <a:hlinkClick xmlns:r="http://schemas.openxmlformats.org/officeDocument/2006/relationships" r:id="rId1333" tooltip="Ver detalle"/>
          <a:extLst>
            <a:ext uri="{FF2B5EF4-FFF2-40B4-BE49-F238E27FC236}">
              <a16:creationId xmlns:a16="http://schemas.microsoft.com/office/drawing/2014/main" id="{8CA57FBB-1DE9-A646-400A-94E4095FE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5325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1021</xdr:row>
      <xdr:rowOff>0</xdr:rowOff>
    </xdr:from>
    <xdr:to>
      <xdr:col>13</xdr:col>
      <xdr:colOff>0</xdr:colOff>
      <xdr:row>1022</xdr:row>
      <xdr:rowOff>148590</xdr:rowOff>
    </xdr:to>
    <xdr:pic>
      <xdr:nvPicPr>
        <xdr:cNvPr id="1392" name="Imagen 1391" descr="Ver detalle">
          <a:hlinkClick xmlns:r="http://schemas.openxmlformats.org/officeDocument/2006/relationships" r:id="rId1334" tooltip="Ver detalle"/>
          <a:extLst>
            <a:ext uri="{FF2B5EF4-FFF2-40B4-BE49-F238E27FC236}">
              <a16:creationId xmlns:a16="http://schemas.microsoft.com/office/drawing/2014/main" id="{FD2627DF-1C24-C3AB-050D-D99FE0BFF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55201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1070</xdr:row>
      <xdr:rowOff>0</xdr:rowOff>
    </xdr:from>
    <xdr:to>
      <xdr:col>13</xdr:col>
      <xdr:colOff>0</xdr:colOff>
      <xdr:row>1071</xdr:row>
      <xdr:rowOff>148590</xdr:rowOff>
    </xdr:to>
    <xdr:pic>
      <xdr:nvPicPr>
        <xdr:cNvPr id="1393" name="Imagen 1392" descr="Ver detalle">
          <a:hlinkClick xmlns:r="http://schemas.openxmlformats.org/officeDocument/2006/relationships" r:id="rId1335" tooltip="Ver detalle"/>
          <a:extLst>
            <a:ext uri="{FF2B5EF4-FFF2-40B4-BE49-F238E27FC236}">
              <a16:creationId xmlns:a16="http://schemas.microsoft.com/office/drawing/2014/main" id="{A283FE35-4C39-1731-6CE3-5BCB861BA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5715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1068</xdr:row>
      <xdr:rowOff>0</xdr:rowOff>
    </xdr:from>
    <xdr:to>
      <xdr:col>13</xdr:col>
      <xdr:colOff>0</xdr:colOff>
      <xdr:row>1069</xdr:row>
      <xdr:rowOff>148590</xdr:rowOff>
    </xdr:to>
    <xdr:pic>
      <xdr:nvPicPr>
        <xdr:cNvPr id="1394" name="Imagen 1393" descr="Ver detalle">
          <a:hlinkClick xmlns:r="http://schemas.openxmlformats.org/officeDocument/2006/relationships" r:id="rId1336" tooltip="Ver detalle"/>
          <a:extLst>
            <a:ext uri="{FF2B5EF4-FFF2-40B4-BE49-F238E27FC236}">
              <a16:creationId xmlns:a16="http://schemas.microsoft.com/office/drawing/2014/main" id="{FBFFA9AA-4227-355B-DF82-5832B6A8B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5910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1069</xdr:row>
      <xdr:rowOff>0</xdr:rowOff>
    </xdr:from>
    <xdr:to>
      <xdr:col>13</xdr:col>
      <xdr:colOff>0</xdr:colOff>
      <xdr:row>1070</xdr:row>
      <xdr:rowOff>148590</xdr:rowOff>
    </xdr:to>
    <xdr:pic>
      <xdr:nvPicPr>
        <xdr:cNvPr id="1395" name="Imagen 1394" descr="Ver detalle">
          <a:hlinkClick xmlns:r="http://schemas.openxmlformats.org/officeDocument/2006/relationships" r:id="rId1337" tooltip="Ver detalle"/>
          <a:extLst>
            <a:ext uri="{FF2B5EF4-FFF2-40B4-BE49-F238E27FC236}">
              <a16:creationId xmlns:a16="http://schemas.microsoft.com/office/drawing/2014/main" id="{3C5EB25D-6BD0-AD59-46DA-6BCE63C11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6105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1052</xdr:row>
      <xdr:rowOff>0</xdr:rowOff>
    </xdr:from>
    <xdr:to>
      <xdr:col>13</xdr:col>
      <xdr:colOff>0</xdr:colOff>
      <xdr:row>1053</xdr:row>
      <xdr:rowOff>148590</xdr:rowOff>
    </xdr:to>
    <xdr:pic>
      <xdr:nvPicPr>
        <xdr:cNvPr id="1396" name="Imagen 1395" descr="Ver detalle">
          <a:hlinkClick xmlns:r="http://schemas.openxmlformats.org/officeDocument/2006/relationships" r:id="rId1338" tooltip="Ver detalle"/>
          <a:extLst>
            <a:ext uri="{FF2B5EF4-FFF2-40B4-BE49-F238E27FC236}">
              <a16:creationId xmlns:a16="http://schemas.microsoft.com/office/drawing/2014/main" id="{5FD58465-F5F0-1801-C3AD-50E690B3B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6300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1053</xdr:row>
      <xdr:rowOff>0</xdr:rowOff>
    </xdr:from>
    <xdr:to>
      <xdr:col>13</xdr:col>
      <xdr:colOff>0</xdr:colOff>
      <xdr:row>1054</xdr:row>
      <xdr:rowOff>148590</xdr:rowOff>
    </xdr:to>
    <xdr:pic>
      <xdr:nvPicPr>
        <xdr:cNvPr id="1397" name="Imagen 1396" descr="Ver detalle">
          <a:hlinkClick xmlns:r="http://schemas.openxmlformats.org/officeDocument/2006/relationships" r:id="rId1339" tooltip="Ver detalle"/>
          <a:extLst>
            <a:ext uri="{FF2B5EF4-FFF2-40B4-BE49-F238E27FC236}">
              <a16:creationId xmlns:a16="http://schemas.microsoft.com/office/drawing/2014/main" id="{6244F669-4876-A8BA-E92B-3D2A652B9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6495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1054</xdr:row>
      <xdr:rowOff>0</xdr:rowOff>
    </xdr:from>
    <xdr:to>
      <xdr:col>13</xdr:col>
      <xdr:colOff>0</xdr:colOff>
      <xdr:row>1055</xdr:row>
      <xdr:rowOff>148590</xdr:rowOff>
    </xdr:to>
    <xdr:pic>
      <xdr:nvPicPr>
        <xdr:cNvPr id="1398" name="Imagen 1397" descr="Ver detalle">
          <a:hlinkClick xmlns:r="http://schemas.openxmlformats.org/officeDocument/2006/relationships" r:id="rId1340" tooltip="Ver detalle"/>
          <a:extLst>
            <a:ext uri="{FF2B5EF4-FFF2-40B4-BE49-F238E27FC236}">
              <a16:creationId xmlns:a16="http://schemas.microsoft.com/office/drawing/2014/main" id="{E9B58A3E-AEED-698F-266F-62FCF31A0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6690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1028</xdr:row>
      <xdr:rowOff>0</xdr:rowOff>
    </xdr:from>
    <xdr:to>
      <xdr:col>13</xdr:col>
      <xdr:colOff>0</xdr:colOff>
      <xdr:row>1029</xdr:row>
      <xdr:rowOff>148590</xdr:rowOff>
    </xdr:to>
    <xdr:pic>
      <xdr:nvPicPr>
        <xdr:cNvPr id="1399" name="Imagen 1398" descr="Ver detalle">
          <a:hlinkClick xmlns:r="http://schemas.openxmlformats.org/officeDocument/2006/relationships" r:id="rId1341" tooltip="Ver detalle"/>
          <a:extLst>
            <a:ext uri="{FF2B5EF4-FFF2-40B4-BE49-F238E27FC236}">
              <a16:creationId xmlns:a16="http://schemas.microsoft.com/office/drawing/2014/main" id="{58BBADCE-5EF1-CAA3-6442-5B56F7194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7080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1029</xdr:row>
      <xdr:rowOff>0</xdr:rowOff>
    </xdr:from>
    <xdr:to>
      <xdr:col>13</xdr:col>
      <xdr:colOff>0</xdr:colOff>
      <xdr:row>1030</xdr:row>
      <xdr:rowOff>148590</xdr:rowOff>
    </xdr:to>
    <xdr:pic>
      <xdr:nvPicPr>
        <xdr:cNvPr id="1400" name="Imagen 1399" descr="Ver detalle">
          <a:hlinkClick xmlns:r="http://schemas.openxmlformats.org/officeDocument/2006/relationships" r:id="rId1342" tooltip="Ver detalle"/>
          <a:extLst>
            <a:ext uri="{FF2B5EF4-FFF2-40B4-BE49-F238E27FC236}">
              <a16:creationId xmlns:a16="http://schemas.microsoft.com/office/drawing/2014/main" id="{36B61750-BE33-546C-0B13-5FDAAA67C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7275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973</xdr:row>
      <xdr:rowOff>0</xdr:rowOff>
    </xdr:from>
    <xdr:to>
      <xdr:col>13</xdr:col>
      <xdr:colOff>0</xdr:colOff>
      <xdr:row>974</xdr:row>
      <xdr:rowOff>148590</xdr:rowOff>
    </xdr:to>
    <xdr:pic>
      <xdr:nvPicPr>
        <xdr:cNvPr id="1401" name="Imagen 1400" descr="Ver detalle">
          <a:hlinkClick xmlns:r="http://schemas.openxmlformats.org/officeDocument/2006/relationships" r:id="rId1343" tooltip="Ver detalle"/>
          <a:extLst>
            <a:ext uri="{FF2B5EF4-FFF2-40B4-BE49-F238E27FC236}">
              <a16:creationId xmlns:a16="http://schemas.microsoft.com/office/drawing/2014/main" id="{4D7823FD-30E6-CFC2-F163-55401B48F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7470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1022</xdr:row>
      <xdr:rowOff>0</xdr:rowOff>
    </xdr:from>
    <xdr:to>
      <xdr:col>13</xdr:col>
      <xdr:colOff>0</xdr:colOff>
      <xdr:row>1023</xdr:row>
      <xdr:rowOff>148590</xdr:rowOff>
    </xdr:to>
    <xdr:pic>
      <xdr:nvPicPr>
        <xdr:cNvPr id="1402" name="Imagen 1401" descr="Ver detalle">
          <a:hlinkClick xmlns:r="http://schemas.openxmlformats.org/officeDocument/2006/relationships" r:id="rId1344" tooltip="Ver detalle"/>
          <a:extLst>
            <a:ext uri="{FF2B5EF4-FFF2-40B4-BE49-F238E27FC236}">
              <a16:creationId xmlns:a16="http://schemas.microsoft.com/office/drawing/2014/main" id="{F7317251-C02F-13CD-25B7-FA9CC1E33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7665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967</xdr:row>
      <xdr:rowOff>0</xdr:rowOff>
    </xdr:from>
    <xdr:to>
      <xdr:col>13</xdr:col>
      <xdr:colOff>0</xdr:colOff>
      <xdr:row>968</xdr:row>
      <xdr:rowOff>148590</xdr:rowOff>
    </xdr:to>
    <xdr:pic>
      <xdr:nvPicPr>
        <xdr:cNvPr id="1403" name="Imagen 1402" descr="Ver detalle">
          <a:hlinkClick xmlns:r="http://schemas.openxmlformats.org/officeDocument/2006/relationships" r:id="rId1345" tooltip="Ver detalle"/>
          <a:extLst>
            <a:ext uri="{FF2B5EF4-FFF2-40B4-BE49-F238E27FC236}">
              <a16:creationId xmlns:a16="http://schemas.microsoft.com/office/drawing/2014/main" id="{19BA8BC2-17D4-FA12-16D3-689289CF7A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77573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1009</xdr:row>
      <xdr:rowOff>0</xdr:rowOff>
    </xdr:from>
    <xdr:to>
      <xdr:col>13</xdr:col>
      <xdr:colOff>0</xdr:colOff>
      <xdr:row>1010</xdr:row>
      <xdr:rowOff>148590</xdr:rowOff>
    </xdr:to>
    <xdr:pic>
      <xdr:nvPicPr>
        <xdr:cNvPr id="1404" name="Imagen 1403" descr="Ver detalle">
          <a:hlinkClick xmlns:r="http://schemas.openxmlformats.org/officeDocument/2006/relationships" r:id="rId1346" tooltip="Ver detalle"/>
          <a:extLst>
            <a:ext uri="{FF2B5EF4-FFF2-40B4-BE49-F238E27FC236}">
              <a16:creationId xmlns:a16="http://schemas.microsoft.com/office/drawing/2014/main" id="{228C46DC-A2C8-392A-5EED-36413158E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7952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1010</xdr:row>
      <xdr:rowOff>0</xdr:rowOff>
    </xdr:from>
    <xdr:to>
      <xdr:col>13</xdr:col>
      <xdr:colOff>0</xdr:colOff>
      <xdr:row>1011</xdr:row>
      <xdr:rowOff>148590</xdr:rowOff>
    </xdr:to>
    <xdr:pic>
      <xdr:nvPicPr>
        <xdr:cNvPr id="1405" name="Imagen 1404" descr="Ver detalle">
          <a:hlinkClick xmlns:r="http://schemas.openxmlformats.org/officeDocument/2006/relationships" r:id="rId1347" tooltip="Ver detalle"/>
          <a:extLst>
            <a:ext uri="{FF2B5EF4-FFF2-40B4-BE49-F238E27FC236}">
              <a16:creationId xmlns:a16="http://schemas.microsoft.com/office/drawing/2014/main" id="{8A8710EC-5290-5AF1-3755-D2B46BF1A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81475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1011</xdr:row>
      <xdr:rowOff>0</xdr:rowOff>
    </xdr:from>
    <xdr:to>
      <xdr:col>13</xdr:col>
      <xdr:colOff>0</xdr:colOff>
      <xdr:row>1012</xdr:row>
      <xdr:rowOff>148590</xdr:rowOff>
    </xdr:to>
    <xdr:pic>
      <xdr:nvPicPr>
        <xdr:cNvPr id="1406" name="Imagen 1405" descr="Ver detalle">
          <a:hlinkClick xmlns:r="http://schemas.openxmlformats.org/officeDocument/2006/relationships" r:id="rId1348" tooltip="Ver detalle"/>
          <a:extLst>
            <a:ext uri="{FF2B5EF4-FFF2-40B4-BE49-F238E27FC236}">
              <a16:creationId xmlns:a16="http://schemas.microsoft.com/office/drawing/2014/main" id="{4D0E4883-FA4B-D314-87F2-B5D742B5D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8342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1012</xdr:row>
      <xdr:rowOff>0</xdr:rowOff>
    </xdr:from>
    <xdr:to>
      <xdr:col>13</xdr:col>
      <xdr:colOff>0</xdr:colOff>
      <xdr:row>1013</xdr:row>
      <xdr:rowOff>148590</xdr:rowOff>
    </xdr:to>
    <xdr:pic>
      <xdr:nvPicPr>
        <xdr:cNvPr id="1407" name="Imagen 1406" descr="Ver detalle">
          <a:hlinkClick xmlns:r="http://schemas.openxmlformats.org/officeDocument/2006/relationships" r:id="rId1349" tooltip="Ver detalle"/>
          <a:extLst>
            <a:ext uri="{FF2B5EF4-FFF2-40B4-BE49-F238E27FC236}">
              <a16:creationId xmlns:a16="http://schemas.microsoft.com/office/drawing/2014/main" id="{3B7AF60D-8A9C-FCB1-28CF-4754F50FF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8537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1013</xdr:row>
      <xdr:rowOff>0</xdr:rowOff>
    </xdr:from>
    <xdr:to>
      <xdr:col>13</xdr:col>
      <xdr:colOff>0</xdr:colOff>
      <xdr:row>1014</xdr:row>
      <xdr:rowOff>148590</xdr:rowOff>
    </xdr:to>
    <xdr:pic>
      <xdr:nvPicPr>
        <xdr:cNvPr id="1408" name="Imagen 1407" descr="Ver detalle">
          <a:hlinkClick xmlns:r="http://schemas.openxmlformats.org/officeDocument/2006/relationships" r:id="rId1350" tooltip="Ver detalle"/>
          <a:extLst>
            <a:ext uri="{FF2B5EF4-FFF2-40B4-BE49-F238E27FC236}">
              <a16:creationId xmlns:a16="http://schemas.microsoft.com/office/drawing/2014/main" id="{9145C534-ABCB-30C3-FE3B-BD8EDB466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8732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1014</xdr:row>
      <xdr:rowOff>0</xdr:rowOff>
    </xdr:from>
    <xdr:to>
      <xdr:col>13</xdr:col>
      <xdr:colOff>0</xdr:colOff>
      <xdr:row>1015</xdr:row>
      <xdr:rowOff>148590</xdr:rowOff>
    </xdr:to>
    <xdr:pic>
      <xdr:nvPicPr>
        <xdr:cNvPr id="1409" name="Imagen 1408" descr="Ver detalle">
          <a:hlinkClick xmlns:r="http://schemas.openxmlformats.org/officeDocument/2006/relationships" r:id="rId1351" tooltip="Ver detalle"/>
          <a:extLst>
            <a:ext uri="{FF2B5EF4-FFF2-40B4-BE49-F238E27FC236}">
              <a16:creationId xmlns:a16="http://schemas.microsoft.com/office/drawing/2014/main" id="{E0A708C0-219A-5F9B-E688-3364BB437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8927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1015</xdr:row>
      <xdr:rowOff>0</xdr:rowOff>
    </xdr:from>
    <xdr:to>
      <xdr:col>13</xdr:col>
      <xdr:colOff>0</xdr:colOff>
      <xdr:row>1016</xdr:row>
      <xdr:rowOff>148590</xdr:rowOff>
    </xdr:to>
    <xdr:pic>
      <xdr:nvPicPr>
        <xdr:cNvPr id="1410" name="Imagen 1409" descr="Ver detalle">
          <a:hlinkClick xmlns:r="http://schemas.openxmlformats.org/officeDocument/2006/relationships" r:id="rId1352" tooltip="Ver detalle"/>
          <a:extLst>
            <a:ext uri="{FF2B5EF4-FFF2-40B4-BE49-F238E27FC236}">
              <a16:creationId xmlns:a16="http://schemas.microsoft.com/office/drawing/2014/main" id="{DA28C58B-B001-4951-B89E-DC86D11F6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9122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1016</xdr:row>
      <xdr:rowOff>0</xdr:rowOff>
    </xdr:from>
    <xdr:to>
      <xdr:col>13</xdr:col>
      <xdr:colOff>0</xdr:colOff>
      <xdr:row>1017</xdr:row>
      <xdr:rowOff>148590</xdr:rowOff>
    </xdr:to>
    <xdr:pic>
      <xdr:nvPicPr>
        <xdr:cNvPr id="1411" name="Imagen 1410" descr="Ver detalle">
          <a:hlinkClick xmlns:r="http://schemas.openxmlformats.org/officeDocument/2006/relationships" r:id="rId1353" tooltip="Ver detalle"/>
          <a:extLst>
            <a:ext uri="{FF2B5EF4-FFF2-40B4-BE49-F238E27FC236}">
              <a16:creationId xmlns:a16="http://schemas.microsoft.com/office/drawing/2014/main" id="{D80E970B-F773-F33E-E779-33E56B3E6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9317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1017</xdr:row>
      <xdr:rowOff>0</xdr:rowOff>
    </xdr:from>
    <xdr:to>
      <xdr:col>13</xdr:col>
      <xdr:colOff>0</xdr:colOff>
      <xdr:row>1018</xdr:row>
      <xdr:rowOff>148590</xdr:rowOff>
    </xdr:to>
    <xdr:pic>
      <xdr:nvPicPr>
        <xdr:cNvPr id="1412" name="Imagen 1411" descr="Ver detalle">
          <a:hlinkClick xmlns:r="http://schemas.openxmlformats.org/officeDocument/2006/relationships" r:id="rId1354" tooltip="Ver detalle"/>
          <a:extLst>
            <a:ext uri="{FF2B5EF4-FFF2-40B4-BE49-F238E27FC236}">
              <a16:creationId xmlns:a16="http://schemas.microsoft.com/office/drawing/2014/main" id="{9C821675-E187-C18F-5C21-5735D319D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9513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1018</xdr:row>
      <xdr:rowOff>0</xdr:rowOff>
    </xdr:from>
    <xdr:to>
      <xdr:col>13</xdr:col>
      <xdr:colOff>0</xdr:colOff>
      <xdr:row>1019</xdr:row>
      <xdr:rowOff>148590</xdr:rowOff>
    </xdr:to>
    <xdr:pic>
      <xdr:nvPicPr>
        <xdr:cNvPr id="1413" name="Imagen 1412" descr="Ver detalle">
          <a:hlinkClick xmlns:r="http://schemas.openxmlformats.org/officeDocument/2006/relationships" r:id="rId1355" tooltip="Ver detalle"/>
          <a:extLst>
            <a:ext uri="{FF2B5EF4-FFF2-40B4-BE49-F238E27FC236}">
              <a16:creationId xmlns:a16="http://schemas.microsoft.com/office/drawing/2014/main" id="{BC46C142-AA7F-BA37-81AB-3C1901DAF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97080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1019</xdr:row>
      <xdr:rowOff>0</xdr:rowOff>
    </xdr:from>
    <xdr:to>
      <xdr:col>13</xdr:col>
      <xdr:colOff>0</xdr:colOff>
      <xdr:row>1020</xdr:row>
      <xdr:rowOff>148590</xdr:rowOff>
    </xdr:to>
    <xdr:pic>
      <xdr:nvPicPr>
        <xdr:cNvPr id="1414" name="Imagen 1413" descr="Ver detalle">
          <a:hlinkClick xmlns:r="http://schemas.openxmlformats.org/officeDocument/2006/relationships" r:id="rId1356" tooltip="Ver detalle"/>
          <a:extLst>
            <a:ext uri="{FF2B5EF4-FFF2-40B4-BE49-F238E27FC236}">
              <a16:creationId xmlns:a16="http://schemas.microsoft.com/office/drawing/2014/main" id="{4A0DEBA0-A474-CF2A-D563-6464B521C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9903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1023</xdr:row>
      <xdr:rowOff>0</xdr:rowOff>
    </xdr:from>
    <xdr:to>
      <xdr:col>13</xdr:col>
      <xdr:colOff>0</xdr:colOff>
      <xdr:row>1024</xdr:row>
      <xdr:rowOff>148590</xdr:rowOff>
    </xdr:to>
    <xdr:pic>
      <xdr:nvPicPr>
        <xdr:cNvPr id="1415" name="Imagen 1414" descr="Ver detalle">
          <a:hlinkClick xmlns:r="http://schemas.openxmlformats.org/officeDocument/2006/relationships" r:id="rId1357" tooltip="Ver detalle"/>
          <a:extLst>
            <a:ext uri="{FF2B5EF4-FFF2-40B4-BE49-F238E27FC236}">
              <a16:creationId xmlns:a16="http://schemas.microsoft.com/office/drawing/2014/main" id="{1DE13EE7-C08C-9BCB-15CB-5B193F207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0033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1020</xdr:row>
      <xdr:rowOff>0</xdr:rowOff>
    </xdr:from>
    <xdr:to>
      <xdr:col>13</xdr:col>
      <xdr:colOff>0</xdr:colOff>
      <xdr:row>1021</xdr:row>
      <xdr:rowOff>148590</xdr:rowOff>
    </xdr:to>
    <xdr:pic>
      <xdr:nvPicPr>
        <xdr:cNvPr id="1416" name="Imagen 1415" descr="Ver detalle">
          <a:hlinkClick xmlns:r="http://schemas.openxmlformats.org/officeDocument/2006/relationships" r:id="rId1358" tooltip="Ver detalle"/>
          <a:extLst>
            <a:ext uri="{FF2B5EF4-FFF2-40B4-BE49-F238E27FC236}">
              <a16:creationId xmlns:a16="http://schemas.microsoft.com/office/drawing/2014/main" id="{BDB7C2A2-0F83-794A-3CD8-93C79F879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0163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1024</xdr:row>
      <xdr:rowOff>0</xdr:rowOff>
    </xdr:from>
    <xdr:to>
      <xdr:col>13</xdr:col>
      <xdr:colOff>0</xdr:colOff>
      <xdr:row>1025</xdr:row>
      <xdr:rowOff>148590</xdr:rowOff>
    </xdr:to>
    <xdr:pic>
      <xdr:nvPicPr>
        <xdr:cNvPr id="1417" name="Imagen 1416" descr="Ver detalle">
          <a:hlinkClick xmlns:r="http://schemas.openxmlformats.org/officeDocument/2006/relationships" r:id="rId1359" tooltip="Ver detalle"/>
          <a:extLst>
            <a:ext uri="{FF2B5EF4-FFF2-40B4-BE49-F238E27FC236}">
              <a16:creationId xmlns:a16="http://schemas.microsoft.com/office/drawing/2014/main" id="{62B49AAF-9624-19AA-4F99-FAFD55DC2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03588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1025</xdr:row>
      <xdr:rowOff>0</xdr:rowOff>
    </xdr:from>
    <xdr:to>
      <xdr:col>13</xdr:col>
      <xdr:colOff>0</xdr:colOff>
      <xdr:row>1026</xdr:row>
      <xdr:rowOff>148590</xdr:rowOff>
    </xdr:to>
    <xdr:pic>
      <xdr:nvPicPr>
        <xdr:cNvPr id="1418" name="Imagen 1417" descr="Ver detalle">
          <a:hlinkClick xmlns:r="http://schemas.openxmlformats.org/officeDocument/2006/relationships" r:id="rId1360" tooltip="Ver detalle"/>
          <a:extLst>
            <a:ext uri="{FF2B5EF4-FFF2-40B4-BE49-F238E27FC236}">
              <a16:creationId xmlns:a16="http://schemas.microsoft.com/office/drawing/2014/main" id="{8A1631B8-E821-5974-2CD8-911074ED4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05539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1026</xdr:row>
      <xdr:rowOff>0</xdr:rowOff>
    </xdr:from>
    <xdr:to>
      <xdr:col>13</xdr:col>
      <xdr:colOff>0</xdr:colOff>
      <xdr:row>1027</xdr:row>
      <xdr:rowOff>148590</xdr:rowOff>
    </xdr:to>
    <xdr:pic>
      <xdr:nvPicPr>
        <xdr:cNvPr id="1419" name="Imagen 1418" descr="Ver detalle">
          <a:hlinkClick xmlns:r="http://schemas.openxmlformats.org/officeDocument/2006/relationships" r:id="rId1361" tooltip="Ver detalle"/>
          <a:extLst>
            <a:ext uri="{FF2B5EF4-FFF2-40B4-BE49-F238E27FC236}">
              <a16:creationId xmlns:a16="http://schemas.microsoft.com/office/drawing/2014/main" id="{58D7572B-A3B0-CB3D-C83C-832E997DF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07489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995</xdr:row>
      <xdr:rowOff>0</xdr:rowOff>
    </xdr:from>
    <xdr:to>
      <xdr:col>13</xdr:col>
      <xdr:colOff>0</xdr:colOff>
      <xdr:row>996</xdr:row>
      <xdr:rowOff>148590</xdr:rowOff>
    </xdr:to>
    <xdr:pic>
      <xdr:nvPicPr>
        <xdr:cNvPr id="1420" name="Imagen 1419" descr="Ver detalle">
          <a:hlinkClick xmlns:r="http://schemas.openxmlformats.org/officeDocument/2006/relationships" r:id="rId1362" tooltip="Ver detalle"/>
          <a:extLst>
            <a:ext uri="{FF2B5EF4-FFF2-40B4-BE49-F238E27FC236}">
              <a16:creationId xmlns:a16="http://schemas.microsoft.com/office/drawing/2014/main" id="{E3742F6C-E4AE-12EF-0047-783C52366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0944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996</xdr:row>
      <xdr:rowOff>0</xdr:rowOff>
    </xdr:from>
    <xdr:to>
      <xdr:col>13</xdr:col>
      <xdr:colOff>0</xdr:colOff>
      <xdr:row>997</xdr:row>
      <xdr:rowOff>148590</xdr:rowOff>
    </xdr:to>
    <xdr:pic>
      <xdr:nvPicPr>
        <xdr:cNvPr id="1421" name="Imagen 1420" descr="Ver detalle">
          <a:hlinkClick xmlns:r="http://schemas.openxmlformats.org/officeDocument/2006/relationships" r:id="rId1363" tooltip="Ver detalle"/>
          <a:extLst>
            <a:ext uri="{FF2B5EF4-FFF2-40B4-BE49-F238E27FC236}">
              <a16:creationId xmlns:a16="http://schemas.microsoft.com/office/drawing/2014/main" id="{07D6F0E5-919A-177F-22BE-A523568F4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1139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997</xdr:row>
      <xdr:rowOff>0</xdr:rowOff>
    </xdr:from>
    <xdr:to>
      <xdr:col>13</xdr:col>
      <xdr:colOff>0</xdr:colOff>
      <xdr:row>998</xdr:row>
      <xdr:rowOff>148590</xdr:rowOff>
    </xdr:to>
    <xdr:pic>
      <xdr:nvPicPr>
        <xdr:cNvPr id="1422" name="Imagen 1421" descr="Ver detalle">
          <a:hlinkClick xmlns:r="http://schemas.openxmlformats.org/officeDocument/2006/relationships" r:id="rId1364" tooltip="Ver detalle"/>
          <a:extLst>
            <a:ext uri="{FF2B5EF4-FFF2-40B4-BE49-F238E27FC236}">
              <a16:creationId xmlns:a16="http://schemas.microsoft.com/office/drawing/2014/main" id="{913E1A61-D30B-16CA-C47F-71383F017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13342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999</xdr:row>
      <xdr:rowOff>0</xdr:rowOff>
    </xdr:from>
    <xdr:to>
      <xdr:col>13</xdr:col>
      <xdr:colOff>0</xdr:colOff>
      <xdr:row>1000</xdr:row>
      <xdr:rowOff>148590</xdr:rowOff>
    </xdr:to>
    <xdr:pic>
      <xdr:nvPicPr>
        <xdr:cNvPr id="1423" name="Imagen 1422" descr="Ver detalle">
          <a:hlinkClick xmlns:r="http://schemas.openxmlformats.org/officeDocument/2006/relationships" r:id="rId1365" tooltip="Ver detalle"/>
          <a:extLst>
            <a:ext uri="{FF2B5EF4-FFF2-40B4-BE49-F238E27FC236}">
              <a16:creationId xmlns:a16="http://schemas.microsoft.com/office/drawing/2014/main" id="{6839EA32-936F-E633-5D6B-F76084261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1724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1000</xdr:row>
      <xdr:rowOff>0</xdr:rowOff>
    </xdr:from>
    <xdr:to>
      <xdr:col>13</xdr:col>
      <xdr:colOff>0</xdr:colOff>
      <xdr:row>1001</xdr:row>
      <xdr:rowOff>148590</xdr:rowOff>
    </xdr:to>
    <xdr:pic>
      <xdr:nvPicPr>
        <xdr:cNvPr id="1424" name="Imagen 1423" descr="Ver detalle">
          <a:hlinkClick xmlns:r="http://schemas.openxmlformats.org/officeDocument/2006/relationships" r:id="rId1366" tooltip="Ver detalle"/>
          <a:extLst>
            <a:ext uri="{FF2B5EF4-FFF2-40B4-BE49-F238E27FC236}">
              <a16:creationId xmlns:a16="http://schemas.microsoft.com/office/drawing/2014/main" id="{E8B44232-27B1-072C-CBF4-60C43A307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19194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1001</xdr:row>
      <xdr:rowOff>0</xdr:rowOff>
    </xdr:from>
    <xdr:to>
      <xdr:col>13</xdr:col>
      <xdr:colOff>0</xdr:colOff>
      <xdr:row>1002</xdr:row>
      <xdr:rowOff>148590</xdr:rowOff>
    </xdr:to>
    <xdr:pic>
      <xdr:nvPicPr>
        <xdr:cNvPr id="1425" name="Imagen 1424" descr="Ver detalle">
          <a:hlinkClick xmlns:r="http://schemas.openxmlformats.org/officeDocument/2006/relationships" r:id="rId1367" tooltip="Ver detalle"/>
          <a:extLst>
            <a:ext uri="{FF2B5EF4-FFF2-40B4-BE49-F238E27FC236}">
              <a16:creationId xmlns:a16="http://schemas.microsoft.com/office/drawing/2014/main" id="{CBCDDC35-7147-6AE2-4115-3510A6965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2114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1002</xdr:row>
      <xdr:rowOff>0</xdr:rowOff>
    </xdr:from>
    <xdr:to>
      <xdr:col>13</xdr:col>
      <xdr:colOff>0</xdr:colOff>
      <xdr:row>1003</xdr:row>
      <xdr:rowOff>148590</xdr:rowOff>
    </xdr:to>
    <xdr:pic>
      <xdr:nvPicPr>
        <xdr:cNvPr id="1426" name="Imagen 1425" descr="Ver detalle">
          <a:hlinkClick xmlns:r="http://schemas.openxmlformats.org/officeDocument/2006/relationships" r:id="rId1368" tooltip="Ver detalle"/>
          <a:extLst>
            <a:ext uri="{FF2B5EF4-FFF2-40B4-BE49-F238E27FC236}">
              <a16:creationId xmlns:a16="http://schemas.microsoft.com/office/drawing/2014/main" id="{A5421E94-1875-579C-01B9-79A49353C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2309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1003</xdr:row>
      <xdr:rowOff>0</xdr:rowOff>
    </xdr:from>
    <xdr:to>
      <xdr:col>13</xdr:col>
      <xdr:colOff>0</xdr:colOff>
      <xdr:row>1004</xdr:row>
      <xdr:rowOff>148590</xdr:rowOff>
    </xdr:to>
    <xdr:pic>
      <xdr:nvPicPr>
        <xdr:cNvPr id="1427" name="Imagen 1426" descr="Ver detalle">
          <a:hlinkClick xmlns:r="http://schemas.openxmlformats.org/officeDocument/2006/relationships" r:id="rId1369" tooltip="Ver detalle"/>
          <a:extLst>
            <a:ext uri="{FF2B5EF4-FFF2-40B4-BE49-F238E27FC236}">
              <a16:creationId xmlns:a16="http://schemas.microsoft.com/office/drawing/2014/main" id="{EA4A87C9-8C3F-B538-947C-5DC7FCCFED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2504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969</xdr:row>
      <xdr:rowOff>0</xdr:rowOff>
    </xdr:from>
    <xdr:to>
      <xdr:col>13</xdr:col>
      <xdr:colOff>0</xdr:colOff>
      <xdr:row>970</xdr:row>
      <xdr:rowOff>148590</xdr:rowOff>
    </xdr:to>
    <xdr:pic>
      <xdr:nvPicPr>
        <xdr:cNvPr id="1428" name="Imagen 1427" descr="Ver detalle">
          <a:hlinkClick xmlns:r="http://schemas.openxmlformats.org/officeDocument/2006/relationships" r:id="rId1370" tooltip="Ver detalle"/>
          <a:extLst>
            <a:ext uri="{FF2B5EF4-FFF2-40B4-BE49-F238E27FC236}">
              <a16:creationId xmlns:a16="http://schemas.microsoft.com/office/drawing/2014/main" id="{C0629B11-8F88-1DEB-38D3-7946C8D94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26997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966</xdr:row>
      <xdr:rowOff>0</xdr:rowOff>
    </xdr:from>
    <xdr:to>
      <xdr:col>13</xdr:col>
      <xdr:colOff>0</xdr:colOff>
      <xdr:row>967</xdr:row>
      <xdr:rowOff>148590</xdr:rowOff>
    </xdr:to>
    <xdr:pic>
      <xdr:nvPicPr>
        <xdr:cNvPr id="1429" name="Imagen 1428" descr="Ver detalle">
          <a:hlinkClick xmlns:r="http://schemas.openxmlformats.org/officeDocument/2006/relationships" r:id="rId1371" tooltip="Ver detalle"/>
          <a:extLst>
            <a:ext uri="{FF2B5EF4-FFF2-40B4-BE49-F238E27FC236}">
              <a16:creationId xmlns:a16="http://schemas.microsoft.com/office/drawing/2014/main" id="{EE966C47-A3FC-0B4F-F976-F9D6727AA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28947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968</xdr:row>
      <xdr:rowOff>0</xdr:rowOff>
    </xdr:from>
    <xdr:to>
      <xdr:col>13</xdr:col>
      <xdr:colOff>0</xdr:colOff>
      <xdr:row>969</xdr:row>
      <xdr:rowOff>148590</xdr:rowOff>
    </xdr:to>
    <xdr:pic>
      <xdr:nvPicPr>
        <xdr:cNvPr id="1430" name="Imagen 1429" descr="Ver detalle">
          <a:hlinkClick xmlns:r="http://schemas.openxmlformats.org/officeDocument/2006/relationships" r:id="rId1372" tooltip="Ver detalle"/>
          <a:extLst>
            <a:ext uri="{FF2B5EF4-FFF2-40B4-BE49-F238E27FC236}">
              <a16:creationId xmlns:a16="http://schemas.microsoft.com/office/drawing/2014/main" id="{888467DD-19C2-586C-05C4-FF983B8F6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3089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963</xdr:row>
      <xdr:rowOff>0</xdr:rowOff>
    </xdr:from>
    <xdr:to>
      <xdr:col>13</xdr:col>
      <xdr:colOff>0</xdr:colOff>
      <xdr:row>964</xdr:row>
      <xdr:rowOff>148590</xdr:rowOff>
    </xdr:to>
    <xdr:pic>
      <xdr:nvPicPr>
        <xdr:cNvPr id="1431" name="Imagen 1430" descr="Ver detalle">
          <a:hlinkClick xmlns:r="http://schemas.openxmlformats.org/officeDocument/2006/relationships" r:id="rId1373" tooltip="Ver detalle"/>
          <a:extLst>
            <a:ext uri="{FF2B5EF4-FFF2-40B4-BE49-F238E27FC236}">
              <a16:creationId xmlns:a16="http://schemas.microsoft.com/office/drawing/2014/main" id="{39F780B3-547F-CB5E-523C-8FAEB2E5F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32849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1004</xdr:row>
      <xdr:rowOff>0</xdr:rowOff>
    </xdr:from>
    <xdr:to>
      <xdr:col>13</xdr:col>
      <xdr:colOff>0</xdr:colOff>
      <xdr:row>1005</xdr:row>
      <xdr:rowOff>148590</xdr:rowOff>
    </xdr:to>
    <xdr:pic>
      <xdr:nvPicPr>
        <xdr:cNvPr id="1432" name="Imagen 1431" descr="Ver detalle">
          <a:hlinkClick xmlns:r="http://schemas.openxmlformats.org/officeDocument/2006/relationships" r:id="rId1374" tooltip="Ver detalle"/>
          <a:extLst>
            <a:ext uri="{FF2B5EF4-FFF2-40B4-BE49-F238E27FC236}">
              <a16:creationId xmlns:a16="http://schemas.microsoft.com/office/drawing/2014/main" id="{85AC1AFF-1274-24F2-B1E3-29BF48AB4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34799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1030</xdr:row>
      <xdr:rowOff>0</xdr:rowOff>
    </xdr:from>
    <xdr:to>
      <xdr:col>13</xdr:col>
      <xdr:colOff>0</xdr:colOff>
      <xdr:row>1031</xdr:row>
      <xdr:rowOff>148590</xdr:rowOff>
    </xdr:to>
    <xdr:pic>
      <xdr:nvPicPr>
        <xdr:cNvPr id="1433" name="Imagen 1432" descr="Ver detalle">
          <a:hlinkClick xmlns:r="http://schemas.openxmlformats.org/officeDocument/2006/relationships" r:id="rId1375" tooltip="Ver detalle"/>
          <a:extLst>
            <a:ext uri="{FF2B5EF4-FFF2-40B4-BE49-F238E27FC236}">
              <a16:creationId xmlns:a16="http://schemas.microsoft.com/office/drawing/2014/main" id="{CF6F30EA-A2FF-3D66-E5E6-C81DFE087C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36750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1031</xdr:row>
      <xdr:rowOff>0</xdr:rowOff>
    </xdr:from>
    <xdr:to>
      <xdr:col>13</xdr:col>
      <xdr:colOff>0</xdr:colOff>
      <xdr:row>1032</xdr:row>
      <xdr:rowOff>148590</xdr:rowOff>
    </xdr:to>
    <xdr:pic>
      <xdr:nvPicPr>
        <xdr:cNvPr id="1434" name="Imagen 1433" descr="Ver detalle">
          <a:hlinkClick xmlns:r="http://schemas.openxmlformats.org/officeDocument/2006/relationships" r:id="rId1376" tooltip="Ver detalle"/>
          <a:extLst>
            <a:ext uri="{FF2B5EF4-FFF2-40B4-BE49-F238E27FC236}">
              <a16:creationId xmlns:a16="http://schemas.microsoft.com/office/drawing/2014/main" id="{C926CF99-D770-B675-275E-C7A9D8D79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3870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1005</xdr:row>
      <xdr:rowOff>0</xdr:rowOff>
    </xdr:from>
    <xdr:to>
      <xdr:col>13</xdr:col>
      <xdr:colOff>0</xdr:colOff>
      <xdr:row>1006</xdr:row>
      <xdr:rowOff>148590</xdr:rowOff>
    </xdr:to>
    <xdr:pic>
      <xdr:nvPicPr>
        <xdr:cNvPr id="1435" name="Imagen 1434" descr="Ver detalle">
          <a:hlinkClick xmlns:r="http://schemas.openxmlformats.org/officeDocument/2006/relationships" r:id="rId1377" tooltip="Ver detalle"/>
          <a:extLst>
            <a:ext uri="{FF2B5EF4-FFF2-40B4-BE49-F238E27FC236}">
              <a16:creationId xmlns:a16="http://schemas.microsoft.com/office/drawing/2014/main" id="{2ED00A32-983D-6A6E-328B-3AD481202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4065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1006</xdr:row>
      <xdr:rowOff>0</xdr:rowOff>
    </xdr:from>
    <xdr:to>
      <xdr:col>13</xdr:col>
      <xdr:colOff>0</xdr:colOff>
      <xdr:row>1007</xdr:row>
      <xdr:rowOff>148590</xdr:rowOff>
    </xdr:to>
    <xdr:pic>
      <xdr:nvPicPr>
        <xdr:cNvPr id="1436" name="Imagen 1435" descr="Ver detalle">
          <a:hlinkClick xmlns:r="http://schemas.openxmlformats.org/officeDocument/2006/relationships" r:id="rId1378" tooltip="Ver detalle"/>
          <a:extLst>
            <a:ext uri="{FF2B5EF4-FFF2-40B4-BE49-F238E27FC236}">
              <a16:creationId xmlns:a16="http://schemas.microsoft.com/office/drawing/2014/main" id="{84C78E2F-BFD9-1245-AFD3-749ADA586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42602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961</xdr:row>
      <xdr:rowOff>0</xdr:rowOff>
    </xdr:from>
    <xdr:to>
      <xdr:col>13</xdr:col>
      <xdr:colOff>0</xdr:colOff>
      <xdr:row>962</xdr:row>
      <xdr:rowOff>148590</xdr:rowOff>
    </xdr:to>
    <xdr:pic>
      <xdr:nvPicPr>
        <xdr:cNvPr id="1437" name="Imagen 1436" descr="Ver detalle">
          <a:hlinkClick xmlns:r="http://schemas.openxmlformats.org/officeDocument/2006/relationships" r:id="rId1379" tooltip="Ver detalle"/>
          <a:extLst>
            <a:ext uri="{FF2B5EF4-FFF2-40B4-BE49-F238E27FC236}">
              <a16:creationId xmlns:a16="http://schemas.microsoft.com/office/drawing/2014/main" id="{59FA98A9-C5B4-7AA3-A4EB-9E75F4AED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44553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985</xdr:row>
      <xdr:rowOff>0</xdr:rowOff>
    </xdr:from>
    <xdr:to>
      <xdr:col>13</xdr:col>
      <xdr:colOff>0</xdr:colOff>
      <xdr:row>986</xdr:row>
      <xdr:rowOff>148590</xdr:rowOff>
    </xdr:to>
    <xdr:pic>
      <xdr:nvPicPr>
        <xdr:cNvPr id="1438" name="Imagen 1437" descr="Ver detalle">
          <a:hlinkClick xmlns:r="http://schemas.openxmlformats.org/officeDocument/2006/relationships" r:id="rId1380" tooltip="Ver detalle"/>
          <a:extLst>
            <a:ext uri="{FF2B5EF4-FFF2-40B4-BE49-F238E27FC236}">
              <a16:creationId xmlns:a16="http://schemas.microsoft.com/office/drawing/2014/main" id="{77B3A95B-84E5-46D0-663A-A4A5B6E1D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46504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986</xdr:row>
      <xdr:rowOff>0</xdr:rowOff>
    </xdr:from>
    <xdr:to>
      <xdr:col>13</xdr:col>
      <xdr:colOff>0</xdr:colOff>
      <xdr:row>987</xdr:row>
      <xdr:rowOff>148590</xdr:rowOff>
    </xdr:to>
    <xdr:pic>
      <xdr:nvPicPr>
        <xdr:cNvPr id="1439" name="Imagen 1438" descr="Ver detalle">
          <a:hlinkClick xmlns:r="http://schemas.openxmlformats.org/officeDocument/2006/relationships" r:id="rId1381" tooltip="Ver detalle"/>
          <a:extLst>
            <a:ext uri="{FF2B5EF4-FFF2-40B4-BE49-F238E27FC236}">
              <a16:creationId xmlns:a16="http://schemas.microsoft.com/office/drawing/2014/main" id="{44DA9876-2EB3-0499-C1E4-77415F9B4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48454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987</xdr:row>
      <xdr:rowOff>0</xdr:rowOff>
    </xdr:from>
    <xdr:to>
      <xdr:col>13</xdr:col>
      <xdr:colOff>0</xdr:colOff>
      <xdr:row>988</xdr:row>
      <xdr:rowOff>148590</xdr:rowOff>
    </xdr:to>
    <xdr:pic>
      <xdr:nvPicPr>
        <xdr:cNvPr id="1440" name="Imagen 1439" descr="Ver detalle">
          <a:hlinkClick xmlns:r="http://schemas.openxmlformats.org/officeDocument/2006/relationships" r:id="rId1382" tooltip="Ver detalle"/>
          <a:extLst>
            <a:ext uri="{FF2B5EF4-FFF2-40B4-BE49-F238E27FC236}">
              <a16:creationId xmlns:a16="http://schemas.microsoft.com/office/drawing/2014/main" id="{4499ED00-8FE0-30AB-9C61-7F967DAE3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4936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964</xdr:row>
      <xdr:rowOff>0</xdr:rowOff>
    </xdr:from>
    <xdr:to>
      <xdr:col>13</xdr:col>
      <xdr:colOff>0</xdr:colOff>
      <xdr:row>965</xdr:row>
      <xdr:rowOff>148590</xdr:rowOff>
    </xdr:to>
    <xdr:pic>
      <xdr:nvPicPr>
        <xdr:cNvPr id="1441" name="Imagen 1440" descr="Ver detalle">
          <a:hlinkClick xmlns:r="http://schemas.openxmlformats.org/officeDocument/2006/relationships" r:id="rId1383" tooltip="Ver detalle"/>
          <a:extLst>
            <a:ext uri="{FF2B5EF4-FFF2-40B4-BE49-F238E27FC236}">
              <a16:creationId xmlns:a16="http://schemas.microsoft.com/office/drawing/2014/main" id="{7DDCFA05-4F48-9643-4CB4-995F89AE8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5028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989</xdr:row>
      <xdr:rowOff>0</xdr:rowOff>
    </xdr:from>
    <xdr:to>
      <xdr:col>13</xdr:col>
      <xdr:colOff>0</xdr:colOff>
      <xdr:row>990</xdr:row>
      <xdr:rowOff>148590</xdr:rowOff>
    </xdr:to>
    <xdr:pic>
      <xdr:nvPicPr>
        <xdr:cNvPr id="1442" name="Imagen 1441" descr="Ver detalle">
          <a:hlinkClick xmlns:r="http://schemas.openxmlformats.org/officeDocument/2006/relationships" r:id="rId1384" tooltip="Ver detalle"/>
          <a:extLst>
            <a:ext uri="{FF2B5EF4-FFF2-40B4-BE49-F238E27FC236}">
              <a16:creationId xmlns:a16="http://schemas.microsoft.com/office/drawing/2014/main" id="{D4338E34-0776-7FDA-4BC6-1894506CE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522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990</xdr:row>
      <xdr:rowOff>0</xdr:rowOff>
    </xdr:from>
    <xdr:to>
      <xdr:col>13</xdr:col>
      <xdr:colOff>0</xdr:colOff>
      <xdr:row>991</xdr:row>
      <xdr:rowOff>148590</xdr:rowOff>
    </xdr:to>
    <xdr:pic>
      <xdr:nvPicPr>
        <xdr:cNvPr id="1443" name="Imagen 1442" descr="Ver detalle">
          <a:hlinkClick xmlns:r="http://schemas.openxmlformats.org/officeDocument/2006/relationships" r:id="rId1385" tooltip="Ver detalle"/>
          <a:extLst>
            <a:ext uri="{FF2B5EF4-FFF2-40B4-BE49-F238E27FC236}">
              <a16:creationId xmlns:a16="http://schemas.microsoft.com/office/drawing/2014/main" id="{51537B71-2030-8CC3-8C0D-E037CCCC8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5418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994</xdr:row>
      <xdr:rowOff>0</xdr:rowOff>
    </xdr:from>
    <xdr:to>
      <xdr:col>13</xdr:col>
      <xdr:colOff>0</xdr:colOff>
      <xdr:row>995</xdr:row>
      <xdr:rowOff>148590</xdr:rowOff>
    </xdr:to>
    <xdr:pic>
      <xdr:nvPicPr>
        <xdr:cNvPr id="1444" name="Imagen 1443" descr="Ver detalle">
          <a:hlinkClick xmlns:r="http://schemas.openxmlformats.org/officeDocument/2006/relationships" r:id="rId1386" tooltip="Ver detalle"/>
          <a:extLst>
            <a:ext uri="{FF2B5EF4-FFF2-40B4-BE49-F238E27FC236}">
              <a16:creationId xmlns:a16="http://schemas.microsoft.com/office/drawing/2014/main" id="{C2330D01-6CDB-B519-848A-85670C0E5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56135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991</xdr:row>
      <xdr:rowOff>0</xdr:rowOff>
    </xdr:from>
    <xdr:to>
      <xdr:col>13</xdr:col>
      <xdr:colOff>0</xdr:colOff>
      <xdr:row>992</xdr:row>
      <xdr:rowOff>148590</xdr:rowOff>
    </xdr:to>
    <xdr:pic>
      <xdr:nvPicPr>
        <xdr:cNvPr id="1445" name="Imagen 1444" descr="Ver detalle">
          <a:hlinkClick xmlns:r="http://schemas.openxmlformats.org/officeDocument/2006/relationships" r:id="rId1387" tooltip="Ver detalle"/>
          <a:extLst>
            <a:ext uri="{FF2B5EF4-FFF2-40B4-BE49-F238E27FC236}">
              <a16:creationId xmlns:a16="http://schemas.microsoft.com/office/drawing/2014/main" id="{DE578971-F619-7AEA-F763-A71174919E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5808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992</xdr:row>
      <xdr:rowOff>0</xdr:rowOff>
    </xdr:from>
    <xdr:to>
      <xdr:col>13</xdr:col>
      <xdr:colOff>0</xdr:colOff>
      <xdr:row>993</xdr:row>
      <xdr:rowOff>148590</xdr:rowOff>
    </xdr:to>
    <xdr:pic>
      <xdr:nvPicPr>
        <xdr:cNvPr id="1446" name="Imagen 1445" descr="Ver detalle">
          <a:hlinkClick xmlns:r="http://schemas.openxmlformats.org/officeDocument/2006/relationships" r:id="rId1388" tooltip="Ver detalle"/>
          <a:extLst>
            <a:ext uri="{FF2B5EF4-FFF2-40B4-BE49-F238E27FC236}">
              <a16:creationId xmlns:a16="http://schemas.microsoft.com/office/drawing/2014/main" id="{353529DF-3EB0-0EFD-DC2A-E87EC731E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59001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993</xdr:row>
      <xdr:rowOff>0</xdr:rowOff>
    </xdr:from>
    <xdr:to>
      <xdr:col>13</xdr:col>
      <xdr:colOff>0</xdr:colOff>
      <xdr:row>994</xdr:row>
      <xdr:rowOff>148590</xdr:rowOff>
    </xdr:to>
    <xdr:pic>
      <xdr:nvPicPr>
        <xdr:cNvPr id="1447" name="Imagen 1446" descr="Ver detalle">
          <a:hlinkClick xmlns:r="http://schemas.openxmlformats.org/officeDocument/2006/relationships" r:id="rId1389" tooltip="Ver detalle"/>
          <a:extLst>
            <a:ext uri="{FF2B5EF4-FFF2-40B4-BE49-F238E27FC236}">
              <a16:creationId xmlns:a16="http://schemas.microsoft.com/office/drawing/2014/main" id="{DFF6B2F1-E4D1-3BF9-0EB8-CE995F3F0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60829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988</xdr:row>
      <xdr:rowOff>0</xdr:rowOff>
    </xdr:from>
    <xdr:to>
      <xdr:col>13</xdr:col>
      <xdr:colOff>0</xdr:colOff>
      <xdr:row>989</xdr:row>
      <xdr:rowOff>148590</xdr:rowOff>
    </xdr:to>
    <xdr:pic>
      <xdr:nvPicPr>
        <xdr:cNvPr id="1448" name="Imagen 1447" descr="Ver detalle">
          <a:hlinkClick xmlns:r="http://schemas.openxmlformats.org/officeDocument/2006/relationships" r:id="rId1390" tooltip="Ver detalle"/>
          <a:extLst>
            <a:ext uri="{FF2B5EF4-FFF2-40B4-BE49-F238E27FC236}">
              <a16:creationId xmlns:a16="http://schemas.microsoft.com/office/drawing/2014/main" id="{5C1CE5F6-2EC1-9D0A-8420-205079C56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61744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965</xdr:row>
      <xdr:rowOff>0</xdr:rowOff>
    </xdr:from>
    <xdr:to>
      <xdr:col>13</xdr:col>
      <xdr:colOff>0</xdr:colOff>
      <xdr:row>966</xdr:row>
      <xdr:rowOff>148590</xdr:rowOff>
    </xdr:to>
    <xdr:pic>
      <xdr:nvPicPr>
        <xdr:cNvPr id="1449" name="Imagen 1448" descr="Ver detalle">
          <a:hlinkClick xmlns:r="http://schemas.openxmlformats.org/officeDocument/2006/relationships" r:id="rId1391" tooltip="Ver detalle"/>
          <a:extLst>
            <a:ext uri="{FF2B5EF4-FFF2-40B4-BE49-F238E27FC236}">
              <a16:creationId xmlns:a16="http://schemas.microsoft.com/office/drawing/2014/main" id="{F44A1A60-C4AD-68D0-EC8C-99D8663EF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62658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962</xdr:row>
      <xdr:rowOff>0</xdr:rowOff>
    </xdr:from>
    <xdr:to>
      <xdr:col>13</xdr:col>
      <xdr:colOff>0</xdr:colOff>
      <xdr:row>963</xdr:row>
      <xdr:rowOff>148590</xdr:rowOff>
    </xdr:to>
    <xdr:pic>
      <xdr:nvPicPr>
        <xdr:cNvPr id="1450" name="Imagen 1449" descr="Ver detalle">
          <a:hlinkClick xmlns:r="http://schemas.openxmlformats.org/officeDocument/2006/relationships" r:id="rId1392" tooltip="Ver detalle"/>
          <a:extLst>
            <a:ext uri="{FF2B5EF4-FFF2-40B4-BE49-F238E27FC236}">
              <a16:creationId xmlns:a16="http://schemas.microsoft.com/office/drawing/2014/main" id="{4394AAB5-3887-0B80-9445-4C3B5CFE0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6460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960</xdr:row>
      <xdr:rowOff>0</xdr:rowOff>
    </xdr:from>
    <xdr:to>
      <xdr:col>13</xdr:col>
      <xdr:colOff>0</xdr:colOff>
      <xdr:row>961</xdr:row>
      <xdr:rowOff>148590</xdr:rowOff>
    </xdr:to>
    <xdr:pic>
      <xdr:nvPicPr>
        <xdr:cNvPr id="1451" name="Imagen 1450" descr="Ver detalle">
          <a:hlinkClick xmlns:r="http://schemas.openxmlformats.org/officeDocument/2006/relationships" r:id="rId1393" tooltip="Ver detalle"/>
          <a:extLst>
            <a:ext uri="{FF2B5EF4-FFF2-40B4-BE49-F238E27FC236}">
              <a16:creationId xmlns:a16="http://schemas.microsoft.com/office/drawing/2014/main" id="{CA94B8D4-D8C8-E1BD-03F7-EF69EB7B7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6656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981</xdr:row>
      <xdr:rowOff>0</xdr:rowOff>
    </xdr:from>
    <xdr:to>
      <xdr:col>13</xdr:col>
      <xdr:colOff>0</xdr:colOff>
      <xdr:row>982</xdr:row>
      <xdr:rowOff>148590</xdr:rowOff>
    </xdr:to>
    <xdr:pic>
      <xdr:nvPicPr>
        <xdr:cNvPr id="1452" name="Imagen 1451" descr="Ver detalle">
          <a:hlinkClick xmlns:r="http://schemas.openxmlformats.org/officeDocument/2006/relationships" r:id="rId1394" tooltip="Ver detalle"/>
          <a:extLst>
            <a:ext uri="{FF2B5EF4-FFF2-40B4-BE49-F238E27FC236}">
              <a16:creationId xmlns:a16="http://schemas.microsoft.com/office/drawing/2014/main" id="{90EE0206-79AA-D5A0-6639-1A2FE224A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6747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982</xdr:row>
      <xdr:rowOff>0</xdr:rowOff>
    </xdr:from>
    <xdr:to>
      <xdr:col>13</xdr:col>
      <xdr:colOff>0</xdr:colOff>
      <xdr:row>983</xdr:row>
      <xdr:rowOff>148590</xdr:rowOff>
    </xdr:to>
    <xdr:pic>
      <xdr:nvPicPr>
        <xdr:cNvPr id="1453" name="Imagen 1452" descr="Ver detalle">
          <a:hlinkClick xmlns:r="http://schemas.openxmlformats.org/officeDocument/2006/relationships" r:id="rId1395" tooltip="Ver detalle"/>
          <a:extLst>
            <a:ext uri="{FF2B5EF4-FFF2-40B4-BE49-F238E27FC236}">
              <a16:creationId xmlns:a16="http://schemas.microsoft.com/office/drawing/2014/main" id="{BDFE5346-8525-8DBC-A966-FE190967C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68777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971</xdr:row>
      <xdr:rowOff>0</xdr:rowOff>
    </xdr:from>
    <xdr:to>
      <xdr:col>13</xdr:col>
      <xdr:colOff>0</xdr:colOff>
      <xdr:row>972</xdr:row>
      <xdr:rowOff>148590</xdr:rowOff>
    </xdr:to>
    <xdr:pic>
      <xdr:nvPicPr>
        <xdr:cNvPr id="1454" name="Imagen 1453" descr="Ver detalle">
          <a:hlinkClick xmlns:r="http://schemas.openxmlformats.org/officeDocument/2006/relationships" r:id="rId1396" tooltip="Ver detalle"/>
          <a:extLst>
            <a:ext uri="{FF2B5EF4-FFF2-40B4-BE49-F238E27FC236}">
              <a16:creationId xmlns:a16="http://schemas.microsoft.com/office/drawing/2014/main" id="{8B72FE7C-B072-D243-A6B8-544C6C741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70080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975</xdr:row>
      <xdr:rowOff>0</xdr:rowOff>
    </xdr:from>
    <xdr:to>
      <xdr:col>13</xdr:col>
      <xdr:colOff>0</xdr:colOff>
      <xdr:row>976</xdr:row>
      <xdr:rowOff>148590</xdr:rowOff>
    </xdr:to>
    <xdr:pic>
      <xdr:nvPicPr>
        <xdr:cNvPr id="1455" name="Imagen 1454" descr="Ver detalle">
          <a:hlinkClick xmlns:r="http://schemas.openxmlformats.org/officeDocument/2006/relationships" r:id="rId1397" tooltip="Ver detalle"/>
          <a:extLst>
            <a:ext uri="{FF2B5EF4-FFF2-40B4-BE49-F238E27FC236}">
              <a16:creationId xmlns:a16="http://schemas.microsoft.com/office/drawing/2014/main" id="{073BC0B3-52F1-5210-F64C-13AA0A66D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72031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1007</xdr:row>
      <xdr:rowOff>0</xdr:rowOff>
    </xdr:from>
    <xdr:to>
      <xdr:col>13</xdr:col>
      <xdr:colOff>0</xdr:colOff>
      <xdr:row>1008</xdr:row>
      <xdr:rowOff>148590</xdr:rowOff>
    </xdr:to>
    <xdr:pic>
      <xdr:nvPicPr>
        <xdr:cNvPr id="1456" name="Imagen 1455" descr="Ver detalle">
          <a:hlinkClick xmlns:r="http://schemas.openxmlformats.org/officeDocument/2006/relationships" r:id="rId1398" tooltip="Ver detalle"/>
          <a:extLst>
            <a:ext uri="{FF2B5EF4-FFF2-40B4-BE49-F238E27FC236}">
              <a16:creationId xmlns:a16="http://schemas.microsoft.com/office/drawing/2014/main" id="{FB924C46-1888-16B7-22E4-E6C1DBCF1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7398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1113</xdr:row>
      <xdr:rowOff>0</xdr:rowOff>
    </xdr:from>
    <xdr:to>
      <xdr:col>13</xdr:col>
      <xdr:colOff>0</xdr:colOff>
      <xdr:row>1114</xdr:row>
      <xdr:rowOff>114300</xdr:rowOff>
    </xdr:to>
    <xdr:pic>
      <xdr:nvPicPr>
        <xdr:cNvPr id="1457" name="Imagen 1456" descr="Ver detalle">
          <a:hlinkClick xmlns:r="http://schemas.openxmlformats.org/officeDocument/2006/relationships" r:id="rId1399" tooltip="Ver detalle"/>
          <a:extLst>
            <a:ext uri="{FF2B5EF4-FFF2-40B4-BE49-F238E27FC236}">
              <a16:creationId xmlns:a16="http://schemas.microsoft.com/office/drawing/2014/main" id="{59098335-76B4-9655-E025-CC3922E04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19873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1111</xdr:row>
      <xdr:rowOff>0</xdr:rowOff>
    </xdr:from>
    <xdr:to>
      <xdr:col>13</xdr:col>
      <xdr:colOff>0</xdr:colOff>
      <xdr:row>1112</xdr:row>
      <xdr:rowOff>148590</xdr:rowOff>
    </xdr:to>
    <xdr:pic>
      <xdr:nvPicPr>
        <xdr:cNvPr id="1458" name="Imagen 1457" descr="Ver detalle">
          <a:hlinkClick xmlns:r="http://schemas.openxmlformats.org/officeDocument/2006/relationships" r:id="rId1400" tooltip="Ver detalle"/>
          <a:extLst>
            <a:ext uri="{FF2B5EF4-FFF2-40B4-BE49-F238E27FC236}">
              <a16:creationId xmlns:a16="http://schemas.microsoft.com/office/drawing/2014/main" id="{33EAD928-B7D9-381B-7A27-F96872DDA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01488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1107</xdr:row>
      <xdr:rowOff>0</xdr:rowOff>
    </xdr:from>
    <xdr:to>
      <xdr:col>13</xdr:col>
      <xdr:colOff>0</xdr:colOff>
      <xdr:row>1108</xdr:row>
      <xdr:rowOff>148590</xdr:rowOff>
    </xdr:to>
    <xdr:pic>
      <xdr:nvPicPr>
        <xdr:cNvPr id="1459" name="Imagen 1458" descr="Ver detalle">
          <a:hlinkClick xmlns:r="http://schemas.openxmlformats.org/officeDocument/2006/relationships" r:id="rId1401" tooltip="Ver detalle"/>
          <a:extLst>
            <a:ext uri="{FF2B5EF4-FFF2-40B4-BE49-F238E27FC236}">
              <a16:creationId xmlns:a16="http://schemas.microsoft.com/office/drawing/2014/main" id="{A5CD5957-0335-6BA3-86CE-475EEA310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04238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1108</xdr:row>
      <xdr:rowOff>0</xdr:rowOff>
    </xdr:from>
    <xdr:to>
      <xdr:col>13</xdr:col>
      <xdr:colOff>0</xdr:colOff>
      <xdr:row>1109</xdr:row>
      <xdr:rowOff>148590</xdr:rowOff>
    </xdr:to>
    <xdr:pic>
      <xdr:nvPicPr>
        <xdr:cNvPr id="1460" name="Imagen 1459" descr="Ver detalle">
          <a:hlinkClick xmlns:r="http://schemas.openxmlformats.org/officeDocument/2006/relationships" r:id="rId1402" tooltip="Ver detalle"/>
          <a:extLst>
            <a:ext uri="{FF2B5EF4-FFF2-40B4-BE49-F238E27FC236}">
              <a16:creationId xmlns:a16="http://schemas.microsoft.com/office/drawing/2014/main" id="{99BB73C6-88D5-08FC-E97E-8F68BC271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0698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1110</xdr:row>
      <xdr:rowOff>0</xdr:rowOff>
    </xdr:from>
    <xdr:to>
      <xdr:col>13</xdr:col>
      <xdr:colOff>0</xdr:colOff>
      <xdr:row>1111</xdr:row>
      <xdr:rowOff>148590</xdr:rowOff>
    </xdr:to>
    <xdr:pic>
      <xdr:nvPicPr>
        <xdr:cNvPr id="1461" name="Imagen 1460" descr="Ver detalle">
          <a:hlinkClick xmlns:r="http://schemas.openxmlformats.org/officeDocument/2006/relationships" r:id="rId1403" tooltip="Ver detalle"/>
          <a:extLst>
            <a:ext uri="{FF2B5EF4-FFF2-40B4-BE49-F238E27FC236}">
              <a16:creationId xmlns:a16="http://schemas.microsoft.com/office/drawing/2014/main" id="{246CE674-F315-B33C-C6C6-061AE8B5F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0974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1171</xdr:row>
      <xdr:rowOff>0</xdr:rowOff>
    </xdr:from>
    <xdr:to>
      <xdr:col>13</xdr:col>
      <xdr:colOff>0</xdr:colOff>
      <xdr:row>1172</xdr:row>
      <xdr:rowOff>148590</xdr:rowOff>
    </xdr:to>
    <xdr:pic>
      <xdr:nvPicPr>
        <xdr:cNvPr id="1462" name="Imagen 1461" descr="Ver detalle">
          <a:hlinkClick xmlns:r="http://schemas.openxmlformats.org/officeDocument/2006/relationships" r:id="rId1404" tooltip="Ver detalle"/>
          <a:extLst>
            <a:ext uri="{FF2B5EF4-FFF2-40B4-BE49-F238E27FC236}">
              <a16:creationId xmlns:a16="http://schemas.microsoft.com/office/drawing/2014/main" id="{D907343C-7C56-BF39-E73F-6821B864A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12491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1112</xdr:row>
      <xdr:rowOff>0</xdr:rowOff>
    </xdr:from>
    <xdr:to>
      <xdr:col>13</xdr:col>
      <xdr:colOff>0</xdr:colOff>
      <xdr:row>1113</xdr:row>
      <xdr:rowOff>148590</xdr:rowOff>
    </xdr:to>
    <xdr:pic>
      <xdr:nvPicPr>
        <xdr:cNvPr id="1463" name="Imagen 1462" descr="Ver detalle">
          <a:hlinkClick xmlns:r="http://schemas.openxmlformats.org/officeDocument/2006/relationships" r:id="rId1405" tooltip="Ver detalle"/>
          <a:extLst>
            <a:ext uri="{FF2B5EF4-FFF2-40B4-BE49-F238E27FC236}">
              <a16:creationId xmlns:a16="http://schemas.microsoft.com/office/drawing/2014/main" id="{A5CABA99-7475-4BE1-5402-A8964B4B5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1524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1109</xdr:row>
      <xdr:rowOff>0</xdr:rowOff>
    </xdr:from>
    <xdr:to>
      <xdr:col>13</xdr:col>
      <xdr:colOff>0</xdr:colOff>
      <xdr:row>1110</xdr:row>
      <xdr:rowOff>148590</xdr:rowOff>
    </xdr:to>
    <xdr:pic>
      <xdr:nvPicPr>
        <xdr:cNvPr id="1464" name="Imagen 1463" descr="Ver detalle">
          <a:hlinkClick xmlns:r="http://schemas.openxmlformats.org/officeDocument/2006/relationships" r:id="rId1406" tooltip="Ver detalle"/>
          <a:extLst>
            <a:ext uri="{FF2B5EF4-FFF2-40B4-BE49-F238E27FC236}">
              <a16:creationId xmlns:a16="http://schemas.microsoft.com/office/drawing/2014/main" id="{56E28141-29A4-1AA6-1D12-73F400D84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1799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1167</xdr:row>
      <xdr:rowOff>0</xdr:rowOff>
    </xdr:from>
    <xdr:to>
      <xdr:col>13</xdr:col>
      <xdr:colOff>0</xdr:colOff>
      <xdr:row>1168</xdr:row>
      <xdr:rowOff>148590</xdr:rowOff>
    </xdr:to>
    <xdr:pic>
      <xdr:nvPicPr>
        <xdr:cNvPr id="1465" name="Imagen 1464" descr="Ver detalle">
          <a:hlinkClick xmlns:r="http://schemas.openxmlformats.org/officeDocument/2006/relationships" r:id="rId1407" tooltip="Ver detalle"/>
          <a:extLst>
            <a:ext uri="{FF2B5EF4-FFF2-40B4-BE49-F238E27FC236}">
              <a16:creationId xmlns:a16="http://schemas.microsoft.com/office/drawing/2014/main" id="{B93D36FB-BE11-9717-F9D8-4C6128088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2074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1172</xdr:row>
      <xdr:rowOff>0</xdr:rowOff>
    </xdr:from>
    <xdr:to>
      <xdr:col>13</xdr:col>
      <xdr:colOff>0</xdr:colOff>
      <xdr:row>1173</xdr:row>
      <xdr:rowOff>148590</xdr:rowOff>
    </xdr:to>
    <xdr:pic>
      <xdr:nvPicPr>
        <xdr:cNvPr id="1466" name="Imagen 1465" descr="Ver detalle">
          <a:hlinkClick xmlns:r="http://schemas.openxmlformats.org/officeDocument/2006/relationships" r:id="rId1408" tooltip="Ver detalle"/>
          <a:extLst>
            <a:ext uri="{FF2B5EF4-FFF2-40B4-BE49-F238E27FC236}">
              <a16:creationId xmlns:a16="http://schemas.microsoft.com/office/drawing/2014/main" id="{E96127A4-23FA-C90E-1A4A-CFB185E3F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2349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1166</xdr:row>
      <xdr:rowOff>0</xdr:rowOff>
    </xdr:from>
    <xdr:to>
      <xdr:col>13</xdr:col>
      <xdr:colOff>0</xdr:colOff>
      <xdr:row>1167</xdr:row>
      <xdr:rowOff>148590</xdr:rowOff>
    </xdr:to>
    <xdr:pic>
      <xdr:nvPicPr>
        <xdr:cNvPr id="1467" name="Imagen 1466" descr="Ver detalle">
          <a:hlinkClick xmlns:r="http://schemas.openxmlformats.org/officeDocument/2006/relationships" r:id="rId1409" tooltip="Ver detalle"/>
          <a:extLst>
            <a:ext uri="{FF2B5EF4-FFF2-40B4-BE49-F238E27FC236}">
              <a16:creationId xmlns:a16="http://schemas.microsoft.com/office/drawing/2014/main" id="{D1164D01-53DE-A04A-7081-8AEE9C4C7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2624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1165</xdr:row>
      <xdr:rowOff>0</xdr:rowOff>
    </xdr:from>
    <xdr:to>
      <xdr:col>13</xdr:col>
      <xdr:colOff>0</xdr:colOff>
      <xdr:row>1166</xdr:row>
      <xdr:rowOff>148590</xdr:rowOff>
    </xdr:to>
    <xdr:pic>
      <xdr:nvPicPr>
        <xdr:cNvPr id="1468" name="Imagen 1467" descr="Ver detalle">
          <a:hlinkClick xmlns:r="http://schemas.openxmlformats.org/officeDocument/2006/relationships" r:id="rId1410" tooltip="Ver detalle"/>
          <a:extLst>
            <a:ext uri="{FF2B5EF4-FFF2-40B4-BE49-F238E27FC236}">
              <a16:creationId xmlns:a16="http://schemas.microsoft.com/office/drawing/2014/main" id="{24DAB637-84B7-8CBA-F392-DFD16F3DC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28996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1170</xdr:row>
      <xdr:rowOff>0</xdr:rowOff>
    </xdr:from>
    <xdr:to>
      <xdr:col>13</xdr:col>
      <xdr:colOff>0</xdr:colOff>
      <xdr:row>1171</xdr:row>
      <xdr:rowOff>148590</xdr:rowOff>
    </xdr:to>
    <xdr:pic>
      <xdr:nvPicPr>
        <xdr:cNvPr id="1469" name="Imagen 1468" descr="Ver detalle">
          <a:hlinkClick xmlns:r="http://schemas.openxmlformats.org/officeDocument/2006/relationships" r:id="rId1411" tooltip="Ver detalle"/>
          <a:extLst>
            <a:ext uri="{FF2B5EF4-FFF2-40B4-BE49-F238E27FC236}">
              <a16:creationId xmlns:a16="http://schemas.microsoft.com/office/drawing/2014/main" id="{F12BDC50-2E35-0712-5F50-B4AF61BB6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30284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1169</xdr:row>
      <xdr:rowOff>0</xdr:rowOff>
    </xdr:from>
    <xdr:to>
      <xdr:col>13</xdr:col>
      <xdr:colOff>0</xdr:colOff>
      <xdr:row>1170</xdr:row>
      <xdr:rowOff>148590</xdr:rowOff>
    </xdr:to>
    <xdr:pic>
      <xdr:nvPicPr>
        <xdr:cNvPr id="1470" name="Imagen 1469" descr="Ver detalle">
          <a:hlinkClick xmlns:r="http://schemas.openxmlformats.org/officeDocument/2006/relationships" r:id="rId1412" tooltip="Ver detalle"/>
          <a:extLst>
            <a:ext uri="{FF2B5EF4-FFF2-40B4-BE49-F238E27FC236}">
              <a16:creationId xmlns:a16="http://schemas.microsoft.com/office/drawing/2014/main" id="{6562E85B-F6F8-5AA0-0381-2C383D31C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3157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1164</xdr:row>
      <xdr:rowOff>0</xdr:rowOff>
    </xdr:from>
    <xdr:to>
      <xdr:col>13</xdr:col>
      <xdr:colOff>0</xdr:colOff>
      <xdr:row>1165</xdr:row>
      <xdr:rowOff>148590</xdr:rowOff>
    </xdr:to>
    <xdr:pic>
      <xdr:nvPicPr>
        <xdr:cNvPr id="1471" name="Imagen 1470" descr="Ver detalle">
          <a:hlinkClick xmlns:r="http://schemas.openxmlformats.org/officeDocument/2006/relationships" r:id="rId1413" tooltip="Ver detalle"/>
          <a:extLst>
            <a:ext uri="{FF2B5EF4-FFF2-40B4-BE49-F238E27FC236}">
              <a16:creationId xmlns:a16="http://schemas.microsoft.com/office/drawing/2014/main" id="{F5D5FDFE-944E-55E4-5BA0-CE2B81497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3285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1163</xdr:row>
      <xdr:rowOff>0</xdr:rowOff>
    </xdr:from>
    <xdr:to>
      <xdr:col>13</xdr:col>
      <xdr:colOff>0</xdr:colOff>
      <xdr:row>1164</xdr:row>
      <xdr:rowOff>148590</xdr:rowOff>
    </xdr:to>
    <xdr:pic>
      <xdr:nvPicPr>
        <xdr:cNvPr id="1472" name="Imagen 1471" descr="Ver detalle">
          <a:hlinkClick xmlns:r="http://schemas.openxmlformats.org/officeDocument/2006/relationships" r:id="rId1414" tooltip="Ver detalle"/>
          <a:extLst>
            <a:ext uri="{FF2B5EF4-FFF2-40B4-BE49-F238E27FC236}">
              <a16:creationId xmlns:a16="http://schemas.microsoft.com/office/drawing/2014/main" id="{56601787-EF00-34AF-EA8A-C5C26B97F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3414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1168</xdr:row>
      <xdr:rowOff>0</xdr:rowOff>
    </xdr:from>
    <xdr:to>
      <xdr:col>13</xdr:col>
      <xdr:colOff>0</xdr:colOff>
      <xdr:row>1169</xdr:row>
      <xdr:rowOff>148590</xdr:rowOff>
    </xdr:to>
    <xdr:pic>
      <xdr:nvPicPr>
        <xdr:cNvPr id="1473" name="Imagen 1472" descr="Ver detalle">
          <a:hlinkClick xmlns:r="http://schemas.openxmlformats.org/officeDocument/2006/relationships" r:id="rId1415" tooltip="Ver detalle"/>
          <a:extLst>
            <a:ext uri="{FF2B5EF4-FFF2-40B4-BE49-F238E27FC236}">
              <a16:creationId xmlns:a16="http://schemas.microsoft.com/office/drawing/2014/main" id="{A8B3F008-F061-2FD2-AC1E-67C852C133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35435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1157</xdr:row>
      <xdr:rowOff>0</xdr:rowOff>
    </xdr:from>
    <xdr:to>
      <xdr:col>13</xdr:col>
      <xdr:colOff>0</xdr:colOff>
      <xdr:row>1158</xdr:row>
      <xdr:rowOff>148590</xdr:rowOff>
    </xdr:to>
    <xdr:pic>
      <xdr:nvPicPr>
        <xdr:cNvPr id="1474" name="Imagen 1473" descr="Ver detalle">
          <a:hlinkClick xmlns:r="http://schemas.openxmlformats.org/officeDocument/2006/relationships" r:id="rId1416" tooltip="Ver detalle"/>
          <a:extLst>
            <a:ext uri="{FF2B5EF4-FFF2-40B4-BE49-F238E27FC236}">
              <a16:creationId xmlns:a16="http://schemas.microsoft.com/office/drawing/2014/main" id="{4E471005-B291-197C-CA1D-E2B4CBA46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36722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1156</xdr:row>
      <xdr:rowOff>0</xdr:rowOff>
    </xdr:from>
    <xdr:to>
      <xdr:col>13</xdr:col>
      <xdr:colOff>0</xdr:colOff>
      <xdr:row>1157</xdr:row>
      <xdr:rowOff>148590</xdr:rowOff>
    </xdr:to>
    <xdr:pic>
      <xdr:nvPicPr>
        <xdr:cNvPr id="1475" name="Imagen 1474" descr="Ver detalle">
          <a:hlinkClick xmlns:r="http://schemas.openxmlformats.org/officeDocument/2006/relationships" r:id="rId1417" tooltip="Ver detalle"/>
          <a:extLst>
            <a:ext uri="{FF2B5EF4-FFF2-40B4-BE49-F238E27FC236}">
              <a16:creationId xmlns:a16="http://schemas.microsoft.com/office/drawing/2014/main" id="{385FF9B5-E4B8-88D5-F10B-557D28B03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39473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1155</xdr:row>
      <xdr:rowOff>0</xdr:rowOff>
    </xdr:from>
    <xdr:to>
      <xdr:col>13</xdr:col>
      <xdr:colOff>0</xdr:colOff>
      <xdr:row>1156</xdr:row>
      <xdr:rowOff>148590</xdr:rowOff>
    </xdr:to>
    <xdr:pic>
      <xdr:nvPicPr>
        <xdr:cNvPr id="1476" name="Imagen 1475" descr="Ver detalle">
          <a:hlinkClick xmlns:r="http://schemas.openxmlformats.org/officeDocument/2006/relationships" r:id="rId1418" tooltip="Ver detalle"/>
          <a:extLst>
            <a:ext uri="{FF2B5EF4-FFF2-40B4-BE49-F238E27FC236}">
              <a16:creationId xmlns:a16="http://schemas.microsoft.com/office/drawing/2014/main" id="{D7550B43-A703-C30B-ADDE-E88F75683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222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1150</xdr:row>
      <xdr:rowOff>0</xdr:rowOff>
    </xdr:from>
    <xdr:to>
      <xdr:col>13</xdr:col>
      <xdr:colOff>0</xdr:colOff>
      <xdr:row>1151</xdr:row>
      <xdr:rowOff>148590</xdr:rowOff>
    </xdr:to>
    <xdr:pic>
      <xdr:nvPicPr>
        <xdr:cNvPr id="1477" name="Imagen 1476" descr="Ver detalle">
          <a:hlinkClick xmlns:r="http://schemas.openxmlformats.org/officeDocument/2006/relationships" r:id="rId1419" tooltip="Ver detalle"/>
          <a:extLst>
            <a:ext uri="{FF2B5EF4-FFF2-40B4-BE49-F238E27FC236}">
              <a16:creationId xmlns:a16="http://schemas.microsoft.com/office/drawing/2014/main" id="{61A5A2B0-812E-69A4-EAF8-56F3D7F8F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497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1154</xdr:row>
      <xdr:rowOff>0</xdr:rowOff>
    </xdr:from>
    <xdr:to>
      <xdr:col>13</xdr:col>
      <xdr:colOff>0</xdr:colOff>
      <xdr:row>1155</xdr:row>
      <xdr:rowOff>148590</xdr:rowOff>
    </xdr:to>
    <xdr:pic>
      <xdr:nvPicPr>
        <xdr:cNvPr id="1478" name="Imagen 1477" descr="Ver detalle">
          <a:hlinkClick xmlns:r="http://schemas.openxmlformats.org/officeDocument/2006/relationships" r:id="rId1420" tooltip="Ver detalle"/>
          <a:extLst>
            <a:ext uri="{FF2B5EF4-FFF2-40B4-BE49-F238E27FC236}">
              <a16:creationId xmlns:a16="http://schemas.microsoft.com/office/drawing/2014/main" id="{7512A629-54DE-EE93-0A6C-F1E02ABB9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772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1153</xdr:row>
      <xdr:rowOff>0</xdr:rowOff>
    </xdr:from>
    <xdr:to>
      <xdr:col>13</xdr:col>
      <xdr:colOff>0</xdr:colOff>
      <xdr:row>1154</xdr:row>
      <xdr:rowOff>148590</xdr:rowOff>
    </xdr:to>
    <xdr:pic>
      <xdr:nvPicPr>
        <xdr:cNvPr id="1479" name="Imagen 1478" descr="Ver detalle">
          <a:hlinkClick xmlns:r="http://schemas.openxmlformats.org/officeDocument/2006/relationships" r:id="rId1421" tooltip="Ver detalle"/>
          <a:extLst>
            <a:ext uri="{FF2B5EF4-FFF2-40B4-BE49-F238E27FC236}">
              <a16:creationId xmlns:a16="http://schemas.microsoft.com/office/drawing/2014/main" id="{9AD48E97-918E-A697-3BF9-D3AC22FBC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047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1152</xdr:row>
      <xdr:rowOff>0</xdr:rowOff>
    </xdr:from>
    <xdr:to>
      <xdr:col>13</xdr:col>
      <xdr:colOff>0</xdr:colOff>
      <xdr:row>1153</xdr:row>
      <xdr:rowOff>148590</xdr:rowOff>
    </xdr:to>
    <xdr:pic>
      <xdr:nvPicPr>
        <xdr:cNvPr id="1480" name="Imagen 1479" descr="Ver detalle">
          <a:hlinkClick xmlns:r="http://schemas.openxmlformats.org/officeDocument/2006/relationships" r:id="rId1422" tooltip="Ver detalle"/>
          <a:extLst>
            <a:ext uri="{FF2B5EF4-FFF2-40B4-BE49-F238E27FC236}">
              <a16:creationId xmlns:a16="http://schemas.microsoft.com/office/drawing/2014/main" id="{8F2E6E1D-B936-0D6D-2560-DE0D426C1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322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1103</xdr:row>
      <xdr:rowOff>0</xdr:rowOff>
    </xdr:from>
    <xdr:to>
      <xdr:col>13</xdr:col>
      <xdr:colOff>0</xdr:colOff>
      <xdr:row>1104</xdr:row>
      <xdr:rowOff>148590</xdr:rowOff>
    </xdr:to>
    <xdr:pic>
      <xdr:nvPicPr>
        <xdr:cNvPr id="1481" name="Imagen 1480" descr="Ver detalle">
          <a:hlinkClick xmlns:r="http://schemas.openxmlformats.org/officeDocument/2006/relationships" r:id="rId1423" tooltip="Ver detalle"/>
          <a:extLst>
            <a:ext uri="{FF2B5EF4-FFF2-40B4-BE49-F238E27FC236}">
              <a16:creationId xmlns:a16="http://schemas.microsoft.com/office/drawing/2014/main" id="{C33B6D9F-409F-3C18-3A1B-F9D40D73C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792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1102</xdr:row>
      <xdr:rowOff>0</xdr:rowOff>
    </xdr:from>
    <xdr:to>
      <xdr:col>13</xdr:col>
      <xdr:colOff>0</xdr:colOff>
      <xdr:row>1103</xdr:row>
      <xdr:rowOff>148590</xdr:rowOff>
    </xdr:to>
    <xdr:pic>
      <xdr:nvPicPr>
        <xdr:cNvPr id="1482" name="Imagen 1481" descr="Ver detalle">
          <a:hlinkClick xmlns:r="http://schemas.openxmlformats.org/officeDocument/2006/relationships" r:id="rId1424" tooltip="Ver detalle"/>
          <a:extLst>
            <a:ext uri="{FF2B5EF4-FFF2-40B4-BE49-F238E27FC236}">
              <a16:creationId xmlns:a16="http://schemas.microsoft.com/office/drawing/2014/main" id="{7C5293E7-1BCE-A816-8DB1-79E0E9299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988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1104</xdr:row>
      <xdr:rowOff>0</xdr:rowOff>
    </xdr:from>
    <xdr:to>
      <xdr:col>13</xdr:col>
      <xdr:colOff>0</xdr:colOff>
      <xdr:row>1105</xdr:row>
      <xdr:rowOff>148590</xdr:rowOff>
    </xdr:to>
    <xdr:pic>
      <xdr:nvPicPr>
        <xdr:cNvPr id="1483" name="Imagen 1482" descr="Ver detalle">
          <a:hlinkClick xmlns:r="http://schemas.openxmlformats.org/officeDocument/2006/relationships" r:id="rId1425" tooltip="Ver detalle"/>
          <a:extLst>
            <a:ext uri="{FF2B5EF4-FFF2-40B4-BE49-F238E27FC236}">
              <a16:creationId xmlns:a16="http://schemas.microsoft.com/office/drawing/2014/main" id="{2CAE46D0-4E4E-BE4B-68C4-CE9B14810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183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1149</xdr:row>
      <xdr:rowOff>0</xdr:rowOff>
    </xdr:from>
    <xdr:to>
      <xdr:col>13</xdr:col>
      <xdr:colOff>0</xdr:colOff>
      <xdr:row>1150</xdr:row>
      <xdr:rowOff>148590</xdr:rowOff>
    </xdr:to>
    <xdr:pic>
      <xdr:nvPicPr>
        <xdr:cNvPr id="1484" name="Imagen 1483" descr="Ver detalle">
          <a:hlinkClick xmlns:r="http://schemas.openxmlformats.org/officeDocument/2006/relationships" r:id="rId1426" tooltip="Ver detalle"/>
          <a:extLst>
            <a:ext uri="{FF2B5EF4-FFF2-40B4-BE49-F238E27FC236}">
              <a16:creationId xmlns:a16="http://schemas.microsoft.com/office/drawing/2014/main" id="{9682D848-D752-AE5C-A1AC-D00A1C821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3781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1148</xdr:row>
      <xdr:rowOff>0</xdr:rowOff>
    </xdr:from>
    <xdr:to>
      <xdr:col>13</xdr:col>
      <xdr:colOff>0</xdr:colOff>
      <xdr:row>1149</xdr:row>
      <xdr:rowOff>148590</xdr:rowOff>
    </xdr:to>
    <xdr:pic>
      <xdr:nvPicPr>
        <xdr:cNvPr id="1485" name="Imagen 1484" descr="Ver detalle">
          <a:hlinkClick xmlns:r="http://schemas.openxmlformats.org/officeDocument/2006/relationships" r:id="rId1427" tooltip="Ver detalle"/>
          <a:extLst>
            <a:ext uri="{FF2B5EF4-FFF2-40B4-BE49-F238E27FC236}">
              <a16:creationId xmlns:a16="http://schemas.microsoft.com/office/drawing/2014/main" id="{267058CE-7DA7-4C74-0F43-5F8D7B821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573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1147</xdr:row>
      <xdr:rowOff>0</xdr:rowOff>
    </xdr:from>
    <xdr:to>
      <xdr:col>13</xdr:col>
      <xdr:colOff>0</xdr:colOff>
      <xdr:row>1148</xdr:row>
      <xdr:rowOff>148590</xdr:rowOff>
    </xdr:to>
    <xdr:pic>
      <xdr:nvPicPr>
        <xdr:cNvPr id="1486" name="Imagen 1485" descr="Ver detalle">
          <a:hlinkClick xmlns:r="http://schemas.openxmlformats.org/officeDocument/2006/relationships" r:id="rId1428" tooltip="Ver detalle"/>
          <a:extLst>
            <a:ext uri="{FF2B5EF4-FFF2-40B4-BE49-F238E27FC236}">
              <a16:creationId xmlns:a16="http://schemas.microsoft.com/office/drawing/2014/main" id="{0E0D503D-0F27-764C-DEA2-1B4B3B5DAC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664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1146</xdr:row>
      <xdr:rowOff>0</xdr:rowOff>
    </xdr:from>
    <xdr:to>
      <xdr:col>13</xdr:col>
      <xdr:colOff>0</xdr:colOff>
      <xdr:row>1147</xdr:row>
      <xdr:rowOff>148590</xdr:rowOff>
    </xdr:to>
    <xdr:pic>
      <xdr:nvPicPr>
        <xdr:cNvPr id="1487" name="Imagen 1486" descr="Ver detalle">
          <a:hlinkClick xmlns:r="http://schemas.openxmlformats.org/officeDocument/2006/relationships" r:id="rId1429" tooltip="Ver detalle"/>
          <a:extLst>
            <a:ext uri="{FF2B5EF4-FFF2-40B4-BE49-F238E27FC236}">
              <a16:creationId xmlns:a16="http://schemas.microsoft.com/office/drawing/2014/main" id="{4F26C996-37CF-D552-029E-34C6DCFA4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7561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1145</xdr:row>
      <xdr:rowOff>0</xdr:rowOff>
    </xdr:from>
    <xdr:to>
      <xdr:col>13</xdr:col>
      <xdr:colOff>0</xdr:colOff>
      <xdr:row>1146</xdr:row>
      <xdr:rowOff>148590</xdr:rowOff>
    </xdr:to>
    <xdr:pic>
      <xdr:nvPicPr>
        <xdr:cNvPr id="1488" name="Imagen 1487" descr="Ver detalle">
          <a:hlinkClick xmlns:r="http://schemas.openxmlformats.org/officeDocument/2006/relationships" r:id="rId1430" tooltip="Ver detalle"/>
          <a:extLst>
            <a:ext uri="{FF2B5EF4-FFF2-40B4-BE49-F238E27FC236}">
              <a16:creationId xmlns:a16="http://schemas.microsoft.com/office/drawing/2014/main" id="{2174A51E-471A-F83D-FE3E-4C7DA6B46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8475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1144</xdr:row>
      <xdr:rowOff>0</xdr:rowOff>
    </xdr:from>
    <xdr:to>
      <xdr:col>13</xdr:col>
      <xdr:colOff>0</xdr:colOff>
      <xdr:row>1145</xdr:row>
      <xdr:rowOff>148590</xdr:rowOff>
    </xdr:to>
    <xdr:pic>
      <xdr:nvPicPr>
        <xdr:cNvPr id="1489" name="Imagen 1488" descr="Ver detalle">
          <a:hlinkClick xmlns:r="http://schemas.openxmlformats.org/officeDocument/2006/relationships" r:id="rId1431" tooltip="Ver detalle"/>
          <a:extLst>
            <a:ext uri="{FF2B5EF4-FFF2-40B4-BE49-F238E27FC236}">
              <a16:creationId xmlns:a16="http://schemas.microsoft.com/office/drawing/2014/main" id="{9E0DC5C2-393B-F47F-5FDC-BF044C5B7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9389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1143</xdr:row>
      <xdr:rowOff>0</xdr:rowOff>
    </xdr:from>
    <xdr:to>
      <xdr:col>13</xdr:col>
      <xdr:colOff>0</xdr:colOff>
      <xdr:row>1144</xdr:row>
      <xdr:rowOff>148590</xdr:rowOff>
    </xdr:to>
    <xdr:pic>
      <xdr:nvPicPr>
        <xdr:cNvPr id="1490" name="Imagen 1489" descr="Ver detalle">
          <a:hlinkClick xmlns:r="http://schemas.openxmlformats.org/officeDocument/2006/relationships" r:id="rId1432" tooltip="Ver detalle"/>
          <a:extLst>
            <a:ext uri="{FF2B5EF4-FFF2-40B4-BE49-F238E27FC236}">
              <a16:creationId xmlns:a16="http://schemas.microsoft.com/office/drawing/2014/main" id="{DC9C9FF9-15FD-E50B-B005-735EBE3E1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0304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1142</xdr:row>
      <xdr:rowOff>0</xdr:rowOff>
    </xdr:from>
    <xdr:to>
      <xdr:col>13</xdr:col>
      <xdr:colOff>0</xdr:colOff>
      <xdr:row>1143</xdr:row>
      <xdr:rowOff>148590</xdr:rowOff>
    </xdr:to>
    <xdr:pic>
      <xdr:nvPicPr>
        <xdr:cNvPr id="1491" name="Imagen 1490" descr="Ver detalle">
          <a:hlinkClick xmlns:r="http://schemas.openxmlformats.org/officeDocument/2006/relationships" r:id="rId1433" tooltip="Ver detalle"/>
          <a:extLst>
            <a:ext uri="{FF2B5EF4-FFF2-40B4-BE49-F238E27FC236}">
              <a16:creationId xmlns:a16="http://schemas.microsoft.com/office/drawing/2014/main" id="{40C9EEF8-E0C3-9C70-C316-255492E7E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1218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1141</xdr:row>
      <xdr:rowOff>0</xdr:rowOff>
    </xdr:from>
    <xdr:to>
      <xdr:col>13</xdr:col>
      <xdr:colOff>0</xdr:colOff>
      <xdr:row>1142</xdr:row>
      <xdr:rowOff>148590</xdr:rowOff>
    </xdr:to>
    <xdr:pic>
      <xdr:nvPicPr>
        <xdr:cNvPr id="1492" name="Imagen 1491" descr="Ver detalle">
          <a:hlinkClick xmlns:r="http://schemas.openxmlformats.org/officeDocument/2006/relationships" r:id="rId1434" tooltip="Ver detalle"/>
          <a:extLst>
            <a:ext uri="{FF2B5EF4-FFF2-40B4-BE49-F238E27FC236}">
              <a16:creationId xmlns:a16="http://schemas.microsoft.com/office/drawing/2014/main" id="{B6E489FB-BFD4-95AD-6F76-329723856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316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1096</xdr:row>
      <xdr:rowOff>0</xdr:rowOff>
    </xdr:from>
    <xdr:to>
      <xdr:col>13</xdr:col>
      <xdr:colOff>0</xdr:colOff>
      <xdr:row>1097</xdr:row>
      <xdr:rowOff>148590</xdr:rowOff>
    </xdr:to>
    <xdr:pic>
      <xdr:nvPicPr>
        <xdr:cNvPr id="1493" name="Imagen 1492" descr="Ver detalle">
          <a:hlinkClick xmlns:r="http://schemas.openxmlformats.org/officeDocument/2006/relationships" r:id="rId1435" tooltip="Ver detalle"/>
          <a:extLst>
            <a:ext uri="{FF2B5EF4-FFF2-40B4-BE49-F238E27FC236}">
              <a16:creationId xmlns:a16="http://schemas.microsoft.com/office/drawing/2014/main" id="{1F61B428-DFE6-5B29-4338-825B69DBE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512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1101</xdr:row>
      <xdr:rowOff>0</xdr:rowOff>
    </xdr:from>
    <xdr:to>
      <xdr:col>13</xdr:col>
      <xdr:colOff>0</xdr:colOff>
      <xdr:row>1102</xdr:row>
      <xdr:rowOff>148590</xdr:rowOff>
    </xdr:to>
    <xdr:pic>
      <xdr:nvPicPr>
        <xdr:cNvPr id="1494" name="Imagen 1493" descr="Ver detalle">
          <a:hlinkClick xmlns:r="http://schemas.openxmlformats.org/officeDocument/2006/relationships" r:id="rId1436" tooltip="Ver detalle"/>
          <a:extLst>
            <a:ext uri="{FF2B5EF4-FFF2-40B4-BE49-F238E27FC236}">
              <a16:creationId xmlns:a16="http://schemas.microsoft.com/office/drawing/2014/main" id="{5AE6B42C-0A62-CED5-2643-2BA58F681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707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1135</xdr:row>
      <xdr:rowOff>0</xdr:rowOff>
    </xdr:from>
    <xdr:to>
      <xdr:col>13</xdr:col>
      <xdr:colOff>0</xdr:colOff>
      <xdr:row>1136</xdr:row>
      <xdr:rowOff>148590</xdr:rowOff>
    </xdr:to>
    <xdr:pic>
      <xdr:nvPicPr>
        <xdr:cNvPr id="1495" name="Imagen 1494" descr="Ver detalle">
          <a:hlinkClick xmlns:r="http://schemas.openxmlformats.org/officeDocument/2006/relationships" r:id="rId1437" tooltip="Ver detalle"/>
          <a:extLst>
            <a:ext uri="{FF2B5EF4-FFF2-40B4-BE49-F238E27FC236}">
              <a16:creationId xmlns:a16="http://schemas.microsoft.com/office/drawing/2014/main" id="{152DC48B-88F8-BDE2-2C8D-BC89438D3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9021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1094</xdr:row>
      <xdr:rowOff>0</xdr:rowOff>
    </xdr:from>
    <xdr:to>
      <xdr:col>13</xdr:col>
      <xdr:colOff>0</xdr:colOff>
      <xdr:row>1095</xdr:row>
      <xdr:rowOff>148590</xdr:rowOff>
    </xdr:to>
    <xdr:pic>
      <xdr:nvPicPr>
        <xdr:cNvPr id="1496" name="Imagen 1495" descr="Ver detalle">
          <a:hlinkClick xmlns:r="http://schemas.openxmlformats.org/officeDocument/2006/relationships" r:id="rId1438" tooltip="Ver detalle"/>
          <a:extLst>
            <a:ext uri="{FF2B5EF4-FFF2-40B4-BE49-F238E27FC236}">
              <a16:creationId xmlns:a16="http://schemas.microsoft.com/office/drawing/2014/main" id="{12506B62-703D-BE0E-48DE-890EFD95F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097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1140</xdr:row>
      <xdr:rowOff>0</xdr:rowOff>
    </xdr:from>
    <xdr:to>
      <xdr:col>13</xdr:col>
      <xdr:colOff>0</xdr:colOff>
      <xdr:row>1141</xdr:row>
      <xdr:rowOff>148590</xdr:rowOff>
    </xdr:to>
    <xdr:pic>
      <xdr:nvPicPr>
        <xdr:cNvPr id="1497" name="Imagen 1496" descr="Ver detalle">
          <a:hlinkClick xmlns:r="http://schemas.openxmlformats.org/officeDocument/2006/relationships" r:id="rId1439" tooltip="Ver detalle"/>
          <a:extLst>
            <a:ext uri="{FF2B5EF4-FFF2-40B4-BE49-F238E27FC236}">
              <a16:creationId xmlns:a16="http://schemas.microsoft.com/office/drawing/2014/main" id="{6894736A-8B37-0A6E-E55E-5B8728F2A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292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1139</xdr:row>
      <xdr:rowOff>0</xdr:rowOff>
    </xdr:from>
    <xdr:to>
      <xdr:col>13</xdr:col>
      <xdr:colOff>0</xdr:colOff>
      <xdr:row>1140</xdr:row>
      <xdr:rowOff>148590</xdr:rowOff>
    </xdr:to>
    <xdr:pic>
      <xdr:nvPicPr>
        <xdr:cNvPr id="1498" name="Imagen 1497" descr="Ver detalle">
          <a:hlinkClick xmlns:r="http://schemas.openxmlformats.org/officeDocument/2006/relationships" r:id="rId1440" tooltip="Ver detalle"/>
          <a:extLst>
            <a:ext uri="{FF2B5EF4-FFF2-40B4-BE49-F238E27FC236}">
              <a16:creationId xmlns:a16="http://schemas.microsoft.com/office/drawing/2014/main" id="{0DA2821D-71B5-DA1C-BEBA-59D2A5D13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487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1138</xdr:row>
      <xdr:rowOff>0</xdr:rowOff>
    </xdr:from>
    <xdr:to>
      <xdr:col>13</xdr:col>
      <xdr:colOff>0</xdr:colOff>
      <xdr:row>1139</xdr:row>
      <xdr:rowOff>148590</xdr:rowOff>
    </xdr:to>
    <xdr:pic>
      <xdr:nvPicPr>
        <xdr:cNvPr id="1499" name="Imagen 1498" descr="Ver detalle">
          <a:hlinkClick xmlns:r="http://schemas.openxmlformats.org/officeDocument/2006/relationships" r:id="rId1441" tooltip="Ver detalle"/>
          <a:extLst>
            <a:ext uri="{FF2B5EF4-FFF2-40B4-BE49-F238E27FC236}">
              <a16:creationId xmlns:a16="http://schemas.microsoft.com/office/drawing/2014/main" id="{7675CEF4-135D-55A8-9775-0470D543D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617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1137</xdr:row>
      <xdr:rowOff>0</xdr:rowOff>
    </xdr:from>
    <xdr:to>
      <xdr:col>13</xdr:col>
      <xdr:colOff>0</xdr:colOff>
      <xdr:row>1138</xdr:row>
      <xdr:rowOff>148590</xdr:rowOff>
    </xdr:to>
    <xdr:pic>
      <xdr:nvPicPr>
        <xdr:cNvPr id="1500" name="Imagen 1499" descr="Ver detalle">
          <a:hlinkClick xmlns:r="http://schemas.openxmlformats.org/officeDocument/2006/relationships" r:id="rId1442" tooltip="Ver detalle"/>
          <a:extLst>
            <a:ext uri="{FF2B5EF4-FFF2-40B4-BE49-F238E27FC236}">
              <a16:creationId xmlns:a16="http://schemas.microsoft.com/office/drawing/2014/main" id="{2D5438DF-AC8B-EBD9-B1AE-65C22D545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7479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1136</xdr:row>
      <xdr:rowOff>0</xdr:rowOff>
    </xdr:from>
    <xdr:to>
      <xdr:col>13</xdr:col>
      <xdr:colOff>0</xdr:colOff>
      <xdr:row>1137</xdr:row>
      <xdr:rowOff>148590</xdr:rowOff>
    </xdr:to>
    <xdr:pic>
      <xdr:nvPicPr>
        <xdr:cNvPr id="1501" name="Imagen 1500" descr="Ver detalle">
          <a:hlinkClick xmlns:r="http://schemas.openxmlformats.org/officeDocument/2006/relationships" r:id="rId1443" tooltip="Ver detalle"/>
          <a:extLst>
            <a:ext uri="{FF2B5EF4-FFF2-40B4-BE49-F238E27FC236}">
              <a16:creationId xmlns:a16="http://schemas.microsoft.com/office/drawing/2014/main" id="{047A93CA-BA9B-9A9C-3C93-AD9A412B3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8782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1162</xdr:row>
      <xdr:rowOff>0</xdr:rowOff>
    </xdr:from>
    <xdr:to>
      <xdr:col>13</xdr:col>
      <xdr:colOff>0</xdr:colOff>
      <xdr:row>1163</xdr:row>
      <xdr:rowOff>148590</xdr:rowOff>
    </xdr:to>
    <xdr:pic>
      <xdr:nvPicPr>
        <xdr:cNvPr id="1502" name="Imagen 1501" descr="Ver detalle">
          <a:hlinkClick xmlns:r="http://schemas.openxmlformats.org/officeDocument/2006/relationships" r:id="rId1444" tooltip="Ver detalle"/>
          <a:extLst>
            <a:ext uri="{FF2B5EF4-FFF2-40B4-BE49-F238E27FC236}">
              <a16:creationId xmlns:a16="http://schemas.microsoft.com/office/drawing/2014/main" id="{0184EDFF-4430-8DDD-E931-5DBE8EE77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0085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1161</xdr:row>
      <xdr:rowOff>0</xdr:rowOff>
    </xdr:from>
    <xdr:to>
      <xdr:col>13</xdr:col>
      <xdr:colOff>0</xdr:colOff>
      <xdr:row>1162</xdr:row>
      <xdr:rowOff>148590</xdr:rowOff>
    </xdr:to>
    <xdr:pic>
      <xdr:nvPicPr>
        <xdr:cNvPr id="1503" name="Imagen 1502" descr="Ver detalle">
          <a:hlinkClick xmlns:r="http://schemas.openxmlformats.org/officeDocument/2006/relationships" r:id="rId1445" tooltip="Ver detalle"/>
          <a:extLst>
            <a:ext uri="{FF2B5EF4-FFF2-40B4-BE49-F238E27FC236}">
              <a16:creationId xmlns:a16="http://schemas.microsoft.com/office/drawing/2014/main" id="{BC545E23-429B-51C7-4847-A17BBB6C0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20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1160</xdr:row>
      <xdr:rowOff>0</xdr:rowOff>
    </xdr:from>
    <xdr:to>
      <xdr:col>13</xdr:col>
      <xdr:colOff>0</xdr:colOff>
      <xdr:row>1161</xdr:row>
      <xdr:rowOff>148590</xdr:rowOff>
    </xdr:to>
    <xdr:pic>
      <xdr:nvPicPr>
        <xdr:cNvPr id="1504" name="Imagen 1503" descr="Ver detalle">
          <a:hlinkClick xmlns:r="http://schemas.openxmlformats.org/officeDocument/2006/relationships" r:id="rId1446" tooltip="Ver detalle"/>
          <a:extLst>
            <a:ext uri="{FF2B5EF4-FFF2-40B4-BE49-F238E27FC236}">
              <a16:creationId xmlns:a16="http://schemas.microsoft.com/office/drawing/2014/main" id="{B6203C17-E4D3-AB84-CFAD-038F21AFB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398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1158</xdr:row>
      <xdr:rowOff>0</xdr:rowOff>
    </xdr:from>
    <xdr:to>
      <xdr:col>13</xdr:col>
      <xdr:colOff>0</xdr:colOff>
      <xdr:row>1159</xdr:row>
      <xdr:rowOff>148590</xdr:rowOff>
    </xdr:to>
    <xdr:pic>
      <xdr:nvPicPr>
        <xdr:cNvPr id="1505" name="Imagen 1504" descr="Ver detalle">
          <a:hlinkClick xmlns:r="http://schemas.openxmlformats.org/officeDocument/2006/relationships" r:id="rId1447" tooltip="Ver detalle"/>
          <a:extLst>
            <a:ext uri="{FF2B5EF4-FFF2-40B4-BE49-F238E27FC236}">
              <a16:creationId xmlns:a16="http://schemas.microsoft.com/office/drawing/2014/main" id="{CD692341-261C-F41B-0365-9087C658B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685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1134</xdr:row>
      <xdr:rowOff>0</xdr:rowOff>
    </xdr:from>
    <xdr:to>
      <xdr:col>13</xdr:col>
      <xdr:colOff>0</xdr:colOff>
      <xdr:row>1135</xdr:row>
      <xdr:rowOff>148590</xdr:rowOff>
    </xdr:to>
    <xdr:pic>
      <xdr:nvPicPr>
        <xdr:cNvPr id="1506" name="Imagen 1505" descr="Ver detalle">
          <a:hlinkClick xmlns:r="http://schemas.openxmlformats.org/officeDocument/2006/relationships" r:id="rId1448" tooltip="Ver detalle"/>
          <a:extLst>
            <a:ext uri="{FF2B5EF4-FFF2-40B4-BE49-F238E27FC236}">
              <a16:creationId xmlns:a16="http://schemas.microsoft.com/office/drawing/2014/main" id="{7CAFB6D8-5811-FF5C-15AF-A23B147A0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880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1133</xdr:row>
      <xdr:rowOff>0</xdr:rowOff>
    </xdr:from>
    <xdr:to>
      <xdr:col>13</xdr:col>
      <xdr:colOff>0</xdr:colOff>
      <xdr:row>1134</xdr:row>
      <xdr:rowOff>148590</xdr:rowOff>
    </xdr:to>
    <xdr:pic>
      <xdr:nvPicPr>
        <xdr:cNvPr id="1507" name="Imagen 1506" descr="Ver detalle">
          <a:hlinkClick xmlns:r="http://schemas.openxmlformats.org/officeDocument/2006/relationships" r:id="rId1449" tooltip="Ver detalle"/>
          <a:extLst>
            <a:ext uri="{FF2B5EF4-FFF2-40B4-BE49-F238E27FC236}">
              <a16:creationId xmlns:a16="http://schemas.microsoft.com/office/drawing/2014/main" id="{DE67B6AA-0D11-AB15-4C7A-751C8023E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075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1132</xdr:row>
      <xdr:rowOff>0</xdr:rowOff>
    </xdr:from>
    <xdr:to>
      <xdr:col>13</xdr:col>
      <xdr:colOff>0</xdr:colOff>
      <xdr:row>1133</xdr:row>
      <xdr:rowOff>148590</xdr:rowOff>
    </xdr:to>
    <xdr:pic>
      <xdr:nvPicPr>
        <xdr:cNvPr id="1508" name="Imagen 1507" descr="Ver detalle">
          <a:hlinkClick xmlns:r="http://schemas.openxmlformats.org/officeDocument/2006/relationships" r:id="rId1450" tooltip="Ver detalle"/>
          <a:extLst>
            <a:ext uri="{FF2B5EF4-FFF2-40B4-BE49-F238E27FC236}">
              <a16:creationId xmlns:a16="http://schemas.microsoft.com/office/drawing/2014/main" id="{17B46096-299E-7482-0ED8-CE911BAC7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270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1131</xdr:row>
      <xdr:rowOff>0</xdr:rowOff>
    </xdr:from>
    <xdr:to>
      <xdr:col>13</xdr:col>
      <xdr:colOff>0</xdr:colOff>
      <xdr:row>1132</xdr:row>
      <xdr:rowOff>148590</xdr:rowOff>
    </xdr:to>
    <xdr:pic>
      <xdr:nvPicPr>
        <xdr:cNvPr id="1509" name="Imagen 1508" descr="Ver detalle">
          <a:hlinkClick xmlns:r="http://schemas.openxmlformats.org/officeDocument/2006/relationships" r:id="rId1451" tooltip="Ver detalle"/>
          <a:extLst>
            <a:ext uri="{FF2B5EF4-FFF2-40B4-BE49-F238E27FC236}">
              <a16:creationId xmlns:a16="http://schemas.microsoft.com/office/drawing/2014/main" id="{439621AD-F3A6-8370-2DD5-D95285953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465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1130</xdr:row>
      <xdr:rowOff>0</xdr:rowOff>
    </xdr:from>
    <xdr:to>
      <xdr:col>13</xdr:col>
      <xdr:colOff>0</xdr:colOff>
      <xdr:row>1131</xdr:row>
      <xdr:rowOff>148590</xdr:rowOff>
    </xdr:to>
    <xdr:pic>
      <xdr:nvPicPr>
        <xdr:cNvPr id="1510" name="Imagen 1509" descr="Ver detalle">
          <a:hlinkClick xmlns:r="http://schemas.openxmlformats.org/officeDocument/2006/relationships" r:id="rId1452" tooltip="Ver detalle"/>
          <a:extLst>
            <a:ext uri="{FF2B5EF4-FFF2-40B4-BE49-F238E27FC236}">
              <a16:creationId xmlns:a16="http://schemas.microsoft.com/office/drawing/2014/main" id="{83683FB3-5074-135A-4E53-52AD3D913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6605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1129</xdr:row>
      <xdr:rowOff>0</xdr:rowOff>
    </xdr:from>
    <xdr:to>
      <xdr:col>13</xdr:col>
      <xdr:colOff>0</xdr:colOff>
      <xdr:row>1130</xdr:row>
      <xdr:rowOff>148590</xdr:rowOff>
    </xdr:to>
    <xdr:pic>
      <xdr:nvPicPr>
        <xdr:cNvPr id="1511" name="Imagen 1510" descr="Ver detalle">
          <a:hlinkClick xmlns:r="http://schemas.openxmlformats.org/officeDocument/2006/relationships" r:id="rId1453" tooltip="Ver detalle"/>
          <a:extLst>
            <a:ext uri="{FF2B5EF4-FFF2-40B4-BE49-F238E27FC236}">
              <a16:creationId xmlns:a16="http://schemas.microsoft.com/office/drawing/2014/main" id="{ABFBAE59-EEB9-E45F-D17F-1595C4189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752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1176</xdr:row>
      <xdr:rowOff>0</xdr:rowOff>
    </xdr:from>
    <xdr:to>
      <xdr:col>13</xdr:col>
      <xdr:colOff>0</xdr:colOff>
      <xdr:row>1177</xdr:row>
      <xdr:rowOff>114300</xdr:rowOff>
    </xdr:to>
    <xdr:pic>
      <xdr:nvPicPr>
        <xdr:cNvPr id="1512" name="Imagen 1511" descr="Ver detalle">
          <a:hlinkClick xmlns:r="http://schemas.openxmlformats.org/officeDocument/2006/relationships" r:id="rId1454" tooltip="Ver detalle"/>
          <a:extLst>
            <a:ext uri="{FF2B5EF4-FFF2-40B4-BE49-F238E27FC236}">
              <a16:creationId xmlns:a16="http://schemas.microsoft.com/office/drawing/2014/main" id="{5F13BFF0-A3ED-48F2-5A10-A6E1DA756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8434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1175</xdr:row>
      <xdr:rowOff>0</xdr:rowOff>
    </xdr:from>
    <xdr:to>
      <xdr:col>13</xdr:col>
      <xdr:colOff>0</xdr:colOff>
      <xdr:row>1176</xdr:row>
      <xdr:rowOff>148590</xdr:rowOff>
    </xdr:to>
    <xdr:pic>
      <xdr:nvPicPr>
        <xdr:cNvPr id="1513" name="Imagen 1512" descr="Ver detalle">
          <a:hlinkClick xmlns:r="http://schemas.openxmlformats.org/officeDocument/2006/relationships" r:id="rId1455" tooltip="Ver detalle"/>
          <a:extLst>
            <a:ext uri="{FF2B5EF4-FFF2-40B4-BE49-F238E27FC236}">
              <a16:creationId xmlns:a16="http://schemas.microsoft.com/office/drawing/2014/main" id="{B5E515EB-4616-40EA-E633-3BF70C77F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0385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1174</xdr:row>
      <xdr:rowOff>0</xdr:rowOff>
    </xdr:from>
    <xdr:to>
      <xdr:col>13</xdr:col>
      <xdr:colOff>0</xdr:colOff>
      <xdr:row>1175</xdr:row>
      <xdr:rowOff>148590</xdr:rowOff>
    </xdr:to>
    <xdr:pic>
      <xdr:nvPicPr>
        <xdr:cNvPr id="1514" name="Imagen 1513" descr="Ver detalle">
          <a:hlinkClick xmlns:r="http://schemas.openxmlformats.org/officeDocument/2006/relationships" r:id="rId1456" tooltip="Ver detalle"/>
          <a:extLst>
            <a:ext uri="{FF2B5EF4-FFF2-40B4-BE49-F238E27FC236}">
              <a16:creationId xmlns:a16="http://schemas.microsoft.com/office/drawing/2014/main" id="{CC05FDFF-C9CD-C0C2-809A-D805E5339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233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1173</xdr:row>
      <xdr:rowOff>0</xdr:rowOff>
    </xdr:from>
    <xdr:to>
      <xdr:col>13</xdr:col>
      <xdr:colOff>0</xdr:colOff>
      <xdr:row>1174</xdr:row>
      <xdr:rowOff>148590</xdr:rowOff>
    </xdr:to>
    <xdr:pic>
      <xdr:nvPicPr>
        <xdr:cNvPr id="1515" name="Imagen 1514" descr="Ver detalle">
          <a:hlinkClick xmlns:r="http://schemas.openxmlformats.org/officeDocument/2006/relationships" r:id="rId1457" tooltip="Ver detalle"/>
          <a:extLst>
            <a:ext uri="{FF2B5EF4-FFF2-40B4-BE49-F238E27FC236}">
              <a16:creationId xmlns:a16="http://schemas.microsoft.com/office/drawing/2014/main" id="{F5FB69F9-0CD4-1E6B-3992-DF8C0E1C5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428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1100</xdr:row>
      <xdr:rowOff>0</xdr:rowOff>
    </xdr:from>
    <xdr:to>
      <xdr:col>13</xdr:col>
      <xdr:colOff>0</xdr:colOff>
      <xdr:row>1101</xdr:row>
      <xdr:rowOff>148590</xdr:rowOff>
    </xdr:to>
    <xdr:pic>
      <xdr:nvPicPr>
        <xdr:cNvPr id="1516" name="Imagen 1515" descr="Ver detalle">
          <a:hlinkClick xmlns:r="http://schemas.openxmlformats.org/officeDocument/2006/relationships" r:id="rId1458" tooltip="Ver detalle"/>
          <a:extLst>
            <a:ext uri="{FF2B5EF4-FFF2-40B4-BE49-F238E27FC236}">
              <a16:creationId xmlns:a16="http://schemas.microsoft.com/office/drawing/2014/main" id="{18E2EAD5-28A7-55FD-AD6B-4E35E075D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623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1095</xdr:row>
      <xdr:rowOff>0</xdr:rowOff>
    </xdr:from>
    <xdr:to>
      <xdr:col>13</xdr:col>
      <xdr:colOff>0</xdr:colOff>
      <xdr:row>1096</xdr:row>
      <xdr:rowOff>148590</xdr:rowOff>
    </xdr:to>
    <xdr:pic>
      <xdr:nvPicPr>
        <xdr:cNvPr id="1517" name="Imagen 1516" descr="Ver detalle">
          <a:hlinkClick xmlns:r="http://schemas.openxmlformats.org/officeDocument/2006/relationships" r:id="rId1459" tooltip="Ver detalle"/>
          <a:extLst>
            <a:ext uri="{FF2B5EF4-FFF2-40B4-BE49-F238E27FC236}">
              <a16:creationId xmlns:a16="http://schemas.microsoft.com/office/drawing/2014/main" id="{74112ABD-66A9-7BFF-1576-CF3601EF8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7152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1099</xdr:row>
      <xdr:rowOff>0</xdr:rowOff>
    </xdr:from>
    <xdr:to>
      <xdr:col>13</xdr:col>
      <xdr:colOff>0</xdr:colOff>
      <xdr:row>1100</xdr:row>
      <xdr:rowOff>148590</xdr:rowOff>
    </xdr:to>
    <xdr:pic>
      <xdr:nvPicPr>
        <xdr:cNvPr id="1518" name="Imagen 1517" descr="Ver detalle">
          <a:hlinkClick xmlns:r="http://schemas.openxmlformats.org/officeDocument/2006/relationships" r:id="rId1460" tooltip="Ver detalle"/>
          <a:extLst>
            <a:ext uri="{FF2B5EF4-FFF2-40B4-BE49-F238E27FC236}">
              <a16:creationId xmlns:a16="http://schemas.microsoft.com/office/drawing/2014/main" id="{E54F09DA-6D39-1720-179B-251F9F74D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806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1093</xdr:row>
      <xdr:rowOff>0</xdr:rowOff>
    </xdr:from>
    <xdr:to>
      <xdr:col>13</xdr:col>
      <xdr:colOff>0</xdr:colOff>
      <xdr:row>1094</xdr:row>
      <xdr:rowOff>148590</xdr:rowOff>
    </xdr:to>
    <xdr:pic>
      <xdr:nvPicPr>
        <xdr:cNvPr id="1519" name="Imagen 1518" descr="Ver detalle">
          <a:hlinkClick xmlns:r="http://schemas.openxmlformats.org/officeDocument/2006/relationships" r:id="rId1461" tooltip="Ver detalle"/>
          <a:extLst>
            <a:ext uri="{FF2B5EF4-FFF2-40B4-BE49-F238E27FC236}">
              <a16:creationId xmlns:a16="http://schemas.microsoft.com/office/drawing/2014/main" id="{48F8E091-8AE5-22C9-242B-89D9421A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0017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1128</xdr:row>
      <xdr:rowOff>0</xdr:rowOff>
    </xdr:from>
    <xdr:to>
      <xdr:col>13</xdr:col>
      <xdr:colOff>0</xdr:colOff>
      <xdr:row>1129</xdr:row>
      <xdr:rowOff>148590</xdr:rowOff>
    </xdr:to>
    <xdr:pic>
      <xdr:nvPicPr>
        <xdr:cNvPr id="1520" name="Imagen 1519" descr="Ver detalle">
          <a:hlinkClick xmlns:r="http://schemas.openxmlformats.org/officeDocument/2006/relationships" r:id="rId1462" tooltip="Ver detalle"/>
          <a:extLst>
            <a:ext uri="{FF2B5EF4-FFF2-40B4-BE49-F238E27FC236}">
              <a16:creationId xmlns:a16="http://schemas.microsoft.com/office/drawing/2014/main" id="{8F109153-F653-EB38-4232-2CEE3C032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1967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1127</xdr:row>
      <xdr:rowOff>0</xdr:rowOff>
    </xdr:from>
    <xdr:to>
      <xdr:col>13</xdr:col>
      <xdr:colOff>0</xdr:colOff>
      <xdr:row>1128</xdr:row>
      <xdr:rowOff>148590</xdr:rowOff>
    </xdr:to>
    <xdr:pic>
      <xdr:nvPicPr>
        <xdr:cNvPr id="1521" name="Imagen 1520" descr="Ver detalle">
          <a:hlinkClick xmlns:r="http://schemas.openxmlformats.org/officeDocument/2006/relationships" r:id="rId1463" tooltip="Ver detalle"/>
          <a:extLst>
            <a:ext uri="{FF2B5EF4-FFF2-40B4-BE49-F238E27FC236}">
              <a16:creationId xmlns:a16="http://schemas.microsoft.com/office/drawing/2014/main" id="{25EA9495-DB1B-0713-A9DF-629FEC820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391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1126</xdr:row>
      <xdr:rowOff>0</xdr:rowOff>
    </xdr:from>
    <xdr:to>
      <xdr:col>13</xdr:col>
      <xdr:colOff>0</xdr:colOff>
      <xdr:row>1127</xdr:row>
      <xdr:rowOff>148590</xdr:rowOff>
    </xdr:to>
    <xdr:pic>
      <xdr:nvPicPr>
        <xdr:cNvPr id="1522" name="Imagen 1521" descr="Ver detalle">
          <a:hlinkClick xmlns:r="http://schemas.openxmlformats.org/officeDocument/2006/relationships" r:id="rId1464" tooltip="Ver detalle"/>
          <a:extLst>
            <a:ext uri="{FF2B5EF4-FFF2-40B4-BE49-F238E27FC236}">
              <a16:creationId xmlns:a16="http://schemas.microsoft.com/office/drawing/2014/main" id="{5C496D63-6D08-B9C8-4143-40E06B800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586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1125</xdr:row>
      <xdr:rowOff>0</xdr:rowOff>
    </xdr:from>
    <xdr:to>
      <xdr:col>13</xdr:col>
      <xdr:colOff>0</xdr:colOff>
      <xdr:row>1126</xdr:row>
      <xdr:rowOff>148590</xdr:rowOff>
    </xdr:to>
    <xdr:pic>
      <xdr:nvPicPr>
        <xdr:cNvPr id="1523" name="Imagen 1522" descr="Ver detalle">
          <a:hlinkClick xmlns:r="http://schemas.openxmlformats.org/officeDocument/2006/relationships" r:id="rId1465" tooltip="Ver detalle"/>
          <a:extLst>
            <a:ext uri="{FF2B5EF4-FFF2-40B4-BE49-F238E27FC236}">
              <a16:creationId xmlns:a16="http://schemas.microsoft.com/office/drawing/2014/main" id="{15D64A08-3CC8-1582-B44A-6512638BD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7820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1124</xdr:row>
      <xdr:rowOff>0</xdr:rowOff>
    </xdr:from>
    <xdr:to>
      <xdr:col>13</xdr:col>
      <xdr:colOff>0</xdr:colOff>
      <xdr:row>1125</xdr:row>
      <xdr:rowOff>148590</xdr:rowOff>
    </xdr:to>
    <xdr:pic>
      <xdr:nvPicPr>
        <xdr:cNvPr id="1524" name="Imagen 1523" descr="Ver detalle">
          <a:hlinkClick xmlns:r="http://schemas.openxmlformats.org/officeDocument/2006/relationships" r:id="rId1466" tooltip="Ver detalle"/>
          <a:extLst>
            <a:ext uri="{FF2B5EF4-FFF2-40B4-BE49-F238E27FC236}">
              <a16:creationId xmlns:a16="http://schemas.microsoft.com/office/drawing/2014/main" id="{98F5DFFB-511E-C670-B064-7E0540C98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9770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1123</xdr:row>
      <xdr:rowOff>0</xdr:rowOff>
    </xdr:from>
    <xdr:to>
      <xdr:col>13</xdr:col>
      <xdr:colOff>0</xdr:colOff>
      <xdr:row>1124</xdr:row>
      <xdr:rowOff>148590</xdr:rowOff>
    </xdr:to>
    <xdr:pic>
      <xdr:nvPicPr>
        <xdr:cNvPr id="1525" name="Imagen 1524" descr="Ver detalle">
          <a:hlinkClick xmlns:r="http://schemas.openxmlformats.org/officeDocument/2006/relationships" r:id="rId1467" tooltip="Ver detalle"/>
          <a:extLst>
            <a:ext uri="{FF2B5EF4-FFF2-40B4-BE49-F238E27FC236}">
              <a16:creationId xmlns:a16="http://schemas.microsoft.com/office/drawing/2014/main" id="{45016298-0932-6DF1-A087-E845A5CF1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172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1122</xdr:row>
      <xdr:rowOff>0</xdr:rowOff>
    </xdr:from>
    <xdr:to>
      <xdr:col>13</xdr:col>
      <xdr:colOff>0</xdr:colOff>
      <xdr:row>1123</xdr:row>
      <xdr:rowOff>148590</xdr:rowOff>
    </xdr:to>
    <xdr:pic>
      <xdr:nvPicPr>
        <xdr:cNvPr id="1526" name="Imagen 1525" descr="Ver detalle">
          <a:hlinkClick xmlns:r="http://schemas.openxmlformats.org/officeDocument/2006/relationships" r:id="rId1468" tooltip="Ver detalle"/>
          <a:extLst>
            <a:ext uri="{FF2B5EF4-FFF2-40B4-BE49-F238E27FC236}">
              <a16:creationId xmlns:a16="http://schemas.microsoft.com/office/drawing/2014/main" id="{3933F11C-C7DB-0C9D-A4E2-EE0F9B379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3154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1121</xdr:row>
      <xdr:rowOff>0</xdr:rowOff>
    </xdr:from>
    <xdr:to>
      <xdr:col>13</xdr:col>
      <xdr:colOff>0</xdr:colOff>
      <xdr:row>1122</xdr:row>
      <xdr:rowOff>148590</xdr:rowOff>
    </xdr:to>
    <xdr:pic>
      <xdr:nvPicPr>
        <xdr:cNvPr id="1527" name="Imagen 1526" descr="Ver detalle">
          <a:hlinkClick xmlns:r="http://schemas.openxmlformats.org/officeDocument/2006/relationships" r:id="rId1469" tooltip="Ver detalle"/>
          <a:extLst>
            <a:ext uri="{FF2B5EF4-FFF2-40B4-BE49-F238E27FC236}">
              <a16:creationId xmlns:a16="http://schemas.microsoft.com/office/drawing/2014/main" id="{192FD465-28D8-7580-9768-844612E81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4457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1120</xdr:row>
      <xdr:rowOff>0</xdr:rowOff>
    </xdr:from>
    <xdr:to>
      <xdr:col>13</xdr:col>
      <xdr:colOff>0</xdr:colOff>
      <xdr:row>1121</xdr:row>
      <xdr:rowOff>148590</xdr:rowOff>
    </xdr:to>
    <xdr:pic>
      <xdr:nvPicPr>
        <xdr:cNvPr id="1528" name="Imagen 1527" descr="Ver detalle">
          <a:hlinkClick xmlns:r="http://schemas.openxmlformats.org/officeDocument/2006/relationships" r:id="rId1470" tooltip="Ver detalle"/>
          <a:extLst>
            <a:ext uri="{FF2B5EF4-FFF2-40B4-BE49-F238E27FC236}">
              <a16:creationId xmlns:a16="http://schemas.microsoft.com/office/drawing/2014/main" id="{E0C44871-B400-ADE9-AAC9-C5AAA4D19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576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1118</xdr:row>
      <xdr:rowOff>0</xdr:rowOff>
    </xdr:from>
    <xdr:to>
      <xdr:col>13</xdr:col>
      <xdr:colOff>0</xdr:colOff>
      <xdr:row>1119</xdr:row>
      <xdr:rowOff>148590</xdr:rowOff>
    </xdr:to>
    <xdr:pic>
      <xdr:nvPicPr>
        <xdr:cNvPr id="1529" name="Imagen 1528" descr="Ver detalle">
          <a:hlinkClick xmlns:r="http://schemas.openxmlformats.org/officeDocument/2006/relationships" r:id="rId1471" tooltip="Ver detalle"/>
          <a:extLst>
            <a:ext uri="{FF2B5EF4-FFF2-40B4-BE49-F238E27FC236}">
              <a16:creationId xmlns:a16="http://schemas.microsoft.com/office/drawing/2014/main" id="{B7DBED45-FC73-283D-DB8A-C789D765B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836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1098</xdr:row>
      <xdr:rowOff>0</xdr:rowOff>
    </xdr:from>
    <xdr:to>
      <xdr:col>13</xdr:col>
      <xdr:colOff>0</xdr:colOff>
      <xdr:row>1099</xdr:row>
      <xdr:rowOff>148590</xdr:rowOff>
    </xdr:to>
    <xdr:pic>
      <xdr:nvPicPr>
        <xdr:cNvPr id="1530" name="Imagen 1529" descr="Ver detalle">
          <a:hlinkClick xmlns:r="http://schemas.openxmlformats.org/officeDocument/2006/relationships" r:id="rId1472" tooltip="Ver detalle"/>
          <a:extLst>
            <a:ext uri="{FF2B5EF4-FFF2-40B4-BE49-F238E27FC236}">
              <a16:creationId xmlns:a16="http://schemas.microsoft.com/office/drawing/2014/main" id="{9B56C285-C223-62D2-194A-467A90C11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966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1105</xdr:row>
      <xdr:rowOff>0</xdr:rowOff>
    </xdr:from>
    <xdr:to>
      <xdr:col>13</xdr:col>
      <xdr:colOff>0</xdr:colOff>
      <xdr:row>1106</xdr:row>
      <xdr:rowOff>148590</xdr:rowOff>
    </xdr:to>
    <xdr:pic>
      <xdr:nvPicPr>
        <xdr:cNvPr id="1531" name="Imagen 1530" descr="Ver detalle">
          <a:hlinkClick xmlns:r="http://schemas.openxmlformats.org/officeDocument/2006/relationships" r:id="rId1473" tooltip="Ver detalle"/>
          <a:extLst>
            <a:ext uri="{FF2B5EF4-FFF2-40B4-BE49-F238E27FC236}">
              <a16:creationId xmlns:a16="http://schemas.microsoft.com/office/drawing/2014/main" id="{FA4ACC6A-6429-9782-4BB9-30BF693A9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0583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1117</xdr:row>
      <xdr:rowOff>0</xdr:rowOff>
    </xdr:from>
    <xdr:to>
      <xdr:col>13</xdr:col>
      <xdr:colOff>0</xdr:colOff>
      <xdr:row>1118</xdr:row>
      <xdr:rowOff>148590</xdr:rowOff>
    </xdr:to>
    <xdr:pic>
      <xdr:nvPicPr>
        <xdr:cNvPr id="1532" name="Imagen 1531" descr="Ver detalle">
          <a:hlinkClick xmlns:r="http://schemas.openxmlformats.org/officeDocument/2006/relationships" r:id="rId1474" tooltip="Ver detalle"/>
          <a:extLst>
            <a:ext uri="{FF2B5EF4-FFF2-40B4-BE49-F238E27FC236}">
              <a16:creationId xmlns:a16="http://schemas.microsoft.com/office/drawing/2014/main" id="{BD45949E-FE80-759F-BA4B-7743C5A81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2534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1116</xdr:row>
      <xdr:rowOff>0</xdr:rowOff>
    </xdr:from>
    <xdr:to>
      <xdr:col>13</xdr:col>
      <xdr:colOff>0</xdr:colOff>
      <xdr:row>1117</xdr:row>
      <xdr:rowOff>148590</xdr:rowOff>
    </xdr:to>
    <xdr:pic>
      <xdr:nvPicPr>
        <xdr:cNvPr id="1533" name="Imagen 1532" descr="Ver detalle">
          <a:hlinkClick xmlns:r="http://schemas.openxmlformats.org/officeDocument/2006/relationships" r:id="rId1475" tooltip="Ver detalle"/>
          <a:extLst>
            <a:ext uri="{FF2B5EF4-FFF2-40B4-BE49-F238E27FC236}">
              <a16:creationId xmlns:a16="http://schemas.microsoft.com/office/drawing/2014/main" id="{75F1CDF5-5AA0-5926-5D47-1CA226CA8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4484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1091</xdr:row>
      <xdr:rowOff>0</xdr:rowOff>
    </xdr:from>
    <xdr:to>
      <xdr:col>13</xdr:col>
      <xdr:colOff>0</xdr:colOff>
      <xdr:row>1092</xdr:row>
      <xdr:rowOff>148590</xdr:rowOff>
    </xdr:to>
    <xdr:pic>
      <xdr:nvPicPr>
        <xdr:cNvPr id="1534" name="Imagen 1533" descr="Ver detalle">
          <a:hlinkClick xmlns:r="http://schemas.openxmlformats.org/officeDocument/2006/relationships" r:id="rId1476" tooltip="Ver detalle"/>
          <a:extLst>
            <a:ext uri="{FF2B5EF4-FFF2-40B4-BE49-F238E27FC236}">
              <a16:creationId xmlns:a16="http://schemas.microsoft.com/office/drawing/2014/main" id="{74EF8246-475A-E5DF-7CC2-1A14282C2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643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1097</xdr:row>
      <xdr:rowOff>0</xdr:rowOff>
    </xdr:from>
    <xdr:to>
      <xdr:col>13</xdr:col>
      <xdr:colOff>0</xdr:colOff>
      <xdr:row>1098</xdr:row>
      <xdr:rowOff>148590</xdr:rowOff>
    </xdr:to>
    <xdr:pic>
      <xdr:nvPicPr>
        <xdr:cNvPr id="1535" name="Imagen 1534" descr="Ver detalle">
          <a:hlinkClick xmlns:r="http://schemas.openxmlformats.org/officeDocument/2006/relationships" r:id="rId1477" tooltip="Ver detalle"/>
          <a:extLst>
            <a:ext uri="{FF2B5EF4-FFF2-40B4-BE49-F238E27FC236}">
              <a16:creationId xmlns:a16="http://schemas.microsoft.com/office/drawing/2014/main" id="{134C4C4F-4A28-118B-8374-B24052764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838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1092</xdr:row>
      <xdr:rowOff>0</xdr:rowOff>
    </xdr:from>
    <xdr:to>
      <xdr:col>13</xdr:col>
      <xdr:colOff>0</xdr:colOff>
      <xdr:row>1093</xdr:row>
      <xdr:rowOff>148590</xdr:rowOff>
    </xdr:to>
    <xdr:pic>
      <xdr:nvPicPr>
        <xdr:cNvPr id="1536" name="Imagen 1535" descr="Ver detalle">
          <a:hlinkClick xmlns:r="http://schemas.openxmlformats.org/officeDocument/2006/relationships" r:id="rId1478" tooltip="Ver detalle"/>
          <a:extLst>
            <a:ext uri="{FF2B5EF4-FFF2-40B4-BE49-F238E27FC236}">
              <a16:creationId xmlns:a16="http://schemas.microsoft.com/office/drawing/2014/main" id="{819222FD-428D-BF49-F69D-5EE62F777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930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1084</xdr:row>
      <xdr:rowOff>0</xdr:rowOff>
    </xdr:from>
    <xdr:to>
      <xdr:col>13</xdr:col>
      <xdr:colOff>0</xdr:colOff>
      <xdr:row>1085</xdr:row>
      <xdr:rowOff>148590</xdr:rowOff>
    </xdr:to>
    <xdr:pic>
      <xdr:nvPicPr>
        <xdr:cNvPr id="1537" name="Imagen 1536" descr="Ver detalle">
          <a:hlinkClick xmlns:r="http://schemas.openxmlformats.org/officeDocument/2006/relationships" r:id="rId1479" tooltip="Ver detalle"/>
          <a:extLst>
            <a:ext uri="{FF2B5EF4-FFF2-40B4-BE49-F238E27FC236}">
              <a16:creationId xmlns:a16="http://schemas.microsoft.com/office/drawing/2014/main" id="{B3E3204B-9AEC-4EED-9DC3-7505E1DCD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125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1106</xdr:row>
      <xdr:rowOff>0</xdr:rowOff>
    </xdr:from>
    <xdr:to>
      <xdr:col>13</xdr:col>
      <xdr:colOff>0</xdr:colOff>
      <xdr:row>1107</xdr:row>
      <xdr:rowOff>148590</xdr:rowOff>
    </xdr:to>
    <xdr:pic>
      <xdr:nvPicPr>
        <xdr:cNvPr id="1538" name="Imagen 1537" descr="Ver detalle">
          <a:hlinkClick xmlns:r="http://schemas.openxmlformats.org/officeDocument/2006/relationships" r:id="rId1480" tooltip="Ver detalle"/>
          <a:extLst>
            <a:ext uri="{FF2B5EF4-FFF2-40B4-BE49-F238E27FC236}">
              <a16:creationId xmlns:a16="http://schemas.microsoft.com/office/drawing/2014/main" id="{B9E5F419-5FFB-176A-A055-F0AAF2220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320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1086</xdr:row>
      <xdr:rowOff>0</xdr:rowOff>
    </xdr:from>
    <xdr:to>
      <xdr:col>13</xdr:col>
      <xdr:colOff>0</xdr:colOff>
      <xdr:row>1087</xdr:row>
      <xdr:rowOff>148590</xdr:rowOff>
    </xdr:to>
    <xdr:pic>
      <xdr:nvPicPr>
        <xdr:cNvPr id="1539" name="Imagen 1538" descr="Ver detalle">
          <a:hlinkClick xmlns:r="http://schemas.openxmlformats.org/officeDocument/2006/relationships" r:id="rId1481" tooltip="Ver detalle"/>
          <a:extLst>
            <a:ext uri="{FF2B5EF4-FFF2-40B4-BE49-F238E27FC236}">
              <a16:creationId xmlns:a16="http://schemas.microsoft.com/office/drawing/2014/main" id="{BA367114-7258-1E6B-2B9B-EB6A2690D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515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1089</xdr:row>
      <xdr:rowOff>0</xdr:rowOff>
    </xdr:from>
    <xdr:to>
      <xdr:col>13</xdr:col>
      <xdr:colOff>0</xdr:colOff>
      <xdr:row>1090</xdr:row>
      <xdr:rowOff>148590</xdr:rowOff>
    </xdr:to>
    <xdr:pic>
      <xdr:nvPicPr>
        <xdr:cNvPr id="1540" name="Imagen 1539" descr="Ver detalle">
          <a:hlinkClick xmlns:r="http://schemas.openxmlformats.org/officeDocument/2006/relationships" r:id="rId1482" tooltip="Ver detalle"/>
          <a:extLst>
            <a:ext uri="{FF2B5EF4-FFF2-40B4-BE49-F238E27FC236}">
              <a16:creationId xmlns:a16="http://schemas.microsoft.com/office/drawing/2014/main" id="{382859E9-60F8-FB2C-C9D6-DB1959627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710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1085</xdr:row>
      <xdr:rowOff>0</xdr:rowOff>
    </xdr:from>
    <xdr:to>
      <xdr:col>13</xdr:col>
      <xdr:colOff>0</xdr:colOff>
      <xdr:row>1086</xdr:row>
      <xdr:rowOff>148590</xdr:rowOff>
    </xdr:to>
    <xdr:pic>
      <xdr:nvPicPr>
        <xdr:cNvPr id="1541" name="Imagen 1540" descr="Ver detalle">
          <a:hlinkClick xmlns:r="http://schemas.openxmlformats.org/officeDocument/2006/relationships" r:id="rId1483" tooltip="Ver detalle"/>
          <a:extLst>
            <a:ext uri="{FF2B5EF4-FFF2-40B4-BE49-F238E27FC236}">
              <a16:creationId xmlns:a16="http://schemas.microsoft.com/office/drawing/2014/main" id="{51CA0AA4-796B-50FF-5209-A0F539698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905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1077</xdr:row>
      <xdr:rowOff>0</xdr:rowOff>
    </xdr:from>
    <xdr:to>
      <xdr:col>13</xdr:col>
      <xdr:colOff>0</xdr:colOff>
      <xdr:row>1078</xdr:row>
      <xdr:rowOff>148590</xdr:rowOff>
    </xdr:to>
    <xdr:pic>
      <xdr:nvPicPr>
        <xdr:cNvPr id="1542" name="Imagen 1541" descr="Ver detalle">
          <a:hlinkClick xmlns:r="http://schemas.openxmlformats.org/officeDocument/2006/relationships" r:id="rId1484" tooltip="Ver detalle"/>
          <a:extLst>
            <a:ext uri="{FF2B5EF4-FFF2-40B4-BE49-F238E27FC236}">
              <a16:creationId xmlns:a16="http://schemas.microsoft.com/office/drawing/2014/main" id="{BF319C4A-3284-8343-DF9C-9C90BDA5F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100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1090</xdr:row>
      <xdr:rowOff>0</xdr:rowOff>
    </xdr:from>
    <xdr:to>
      <xdr:col>13</xdr:col>
      <xdr:colOff>0</xdr:colOff>
      <xdr:row>1091</xdr:row>
      <xdr:rowOff>148590</xdr:rowOff>
    </xdr:to>
    <xdr:pic>
      <xdr:nvPicPr>
        <xdr:cNvPr id="1543" name="Imagen 1542" descr="Ver detalle">
          <a:hlinkClick xmlns:r="http://schemas.openxmlformats.org/officeDocument/2006/relationships" r:id="rId1485" tooltip="Ver detalle"/>
          <a:extLst>
            <a:ext uri="{FF2B5EF4-FFF2-40B4-BE49-F238E27FC236}">
              <a16:creationId xmlns:a16="http://schemas.microsoft.com/office/drawing/2014/main" id="{49CEB697-EF42-A526-48DE-5FC409DAA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295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1078</xdr:row>
      <xdr:rowOff>0</xdr:rowOff>
    </xdr:from>
    <xdr:to>
      <xdr:col>13</xdr:col>
      <xdr:colOff>0</xdr:colOff>
      <xdr:row>1079</xdr:row>
      <xdr:rowOff>148590</xdr:rowOff>
    </xdr:to>
    <xdr:pic>
      <xdr:nvPicPr>
        <xdr:cNvPr id="1544" name="Imagen 1543" descr="Ver detalle">
          <a:hlinkClick xmlns:r="http://schemas.openxmlformats.org/officeDocument/2006/relationships" r:id="rId1486" tooltip="Ver detalle"/>
          <a:extLst>
            <a:ext uri="{FF2B5EF4-FFF2-40B4-BE49-F238E27FC236}">
              <a16:creationId xmlns:a16="http://schemas.microsoft.com/office/drawing/2014/main" id="{708A9A75-44A0-AB9A-F542-F0D4A6EB1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490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1082</xdr:row>
      <xdr:rowOff>0</xdr:rowOff>
    </xdr:from>
    <xdr:to>
      <xdr:col>13</xdr:col>
      <xdr:colOff>0</xdr:colOff>
      <xdr:row>1083</xdr:row>
      <xdr:rowOff>148590</xdr:rowOff>
    </xdr:to>
    <xdr:pic>
      <xdr:nvPicPr>
        <xdr:cNvPr id="1545" name="Imagen 1544" descr="Ver detalle">
          <a:hlinkClick xmlns:r="http://schemas.openxmlformats.org/officeDocument/2006/relationships" r:id="rId1487" tooltip="Ver detalle"/>
          <a:extLst>
            <a:ext uri="{FF2B5EF4-FFF2-40B4-BE49-F238E27FC236}">
              <a16:creationId xmlns:a16="http://schemas.microsoft.com/office/drawing/2014/main" id="{029E2A3A-013D-4604-D7BB-6D47D4E6F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620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1081</xdr:row>
      <xdr:rowOff>0</xdr:rowOff>
    </xdr:from>
    <xdr:to>
      <xdr:col>13</xdr:col>
      <xdr:colOff>0</xdr:colOff>
      <xdr:row>1082</xdr:row>
      <xdr:rowOff>148590</xdr:rowOff>
    </xdr:to>
    <xdr:pic>
      <xdr:nvPicPr>
        <xdr:cNvPr id="1546" name="Imagen 1545" descr="Ver detalle">
          <a:hlinkClick xmlns:r="http://schemas.openxmlformats.org/officeDocument/2006/relationships" r:id="rId1488" tooltip="Ver detalle"/>
          <a:extLst>
            <a:ext uri="{FF2B5EF4-FFF2-40B4-BE49-F238E27FC236}">
              <a16:creationId xmlns:a16="http://schemas.microsoft.com/office/drawing/2014/main" id="{D1069BE7-9668-3BEB-0199-F413DA061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816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1087</xdr:row>
      <xdr:rowOff>0</xdr:rowOff>
    </xdr:from>
    <xdr:to>
      <xdr:col>13</xdr:col>
      <xdr:colOff>0</xdr:colOff>
      <xdr:row>1088</xdr:row>
      <xdr:rowOff>148590</xdr:rowOff>
    </xdr:to>
    <xdr:pic>
      <xdr:nvPicPr>
        <xdr:cNvPr id="1547" name="Imagen 1546" descr="Ver detalle">
          <a:hlinkClick xmlns:r="http://schemas.openxmlformats.org/officeDocument/2006/relationships" r:id="rId1489" tooltip="Ver detalle"/>
          <a:extLst>
            <a:ext uri="{FF2B5EF4-FFF2-40B4-BE49-F238E27FC236}">
              <a16:creationId xmlns:a16="http://schemas.microsoft.com/office/drawing/2014/main" id="{1FD71823-1E21-89B2-C318-A7C17907E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907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1076</xdr:row>
      <xdr:rowOff>0</xdr:rowOff>
    </xdr:from>
    <xdr:to>
      <xdr:col>13</xdr:col>
      <xdr:colOff>0</xdr:colOff>
      <xdr:row>1077</xdr:row>
      <xdr:rowOff>148590</xdr:rowOff>
    </xdr:to>
    <xdr:pic>
      <xdr:nvPicPr>
        <xdr:cNvPr id="1548" name="Imagen 1547" descr="Ver detalle">
          <a:hlinkClick xmlns:r="http://schemas.openxmlformats.org/officeDocument/2006/relationships" r:id="rId1490" tooltip="Ver detalle"/>
          <a:extLst>
            <a:ext uri="{FF2B5EF4-FFF2-40B4-BE49-F238E27FC236}">
              <a16:creationId xmlns:a16="http://schemas.microsoft.com/office/drawing/2014/main" id="{0E9812DF-AA0A-3AE3-E8A6-D6E12C0951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998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1083</xdr:row>
      <xdr:rowOff>0</xdr:rowOff>
    </xdr:from>
    <xdr:to>
      <xdr:col>13</xdr:col>
      <xdr:colOff>0</xdr:colOff>
      <xdr:row>1084</xdr:row>
      <xdr:rowOff>148590</xdr:rowOff>
    </xdr:to>
    <xdr:pic>
      <xdr:nvPicPr>
        <xdr:cNvPr id="1549" name="Imagen 1548" descr="Ver detalle">
          <a:hlinkClick xmlns:r="http://schemas.openxmlformats.org/officeDocument/2006/relationships" r:id="rId1491" tooltip="Ver detalle"/>
          <a:extLst>
            <a:ext uri="{FF2B5EF4-FFF2-40B4-BE49-F238E27FC236}">
              <a16:creationId xmlns:a16="http://schemas.microsoft.com/office/drawing/2014/main" id="{9A28A268-49D8-56C0-FD5B-632BB36BD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090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1088</xdr:row>
      <xdr:rowOff>0</xdr:rowOff>
    </xdr:from>
    <xdr:to>
      <xdr:col>13</xdr:col>
      <xdr:colOff>0</xdr:colOff>
      <xdr:row>1089</xdr:row>
      <xdr:rowOff>148590</xdr:rowOff>
    </xdr:to>
    <xdr:pic>
      <xdr:nvPicPr>
        <xdr:cNvPr id="1550" name="Imagen 1549" descr="Ver detalle">
          <a:hlinkClick xmlns:r="http://schemas.openxmlformats.org/officeDocument/2006/relationships" r:id="rId1492" tooltip="Ver detalle"/>
          <a:extLst>
            <a:ext uri="{FF2B5EF4-FFF2-40B4-BE49-F238E27FC236}">
              <a16:creationId xmlns:a16="http://schemas.microsoft.com/office/drawing/2014/main" id="{88E3AC11-D77A-261A-E3DD-B0B1A8108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2854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1080</xdr:row>
      <xdr:rowOff>0</xdr:rowOff>
    </xdr:from>
    <xdr:to>
      <xdr:col>13</xdr:col>
      <xdr:colOff>0</xdr:colOff>
      <xdr:row>1081</xdr:row>
      <xdr:rowOff>148590</xdr:rowOff>
    </xdr:to>
    <xdr:pic>
      <xdr:nvPicPr>
        <xdr:cNvPr id="1551" name="Imagen 1550" descr="Ver detalle">
          <a:hlinkClick xmlns:r="http://schemas.openxmlformats.org/officeDocument/2006/relationships" r:id="rId1493" tooltip="Ver detalle"/>
          <a:extLst>
            <a:ext uri="{FF2B5EF4-FFF2-40B4-BE49-F238E27FC236}">
              <a16:creationId xmlns:a16="http://schemas.microsoft.com/office/drawing/2014/main" id="{24DC7D65-3518-4907-8C31-3BDFAF955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480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1254</xdr:row>
      <xdr:rowOff>0</xdr:rowOff>
    </xdr:from>
    <xdr:to>
      <xdr:col>13</xdr:col>
      <xdr:colOff>0</xdr:colOff>
      <xdr:row>1255</xdr:row>
      <xdr:rowOff>148590</xdr:rowOff>
    </xdr:to>
    <xdr:pic>
      <xdr:nvPicPr>
        <xdr:cNvPr id="1552" name="Imagen 1551" descr="Ver detalle">
          <a:hlinkClick xmlns:r="http://schemas.openxmlformats.org/officeDocument/2006/relationships" r:id="rId1494" tooltip="Ver detalle"/>
          <a:extLst>
            <a:ext uri="{FF2B5EF4-FFF2-40B4-BE49-F238E27FC236}">
              <a16:creationId xmlns:a16="http://schemas.microsoft.com/office/drawing/2014/main" id="{7F78AAF4-43F8-F9A6-7CC3-C65EA95F3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1719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1256</xdr:row>
      <xdr:rowOff>0</xdr:rowOff>
    </xdr:from>
    <xdr:to>
      <xdr:col>13</xdr:col>
      <xdr:colOff>0</xdr:colOff>
      <xdr:row>1257</xdr:row>
      <xdr:rowOff>148590</xdr:rowOff>
    </xdr:to>
    <xdr:pic>
      <xdr:nvPicPr>
        <xdr:cNvPr id="1553" name="Imagen 1552" descr="Ver detalle">
          <a:hlinkClick xmlns:r="http://schemas.openxmlformats.org/officeDocument/2006/relationships" r:id="rId1495" tooltip="Ver detalle"/>
          <a:extLst>
            <a:ext uri="{FF2B5EF4-FFF2-40B4-BE49-F238E27FC236}">
              <a16:creationId xmlns:a16="http://schemas.microsoft.com/office/drawing/2014/main" id="{00839AD8-A07F-4EC3-009F-FBFE6E4B7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1914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1255</xdr:row>
      <xdr:rowOff>0</xdr:rowOff>
    </xdr:from>
    <xdr:to>
      <xdr:col>13</xdr:col>
      <xdr:colOff>0</xdr:colOff>
      <xdr:row>1256</xdr:row>
      <xdr:rowOff>148590</xdr:rowOff>
    </xdr:to>
    <xdr:pic>
      <xdr:nvPicPr>
        <xdr:cNvPr id="1554" name="Imagen 1553" descr="Ver detalle">
          <a:hlinkClick xmlns:r="http://schemas.openxmlformats.org/officeDocument/2006/relationships" r:id="rId1496" tooltip="Ver detalle"/>
          <a:extLst>
            <a:ext uri="{FF2B5EF4-FFF2-40B4-BE49-F238E27FC236}">
              <a16:creationId xmlns:a16="http://schemas.microsoft.com/office/drawing/2014/main" id="{0B46AD3B-43C9-FA8B-1AA4-71619C77F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2109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1226</xdr:row>
      <xdr:rowOff>0</xdr:rowOff>
    </xdr:from>
    <xdr:to>
      <xdr:col>13</xdr:col>
      <xdr:colOff>0</xdr:colOff>
      <xdr:row>1227</xdr:row>
      <xdr:rowOff>114300</xdr:rowOff>
    </xdr:to>
    <xdr:pic>
      <xdr:nvPicPr>
        <xdr:cNvPr id="1555" name="Imagen 1554" descr="Ver detalle">
          <a:hlinkClick xmlns:r="http://schemas.openxmlformats.org/officeDocument/2006/relationships" r:id="rId1497" tooltip="Ver detalle"/>
          <a:extLst>
            <a:ext uri="{FF2B5EF4-FFF2-40B4-BE49-F238E27FC236}">
              <a16:creationId xmlns:a16="http://schemas.microsoft.com/office/drawing/2014/main" id="{2E36492C-F412-B7A6-8193-4CCC1AB9F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2200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1258</xdr:row>
      <xdr:rowOff>0</xdr:rowOff>
    </xdr:from>
    <xdr:to>
      <xdr:col>13</xdr:col>
      <xdr:colOff>0</xdr:colOff>
      <xdr:row>1259</xdr:row>
      <xdr:rowOff>114300</xdr:rowOff>
    </xdr:to>
    <xdr:pic>
      <xdr:nvPicPr>
        <xdr:cNvPr id="1556" name="Imagen 1555" descr="Ver detalle">
          <a:hlinkClick xmlns:r="http://schemas.openxmlformats.org/officeDocument/2006/relationships" r:id="rId1498" tooltip="Ver detalle"/>
          <a:extLst>
            <a:ext uri="{FF2B5EF4-FFF2-40B4-BE49-F238E27FC236}">
              <a16:creationId xmlns:a16="http://schemas.microsoft.com/office/drawing/2014/main" id="{2ED1D1CC-6E54-5205-4012-68FB40AF9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2292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1257</xdr:row>
      <xdr:rowOff>0</xdr:rowOff>
    </xdr:from>
    <xdr:to>
      <xdr:col>13</xdr:col>
      <xdr:colOff>0</xdr:colOff>
      <xdr:row>1258</xdr:row>
      <xdr:rowOff>148590</xdr:rowOff>
    </xdr:to>
    <xdr:pic>
      <xdr:nvPicPr>
        <xdr:cNvPr id="1557" name="Imagen 1556" descr="Ver detalle">
          <a:hlinkClick xmlns:r="http://schemas.openxmlformats.org/officeDocument/2006/relationships" r:id="rId1499" tooltip="Ver detalle"/>
          <a:extLst>
            <a:ext uri="{FF2B5EF4-FFF2-40B4-BE49-F238E27FC236}">
              <a16:creationId xmlns:a16="http://schemas.microsoft.com/office/drawing/2014/main" id="{F0B48E68-5BEE-8DAB-B6B1-2E0972C3F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24873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1253</xdr:row>
      <xdr:rowOff>0</xdr:rowOff>
    </xdr:from>
    <xdr:to>
      <xdr:col>13</xdr:col>
      <xdr:colOff>0</xdr:colOff>
      <xdr:row>1254</xdr:row>
      <xdr:rowOff>148590</xdr:rowOff>
    </xdr:to>
    <xdr:pic>
      <xdr:nvPicPr>
        <xdr:cNvPr id="1558" name="Imagen 1557" descr="Ver detalle">
          <a:hlinkClick xmlns:r="http://schemas.openxmlformats.org/officeDocument/2006/relationships" r:id="rId1500" tooltip="Ver detalle"/>
          <a:extLst>
            <a:ext uri="{FF2B5EF4-FFF2-40B4-BE49-F238E27FC236}">
              <a16:creationId xmlns:a16="http://schemas.microsoft.com/office/drawing/2014/main" id="{BA4BA787-FA6D-0857-7E4A-8276544CB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2682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1252</xdr:row>
      <xdr:rowOff>0</xdr:rowOff>
    </xdr:from>
    <xdr:to>
      <xdr:col>13</xdr:col>
      <xdr:colOff>0</xdr:colOff>
      <xdr:row>1253</xdr:row>
      <xdr:rowOff>148590</xdr:rowOff>
    </xdr:to>
    <xdr:pic>
      <xdr:nvPicPr>
        <xdr:cNvPr id="1559" name="Imagen 1558" descr="Ver detalle">
          <a:hlinkClick xmlns:r="http://schemas.openxmlformats.org/officeDocument/2006/relationships" r:id="rId1501" tooltip="Ver detalle"/>
          <a:extLst>
            <a:ext uri="{FF2B5EF4-FFF2-40B4-BE49-F238E27FC236}">
              <a16:creationId xmlns:a16="http://schemas.microsoft.com/office/drawing/2014/main" id="{384F0143-A99E-22B0-A855-92EAC2A25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2877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1251</xdr:row>
      <xdr:rowOff>0</xdr:rowOff>
    </xdr:from>
    <xdr:to>
      <xdr:col>13</xdr:col>
      <xdr:colOff>0</xdr:colOff>
      <xdr:row>1252</xdr:row>
      <xdr:rowOff>148590</xdr:rowOff>
    </xdr:to>
    <xdr:pic>
      <xdr:nvPicPr>
        <xdr:cNvPr id="1560" name="Imagen 1559" descr="Ver detalle">
          <a:hlinkClick xmlns:r="http://schemas.openxmlformats.org/officeDocument/2006/relationships" r:id="rId1502" tooltip="Ver detalle"/>
          <a:extLst>
            <a:ext uri="{FF2B5EF4-FFF2-40B4-BE49-F238E27FC236}">
              <a16:creationId xmlns:a16="http://schemas.microsoft.com/office/drawing/2014/main" id="{2A9DD687-B4E5-EC3A-4370-9AF32E273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3072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1225</xdr:row>
      <xdr:rowOff>0</xdr:rowOff>
    </xdr:from>
    <xdr:to>
      <xdr:col>13</xdr:col>
      <xdr:colOff>0</xdr:colOff>
      <xdr:row>1226</xdr:row>
      <xdr:rowOff>148590</xdr:rowOff>
    </xdr:to>
    <xdr:pic>
      <xdr:nvPicPr>
        <xdr:cNvPr id="1561" name="Imagen 1560" descr="Ver detalle">
          <a:hlinkClick xmlns:r="http://schemas.openxmlformats.org/officeDocument/2006/relationships" r:id="rId1503" tooltip="Ver detalle"/>
          <a:extLst>
            <a:ext uri="{FF2B5EF4-FFF2-40B4-BE49-F238E27FC236}">
              <a16:creationId xmlns:a16="http://schemas.microsoft.com/office/drawing/2014/main" id="{D03F0240-13C1-7EBF-4A0E-56A9E9325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3267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1250</xdr:row>
      <xdr:rowOff>0</xdr:rowOff>
    </xdr:from>
    <xdr:to>
      <xdr:col>13</xdr:col>
      <xdr:colOff>0</xdr:colOff>
      <xdr:row>1251</xdr:row>
      <xdr:rowOff>148590</xdr:rowOff>
    </xdr:to>
    <xdr:pic>
      <xdr:nvPicPr>
        <xdr:cNvPr id="1562" name="Imagen 1561" descr="Ver detalle">
          <a:hlinkClick xmlns:r="http://schemas.openxmlformats.org/officeDocument/2006/relationships" r:id="rId1504" tooltip="Ver detalle"/>
          <a:extLst>
            <a:ext uri="{FF2B5EF4-FFF2-40B4-BE49-F238E27FC236}">
              <a16:creationId xmlns:a16="http://schemas.microsoft.com/office/drawing/2014/main" id="{B467E876-1CA8-50BE-B8DB-265A1B281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3462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1249</xdr:row>
      <xdr:rowOff>0</xdr:rowOff>
    </xdr:from>
    <xdr:to>
      <xdr:col>13</xdr:col>
      <xdr:colOff>0</xdr:colOff>
      <xdr:row>1250</xdr:row>
      <xdr:rowOff>148590</xdr:rowOff>
    </xdr:to>
    <xdr:pic>
      <xdr:nvPicPr>
        <xdr:cNvPr id="1563" name="Imagen 1562" descr="Ver detalle">
          <a:hlinkClick xmlns:r="http://schemas.openxmlformats.org/officeDocument/2006/relationships" r:id="rId1505" tooltip="Ver detalle"/>
          <a:extLst>
            <a:ext uri="{FF2B5EF4-FFF2-40B4-BE49-F238E27FC236}">
              <a16:creationId xmlns:a16="http://schemas.microsoft.com/office/drawing/2014/main" id="{41997E84-238E-CEBA-65C1-050B5057A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36578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1248</xdr:row>
      <xdr:rowOff>0</xdr:rowOff>
    </xdr:from>
    <xdr:to>
      <xdr:col>13</xdr:col>
      <xdr:colOff>0</xdr:colOff>
      <xdr:row>1249</xdr:row>
      <xdr:rowOff>148590</xdr:rowOff>
    </xdr:to>
    <xdr:pic>
      <xdr:nvPicPr>
        <xdr:cNvPr id="1564" name="Imagen 1563" descr="Ver detalle">
          <a:hlinkClick xmlns:r="http://schemas.openxmlformats.org/officeDocument/2006/relationships" r:id="rId1506" tooltip="Ver detalle"/>
          <a:extLst>
            <a:ext uri="{FF2B5EF4-FFF2-40B4-BE49-F238E27FC236}">
              <a16:creationId xmlns:a16="http://schemas.microsoft.com/office/drawing/2014/main" id="{80A9B8F4-D44D-87F6-F76A-C4F21A7B8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38528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1221</xdr:row>
      <xdr:rowOff>0</xdr:rowOff>
    </xdr:from>
    <xdr:to>
      <xdr:col>13</xdr:col>
      <xdr:colOff>0</xdr:colOff>
      <xdr:row>1222</xdr:row>
      <xdr:rowOff>148590</xdr:rowOff>
    </xdr:to>
    <xdr:pic>
      <xdr:nvPicPr>
        <xdr:cNvPr id="1565" name="Imagen 1564" descr="Ver detalle">
          <a:hlinkClick xmlns:r="http://schemas.openxmlformats.org/officeDocument/2006/relationships" r:id="rId1507" tooltip="Ver detalle"/>
          <a:extLst>
            <a:ext uri="{FF2B5EF4-FFF2-40B4-BE49-F238E27FC236}">
              <a16:creationId xmlns:a16="http://schemas.microsoft.com/office/drawing/2014/main" id="{8FD2C3A9-1960-1AC9-3FC9-C3818DEF3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047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1223</xdr:row>
      <xdr:rowOff>0</xdr:rowOff>
    </xdr:from>
    <xdr:to>
      <xdr:col>13</xdr:col>
      <xdr:colOff>0</xdr:colOff>
      <xdr:row>1224</xdr:row>
      <xdr:rowOff>148590</xdr:rowOff>
    </xdr:to>
    <xdr:pic>
      <xdr:nvPicPr>
        <xdr:cNvPr id="1566" name="Imagen 1565" descr="Ver detalle">
          <a:hlinkClick xmlns:r="http://schemas.openxmlformats.org/officeDocument/2006/relationships" r:id="rId1508" tooltip="Ver detalle"/>
          <a:extLst>
            <a:ext uri="{FF2B5EF4-FFF2-40B4-BE49-F238E27FC236}">
              <a16:creationId xmlns:a16="http://schemas.microsoft.com/office/drawing/2014/main" id="{758E1D52-5D18-7DB8-3A84-09CECA91A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178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1222</xdr:row>
      <xdr:rowOff>0</xdr:rowOff>
    </xdr:from>
    <xdr:to>
      <xdr:col>13</xdr:col>
      <xdr:colOff>0</xdr:colOff>
      <xdr:row>1223</xdr:row>
      <xdr:rowOff>148590</xdr:rowOff>
    </xdr:to>
    <xdr:pic>
      <xdr:nvPicPr>
        <xdr:cNvPr id="1567" name="Imagen 1566" descr="Ver detalle">
          <a:hlinkClick xmlns:r="http://schemas.openxmlformats.org/officeDocument/2006/relationships" r:id="rId1509" tooltip="Ver detalle"/>
          <a:extLst>
            <a:ext uri="{FF2B5EF4-FFF2-40B4-BE49-F238E27FC236}">
              <a16:creationId xmlns:a16="http://schemas.microsoft.com/office/drawing/2014/main" id="{DE38D94B-A378-9B53-52F2-A23ADF1E1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3733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1218</xdr:row>
      <xdr:rowOff>0</xdr:rowOff>
    </xdr:from>
    <xdr:to>
      <xdr:col>13</xdr:col>
      <xdr:colOff>0</xdr:colOff>
      <xdr:row>1219</xdr:row>
      <xdr:rowOff>148590</xdr:rowOff>
    </xdr:to>
    <xdr:pic>
      <xdr:nvPicPr>
        <xdr:cNvPr id="1568" name="Imagen 1567" descr="Ver detalle">
          <a:hlinkClick xmlns:r="http://schemas.openxmlformats.org/officeDocument/2006/relationships" r:id="rId1510" tooltip="Ver detalle"/>
          <a:extLst>
            <a:ext uri="{FF2B5EF4-FFF2-40B4-BE49-F238E27FC236}">
              <a16:creationId xmlns:a16="http://schemas.microsoft.com/office/drawing/2014/main" id="{9A98B385-FB9F-9816-F238-7E956CE50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503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1220</xdr:row>
      <xdr:rowOff>0</xdr:rowOff>
    </xdr:from>
    <xdr:to>
      <xdr:col>13</xdr:col>
      <xdr:colOff>0</xdr:colOff>
      <xdr:row>1221</xdr:row>
      <xdr:rowOff>148590</xdr:rowOff>
    </xdr:to>
    <xdr:pic>
      <xdr:nvPicPr>
        <xdr:cNvPr id="1569" name="Imagen 1568" descr="Ver detalle">
          <a:hlinkClick xmlns:r="http://schemas.openxmlformats.org/officeDocument/2006/relationships" r:id="rId1511" tooltip="Ver detalle"/>
          <a:extLst>
            <a:ext uri="{FF2B5EF4-FFF2-40B4-BE49-F238E27FC236}">
              <a16:creationId xmlns:a16="http://schemas.microsoft.com/office/drawing/2014/main" id="{6A2FA6F6-2C73-DDBE-8749-44A6C80BE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6987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1219</xdr:row>
      <xdr:rowOff>0</xdr:rowOff>
    </xdr:from>
    <xdr:to>
      <xdr:col>13</xdr:col>
      <xdr:colOff>0</xdr:colOff>
      <xdr:row>1220</xdr:row>
      <xdr:rowOff>148590</xdr:rowOff>
    </xdr:to>
    <xdr:pic>
      <xdr:nvPicPr>
        <xdr:cNvPr id="1570" name="Imagen 1569" descr="Ver detalle">
          <a:hlinkClick xmlns:r="http://schemas.openxmlformats.org/officeDocument/2006/relationships" r:id="rId1512" tooltip="Ver detalle"/>
          <a:extLst>
            <a:ext uri="{FF2B5EF4-FFF2-40B4-BE49-F238E27FC236}">
              <a16:creationId xmlns:a16="http://schemas.microsoft.com/office/drawing/2014/main" id="{74CE4047-1D6F-D428-1E30-B71EE563A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829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1217</xdr:row>
      <xdr:rowOff>0</xdr:rowOff>
    </xdr:from>
    <xdr:to>
      <xdr:col>13</xdr:col>
      <xdr:colOff>0</xdr:colOff>
      <xdr:row>1218</xdr:row>
      <xdr:rowOff>148590</xdr:rowOff>
    </xdr:to>
    <xdr:pic>
      <xdr:nvPicPr>
        <xdr:cNvPr id="1571" name="Imagen 1570" descr="Ver detalle">
          <a:hlinkClick xmlns:r="http://schemas.openxmlformats.org/officeDocument/2006/relationships" r:id="rId1513" tooltip="Ver detalle"/>
          <a:extLst>
            <a:ext uri="{FF2B5EF4-FFF2-40B4-BE49-F238E27FC236}">
              <a16:creationId xmlns:a16="http://schemas.microsoft.com/office/drawing/2014/main" id="{F2E20B11-E94B-5788-47A2-4D752BC88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959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1224</xdr:row>
      <xdr:rowOff>0</xdr:rowOff>
    </xdr:from>
    <xdr:to>
      <xdr:col>13</xdr:col>
      <xdr:colOff>0</xdr:colOff>
      <xdr:row>1225</xdr:row>
      <xdr:rowOff>148590</xdr:rowOff>
    </xdr:to>
    <xdr:pic>
      <xdr:nvPicPr>
        <xdr:cNvPr id="1572" name="Imagen 1571" descr="Ver detalle">
          <a:hlinkClick xmlns:r="http://schemas.openxmlformats.org/officeDocument/2006/relationships" r:id="rId1514" tooltip="Ver detalle"/>
          <a:extLst>
            <a:ext uri="{FF2B5EF4-FFF2-40B4-BE49-F238E27FC236}">
              <a16:creationId xmlns:a16="http://schemas.microsoft.com/office/drawing/2014/main" id="{865DFC0D-3947-44B4-235D-980EC0C36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1543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1214</xdr:row>
      <xdr:rowOff>0</xdr:rowOff>
    </xdr:from>
    <xdr:to>
      <xdr:col>13</xdr:col>
      <xdr:colOff>0</xdr:colOff>
      <xdr:row>1215</xdr:row>
      <xdr:rowOff>148590</xdr:rowOff>
    </xdr:to>
    <xdr:pic>
      <xdr:nvPicPr>
        <xdr:cNvPr id="1573" name="Imagen 1572" descr="Ver detalle">
          <a:hlinkClick xmlns:r="http://schemas.openxmlformats.org/officeDocument/2006/relationships" r:id="rId1515" tooltip="Ver detalle"/>
          <a:extLst>
            <a:ext uri="{FF2B5EF4-FFF2-40B4-BE49-F238E27FC236}">
              <a16:creationId xmlns:a16="http://schemas.microsoft.com/office/drawing/2014/main" id="{969F4B67-4F38-B802-3E4A-630C573FB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2846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1247</xdr:row>
      <xdr:rowOff>0</xdr:rowOff>
    </xdr:from>
    <xdr:to>
      <xdr:col>13</xdr:col>
      <xdr:colOff>0</xdr:colOff>
      <xdr:row>1248</xdr:row>
      <xdr:rowOff>148590</xdr:rowOff>
    </xdr:to>
    <xdr:pic>
      <xdr:nvPicPr>
        <xdr:cNvPr id="1574" name="Imagen 1573" descr="Ver detalle">
          <a:hlinkClick xmlns:r="http://schemas.openxmlformats.org/officeDocument/2006/relationships" r:id="rId1516" tooltip="Ver detalle"/>
          <a:extLst>
            <a:ext uri="{FF2B5EF4-FFF2-40B4-BE49-F238E27FC236}">
              <a16:creationId xmlns:a16="http://schemas.microsoft.com/office/drawing/2014/main" id="{65AD0BC4-E314-C2A4-0A87-F7C8AAC46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4797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1246</xdr:row>
      <xdr:rowOff>0</xdr:rowOff>
    </xdr:from>
    <xdr:to>
      <xdr:col>13</xdr:col>
      <xdr:colOff>0</xdr:colOff>
      <xdr:row>1247</xdr:row>
      <xdr:rowOff>148590</xdr:rowOff>
    </xdr:to>
    <xdr:pic>
      <xdr:nvPicPr>
        <xdr:cNvPr id="1575" name="Imagen 1574" descr="Ver detalle">
          <a:hlinkClick xmlns:r="http://schemas.openxmlformats.org/officeDocument/2006/relationships" r:id="rId1517" tooltip="Ver detalle"/>
          <a:extLst>
            <a:ext uri="{FF2B5EF4-FFF2-40B4-BE49-F238E27FC236}">
              <a16:creationId xmlns:a16="http://schemas.microsoft.com/office/drawing/2014/main" id="{1D2051F5-22C8-23F8-72FB-B185CA313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6748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1244</xdr:row>
      <xdr:rowOff>0</xdr:rowOff>
    </xdr:from>
    <xdr:to>
      <xdr:col>13</xdr:col>
      <xdr:colOff>0</xdr:colOff>
      <xdr:row>1245</xdr:row>
      <xdr:rowOff>148590</xdr:rowOff>
    </xdr:to>
    <xdr:pic>
      <xdr:nvPicPr>
        <xdr:cNvPr id="1576" name="Imagen 1575" descr="Ver detalle">
          <a:hlinkClick xmlns:r="http://schemas.openxmlformats.org/officeDocument/2006/relationships" r:id="rId1518" tooltip="Ver detalle"/>
          <a:extLst>
            <a:ext uri="{FF2B5EF4-FFF2-40B4-BE49-F238E27FC236}">
              <a16:creationId xmlns:a16="http://schemas.microsoft.com/office/drawing/2014/main" id="{89FA1847-83AE-1CDE-6EB3-921B5C5F2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0649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1243</xdr:row>
      <xdr:rowOff>0</xdr:rowOff>
    </xdr:from>
    <xdr:to>
      <xdr:col>13</xdr:col>
      <xdr:colOff>0</xdr:colOff>
      <xdr:row>1244</xdr:row>
      <xdr:rowOff>148590</xdr:rowOff>
    </xdr:to>
    <xdr:pic>
      <xdr:nvPicPr>
        <xdr:cNvPr id="1577" name="Imagen 1576" descr="Ver detalle">
          <a:hlinkClick xmlns:r="http://schemas.openxmlformats.org/officeDocument/2006/relationships" r:id="rId1519" tooltip="Ver detalle"/>
          <a:extLst>
            <a:ext uri="{FF2B5EF4-FFF2-40B4-BE49-F238E27FC236}">
              <a16:creationId xmlns:a16="http://schemas.microsoft.com/office/drawing/2014/main" id="{118E776B-6774-B462-05C9-D0E49C4BB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260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1242</xdr:row>
      <xdr:rowOff>0</xdr:rowOff>
    </xdr:from>
    <xdr:to>
      <xdr:col>13</xdr:col>
      <xdr:colOff>0</xdr:colOff>
      <xdr:row>1243</xdr:row>
      <xdr:rowOff>148590</xdr:rowOff>
    </xdr:to>
    <xdr:pic>
      <xdr:nvPicPr>
        <xdr:cNvPr id="1578" name="Imagen 1577" descr="Ver detalle">
          <a:hlinkClick xmlns:r="http://schemas.openxmlformats.org/officeDocument/2006/relationships" r:id="rId1520" tooltip="Ver detalle"/>
          <a:extLst>
            <a:ext uri="{FF2B5EF4-FFF2-40B4-BE49-F238E27FC236}">
              <a16:creationId xmlns:a16="http://schemas.microsoft.com/office/drawing/2014/main" id="{A062C68F-1AE3-6EDA-A4E4-066A90BE4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4551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1241</xdr:row>
      <xdr:rowOff>0</xdr:rowOff>
    </xdr:from>
    <xdr:to>
      <xdr:col>13</xdr:col>
      <xdr:colOff>0</xdr:colOff>
      <xdr:row>1242</xdr:row>
      <xdr:rowOff>148590</xdr:rowOff>
    </xdr:to>
    <xdr:pic>
      <xdr:nvPicPr>
        <xdr:cNvPr id="1579" name="Imagen 1578" descr="Ver detalle">
          <a:hlinkClick xmlns:r="http://schemas.openxmlformats.org/officeDocument/2006/relationships" r:id="rId1521" tooltip="Ver detalle"/>
          <a:extLst>
            <a:ext uri="{FF2B5EF4-FFF2-40B4-BE49-F238E27FC236}">
              <a16:creationId xmlns:a16="http://schemas.microsoft.com/office/drawing/2014/main" id="{95CF51C0-0092-1983-2AE1-D1323F39B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6501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1240</xdr:row>
      <xdr:rowOff>0</xdr:rowOff>
    </xdr:from>
    <xdr:to>
      <xdr:col>13</xdr:col>
      <xdr:colOff>0</xdr:colOff>
      <xdr:row>1241</xdr:row>
      <xdr:rowOff>148590</xdr:rowOff>
    </xdr:to>
    <xdr:pic>
      <xdr:nvPicPr>
        <xdr:cNvPr id="1580" name="Imagen 1579" descr="Ver detalle">
          <a:hlinkClick xmlns:r="http://schemas.openxmlformats.org/officeDocument/2006/relationships" r:id="rId1522" tooltip="Ver detalle"/>
          <a:extLst>
            <a:ext uri="{FF2B5EF4-FFF2-40B4-BE49-F238E27FC236}">
              <a16:creationId xmlns:a16="http://schemas.microsoft.com/office/drawing/2014/main" id="{66F7A129-B7AE-5AF5-494B-7F472A338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845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1239</xdr:row>
      <xdr:rowOff>0</xdr:rowOff>
    </xdr:from>
    <xdr:to>
      <xdr:col>13</xdr:col>
      <xdr:colOff>0</xdr:colOff>
      <xdr:row>1240</xdr:row>
      <xdr:rowOff>148590</xdr:rowOff>
    </xdr:to>
    <xdr:pic>
      <xdr:nvPicPr>
        <xdr:cNvPr id="1581" name="Imagen 1580" descr="Ver detalle">
          <a:hlinkClick xmlns:r="http://schemas.openxmlformats.org/officeDocument/2006/relationships" r:id="rId1523" tooltip="Ver detalle"/>
          <a:extLst>
            <a:ext uri="{FF2B5EF4-FFF2-40B4-BE49-F238E27FC236}">
              <a16:creationId xmlns:a16="http://schemas.microsoft.com/office/drawing/2014/main" id="{CCAF9F35-3E96-F5D1-7B26-B40CC1329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0403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1238</xdr:row>
      <xdr:rowOff>0</xdr:rowOff>
    </xdr:from>
    <xdr:to>
      <xdr:col>13</xdr:col>
      <xdr:colOff>0</xdr:colOff>
      <xdr:row>1239</xdr:row>
      <xdr:rowOff>148590</xdr:rowOff>
    </xdr:to>
    <xdr:pic>
      <xdr:nvPicPr>
        <xdr:cNvPr id="1582" name="Imagen 1581" descr="Ver detalle">
          <a:hlinkClick xmlns:r="http://schemas.openxmlformats.org/officeDocument/2006/relationships" r:id="rId1524" tooltip="Ver detalle"/>
          <a:extLst>
            <a:ext uri="{FF2B5EF4-FFF2-40B4-BE49-F238E27FC236}">
              <a16:creationId xmlns:a16="http://schemas.microsoft.com/office/drawing/2014/main" id="{09792924-3277-9E9A-B00B-C6A41E871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2354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1237</xdr:row>
      <xdr:rowOff>0</xdr:rowOff>
    </xdr:from>
    <xdr:to>
      <xdr:col>13</xdr:col>
      <xdr:colOff>0</xdr:colOff>
      <xdr:row>1238</xdr:row>
      <xdr:rowOff>148590</xdr:rowOff>
    </xdr:to>
    <xdr:pic>
      <xdr:nvPicPr>
        <xdr:cNvPr id="1583" name="Imagen 1582" descr="Ver detalle">
          <a:hlinkClick xmlns:r="http://schemas.openxmlformats.org/officeDocument/2006/relationships" r:id="rId1525" tooltip="Ver detalle"/>
          <a:extLst>
            <a:ext uri="{FF2B5EF4-FFF2-40B4-BE49-F238E27FC236}">
              <a16:creationId xmlns:a16="http://schemas.microsoft.com/office/drawing/2014/main" id="{1C0D843A-195E-BB1F-FDA5-AB83785FF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4304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1236</xdr:row>
      <xdr:rowOff>0</xdr:rowOff>
    </xdr:from>
    <xdr:to>
      <xdr:col>13</xdr:col>
      <xdr:colOff>0</xdr:colOff>
      <xdr:row>1237</xdr:row>
      <xdr:rowOff>148590</xdr:rowOff>
    </xdr:to>
    <xdr:pic>
      <xdr:nvPicPr>
        <xdr:cNvPr id="1584" name="Imagen 1583" descr="Ver detalle">
          <a:hlinkClick xmlns:r="http://schemas.openxmlformats.org/officeDocument/2006/relationships" r:id="rId1526" tooltip="Ver detalle"/>
          <a:extLst>
            <a:ext uri="{FF2B5EF4-FFF2-40B4-BE49-F238E27FC236}">
              <a16:creationId xmlns:a16="http://schemas.microsoft.com/office/drawing/2014/main" id="{621E13A6-86FF-4EFA-21E3-40B4D2BED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6255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1235</xdr:row>
      <xdr:rowOff>0</xdr:rowOff>
    </xdr:from>
    <xdr:to>
      <xdr:col>13</xdr:col>
      <xdr:colOff>0</xdr:colOff>
      <xdr:row>1236</xdr:row>
      <xdr:rowOff>148590</xdr:rowOff>
    </xdr:to>
    <xdr:pic>
      <xdr:nvPicPr>
        <xdr:cNvPr id="1585" name="Imagen 1584" descr="Ver detalle">
          <a:hlinkClick xmlns:r="http://schemas.openxmlformats.org/officeDocument/2006/relationships" r:id="rId1527" tooltip="Ver detalle"/>
          <a:extLst>
            <a:ext uri="{FF2B5EF4-FFF2-40B4-BE49-F238E27FC236}">
              <a16:creationId xmlns:a16="http://schemas.microsoft.com/office/drawing/2014/main" id="{73F39FFF-562A-FFDA-72B8-D0B33327A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820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1212</xdr:row>
      <xdr:rowOff>0</xdr:rowOff>
    </xdr:from>
    <xdr:to>
      <xdr:col>13</xdr:col>
      <xdr:colOff>0</xdr:colOff>
      <xdr:row>1213</xdr:row>
      <xdr:rowOff>148590</xdr:rowOff>
    </xdr:to>
    <xdr:pic>
      <xdr:nvPicPr>
        <xdr:cNvPr id="1586" name="Imagen 1585" descr="Ver detalle">
          <a:hlinkClick xmlns:r="http://schemas.openxmlformats.org/officeDocument/2006/relationships" r:id="rId1528" tooltip="Ver detalle"/>
          <a:extLst>
            <a:ext uri="{FF2B5EF4-FFF2-40B4-BE49-F238E27FC236}">
              <a16:creationId xmlns:a16="http://schemas.microsoft.com/office/drawing/2014/main" id="{3A5354CB-0F67-67F8-1631-6FB90BFB5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0156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1211</xdr:row>
      <xdr:rowOff>0</xdr:rowOff>
    </xdr:from>
    <xdr:to>
      <xdr:col>13</xdr:col>
      <xdr:colOff>0</xdr:colOff>
      <xdr:row>1212</xdr:row>
      <xdr:rowOff>148590</xdr:rowOff>
    </xdr:to>
    <xdr:pic>
      <xdr:nvPicPr>
        <xdr:cNvPr id="1587" name="Imagen 1586" descr="Ver detalle">
          <a:hlinkClick xmlns:r="http://schemas.openxmlformats.org/officeDocument/2006/relationships" r:id="rId1529" tooltip="Ver detalle"/>
          <a:extLst>
            <a:ext uri="{FF2B5EF4-FFF2-40B4-BE49-F238E27FC236}">
              <a16:creationId xmlns:a16="http://schemas.microsoft.com/office/drawing/2014/main" id="{917072AA-D5AA-4E81-E3AC-55F9DA471C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2107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1216</xdr:row>
      <xdr:rowOff>0</xdr:rowOff>
    </xdr:from>
    <xdr:to>
      <xdr:col>13</xdr:col>
      <xdr:colOff>0</xdr:colOff>
      <xdr:row>1217</xdr:row>
      <xdr:rowOff>148590</xdr:rowOff>
    </xdr:to>
    <xdr:pic>
      <xdr:nvPicPr>
        <xdr:cNvPr id="1588" name="Imagen 1587" descr="Ver detalle">
          <a:hlinkClick xmlns:r="http://schemas.openxmlformats.org/officeDocument/2006/relationships" r:id="rId1530" tooltip="Ver detalle"/>
          <a:extLst>
            <a:ext uri="{FF2B5EF4-FFF2-40B4-BE49-F238E27FC236}">
              <a16:creationId xmlns:a16="http://schemas.microsoft.com/office/drawing/2014/main" id="{F56B4A60-3625-236B-F2B2-B672C7F7A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3410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1213</xdr:row>
      <xdr:rowOff>0</xdr:rowOff>
    </xdr:from>
    <xdr:to>
      <xdr:col>13</xdr:col>
      <xdr:colOff>0</xdr:colOff>
      <xdr:row>1214</xdr:row>
      <xdr:rowOff>148590</xdr:rowOff>
    </xdr:to>
    <xdr:pic>
      <xdr:nvPicPr>
        <xdr:cNvPr id="1589" name="Imagen 1588" descr="Ver detalle">
          <a:hlinkClick xmlns:r="http://schemas.openxmlformats.org/officeDocument/2006/relationships" r:id="rId1531" tooltip="Ver detalle"/>
          <a:extLst>
            <a:ext uri="{FF2B5EF4-FFF2-40B4-BE49-F238E27FC236}">
              <a16:creationId xmlns:a16="http://schemas.microsoft.com/office/drawing/2014/main" id="{ED827942-B35D-0727-D20A-A7D728AFC6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536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1215</xdr:row>
      <xdr:rowOff>0</xdr:rowOff>
    </xdr:from>
    <xdr:to>
      <xdr:col>13</xdr:col>
      <xdr:colOff>0</xdr:colOff>
      <xdr:row>1216</xdr:row>
      <xdr:rowOff>148590</xdr:rowOff>
    </xdr:to>
    <xdr:pic>
      <xdr:nvPicPr>
        <xdr:cNvPr id="1590" name="Imagen 1589" descr="Ver detalle">
          <a:hlinkClick xmlns:r="http://schemas.openxmlformats.org/officeDocument/2006/relationships" r:id="rId1532" tooltip="Ver detalle"/>
          <a:extLst>
            <a:ext uri="{FF2B5EF4-FFF2-40B4-BE49-F238E27FC236}">
              <a16:creationId xmlns:a16="http://schemas.microsoft.com/office/drawing/2014/main" id="{2B4D917F-26CA-204B-39E9-F065C7D26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731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1210</xdr:row>
      <xdr:rowOff>0</xdr:rowOff>
    </xdr:from>
    <xdr:to>
      <xdr:col>13</xdr:col>
      <xdr:colOff>0</xdr:colOff>
      <xdr:row>1211</xdr:row>
      <xdr:rowOff>148590</xdr:rowOff>
    </xdr:to>
    <xdr:pic>
      <xdr:nvPicPr>
        <xdr:cNvPr id="1591" name="Imagen 1590" descr="Ver detalle">
          <a:hlinkClick xmlns:r="http://schemas.openxmlformats.org/officeDocument/2006/relationships" r:id="rId1533" tooltip="Ver detalle"/>
          <a:extLst>
            <a:ext uri="{FF2B5EF4-FFF2-40B4-BE49-F238E27FC236}">
              <a16:creationId xmlns:a16="http://schemas.microsoft.com/office/drawing/2014/main" id="{A29601F3-8F2C-9FD8-5E75-D2F6553F3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9262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1209</xdr:row>
      <xdr:rowOff>0</xdr:rowOff>
    </xdr:from>
    <xdr:to>
      <xdr:col>13</xdr:col>
      <xdr:colOff>0</xdr:colOff>
      <xdr:row>1210</xdr:row>
      <xdr:rowOff>148590</xdr:rowOff>
    </xdr:to>
    <xdr:pic>
      <xdr:nvPicPr>
        <xdr:cNvPr id="1592" name="Imagen 1591" descr="Ver detalle">
          <a:hlinkClick xmlns:r="http://schemas.openxmlformats.org/officeDocument/2006/relationships" r:id="rId1534" tooltip="Ver detalle"/>
          <a:extLst>
            <a:ext uri="{FF2B5EF4-FFF2-40B4-BE49-F238E27FC236}">
              <a16:creationId xmlns:a16="http://schemas.microsoft.com/office/drawing/2014/main" id="{C309F973-D835-BA84-839D-4B41AAD4D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1213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1208</xdr:row>
      <xdr:rowOff>0</xdr:rowOff>
    </xdr:from>
    <xdr:to>
      <xdr:col>13</xdr:col>
      <xdr:colOff>0</xdr:colOff>
      <xdr:row>1209</xdr:row>
      <xdr:rowOff>148590</xdr:rowOff>
    </xdr:to>
    <xdr:pic>
      <xdr:nvPicPr>
        <xdr:cNvPr id="1593" name="Imagen 1592" descr="Ver detalle">
          <a:hlinkClick xmlns:r="http://schemas.openxmlformats.org/officeDocument/2006/relationships" r:id="rId1535" tooltip="Ver detalle"/>
          <a:extLst>
            <a:ext uri="{FF2B5EF4-FFF2-40B4-BE49-F238E27FC236}">
              <a16:creationId xmlns:a16="http://schemas.microsoft.com/office/drawing/2014/main" id="{107DA803-04AF-7D3E-4BA9-DA92191A9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3164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1205</xdr:row>
      <xdr:rowOff>0</xdr:rowOff>
    </xdr:from>
    <xdr:to>
      <xdr:col>13</xdr:col>
      <xdr:colOff>0</xdr:colOff>
      <xdr:row>1206</xdr:row>
      <xdr:rowOff>148590</xdr:rowOff>
    </xdr:to>
    <xdr:pic>
      <xdr:nvPicPr>
        <xdr:cNvPr id="1594" name="Imagen 1593" descr="Ver detalle">
          <a:hlinkClick xmlns:r="http://schemas.openxmlformats.org/officeDocument/2006/relationships" r:id="rId1536" tooltip="Ver detalle"/>
          <a:extLst>
            <a:ext uri="{FF2B5EF4-FFF2-40B4-BE49-F238E27FC236}">
              <a16:creationId xmlns:a16="http://schemas.microsoft.com/office/drawing/2014/main" id="{EA88620E-BD24-3CDB-D12B-009750E5C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5114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1204</xdr:row>
      <xdr:rowOff>0</xdr:rowOff>
    </xdr:from>
    <xdr:to>
      <xdr:col>13</xdr:col>
      <xdr:colOff>0</xdr:colOff>
      <xdr:row>1205</xdr:row>
      <xdr:rowOff>148590</xdr:rowOff>
    </xdr:to>
    <xdr:pic>
      <xdr:nvPicPr>
        <xdr:cNvPr id="1595" name="Imagen 1594" descr="Ver detalle">
          <a:hlinkClick xmlns:r="http://schemas.openxmlformats.org/officeDocument/2006/relationships" r:id="rId1537" tooltip="Ver detalle"/>
          <a:extLst>
            <a:ext uri="{FF2B5EF4-FFF2-40B4-BE49-F238E27FC236}">
              <a16:creationId xmlns:a16="http://schemas.microsoft.com/office/drawing/2014/main" id="{8446E3CB-5F41-6F6B-2BD1-6276BBCA0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706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1202</xdr:row>
      <xdr:rowOff>0</xdr:rowOff>
    </xdr:from>
    <xdr:to>
      <xdr:col>13</xdr:col>
      <xdr:colOff>0</xdr:colOff>
      <xdr:row>1203</xdr:row>
      <xdr:rowOff>148590</xdr:rowOff>
    </xdr:to>
    <xdr:pic>
      <xdr:nvPicPr>
        <xdr:cNvPr id="1596" name="Imagen 1595" descr="Ver detalle">
          <a:hlinkClick xmlns:r="http://schemas.openxmlformats.org/officeDocument/2006/relationships" r:id="rId1538" tooltip="Ver detalle"/>
          <a:extLst>
            <a:ext uri="{FF2B5EF4-FFF2-40B4-BE49-F238E27FC236}">
              <a16:creationId xmlns:a16="http://schemas.microsoft.com/office/drawing/2014/main" id="{A6440FCD-9B8C-558A-BBEA-DF1FEC515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836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1197</xdr:row>
      <xdr:rowOff>0</xdr:rowOff>
    </xdr:from>
    <xdr:to>
      <xdr:col>13</xdr:col>
      <xdr:colOff>0</xdr:colOff>
      <xdr:row>1198</xdr:row>
      <xdr:rowOff>148590</xdr:rowOff>
    </xdr:to>
    <xdr:pic>
      <xdr:nvPicPr>
        <xdr:cNvPr id="1597" name="Imagen 1596" descr="Ver detalle">
          <a:hlinkClick xmlns:r="http://schemas.openxmlformats.org/officeDocument/2006/relationships" r:id="rId1539" tooltip="Ver detalle"/>
          <a:extLst>
            <a:ext uri="{FF2B5EF4-FFF2-40B4-BE49-F238E27FC236}">
              <a16:creationId xmlns:a16="http://schemas.microsoft.com/office/drawing/2014/main" id="{E1B4A80C-80C2-73C4-23CE-3E44DAC53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9671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1199</xdr:row>
      <xdr:rowOff>0</xdr:rowOff>
    </xdr:from>
    <xdr:to>
      <xdr:col>13</xdr:col>
      <xdr:colOff>0</xdr:colOff>
      <xdr:row>1200</xdr:row>
      <xdr:rowOff>148590</xdr:rowOff>
    </xdr:to>
    <xdr:pic>
      <xdr:nvPicPr>
        <xdr:cNvPr id="1598" name="Imagen 1597" descr="Ver detalle">
          <a:hlinkClick xmlns:r="http://schemas.openxmlformats.org/officeDocument/2006/relationships" r:id="rId1540" tooltip="Ver detalle"/>
          <a:extLst>
            <a:ext uri="{FF2B5EF4-FFF2-40B4-BE49-F238E27FC236}">
              <a16:creationId xmlns:a16="http://schemas.microsoft.com/office/drawing/2014/main" id="{E40C852A-54A0-8614-F2A1-2AA56C3F8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1622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1198</xdr:row>
      <xdr:rowOff>0</xdr:rowOff>
    </xdr:from>
    <xdr:to>
      <xdr:col>13</xdr:col>
      <xdr:colOff>0</xdr:colOff>
      <xdr:row>1199</xdr:row>
      <xdr:rowOff>148590</xdr:rowOff>
    </xdr:to>
    <xdr:pic>
      <xdr:nvPicPr>
        <xdr:cNvPr id="1599" name="Imagen 1598" descr="Ver detalle">
          <a:hlinkClick xmlns:r="http://schemas.openxmlformats.org/officeDocument/2006/relationships" r:id="rId1541" tooltip="Ver detalle"/>
          <a:extLst>
            <a:ext uri="{FF2B5EF4-FFF2-40B4-BE49-F238E27FC236}">
              <a16:creationId xmlns:a16="http://schemas.microsoft.com/office/drawing/2014/main" id="{896E5B00-87D2-4F8C-7615-3554CD378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2925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1203</xdr:row>
      <xdr:rowOff>0</xdr:rowOff>
    </xdr:from>
    <xdr:to>
      <xdr:col>13</xdr:col>
      <xdr:colOff>0</xdr:colOff>
      <xdr:row>1204</xdr:row>
      <xdr:rowOff>148590</xdr:rowOff>
    </xdr:to>
    <xdr:pic>
      <xdr:nvPicPr>
        <xdr:cNvPr id="1600" name="Imagen 1599" descr="Ver detalle">
          <a:hlinkClick xmlns:r="http://schemas.openxmlformats.org/officeDocument/2006/relationships" r:id="rId1542" tooltip="Ver detalle"/>
          <a:extLst>
            <a:ext uri="{FF2B5EF4-FFF2-40B4-BE49-F238E27FC236}">
              <a16:creationId xmlns:a16="http://schemas.microsoft.com/office/drawing/2014/main" id="{DF0314F0-5BCF-8EBE-8405-93775C106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6179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1233</xdr:row>
      <xdr:rowOff>0</xdr:rowOff>
    </xdr:from>
    <xdr:to>
      <xdr:col>13</xdr:col>
      <xdr:colOff>0</xdr:colOff>
      <xdr:row>1234</xdr:row>
      <xdr:rowOff>148590</xdr:rowOff>
    </xdr:to>
    <xdr:pic>
      <xdr:nvPicPr>
        <xdr:cNvPr id="1601" name="Imagen 1600" descr="Ver detalle">
          <a:hlinkClick xmlns:r="http://schemas.openxmlformats.org/officeDocument/2006/relationships" r:id="rId1543" tooltip="Ver detalle"/>
          <a:extLst>
            <a:ext uri="{FF2B5EF4-FFF2-40B4-BE49-F238E27FC236}">
              <a16:creationId xmlns:a16="http://schemas.microsoft.com/office/drawing/2014/main" id="{9651A73E-CBD2-F29F-168F-A7CFC8B79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709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1230</xdr:row>
      <xdr:rowOff>0</xdr:rowOff>
    </xdr:from>
    <xdr:to>
      <xdr:col>13</xdr:col>
      <xdr:colOff>0</xdr:colOff>
      <xdr:row>1231</xdr:row>
      <xdr:rowOff>148590</xdr:rowOff>
    </xdr:to>
    <xdr:pic>
      <xdr:nvPicPr>
        <xdr:cNvPr id="1602" name="Imagen 1601" descr="Ver detalle">
          <a:hlinkClick xmlns:r="http://schemas.openxmlformats.org/officeDocument/2006/relationships" r:id="rId1544" tooltip="Ver detalle"/>
          <a:extLst>
            <a:ext uri="{FF2B5EF4-FFF2-40B4-BE49-F238E27FC236}">
              <a16:creationId xmlns:a16="http://schemas.microsoft.com/office/drawing/2014/main" id="{14BC40C6-9D03-FF24-9D0E-16BB99938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839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1231</xdr:row>
      <xdr:rowOff>0</xdr:rowOff>
    </xdr:from>
    <xdr:to>
      <xdr:col>13</xdr:col>
      <xdr:colOff>0</xdr:colOff>
      <xdr:row>1232</xdr:row>
      <xdr:rowOff>148590</xdr:rowOff>
    </xdr:to>
    <xdr:pic>
      <xdr:nvPicPr>
        <xdr:cNvPr id="1603" name="Imagen 1602" descr="Ver detalle">
          <a:hlinkClick xmlns:r="http://schemas.openxmlformats.org/officeDocument/2006/relationships" r:id="rId1545" tooltip="Ver detalle"/>
          <a:extLst>
            <a:ext uri="{FF2B5EF4-FFF2-40B4-BE49-F238E27FC236}">
              <a16:creationId xmlns:a16="http://schemas.microsoft.com/office/drawing/2014/main" id="{0A645A17-0400-9C35-3741-502478D6CC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034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1229</xdr:row>
      <xdr:rowOff>0</xdr:rowOff>
    </xdr:from>
    <xdr:to>
      <xdr:col>13</xdr:col>
      <xdr:colOff>0</xdr:colOff>
      <xdr:row>1230</xdr:row>
      <xdr:rowOff>148590</xdr:rowOff>
    </xdr:to>
    <xdr:pic>
      <xdr:nvPicPr>
        <xdr:cNvPr id="1604" name="Imagen 1603" descr="Ver detalle">
          <a:hlinkClick xmlns:r="http://schemas.openxmlformats.org/officeDocument/2006/relationships" r:id="rId1546" tooltip="Ver detalle"/>
          <a:extLst>
            <a:ext uri="{FF2B5EF4-FFF2-40B4-BE49-F238E27FC236}">
              <a16:creationId xmlns:a16="http://schemas.microsoft.com/office/drawing/2014/main" id="{32BA1097-C0EA-E517-12BF-23A8887E7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229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1232</xdr:row>
      <xdr:rowOff>0</xdr:rowOff>
    </xdr:from>
    <xdr:to>
      <xdr:col>13</xdr:col>
      <xdr:colOff>0</xdr:colOff>
      <xdr:row>1233</xdr:row>
      <xdr:rowOff>148590</xdr:rowOff>
    </xdr:to>
    <xdr:pic>
      <xdr:nvPicPr>
        <xdr:cNvPr id="1605" name="Imagen 1604" descr="Ver detalle">
          <a:hlinkClick xmlns:r="http://schemas.openxmlformats.org/officeDocument/2006/relationships" r:id="rId1547" tooltip="Ver detalle"/>
          <a:extLst>
            <a:ext uri="{FF2B5EF4-FFF2-40B4-BE49-F238E27FC236}">
              <a16:creationId xmlns:a16="http://schemas.microsoft.com/office/drawing/2014/main" id="{703CB2B0-1919-09BF-80B6-83CEC4257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42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1234</xdr:row>
      <xdr:rowOff>0</xdr:rowOff>
    </xdr:from>
    <xdr:to>
      <xdr:col>13</xdr:col>
      <xdr:colOff>0</xdr:colOff>
      <xdr:row>1235</xdr:row>
      <xdr:rowOff>148590</xdr:rowOff>
    </xdr:to>
    <xdr:pic>
      <xdr:nvPicPr>
        <xdr:cNvPr id="1606" name="Imagen 1605" descr="Ver detalle">
          <a:hlinkClick xmlns:r="http://schemas.openxmlformats.org/officeDocument/2006/relationships" r:id="rId1548" tooltip="Ver detalle"/>
          <a:extLst>
            <a:ext uri="{FF2B5EF4-FFF2-40B4-BE49-F238E27FC236}">
              <a16:creationId xmlns:a16="http://schemas.microsoft.com/office/drawing/2014/main" id="{8E81DCCB-0CD8-4441-3E47-548B160F4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6199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1195</xdr:row>
      <xdr:rowOff>0</xdr:rowOff>
    </xdr:from>
    <xdr:to>
      <xdr:col>13</xdr:col>
      <xdr:colOff>0</xdr:colOff>
      <xdr:row>1196</xdr:row>
      <xdr:rowOff>148590</xdr:rowOff>
    </xdr:to>
    <xdr:pic>
      <xdr:nvPicPr>
        <xdr:cNvPr id="1607" name="Imagen 1606" descr="Ver detalle">
          <a:hlinkClick xmlns:r="http://schemas.openxmlformats.org/officeDocument/2006/relationships" r:id="rId1549" tooltip="Ver detalle"/>
          <a:extLst>
            <a:ext uri="{FF2B5EF4-FFF2-40B4-BE49-F238E27FC236}">
              <a16:creationId xmlns:a16="http://schemas.microsoft.com/office/drawing/2014/main" id="{56DCC3C6-432C-71D1-A735-4E7CC7054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8150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1194</xdr:row>
      <xdr:rowOff>0</xdr:rowOff>
    </xdr:from>
    <xdr:to>
      <xdr:col>13</xdr:col>
      <xdr:colOff>0</xdr:colOff>
      <xdr:row>1195</xdr:row>
      <xdr:rowOff>148590</xdr:rowOff>
    </xdr:to>
    <xdr:pic>
      <xdr:nvPicPr>
        <xdr:cNvPr id="1608" name="Imagen 1607" descr="Ver detalle">
          <a:hlinkClick xmlns:r="http://schemas.openxmlformats.org/officeDocument/2006/relationships" r:id="rId1550" tooltip="Ver detalle"/>
          <a:extLst>
            <a:ext uri="{FF2B5EF4-FFF2-40B4-BE49-F238E27FC236}">
              <a16:creationId xmlns:a16="http://schemas.microsoft.com/office/drawing/2014/main" id="{C006E375-A4BD-F77E-C215-F4A213D83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0100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1201</xdr:row>
      <xdr:rowOff>0</xdr:rowOff>
    </xdr:from>
    <xdr:to>
      <xdr:col>13</xdr:col>
      <xdr:colOff>0</xdr:colOff>
      <xdr:row>1202</xdr:row>
      <xdr:rowOff>148590</xdr:rowOff>
    </xdr:to>
    <xdr:pic>
      <xdr:nvPicPr>
        <xdr:cNvPr id="1609" name="Imagen 1608" descr="Ver detalle">
          <a:hlinkClick xmlns:r="http://schemas.openxmlformats.org/officeDocument/2006/relationships" r:id="rId1551" tooltip="Ver detalle"/>
          <a:extLst>
            <a:ext uri="{FF2B5EF4-FFF2-40B4-BE49-F238E27FC236}">
              <a16:creationId xmlns:a16="http://schemas.microsoft.com/office/drawing/2014/main" id="{683C0739-557D-4485-E376-3EA17520E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205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1196</xdr:row>
      <xdr:rowOff>0</xdr:rowOff>
    </xdr:from>
    <xdr:to>
      <xdr:col>13</xdr:col>
      <xdr:colOff>0</xdr:colOff>
      <xdr:row>1197</xdr:row>
      <xdr:rowOff>148590</xdr:rowOff>
    </xdr:to>
    <xdr:pic>
      <xdr:nvPicPr>
        <xdr:cNvPr id="1610" name="Imagen 1609" descr="Ver detalle">
          <a:hlinkClick xmlns:r="http://schemas.openxmlformats.org/officeDocument/2006/relationships" r:id="rId1552" tooltip="Ver detalle"/>
          <a:extLst>
            <a:ext uri="{FF2B5EF4-FFF2-40B4-BE49-F238E27FC236}">
              <a16:creationId xmlns:a16="http://schemas.microsoft.com/office/drawing/2014/main" id="{93969A20-3974-5B31-5A14-B1D733EA4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400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1186</xdr:row>
      <xdr:rowOff>0</xdr:rowOff>
    </xdr:from>
    <xdr:to>
      <xdr:col>13</xdr:col>
      <xdr:colOff>0</xdr:colOff>
      <xdr:row>1187</xdr:row>
      <xdr:rowOff>148590</xdr:rowOff>
    </xdr:to>
    <xdr:pic>
      <xdr:nvPicPr>
        <xdr:cNvPr id="1611" name="Imagen 1610" descr="Ver detalle">
          <a:hlinkClick xmlns:r="http://schemas.openxmlformats.org/officeDocument/2006/relationships" r:id="rId1553" tooltip="Ver detalle"/>
          <a:extLst>
            <a:ext uri="{FF2B5EF4-FFF2-40B4-BE49-F238E27FC236}">
              <a16:creationId xmlns:a16="http://schemas.microsoft.com/office/drawing/2014/main" id="{8BF444A7-08BD-9EE0-21E2-5D2A5D1E0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595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1187</xdr:row>
      <xdr:rowOff>0</xdr:rowOff>
    </xdr:from>
    <xdr:to>
      <xdr:col>13</xdr:col>
      <xdr:colOff>0</xdr:colOff>
      <xdr:row>1188</xdr:row>
      <xdr:rowOff>148590</xdr:rowOff>
    </xdr:to>
    <xdr:pic>
      <xdr:nvPicPr>
        <xdr:cNvPr id="1612" name="Imagen 1611" descr="Ver detalle">
          <a:hlinkClick xmlns:r="http://schemas.openxmlformats.org/officeDocument/2006/relationships" r:id="rId1554" tooltip="Ver detalle"/>
          <a:extLst>
            <a:ext uri="{FF2B5EF4-FFF2-40B4-BE49-F238E27FC236}">
              <a16:creationId xmlns:a16="http://schemas.microsoft.com/office/drawing/2014/main" id="{7D3608C0-D708-8756-1E70-7696570D2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790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1189</xdr:row>
      <xdr:rowOff>0</xdr:rowOff>
    </xdr:from>
    <xdr:to>
      <xdr:col>13</xdr:col>
      <xdr:colOff>0</xdr:colOff>
      <xdr:row>1190</xdr:row>
      <xdr:rowOff>148590</xdr:rowOff>
    </xdr:to>
    <xdr:pic>
      <xdr:nvPicPr>
        <xdr:cNvPr id="1613" name="Imagen 1612" descr="Ver detalle">
          <a:hlinkClick xmlns:r="http://schemas.openxmlformats.org/officeDocument/2006/relationships" r:id="rId1555" tooltip="Ver detalle"/>
          <a:extLst>
            <a:ext uri="{FF2B5EF4-FFF2-40B4-BE49-F238E27FC236}">
              <a16:creationId xmlns:a16="http://schemas.microsoft.com/office/drawing/2014/main" id="{AD74D71D-C333-D1EF-B583-EB7724937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985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1188</xdr:row>
      <xdr:rowOff>0</xdr:rowOff>
    </xdr:from>
    <xdr:to>
      <xdr:col>13</xdr:col>
      <xdr:colOff>0</xdr:colOff>
      <xdr:row>1189</xdr:row>
      <xdr:rowOff>148590</xdr:rowOff>
    </xdr:to>
    <xdr:pic>
      <xdr:nvPicPr>
        <xdr:cNvPr id="1614" name="Imagen 1613" descr="Ver detalle">
          <a:hlinkClick xmlns:r="http://schemas.openxmlformats.org/officeDocument/2006/relationships" r:id="rId1556" tooltip="Ver detalle"/>
          <a:extLst>
            <a:ext uri="{FF2B5EF4-FFF2-40B4-BE49-F238E27FC236}">
              <a16:creationId xmlns:a16="http://schemas.microsoft.com/office/drawing/2014/main" id="{D1B309DD-FDA8-AD89-1758-E7758CA76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180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1183</xdr:row>
      <xdr:rowOff>0</xdr:rowOff>
    </xdr:from>
    <xdr:to>
      <xdr:col>13</xdr:col>
      <xdr:colOff>0</xdr:colOff>
      <xdr:row>1184</xdr:row>
      <xdr:rowOff>148590</xdr:rowOff>
    </xdr:to>
    <xdr:pic>
      <xdr:nvPicPr>
        <xdr:cNvPr id="1615" name="Imagen 1614" descr="Ver detalle">
          <a:hlinkClick xmlns:r="http://schemas.openxmlformats.org/officeDocument/2006/relationships" r:id="rId1557" tooltip="Ver detalle"/>
          <a:extLst>
            <a:ext uri="{FF2B5EF4-FFF2-40B4-BE49-F238E27FC236}">
              <a16:creationId xmlns:a16="http://schemas.microsoft.com/office/drawing/2014/main" id="{C38358EA-6466-6A89-FD48-20ECD1948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271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1184</xdr:row>
      <xdr:rowOff>0</xdr:rowOff>
    </xdr:from>
    <xdr:to>
      <xdr:col>13</xdr:col>
      <xdr:colOff>0</xdr:colOff>
      <xdr:row>1185</xdr:row>
      <xdr:rowOff>148590</xdr:rowOff>
    </xdr:to>
    <xdr:pic>
      <xdr:nvPicPr>
        <xdr:cNvPr id="1616" name="Imagen 1615" descr="Ver detalle">
          <a:hlinkClick xmlns:r="http://schemas.openxmlformats.org/officeDocument/2006/relationships" r:id="rId1558" tooltip="Ver detalle"/>
          <a:extLst>
            <a:ext uri="{FF2B5EF4-FFF2-40B4-BE49-F238E27FC236}">
              <a16:creationId xmlns:a16="http://schemas.microsoft.com/office/drawing/2014/main" id="{283AE855-0B03-19DE-1A15-EE528F9BA9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467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1181</xdr:row>
      <xdr:rowOff>0</xdr:rowOff>
    </xdr:from>
    <xdr:to>
      <xdr:col>13</xdr:col>
      <xdr:colOff>0</xdr:colOff>
      <xdr:row>1182</xdr:row>
      <xdr:rowOff>148590</xdr:rowOff>
    </xdr:to>
    <xdr:pic>
      <xdr:nvPicPr>
        <xdr:cNvPr id="1617" name="Imagen 1616" descr="Ver detalle">
          <a:hlinkClick xmlns:r="http://schemas.openxmlformats.org/officeDocument/2006/relationships" r:id="rId1559" tooltip="Ver detalle"/>
          <a:extLst>
            <a:ext uri="{FF2B5EF4-FFF2-40B4-BE49-F238E27FC236}">
              <a16:creationId xmlns:a16="http://schemas.microsoft.com/office/drawing/2014/main" id="{39BEAA81-49D0-B4E6-98D1-8F853A7A8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662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1180</xdr:row>
      <xdr:rowOff>0</xdr:rowOff>
    </xdr:from>
    <xdr:to>
      <xdr:col>13</xdr:col>
      <xdr:colOff>0</xdr:colOff>
      <xdr:row>1181</xdr:row>
      <xdr:rowOff>148590</xdr:rowOff>
    </xdr:to>
    <xdr:pic>
      <xdr:nvPicPr>
        <xdr:cNvPr id="1618" name="Imagen 1617" descr="Ver detalle">
          <a:hlinkClick xmlns:r="http://schemas.openxmlformats.org/officeDocument/2006/relationships" r:id="rId1560" tooltip="Ver detalle"/>
          <a:extLst>
            <a:ext uri="{FF2B5EF4-FFF2-40B4-BE49-F238E27FC236}">
              <a16:creationId xmlns:a16="http://schemas.microsoft.com/office/drawing/2014/main" id="{B03DA58D-850F-2245-73B9-612469944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857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1191</xdr:row>
      <xdr:rowOff>0</xdr:rowOff>
    </xdr:from>
    <xdr:to>
      <xdr:col>13</xdr:col>
      <xdr:colOff>0</xdr:colOff>
      <xdr:row>1192</xdr:row>
      <xdr:rowOff>148590</xdr:rowOff>
    </xdr:to>
    <xdr:pic>
      <xdr:nvPicPr>
        <xdr:cNvPr id="1619" name="Imagen 1618" descr="Ver detalle">
          <a:hlinkClick xmlns:r="http://schemas.openxmlformats.org/officeDocument/2006/relationships" r:id="rId1561" tooltip="Ver detalle"/>
          <a:extLst>
            <a:ext uri="{FF2B5EF4-FFF2-40B4-BE49-F238E27FC236}">
              <a16:creationId xmlns:a16="http://schemas.microsoft.com/office/drawing/2014/main" id="{EB87E8F1-3148-5387-D31C-FB822FA4F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052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1190</xdr:row>
      <xdr:rowOff>0</xdr:rowOff>
    </xdr:from>
    <xdr:to>
      <xdr:col>13</xdr:col>
      <xdr:colOff>0</xdr:colOff>
      <xdr:row>1191</xdr:row>
      <xdr:rowOff>148590</xdr:rowOff>
    </xdr:to>
    <xdr:pic>
      <xdr:nvPicPr>
        <xdr:cNvPr id="1620" name="Imagen 1619" descr="Ver detalle">
          <a:hlinkClick xmlns:r="http://schemas.openxmlformats.org/officeDocument/2006/relationships" r:id="rId1562" tooltip="Ver detalle"/>
          <a:extLst>
            <a:ext uri="{FF2B5EF4-FFF2-40B4-BE49-F238E27FC236}">
              <a16:creationId xmlns:a16="http://schemas.microsoft.com/office/drawing/2014/main" id="{97BCFA60-938A-CA40-D61D-681D555AB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247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1185</xdr:row>
      <xdr:rowOff>0</xdr:rowOff>
    </xdr:from>
    <xdr:to>
      <xdr:col>13</xdr:col>
      <xdr:colOff>0</xdr:colOff>
      <xdr:row>1186</xdr:row>
      <xdr:rowOff>148590</xdr:rowOff>
    </xdr:to>
    <xdr:pic>
      <xdr:nvPicPr>
        <xdr:cNvPr id="1621" name="Imagen 1620" descr="Ver detalle">
          <a:hlinkClick xmlns:r="http://schemas.openxmlformats.org/officeDocument/2006/relationships" r:id="rId1563" tooltip="Ver detalle"/>
          <a:extLst>
            <a:ext uri="{FF2B5EF4-FFF2-40B4-BE49-F238E27FC236}">
              <a16:creationId xmlns:a16="http://schemas.microsoft.com/office/drawing/2014/main" id="{27A9756B-D563-2889-070A-728A8EEB4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44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1193</xdr:row>
      <xdr:rowOff>0</xdr:rowOff>
    </xdr:from>
    <xdr:to>
      <xdr:col>13</xdr:col>
      <xdr:colOff>0</xdr:colOff>
      <xdr:row>1194</xdr:row>
      <xdr:rowOff>148590</xdr:rowOff>
    </xdr:to>
    <xdr:pic>
      <xdr:nvPicPr>
        <xdr:cNvPr id="1622" name="Imagen 1621" descr="Ver detalle">
          <a:hlinkClick xmlns:r="http://schemas.openxmlformats.org/officeDocument/2006/relationships" r:id="rId1564" tooltip="Ver detalle"/>
          <a:extLst>
            <a:ext uri="{FF2B5EF4-FFF2-40B4-BE49-F238E27FC236}">
              <a16:creationId xmlns:a16="http://schemas.microsoft.com/office/drawing/2014/main" id="{13A94A57-D655-62B5-E633-327F5B7AF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5467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1192</xdr:row>
      <xdr:rowOff>0</xdr:rowOff>
    </xdr:from>
    <xdr:to>
      <xdr:col>13</xdr:col>
      <xdr:colOff>0</xdr:colOff>
      <xdr:row>1193</xdr:row>
      <xdr:rowOff>148590</xdr:rowOff>
    </xdr:to>
    <xdr:pic>
      <xdr:nvPicPr>
        <xdr:cNvPr id="1623" name="Imagen 1622" descr="Ver detalle">
          <a:hlinkClick xmlns:r="http://schemas.openxmlformats.org/officeDocument/2006/relationships" r:id="rId1565" tooltip="Ver detalle"/>
          <a:extLst>
            <a:ext uri="{FF2B5EF4-FFF2-40B4-BE49-F238E27FC236}">
              <a16:creationId xmlns:a16="http://schemas.microsoft.com/office/drawing/2014/main" id="{ED2EE3F0-83EA-645C-F31B-FAF46A38C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7418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1207</xdr:row>
      <xdr:rowOff>0</xdr:rowOff>
    </xdr:from>
    <xdr:to>
      <xdr:col>13</xdr:col>
      <xdr:colOff>0</xdr:colOff>
      <xdr:row>1208</xdr:row>
      <xdr:rowOff>148590</xdr:rowOff>
    </xdr:to>
    <xdr:pic>
      <xdr:nvPicPr>
        <xdr:cNvPr id="1624" name="Imagen 1623" descr="Ver detalle">
          <a:hlinkClick xmlns:r="http://schemas.openxmlformats.org/officeDocument/2006/relationships" r:id="rId1566" tooltip="Ver detalle"/>
          <a:extLst>
            <a:ext uri="{FF2B5EF4-FFF2-40B4-BE49-F238E27FC236}">
              <a16:creationId xmlns:a16="http://schemas.microsoft.com/office/drawing/2014/main" id="{2015332A-FDF5-9662-24C3-57ACE3D3C5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132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1295</xdr:row>
      <xdr:rowOff>0</xdr:rowOff>
    </xdr:from>
    <xdr:to>
      <xdr:col>13</xdr:col>
      <xdr:colOff>0</xdr:colOff>
      <xdr:row>1296</xdr:row>
      <xdr:rowOff>114300</xdr:rowOff>
    </xdr:to>
    <xdr:pic>
      <xdr:nvPicPr>
        <xdr:cNvPr id="1625" name="Imagen 1624" descr="Ver detalle">
          <a:hlinkClick xmlns:r="http://schemas.openxmlformats.org/officeDocument/2006/relationships" r:id="rId1567" tooltip="Ver detalle"/>
          <a:extLst>
            <a:ext uri="{FF2B5EF4-FFF2-40B4-BE49-F238E27FC236}">
              <a16:creationId xmlns:a16="http://schemas.microsoft.com/office/drawing/2014/main" id="{77CD6FC7-5816-1824-06DD-8A3637EFB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3258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1290</xdr:row>
      <xdr:rowOff>0</xdr:rowOff>
    </xdr:from>
    <xdr:to>
      <xdr:col>13</xdr:col>
      <xdr:colOff>0</xdr:colOff>
      <xdr:row>1291</xdr:row>
      <xdr:rowOff>148590</xdr:rowOff>
    </xdr:to>
    <xdr:pic>
      <xdr:nvPicPr>
        <xdr:cNvPr id="1626" name="Imagen 1625" descr="Ver detalle">
          <a:hlinkClick xmlns:r="http://schemas.openxmlformats.org/officeDocument/2006/relationships" r:id="rId1568" tooltip="Ver detalle"/>
          <a:extLst>
            <a:ext uri="{FF2B5EF4-FFF2-40B4-BE49-F238E27FC236}">
              <a16:creationId xmlns:a16="http://schemas.microsoft.com/office/drawing/2014/main" id="{29FC0F23-2D5A-D226-8234-4492D90F3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3453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1291</xdr:row>
      <xdr:rowOff>0</xdr:rowOff>
    </xdr:from>
    <xdr:to>
      <xdr:col>13</xdr:col>
      <xdr:colOff>0</xdr:colOff>
      <xdr:row>1292</xdr:row>
      <xdr:rowOff>148590</xdr:rowOff>
    </xdr:to>
    <xdr:pic>
      <xdr:nvPicPr>
        <xdr:cNvPr id="1627" name="Imagen 1626" descr="Ver detalle">
          <a:hlinkClick xmlns:r="http://schemas.openxmlformats.org/officeDocument/2006/relationships" r:id="rId1569" tooltip="Ver detalle"/>
          <a:extLst>
            <a:ext uri="{FF2B5EF4-FFF2-40B4-BE49-F238E27FC236}">
              <a16:creationId xmlns:a16="http://schemas.microsoft.com/office/drawing/2014/main" id="{D9FBA790-C133-BC9C-7D1C-E3B3F68AF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3648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1289</xdr:row>
      <xdr:rowOff>0</xdr:rowOff>
    </xdr:from>
    <xdr:to>
      <xdr:col>13</xdr:col>
      <xdr:colOff>0</xdr:colOff>
      <xdr:row>1290</xdr:row>
      <xdr:rowOff>148590</xdr:rowOff>
    </xdr:to>
    <xdr:pic>
      <xdr:nvPicPr>
        <xdr:cNvPr id="1628" name="Imagen 1627" descr="Ver detalle">
          <a:hlinkClick xmlns:r="http://schemas.openxmlformats.org/officeDocument/2006/relationships" r:id="rId1570" tooltip="Ver detalle"/>
          <a:extLst>
            <a:ext uri="{FF2B5EF4-FFF2-40B4-BE49-F238E27FC236}">
              <a16:creationId xmlns:a16="http://schemas.microsoft.com/office/drawing/2014/main" id="{46210CDB-533F-C1C6-A161-665962336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3740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1288</xdr:row>
      <xdr:rowOff>0</xdr:rowOff>
    </xdr:from>
    <xdr:to>
      <xdr:col>13</xdr:col>
      <xdr:colOff>0</xdr:colOff>
      <xdr:row>1289</xdr:row>
      <xdr:rowOff>148590</xdr:rowOff>
    </xdr:to>
    <xdr:pic>
      <xdr:nvPicPr>
        <xdr:cNvPr id="1629" name="Imagen 1628" descr="Ver detalle">
          <a:hlinkClick xmlns:r="http://schemas.openxmlformats.org/officeDocument/2006/relationships" r:id="rId1571" tooltip="Ver detalle"/>
          <a:extLst>
            <a:ext uri="{FF2B5EF4-FFF2-40B4-BE49-F238E27FC236}">
              <a16:creationId xmlns:a16="http://schemas.microsoft.com/office/drawing/2014/main" id="{ED8226A0-1A17-9CF0-08C4-48EBD55B5B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3935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1292</xdr:row>
      <xdr:rowOff>0</xdr:rowOff>
    </xdr:from>
    <xdr:to>
      <xdr:col>13</xdr:col>
      <xdr:colOff>0</xdr:colOff>
      <xdr:row>1293</xdr:row>
      <xdr:rowOff>148590</xdr:rowOff>
    </xdr:to>
    <xdr:pic>
      <xdr:nvPicPr>
        <xdr:cNvPr id="1630" name="Imagen 1629" descr="Ver detalle">
          <a:hlinkClick xmlns:r="http://schemas.openxmlformats.org/officeDocument/2006/relationships" r:id="rId1572" tooltip="Ver detalle"/>
          <a:extLst>
            <a:ext uri="{FF2B5EF4-FFF2-40B4-BE49-F238E27FC236}">
              <a16:creationId xmlns:a16="http://schemas.microsoft.com/office/drawing/2014/main" id="{69C5AC23-442A-D3DB-1261-AC0CE0B1D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1302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1293</xdr:row>
      <xdr:rowOff>0</xdr:rowOff>
    </xdr:from>
    <xdr:to>
      <xdr:col>13</xdr:col>
      <xdr:colOff>0</xdr:colOff>
      <xdr:row>1294</xdr:row>
      <xdr:rowOff>148590</xdr:rowOff>
    </xdr:to>
    <xdr:pic>
      <xdr:nvPicPr>
        <xdr:cNvPr id="1631" name="Imagen 1630" descr="Ver detalle">
          <a:hlinkClick xmlns:r="http://schemas.openxmlformats.org/officeDocument/2006/relationships" r:id="rId1573" tooltip="Ver detalle"/>
          <a:extLst>
            <a:ext uri="{FF2B5EF4-FFF2-40B4-BE49-F238E27FC236}">
              <a16:creationId xmlns:a16="http://schemas.microsoft.com/office/drawing/2014/main" id="{6F18312A-485A-DE4E-164A-A4039CFBD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3253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1284</xdr:row>
      <xdr:rowOff>0</xdr:rowOff>
    </xdr:from>
    <xdr:to>
      <xdr:col>13</xdr:col>
      <xdr:colOff>0</xdr:colOff>
      <xdr:row>1285</xdr:row>
      <xdr:rowOff>148590</xdr:rowOff>
    </xdr:to>
    <xdr:pic>
      <xdr:nvPicPr>
        <xdr:cNvPr id="1632" name="Imagen 1631" descr="Ver detalle">
          <a:hlinkClick xmlns:r="http://schemas.openxmlformats.org/officeDocument/2006/relationships" r:id="rId1574" tooltip="Ver detalle"/>
          <a:extLst>
            <a:ext uri="{FF2B5EF4-FFF2-40B4-BE49-F238E27FC236}">
              <a16:creationId xmlns:a16="http://schemas.microsoft.com/office/drawing/2014/main" id="{B3E238D4-6D40-ACB0-2503-D6555026A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520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1294</xdr:row>
      <xdr:rowOff>0</xdr:rowOff>
    </xdr:from>
    <xdr:to>
      <xdr:col>13</xdr:col>
      <xdr:colOff>0</xdr:colOff>
      <xdr:row>1295</xdr:row>
      <xdr:rowOff>148590</xdr:rowOff>
    </xdr:to>
    <xdr:pic>
      <xdr:nvPicPr>
        <xdr:cNvPr id="1633" name="Imagen 1632" descr="Ver detalle">
          <a:hlinkClick xmlns:r="http://schemas.openxmlformats.org/officeDocument/2006/relationships" r:id="rId1575" tooltip="Ver detalle"/>
          <a:extLst>
            <a:ext uri="{FF2B5EF4-FFF2-40B4-BE49-F238E27FC236}">
              <a16:creationId xmlns:a16="http://schemas.microsoft.com/office/drawing/2014/main" id="{9F97DB51-6759-CD22-820D-67F91EA31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715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1280</xdr:row>
      <xdr:rowOff>0</xdr:rowOff>
    </xdr:from>
    <xdr:to>
      <xdr:col>13</xdr:col>
      <xdr:colOff>0</xdr:colOff>
      <xdr:row>1281</xdr:row>
      <xdr:rowOff>148590</xdr:rowOff>
    </xdr:to>
    <xdr:pic>
      <xdr:nvPicPr>
        <xdr:cNvPr id="1634" name="Imagen 1633" descr="Ver detalle">
          <a:hlinkClick xmlns:r="http://schemas.openxmlformats.org/officeDocument/2006/relationships" r:id="rId1576" tooltip="Ver detalle"/>
          <a:extLst>
            <a:ext uri="{FF2B5EF4-FFF2-40B4-BE49-F238E27FC236}">
              <a16:creationId xmlns:a16="http://schemas.microsoft.com/office/drawing/2014/main" id="{4E3E3A38-4935-A041-60E6-F0FC86F496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819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1285</xdr:row>
      <xdr:rowOff>0</xdr:rowOff>
    </xdr:from>
    <xdr:to>
      <xdr:col>13</xdr:col>
      <xdr:colOff>0</xdr:colOff>
      <xdr:row>1286</xdr:row>
      <xdr:rowOff>148590</xdr:rowOff>
    </xdr:to>
    <xdr:pic>
      <xdr:nvPicPr>
        <xdr:cNvPr id="1635" name="Imagen 1634" descr="Ver detalle">
          <a:hlinkClick xmlns:r="http://schemas.openxmlformats.org/officeDocument/2006/relationships" r:id="rId1577" tooltip="Ver detalle"/>
          <a:extLst>
            <a:ext uri="{FF2B5EF4-FFF2-40B4-BE49-F238E27FC236}">
              <a16:creationId xmlns:a16="http://schemas.microsoft.com/office/drawing/2014/main" id="{97B914F8-C46B-441D-469F-F8ED74089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0149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1282</xdr:row>
      <xdr:rowOff>0</xdr:rowOff>
    </xdr:from>
    <xdr:to>
      <xdr:col>13</xdr:col>
      <xdr:colOff>0</xdr:colOff>
      <xdr:row>1283</xdr:row>
      <xdr:rowOff>148590</xdr:rowOff>
    </xdr:to>
    <xdr:pic>
      <xdr:nvPicPr>
        <xdr:cNvPr id="1636" name="Imagen 1635" descr="Ver detalle">
          <a:hlinkClick xmlns:r="http://schemas.openxmlformats.org/officeDocument/2006/relationships" r:id="rId1578" tooltip="Ver detalle"/>
          <a:extLst>
            <a:ext uri="{FF2B5EF4-FFF2-40B4-BE49-F238E27FC236}">
              <a16:creationId xmlns:a16="http://schemas.microsoft.com/office/drawing/2014/main" id="{9E75ED86-D5FB-4242-3CFF-54AF969F7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210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1281</xdr:row>
      <xdr:rowOff>0</xdr:rowOff>
    </xdr:from>
    <xdr:to>
      <xdr:col>13</xdr:col>
      <xdr:colOff>0</xdr:colOff>
      <xdr:row>1282</xdr:row>
      <xdr:rowOff>148590</xdr:rowOff>
    </xdr:to>
    <xdr:pic>
      <xdr:nvPicPr>
        <xdr:cNvPr id="1637" name="Imagen 1636" descr="Ver detalle">
          <a:hlinkClick xmlns:r="http://schemas.openxmlformats.org/officeDocument/2006/relationships" r:id="rId1579" tooltip="Ver detalle"/>
          <a:extLst>
            <a:ext uri="{FF2B5EF4-FFF2-40B4-BE49-F238E27FC236}">
              <a16:creationId xmlns:a16="http://schemas.microsoft.com/office/drawing/2014/main" id="{9104F4B1-D9AC-B577-E5AF-8B48C0457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405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1286</xdr:row>
      <xdr:rowOff>0</xdr:rowOff>
    </xdr:from>
    <xdr:to>
      <xdr:col>13</xdr:col>
      <xdr:colOff>0</xdr:colOff>
      <xdr:row>1287</xdr:row>
      <xdr:rowOff>148590</xdr:rowOff>
    </xdr:to>
    <xdr:pic>
      <xdr:nvPicPr>
        <xdr:cNvPr id="1638" name="Imagen 1637" descr="Ver detalle">
          <a:hlinkClick xmlns:r="http://schemas.openxmlformats.org/officeDocument/2006/relationships" r:id="rId1580" tooltip="Ver detalle"/>
          <a:extLst>
            <a:ext uri="{FF2B5EF4-FFF2-40B4-BE49-F238E27FC236}">
              <a16:creationId xmlns:a16="http://schemas.microsoft.com/office/drawing/2014/main" id="{ED74F79B-038E-FF87-567B-3EAA4DDBA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5094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1278</xdr:row>
      <xdr:rowOff>0</xdr:rowOff>
    </xdr:from>
    <xdr:to>
      <xdr:col>13</xdr:col>
      <xdr:colOff>0</xdr:colOff>
      <xdr:row>1279</xdr:row>
      <xdr:rowOff>148590</xdr:rowOff>
    </xdr:to>
    <xdr:pic>
      <xdr:nvPicPr>
        <xdr:cNvPr id="1639" name="Imagen 1638" descr="Ver detalle">
          <a:hlinkClick xmlns:r="http://schemas.openxmlformats.org/officeDocument/2006/relationships" r:id="rId1581" tooltip="Ver detalle"/>
          <a:extLst>
            <a:ext uri="{FF2B5EF4-FFF2-40B4-BE49-F238E27FC236}">
              <a16:creationId xmlns:a16="http://schemas.microsoft.com/office/drawing/2014/main" id="{D5B12361-E40A-9AB4-519E-BBC23319C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7045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1287</xdr:row>
      <xdr:rowOff>0</xdr:rowOff>
    </xdr:from>
    <xdr:to>
      <xdr:col>13</xdr:col>
      <xdr:colOff>0</xdr:colOff>
      <xdr:row>1288</xdr:row>
      <xdr:rowOff>148590</xdr:rowOff>
    </xdr:to>
    <xdr:pic>
      <xdr:nvPicPr>
        <xdr:cNvPr id="1640" name="Imagen 1639" descr="Ver detalle">
          <a:hlinkClick xmlns:r="http://schemas.openxmlformats.org/officeDocument/2006/relationships" r:id="rId1582" tooltip="Ver detalle"/>
          <a:extLst>
            <a:ext uri="{FF2B5EF4-FFF2-40B4-BE49-F238E27FC236}">
              <a16:creationId xmlns:a16="http://schemas.microsoft.com/office/drawing/2014/main" id="{5381FF1A-8CC2-1992-58FA-C49A9F9E8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899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1274</xdr:row>
      <xdr:rowOff>0</xdr:rowOff>
    </xdr:from>
    <xdr:to>
      <xdr:col>13</xdr:col>
      <xdr:colOff>0</xdr:colOff>
      <xdr:row>1275</xdr:row>
      <xdr:rowOff>148590</xdr:rowOff>
    </xdr:to>
    <xdr:pic>
      <xdr:nvPicPr>
        <xdr:cNvPr id="1641" name="Imagen 1640" descr="Ver detalle">
          <a:hlinkClick xmlns:r="http://schemas.openxmlformats.org/officeDocument/2006/relationships" r:id="rId1583" tooltip="Ver detalle"/>
          <a:extLst>
            <a:ext uri="{FF2B5EF4-FFF2-40B4-BE49-F238E27FC236}">
              <a16:creationId xmlns:a16="http://schemas.microsoft.com/office/drawing/2014/main" id="{EF62CF79-C028-A653-CE10-0701DA8EA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094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1308</xdr:row>
      <xdr:rowOff>0</xdr:rowOff>
    </xdr:from>
    <xdr:to>
      <xdr:col>13</xdr:col>
      <xdr:colOff>0</xdr:colOff>
      <xdr:row>1309</xdr:row>
      <xdr:rowOff>114300</xdr:rowOff>
    </xdr:to>
    <xdr:pic>
      <xdr:nvPicPr>
        <xdr:cNvPr id="1642" name="Imagen 1641" descr="Ver detalle">
          <a:hlinkClick xmlns:r="http://schemas.openxmlformats.org/officeDocument/2006/relationships" r:id="rId1584" tooltip="Ver detalle"/>
          <a:extLst>
            <a:ext uri="{FF2B5EF4-FFF2-40B4-BE49-F238E27FC236}">
              <a16:creationId xmlns:a16="http://schemas.microsoft.com/office/drawing/2014/main" id="{A6E73676-A1A0-B292-3BDF-B6FEE4DD8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289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1307</xdr:row>
      <xdr:rowOff>0</xdr:rowOff>
    </xdr:from>
    <xdr:to>
      <xdr:col>13</xdr:col>
      <xdr:colOff>0</xdr:colOff>
      <xdr:row>1308</xdr:row>
      <xdr:rowOff>148590</xdr:rowOff>
    </xdr:to>
    <xdr:pic>
      <xdr:nvPicPr>
        <xdr:cNvPr id="1643" name="Imagen 1642" descr="Ver detalle">
          <a:hlinkClick xmlns:r="http://schemas.openxmlformats.org/officeDocument/2006/relationships" r:id="rId1585" tooltip="Ver detalle"/>
          <a:extLst>
            <a:ext uri="{FF2B5EF4-FFF2-40B4-BE49-F238E27FC236}">
              <a16:creationId xmlns:a16="http://schemas.microsoft.com/office/drawing/2014/main" id="{2CFECBB5-EB9D-7D66-CC4C-E4EE9B19A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484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1306</xdr:row>
      <xdr:rowOff>0</xdr:rowOff>
    </xdr:from>
    <xdr:to>
      <xdr:col>13</xdr:col>
      <xdr:colOff>0</xdr:colOff>
      <xdr:row>1307</xdr:row>
      <xdr:rowOff>148590</xdr:rowOff>
    </xdr:to>
    <xdr:pic>
      <xdr:nvPicPr>
        <xdr:cNvPr id="1644" name="Imagen 1643" descr="Ver detalle">
          <a:hlinkClick xmlns:r="http://schemas.openxmlformats.org/officeDocument/2006/relationships" r:id="rId1586" tooltip="Ver detalle"/>
          <a:extLst>
            <a:ext uri="{FF2B5EF4-FFF2-40B4-BE49-F238E27FC236}">
              <a16:creationId xmlns:a16="http://schemas.microsoft.com/office/drawing/2014/main" id="{61F9EBFC-0311-52FA-6690-55C539CB1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679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1305</xdr:row>
      <xdr:rowOff>0</xdr:rowOff>
    </xdr:from>
    <xdr:to>
      <xdr:col>13</xdr:col>
      <xdr:colOff>0</xdr:colOff>
      <xdr:row>1306</xdr:row>
      <xdr:rowOff>148590</xdr:rowOff>
    </xdr:to>
    <xdr:pic>
      <xdr:nvPicPr>
        <xdr:cNvPr id="1645" name="Imagen 1644" descr="Ver detalle">
          <a:hlinkClick xmlns:r="http://schemas.openxmlformats.org/officeDocument/2006/relationships" r:id="rId1587" tooltip="Ver detalle"/>
          <a:extLst>
            <a:ext uri="{FF2B5EF4-FFF2-40B4-BE49-F238E27FC236}">
              <a16:creationId xmlns:a16="http://schemas.microsoft.com/office/drawing/2014/main" id="{3E5E444F-9708-F767-7B09-14EEE7A2C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874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1300</xdr:row>
      <xdr:rowOff>0</xdr:rowOff>
    </xdr:from>
    <xdr:to>
      <xdr:col>13</xdr:col>
      <xdr:colOff>0</xdr:colOff>
      <xdr:row>1301</xdr:row>
      <xdr:rowOff>148590</xdr:rowOff>
    </xdr:to>
    <xdr:pic>
      <xdr:nvPicPr>
        <xdr:cNvPr id="1646" name="Imagen 1645" descr="Ver detalle">
          <a:hlinkClick xmlns:r="http://schemas.openxmlformats.org/officeDocument/2006/relationships" r:id="rId1588" tooltip="Ver detalle"/>
          <a:extLst>
            <a:ext uri="{FF2B5EF4-FFF2-40B4-BE49-F238E27FC236}">
              <a16:creationId xmlns:a16="http://schemas.microsoft.com/office/drawing/2014/main" id="{6092C50C-2888-127D-F5CD-677CF191E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07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1304</xdr:row>
      <xdr:rowOff>0</xdr:rowOff>
    </xdr:from>
    <xdr:to>
      <xdr:col>13</xdr:col>
      <xdr:colOff>0</xdr:colOff>
      <xdr:row>1305</xdr:row>
      <xdr:rowOff>148590</xdr:rowOff>
    </xdr:to>
    <xdr:pic>
      <xdr:nvPicPr>
        <xdr:cNvPr id="1647" name="Imagen 1646" descr="Ver detalle">
          <a:hlinkClick xmlns:r="http://schemas.openxmlformats.org/officeDocument/2006/relationships" r:id="rId1589" tooltip="Ver detalle"/>
          <a:extLst>
            <a:ext uri="{FF2B5EF4-FFF2-40B4-BE49-F238E27FC236}">
              <a16:creationId xmlns:a16="http://schemas.microsoft.com/office/drawing/2014/main" id="{E986D3D5-B999-973A-40C4-23660CCE7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2651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1303</xdr:row>
      <xdr:rowOff>0</xdr:rowOff>
    </xdr:from>
    <xdr:to>
      <xdr:col>13</xdr:col>
      <xdr:colOff>0</xdr:colOff>
      <xdr:row>1304</xdr:row>
      <xdr:rowOff>148590</xdr:rowOff>
    </xdr:to>
    <xdr:pic>
      <xdr:nvPicPr>
        <xdr:cNvPr id="1648" name="Imagen 1647" descr="Ver detalle">
          <a:hlinkClick xmlns:r="http://schemas.openxmlformats.org/officeDocument/2006/relationships" r:id="rId1590" tooltip="Ver detalle"/>
          <a:extLst>
            <a:ext uri="{FF2B5EF4-FFF2-40B4-BE49-F238E27FC236}">
              <a16:creationId xmlns:a16="http://schemas.microsoft.com/office/drawing/2014/main" id="{948E741C-D83B-64B9-3918-A8EFE0B87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356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1299</xdr:row>
      <xdr:rowOff>0</xdr:rowOff>
    </xdr:from>
    <xdr:to>
      <xdr:col>13</xdr:col>
      <xdr:colOff>0</xdr:colOff>
      <xdr:row>1300</xdr:row>
      <xdr:rowOff>148590</xdr:rowOff>
    </xdr:to>
    <xdr:pic>
      <xdr:nvPicPr>
        <xdr:cNvPr id="1649" name="Imagen 1648" descr="Ver detalle">
          <a:hlinkClick xmlns:r="http://schemas.openxmlformats.org/officeDocument/2006/relationships" r:id="rId1591" tooltip="Ver detalle"/>
          <a:extLst>
            <a:ext uri="{FF2B5EF4-FFF2-40B4-BE49-F238E27FC236}">
              <a16:creationId xmlns:a16="http://schemas.microsoft.com/office/drawing/2014/main" id="{320841F1-0867-66DC-E39B-4DC3F7AD6E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5394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1298</xdr:row>
      <xdr:rowOff>0</xdr:rowOff>
    </xdr:from>
    <xdr:to>
      <xdr:col>13</xdr:col>
      <xdr:colOff>0</xdr:colOff>
      <xdr:row>1299</xdr:row>
      <xdr:rowOff>148590</xdr:rowOff>
    </xdr:to>
    <xdr:pic>
      <xdr:nvPicPr>
        <xdr:cNvPr id="1650" name="Imagen 1649" descr="Ver detalle">
          <a:hlinkClick xmlns:r="http://schemas.openxmlformats.org/officeDocument/2006/relationships" r:id="rId1592" tooltip="Ver detalle"/>
          <a:extLst>
            <a:ext uri="{FF2B5EF4-FFF2-40B4-BE49-F238E27FC236}">
              <a16:creationId xmlns:a16="http://schemas.microsoft.com/office/drawing/2014/main" id="{F1E7E1FA-B5DF-8853-9BD1-6A5D46C10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6308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1301</xdr:row>
      <xdr:rowOff>0</xdr:rowOff>
    </xdr:from>
    <xdr:to>
      <xdr:col>13</xdr:col>
      <xdr:colOff>0</xdr:colOff>
      <xdr:row>1302</xdr:row>
      <xdr:rowOff>148590</xdr:rowOff>
    </xdr:to>
    <xdr:pic>
      <xdr:nvPicPr>
        <xdr:cNvPr id="1651" name="Imagen 1650" descr="Ver detalle">
          <a:hlinkClick xmlns:r="http://schemas.openxmlformats.org/officeDocument/2006/relationships" r:id="rId1593" tooltip="Ver detalle"/>
          <a:extLst>
            <a:ext uri="{FF2B5EF4-FFF2-40B4-BE49-F238E27FC236}">
              <a16:creationId xmlns:a16="http://schemas.microsoft.com/office/drawing/2014/main" id="{978700B4-0D93-1B90-F2A1-B762975A8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7223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1279</xdr:row>
      <xdr:rowOff>0</xdr:rowOff>
    </xdr:from>
    <xdr:to>
      <xdr:col>13</xdr:col>
      <xdr:colOff>0</xdr:colOff>
      <xdr:row>1280</xdr:row>
      <xdr:rowOff>148590</xdr:rowOff>
    </xdr:to>
    <xdr:pic>
      <xdr:nvPicPr>
        <xdr:cNvPr id="1652" name="Imagen 1651" descr="Ver detalle">
          <a:hlinkClick xmlns:r="http://schemas.openxmlformats.org/officeDocument/2006/relationships" r:id="rId1594" tooltip="Ver detalle"/>
          <a:extLst>
            <a:ext uri="{FF2B5EF4-FFF2-40B4-BE49-F238E27FC236}">
              <a16:creationId xmlns:a16="http://schemas.microsoft.com/office/drawing/2014/main" id="{E3200DB7-92E0-C718-98E9-EE3369764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813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1275</xdr:row>
      <xdr:rowOff>0</xdr:rowOff>
    </xdr:from>
    <xdr:to>
      <xdr:col>13</xdr:col>
      <xdr:colOff>0</xdr:colOff>
      <xdr:row>1276</xdr:row>
      <xdr:rowOff>148590</xdr:rowOff>
    </xdr:to>
    <xdr:pic>
      <xdr:nvPicPr>
        <xdr:cNvPr id="1653" name="Imagen 1652" descr="Ver detalle">
          <a:hlinkClick xmlns:r="http://schemas.openxmlformats.org/officeDocument/2006/relationships" r:id="rId1595" tooltip="Ver detalle"/>
          <a:extLst>
            <a:ext uri="{FF2B5EF4-FFF2-40B4-BE49-F238E27FC236}">
              <a16:creationId xmlns:a16="http://schemas.microsoft.com/office/drawing/2014/main" id="{4F3721F3-F5DE-3320-F23D-77C6F88D9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9052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1272</xdr:row>
      <xdr:rowOff>0</xdr:rowOff>
    </xdr:from>
    <xdr:to>
      <xdr:col>13</xdr:col>
      <xdr:colOff>0</xdr:colOff>
      <xdr:row>1273</xdr:row>
      <xdr:rowOff>148590</xdr:rowOff>
    </xdr:to>
    <xdr:pic>
      <xdr:nvPicPr>
        <xdr:cNvPr id="1654" name="Imagen 1653" descr="Ver detalle">
          <a:hlinkClick xmlns:r="http://schemas.openxmlformats.org/officeDocument/2006/relationships" r:id="rId1596" tooltip="Ver detalle"/>
          <a:extLst>
            <a:ext uri="{FF2B5EF4-FFF2-40B4-BE49-F238E27FC236}">
              <a16:creationId xmlns:a16="http://schemas.microsoft.com/office/drawing/2014/main" id="{7CB55F83-C8CF-4E31-43FA-7296F3B24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1002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1277</xdr:row>
      <xdr:rowOff>0</xdr:rowOff>
    </xdr:from>
    <xdr:to>
      <xdr:col>13</xdr:col>
      <xdr:colOff>0</xdr:colOff>
      <xdr:row>1278</xdr:row>
      <xdr:rowOff>148590</xdr:rowOff>
    </xdr:to>
    <xdr:pic>
      <xdr:nvPicPr>
        <xdr:cNvPr id="1655" name="Imagen 1654" descr="Ver detalle">
          <a:hlinkClick xmlns:r="http://schemas.openxmlformats.org/officeDocument/2006/relationships" r:id="rId1597" tooltip="Ver detalle"/>
          <a:extLst>
            <a:ext uri="{FF2B5EF4-FFF2-40B4-BE49-F238E27FC236}">
              <a16:creationId xmlns:a16="http://schemas.microsoft.com/office/drawing/2014/main" id="{F726C128-D8AD-0C42-1388-C1D574A40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295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1297</xdr:row>
      <xdr:rowOff>0</xdr:rowOff>
    </xdr:from>
    <xdr:to>
      <xdr:col>13</xdr:col>
      <xdr:colOff>0</xdr:colOff>
      <xdr:row>1298</xdr:row>
      <xdr:rowOff>148590</xdr:rowOff>
    </xdr:to>
    <xdr:pic>
      <xdr:nvPicPr>
        <xdr:cNvPr id="1656" name="Imagen 1655" descr="Ver detalle">
          <a:hlinkClick xmlns:r="http://schemas.openxmlformats.org/officeDocument/2006/relationships" r:id="rId1598" tooltip="Ver detalle"/>
          <a:extLst>
            <a:ext uri="{FF2B5EF4-FFF2-40B4-BE49-F238E27FC236}">
              <a16:creationId xmlns:a16="http://schemas.microsoft.com/office/drawing/2014/main" id="{B4D40E44-B225-57D5-B7D9-85595CC86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3867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1276</xdr:row>
      <xdr:rowOff>0</xdr:rowOff>
    </xdr:from>
    <xdr:to>
      <xdr:col>13</xdr:col>
      <xdr:colOff>0</xdr:colOff>
      <xdr:row>1277</xdr:row>
      <xdr:rowOff>148590</xdr:rowOff>
    </xdr:to>
    <xdr:pic>
      <xdr:nvPicPr>
        <xdr:cNvPr id="1657" name="Imagen 1656" descr="Ver detalle">
          <a:hlinkClick xmlns:r="http://schemas.openxmlformats.org/officeDocument/2006/relationships" r:id="rId1599" tooltip="Ver detalle"/>
          <a:extLst>
            <a:ext uri="{FF2B5EF4-FFF2-40B4-BE49-F238E27FC236}">
              <a16:creationId xmlns:a16="http://schemas.microsoft.com/office/drawing/2014/main" id="{E7D30A6F-0DFF-E959-F469-AE233BFF9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581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1271</xdr:row>
      <xdr:rowOff>0</xdr:rowOff>
    </xdr:from>
    <xdr:to>
      <xdr:col>13</xdr:col>
      <xdr:colOff>0</xdr:colOff>
      <xdr:row>1272</xdr:row>
      <xdr:rowOff>148590</xdr:rowOff>
    </xdr:to>
    <xdr:pic>
      <xdr:nvPicPr>
        <xdr:cNvPr id="1658" name="Imagen 1657" descr="Ver detalle">
          <a:hlinkClick xmlns:r="http://schemas.openxmlformats.org/officeDocument/2006/relationships" r:id="rId1600" tooltip="Ver detalle"/>
          <a:extLst>
            <a:ext uri="{FF2B5EF4-FFF2-40B4-BE49-F238E27FC236}">
              <a16:creationId xmlns:a16="http://schemas.microsoft.com/office/drawing/2014/main" id="{8D5819FA-8507-2325-E8CE-E34BEFC43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776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1273</xdr:row>
      <xdr:rowOff>0</xdr:rowOff>
    </xdr:from>
    <xdr:to>
      <xdr:col>13</xdr:col>
      <xdr:colOff>0</xdr:colOff>
      <xdr:row>1274</xdr:row>
      <xdr:rowOff>148590</xdr:rowOff>
    </xdr:to>
    <xdr:pic>
      <xdr:nvPicPr>
        <xdr:cNvPr id="1659" name="Imagen 1658" descr="Ver detalle">
          <a:hlinkClick xmlns:r="http://schemas.openxmlformats.org/officeDocument/2006/relationships" r:id="rId1601" tooltip="Ver detalle"/>
          <a:extLst>
            <a:ext uri="{FF2B5EF4-FFF2-40B4-BE49-F238E27FC236}">
              <a16:creationId xmlns:a16="http://schemas.microsoft.com/office/drawing/2014/main" id="{5C0872F8-9EBF-FEE5-4C1E-543A2CA78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9720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1268</xdr:row>
      <xdr:rowOff>0</xdr:rowOff>
    </xdr:from>
    <xdr:to>
      <xdr:col>13</xdr:col>
      <xdr:colOff>0</xdr:colOff>
      <xdr:row>1269</xdr:row>
      <xdr:rowOff>148590</xdr:rowOff>
    </xdr:to>
    <xdr:pic>
      <xdr:nvPicPr>
        <xdr:cNvPr id="1660" name="Imagen 1659" descr="Ver detalle">
          <a:hlinkClick xmlns:r="http://schemas.openxmlformats.org/officeDocument/2006/relationships" r:id="rId1602" tooltip="Ver detalle"/>
          <a:extLst>
            <a:ext uri="{FF2B5EF4-FFF2-40B4-BE49-F238E27FC236}">
              <a16:creationId xmlns:a16="http://schemas.microsoft.com/office/drawing/2014/main" id="{6C58E538-4C70-27CF-3E24-5F8422A55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1670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1267</xdr:row>
      <xdr:rowOff>0</xdr:rowOff>
    </xdr:from>
    <xdr:to>
      <xdr:col>13</xdr:col>
      <xdr:colOff>0</xdr:colOff>
      <xdr:row>1268</xdr:row>
      <xdr:rowOff>148590</xdr:rowOff>
    </xdr:to>
    <xdr:pic>
      <xdr:nvPicPr>
        <xdr:cNvPr id="1661" name="Imagen 1660" descr="Ver detalle">
          <a:hlinkClick xmlns:r="http://schemas.openxmlformats.org/officeDocument/2006/relationships" r:id="rId1603" tooltip="Ver detalle"/>
          <a:extLst>
            <a:ext uri="{FF2B5EF4-FFF2-40B4-BE49-F238E27FC236}">
              <a16:creationId xmlns:a16="http://schemas.microsoft.com/office/drawing/2014/main" id="{F1B9DA35-648A-FFDE-D14E-42E4463E1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2585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1269</xdr:row>
      <xdr:rowOff>0</xdr:rowOff>
    </xdr:from>
    <xdr:to>
      <xdr:col>13</xdr:col>
      <xdr:colOff>0</xdr:colOff>
      <xdr:row>1270</xdr:row>
      <xdr:rowOff>148590</xdr:rowOff>
    </xdr:to>
    <xdr:pic>
      <xdr:nvPicPr>
        <xdr:cNvPr id="1662" name="Imagen 1661" descr="Ver detalle">
          <a:hlinkClick xmlns:r="http://schemas.openxmlformats.org/officeDocument/2006/relationships" r:id="rId1604" tooltip="Ver detalle"/>
          <a:extLst>
            <a:ext uri="{FF2B5EF4-FFF2-40B4-BE49-F238E27FC236}">
              <a16:creationId xmlns:a16="http://schemas.microsoft.com/office/drawing/2014/main" id="{B269B0E4-2642-957B-E7BC-F331954DB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3499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1270</xdr:row>
      <xdr:rowOff>0</xdr:rowOff>
    </xdr:from>
    <xdr:to>
      <xdr:col>13</xdr:col>
      <xdr:colOff>0</xdr:colOff>
      <xdr:row>1271</xdr:row>
      <xdr:rowOff>148590</xdr:rowOff>
    </xdr:to>
    <xdr:pic>
      <xdr:nvPicPr>
        <xdr:cNvPr id="1663" name="Imagen 1662" descr="Ver detalle">
          <a:hlinkClick xmlns:r="http://schemas.openxmlformats.org/officeDocument/2006/relationships" r:id="rId1605" tooltip="Ver detalle"/>
          <a:extLst>
            <a:ext uri="{FF2B5EF4-FFF2-40B4-BE49-F238E27FC236}">
              <a16:creationId xmlns:a16="http://schemas.microsoft.com/office/drawing/2014/main" id="{5B99127A-9A9C-61CD-89C5-5C9CC163E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480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1266</xdr:row>
      <xdr:rowOff>0</xdr:rowOff>
    </xdr:from>
    <xdr:to>
      <xdr:col>13</xdr:col>
      <xdr:colOff>0</xdr:colOff>
      <xdr:row>1267</xdr:row>
      <xdr:rowOff>148590</xdr:rowOff>
    </xdr:to>
    <xdr:pic>
      <xdr:nvPicPr>
        <xdr:cNvPr id="1664" name="Imagen 1663" descr="Ver detalle">
          <a:hlinkClick xmlns:r="http://schemas.openxmlformats.org/officeDocument/2006/relationships" r:id="rId1606" tooltip="Ver detalle"/>
          <a:extLst>
            <a:ext uri="{FF2B5EF4-FFF2-40B4-BE49-F238E27FC236}">
              <a16:creationId xmlns:a16="http://schemas.microsoft.com/office/drawing/2014/main" id="{D89507E4-70A3-FBCA-3337-45F878311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675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1265</xdr:row>
      <xdr:rowOff>0</xdr:rowOff>
    </xdr:from>
    <xdr:to>
      <xdr:col>13</xdr:col>
      <xdr:colOff>0</xdr:colOff>
      <xdr:row>1266</xdr:row>
      <xdr:rowOff>148590</xdr:rowOff>
    </xdr:to>
    <xdr:pic>
      <xdr:nvPicPr>
        <xdr:cNvPr id="1665" name="Imagen 1664" descr="Ver detalle">
          <a:hlinkClick xmlns:r="http://schemas.openxmlformats.org/officeDocument/2006/relationships" r:id="rId1607" tooltip="Ver detalle"/>
          <a:extLst>
            <a:ext uri="{FF2B5EF4-FFF2-40B4-BE49-F238E27FC236}">
              <a16:creationId xmlns:a16="http://schemas.microsoft.com/office/drawing/2014/main" id="{CB5A5BCE-882F-978B-DC22-3E7758C3F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870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1283</xdr:row>
      <xdr:rowOff>0</xdr:rowOff>
    </xdr:from>
    <xdr:to>
      <xdr:col>13</xdr:col>
      <xdr:colOff>0</xdr:colOff>
      <xdr:row>1284</xdr:row>
      <xdr:rowOff>148590</xdr:rowOff>
    </xdr:to>
    <xdr:pic>
      <xdr:nvPicPr>
        <xdr:cNvPr id="1666" name="Imagen 1665" descr="Ver detalle">
          <a:hlinkClick xmlns:r="http://schemas.openxmlformats.org/officeDocument/2006/relationships" r:id="rId1608" tooltip="Ver detalle"/>
          <a:extLst>
            <a:ext uri="{FF2B5EF4-FFF2-40B4-BE49-F238E27FC236}">
              <a16:creationId xmlns:a16="http://schemas.microsoft.com/office/drawing/2014/main" id="{047D2E54-FA73-326D-71D6-00D5182D0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961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1338</xdr:row>
      <xdr:rowOff>0</xdr:rowOff>
    </xdr:from>
    <xdr:to>
      <xdr:col>13</xdr:col>
      <xdr:colOff>0</xdr:colOff>
      <xdr:row>1339</xdr:row>
      <xdr:rowOff>148590</xdr:rowOff>
    </xdr:to>
    <xdr:pic>
      <xdr:nvPicPr>
        <xdr:cNvPr id="1667" name="Imagen 1666" descr="Ver detalle">
          <a:hlinkClick xmlns:r="http://schemas.openxmlformats.org/officeDocument/2006/relationships" r:id="rId1609" tooltip="Ver detalle"/>
          <a:extLst>
            <a:ext uri="{FF2B5EF4-FFF2-40B4-BE49-F238E27FC236}">
              <a16:creationId xmlns:a16="http://schemas.microsoft.com/office/drawing/2014/main" id="{D963AB2D-0C20-822A-0C34-3A2B5B8F5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157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1335</xdr:row>
      <xdr:rowOff>0</xdr:rowOff>
    </xdr:from>
    <xdr:to>
      <xdr:col>13</xdr:col>
      <xdr:colOff>0</xdr:colOff>
      <xdr:row>1336</xdr:row>
      <xdr:rowOff>148590</xdr:rowOff>
    </xdr:to>
    <xdr:pic>
      <xdr:nvPicPr>
        <xdr:cNvPr id="1668" name="Imagen 1667" descr="Ver detalle">
          <a:hlinkClick xmlns:r="http://schemas.openxmlformats.org/officeDocument/2006/relationships" r:id="rId1610" tooltip="Ver detalle"/>
          <a:extLst>
            <a:ext uri="{FF2B5EF4-FFF2-40B4-BE49-F238E27FC236}">
              <a16:creationId xmlns:a16="http://schemas.microsoft.com/office/drawing/2014/main" id="{B5EAD368-7DDB-C9C8-9BE1-FD16667B9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2491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1339</xdr:row>
      <xdr:rowOff>0</xdr:rowOff>
    </xdr:from>
    <xdr:to>
      <xdr:col>13</xdr:col>
      <xdr:colOff>0</xdr:colOff>
      <xdr:row>1340</xdr:row>
      <xdr:rowOff>114300</xdr:rowOff>
    </xdr:to>
    <xdr:pic>
      <xdr:nvPicPr>
        <xdr:cNvPr id="1669" name="Imagen 1668" descr="Ver detalle">
          <a:hlinkClick xmlns:r="http://schemas.openxmlformats.org/officeDocument/2006/relationships" r:id="rId1611" tooltip="Ver detalle"/>
          <a:extLst>
            <a:ext uri="{FF2B5EF4-FFF2-40B4-BE49-F238E27FC236}">
              <a16:creationId xmlns:a16="http://schemas.microsoft.com/office/drawing/2014/main" id="{A004E1F4-FCA3-8335-1A3E-0F5BB198E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444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1331</xdr:row>
      <xdr:rowOff>0</xdr:rowOff>
    </xdr:from>
    <xdr:to>
      <xdr:col>13</xdr:col>
      <xdr:colOff>0</xdr:colOff>
      <xdr:row>1332</xdr:row>
      <xdr:rowOff>148590</xdr:rowOff>
    </xdr:to>
    <xdr:pic>
      <xdr:nvPicPr>
        <xdr:cNvPr id="1670" name="Imagen 1669" descr="Ver detalle">
          <a:hlinkClick xmlns:r="http://schemas.openxmlformats.org/officeDocument/2006/relationships" r:id="rId1612" tooltip="Ver detalle"/>
          <a:extLst>
            <a:ext uri="{FF2B5EF4-FFF2-40B4-BE49-F238E27FC236}">
              <a16:creationId xmlns:a16="http://schemas.microsoft.com/office/drawing/2014/main" id="{B78D9FBB-8D4F-F266-3CCB-6E0509B45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535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1332</xdr:row>
      <xdr:rowOff>0</xdr:rowOff>
    </xdr:from>
    <xdr:to>
      <xdr:col>13</xdr:col>
      <xdr:colOff>0</xdr:colOff>
      <xdr:row>1333</xdr:row>
      <xdr:rowOff>148590</xdr:rowOff>
    </xdr:to>
    <xdr:pic>
      <xdr:nvPicPr>
        <xdr:cNvPr id="1671" name="Imagen 1670" descr="Ver detalle">
          <a:hlinkClick xmlns:r="http://schemas.openxmlformats.org/officeDocument/2006/relationships" r:id="rId1613" tooltip="Ver detalle"/>
          <a:extLst>
            <a:ext uri="{FF2B5EF4-FFF2-40B4-BE49-F238E27FC236}">
              <a16:creationId xmlns:a16="http://schemas.microsoft.com/office/drawing/2014/main" id="{31F79AB4-C966-39B8-2EFC-7B05ADFCA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730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1334</xdr:row>
      <xdr:rowOff>0</xdr:rowOff>
    </xdr:from>
    <xdr:to>
      <xdr:col>13</xdr:col>
      <xdr:colOff>0</xdr:colOff>
      <xdr:row>1335</xdr:row>
      <xdr:rowOff>148590</xdr:rowOff>
    </xdr:to>
    <xdr:pic>
      <xdr:nvPicPr>
        <xdr:cNvPr id="1672" name="Imagen 1671" descr="Ver detalle">
          <a:hlinkClick xmlns:r="http://schemas.openxmlformats.org/officeDocument/2006/relationships" r:id="rId1614" tooltip="Ver detalle"/>
          <a:extLst>
            <a:ext uri="{FF2B5EF4-FFF2-40B4-BE49-F238E27FC236}">
              <a16:creationId xmlns:a16="http://schemas.microsoft.com/office/drawing/2014/main" id="{6365D62B-6811-36FF-4141-6824A2392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925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1336</xdr:row>
      <xdr:rowOff>0</xdr:rowOff>
    </xdr:from>
    <xdr:to>
      <xdr:col>13</xdr:col>
      <xdr:colOff>0</xdr:colOff>
      <xdr:row>1337</xdr:row>
      <xdr:rowOff>148590</xdr:rowOff>
    </xdr:to>
    <xdr:pic>
      <xdr:nvPicPr>
        <xdr:cNvPr id="1673" name="Imagen 1672" descr="Ver detalle">
          <a:hlinkClick xmlns:r="http://schemas.openxmlformats.org/officeDocument/2006/relationships" r:id="rId1615" tooltip="Ver detalle"/>
          <a:extLst>
            <a:ext uri="{FF2B5EF4-FFF2-40B4-BE49-F238E27FC236}">
              <a16:creationId xmlns:a16="http://schemas.microsoft.com/office/drawing/2014/main" id="{76E8330C-B6B0-43DA-143A-7AC51C6E7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120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1333</xdr:row>
      <xdr:rowOff>0</xdr:rowOff>
    </xdr:from>
    <xdr:to>
      <xdr:col>13</xdr:col>
      <xdr:colOff>0</xdr:colOff>
      <xdr:row>1334</xdr:row>
      <xdr:rowOff>148590</xdr:rowOff>
    </xdr:to>
    <xdr:pic>
      <xdr:nvPicPr>
        <xdr:cNvPr id="1674" name="Imagen 1673" descr="Ver detalle">
          <a:hlinkClick xmlns:r="http://schemas.openxmlformats.org/officeDocument/2006/relationships" r:id="rId1616" tooltip="Ver detalle"/>
          <a:extLst>
            <a:ext uri="{FF2B5EF4-FFF2-40B4-BE49-F238E27FC236}">
              <a16:creationId xmlns:a16="http://schemas.microsoft.com/office/drawing/2014/main" id="{533CFF9B-5572-A9AD-9210-5D018E123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315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1326</xdr:row>
      <xdr:rowOff>0</xdr:rowOff>
    </xdr:from>
    <xdr:to>
      <xdr:col>13</xdr:col>
      <xdr:colOff>0</xdr:colOff>
      <xdr:row>1327</xdr:row>
      <xdr:rowOff>148590</xdr:rowOff>
    </xdr:to>
    <xdr:pic>
      <xdr:nvPicPr>
        <xdr:cNvPr id="1675" name="Imagen 1674" descr="Ver detalle">
          <a:hlinkClick xmlns:r="http://schemas.openxmlformats.org/officeDocument/2006/relationships" r:id="rId1617" tooltip="Ver detalle"/>
          <a:extLst>
            <a:ext uri="{FF2B5EF4-FFF2-40B4-BE49-F238E27FC236}">
              <a16:creationId xmlns:a16="http://schemas.microsoft.com/office/drawing/2014/main" id="{94A4D2A9-B625-4B20-EC64-CCB825E84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5109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1329</xdr:row>
      <xdr:rowOff>0</xdr:rowOff>
    </xdr:from>
    <xdr:to>
      <xdr:col>13</xdr:col>
      <xdr:colOff>0</xdr:colOff>
      <xdr:row>1330</xdr:row>
      <xdr:rowOff>148590</xdr:rowOff>
    </xdr:to>
    <xdr:pic>
      <xdr:nvPicPr>
        <xdr:cNvPr id="1676" name="Imagen 1675" descr="Ver detalle">
          <a:hlinkClick xmlns:r="http://schemas.openxmlformats.org/officeDocument/2006/relationships" r:id="rId1618" tooltip="Ver detalle"/>
          <a:extLst>
            <a:ext uri="{FF2B5EF4-FFF2-40B4-BE49-F238E27FC236}">
              <a16:creationId xmlns:a16="http://schemas.microsoft.com/office/drawing/2014/main" id="{7F361B29-ED4C-49FA-B514-269F12F47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706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1330</xdr:row>
      <xdr:rowOff>0</xdr:rowOff>
    </xdr:from>
    <xdr:to>
      <xdr:col>13</xdr:col>
      <xdr:colOff>0</xdr:colOff>
      <xdr:row>1331</xdr:row>
      <xdr:rowOff>148590</xdr:rowOff>
    </xdr:to>
    <xdr:pic>
      <xdr:nvPicPr>
        <xdr:cNvPr id="1677" name="Imagen 1676" descr="Ver detalle">
          <a:hlinkClick xmlns:r="http://schemas.openxmlformats.org/officeDocument/2006/relationships" r:id="rId1619" tooltip="Ver detalle"/>
          <a:extLst>
            <a:ext uri="{FF2B5EF4-FFF2-40B4-BE49-F238E27FC236}">
              <a16:creationId xmlns:a16="http://schemas.microsoft.com/office/drawing/2014/main" id="{503EE205-E4D2-B719-C300-86E662C7B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9011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1327</xdr:row>
      <xdr:rowOff>0</xdr:rowOff>
    </xdr:from>
    <xdr:to>
      <xdr:col>13</xdr:col>
      <xdr:colOff>0</xdr:colOff>
      <xdr:row>1328</xdr:row>
      <xdr:rowOff>148590</xdr:rowOff>
    </xdr:to>
    <xdr:pic>
      <xdr:nvPicPr>
        <xdr:cNvPr id="1678" name="Imagen 1677" descr="Ver detalle">
          <a:hlinkClick xmlns:r="http://schemas.openxmlformats.org/officeDocument/2006/relationships" r:id="rId1620" tooltip="Ver detalle"/>
          <a:extLst>
            <a:ext uri="{FF2B5EF4-FFF2-40B4-BE49-F238E27FC236}">
              <a16:creationId xmlns:a16="http://schemas.microsoft.com/office/drawing/2014/main" id="{D1F74964-F8D5-7015-A58A-6C0127AF0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096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1328</xdr:row>
      <xdr:rowOff>0</xdr:rowOff>
    </xdr:from>
    <xdr:to>
      <xdr:col>13</xdr:col>
      <xdr:colOff>0</xdr:colOff>
      <xdr:row>1329</xdr:row>
      <xdr:rowOff>148590</xdr:rowOff>
    </xdr:to>
    <xdr:pic>
      <xdr:nvPicPr>
        <xdr:cNvPr id="1679" name="Imagen 1678" descr="Ver detalle">
          <a:hlinkClick xmlns:r="http://schemas.openxmlformats.org/officeDocument/2006/relationships" r:id="rId1621" tooltip="Ver detalle"/>
          <a:extLst>
            <a:ext uri="{FF2B5EF4-FFF2-40B4-BE49-F238E27FC236}">
              <a16:creationId xmlns:a16="http://schemas.microsoft.com/office/drawing/2014/main" id="{A05EAE05-89B6-707C-49E9-EEB19CD10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226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1323</xdr:row>
      <xdr:rowOff>0</xdr:rowOff>
    </xdr:from>
    <xdr:to>
      <xdr:col>13</xdr:col>
      <xdr:colOff>0</xdr:colOff>
      <xdr:row>1324</xdr:row>
      <xdr:rowOff>148590</xdr:rowOff>
    </xdr:to>
    <xdr:pic>
      <xdr:nvPicPr>
        <xdr:cNvPr id="1680" name="Imagen 1679" descr="Ver detalle">
          <a:hlinkClick xmlns:r="http://schemas.openxmlformats.org/officeDocument/2006/relationships" r:id="rId1622" tooltip="Ver detalle"/>
          <a:extLst>
            <a:ext uri="{FF2B5EF4-FFF2-40B4-BE49-F238E27FC236}">
              <a16:creationId xmlns:a16="http://schemas.microsoft.com/office/drawing/2014/main" id="{1E5FB2C4-2B2B-AB94-4BEA-8CF55E73D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356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1324</xdr:row>
      <xdr:rowOff>0</xdr:rowOff>
    </xdr:from>
    <xdr:to>
      <xdr:col>13</xdr:col>
      <xdr:colOff>0</xdr:colOff>
      <xdr:row>1325</xdr:row>
      <xdr:rowOff>148590</xdr:rowOff>
    </xdr:to>
    <xdr:pic>
      <xdr:nvPicPr>
        <xdr:cNvPr id="1681" name="Imagen 1680" descr="Ver detalle">
          <a:hlinkClick xmlns:r="http://schemas.openxmlformats.org/officeDocument/2006/relationships" r:id="rId1623" tooltip="Ver detalle"/>
          <a:extLst>
            <a:ext uri="{FF2B5EF4-FFF2-40B4-BE49-F238E27FC236}">
              <a16:creationId xmlns:a16="http://schemas.microsoft.com/office/drawing/2014/main" id="{D06E6B49-1D1E-9BF6-7C6A-F623C47CB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551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1319</xdr:row>
      <xdr:rowOff>0</xdr:rowOff>
    </xdr:from>
    <xdr:to>
      <xdr:col>13</xdr:col>
      <xdr:colOff>0</xdr:colOff>
      <xdr:row>1320</xdr:row>
      <xdr:rowOff>148590</xdr:rowOff>
    </xdr:to>
    <xdr:pic>
      <xdr:nvPicPr>
        <xdr:cNvPr id="1682" name="Imagen 1681" descr="Ver detalle">
          <a:hlinkClick xmlns:r="http://schemas.openxmlformats.org/officeDocument/2006/relationships" r:id="rId1624" tooltip="Ver detalle"/>
          <a:extLst>
            <a:ext uri="{FF2B5EF4-FFF2-40B4-BE49-F238E27FC236}">
              <a16:creationId xmlns:a16="http://schemas.microsoft.com/office/drawing/2014/main" id="{34DAA78B-296D-4E14-077F-F0E54CDAA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746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1320</xdr:row>
      <xdr:rowOff>0</xdr:rowOff>
    </xdr:from>
    <xdr:to>
      <xdr:col>13</xdr:col>
      <xdr:colOff>0</xdr:colOff>
      <xdr:row>1321</xdr:row>
      <xdr:rowOff>148590</xdr:rowOff>
    </xdr:to>
    <xdr:pic>
      <xdr:nvPicPr>
        <xdr:cNvPr id="1683" name="Imagen 1682" descr="Ver detalle">
          <a:hlinkClick xmlns:r="http://schemas.openxmlformats.org/officeDocument/2006/relationships" r:id="rId1625" tooltip="Ver detalle"/>
          <a:extLst>
            <a:ext uri="{FF2B5EF4-FFF2-40B4-BE49-F238E27FC236}">
              <a16:creationId xmlns:a16="http://schemas.microsoft.com/office/drawing/2014/main" id="{2715B56A-1D3F-3854-5FC1-3EFB2C313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942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1318</xdr:row>
      <xdr:rowOff>0</xdr:rowOff>
    </xdr:from>
    <xdr:to>
      <xdr:col>13</xdr:col>
      <xdr:colOff>0</xdr:colOff>
      <xdr:row>1319</xdr:row>
      <xdr:rowOff>148590</xdr:rowOff>
    </xdr:to>
    <xdr:pic>
      <xdr:nvPicPr>
        <xdr:cNvPr id="1684" name="Imagen 1683" descr="Ver detalle">
          <a:hlinkClick xmlns:r="http://schemas.openxmlformats.org/officeDocument/2006/relationships" r:id="rId1626" tooltip="Ver detalle"/>
          <a:extLst>
            <a:ext uri="{FF2B5EF4-FFF2-40B4-BE49-F238E27FC236}">
              <a16:creationId xmlns:a16="http://schemas.microsoft.com/office/drawing/2014/main" id="{DF89D66F-59B4-43D6-B651-70380AFF4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1371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1316</xdr:row>
      <xdr:rowOff>0</xdr:rowOff>
    </xdr:from>
    <xdr:to>
      <xdr:col>13</xdr:col>
      <xdr:colOff>0</xdr:colOff>
      <xdr:row>1317</xdr:row>
      <xdr:rowOff>148590</xdr:rowOff>
    </xdr:to>
    <xdr:pic>
      <xdr:nvPicPr>
        <xdr:cNvPr id="1685" name="Imagen 1684" descr="Ver detalle">
          <a:hlinkClick xmlns:r="http://schemas.openxmlformats.org/officeDocument/2006/relationships" r:id="rId1627" tooltip="Ver detalle"/>
          <a:extLst>
            <a:ext uri="{FF2B5EF4-FFF2-40B4-BE49-F238E27FC236}">
              <a16:creationId xmlns:a16="http://schemas.microsoft.com/office/drawing/2014/main" id="{2CB520DA-B702-95DB-C937-50792D1A1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3321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1317</xdr:row>
      <xdr:rowOff>0</xdr:rowOff>
    </xdr:from>
    <xdr:to>
      <xdr:col>13</xdr:col>
      <xdr:colOff>0</xdr:colOff>
      <xdr:row>1318</xdr:row>
      <xdr:rowOff>148590</xdr:rowOff>
    </xdr:to>
    <xdr:pic>
      <xdr:nvPicPr>
        <xdr:cNvPr id="1686" name="Imagen 1685" descr="Ver detalle">
          <a:hlinkClick xmlns:r="http://schemas.openxmlformats.org/officeDocument/2006/relationships" r:id="rId1628" tooltip="Ver detalle"/>
          <a:extLst>
            <a:ext uri="{FF2B5EF4-FFF2-40B4-BE49-F238E27FC236}">
              <a16:creationId xmlns:a16="http://schemas.microsoft.com/office/drawing/2014/main" id="{918DFD27-CB57-AE0B-C275-551671981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52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1313</xdr:row>
      <xdr:rowOff>0</xdr:rowOff>
    </xdr:from>
    <xdr:to>
      <xdr:col>13</xdr:col>
      <xdr:colOff>0</xdr:colOff>
      <xdr:row>1314</xdr:row>
      <xdr:rowOff>148590</xdr:rowOff>
    </xdr:to>
    <xdr:pic>
      <xdr:nvPicPr>
        <xdr:cNvPr id="1687" name="Imagen 1686" descr="Ver detalle">
          <a:hlinkClick xmlns:r="http://schemas.openxmlformats.org/officeDocument/2006/relationships" r:id="rId1629" tooltip="Ver detalle"/>
          <a:extLst>
            <a:ext uri="{FF2B5EF4-FFF2-40B4-BE49-F238E27FC236}">
              <a16:creationId xmlns:a16="http://schemas.microsoft.com/office/drawing/2014/main" id="{2A343E24-E688-0C0C-1143-A7A5F4F19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618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1315</xdr:row>
      <xdr:rowOff>0</xdr:rowOff>
    </xdr:from>
    <xdr:to>
      <xdr:col>13</xdr:col>
      <xdr:colOff>0</xdr:colOff>
      <xdr:row>1316</xdr:row>
      <xdr:rowOff>148590</xdr:rowOff>
    </xdr:to>
    <xdr:pic>
      <xdr:nvPicPr>
        <xdr:cNvPr id="1688" name="Imagen 1687" descr="Ver detalle">
          <a:hlinkClick xmlns:r="http://schemas.openxmlformats.org/officeDocument/2006/relationships" r:id="rId1630" tooltip="Ver detalle"/>
          <a:extLst>
            <a:ext uri="{FF2B5EF4-FFF2-40B4-BE49-F238E27FC236}">
              <a16:creationId xmlns:a16="http://schemas.microsoft.com/office/drawing/2014/main" id="{6D1D01F5-B54D-A608-4042-36EDB9D6B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813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1314</xdr:row>
      <xdr:rowOff>0</xdr:rowOff>
    </xdr:from>
    <xdr:to>
      <xdr:col>13</xdr:col>
      <xdr:colOff>0</xdr:colOff>
      <xdr:row>1315</xdr:row>
      <xdr:rowOff>148590</xdr:rowOff>
    </xdr:to>
    <xdr:pic>
      <xdr:nvPicPr>
        <xdr:cNvPr id="1689" name="Imagen 1688" descr="Ver detalle">
          <a:hlinkClick xmlns:r="http://schemas.openxmlformats.org/officeDocument/2006/relationships" r:id="rId1631" tooltip="Ver detalle"/>
          <a:extLst>
            <a:ext uri="{FF2B5EF4-FFF2-40B4-BE49-F238E27FC236}">
              <a16:creationId xmlns:a16="http://schemas.microsoft.com/office/drawing/2014/main" id="{C5319A89-4867-FA62-0EA0-13C6E4A2D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008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1350</xdr:row>
      <xdr:rowOff>0</xdr:rowOff>
    </xdr:from>
    <xdr:to>
      <xdr:col>13</xdr:col>
      <xdr:colOff>0</xdr:colOff>
      <xdr:row>1351</xdr:row>
      <xdr:rowOff>148590</xdr:rowOff>
    </xdr:to>
    <xdr:pic>
      <xdr:nvPicPr>
        <xdr:cNvPr id="1690" name="Imagen 1689" descr="Ver detalle">
          <a:hlinkClick xmlns:r="http://schemas.openxmlformats.org/officeDocument/2006/relationships" r:id="rId1632" tooltip="Ver detalle"/>
          <a:extLst>
            <a:ext uri="{FF2B5EF4-FFF2-40B4-BE49-F238E27FC236}">
              <a16:creationId xmlns:a16="http://schemas.microsoft.com/office/drawing/2014/main" id="{D47A7EB5-4005-4A9A-1637-5F8FFBB2E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203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1352</xdr:row>
      <xdr:rowOff>0</xdr:rowOff>
    </xdr:from>
    <xdr:to>
      <xdr:col>13</xdr:col>
      <xdr:colOff>0</xdr:colOff>
      <xdr:row>1353</xdr:row>
      <xdr:rowOff>114300</xdr:rowOff>
    </xdr:to>
    <xdr:pic>
      <xdr:nvPicPr>
        <xdr:cNvPr id="1691" name="Imagen 1690" descr="Ver detalle">
          <a:hlinkClick xmlns:r="http://schemas.openxmlformats.org/officeDocument/2006/relationships" r:id="rId1633" tooltip="Ver detalle"/>
          <a:extLst>
            <a:ext uri="{FF2B5EF4-FFF2-40B4-BE49-F238E27FC236}">
              <a16:creationId xmlns:a16="http://schemas.microsoft.com/office/drawing/2014/main" id="{57094FA0-A1CF-DF54-64F1-FF9294760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594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1321</xdr:row>
      <xdr:rowOff>0</xdr:rowOff>
    </xdr:from>
    <xdr:to>
      <xdr:col>13</xdr:col>
      <xdr:colOff>0</xdr:colOff>
      <xdr:row>1322</xdr:row>
      <xdr:rowOff>148590</xdr:rowOff>
    </xdr:to>
    <xdr:pic>
      <xdr:nvPicPr>
        <xdr:cNvPr id="1692" name="Imagen 1691" descr="Ver detalle">
          <a:hlinkClick xmlns:r="http://schemas.openxmlformats.org/officeDocument/2006/relationships" r:id="rId1634" tooltip="Ver detalle"/>
          <a:extLst>
            <a:ext uri="{FF2B5EF4-FFF2-40B4-BE49-F238E27FC236}">
              <a16:creationId xmlns:a16="http://schemas.microsoft.com/office/drawing/2014/main" id="{24CEE27F-AE52-6192-4557-AB7BB3390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7891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1325</xdr:row>
      <xdr:rowOff>0</xdr:rowOff>
    </xdr:from>
    <xdr:to>
      <xdr:col>13</xdr:col>
      <xdr:colOff>0</xdr:colOff>
      <xdr:row>1326</xdr:row>
      <xdr:rowOff>148590</xdr:rowOff>
    </xdr:to>
    <xdr:pic>
      <xdr:nvPicPr>
        <xdr:cNvPr id="1693" name="Imagen 1692" descr="Ver detalle">
          <a:hlinkClick xmlns:r="http://schemas.openxmlformats.org/officeDocument/2006/relationships" r:id="rId1635" tooltip="Ver detalle"/>
          <a:extLst>
            <a:ext uri="{FF2B5EF4-FFF2-40B4-BE49-F238E27FC236}">
              <a16:creationId xmlns:a16="http://schemas.microsoft.com/office/drawing/2014/main" id="{44BE2AE1-15EC-7BC9-BD39-8F1135905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984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1322</xdr:row>
      <xdr:rowOff>0</xdr:rowOff>
    </xdr:from>
    <xdr:to>
      <xdr:col>13</xdr:col>
      <xdr:colOff>0</xdr:colOff>
      <xdr:row>1323</xdr:row>
      <xdr:rowOff>148590</xdr:rowOff>
    </xdr:to>
    <xdr:pic>
      <xdr:nvPicPr>
        <xdr:cNvPr id="1694" name="Imagen 1693" descr="Ver detalle">
          <a:hlinkClick xmlns:r="http://schemas.openxmlformats.org/officeDocument/2006/relationships" r:id="rId1636" tooltip="Ver detalle"/>
          <a:extLst>
            <a:ext uri="{FF2B5EF4-FFF2-40B4-BE49-F238E27FC236}">
              <a16:creationId xmlns:a16="http://schemas.microsoft.com/office/drawing/2014/main" id="{183D3B99-9199-3750-0A28-41B910EF87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1144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1337</xdr:row>
      <xdr:rowOff>0</xdr:rowOff>
    </xdr:from>
    <xdr:to>
      <xdr:col>13</xdr:col>
      <xdr:colOff>0</xdr:colOff>
      <xdr:row>1338</xdr:row>
      <xdr:rowOff>148590</xdr:rowOff>
    </xdr:to>
    <xdr:pic>
      <xdr:nvPicPr>
        <xdr:cNvPr id="1695" name="Imagen 1694" descr="Ver detalle">
          <a:hlinkClick xmlns:r="http://schemas.openxmlformats.org/officeDocument/2006/relationships" r:id="rId1637" tooltip="Ver detalle"/>
          <a:extLst>
            <a:ext uri="{FF2B5EF4-FFF2-40B4-BE49-F238E27FC236}">
              <a16:creationId xmlns:a16="http://schemas.microsoft.com/office/drawing/2014/main" id="{00879CEC-14B2-F1A5-C3DF-5E93558A0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309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1342</xdr:row>
      <xdr:rowOff>0</xdr:rowOff>
    </xdr:from>
    <xdr:to>
      <xdr:col>13</xdr:col>
      <xdr:colOff>0</xdr:colOff>
      <xdr:row>1343</xdr:row>
      <xdr:rowOff>148590</xdr:rowOff>
    </xdr:to>
    <xdr:pic>
      <xdr:nvPicPr>
        <xdr:cNvPr id="1696" name="Imagen 1695" descr="Ver detalle">
          <a:hlinkClick xmlns:r="http://schemas.openxmlformats.org/officeDocument/2006/relationships" r:id="rId1638" tooltip="Ver detalle"/>
          <a:extLst>
            <a:ext uri="{FF2B5EF4-FFF2-40B4-BE49-F238E27FC236}">
              <a16:creationId xmlns:a16="http://schemas.microsoft.com/office/drawing/2014/main" id="{06DACE9E-5D8C-6CE7-A644-4DCBEF0C7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504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1343</xdr:row>
      <xdr:rowOff>0</xdr:rowOff>
    </xdr:from>
    <xdr:to>
      <xdr:col>13</xdr:col>
      <xdr:colOff>0</xdr:colOff>
      <xdr:row>1344</xdr:row>
      <xdr:rowOff>148590</xdr:rowOff>
    </xdr:to>
    <xdr:pic>
      <xdr:nvPicPr>
        <xdr:cNvPr id="1697" name="Imagen 1696" descr="Ver detalle">
          <a:hlinkClick xmlns:r="http://schemas.openxmlformats.org/officeDocument/2006/relationships" r:id="rId1639" tooltip="Ver detalle"/>
          <a:extLst>
            <a:ext uri="{FF2B5EF4-FFF2-40B4-BE49-F238E27FC236}">
              <a16:creationId xmlns:a16="http://schemas.microsoft.com/office/drawing/2014/main" id="{CA1C9AC7-DC3A-AD25-09C7-F95902886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699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1344</xdr:row>
      <xdr:rowOff>0</xdr:rowOff>
    </xdr:from>
    <xdr:to>
      <xdr:col>13</xdr:col>
      <xdr:colOff>0</xdr:colOff>
      <xdr:row>1345</xdr:row>
      <xdr:rowOff>148590</xdr:rowOff>
    </xdr:to>
    <xdr:pic>
      <xdr:nvPicPr>
        <xdr:cNvPr id="1698" name="Imagen 1697" descr="Ver detalle">
          <a:hlinkClick xmlns:r="http://schemas.openxmlformats.org/officeDocument/2006/relationships" r:id="rId1640" tooltip="Ver detalle"/>
          <a:extLst>
            <a:ext uri="{FF2B5EF4-FFF2-40B4-BE49-F238E27FC236}">
              <a16:creationId xmlns:a16="http://schemas.microsoft.com/office/drawing/2014/main" id="{D16768BA-4A31-49CC-62E6-8317415F7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894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1345</xdr:row>
      <xdr:rowOff>0</xdr:rowOff>
    </xdr:from>
    <xdr:to>
      <xdr:col>13</xdr:col>
      <xdr:colOff>0</xdr:colOff>
      <xdr:row>1346</xdr:row>
      <xdr:rowOff>148590</xdr:rowOff>
    </xdr:to>
    <xdr:pic>
      <xdr:nvPicPr>
        <xdr:cNvPr id="1699" name="Imagen 1698" descr="Ver detalle">
          <a:hlinkClick xmlns:r="http://schemas.openxmlformats.org/officeDocument/2006/relationships" r:id="rId1641" tooltip="Ver detalle"/>
          <a:extLst>
            <a:ext uri="{FF2B5EF4-FFF2-40B4-BE49-F238E27FC236}">
              <a16:creationId xmlns:a16="http://schemas.microsoft.com/office/drawing/2014/main" id="{F04BE9FB-43F1-5EBE-414A-6C16D4E56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089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1346</xdr:row>
      <xdr:rowOff>0</xdr:rowOff>
    </xdr:from>
    <xdr:to>
      <xdr:col>13</xdr:col>
      <xdr:colOff>0</xdr:colOff>
      <xdr:row>1347</xdr:row>
      <xdr:rowOff>148590</xdr:rowOff>
    </xdr:to>
    <xdr:pic>
      <xdr:nvPicPr>
        <xdr:cNvPr id="1700" name="Imagen 1699" descr="Ver detalle">
          <a:hlinkClick xmlns:r="http://schemas.openxmlformats.org/officeDocument/2006/relationships" r:id="rId1642" tooltip="Ver detalle"/>
          <a:extLst>
            <a:ext uri="{FF2B5EF4-FFF2-40B4-BE49-F238E27FC236}">
              <a16:creationId xmlns:a16="http://schemas.microsoft.com/office/drawing/2014/main" id="{587F38DF-4718-0D12-A6E0-13E2DCF51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284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1347</xdr:row>
      <xdr:rowOff>0</xdr:rowOff>
    </xdr:from>
    <xdr:to>
      <xdr:col>13</xdr:col>
      <xdr:colOff>0</xdr:colOff>
      <xdr:row>1348</xdr:row>
      <xdr:rowOff>148590</xdr:rowOff>
    </xdr:to>
    <xdr:pic>
      <xdr:nvPicPr>
        <xdr:cNvPr id="1701" name="Imagen 1700" descr="Ver detalle">
          <a:hlinkClick xmlns:r="http://schemas.openxmlformats.org/officeDocument/2006/relationships" r:id="rId1643" tooltip="Ver detalle"/>
          <a:extLst>
            <a:ext uri="{FF2B5EF4-FFF2-40B4-BE49-F238E27FC236}">
              <a16:creationId xmlns:a16="http://schemas.microsoft.com/office/drawing/2014/main" id="{82E9BB7A-2048-6A25-D722-02D67EA25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480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1348</xdr:row>
      <xdr:rowOff>0</xdr:rowOff>
    </xdr:from>
    <xdr:to>
      <xdr:col>13</xdr:col>
      <xdr:colOff>0</xdr:colOff>
      <xdr:row>1349</xdr:row>
      <xdr:rowOff>148590</xdr:rowOff>
    </xdr:to>
    <xdr:pic>
      <xdr:nvPicPr>
        <xdr:cNvPr id="1702" name="Imagen 1701" descr="Ver detalle">
          <a:hlinkClick xmlns:r="http://schemas.openxmlformats.org/officeDocument/2006/relationships" r:id="rId1644" tooltip="Ver detalle"/>
          <a:extLst>
            <a:ext uri="{FF2B5EF4-FFF2-40B4-BE49-F238E27FC236}">
              <a16:creationId xmlns:a16="http://schemas.microsoft.com/office/drawing/2014/main" id="{9B6B8A8D-B443-995A-10CC-2146A05D9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6750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1403</xdr:row>
      <xdr:rowOff>0</xdr:rowOff>
    </xdr:from>
    <xdr:to>
      <xdr:col>13</xdr:col>
      <xdr:colOff>0</xdr:colOff>
      <xdr:row>1404</xdr:row>
      <xdr:rowOff>148590</xdr:rowOff>
    </xdr:to>
    <xdr:pic>
      <xdr:nvPicPr>
        <xdr:cNvPr id="1703" name="Imagen 1702" descr="Ver detalle">
          <a:hlinkClick xmlns:r="http://schemas.openxmlformats.org/officeDocument/2006/relationships" r:id="rId1645" tooltip="Ver detalle"/>
          <a:extLst>
            <a:ext uri="{FF2B5EF4-FFF2-40B4-BE49-F238E27FC236}">
              <a16:creationId xmlns:a16="http://schemas.microsoft.com/office/drawing/2014/main" id="{B3227248-185D-6638-3BF0-85C00E390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006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1404</xdr:row>
      <xdr:rowOff>0</xdr:rowOff>
    </xdr:from>
    <xdr:to>
      <xdr:col>13</xdr:col>
      <xdr:colOff>0</xdr:colOff>
      <xdr:row>1405</xdr:row>
      <xdr:rowOff>148590</xdr:rowOff>
    </xdr:to>
    <xdr:pic>
      <xdr:nvPicPr>
        <xdr:cNvPr id="1704" name="Imagen 1703" descr="Ver detalle">
          <a:hlinkClick xmlns:r="http://schemas.openxmlformats.org/officeDocument/2006/relationships" r:id="rId1646" tooltip="Ver detalle"/>
          <a:extLst>
            <a:ext uri="{FF2B5EF4-FFF2-40B4-BE49-F238E27FC236}">
              <a16:creationId xmlns:a16="http://schemas.microsoft.com/office/drawing/2014/main" id="{6DB3F42C-CBA7-4754-47EF-50434FB71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2816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1398</xdr:row>
      <xdr:rowOff>0</xdr:rowOff>
    </xdr:from>
    <xdr:to>
      <xdr:col>13</xdr:col>
      <xdr:colOff>0</xdr:colOff>
      <xdr:row>1399</xdr:row>
      <xdr:rowOff>148590</xdr:rowOff>
    </xdr:to>
    <xdr:pic>
      <xdr:nvPicPr>
        <xdr:cNvPr id="1705" name="Imagen 1704" descr="Ver detalle">
          <a:hlinkClick xmlns:r="http://schemas.openxmlformats.org/officeDocument/2006/relationships" r:id="rId1647" tooltip="Ver detalle"/>
          <a:extLst>
            <a:ext uri="{FF2B5EF4-FFF2-40B4-BE49-F238E27FC236}">
              <a16:creationId xmlns:a16="http://schemas.microsoft.com/office/drawing/2014/main" id="{752611F9-D0DE-C4F7-9182-77CE1B709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556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1399</xdr:row>
      <xdr:rowOff>0</xdr:rowOff>
    </xdr:from>
    <xdr:to>
      <xdr:col>13</xdr:col>
      <xdr:colOff>0</xdr:colOff>
      <xdr:row>1400</xdr:row>
      <xdr:rowOff>148590</xdr:rowOff>
    </xdr:to>
    <xdr:pic>
      <xdr:nvPicPr>
        <xdr:cNvPr id="1706" name="Imagen 1705" descr="Ver detalle">
          <a:hlinkClick xmlns:r="http://schemas.openxmlformats.org/officeDocument/2006/relationships" r:id="rId1648" tooltip="Ver detalle"/>
          <a:extLst>
            <a:ext uri="{FF2B5EF4-FFF2-40B4-BE49-F238E27FC236}">
              <a16:creationId xmlns:a16="http://schemas.microsoft.com/office/drawing/2014/main" id="{A59F5EF0-E1DD-BBF1-392D-7FA8EA01D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831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1408</xdr:row>
      <xdr:rowOff>0</xdr:rowOff>
    </xdr:from>
    <xdr:to>
      <xdr:col>13</xdr:col>
      <xdr:colOff>0</xdr:colOff>
      <xdr:row>1409</xdr:row>
      <xdr:rowOff>114300</xdr:rowOff>
    </xdr:to>
    <xdr:pic>
      <xdr:nvPicPr>
        <xdr:cNvPr id="1707" name="Imagen 1706" descr="Ver detalle">
          <a:hlinkClick xmlns:r="http://schemas.openxmlformats.org/officeDocument/2006/relationships" r:id="rId1649" tooltip="Ver detalle"/>
          <a:extLst>
            <a:ext uri="{FF2B5EF4-FFF2-40B4-BE49-F238E27FC236}">
              <a16:creationId xmlns:a16="http://schemas.microsoft.com/office/drawing/2014/main" id="{9E5510EE-08A7-8367-872C-683F836FF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1068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1407</xdr:row>
      <xdr:rowOff>0</xdr:rowOff>
    </xdr:from>
    <xdr:to>
      <xdr:col>13</xdr:col>
      <xdr:colOff>0</xdr:colOff>
      <xdr:row>1408</xdr:row>
      <xdr:rowOff>148590</xdr:rowOff>
    </xdr:to>
    <xdr:pic>
      <xdr:nvPicPr>
        <xdr:cNvPr id="1708" name="Imagen 1707" descr="Ver detalle">
          <a:hlinkClick xmlns:r="http://schemas.openxmlformats.org/officeDocument/2006/relationships" r:id="rId1650" tooltip="Ver detalle"/>
          <a:extLst>
            <a:ext uri="{FF2B5EF4-FFF2-40B4-BE49-F238E27FC236}">
              <a16:creationId xmlns:a16="http://schemas.microsoft.com/office/drawing/2014/main" id="{5FF8D90D-CFF4-0AD0-5B0B-0AE2DED5A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3819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1406</xdr:row>
      <xdr:rowOff>0</xdr:rowOff>
    </xdr:from>
    <xdr:to>
      <xdr:col>13</xdr:col>
      <xdr:colOff>0</xdr:colOff>
      <xdr:row>1407</xdr:row>
      <xdr:rowOff>148590</xdr:rowOff>
    </xdr:to>
    <xdr:pic>
      <xdr:nvPicPr>
        <xdr:cNvPr id="1709" name="Imagen 1708" descr="Ver detalle">
          <a:hlinkClick xmlns:r="http://schemas.openxmlformats.org/officeDocument/2006/relationships" r:id="rId1651" tooltip="Ver detalle"/>
          <a:extLst>
            <a:ext uri="{FF2B5EF4-FFF2-40B4-BE49-F238E27FC236}">
              <a16:creationId xmlns:a16="http://schemas.microsoft.com/office/drawing/2014/main" id="{DCC3E1A5-C6F6-FB2A-D4EC-4A35416FB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657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1405</xdr:row>
      <xdr:rowOff>0</xdr:rowOff>
    </xdr:from>
    <xdr:to>
      <xdr:col>13</xdr:col>
      <xdr:colOff>0</xdr:colOff>
      <xdr:row>1406</xdr:row>
      <xdr:rowOff>148590</xdr:rowOff>
    </xdr:to>
    <xdr:pic>
      <xdr:nvPicPr>
        <xdr:cNvPr id="1710" name="Imagen 1709" descr="Ver detalle">
          <a:hlinkClick xmlns:r="http://schemas.openxmlformats.org/officeDocument/2006/relationships" r:id="rId1652" tooltip="Ver detalle"/>
          <a:extLst>
            <a:ext uri="{FF2B5EF4-FFF2-40B4-BE49-F238E27FC236}">
              <a16:creationId xmlns:a16="http://schemas.microsoft.com/office/drawing/2014/main" id="{4B897E12-A9F8-556D-E793-4F331BFD6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932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1395</xdr:row>
      <xdr:rowOff>0</xdr:rowOff>
    </xdr:from>
    <xdr:to>
      <xdr:col>13</xdr:col>
      <xdr:colOff>0</xdr:colOff>
      <xdr:row>1396</xdr:row>
      <xdr:rowOff>148590</xdr:rowOff>
    </xdr:to>
    <xdr:pic>
      <xdr:nvPicPr>
        <xdr:cNvPr id="1711" name="Imagen 1710" descr="Ver detalle">
          <a:hlinkClick xmlns:r="http://schemas.openxmlformats.org/officeDocument/2006/relationships" r:id="rId1653" tooltip="Ver detalle"/>
          <a:extLst>
            <a:ext uri="{FF2B5EF4-FFF2-40B4-BE49-F238E27FC236}">
              <a16:creationId xmlns:a16="http://schemas.microsoft.com/office/drawing/2014/main" id="{319392B2-E8E9-457D-A7AB-ADB6AEFEB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207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1394</xdr:row>
      <xdr:rowOff>0</xdr:rowOff>
    </xdr:from>
    <xdr:to>
      <xdr:col>13</xdr:col>
      <xdr:colOff>0</xdr:colOff>
      <xdr:row>1395</xdr:row>
      <xdr:rowOff>148590</xdr:rowOff>
    </xdr:to>
    <xdr:pic>
      <xdr:nvPicPr>
        <xdr:cNvPr id="1712" name="Imagen 1711" descr="Ver detalle">
          <a:hlinkClick xmlns:r="http://schemas.openxmlformats.org/officeDocument/2006/relationships" r:id="rId1654" tooltip="Ver detalle"/>
          <a:extLst>
            <a:ext uri="{FF2B5EF4-FFF2-40B4-BE49-F238E27FC236}">
              <a16:creationId xmlns:a16="http://schemas.microsoft.com/office/drawing/2014/main" id="{528019B9-9A89-37E6-FBBE-309E53FB6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4822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1393</xdr:row>
      <xdr:rowOff>0</xdr:rowOff>
    </xdr:from>
    <xdr:to>
      <xdr:col>13</xdr:col>
      <xdr:colOff>0</xdr:colOff>
      <xdr:row>1394</xdr:row>
      <xdr:rowOff>148590</xdr:rowOff>
    </xdr:to>
    <xdr:pic>
      <xdr:nvPicPr>
        <xdr:cNvPr id="1713" name="Imagen 1712" descr="Ver detalle">
          <a:hlinkClick xmlns:r="http://schemas.openxmlformats.org/officeDocument/2006/relationships" r:id="rId1655" tooltip="Ver detalle"/>
          <a:extLst>
            <a:ext uri="{FF2B5EF4-FFF2-40B4-BE49-F238E27FC236}">
              <a16:creationId xmlns:a16="http://schemas.microsoft.com/office/drawing/2014/main" id="{4F16B034-EB63-4AFA-F6B0-FCE9CF01C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7573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1397</xdr:row>
      <xdr:rowOff>0</xdr:rowOff>
    </xdr:from>
    <xdr:to>
      <xdr:col>13</xdr:col>
      <xdr:colOff>0</xdr:colOff>
      <xdr:row>1398</xdr:row>
      <xdr:rowOff>148590</xdr:rowOff>
    </xdr:to>
    <xdr:pic>
      <xdr:nvPicPr>
        <xdr:cNvPr id="1714" name="Imagen 1713" descr="Ver detalle">
          <a:hlinkClick xmlns:r="http://schemas.openxmlformats.org/officeDocument/2006/relationships" r:id="rId1656" tooltip="Ver detalle"/>
          <a:extLst>
            <a:ext uri="{FF2B5EF4-FFF2-40B4-BE49-F238E27FC236}">
              <a16:creationId xmlns:a16="http://schemas.microsoft.com/office/drawing/2014/main" id="{3D5128DF-0609-EA59-21B3-69ED277A3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032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1396</xdr:row>
      <xdr:rowOff>0</xdr:rowOff>
    </xdr:from>
    <xdr:to>
      <xdr:col>13</xdr:col>
      <xdr:colOff>0</xdr:colOff>
      <xdr:row>1397</xdr:row>
      <xdr:rowOff>148590</xdr:rowOff>
    </xdr:to>
    <xdr:pic>
      <xdr:nvPicPr>
        <xdr:cNvPr id="1715" name="Imagen 1714" descr="Ver detalle">
          <a:hlinkClick xmlns:r="http://schemas.openxmlformats.org/officeDocument/2006/relationships" r:id="rId1657" tooltip="Ver detalle"/>
          <a:extLst>
            <a:ext uri="{FF2B5EF4-FFF2-40B4-BE49-F238E27FC236}">
              <a16:creationId xmlns:a16="http://schemas.microsoft.com/office/drawing/2014/main" id="{C3E5C0C3-4A71-91DB-356D-8D4B9A320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307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1402</xdr:row>
      <xdr:rowOff>0</xdr:rowOff>
    </xdr:from>
    <xdr:to>
      <xdr:col>13</xdr:col>
      <xdr:colOff>0</xdr:colOff>
      <xdr:row>1403</xdr:row>
      <xdr:rowOff>148590</xdr:rowOff>
    </xdr:to>
    <xdr:pic>
      <xdr:nvPicPr>
        <xdr:cNvPr id="1716" name="Imagen 1715" descr="Ver detalle">
          <a:hlinkClick xmlns:r="http://schemas.openxmlformats.org/officeDocument/2006/relationships" r:id="rId1658" tooltip="Ver detalle"/>
          <a:extLst>
            <a:ext uri="{FF2B5EF4-FFF2-40B4-BE49-F238E27FC236}">
              <a16:creationId xmlns:a16="http://schemas.microsoft.com/office/drawing/2014/main" id="{9AA0601E-8925-A814-88F1-E14321CB2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582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1401</xdr:row>
      <xdr:rowOff>0</xdr:rowOff>
    </xdr:from>
    <xdr:to>
      <xdr:col>13</xdr:col>
      <xdr:colOff>0</xdr:colOff>
      <xdr:row>1402</xdr:row>
      <xdr:rowOff>148590</xdr:rowOff>
    </xdr:to>
    <xdr:pic>
      <xdr:nvPicPr>
        <xdr:cNvPr id="1717" name="Imagen 1716" descr="Ver detalle">
          <a:hlinkClick xmlns:r="http://schemas.openxmlformats.org/officeDocument/2006/relationships" r:id="rId1659" tooltip="Ver detalle"/>
          <a:extLst>
            <a:ext uri="{FF2B5EF4-FFF2-40B4-BE49-F238E27FC236}">
              <a16:creationId xmlns:a16="http://schemas.microsoft.com/office/drawing/2014/main" id="{1D696743-9E35-0EAD-856E-C378E7CAF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857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1400</xdr:row>
      <xdr:rowOff>0</xdr:rowOff>
    </xdr:from>
    <xdr:to>
      <xdr:col>13</xdr:col>
      <xdr:colOff>0</xdr:colOff>
      <xdr:row>1401</xdr:row>
      <xdr:rowOff>148590</xdr:rowOff>
    </xdr:to>
    <xdr:pic>
      <xdr:nvPicPr>
        <xdr:cNvPr id="1718" name="Imagen 1717" descr="Ver detalle">
          <a:hlinkClick xmlns:r="http://schemas.openxmlformats.org/officeDocument/2006/relationships" r:id="rId1660" tooltip="Ver detalle"/>
          <a:extLst>
            <a:ext uri="{FF2B5EF4-FFF2-40B4-BE49-F238E27FC236}">
              <a16:creationId xmlns:a16="http://schemas.microsoft.com/office/drawing/2014/main" id="{D36DE683-86E9-1846-1819-B76D2A8B2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132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1377</xdr:row>
      <xdr:rowOff>0</xdr:rowOff>
    </xdr:from>
    <xdr:to>
      <xdr:col>13</xdr:col>
      <xdr:colOff>0</xdr:colOff>
      <xdr:row>1378</xdr:row>
      <xdr:rowOff>148590</xdr:rowOff>
    </xdr:to>
    <xdr:pic>
      <xdr:nvPicPr>
        <xdr:cNvPr id="1719" name="Imagen 1718" descr="Ver detalle">
          <a:hlinkClick xmlns:r="http://schemas.openxmlformats.org/officeDocument/2006/relationships" r:id="rId1661" tooltip="Ver detalle"/>
          <a:extLst>
            <a:ext uri="{FF2B5EF4-FFF2-40B4-BE49-F238E27FC236}">
              <a16:creationId xmlns:a16="http://schemas.microsoft.com/office/drawing/2014/main" id="{95312C4F-9336-DBB1-F79A-20E8B93FBC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4078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1372</xdr:row>
      <xdr:rowOff>0</xdr:rowOff>
    </xdr:from>
    <xdr:to>
      <xdr:col>13</xdr:col>
      <xdr:colOff>0</xdr:colOff>
      <xdr:row>1373</xdr:row>
      <xdr:rowOff>148590</xdr:rowOff>
    </xdr:to>
    <xdr:pic>
      <xdr:nvPicPr>
        <xdr:cNvPr id="1720" name="Imagen 1719" descr="Ver detalle">
          <a:hlinkClick xmlns:r="http://schemas.openxmlformats.org/officeDocument/2006/relationships" r:id="rId1662" tooltip="Ver detalle"/>
          <a:extLst>
            <a:ext uri="{FF2B5EF4-FFF2-40B4-BE49-F238E27FC236}">
              <a16:creationId xmlns:a16="http://schemas.microsoft.com/office/drawing/2014/main" id="{2660E8B4-F44F-010B-985D-3B58910ED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6829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1376</xdr:row>
      <xdr:rowOff>0</xdr:rowOff>
    </xdr:from>
    <xdr:to>
      <xdr:col>13</xdr:col>
      <xdr:colOff>0</xdr:colOff>
      <xdr:row>1377</xdr:row>
      <xdr:rowOff>148590</xdr:rowOff>
    </xdr:to>
    <xdr:pic>
      <xdr:nvPicPr>
        <xdr:cNvPr id="1721" name="Imagen 1720" descr="Ver detalle">
          <a:hlinkClick xmlns:r="http://schemas.openxmlformats.org/officeDocument/2006/relationships" r:id="rId1663" tooltip="Ver detalle"/>
          <a:extLst>
            <a:ext uri="{FF2B5EF4-FFF2-40B4-BE49-F238E27FC236}">
              <a16:creationId xmlns:a16="http://schemas.microsoft.com/office/drawing/2014/main" id="{3DEA7481-7412-836C-2026-095FC418A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958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1375</xdr:row>
      <xdr:rowOff>0</xdr:rowOff>
    </xdr:from>
    <xdr:to>
      <xdr:col>13</xdr:col>
      <xdr:colOff>0</xdr:colOff>
      <xdr:row>1376</xdr:row>
      <xdr:rowOff>148590</xdr:rowOff>
    </xdr:to>
    <xdr:pic>
      <xdr:nvPicPr>
        <xdr:cNvPr id="1722" name="Imagen 1721" descr="Ver detalle">
          <a:hlinkClick xmlns:r="http://schemas.openxmlformats.org/officeDocument/2006/relationships" r:id="rId1664" tooltip="Ver detalle"/>
          <a:extLst>
            <a:ext uri="{FF2B5EF4-FFF2-40B4-BE49-F238E27FC236}">
              <a16:creationId xmlns:a16="http://schemas.microsoft.com/office/drawing/2014/main" id="{A0601C0D-C7E6-3E08-E4AF-9C06C47B4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233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1371</xdr:row>
      <xdr:rowOff>0</xdr:rowOff>
    </xdr:from>
    <xdr:to>
      <xdr:col>13</xdr:col>
      <xdr:colOff>0</xdr:colOff>
      <xdr:row>1372</xdr:row>
      <xdr:rowOff>148590</xdr:rowOff>
    </xdr:to>
    <xdr:pic>
      <xdr:nvPicPr>
        <xdr:cNvPr id="1723" name="Imagen 1722" descr="Ver detalle">
          <a:hlinkClick xmlns:r="http://schemas.openxmlformats.org/officeDocument/2006/relationships" r:id="rId1665" tooltip="Ver detalle"/>
          <a:extLst>
            <a:ext uri="{FF2B5EF4-FFF2-40B4-BE49-F238E27FC236}">
              <a16:creationId xmlns:a16="http://schemas.microsoft.com/office/drawing/2014/main" id="{06D9A8C9-2005-66E4-C0BE-063FED0BC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361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1373</xdr:row>
      <xdr:rowOff>0</xdr:rowOff>
    </xdr:from>
    <xdr:to>
      <xdr:col>13</xdr:col>
      <xdr:colOff>0</xdr:colOff>
      <xdr:row>1374</xdr:row>
      <xdr:rowOff>148590</xdr:rowOff>
    </xdr:to>
    <xdr:pic>
      <xdr:nvPicPr>
        <xdr:cNvPr id="1724" name="Imagen 1723" descr="Ver detalle">
          <a:hlinkClick xmlns:r="http://schemas.openxmlformats.org/officeDocument/2006/relationships" r:id="rId1666" tooltip="Ver detalle"/>
          <a:extLst>
            <a:ext uri="{FF2B5EF4-FFF2-40B4-BE49-F238E27FC236}">
              <a16:creationId xmlns:a16="http://schemas.microsoft.com/office/drawing/2014/main" id="{01B6C27F-1D9C-B1B3-96F1-EB335FCD9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6369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1369</xdr:row>
      <xdr:rowOff>0</xdr:rowOff>
    </xdr:from>
    <xdr:to>
      <xdr:col>13</xdr:col>
      <xdr:colOff>0</xdr:colOff>
      <xdr:row>1370</xdr:row>
      <xdr:rowOff>148590</xdr:rowOff>
    </xdr:to>
    <xdr:pic>
      <xdr:nvPicPr>
        <xdr:cNvPr id="1725" name="Imagen 1724" descr="Ver detalle">
          <a:hlinkClick xmlns:r="http://schemas.openxmlformats.org/officeDocument/2006/relationships" r:id="rId1667" tooltip="Ver detalle"/>
          <a:extLst>
            <a:ext uri="{FF2B5EF4-FFF2-40B4-BE49-F238E27FC236}">
              <a16:creationId xmlns:a16="http://schemas.microsoft.com/office/drawing/2014/main" id="{3DD965A0-10A0-B642-C668-6ED97FEA8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9120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1370</xdr:row>
      <xdr:rowOff>0</xdr:rowOff>
    </xdr:from>
    <xdr:to>
      <xdr:col>13</xdr:col>
      <xdr:colOff>0</xdr:colOff>
      <xdr:row>1371</xdr:row>
      <xdr:rowOff>148590</xdr:rowOff>
    </xdr:to>
    <xdr:pic>
      <xdr:nvPicPr>
        <xdr:cNvPr id="1726" name="Imagen 1725" descr="Ver detalle">
          <a:hlinkClick xmlns:r="http://schemas.openxmlformats.org/officeDocument/2006/relationships" r:id="rId1668" tooltip="Ver detalle"/>
          <a:extLst>
            <a:ext uri="{FF2B5EF4-FFF2-40B4-BE49-F238E27FC236}">
              <a16:creationId xmlns:a16="http://schemas.microsoft.com/office/drawing/2014/main" id="{A14508AA-41F7-A78A-C554-579CE8312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1871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1368</xdr:row>
      <xdr:rowOff>0</xdr:rowOff>
    </xdr:from>
    <xdr:to>
      <xdr:col>13</xdr:col>
      <xdr:colOff>0</xdr:colOff>
      <xdr:row>1369</xdr:row>
      <xdr:rowOff>148590</xdr:rowOff>
    </xdr:to>
    <xdr:pic>
      <xdr:nvPicPr>
        <xdr:cNvPr id="1727" name="Imagen 1726" descr="Ver detalle">
          <a:hlinkClick xmlns:r="http://schemas.openxmlformats.org/officeDocument/2006/relationships" r:id="rId1669" tooltip="Ver detalle"/>
          <a:extLst>
            <a:ext uri="{FF2B5EF4-FFF2-40B4-BE49-F238E27FC236}">
              <a16:creationId xmlns:a16="http://schemas.microsoft.com/office/drawing/2014/main" id="{D8E1351C-4FA8-680A-D2AE-62C6D232D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657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1378</xdr:row>
      <xdr:rowOff>0</xdr:rowOff>
    </xdr:from>
    <xdr:to>
      <xdr:col>13</xdr:col>
      <xdr:colOff>0</xdr:colOff>
      <xdr:row>1379</xdr:row>
      <xdr:rowOff>114300</xdr:rowOff>
    </xdr:to>
    <xdr:pic>
      <xdr:nvPicPr>
        <xdr:cNvPr id="1728" name="Imagen 1727" descr="Ver detalle">
          <a:hlinkClick xmlns:r="http://schemas.openxmlformats.org/officeDocument/2006/relationships" r:id="rId1670" tooltip="Ver detalle"/>
          <a:extLst>
            <a:ext uri="{FF2B5EF4-FFF2-40B4-BE49-F238E27FC236}">
              <a16:creationId xmlns:a16="http://schemas.microsoft.com/office/drawing/2014/main" id="{A6E06247-C1FE-DCEF-9FEA-DBF3758FE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852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1374</xdr:row>
      <xdr:rowOff>0</xdr:rowOff>
    </xdr:from>
    <xdr:to>
      <xdr:col>13</xdr:col>
      <xdr:colOff>0</xdr:colOff>
      <xdr:row>1375</xdr:row>
      <xdr:rowOff>148590</xdr:rowOff>
    </xdr:to>
    <xdr:pic>
      <xdr:nvPicPr>
        <xdr:cNvPr id="1729" name="Imagen 1728" descr="Ver detalle">
          <a:hlinkClick xmlns:r="http://schemas.openxmlformats.org/officeDocument/2006/relationships" r:id="rId1671" tooltip="Ver detalle"/>
          <a:extLst>
            <a:ext uri="{FF2B5EF4-FFF2-40B4-BE49-F238E27FC236}">
              <a16:creationId xmlns:a16="http://schemas.microsoft.com/office/drawing/2014/main" id="{83D0418B-5D0C-BAF4-F617-0DB75A93E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047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1392</xdr:row>
      <xdr:rowOff>0</xdr:rowOff>
    </xdr:from>
    <xdr:to>
      <xdr:col>13</xdr:col>
      <xdr:colOff>0</xdr:colOff>
      <xdr:row>1393</xdr:row>
      <xdr:rowOff>148590</xdr:rowOff>
    </xdr:to>
    <xdr:pic>
      <xdr:nvPicPr>
        <xdr:cNvPr id="1730" name="Imagen 1729" descr="Ver detalle">
          <a:hlinkClick xmlns:r="http://schemas.openxmlformats.org/officeDocument/2006/relationships" r:id="rId1672" tooltip="Ver detalle"/>
          <a:extLst>
            <a:ext uri="{FF2B5EF4-FFF2-40B4-BE49-F238E27FC236}">
              <a16:creationId xmlns:a16="http://schemas.microsoft.com/office/drawing/2014/main" id="{C352357C-493F-2626-FFB8-470168FDD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1388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1391</xdr:row>
      <xdr:rowOff>0</xdr:rowOff>
    </xdr:from>
    <xdr:to>
      <xdr:col>13</xdr:col>
      <xdr:colOff>0</xdr:colOff>
      <xdr:row>1392</xdr:row>
      <xdr:rowOff>148590</xdr:rowOff>
    </xdr:to>
    <xdr:pic>
      <xdr:nvPicPr>
        <xdr:cNvPr id="1731" name="Imagen 1730" descr="Ver detalle">
          <a:hlinkClick xmlns:r="http://schemas.openxmlformats.org/officeDocument/2006/relationships" r:id="rId1673" tooltip="Ver detalle"/>
          <a:extLst>
            <a:ext uri="{FF2B5EF4-FFF2-40B4-BE49-F238E27FC236}">
              <a16:creationId xmlns:a16="http://schemas.microsoft.com/office/drawing/2014/main" id="{F231FDBB-AEFE-003C-9FDF-9EA918583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333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1390</xdr:row>
      <xdr:rowOff>0</xdr:rowOff>
    </xdr:from>
    <xdr:to>
      <xdr:col>13</xdr:col>
      <xdr:colOff>0</xdr:colOff>
      <xdr:row>1391</xdr:row>
      <xdr:rowOff>148590</xdr:rowOff>
    </xdr:to>
    <xdr:pic>
      <xdr:nvPicPr>
        <xdr:cNvPr id="1732" name="Imagen 1731" descr="Ver detalle">
          <a:hlinkClick xmlns:r="http://schemas.openxmlformats.org/officeDocument/2006/relationships" r:id="rId1674" tooltip="Ver detalle"/>
          <a:extLst>
            <a:ext uri="{FF2B5EF4-FFF2-40B4-BE49-F238E27FC236}">
              <a16:creationId xmlns:a16="http://schemas.microsoft.com/office/drawing/2014/main" id="{89C9074C-DDE5-407F-1C7A-AE500EE20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529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1382</xdr:row>
      <xdr:rowOff>0</xdr:rowOff>
    </xdr:from>
    <xdr:to>
      <xdr:col>13</xdr:col>
      <xdr:colOff>0</xdr:colOff>
      <xdr:row>1383</xdr:row>
      <xdr:rowOff>148590</xdr:rowOff>
    </xdr:to>
    <xdr:pic>
      <xdr:nvPicPr>
        <xdr:cNvPr id="1733" name="Imagen 1732" descr="Ver detalle">
          <a:hlinkClick xmlns:r="http://schemas.openxmlformats.org/officeDocument/2006/relationships" r:id="rId1675" tooltip="Ver detalle"/>
          <a:extLst>
            <a:ext uri="{FF2B5EF4-FFF2-40B4-BE49-F238E27FC236}">
              <a16:creationId xmlns:a16="http://schemas.microsoft.com/office/drawing/2014/main" id="{F557EAD1-C69C-6D60-2D62-BB6C70DF6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724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1384</xdr:row>
      <xdr:rowOff>0</xdr:rowOff>
    </xdr:from>
    <xdr:to>
      <xdr:col>13</xdr:col>
      <xdr:colOff>0</xdr:colOff>
      <xdr:row>1385</xdr:row>
      <xdr:rowOff>148590</xdr:rowOff>
    </xdr:to>
    <xdr:pic>
      <xdr:nvPicPr>
        <xdr:cNvPr id="1734" name="Imagen 1733" descr="Ver detalle">
          <a:hlinkClick xmlns:r="http://schemas.openxmlformats.org/officeDocument/2006/relationships" r:id="rId1676" tooltip="Ver detalle"/>
          <a:extLst>
            <a:ext uri="{FF2B5EF4-FFF2-40B4-BE49-F238E27FC236}">
              <a16:creationId xmlns:a16="http://schemas.microsoft.com/office/drawing/2014/main" id="{652EDFD8-317E-51EF-ECCE-BD3095EB6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919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1365</xdr:row>
      <xdr:rowOff>0</xdr:rowOff>
    </xdr:from>
    <xdr:to>
      <xdr:col>13</xdr:col>
      <xdr:colOff>0</xdr:colOff>
      <xdr:row>1366</xdr:row>
      <xdr:rowOff>148590</xdr:rowOff>
    </xdr:to>
    <xdr:pic>
      <xdr:nvPicPr>
        <xdr:cNvPr id="1735" name="Imagen 1734" descr="Ver detalle">
          <a:hlinkClick xmlns:r="http://schemas.openxmlformats.org/officeDocument/2006/relationships" r:id="rId1677" tooltip="Ver detalle"/>
          <a:extLst>
            <a:ext uri="{FF2B5EF4-FFF2-40B4-BE49-F238E27FC236}">
              <a16:creationId xmlns:a16="http://schemas.microsoft.com/office/drawing/2014/main" id="{14535B0D-FB7D-1F1D-4D31-233BCD2AB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0106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1363</xdr:row>
      <xdr:rowOff>0</xdr:rowOff>
    </xdr:from>
    <xdr:to>
      <xdr:col>13</xdr:col>
      <xdr:colOff>0</xdr:colOff>
      <xdr:row>1364</xdr:row>
      <xdr:rowOff>148590</xdr:rowOff>
    </xdr:to>
    <xdr:pic>
      <xdr:nvPicPr>
        <xdr:cNvPr id="1736" name="Imagen 1735" descr="Ver detalle">
          <a:hlinkClick xmlns:r="http://schemas.openxmlformats.org/officeDocument/2006/relationships" r:id="rId1678" tooltip="Ver detalle"/>
          <a:extLst>
            <a:ext uri="{FF2B5EF4-FFF2-40B4-BE49-F238E27FC236}">
              <a16:creationId xmlns:a16="http://schemas.microsoft.com/office/drawing/2014/main" id="{80D7C7F0-2CC6-25C9-2DBC-17CBF0B7C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2056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1364</xdr:row>
      <xdr:rowOff>0</xdr:rowOff>
    </xdr:from>
    <xdr:to>
      <xdr:col>13</xdr:col>
      <xdr:colOff>0</xdr:colOff>
      <xdr:row>1365</xdr:row>
      <xdr:rowOff>148590</xdr:rowOff>
    </xdr:to>
    <xdr:pic>
      <xdr:nvPicPr>
        <xdr:cNvPr id="1737" name="Imagen 1736" descr="Ver detalle">
          <a:hlinkClick xmlns:r="http://schemas.openxmlformats.org/officeDocument/2006/relationships" r:id="rId1679" tooltip="Ver detalle"/>
          <a:extLst>
            <a:ext uri="{FF2B5EF4-FFF2-40B4-BE49-F238E27FC236}">
              <a16:creationId xmlns:a16="http://schemas.microsoft.com/office/drawing/2014/main" id="{7A3C9003-EACB-898F-D4ED-556F18116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4007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1389</xdr:row>
      <xdr:rowOff>0</xdr:rowOff>
    </xdr:from>
    <xdr:to>
      <xdr:col>13</xdr:col>
      <xdr:colOff>0</xdr:colOff>
      <xdr:row>1390</xdr:row>
      <xdr:rowOff>148590</xdr:rowOff>
    </xdr:to>
    <xdr:pic>
      <xdr:nvPicPr>
        <xdr:cNvPr id="1738" name="Imagen 1737" descr="Ver detalle">
          <a:hlinkClick xmlns:r="http://schemas.openxmlformats.org/officeDocument/2006/relationships" r:id="rId1680" tooltip="Ver detalle"/>
          <a:extLst>
            <a:ext uri="{FF2B5EF4-FFF2-40B4-BE49-F238E27FC236}">
              <a16:creationId xmlns:a16="http://schemas.microsoft.com/office/drawing/2014/main" id="{B5D02129-D7FB-2BC6-CC3C-8D4D93DCE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595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1388</xdr:row>
      <xdr:rowOff>0</xdr:rowOff>
    </xdr:from>
    <xdr:to>
      <xdr:col>13</xdr:col>
      <xdr:colOff>0</xdr:colOff>
      <xdr:row>1389</xdr:row>
      <xdr:rowOff>148590</xdr:rowOff>
    </xdr:to>
    <xdr:pic>
      <xdr:nvPicPr>
        <xdr:cNvPr id="1739" name="Imagen 1738" descr="Ver detalle">
          <a:hlinkClick xmlns:r="http://schemas.openxmlformats.org/officeDocument/2006/relationships" r:id="rId1681" tooltip="Ver detalle"/>
          <a:extLst>
            <a:ext uri="{FF2B5EF4-FFF2-40B4-BE49-F238E27FC236}">
              <a16:creationId xmlns:a16="http://schemas.microsoft.com/office/drawing/2014/main" id="{29BE85E9-FE44-33D6-B9AD-D403FC2E9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790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1387</xdr:row>
      <xdr:rowOff>0</xdr:rowOff>
    </xdr:from>
    <xdr:to>
      <xdr:col>13</xdr:col>
      <xdr:colOff>0</xdr:colOff>
      <xdr:row>1388</xdr:row>
      <xdr:rowOff>148590</xdr:rowOff>
    </xdr:to>
    <xdr:pic>
      <xdr:nvPicPr>
        <xdr:cNvPr id="1740" name="Imagen 1739" descr="Ver detalle">
          <a:hlinkClick xmlns:r="http://schemas.openxmlformats.org/officeDocument/2006/relationships" r:id="rId1682" tooltip="Ver detalle"/>
          <a:extLst>
            <a:ext uri="{FF2B5EF4-FFF2-40B4-BE49-F238E27FC236}">
              <a16:creationId xmlns:a16="http://schemas.microsoft.com/office/drawing/2014/main" id="{F4B3D1FB-FF38-035E-7A40-BBA1CAA64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985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1386</xdr:row>
      <xdr:rowOff>0</xdr:rowOff>
    </xdr:from>
    <xdr:to>
      <xdr:col>13</xdr:col>
      <xdr:colOff>0</xdr:colOff>
      <xdr:row>1387</xdr:row>
      <xdr:rowOff>148590</xdr:rowOff>
    </xdr:to>
    <xdr:pic>
      <xdr:nvPicPr>
        <xdr:cNvPr id="1741" name="Imagen 1740" descr="Ver detalle">
          <a:hlinkClick xmlns:r="http://schemas.openxmlformats.org/officeDocument/2006/relationships" r:id="rId1683" tooltip="Ver detalle"/>
          <a:extLst>
            <a:ext uri="{FF2B5EF4-FFF2-40B4-BE49-F238E27FC236}">
              <a16:creationId xmlns:a16="http://schemas.microsoft.com/office/drawing/2014/main" id="{0A9A8558-1F33-4E40-171F-5941C28DD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0774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1385</xdr:row>
      <xdr:rowOff>0</xdr:rowOff>
    </xdr:from>
    <xdr:to>
      <xdr:col>13</xdr:col>
      <xdr:colOff>0</xdr:colOff>
      <xdr:row>1386</xdr:row>
      <xdr:rowOff>148590</xdr:rowOff>
    </xdr:to>
    <xdr:pic>
      <xdr:nvPicPr>
        <xdr:cNvPr id="1742" name="Imagen 1741" descr="Ver detalle">
          <a:hlinkClick xmlns:r="http://schemas.openxmlformats.org/officeDocument/2006/relationships" r:id="rId1684" tooltip="Ver detalle"/>
          <a:extLst>
            <a:ext uri="{FF2B5EF4-FFF2-40B4-BE49-F238E27FC236}">
              <a16:creationId xmlns:a16="http://schemas.microsoft.com/office/drawing/2014/main" id="{2E9BA39F-921A-F878-C145-2B42BB91B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1688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1381</xdr:row>
      <xdr:rowOff>0</xdr:rowOff>
    </xdr:from>
    <xdr:to>
      <xdr:col>13</xdr:col>
      <xdr:colOff>0</xdr:colOff>
      <xdr:row>1382</xdr:row>
      <xdr:rowOff>148590</xdr:rowOff>
    </xdr:to>
    <xdr:pic>
      <xdr:nvPicPr>
        <xdr:cNvPr id="1743" name="Imagen 1742" descr="Ver detalle">
          <a:hlinkClick xmlns:r="http://schemas.openxmlformats.org/officeDocument/2006/relationships" r:id="rId1685" tooltip="Ver detalle"/>
          <a:extLst>
            <a:ext uri="{FF2B5EF4-FFF2-40B4-BE49-F238E27FC236}">
              <a16:creationId xmlns:a16="http://schemas.microsoft.com/office/drawing/2014/main" id="{2444AA2E-69C8-6829-2694-E3A6DDAB1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2602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1383</xdr:row>
      <xdr:rowOff>0</xdr:rowOff>
    </xdr:from>
    <xdr:to>
      <xdr:col>13</xdr:col>
      <xdr:colOff>0</xdr:colOff>
      <xdr:row>1384</xdr:row>
      <xdr:rowOff>148590</xdr:rowOff>
    </xdr:to>
    <xdr:pic>
      <xdr:nvPicPr>
        <xdr:cNvPr id="1744" name="Imagen 1743" descr="Ver detalle">
          <a:hlinkClick xmlns:r="http://schemas.openxmlformats.org/officeDocument/2006/relationships" r:id="rId1686" tooltip="Ver detalle"/>
          <a:extLst>
            <a:ext uri="{FF2B5EF4-FFF2-40B4-BE49-F238E27FC236}">
              <a16:creationId xmlns:a16="http://schemas.microsoft.com/office/drawing/2014/main" id="{7ED93B03-6790-0CB8-D5C3-2C40FE413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351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1360</xdr:row>
      <xdr:rowOff>0</xdr:rowOff>
    </xdr:from>
    <xdr:to>
      <xdr:col>13</xdr:col>
      <xdr:colOff>0</xdr:colOff>
      <xdr:row>1361</xdr:row>
      <xdr:rowOff>148590</xdr:rowOff>
    </xdr:to>
    <xdr:pic>
      <xdr:nvPicPr>
        <xdr:cNvPr id="1745" name="Imagen 1744" descr="Ver detalle">
          <a:hlinkClick xmlns:r="http://schemas.openxmlformats.org/officeDocument/2006/relationships" r:id="rId1687" tooltip="Ver detalle"/>
          <a:extLst>
            <a:ext uri="{FF2B5EF4-FFF2-40B4-BE49-F238E27FC236}">
              <a16:creationId xmlns:a16="http://schemas.microsoft.com/office/drawing/2014/main" id="{758C3481-B315-CAE0-0FA3-F8C35D4111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443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1359</xdr:row>
      <xdr:rowOff>0</xdr:rowOff>
    </xdr:from>
    <xdr:to>
      <xdr:col>13</xdr:col>
      <xdr:colOff>0</xdr:colOff>
      <xdr:row>1360</xdr:row>
      <xdr:rowOff>148590</xdr:rowOff>
    </xdr:to>
    <xdr:pic>
      <xdr:nvPicPr>
        <xdr:cNvPr id="1746" name="Imagen 1745" descr="Ver detalle">
          <a:hlinkClick xmlns:r="http://schemas.openxmlformats.org/officeDocument/2006/relationships" r:id="rId1688" tooltip="Ver detalle"/>
          <a:extLst>
            <a:ext uri="{FF2B5EF4-FFF2-40B4-BE49-F238E27FC236}">
              <a16:creationId xmlns:a16="http://schemas.microsoft.com/office/drawing/2014/main" id="{23729EF3-8D0F-F4F5-C4A6-A0B70C2AF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5734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1358</xdr:row>
      <xdr:rowOff>0</xdr:rowOff>
    </xdr:from>
    <xdr:to>
      <xdr:col>13</xdr:col>
      <xdr:colOff>0</xdr:colOff>
      <xdr:row>1359</xdr:row>
      <xdr:rowOff>148590</xdr:rowOff>
    </xdr:to>
    <xdr:pic>
      <xdr:nvPicPr>
        <xdr:cNvPr id="1747" name="Imagen 1746" descr="Ver detalle">
          <a:hlinkClick xmlns:r="http://schemas.openxmlformats.org/officeDocument/2006/relationships" r:id="rId1689" tooltip="Ver detalle"/>
          <a:extLst>
            <a:ext uri="{FF2B5EF4-FFF2-40B4-BE49-F238E27FC236}">
              <a16:creationId xmlns:a16="http://schemas.microsoft.com/office/drawing/2014/main" id="{0A5AF3F9-3399-37AA-B1AD-FBA74F7E3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7685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1366</xdr:row>
      <xdr:rowOff>0</xdr:rowOff>
    </xdr:from>
    <xdr:to>
      <xdr:col>13</xdr:col>
      <xdr:colOff>0</xdr:colOff>
      <xdr:row>1367</xdr:row>
      <xdr:rowOff>148590</xdr:rowOff>
    </xdr:to>
    <xdr:pic>
      <xdr:nvPicPr>
        <xdr:cNvPr id="1748" name="Imagen 1747" descr="Ver detalle">
          <a:hlinkClick xmlns:r="http://schemas.openxmlformats.org/officeDocument/2006/relationships" r:id="rId1690" tooltip="Ver detalle"/>
          <a:extLst>
            <a:ext uri="{FF2B5EF4-FFF2-40B4-BE49-F238E27FC236}">
              <a16:creationId xmlns:a16="http://schemas.microsoft.com/office/drawing/2014/main" id="{A80B1318-4F93-FE4C-4E61-F46BE29D49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963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1357</xdr:row>
      <xdr:rowOff>0</xdr:rowOff>
    </xdr:from>
    <xdr:to>
      <xdr:col>13</xdr:col>
      <xdr:colOff>0</xdr:colOff>
      <xdr:row>1358</xdr:row>
      <xdr:rowOff>148590</xdr:rowOff>
    </xdr:to>
    <xdr:pic>
      <xdr:nvPicPr>
        <xdr:cNvPr id="1749" name="Imagen 1748" descr="Ver detalle">
          <a:hlinkClick xmlns:r="http://schemas.openxmlformats.org/officeDocument/2006/relationships" r:id="rId1691" tooltip="Ver detalle"/>
          <a:extLst>
            <a:ext uri="{FF2B5EF4-FFF2-40B4-BE49-F238E27FC236}">
              <a16:creationId xmlns:a16="http://schemas.microsoft.com/office/drawing/2014/main" id="{6AB96D0E-CA11-00BA-980F-124FA8428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158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1356</xdr:row>
      <xdr:rowOff>0</xdr:rowOff>
    </xdr:from>
    <xdr:to>
      <xdr:col>13</xdr:col>
      <xdr:colOff>0</xdr:colOff>
      <xdr:row>1357</xdr:row>
      <xdr:rowOff>148590</xdr:rowOff>
    </xdr:to>
    <xdr:pic>
      <xdr:nvPicPr>
        <xdr:cNvPr id="1750" name="Imagen 1749" descr="Ver detalle">
          <a:hlinkClick xmlns:r="http://schemas.openxmlformats.org/officeDocument/2006/relationships" r:id="rId1692" tooltip="Ver detalle"/>
          <a:extLst>
            <a:ext uri="{FF2B5EF4-FFF2-40B4-BE49-F238E27FC236}">
              <a16:creationId xmlns:a16="http://schemas.microsoft.com/office/drawing/2014/main" id="{B67C2644-DC7F-C8FE-BB86-EE191C402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3537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1454</xdr:row>
      <xdr:rowOff>0</xdr:rowOff>
    </xdr:from>
    <xdr:to>
      <xdr:col>13</xdr:col>
      <xdr:colOff>0</xdr:colOff>
      <xdr:row>1455</xdr:row>
      <xdr:rowOff>148590</xdr:rowOff>
    </xdr:to>
    <xdr:pic>
      <xdr:nvPicPr>
        <xdr:cNvPr id="1751" name="Imagen 1750" descr="Ver detalle">
          <a:hlinkClick xmlns:r="http://schemas.openxmlformats.org/officeDocument/2006/relationships" r:id="rId1693" tooltip="Ver detalle"/>
          <a:extLst>
            <a:ext uri="{FF2B5EF4-FFF2-40B4-BE49-F238E27FC236}">
              <a16:creationId xmlns:a16="http://schemas.microsoft.com/office/drawing/2014/main" id="{203D570F-8439-1686-3372-E0AF2F676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9742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1457</xdr:row>
      <xdr:rowOff>0</xdr:rowOff>
    </xdr:from>
    <xdr:to>
      <xdr:col>13</xdr:col>
      <xdr:colOff>0</xdr:colOff>
      <xdr:row>1458</xdr:row>
      <xdr:rowOff>148590</xdr:rowOff>
    </xdr:to>
    <xdr:pic>
      <xdr:nvPicPr>
        <xdr:cNvPr id="1752" name="Imagen 1751" descr="Ver detalle">
          <a:hlinkClick xmlns:r="http://schemas.openxmlformats.org/officeDocument/2006/relationships" r:id="rId1694" tooltip="Ver detalle"/>
          <a:extLst>
            <a:ext uri="{FF2B5EF4-FFF2-40B4-BE49-F238E27FC236}">
              <a16:creationId xmlns:a16="http://schemas.microsoft.com/office/drawing/2014/main" id="{6210E629-626C-F6B7-D8DE-F3237905D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1693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1458</xdr:row>
      <xdr:rowOff>0</xdr:rowOff>
    </xdr:from>
    <xdr:to>
      <xdr:col>13</xdr:col>
      <xdr:colOff>0</xdr:colOff>
      <xdr:row>1459</xdr:row>
      <xdr:rowOff>148590</xdr:rowOff>
    </xdr:to>
    <xdr:pic>
      <xdr:nvPicPr>
        <xdr:cNvPr id="1753" name="Imagen 1752" descr="Ver detalle">
          <a:hlinkClick xmlns:r="http://schemas.openxmlformats.org/officeDocument/2006/relationships" r:id="rId1695" tooltip="Ver detalle"/>
          <a:extLst>
            <a:ext uri="{FF2B5EF4-FFF2-40B4-BE49-F238E27FC236}">
              <a16:creationId xmlns:a16="http://schemas.microsoft.com/office/drawing/2014/main" id="{23CC4750-7DF8-FDC4-AE3E-5E761869A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364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1446</xdr:row>
      <xdr:rowOff>0</xdr:rowOff>
    </xdr:from>
    <xdr:to>
      <xdr:col>13</xdr:col>
      <xdr:colOff>0</xdr:colOff>
      <xdr:row>1447</xdr:row>
      <xdr:rowOff>148590</xdr:rowOff>
    </xdr:to>
    <xdr:pic>
      <xdr:nvPicPr>
        <xdr:cNvPr id="1754" name="Imagen 1753" descr="Ver detalle">
          <a:hlinkClick xmlns:r="http://schemas.openxmlformats.org/officeDocument/2006/relationships" r:id="rId1696" tooltip="Ver detalle"/>
          <a:extLst>
            <a:ext uri="{FF2B5EF4-FFF2-40B4-BE49-F238E27FC236}">
              <a16:creationId xmlns:a16="http://schemas.microsoft.com/office/drawing/2014/main" id="{AB4E8E2E-3EE9-042F-6E26-31E71707C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494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1464</xdr:row>
      <xdr:rowOff>0</xdr:rowOff>
    </xdr:from>
    <xdr:to>
      <xdr:col>13</xdr:col>
      <xdr:colOff>0</xdr:colOff>
      <xdr:row>1465</xdr:row>
      <xdr:rowOff>114300</xdr:rowOff>
    </xdr:to>
    <xdr:pic>
      <xdr:nvPicPr>
        <xdr:cNvPr id="1755" name="Imagen 1754" descr="Ver detalle">
          <a:hlinkClick xmlns:r="http://schemas.openxmlformats.org/officeDocument/2006/relationships" r:id="rId1697" tooltip="Ver detalle"/>
          <a:extLst>
            <a:ext uri="{FF2B5EF4-FFF2-40B4-BE49-F238E27FC236}">
              <a16:creationId xmlns:a16="http://schemas.microsoft.com/office/drawing/2014/main" id="{7352A8A0-A403-A265-B764-0DD1D7B13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689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1449</xdr:row>
      <xdr:rowOff>0</xdr:rowOff>
    </xdr:from>
    <xdr:to>
      <xdr:col>13</xdr:col>
      <xdr:colOff>0</xdr:colOff>
      <xdr:row>1450</xdr:row>
      <xdr:rowOff>148590</xdr:rowOff>
    </xdr:to>
    <xdr:pic>
      <xdr:nvPicPr>
        <xdr:cNvPr id="1756" name="Imagen 1755" descr="Ver detalle">
          <a:hlinkClick xmlns:r="http://schemas.openxmlformats.org/officeDocument/2006/relationships" r:id="rId1698" tooltip="Ver detalle"/>
          <a:extLst>
            <a:ext uri="{FF2B5EF4-FFF2-40B4-BE49-F238E27FC236}">
              <a16:creationId xmlns:a16="http://schemas.microsoft.com/office/drawing/2014/main" id="{B68C5DB2-6D4B-3CE0-5A17-5B0F2B24A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8848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1448</xdr:row>
      <xdr:rowOff>0</xdr:rowOff>
    </xdr:from>
    <xdr:to>
      <xdr:col>13</xdr:col>
      <xdr:colOff>0</xdr:colOff>
      <xdr:row>1449</xdr:row>
      <xdr:rowOff>148590</xdr:rowOff>
    </xdr:to>
    <xdr:pic>
      <xdr:nvPicPr>
        <xdr:cNvPr id="1757" name="Imagen 1756" descr="Ver detalle">
          <a:hlinkClick xmlns:r="http://schemas.openxmlformats.org/officeDocument/2006/relationships" r:id="rId1699" tooltip="Ver detalle"/>
          <a:extLst>
            <a:ext uri="{FF2B5EF4-FFF2-40B4-BE49-F238E27FC236}">
              <a16:creationId xmlns:a16="http://schemas.microsoft.com/office/drawing/2014/main" id="{A066A1E6-0D30-EF80-7DFA-9FFA24653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0799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1447</xdr:row>
      <xdr:rowOff>0</xdr:rowOff>
    </xdr:from>
    <xdr:to>
      <xdr:col>13</xdr:col>
      <xdr:colOff>0</xdr:colOff>
      <xdr:row>1448</xdr:row>
      <xdr:rowOff>148590</xdr:rowOff>
    </xdr:to>
    <xdr:pic>
      <xdr:nvPicPr>
        <xdr:cNvPr id="1758" name="Imagen 1757" descr="Ver detalle">
          <a:hlinkClick xmlns:r="http://schemas.openxmlformats.org/officeDocument/2006/relationships" r:id="rId1700" tooltip="Ver detalle"/>
          <a:extLst>
            <a:ext uri="{FF2B5EF4-FFF2-40B4-BE49-F238E27FC236}">
              <a16:creationId xmlns:a16="http://schemas.microsoft.com/office/drawing/2014/main" id="{58DA327F-D803-82EE-B154-D9088F636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2750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1453</xdr:row>
      <xdr:rowOff>0</xdr:rowOff>
    </xdr:from>
    <xdr:to>
      <xdr:col>13</xdr:col>
      <xdr:colOff>0</xdr:colOff>
      <xdr:row>1454</xdr:row>
      <xdr:rowOff>148590</xdr:rowOff>
    </xdr:to>
    <xdr:pic>
      <xdr:nvPicPr>
        <xdr:cNvPr id="1759" name="Imagen 1758" descr="Ver detalle">
          <a:hlinkClick xmlns:r="http://schemas.openxmlformats.org/officeDocument/2006/relationships" r:id="rId1701" tooltip="Ver detalle"/>
          <a:extLst>
            <a:ext uri="{FF2B5EF4-FFF2-40B4-BE49-F238E27FC236}">
              <a16:creationId xmlns:a16="http://schemas.microsoft.com/office/drawing/2014/main" id="{FB4C8860-4C4D-B82F-EBC0-567540AA0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47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1452</xdr:row>
      <xdr:rowOff>0</xdr:rowOff>
    </xdr:from>
    <xdr:to>
      <xdr:col>13</xdr:col>
      <xdr:colOff>0</xdr:colOff>
      <xdr:row>1453</xdr:row>
      <xdr:rowOff>148590</xdr:rowOff>
    </xdr:to>
    <xdr:pic>
      <xdr:nvPicPr>
        <xdr:cNvPr id="1760" name="Imagen 1759" descr="Ver detalle">
          <a:hlinkClick xmlns:r="http://schemas.openxmlformats.org/officeDocument/2006/relationships" r:id="rId1702" tooltip="Ver detalle"/>
          <a:extLst>
            <a:ext uri="{FF2B5EF4-FFF2-40B4-BE49-F238E27FC236}">
              <a16:creationId xmlns:a16="http://schemas.microsoft.com/office/drawing/2014/main" id="{4F193148-0347-331C-9E06-D22B93DD1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6651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1451</xdr:row>
      <xdr:rowOff>0</xdr:rowOff>
    </xdr:from>
    <xdr:to>
      <xdr:col>13</xdr:col>
      <xdr:colOff>0</xdr:colOff>
      <xdr:row>1452</xdr:row>
      <xdr:rowOff>148590</xdr:rowOff>
    </xdr:to>
    <xdr:pic>
      <xdr:nvPicPr>
        <xdr:cNvPr id="1761" name="Imagen 1760" descr="Ver detalle">
          <a:hlinkClick xmlns:r="http://schemas.openxmlformats.org/officeDocument/2006/relationships" r:id="rId1703" tooltip="Ver detalle"/>
          <a:extLst>
            <a:ext uri="{FF2B5EF4-FFF2-40B4-BE49-F238E27FC236}">
              <a16:creationId xmlns:a16="http://schemas.microsoft.com/office/drawing/2014/main" id="{4FB06B0A-46BF-76D1-63E2-A7E4BB9DD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7954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1450</xdr:row>
      <xdr:rowOff>0</xdr:rowOff>
    </xdr:from>
    <xdr:to>
      <xdr:col>13</xdr:col>
      <xdr:colOff>0</xdr:colOff>
      <xdr:row>1451</xdr:row>
      <xdr:rowOff>148590</xdr:rowOff>
    </xdr:to>
    <xdr:pic>
      <xdr:nvPicPr>
        <xdr:cNvPr id="1762" name="Imagen 1761" descr="Ver detalle">
          <a:hlinkClick xmlns:r="http://schemas.openxmlformats.org/officeDocument/2006/relationships" r:id="rId1704" tooltip="Ver detalle"/>
          <a:extLst>
            <a:ext uri="{FF2B5EF4-FFF2-40B4-BE49-F238E27FC236}">
              <a16:creationId xmlns:a16="http://schemas.microsoft.com/office/drawing/2014/main" id="{A7C6C6EF-614C-7637-2A5C-04C601A9B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9257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1460</xdr:row>
      <xdr:rowOff>0</xdr:rowOff>
    </xdr:from>
    <xdr:to>
      <xdr:col>13</xdr:col>
      <xdr:colOff>0</xdr:colOff>
      <xdr:row>1461</xdr:row>
      <xdr:rowOff>148590</xdr:rowOff>
    </xdr:to>
    <xdr:pic>
      <xdr:nvPicPr>
        <xdr:cNvPr id="1763" name="Imagen 1762" descr="Ver detalle">
          <a:hlinkClick xmlns:r="http://schemas.openxmlformats.org/officeDocument/2006/relationships" r:id="rId1705" tooltip="Ver detalle"/>
          <a:extLst>
            <a:ext uri="{FF2B5EF4-FFF2-40B4-BE49-F238E27FC236}">
              <a16:creationId xmlns:a16="http://schemas.microsoft.com/office/drawing/2014/main" id="{8A89F0E6-533A-8974-E9BB-0018DCE8E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0560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1459</xdr:row>
      <xdr:rowOff>0</xdr:rowOff>
    </xdr:from>
    <xdr:to>
      <xdr:col>13</xdr:col>
      <xdr:colOff>0</xdr:colOff>
      <xdr:row>1460</xdr:row>
      <xdr:rowOff>148590</xdr:rowOff>
    </xdr:to>
    <xdr:pic>
      <xdr:nvPicPr>
        <xdr:cNvPr id="1764" name="Imagen 1763" descr="Ver detalle">
          <a:hlinkClick xmlns:r="http://schemas.openxmlformats.org/officeDocument/2006/relationships" r:id="rId1706" tooltip="Ver detalle"/>
          <a:extLst>
            <a:ext uri="{FF2B5EF4-FFF2-40B4-BE49-F238E27FC236}">
              <a16:creationId xmlns:a16="http://schemas.microsoft.com/office/drawing/2014/main" id="{ADCD4A84-008F-ADEC-B460-68DC6176B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251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1463</xdr:row>
      <xdr:rowOff>0</xdr:rowOff>
    </xdr:from>
    <xdr:to>
      <xdr:col>13</xdr:col>
      <xdr:colOff>0</xdr:colOff>
      <xdr:row>1464</xdr:row>
      <xdr:rowOff>148590</xdr:rowOff>
    </xdr:to>
    <xdr:pic>
      <xdr:nvPicPr>
        <xdr:cNvPr id="1765" name="Imagen 1764" descr="Ver detalle">
          <a:hlinkClick xmlns:r="http://schemas.openxmlformats.org/officeDocument/2006/relationships" r:id="rId1707" tooltip="Ver detalle"/>
          <a:extLst>
            <a:ext uri="{FF2B5EF4-FFF2-40B4-BE49-F238E27FC236}">
              <a16:creationId xmlns:a16="http://schemas.microsoft.com/office/drawing/2014/main" id="{F85BDA89-4AD8-9A04-E801-56EC80509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3814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1462</xdr:row>
      <xdr:rowOff>0</xdr:rowOff>
    </xdr:from>
    <xdr:to>
      <xdr:col>13</xdr:col>
      <xdr:colOff>0</xdr:colOff>
      <xdr:row>1463</xdr:row>
      <xdr:rowOff>148590</xdr:rowOff>
    </xdr:to>
    <xdr:pic>
      <xdr:nvPicPr>
        <xdr:cNvPr id="1766" name="Imagen 1765" descr="Ver detalle">
          <a:hlinkClick xmlns:r="http://schemas.openxmlformats.org/officeDocument/2006/relationships" r:id="rId1708" tooltip="Ver detalle"/>
          <a:extLst>
            <a:ext uri="{FF2B5EF4-FFF2-40B4-BE49-F238E27FC236}">
              <a16:creationId xmlns:a16="http://schemas.microsoft.com/office/drawing/2014/main" id="{EB272C15-CB8A-8A4C-2279-C64AABEE8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5765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1461</xdr:row>
      <xdr:rowOff>0</xdr:rowOff>
    </xdr:from>
    <xdr:to>
      <xdr:col>13</xdr:col>
      <xdr:colOff>0</xdr:colOff>
      <xdr:row>1462</xdr:row>
      <xdr:rowOff>148590</xdr:rowOff>
    </xdr:to>
    <xdr:pic>
      <xdr:nvPicPr>
        <xdr:cNvPr id="1767" name="Imagen 1766" descr="Ver detalle">
          <a:hlinkClick xmlns:r="http://schemas.openxmlformats.org/officeDocument/2006/relationships" r:id="rId1709" tooltip="Ver detalle"/>
          <a:extLst>
            <a:ext uri="{FF2B5EF4-FFF2-40B4-BE49-F238E27FC236}">
              <a16:creationId xmlns:a16="http://schemas.microsoft.com/office/drawing/2014/main" id="{ADB32E5D-3AA3-005C-5CE0-D1AE81E8F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7715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1456</xdr:row>
      <xdr:rowOff>0</xdr:rowOff>
    </xdr:from>
    <xdr:to>
      <xdr:col>13</xdr:col>
      <xdr:colOff>0</xdr:colOff>
      <xdr:row>1457</xdr:row>
      <xdr:rowOff>148590</xdr:rowOff>
    </xdr:to>
    <xdr:pic>
      <xdr:nvPicPr>
        <xdr:cNvPr id="1768" name="Imagen 1767" descr="Ver detalle">
          <a:hlinkClick xmlns:r="http://schemas.openxmlformats.org/officeDocument/2006/relationships" r:id="rId1710" tooltip="Ver detalle"/>
          <a:extLst>
            <a:ext uri="{FF2B5EF4-FFF2-40B4-BE49-F238E27FC236}">
              <a16:creationId xmlns:a16="http://schemas.microsoft.com/office/drawing/2014/main" id="{ABB85163-0FD5-A0F1-30DF-C2A8A4F22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8630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1455</xdr:row>
      <xdr:rowOff>0</xdr:rowOff>
    </xdr:from>
    <xdr:to>
      <xdr:col>13</xdr:col>
      <xdr:colOff>0</xdr:colOff>
      <xdr:row>1456</xdr:row>
      <xdr:rowOff>148590</xdr:rowOff>
    </xdr:to>
    <xdr:pic>
      <xdr:nvPicPr>
        <xdr:cNvPr id="1769" name="Imagen 1768" descr="Ver detalle">
          <a:hlinkClick xmlns:r="http://schemas.openxmlformats.org/officeDocument/2006/relationships" r:id="rId1711" tooltip="Ver detalle"/>
          <a:extLst>
            <a:ext uri="{FF2B5EF4-FFF2-40B4-BE49-F238E27FC236}">
              <a16:creationId xmlns:a16="http://schemas.microsoft.com/office/drawing/2014/main" id="{D2818295-7CEA-8FEA-4D4F-B68F4C805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0581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1435</xdr:row>
      <xdr:rowOff>0</xdr:rowOff>
    </xdr:from>
    <xdr:to>
      <xdr:col>13</xdr:col>
      <xdr:colOff>0</xdr:colOff>
      <xdr:row>1436</xdr:row>
      <xdr:rowOff>148590</xdr:rowOff>
    </xdr:to>
    <xdr:pic>
      <xdr:nvPicPr>
        <xdr:cNvPr id="1770" name="Imagen 1769" descr="Ver detalle">
          <a:hlinkClick xmlns:r="http://schemas.openxmlformats.org/officeDocument/2006/relationships" r:id="rId1712" tooltip="Ver detalle"/>
          <a:extLst>
            <a:ext uri="{FF2B5EF4-FFF2-40B4-BE49-F238E27FC236}">
              <a16:creationId xmlns:a16="http://schemas.microsoft.com/office/drawing/2014/main" id="{FBD7E778-B98A-8B3F-68D7-CAF48E702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25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1434</xdr:row>
      <xdr:rowOff>0</xdr:rowOff>
    </xdr:from>
    <xdr:to>
      <xdr:col>13</xdr:col>
      <xdr:colOff>0</xdr:colOff>
      <xdr:row>1435</xdr:row>
      <xdr:rowOff>148590</xdr:rowOff>
    </xdr:to>
    <xdr:pic>
      <xdr:nvPicPr>
        <xdr:cNvPr id="1771" name="Imagen 1770" descr="Ver detalle">
          <a:hlinkClick xmlns:r="http://schemas.openxmlformats.org/officeDocument/2006/relationships" r:id="rId1713" tooltip="Ver detalle"/>
          <a:extLst>
            <a:ext uri="{FF2B5EF4-FFF2-40B4-BE49-F238E27FC236}">
              <a16:creationId xmlns:a16="http://schemas.microsoft.com/office/drawing/2014/main" id="{5662F062-F2FB-D0FD-DF09-FE9628820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4482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1433</xdr:row>
      <xdr:rowOff>0</xdr:rowOff>
    </xdr:from>
    <xdr:to>
      <xdr:col>13</xdr:col>
      <xdr:colOff>0</xdr:colOff>
      <xdr:row>1434</xdr:row>
      <xdr:rowOff>148590</xdr:rowOff>
    </xdr:to>
    <xdr:pic>
      <xdr:nvPicPr>
        <xdr:cNvPr id="1772" name="Imagen 1771" descr="Ver detalle">
          <a:hlinkClick xmlns:r="http://schemas.openxmlformats.org/officeDocument/2006/relationships" r:id="rId1714" tooltip="Ver detalle"/>
          <a:extLst>
            <a:ext uri="{FF2B5EF4-FFF2-40B4-BE49-F238E27FC236}">
              <a16:creationId xmlns:a16="http://schemas.microsoft.com/office/drawing/2014/main" id="{AA9390B7-A458-EE67-008D-B5047AF08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6433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1436</xdr:row>
      <xdr:rowOff>0</xdr:rowOff>
    </xdr:from>
    <xdr:to>
      <xdr:col>13</xdr:col>
      <xdr:colOff>0</xdr:colOff>
      <xdr:row>1437</xdr:row>
      <xdr:rowOff>114300</xdr:rowOff>
    </xdr:to>
    <xdr:pic>
      <xdr:nvPicPr>
        <xdr:cNvPr id="1773" name="Imagen 1772" descr="Ver detalle">
          <a:hlinkClick xmlns:r="http://schemas.openxmlformats.org/officeDocument/2006/relationships" r:id="rId1715" tooltip="Ver detalle"/>
          <a:extLst>
            <a:ext uri="{FF2B5EF4-FFF2-40B4-BE49-F238E27FC236}">
              <a16:creationId xmlns:a16="http://schemas.microsoft.com/office/drawing/2014/main" id="{3A4F2379-010D-70EA-8D84-927CCD496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8383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1432</xdr:row>
      <xdr:rowOff>0</xdr:rowOff>
    </xdr:from>
    <xdr:to>
      <xdr:col>13</xdr:col>
      <xdr:colOff>0</xdr:colOff>
      <xdr:row>1433</xdr:row>
      <xdr:rowOff>148590</xdr:rowOff>
    </xdr:to>
    <xdr:pic>
      <xdr:nvPicPr>
        <xdr:cNvPr id="1774" name="Imagen 1773" descr="Ver detalle">
          <a:hlinkClick xmlns:r="http://schemas.openxmlformats.org/officeDocument/2006/relationships" r:id="rId1716" tooltip="Ver detalle"/>
          <a:extLst>
            <a:ext uri="{FF2B5EF4-FFF2-40B4-BE49-F238E27FC236}">
              <a16:creationId xmlns:a16="http://schemas.microsoft.com/office/drawing/2014/main" id="{0E31ABC6-FA12-23D5-5B88-EA5D0BEFD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033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1431</xdr:row>
      <xdr:rowOff>0</xdr:rowOff>
    </xdr:from>
    <xdr:to>
      <xdr:col>13</xdr:col>
      <xdr:colOff>0</xdr:colOff>
      <xdr:row>1432</xdr:row>
      <xdr:rowOff>148590</xdr:rowOff>
    </xdr:to>
    <xdr:pic>
      <xdr:nvPicPr>
        <xdr:cNvPr id="1775" name="Imagen 1774" descr="Ver detalle">
          <a:hlinkClick xmlns:r="http://schemas.openxmlformats.org/officeDocument/2006/relationships" r:id="rId1717" tooltip="Ver detalle"/>
          <a:extLst>
            <a:ext uri="{FF2B5EF4-FFF2-40B4-BE49-F238E27FC236}">
              <a16:creationId xmlns:a16="http://schemas.microsoft.com/office/drawing/2014/main" id="{D1A8D6F5-83E9-7CD1-4706-651E6FDA1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319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1430</xdr:row>
      <xdr:rowOff>0</xdr:rowOff>
    </xdr:from>
    <xdr:to>
      <xdr:col>13</xdr:col>
      <xdr:colOff>0</xdr:colOff>
      <xdr:row>1431</xdr:row>
      <xdr:rowOff>148590</xdr:rowOff>
    </xdr:to>
    <xdr:pic>
      <xdr:nvPicPr>
        <xdr:cNvPr id="1776" name="Imagen 1775" descr="Ver detalle">
          <a:hlinkClick xmlns:r="http://schemas.openxmlformats.org/officeDocument/2006/relationships" r:id="rId1718" tooltip="Ver detalle"/>
          <a:extLst>
            <a:ext uri="{FF2B5EF4-FFF2-40B4-BE49-F238E27FC236}">
              <a16:creationId xmlns:a16="http://schemas.microsoft.com/office/drawing/2014/main" id="{60C10D94-E4B6-9913-054D-D4AD70796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411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1445</xdr:row>
      <xdr:rowOff>0</xdr:rowOff>
    </xdr:from>
    <xdr:to>
      <xdr:col>13</xdr:col>
      <xdr:colOff>0</xdr:colOff>
      <xdr:row>1446</xdr:row>
      <xdr:rowOff>148590</xdr:rowOff>
    </xdr:to>
    <xdr:pic>
      <xdr:nvPicPr>
        <xdr:cNvPr id="1777" name="Imagen 1776" descr="Ver detalle">
          <a:hlinkClick xmlns:r="http://schemas.openxmlformats.org/officeDocument/2006/relationships" r:id="rId1719" tooltip="Ver detalle"/>
          <a:extLst>
            <a:ext uri="{FF2B5EF4-FFF2-40B4-BE49-F238E27FC236}">
              <a16:creationId xmlns:a16="http://schemas.microsoft.com/office/drawing/2014/main" id="{5EE2C6DE-1574-5AAA-2339-EF6CCE5E8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6064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1426</xdr:row>
      <xdr:rowOff>0</xdr:rowOff>
    </xdr:from>
    <xdr:to>
      <xdr:col>13</xdr:col>
      <xdr:colOff>0</xdr:colOff>
      <xdr:row>1427</xdr:row>
      <xdr:rowOff>148590</xdr:rowOff>
    </xdr:to>
    <xdr:pic>
      <xdr:nvPicPr>
        <xdr:cNvPr id="1778" name="Imagen 1777" descr="Ver detalle">
          <a:hlinkClick xmlns:r="http://schemas.openxmlformats.org/officeDocument/2006/relationships" r:id="rId1720" tooltip="Ver detalle"/>
          <a:extLst>
            <a:ext uri="{FF2B5EF4-FFF2-40B4-BE49-F238E27FC236}">
              <a16:creationId xmlns:a16="http://schemas.microsoft.com/office/drawing/2014/main" id="{93D860B6-C262-218C-A59D-B145DEB12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8015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1425</xdr:row>
      <xdr:rowOff>0</xdr:rowOff>
    </xdr:from>
    <xdr:to>
      <xdr:col>13</xdr:col>
      <xdr:colOff>0</xdr:colOff>
      <xdr:row>1426</xdr:row>
      <xdr:rowOff>148590</xdr:rowOff>
    </xdr:to>
    <xdr:pic>
      <xdr:nvPicPr>
        <xdr:cNvPr id="1779" name="Imagen 1778" descr="Ver detalle">
          <a:hlinkClick xmlns:r="http://schemas.openxmlformats.org/officeDocument/2006/relationships" r:id="rId1721" tooltip="Ver detalle"/>
          <a:extLst>
            <a:ext uri="{FF2B5EF4-FFF2-40B4-BE49-F238E27FC236}">
              <a16:creationId xmlns:a16="http://schemas.microsoft.com/office/drawing/2014/main" id="{E5D27C58-7391-93B5-8099-635E99B38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9966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1420</xdr:row>
      <xdr:rowOff>0</xdr:rowOff>
    </xdr:from>
    <xdr:to>
      <xdr:col>13</xdr:col>
      <xdr:colOff>0</xdr:colOff>
      <xdr:row>1421</xdr:row>
      <xdr:rowOff>148590</xdr:rowOff>
    </xdr:to>
    <xdr:pic>
      <xdr:nvPicPr>
        <xdr:cNvPr id="1780" name="Imagen 1779" descr="Ver detalle">
          <a:hlinkClick xmlns:r="http://schemas.openxmlformats.org/officeDocument/2006/relationships" r:id="rId1722" tooltip="Ver detalle"/>
          <a:extLst>
            <a:ext uri="{FF2B5EF4-FFF2-40B4-BE49-F238E27FC236}">
              <a16:creationId xmlns:a16="http://schemas.microsoft.com/office/drawing/2014/main" id="{8C80EA36-E941-4D0A-A735-F9E2B4773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1917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1423</xdr:row>
      <xdr:rowOff>0</xdr:rowOff>
    </xdr:from>
    <xdr:to>
      <xdr:col>13</xdr:col>
      <xdr:colOff>0</xdr:colOff>
      <xdr:row>1424</xdr:row>
      <xdr:rowOff>148590</xdr:rowOff>
    </xdr:to>
    <xdr:pic>
      <xdr:nvPicPr>
        <xdr:cNvPr id="1781" name="Imagen 1780" descr="Ver detalle">
          <a:hlinkClick xmlns:r="http://schemas.openxmlformats.org/officeDocument/2006/relationships" r:id="rId1723" tooltip="Ver detalle"/>
          <a:extLst>
            <a:ext uri="{FF2B5EF4-FFF2-40B4-BE49-F238E27FC236}">
              <a16:creationId xmlns:a16="http://schemas.microsoft.com/office/drawing/2014/main" id="{3327B59E-911E-1227-CCBD-DE2B7E58C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386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1419</xdr:row>
      <xdr:rowOff>0</xdr:rowOff>
    </xdr:from>
    <xdr:to>
      <xdr:col>13</xdr:col>
      <xdr:colOff>0</xdr:colOff>
      <xdr:row>1420</xdr:row>
      <xdr:rowOff>148590</xdr:rowOff>
    </xdr:to>
    <xdr:pic>
      <xdr:nvPicPr>
        <xdr:cNvPr id="1782" name="Imagen 1781" descr="Ver detalle">
          <a:hlinkClick xmlns:r="http://schemas.openxmlformats.org/officeDocument/2006/relationships" r:id="rId1724" tooltip="Ver detalle"/>
          <a:extLst>
            <a:ext uri="{FF2B5EF4-FFF2-40B4-BE49-F238E27FC236}">
              <a16:creationId xmlns:a16="http://schemas.microsoft.com/office/drawing/2014/main" id="{68FA5C0F-7E83-C4E4-0225-39D777DAC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5818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1424</xdr:row>
      <xdr:rowOff>0</xdr:rowOff>
    </xdr:from>
    <xdr:to>
      <xdr:col>13</xdr:col>
      <xdr:colOff>0</xdr:colOff>
      <xdr:row>1425</xdr:row>
      <xdr:rowOff>148590</xdr:rowOff>
    </xdr:to>
    <xdr:pic>
      <xdr:nvPicPr>
        <xdr:cNvPr id="1783" name="Imagen 1782" descr="Ver detalle">
          <a:hlinkClick xmlns:r="http://schemas.openxmlformats.org/officeDocument/2006/relationships" r:id="rId1725" tooltip="Ver detalle"/>
          <a:extLst>
            <a:ext uri="{FF2B5EF4-FFF2-40B4-BE49-F238E27FC236}">
              <a16:creationId xmlns:a16="http://schemas.microsoft.com/office/drawing/2014/main" id="{9FE69DD7-59CE-7083-D0B6-C8B7BDDE5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7769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1421</xdr:row>
      <xdr:rowOff>0</xdr:rowOff>
    </xdr:from>
    <xdr:to>
      <xdr:col>13</xdr:col>
      <xdr:colOff>0</xdr:colOff>
      <xdr:row>1422</xdr:row>
      <xdr:rowOff>148590</xdr:rowOff>
    </xdr:to>
    <xdr:pic>
      <xdr:nvPicPr>
        <xdr:cNvPr id="1784" name="Imagen 1783" descr="Ver detalle">
          <a:hlinkClick xmlns:r="http://schemas.openxmlformats.org/officeDocument/2006/relationships" r:id="rId1726" tooltip="Ver detalle"/>
          <a:extLst>
            <a:ext uri="{FF2B5EF4-FFF2-40B4-BE49-F238E27FC236}">
              <a16:creationId xmlns:a16="http://schemas.microsoft.com/office/drawing/2014/main" id="{6B8F4247-30E8-998E-2512-11DB3AC2AE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9719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1428</xdr:row>
      <xdr:rowOff>0</xdr:rowOff>
    </xdr:from>
    <xdr:to>
      <xdr:col>13</xdr:col>
      <xdr:colOff>0</xdr:colOff>
      <xdr:row>1429</xdr:row>
      <xdr:rowOff>148590</xdr:rowOff>
    </xdr:to>
    <xdr:pic>
      <xdr:nvPicPr>
        <xdr:cNvPr id="1785" name="Imagen 1784" descr="Ver detalle">
          <a:hlinkClick xmlns:r="http://schemas.openxmlformats.org/officeDocument/2006/relationships" r:id="rId1727" tooltip="Ver detalle"/>
          <a:extLst>
            <a:ext uri="{FF2B5EF4-FFF2-40B4-BE49-F238E27FC236}">
              <a16:creationId xmlns:a16="http://schemas.microsoft.com/office/drawing/2014/main" id="{AA732EB8-F0EC-7758-D4EA-865DEA074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0634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1429</xdr:row>
      <xdr:rowOff>0</xdr:rowOff>
    </xdr:from>
    <xdr:to>
      <xdr:col>13</xdr:col>
      <xdr:colOff>0</xdr:colOff>
      <xdr:row>1430</xdr:row>
      <xdr:rowOff>148590</xdr:rowOff>
    </xdr:to>
    <xdr:pic>
      <xdr:nvPicPr>
        <xdr:cNvPr id="1786" name="Imagen 1785" descr="Ver detalle">
          <a:hlinkClick xmlns:r="http://schemas.openxmlformats.org/officeDocument/2006/relationships" r:id="rId1728" tooltip="Ver detalle"/>
          <a:extLst>
            <a:ext uri="{FF2B5EF4-FFF2-40B4-BE49-F238E27FC236}">
              <a16:creationId xmlns:a16="http://schemas.microsoft.com/office/drawing/2014/main" id="{96F90961-7C49-3FE0-AFDA-1D86B5CFB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1548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1417</xdr:row>
      <xdr:rowOff>0</xdr:rowOff>
    </xdr:from>
    <xdr:to>
      <xdr:col>13</xdr:col>
      <xdr:colOff>0</xdr:colOff>
      <xdr:row>1418</xdr:row>
      <xdr:rowOff>148590</xdr:rowOff>
    </xdr:to>
    <xdr:pic>
      <xdr:nvPicPr>
        <xdr:cNvPr id="1787" name="Imagen 1786" descr="Ver detalle">
          <a:hlinkClick xmlns:r="http://schemas.openxmlformats.org/officeDocument/2006/relationships" r:id="rId1729" tooltip="Ver detalle"/>
          <a:extLst>
            <a:ext uri="{FF2B5EF4-FFF2-40B4-BE49-F238E27FC236}">
              <a16:creationId xmlns:a16="http://schemas.microsoft.com/office/drawing/2014/main" id="{FCF307D1-45B3-9D59-931E-2E1F5A6B1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2851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1422</xdr:row>
      <xdr:rowOff>0</xdr:rowOff>
    </xdr:from>
    <xdr:to>
      <xdr:col>13</xdr:col>
      <xdr:colOff>0</xdr:colOff>
      <xdr:row>1423</xdr:row>
      <xdr:rowOff>148590</xdr:rowOff>
    </xdr:to>
    <xdr:pic>
      <xdr:nvPicPr>
        <xdr:cNvPr id="1788" name="Imagen 1787" descr="Ver detalle">
          <a:hlinkClick xmlns:r="http://schemas.openxmlformats.org/officeDocument/2006/relationships" r:id="rId1730" tooltip="Ver detalle"/>
          <a:extLst>
            <a:ext uri="{FF2B5EF4-FFF2-40B4-BE49-F238E27FC236}">
              <a16:creationId xmlns:a16="http://schemas.microsoft.com/office/drawing/2014/main" id="{385043CF-CD7A-17A8-B880-61A7F65E1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480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1444</xdr:row>
      <xdr:rowOff>0</xdr:rowOff>
    </xdr:from>
    <xdr:to>
      <xdr:col>13</xdr:col>
      <xdr:colOff>0</xdr:colOff>
      <xdr:row>1445</xdr:row>
      <xdr:rowOff>148590</xdr:rowOff>
    </xdr:to>
    <xdr:pic>
      <xdr:nvPicPr>
        <xdr:cNvPr id="1789" name="Imagen 1788" descr="Ver detalle">
          <a:hlinkClick xmlns:r="http://schemas.openxmlformats.org/officeDocument/2006/relationships" r:id="rId1731" tooltip="Ver detalle"/>
          <a:extLst>
            <a:ext uri="{FF2B5EF4-FFF2-40B4-BE49-F238E27FC236}">
              <a16:creationId xmlns:a16="http://schemas.microsoft.com/office/drawing/2014/main" id="{AD78A480-DF03-497C-537C-04F5BCBAA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610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1443</xdr:row>
      <xdr:rowOff>0</xdr:rowOff>
    </xdr:from>
    <xdr:to>
      <xdr:col>13</xdr:col>
      <xdr:colOff>0</xdr:colOff>
      <xdr:row>1444</xdr:row>
      <xdr:rowOff>148590</xdr:rowOff>
    </xdr:to>
    <xdr:pic>
      <xdr:nvPicPr>
        <xdr:cNvPr id="1790" name="Imagen 1789" descr="Ver detalle">
          <a:hlinkClick xmlns:r="http://schemas.openxmlformats.org/officeDocument/2006/relationships" r:id="rId1732" tooltip="Ver detalle"/>
          <a:extLst>
            <a:ext uri="{FF2B5EF4-FFF2-40B4-BE49-F238E27FC236}">
              <a16:creationId xmlns:a16="http://schemas.microsoft.com/office/drawing/2014/main" id="{D02F042C-E108-91BD-AA2C-A3953F70B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8056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1442</xdr:row>
      <xdr:rowOff>0</xdr:rowOff>
    </xdr:from>
    <xdr:to>
      <xdr:col>13</xdr:col>
      <xdr:colOff>0</xdr:colOff>
      <xdr:row>1443</xdr:row>
      <xdr:rowOff>148590</xdr:rowOff>
    </xdr:to>
    <xdr:pic>
      <xdr:nvPicPr>
        <xdr:cNvPr id="1791" name="Imagen 1790" descr="Ver detalle">
          <a:hlinkClick xmlns:r="http://schemas.openxmlformats.org/officeDocument/2006/relationships" r:id="rId1733" tooltip="Ver detalle"/>
          <a:extLst>
            <a:ext uri="{FF2B5EF4-FFF2-40B4-BE49-F238E27FC236}">
              <a16:creationId xmlns:a16="http://schemas.microsoft.com/office/drawing/2014/main" id="{96F1EF0A-1A42-ED1F-877B-05E7B2EDD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000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1441</xdr:row>
      <xdr:rowOff>0</xdr:rowOff>
    </xdr:from>
    <xdr:to>
      <xdr:col>13</xdr:col>
      <xdr:colOff>0</xdr:colOff>
      <xdr:row>1442</xdr:row>
      <xdr:rowOff>148590</xdr:rowOff>
    </xdr:to>
    <xdr:pic>
      <xdr:nvPicPr>
        <xdr:cNvPr id="1792" name="Imagen 1791" descr="Ver detalle">
          <a:hlinkClick xmlns:r="http://schemas.openxmlformats.org/officeDocument/2006/relationships" r:id="rId1734" tooltip="Ver detalle"/>
          <a:extLst>
            <a:ext uri="{FF2B5EF4-FFF2-40B4-BE49-F238E27FC236}">
              <a16:creationId xmlns:a16="http://schemas.microsoft.com/office/drawing/2014/main" id="{CF9ED6FA-48D3-59BC-A617-393B6ADD8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195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1440</xdr:row>
      <xdr:rowOff>0</xdr:rowOff>
    </xdr:from>
    <xdr:to>
      <xdr:col>13</xdr:col>
      <xdr:colOff>0</xdr:colOff>
      <xdr:row>1441</xdr:row>
      <xdr:rowOff>148590</xdr:rowOff>
    </xdr:to>
    <xdr:pic>
      <xdr:nvPicPr>
        <xdr:cNvPr id="1793" name="Imagen 1792" descr="Ver detalle">
          <a:hlinkClick xmlns:r="http://schemas.openxmlformats.org/officeDocument/2006/relationships" r:id="rId1735" tooltip="Ver detalle"/>
          <a:extLst>
            <a:ext uri="{FF2B5EF4-FFF2-40B4-BE49-F238E27FC236}">
              <a16:creationId xmlns:a16="http://schemas.microsoft.com/office/drawing/2014/main" id="{E54AB06C-F21E-DF01-A53D-0AAB3887F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390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1439</xdr:row>
      <xdr:rowOff>0</xdr:rowOff>
    </xdr:from>
    <xdr:to>
      <xdr:col>13</xdr:col>
      <xdr:colOff>0</xdr:colOff>
      <xdr:row>1440</xdr:row>
      <xdr:rowOff>148590</xdr:rowOff>
    </xdr:to>
    <xdr:pic>
      <xdr:nvPicPr>
        <xdr:cNvPr id="1794" name="Imagen 1793" descr="Ver detalle">
          <a:hlinkClick xmlns:r="http://schemas.openxmlformats.org/officeDocument/2006/relationships" r:id="rId1736" tooltip="Ver detalle"/>
          <a:extLst>
            <a:ext uri="{FF2B5EF4-FFF2-40B4-BE49-F238E27FC236}">
              <a16:creationId xmlns:a16="http://schemas.microsoft.com/office/drawing/2014/main" id="{8B073D5F-851A-57B7-A082-C084598D2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585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1414</xdr:row>
      <xdr:rowOff>0</xdr:rowOff>
    </xdr:from>
    <xdr:to>
      <xdr:col>13</xdr:col>
      <xdr:colOff>0</xdr:colOff>
      <xdr:row>1415</xdr:row>
      <xdr:rowOff>148590</xdr:rowOff>
    </xdr:to>
    <xdr:pic>
      <xdr:nvPicPr>
        <xdr:cNvPr id="1795" name="Imagen 1794" descr="Ver detalle">
          <a:hlinkClick xmlns:r="http://schemas.openxmlformats.org/officeDocument/2006/relationships" r:id="rId1737" tooltip="Ver detalle"/>
          <a:extLst>
            <a:ext uri="{FF2B5EF4-FFF2-40B4-BE49-F238E27FC236}">
              <a16:creationId xmlns:a16="http://schemas.microsoft.com/office/drawing/2014/main" id="{F2020DAC-CF21-C6CF-CC19-B00D2E74D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780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1412</xdr:row>
      <xdr:rowOff>0</xdr:rowOff>
    </xdr:from>
    <xdr:to>
      <xdr:col>13</xdr:col>
      <xdr:colOff>0</xdr:colOff>
      <xdr:row>1413</xdr:row>
      <xdr:rowOff>148590</xdr:rowOff>
    </xdr:to>
    <xdr:pic>
      <xdr:nvPicPr>
        <xdr:cNvPr id="1796" name="Imagen 1795" descr="Ver detalle">
          <a:hlinkClick xmlns:r="http://schemas.openxmlformats.org/officeDocument/2006/relationships" r:id="rId1738" tooltip="Ver detalle"/>
          <a:extLst>
            <a:ext uri="{FF2B5EF4-FFF2-40B4-BE49-F238E27FC236}">
              <a16:creationId xmlns:a16="http://schemas.microsoft.com/office/drawing/2014/main" id="{F5857A1E-D0AC-4DC0-3109-05CA103A9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911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1415</xdr:row>
      <xdr:rowOff>0</xdr:rowOff>
    </xdr:from>
    <xdr:to>
      <xdr:col>13</xdr:col>
      <xdr:colOff>0</xdr:colOff>
      <xdr:row>1416</xdr:row>
      <xdr:rowOff>148590</xdr:rowOff>
    </xdr:to>
    <xdr:pic>
      <xdr:nvPicPr>
        <xdr:cNvPr id="1797" name="Imagen 1796" descr="Ver detalle">
          <a:hlinkClick xmlns:r="http://schemas.openxmlformats.org/officeDocument/2006/relationships" r:id="rId1739" tooltip="Ver detalle"/>
          <a:extLst>
            <a:ext uri="{FF2B5EF4-FFF2-40B4-BE49-F238E27FC236}">
              <a16:creationId xmlns:a16="http://schemas.microsoft.com/office/drawing/2014/main" id="{8647361D-4FDA-8BD2-16C9-011FB944B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106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1416</xdr:row>
      <xdr:rowOff>0</xdr:rowOff>
    </xdr:from>
    <xdr:to>
      <xdr:col>13</xdr:col>
      <xdr:colOff>0</xdr:colOff>
      <xdr:row>1417</xdr:row>
      <xdr:rowOff>148590</xdr:rowOff>
    </xdr:to>
    <xdr:pic>
      <xdr:nvPicPr>
        <xdr:cNvPr id="1798" name="Imagen 1797" descr="Ver detalle">
          <a:hlinkClick xmlns:r="http://schemas.openxmlformats.org/officeDocument/2006/relationships" r:id="rId1740" tooltip="Ver detalle"/>
          <a:extLst>
            <a:ext uri="{FF2B5EF4-FFF2-40B4-BE49-F238E27FC236}">
              <a16:creationId xmlns:a16="http://schemas.microsoft.com/office/drawing/2014/main" id="{C39ECD41-D2C4-FF44-3AFF-59942A227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301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1490</xdr:row>
      <xdr:rowOff>0</xdr:rowOff>
    </xdr:from>
    <xdr:to>
      <xdr:col>13</xdr:col>
      <xdr:colOff>0</xdr:colOff>
      <xdr:row>1491</xdr:row>
      <xdr:rowOff>148590</xdr:rowOff>
    </xdr:to>
    <xdr:pic>
      <xdr:nvPicPr>
        <xdr:cNvPr id="1799" name="Imagen 1798" descr="Ver detalle">
          <a:hlinkClick xmlns:r="http://schemas.openxmlformats.org/officeDocument/2006/relationships" r:id="rId1741" tooltip="Ver detalle"/>
          <a:extLst>
            <a:ext uri="{FF2B5EF4-FFF2-40B4-BE49-F238E27FC236}">
              <a16:creationId xmlns:a16="http://schemas.microsoft.com/office/drawing/2014/main" id="{9E65D778-52C7-CE8D-A885-F2AA0788B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019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1491</xdr:row>
      <xdr:rowOff>0</xdr:rowOff>
    </xdr:from>
    <xdr:to>
      <xdr:col>13</xdr:col>
      <xdr:colOff>0</xdr:colOff>
      <xdr:row>1492</xdr:row>
      <xdr:rowOff>148590</xdr:rowOff>
    </xdr:to>
    <xdr:pic>
      <xdr:nvPicPr>
        <xdr:cNvPr id="1800" name="Imagen 1799" descr="Ver detalle">
          <a:hlinkClick xmlns:r="http://schemas.openxmlformats.org/officeDocument/2006/relationships" r:id="rId1742" tooltip="Ver detalle"/>
          <a:extLst>
            <a:ext uri="{FF2B5EF4-FFF2-40B4-BE49-F238E27FC236}">
              <a16:creationId xmlns:a16="http://schemas.microsoft.com/office/drawing/2014/main" id="{CAC7EAA1-6EE8-8611-14E5-9686DD8C12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214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1488</xdr:row>
      <xdr:rowOff>0</xdr:rowOff>
    </xdr:from>
    <xdr:to>
      <xdr:col>13</xdr:col>
      <xdr:colOff>0</xdr:colOff>
      <xdr:row>1489</xdr:row>
      <xdr:rowOff>148590</xdr:rowOff>
    </xdr:to>
    <xdr:pic>
      <xdr:nvPicPr>
        <xdr:cNvPr id="1801" name="Imagen 1800" descr="Ver detalle">
          <a:hlinkClick xmlns:r="http://schemas.openxmlformats.org/officeDocument/2006/relationships" r:id="rId1743" tooltip="Ver detalle"/>
          <a:extLst>
            <a:ext uri="{FF2B5EF4-FFF2-40B4-BE49-F238E27FC236}">
              <a16:creationId xmlns:a16="http://schemas.microsoft.com/office/drawing/2014/main" id="{B3962F82-8AA3-FDA7-F588-961300E9B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4099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1521</xdr:row>
      <xdr:rowOff>0</xdr:rowOff>
    </xdr:from>
    <xdr:to>
      <xdr:col>13</xdr:col>
      <xdr:colOff>0</xdr:colOff>
      <xdr:row>1522</xdr:row>
      <xdr:rowOff>148590</xdr:rowOff>
    </xdr:to>
    <xdr:pic>
      <xdr:nvPicPr>
        <xdr:cNvPr id="1802" name="Imagen 1801" descr="Ver detalle">
          <a:hlinkClick xmlns:r="http://schemas.openxmlformats.org/officeDocument/2006/relationships" r:id="rId1744" tooltip="Ver detalle"/>
          <a:extLst>
            <a:ext uri="{FF2B5EF4-FFF2-40B4-BE49-F238E27FC236}">
              <a16:creationId xmlns:a16="http://schemas.microsoft.com/office/drawing/2014/main" id="{5CAA245F-8705-C8C1-6884-23ABC4D01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6049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1492</xdr:row>
      <xdr:rowOff>0</xdr:rowOff>
    </xdr:from>
    <xdr:to>
      <xdr:col>13</xdr:col>
      <xdr:colOff>0</xdr:colOff>
      <xdr:row>1493</xdr:row>
      <xdr:rowOff>148590</xdr:rowOff>
    </xdr:to>
    <xdr:pic>
      <xdr:nvPicPr>
        <xdr:cNvPr id="1803" name="Imagen 1802" descr="Ver detalle">
          <a:hlinkClick xmlns:r="http://schemas.openxmlformats.org/officeDocument/2006/relationships" r:id="rId1745" tooltip="Ver detalle"/>
          <a:extLst>
            <a:ext uri="{FF2B5EF4-FFF2-40B4-BE49-F238E27FC236}">
              <a16:creationId xmlns:a16="http://schemas.microsoft.com/office/drawing/2014/main" id="{E93A7A63-3B11-9BFA-4CDB-EF70BA55EE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800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1493</xdr:row>
      <xdr:rowOff>0</xdr:rowOff>
    </xdr:from>
    <xdr:to>
      <xdr:col>13</xdr:col>
      <xdr:colOff>0</xdr:colOff>
      <xdr:row>1494</xdr:row>
      <xdr:rowOff>148590</xdr:rowOff>
    </xdr:to>
    <xdr:pic>
      <xdr:nvPicPr>
        <xdr:cNvPr id="1804" name="Imagen 1803" descr="Ver detalle">
          <a:hlinkClick xmlns:r="http://schemas.openxmlformats.org/officeDocument/2006/relationships" r:id="rId1746" tooltip="Ver detalle"/>
          <a:extLst>
            <a:ext uri="{FF2B5EF4-FFF2-40B4-BE49-F238E27FC236}">
              <a16:creationId xmlns:a16="http://schemas.microsoft.com/office/drawing/2014/main" id="{8ABE8F0F-62F9-7A23-E0FD-0396F0306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891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1489</xdr:row>
      <xdr:rowOff>0</xdr:rowOff>
    </xdr:from>
    <xdr:to>
      <xdr:col>13</xdr:col>
      <xdr:colOff>0</xdr:colOff>
      <xdr:row>1490</xdr:row>
      <xdr:rowOff>148590</xdr:rowOff>
    </xdr:to>
    <xdr:pic>
      <xdr:nvPicPr>
        <xdr:cNvPr id="1805" name="Imagen 1804" descr="Ver detalle">
          <a:hlinkClick xmlns:r="http://schemas.openxmlformats.org/officeDocument/2006/relationships" r:id="rId1747" tooltip="Ver detalle"/>
          <a:extLst>
            <a:ext uri="{FF2B5EF4-FFF2-40B4-BE49-F238E27FC236}">
              <a16:creationId xmlns:a16="http://schemas.microsoft.com/office/drawing/2014/main" id="{07EBF14D-077C-F302-7A96-31FB3B0A0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086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1486</xdr:row>
      <xdr:rowOff>0</xdr:rowOff>
    </xdr:from>
    <xdr:to>
      <xdr:col>13</xdr:col>
      <xdr:colOff>0</xdr:colOff>
      <xdr:row>1487</xdr:row>
      <xdr:rowOff>148590</xdr:rowOff>
    </xdr:to>
    <xdr:pic>
      <xdr:nvPicPr>
        <xdr:cNvPr id="1806" name="Imagen 1805" descr="Ver detalle">
          <a:hlinkClick xmlns:r="http://schemas.openxmlformats.org/officeDocument/2006/relationships" r:id="rId1748" tooltip="Ver detalle"/>
          <a:extLst>
            <a:ext uri="{FF2B5EF4-FFF2-40B4-BE49-F238E27FC236}">
              <a16:creationId xmlns:a16="http://schemas.microsoft.com/office/drawing/2014/main" id="{59182CBA-6B3F-B877-4553-E0CB88851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1779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1520</xdr:row>
      <xdr:rowOff>0</xdr:rowOff>
    </xdr:from>
    <xdr:to>
      <xdr:col>13</xdr:col>
      <xdr:colOff>0</xdr:colOff>
      <xdr:row>1521</xdr:row>
      <xdr:rowOff>148590</xdr:rowOff>
    </xdr:to>
    <xdr:pic>
      <xdr:nvPicPr>
        <xdr:cNvPr id="1807" name="Imagen 1806" descr="Ver detalle">
          <a:hlinkClick xmlns:r="http://schemas.openxmlformats.org/officeDocument/2006/relationships" r:id="rId1749" tooltip="Ver detalle"/>
          <a:extLst>
            <a:ext uri="{FF2B5EF4-FFF2-40B4-BE49-F238E27FC236}">
              <a16:creationId xmlns:a16="http://schemas.microsoft.com/office/drawing/2014/main" id="{9716E562-7D80-1D3C-A0C9-48FCB220B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373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1484</xdr:row>
      <xdr:rowOff>0</xdr:rowOff>
    </xdr:from>
    <xdr:to>
      <xdr:col>13</xdr:col>
      <xdr:colOff>0</xdr:colOff>
      <xdr:row>1485</xdr:row>
      <xdr:rowOff>148590</xdr:rowOff>
    </xdr:to>
    <xdr:pic>
      <xdr:nvPicPr>
        <xdr:cNvPr id="1808" name="Imagen 1807" descr="Ver detalle">
          <a:hlinkClick xmlns:r="http://schemas.openxmlformats.org/officeDocument/2006/relationships" r:id="rId1750" tooltip="Ver detalle"/>
          <a:extLst>
            <a:ext uri="{FF2B5EF4-FFF2-40B4-BE49-F238E27FC236}">
              <a16:creationId xmlns:a16="http://schemas.microsoft.com/office/drawing/2014/main" id="{D0C286CB-4088-2993-CE7F-410719E70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464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1485</xdr:row>
      <xdr:rowOff>0</xdr:rowOff>
    </xdr:from>
    <xdr:to>
      <xdr:col>13</xdr:col>
      <xdr:colOff>0</xdr:colOff>
      <xdr:row>1486</xdr:row>
      <xdr:rowOff>148590</xdr:rowOff>
    </xdr:to>
    <xdr:pic>
      <xdr:nvPicPr>
        <xdr:cNvPr id="1809" name="Imagen 1808" descr="Ver detalle">
          <a:hlinkClick xmlns:r="http://schemas.openxmlformats.org/officeDocument/2006/relationships" r:id="rId1751" tooltip="Ver detalle"/>
          <a:extLst>
            <a:ext uri="{FF2B5EF4-FFF2-40B4-BE49-F238E27FC236}">
              <a16:creationId xmlns:a16="http://schemas.microsoft.com/office/drawing/2014/main" id="{D3872014-1D66-F5F0-57D2-416EC1218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659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1522</xdr:row>
      <xdr:rowOff>0</xdr:rowOff>
    </xdr:from>
    <xdr:to>
      <xdr:col>13</xdr:col>
      <xdr:colOff>0</xdr:colOff>
      <xdr:row>1523</xdr:row>
      <xdr:rowOff>148590</xdr:rowOff>
    </xdr:to>
    <xdr:pic>
      <xdr:nvPicPr>
        <xdr:cNvPr id="1810" name="Imagen 1809" descr="Ver detalle">
          <a:hlinkClick xmlns:r="http://schemas.openxmlformats.org/officeDocument/2006/relationships" r:id="rId1752" tooltip="Ver detalle"/>
          <a:extLst>
            <a:ext uri="{FF2B5EF4-FFF2-40B4-BE49-F238E27FC236}">
              <a16:creationId xmlns:a16="http://schemas.microsoft.com/office/drawing/2014/main" id="{0E8C1EE4-3199-7DCC-2116-866969384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751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1511</xdr:row>
      <xdr:rowOff>0</xdr:rowOff>
    </xdr:from>
    <xdr:to>
      <xdr:col>13</xdr:col>
      <xdr:colOff>0</xdr:colOff>
      <xdr:row>1512</xdr:row>
      <xdr:rowOff>148590</xdr:rowOff>
    </xdr:to>
    <xdr:pic>
      <xdr:nvPicPr>
        <xdr:cNvPr id="1811" name="Imagen 1810" descr="Ver detalle">
          <a:hlinkClick xmlns:r="http://schemas.openxmlformats.org/officeDocument/2006/relationships" r:id="rId1753" tooltip="Ver detalle"/>
          <a:extLst>
            <a:ext uri="{FF2B5EF4-FFF2-40B4-BE49-F238E27FC236}">
              <a16:creationId xmlns:a16="http://schemas.microsoft.com/office/drawing/2014/main" id="{C54F7FD0-47DD-A3C4-132C-459B104A9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9460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1512</xdr:row>
      <xdr:rowOff>0</xdr:rowOff>
    </xdr:from>
    <xdr:to>
      <xdr:col>13</xdr:col>
      <xdr:colOff>0</xdr:colOff>
      <xdr:row>1513</xdr:row>
      <xdr:rowOff>148590</xdr:rowOff>
    </xdr:to>
    <xdr:pic>
      <xdr:nvPicPr>
        <xdr:cNvPr id="1812" name="Imagen 1811" descr="Ver detalle">
          <a:hlinkClick xmlns:r="http://schemas.openxmlformats.org/officeDocument/2006/relationships" r:id="rId1754" tooltip="Ver detalle"/>
          <a:extLst>
            <a:ext uri="{FF2B5EF4-FFF2-40B4-BE49-F238E27FC236}">
              <a16:creationId xmlns:a16="http://schemas.microsoft.com/office/drawing/2014/main" id="{194FF92C-D322-FDCE-779B-2D0E0C84C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141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1513</xdr:row>
      <xdr:rowOff>0</xdr:rowOff>
    </xdr:from>
    <xdr:to>
      <xdr:col>13</xdr:col>
      <xdr:colOff>0</xdr:colOff>
      <xdr:row>1514</xdr:row>
      <xdr:rowOff>148590</xdr:rowOff>
    </xdr:to>
    <xdr:pic>
      <xdr:nvPicPr>
        <xdr:cNvPr id="1813" name="Imagen 1812" descr="Ver detalle">
          <a:hlinkClick xmlns:r="http://schemas.openxmlformats.org/officeDocument/2006/relationships" r:id="rId1755" tooltip="Ver detalle"/>
          <a:extLst>
            <a:ext uri="{FF2B5EF4-FFF2-40B4-BE49-F238E27FC236}">
              <a16:creationId xmlns:a16="http://schemas.microsoft.com/office/drawing/2014/main" id="{B0250A05-D44B-2336-DA77-EBF0AAB53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3362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1526</xdr:row>
      <xdr:rowOff>0</xdr:rowOff>
    </xdr:from>
    <xdr:to>
      <xdr:col>13</xdr:col>
      <xdr:colOff>0</xdr:colOff>
      <xdr:row>1527</xdr:row>
      <xdr:rowOff>148590</xdr:rowOff>
    </xdr:to>
    <xdr:pic>
      <xdr:nvPicPr>
        <xdr:cNvPr id="1814" name="Imagen 1813" descr="Ver detalle">
          <a:hlinkClick xmlns:r="http://schemas.openxmlformats.org/officeDocument/2006/relationships" r:id="rId1756" tooltip="Ver detalle"/>
          <a:extLst>
            <a:ext uri="{FF2B5EF4-FFF2-40B4-BE49-F238E27FC236}">
              <a16:creationId xmlns:a16="http://schemas.microsoft.com/office/drawing/2014/main" id="{A83928FD-DEB2-77E1-AA6B-605607037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531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1527</xdr:row>
      <xdr:rowOff>0</xdr:rowOff>
    </xdr:from>
    <xdr:to>
      <xdr:col>13</xdr:col>
      <xdr:colOff>0</xdr:colOff>
      <xdr:row>1528</xdr:row>
      <xdr:rowOff>148590</xdr:rowOff>
    </xdr:to>
    <xdr:pic>
      <xdr:nvPicPr>
        <xdr:cNvPr id="1815" name="Imagen 1814" descr="Ver detalle">
          <a:hlinkClick xmlns:r="http://schemas.openxmlformats.org/officeDocument/2006/relationships" r:id="rId1757" tooltip="Ver detalle"/>
          <a:extLst>
            <a:ext uri="{FF2B5EF4-FFF2-40B4-BE49-F238E27FC236}">
              <a16:creationId xmlns:a16="http://schemas.microsoft.com/office/drawing/2014/main" id="{470EDB2F-7E4F-5FA8-4AA8-DF1A4984E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7263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1528</xdr:row>
      <xdr:rowOff>0</xdr:rowOff>
    </xdr:from>
    <xdr:to>
      <xdr:col>13</xdr:col>
      <xdr:colOff>0</xdr:colOff>
      <xdr:row>1529</xdr:row>
      <xdr:rowOff>148590</xdr:rowOff>
    </xdr:to>
    <xdr:pic>
      <xdr:nvPicPr>
        <xdr:cNvPr id="1816" name="Imagen 1815" descr="Ver detalle">
          <a:hlinkClick xmlns:r="http://schemas.openxmlformats.org/officeDocument/2006/relationships" r:id="rId1758" tooltip="Ver detalle"/>
          <a:extLst>
            <a:ext uri="{FF2B5EF4-FFF2-40B4-BE49-F238E27FC236}">
              <a16:creationId xmlns:a16="http://schemas.microsoft.com/office/drawing/2014/main" id="{512F4604-CDD4-E41A-9504-7B612FA48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921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1529</xdr:row>
      <xdr:rowOff>0</xdr:rowOff>
    </xdr:from>
    <xdr:to>
      <xdr:col>13</xdr:col>
      <xdr:colOff>0</xdr:colOff>
      <xdr:row>1530</xdr:row>
      <xdr:rowOff>148590</xdr:rowOff>
    </xdr:to>
    <xdr:pic>
      <xdr:nvPicPr>
        <xdr:cNvPr id="1817" name="Imagen 1816" descr="Ver detalle">
          <a:hlinkClick xmlns:r="http://schemas.openxmlformats.org/officeDocument/2006/relationships" r:id="rId1759" tooltip="Ver detalle"/>
          <a:extLst>
            <a:ext uri="{FF2B5EF4-FFF2-40B4-BE49-F238E27FC236}">
              <a16:creationId xmlns:a16="http://schemas.microsoft.com/office/drawing/2014/main" id="{C3ADE9F5-43D1-6233-24BA-79FC81B0B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116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1530</xdr:row>
      <xdr:rowOff>0</xdr:rowOff>
    </xdr:from>
    <xdr:to>
      <xdr:col>13</xdr:col>
      <xdr:colOff>0</xdr:colOff>
      <xdr:row>1531</xdr:row>
      <xdr:rowOff>148590</xdr:rowOff>
    </xdr:to>
    <xdr:pic>
      <xdr:nvPicPr>
        <xdr:cNvPr id="1818" name="Imagen 1817" descr="Ver detalle">
          <a:hlinkClick xmlns:r="http://schemas.openxmlformats.org/officeDocument/2006/relationships" r:id="rId1760" tooltip="Ver detalle"/>
          <a:extLst>
            <a:ext uri="{FF2B5EF4-FFF2-40B4-BE49-F238E27FC236}">
              <a16:creationId xmlns:a16="http://schemas.microsoft.com/office/drawing/2014/main" id="{B83BE6BF-D291-A153-E487-7BDF62FFA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2079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1487</xdr:row>
      <xdr:rowOff>0</xdr:rowOff>
    </xdr:from>
    <xdr:to>
      <xdr:col>13</xdr:col>
      <xdr:colOff>0</xdr:colOff>
      <xdr:row>1488</xdr:row>
      <xdr:rowOff>148590</xdr:rowOff>
    </xdr:to>
    <xdr:pic>
      <xdr:nvPicPr>
        <xdr:cNvPr id="1819" name="Imagen 1818" descr="Ver detalle">
          <a:hlinkClick xmlns:r="http://schemas.openxmlformats.org/officeDocument/2006/relationships" r:id="rId1761" tooltip="Ver detalle"/>
          <a:extLst>
            <a:ext uri="{FF2B5EF4-FFF2-40B4-BE49-F238E27FC236}">
              <a16:creationId xmlns:a16="http://schemas.microsoft.com/office/drawing/2014/main" id="{1FD8643C-8345-C5C0-C61C-55FB5C663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403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1507</xdr:row>
      <xdr:rowOff>0</xdr:rowOff>
    </xdr:from>
    <xdr:to>
      <xdr:col>13</xdr:col>
      <xdr:colOff>0</xdr:colOff>
      <xdr:row>1508</xdr:row>
      <xdr:rowOff>148590</xdr:rowOff>
    </xdr:to>
    <xdr:pic>
      <xdr:nvPicPr>
        <xdr:cNvPr id="1820" name="Imagen 1819" descr="Ver detalle">
          <a:hlinkClick xmlns:r="http://schemas.openxmlformats.org/officeDocument/2006/relationships" r:id="rId1762" tooltip="Ver detalle"/>
          <a:extLst>
            <a:ext uri="{FF2B5EF4-FFF2-40B4-BE49-F238E27FC236}">
              <a16:creationId xmlns:a16="http://schemas.microsoft.com/office/drawing/2014/main" id="{536FF913-F907-AE08-1B28-C438D267B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494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1523</xdr:row>
      <xdr:rowOff>0</xdr:rowOff>
    </xdr:from>
    <xdr:to>
      <xdr:col>13</xdr:col>
      <xdr:colOff>0</xdr:colOff>
      <xdr:row>1524</xdr:row>
      <xdr:rowOff>148590</xdr:rowOff>
    </xdr:to>
    <xdr:pic>
      <xdr:nvPicPr>
        <xdr:cNvPr id="1821" name="Imagen 1820" descr="Ver detalle">
          <a:hlinkClick xmlns:r="http://schemas.openxmlformats.org/officeDocument/2006/relationships" r:id="rId1763" tooltip="Ver detalle"/>
          <a:extLst>
            <a:ext uri="{FF2B5EF4-FFF2-40B4-BE49-F238E27FC236}">
              <a16:creationId xmlns:a16="http://schemas.microsoft.com/office/drawing/2014/main" id="{A6A213DB-2FD5-48F3-F7D6-4F367E1C3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68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1524</xdr:row>
      <xdr:rowOff>0</xdr:rowOff>
    </xdr:from>
    <xdr:to>
      <xdr:col>13</xdr:col>
      <xdr:colOff>0</xdr:colOff>
      <xdr:row>1525</xdr:row>
      <xdr:rowOff>148590</xdr:rowOff>
    </xdr:to>
    <xdr:pic>
      <xdr:nvPicPr>
        <xdr:cNvPr id="1822" name="Imagen 1821" descr="Ver detalle">
          <a:hlinkClick xmlns:r="http://schemas.openxmlformats.org/officeDocument/2006/relationships" r:id="rId1764" tooltip="Ver detalle"/>
          <a:extLst>
            <a:ext uri="{FF2B5EF4-FFF2-40B4-BE49-F238E27FC236}">
              <a16:creationId xmlns:a16="http://schemas.microsoft.com/office/drawing/2014/main" id="{8BBE61EA-D5C2-E4B2-C41A-2602B1B8F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884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1508</xdr:row>
      <xdr:rowOff>0</xdr:rowOff>
    </xdr:from>
    <xdr:to>
      <xdr:col>13</xdr:col>
      <xdr:colOff>0</xdr:colOff>
      <xdr:row>1509</xdr:row>
      <xdr:rowOff>148590</xdr:rowOff>
    </xdr:to>
    <xdr:pic>
      <xdr:nvPicPr>
        <xdr:cNvPr id="1823" name="Imagen 1822" descr="Ver detalle">
          <a:hlinkClick xmlns:r="http://schemas.openxmlformats.org/officeDocument/2006/relationships" r:id="rId1765" tooltip="Ver detalle"/>
          <a:extLst>
            <a:ext uri="{FF2B5EF4-FFF2-40B4-BE49-F238E27FC236}">
              <a16:creationId xmlns:a16="http://schemas.microsoft.com/office/drawing/2014/main" id="{7F1020BE-7BDE-1403-F01B-EA2BFBACC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2747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1509</xdr:row>
      <xdr:rowOff>0</xdr:rowOff>
    </xdr:from>
    <xdr:to>
      <xdr:col>13</xdr:col>
      <xdr:colOff>0</xdr:colOff>
      <xdr:row>1510</xdr:row>
      <xdr:rowOff>148590</xdr:rowOff>
    </xdr:to>
    <xdr:pic>
      <xdr:nvPicPr>
        <xdr:cNvPr id="1824" name="Imagen 1823" descr="Ver detalle">
          <a:hlinkClick xmlns:r="http://schemas.openxmlformats.org/officeDocument/2006/relationships" r:id="rId1766" tooltip="Ver detalle"/>
          <a:extLst>
            <a:ext uri="{FF2B5EF4-FFF2-40B4-BE49-F238E27FC236}">
              <a16:creationId xmlns:a16="http://schemas.microsoft.com/office/drawing/2014/main" id="{60A8F7B3-2BDD-F8FA-863E-0B4F9AC5F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4698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1510</xdr:row>
      <xdr:rowOff>0</xdr:rowOff>
    </xdr:from>
    <xdr:to>
      <xdr:col>13</xdr:col>
      <xdr:colOff>0</xdr:colOff>
      <xdr:row>1511</xdr:row>
      <xdr:rowOff>148590</xdr:rowOff>
    </xdr:to>
    <xdr:pic>
      <xdr:nvPicPr>
        <xdr:cNvPr id="1825" name="Imagen 1824" descr="Ver detalle">
          <a:hlinkClick xmlns:r="http://schemas.openxmlformats.org/officeDocument/2006/relationships" r:id="rId1767" tooltip="Ver detalle"/>
          <a:extLst>
            <a:ext uri="{FF2B5EF4-FFF2-40B4-BE49-F238E27FC236}">
              <a16:creationId xmlns:a16="http://schemas.microsoft.com/office/drawing/2014/main" id="{ADB8247A-4F5E-2FBF-C5E9-96A8F53CF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664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1514</xdr:row>
      <xdr:rowOff>0</xdr:rowOff>
    </xdr:from>
    <xdr:to>
      <xdr:col>13</xdr:col>
      <xdr:colOff>0</xdr:colOff>
      <xdr:row>1515</xdr:row>
      <xdr:rowOff>148590</xdr:rowOff>
    </xdr:to>
    <xdr:pic>
      <xdr:nvPicPr>
        <xdr:cNvPr id="1826" name="Imagen 1825" descr="Ver detalle">
          <a:hlinkClick xmlns:r="http://schemas.openxmlformats.org/officeDocument/2006/relationships" r:id="rId1768" tooltip="Ver detalle"/>
          <a:extLst>
            <a:ext uri="{FF2B5EF4-FFF2-40B4-BE49-F238E27FC236}">
              <a16:creationId xmlns:a16="http://schemas.microsoft.com/office/drawing/2014/main" id="{973A8CDA-0588-518D-F45D-B3AF0D1BD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859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1515</xdr:row>
      <xdr:rowOff>0</xdr:rowOff>
    </xdr:from>
    <xdr:to>
      <xdr:col>13</xdr:col>
      <xdr:colOff>0</xdr:colOff>
      <xdr:row>1516</xdr:row>
      <xdr:rowOff>148590</xdr:rowOff>
    </xdr:to>
    <xdr:pic>
      <xdr:nvPicPr>
        <xdr:cNvPr id="1827" name="Imagen 1826" descr="Ver detalle">
          <a:hlinkClick xmlns:r="http://schemas.openxmlformats.org/officeDocument/2006/relationships" r:id="rId1769" tooltip="Ver detalle"/>
          <a:extLst>
            <a:ext uri="{FF2B5EF4-FFF2-40B4-BE49-F238E27FC236}">
              <a16:creationId xmlns:a16="http://schemas.microsoft.com/office/drawing/2014/main" id="{55C7B662-C236-9BFB-4F3E-258013BB4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0550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1516</xdr:row>
      <xdr:rowOff>0</xdr:rowOff>
    </xdr:from>
    <xdr:to>
      <xdr:col>13</xdr:col>
      <xdr:colOff>0</xdr:colOff>
      <xdr:row>1517</xdr:row>
      <xdr:rowOff>148590</xdr:rowOff>
    </xdr:to>
    <xdr:pic>
      <xdr:nvPicPr>
        <xdr:cNvPr id="1828" name="Imagen 1827" descr="Ver detalle">
          <a:hlinkClick xmlns:r="http://schemas.openxmlformats.org/officeDocument/2006/relationships" r:id="rId1770" tooltip="Ver detalle"/>
          <a:extLst>
            <a:ext uri="{FF2B5EF4-FFF2-40B4-BE49-F238E27FC236}">
              <a16:creationId xmlns:a16="http://schemas.microsoft.com/office/drawing/2014/main" id="{8BDBEA70-9094-98FC-911E-BE6D7ECCF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2501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1517</xdr:row>
      <xdr:rowOff>0</xdr:rowOff>
    </xdr:from>
    <xdr:to>
      <xdr:col>13</xdr:col>
      <xdr:colOff>0</xdr:colOff>
      <xdr:row>1518</xdr:row>
      <xdr:rowOff>148590</xdr:rowOff>
    </xdr:to>
    <xdr:pic>
      <xdr:nvPicPr>
        <xdr:cNvPr id="1829" name="Imagen 1828" descr="Ver detalle">
          <a:hlinkClick xmlns:r="http://schemas.openxmlformats.org/officeDocument/2006/relationships" r:id="rId1771" tooltip="Ver detalle"/>
          <a:extLst>
            <a:ext uri="{FF2B5EF4-FFF2-40B4-BE49-F238E27FC236}">
              <a16:creationId xmlns:a16="http://schemas.microsoft.com/office/drawing/2014/main" id="{10F39245-A326-4388-25CF-E1B6A399F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445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1518</xdr:row>
      <xdr:rowOff>0</xdr:rowOff>
    </xdr:from>
    <xdr:to>
      <xdr:col>13</xdr:col>
      <xdr:colOff>0</xdr:colOff>
      <xdr:row>1519</xdr:row>
      <xdr:rowOff>148590</xdr:rowOff>
    </xdr:to>
    <xdr:pic>
      <xdr:nvPicPr>
        <xdr:cNvPr id="1830" name="Imagen 1829" descr="Ver detalle">
          <a:hlinkClick xmlns:r="http://schemas.openxmlformats.org/officeDocument/2006/relationships" r:id="rId1772" tooltip="Ver detalle"/>
          <a:extLst>
            <a:ext uri="{FF2B5EF4-FFF2-40B4-BE49-F238E27FC236}">
              <a16:creationId xmlns:a16="http://schemas.microsoft.com/office/drawing/2014/main" id="{8E9255E0-31D1-69EA-056C-47037EC91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640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1519</xdr:row>
      <xdr:rowOff>0</xdr:rowOff>
    </xdr:from>
    <xdr:to>
      <xdr:col>13</xdr:col>
      <xdr:colOff>0</xdr:colOff>
      <xdr:row>1520</xdr:row>
      <xdr:rowOff>148590</xdr:rowOff>
    </xdr:to>
    <xdr:pic>
      <xdr:nvPicPr>
        <xdr:cNvPr id="1831" name="Imagen 1830" descr="Ver detalle">
          <a:hlinkClick xmlns:r="http://schemas.openxmlformats.org/officeDocument/2006/relationships" r:id="rId1773" tooltip="Ver detalle"/>
          <a:extLst>
            <a:ext uri="{FF2B5EF4-FFF2-40B4-BE49-F238E27FC236}">
              <a16:creationId xmlns:a16="http://schemas.microsoft.com/office/drawing/2014/main" id="{D8882D1E-9EE6-96C6-48E6-3F108F5C9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731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1483</xdr:row>
      <xdr:rowOff>0</xdr:rowOff>
    </xdr:from>
    <xdr:to>
      <xdr:col>13</xdr:col>
      <xdr:colOff>0</xdr:colOff>
      <xdr:row>1484</xdr:row>
      <xdr:rowOff>148590</xdr:rowOff>
    </xdr:to>
    <xdr:pic>
      <xdr:nvPicPr>
        <xdr:cNvPr id="1832" name="Imagen 1831" descr="Ver detalle">
          <a:hlinkClick xmlns:r="http://schemas.openxmlformats.org/officeDocument/2006/relationships" r:id="rId1774" tooltip="Ver detalle"/>
          <a:extLst>
            <a:ext uri="{FF2B5EF4-FFF2-40B4-BE49-F238E27FC236}">
              <a16:creationId xmlns:a16="http://schemas.microsoft.com/office/drawing/2014/main" id="{53F3C7B8-2470-E09C-CC0F-81E66E342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823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1481</xdr:row>
      <xdr:rowOff>0</xdr:rowOff>
    </xdr:from>
    <xdr:to>
      <xdr:col>13</xdr:col>
      <xdr:colOff>0</xdr:colOff>
      <xdr:row>1482</xdr:row>
      <xdr:rowOff>148590</xdr:rowOff>
    </xdr:to>
    <xdr:pic>
      <xdr:nvPicPr>
        <xdr:cNvPr id="1833" name="Imagen 1832" descr="Ver detalle">
          <a:hlinkClick xmlns:r="http://schemas.openxmlformats.org/officeDocument/2006/relationships" r:id="rId1775" tooltip="Ver detalle"/>
          <a:extLst>
            <a:ext uri="{FF2B5EF4-FFF2-40B4-BE49-F238E27FC236}">
              <a16:creationId xmlns:a16="http://schemas.microsoft.com/office/drawing/2014/main" id="{C4B7E973-3179-FB16-E46F-DC62ED91E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0182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1480</xdr:row>
      <xdr:rowOff>0</xdr:rowOff>
    </xdr:from>
    <xdr:to>
      <xdr:col>13</xdr:col>
      <xdr:colOff>0</xdr:colOff>
      <xdr:row>1481</xdr:row>
      <xdr:rowOff>148590</xdr:rowOff>
    </xdr:to>
    <xdr:pic>
      <xdr:nvPicPr>
        <xdr:cNvPr id="1834" name="Imagen 1833" descr="Ver detalle">
          <a:hlinkClick xmlns:r="http://schemas.openxmlformats.org/officeDocument/2006/relationships" r:id="rId1776" tooltip="Ver detalle"/>
          <a:extLst>
            <a:ext uri="{FF2B5EF4-FFF2-40B4-BE49-F238E27FC236}">
              <a16:creationId xmlns:a16="http://schemas.microsoft.com/office/drawing/2014/main" id="{97564C72-845E-D873-B615-52CED6F07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2132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1479</xdr:row>
      <xdr:rowOff>0</xdr:rowOff>
    </xdr:from>
    <xdr:to>
      <xdr:col>13</xdr:col>
      <xdr:colOff>0</xdr:colOff>
      <xdr:row>1480</xdr:row>
      <xdr:rowOff>148590</xdr:rowOff>
    </xdr:to>
    <xdr:pic>
      <xdr:nvPicPr>
        <xdr:cNvPr id="1835" name="Imagen 1834" descr="Ver detalle">
          <a:hlinkClick xmlns:r="http://schemas.openxmlformats.org/officeDocument/2006/relationships" r:id="rId1777" tooltip="Ver detalle"/>
          <a:extLst>
            <a:ext uri="{FF2B5EF4-FFF2-40B4-BE49-F238E27FC236}">
              <a16:creationId xmlns:a16="http://schemas.microsoft.com/office/drawing/2014/main" id="{65B4D2C3-69F3-4C7E-E876-6BF41675D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4083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1482</xdr:row>
      <xdr:rowOff>0</xdr:rowOff>
    </xdr:from>
    <xdr:to>
      <xdr:col>13</xdr:col>
      <xdr:colOff>0</xdr:colOff>
      <xdr:row>1483</xdr:row>
      <xdr:rowOff>148590</xdr:rowOff>
    </xdr:to>
    <xdr:pic>
      <xdr:nvPicPr>
        <xdr:cNvPr id="1836" name="Imagen 1835" descr="Ver detalle">
          <a:hlinkClick xmlns:r="http://schemas.openxmlformats.org/officeDocument/2006/relationships" r:id="rId1778" tooltip="Ver detalle"/>
          <a:extLst>
            <a:ext uri="{FF2B5EF4-FFF2-40B4-BE49-F238E27FC236}">
              <a16:creationId xmlns:a16="http://schemas.microsoft.com/office/drawing/2014/main" id="{A0D66FCC-E07C-16EA-C804-018089649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603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1478</xdr:row>
      <xdr:rowOff>0</xdr:rowOff>
    </xdr:from>
    <xdr:to>
      <xdr:col>13</xdr:col>
      <xdr:colOff>0</xdr:colOff>
      <xdr:row>1479</xdr:row>
      <xdr:rowOff>148590</xdr:rowOff>
    </xdr:to>
    <xdr:pic>
      <xdr:nvPicPr>
        <xdr:cNvPr id="1837" name="Imagen 1836" descr="Ver detalle">
          <a:hlinkClick xmlns:r="http://schemas.openxmlformats.org/officeDocument/2006/relationships" r:id="rId1779" tooltip="Ver detalle"/>
          <a:extLst>
            <a:ext uri="{FF2B5EF4-FFF2-40B4-BE49-F238E27FC236}">
              <a16:creationId xmlns:a16="http://schemas.microsoft.com/office/drawing/2014/main" id="{27469154-8E6B-8BC1-D0AA-29B6DB589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798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1475</xdr:row>
      <xdr:rowOff>0</xdr:rowOff>
    </xdr:from>
    <xdr:to>
      <xdr:col>13</xdr:col>
      <xdr:colOff>0</xdr:colOff>
      <xdr:row>1476</xdr:row>
      <xdr:rowOff>148590</xdr:rowOff>
    </xdr:to>
    <xdr:pic>
      <xdr:nvPicPr>
        <xdr:cNvPr id="1838" name="Imagen 1837" descr="Ver detalle">
          <a:hlinkClick xmlns:r="http://schemas.openxmlformats.org/officeDocument/2006/relationships" r:id="rId1780" tooltip="Ver detalle"/>
          <a:extLst>
            <a:ext uri="{FF2B5EF4-FFF2-40B4-BE49-F238E27FC236}">
              <a16:creationId xmlns:a16="http://schemas.microsoft.com/office/drawing/2014/main" id="{2F2DD757-D75A-3462-9B0B-1CB0EFA26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993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1476</xdr:row>
      <xdr:rowOff>0</xdr:rowOff>
    </xdr:from>
    <xdr:to>
      <xdr:col>13</xdr:col>
      <xdr:colOff>0</xdr:colOff>
      <xdr:row>1477</xdr:row>
      <xdr:rowOff>148590</xdr:rowOff>
    </xdr:to>
    <xdr:pic>
      <xdr:nvPicPr>
        <xdr:cNvPr id="1839" name="Imagen 1838" descr="Ver detalle">
          <a:hlinkClick xmlns:r="http://schemas.openxmlformats.org/officeDocument/2006/relationships" r:id="rId1781" tooltip="Ver detalle"/>
          <a:extLst>
            <a:ext uri="{FF2B5EF4-FFF2-40B4-BE49-F238E27FC236}">
              <a16:creationId xmlns:a16="http://schemas.microsoft.com/office/drawing/2014/main" id="{9F60A328-7A42-A7A8-8FBD-6B0170001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1886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1506</xdr:row>
      <xdr:rowOff>0</xdr:rowOff>
    </xdr:from>
    <xdr:to>
      <xdr:col>13</xdr:col>
      <xdr:colOff>0</xdr:colOff>
      <xdr:row>1507</xdr:row>
      <xdr:rowOff>148590</xdr:rowOff>
    </xdr:to>
    <xdr:pic>
      <xdr:nvPicPr>
        <xdr:cNvPr id="1840" name="Imagen 1839" descr="Ver detalle">
          <a:hlinkClick xmlns:r="http://schemas.openxmlformats.org/officeDocument/2006/relationships" r:id="rId1782" tooltip="Ver detalle"/>
          <a:extLst>
            <a:ext uri="{FF2B5EF4-FFF2-40B4-BE49-F238E27FC236}">
              <a16:creationId xmlns:a16="http://schemas.microsoft.com/office/drawing/2014/main" id="{0A094364-6133-3C5C-0C46-CAD823C7E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2800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1474</xdr:row>
      <xdr:rowOff>0</xdr:rowOff>
    </xdr:from>
    <xdr:to>
      <xdr:col>13</xdr:col>
      <xdr:colOff>0</xdr:colOff>
      <xdr:row>1475</xdr:row>
      <xdr:rowOff>148590</xdr:rowOff>
    </xdr:to>
    <xdr:pic>
      <xdr:nvPicPr>
        <xdr:cNvPr id="1841" name="Imagen 1840" descr="Ver detalle">
          <a:hlinkClick xmlns:r="http://schemas.openxmlformats.org/officeDocument/2006/relationships" r:id="rId1783" tooltip="Ver detalle"/>
          <a:extLst>
            <a:ext uri="{FF2B5EF4-FFF2-40B4-BE49-F238E27FC236}">
              <a16:creationId xmlns:a16="http://schemas.microsoft.com/office/drawing/2014/main" id="{8F7133A4-12D0-68C9-B043-DFA22B34D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475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1472</xdr:row>
      <xdr:rowOff>0</xdr:rowOff>
    </xdr:from>
    <xdr:to>
      <xdr:col>13</xdr:col>
      <xdr:colOff>0</xdr:colOff>
      <xdr:row>1473</xdr:row>
      <xdr:rowOff>148590</xdr:rowOff>
    </xdr:to>
    <xdr:pic>
      <xdr:nvPicPr>
        <xdr:cNvPr id="1842" name="Imagen 1841" descr="Ver detalle">
          <a:hlinkClick xmlns:r="http://schemas.openxmlformats.org/officeDocument/2006/relationships" r:id="rId1784" tooltip="Ver detalle"/>
          <a:extLst>
            <a:ext uri="{FF2B5EF4-FFF2-40B4-BE49-F238E27FC236}">
              <a16:creationId xmlns:a16="http://schemas.microsoft.com/office/drawing/2014/main" id="{590778F1-C551-EDBD-4B70-952017A06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6702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1498</xdr:row>
      <xdr:rowOff>0</xdr:rowOff>
    </xdr:from>
    <xdr:to>
      <xdr:col>13</xdr:col>
      <xdr:colOff>0</xdr:colOff>
      <xdr:row>1499</xdr:row>
      <xdr:rowOff>148590</xdr:rowOff>
    </xdr:to>
    <xdr:pic>
      <xdr:nvPicPr>
        <xdr:cNvPr id="1843" name="Imagen 1842" descr="Ver detalle">
          <a:hlinkClick xmlns:r="http://schemas.openxmlformats.org/officeDocument/2006/relationships" r:id="rId1785" tooltip="Ver detalle"/>
          <a:extLst>
            <a:ext uri="{FF2B5EF4-FFF2-40B4-BE49-F238E27FC236}">
              <a16:creationId xmlns:a16="http://schemas.microsoft.com/office/drawing/2014/main" id="{25CFEF25-24B4-73AF-65A0-3D7D70FB5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865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1496</xdr:row>
      <xdr:rowOff>0</xdr:rowOff>
    </xdr:from>
    <xdr:to>
      <xdr:col>13</xdr:col>
      <xdr:colOff>0</xdr:colOff>
      <xdr:row>1497</xdr:row>
      <xdr:rowOff>148590</xdr:rowOff>
    </xdr:to>
    <xdr:pic>
      <xdr:nvPicPr>
        <xdr:cNvPr id="1844" name="Imagen 1843" descr="Ver detalle">
          <a:hlinkClick xmlns:r="http://schemas.openxmlformats.org/officeDocument/2006/relationships" r:id="rId1786" tooltip="Ver detalle"/>
          <a:extLst>
            <a:ext uri="{FF2B5EF4-FFF2-40B4-BE49-F238E27FC236}">
              <a16:creationId xmlns:a16="http://schemas.microsoft.com/office/drawing/2014/main" id="{56B310BA-47AF-76D5-FFDC-28CCDF59A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95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1499</xdr:row>
      <xdr:rowOff>0</xdr:rowOff>
    </xdr:from>
    <xdr:to>
      <xdr:col>13</xdr:col>
      <xdr:colOff>0</xdr:colOff>
      <xdr:row>1500</xdr:row>
      <xdr:rowOff>148590</xdr:rowOff>
    </xdr:to>
    <xdr:pic>
      <xdr:nvPicPr>
        <xdr:cNvPr id="1845" name="Imagen 1844" descr="Ver detalle">
          <a:hlinkClick xmlns:r="http://schemas.openxmlformats.org/officeDocument/2006/relationships" r:id="rId1787" tooltip="Ver detalle"/>
          <a:extLst>
            <a:ext uri="{FF2B5EF4-FFF2-40B4-BE49-F238E27FC236}">
              <a16:creationId xmlns:a16="http://schemas.microsoft.com/office/drawing/2014/main" id="{B57EA0B6-1212-0114-2A4D-965E62C91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1518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1500</xdr:row>
      <xdr:rowOff>0</xdr:rowOff>
    </xdr:from>
    <xdr:to>
      <xdr:col>13</xdr:col>
      <xdr:colOff>0</xdr:colOff>
      <xdr:row>1501</xdr:row>
      <xdr:rowOff>148590</xdr:rowOff>
    </xdr:to>
    <xdr:pic>
      <xdr:nvPicPr>
        <xdr:cNvPr id="1846" name="Imagen 1845" descr="Ver detalle">
          <a:hlinkClick xmlns:r="http://schemas.openxmlformats.org/officeDocument/2006/relationships" r:id="rId1788" tooltip="Ver detalle"/>
          <a:extLst>
            <a:ext uri="{FF2B5EF4-FFF2-40B4-BE49-F238E27FC236}">
              <a16:creationId xmlns:a16="http://schemas.microsoft.com/office/drawing/2014/main" id="{CF73CAC4-50B0-D5D2-78C5-B6D76E6B3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346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1502</xdr:row>
      <xdr:rowOff>0</xdr:rowOff>
    </xdr:from>
    <xdr:to>
      <xdr:col>13</xdr:col>
      <xdr:colOff>0</xdr:colOff>
      <xdr:row>1503</xdr:row>
      <xdr:rowOff>148590</xdr:rowOff>
    </xdr:to>
    <xdr:pic>
      <xdr:nvPicPr>
        <xdr:cNvPr id="1847" name="Imagen 1846" descr="Ver detalle">
          <a:hlinkClick xmlns:r="http://schemas.openxmlformats.org/officeDocument/2006/relationships" r:id="rId1789" tooltip="Ver detalle"/>
          <a:extLst>
            <a:ext uri="{FF2B5EF4-FFF2-40B4-BE49-F238E27FC236}">
              <a16:creationId xmlns:a16="http://schemas.microsoft.com/office/drawing/2014/main" id="{066869EC-1E1C-3C45-6A0B-BC2633699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6334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1503</xdr:row>
      <xdr:rowOff>0</xdr:rowOff>
    </xdr:from>
    <xdr:to>
      <xdr:col>13</xdr:col>
      <xdr:colOff>0</xdr:colOff>
      <xdr:row>1504</xdr:row>
      <xdr:rowOff>148590</xdr:rowOff>
    </xdr:to>
    <xdr:pic>
      <xdr:nvPicPr>
        <xdr:cNvPr id="1848" name="Imagen 1847" descr="Ver detalle">
          <a:hlinkClick xmlns:r="http://schemas.openxmlformats.org/officeDocument/2006/relationships" r:id="rId1790" tooltip="Ver detalle"/>
          <a:extLst>
            <a:ext uri="{FF2B5EF4-FFF2-40B4-BE49-F238E27FC236}">
              <a16:creationId xmlns:a16="http://schemas.microsoft.com/office/drawing/2014/main" id="{1D642040-63CF-A5E2-EDE7-AC22B9CE5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724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1504</xdr:row>
      <xdr:rowOff>0</xdr:rowOff>
    </xdr:from>
    <xdr:to>
      <xdr:col>13</xdr:col>
      <xdr:colOff>0</xdr:colOff>
      <xdr:row>1505</xdr:row>
      <xdr:rowOff>148590</xdr:rowOff>
    </xdr:to>
    <xdr:pic>
      <xdr:nvPicPr>
        <xdr:cNvPr id="1849" name="Imagen 1848" descr="Ver detalle">
          <a:hlinkClick xmlns:r="http://schemas.openxmlformats.org/officeDocument/2006/relationships" r:id="rId1791" tooltip="Ver detalle"/>
          <a:extLst>
            <a:ext uri="{FF2B5EF4-FFF2-40B4-BE49-F238E27FC236}">
              <a16:creationId xmlns:a16="http://schemas.microsoft.com/office/drawing/2014/main" id="{407B423F-5373-7204-36C5-DCA396362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816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1497</xdr:row>
      <xdr:rowOff>0</xdr:rowOff>
    </xdr:from>
    <xdr:to>
      <xdr:col>13</xdr:col>
      <xdr:colOff>0</xdr:colOff>
      <xdr:row>1498</xdr:row>
      <xdr:rowOff>148590</xdr:rowOff>
    </xdr:to>
    <xdr:pic>
      <xdr:nvPicPr>
        <xdr:cNvPr id="1850" name="Imagen 1849" descr="Ver detalle">
          <a:hlinkClick xmlns:r="http://schemas.openxmlformats.org/officeDocument/2006/relationships" r:id="rId1792" tooltip="Ver detalle"/>
          <a:extLst>
            <a:ext uri="{FF2B5EF4-FFF2-40B4-BE49-F238E27FC236}">
              <a16:creationId xmlns:a16="http://schemas.microsoft.com/office/drawing/2014/main" id="{DAF687B7-F190-F849-1FB5-D4625C732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9077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1505</xdr:row>
      <xdr:rowOff>0</xdr:rowOff>
    </xdr:from>
    <xdr:to>
      <xdr:col>13</xdr:col>
      <xdr:colOff>0</xdr:colOff>
      <xdr:row>1506</xdr:row>
      <xdr:rowOff>148590</xdr:rowOff>
    </xdr:to>
    <xdr:pic>
      <xdr:nvPicPr>
        <xdr:cNvPr id="1851" name="Imagen 1850" descr="Ver detalle">
          <a:hlinkClick xmlns:r="http://schemas.openxmlformats.org/officeDocument/2006/relationships" r:id="rId1793" tooltip="Ver detalle"/>
          <a:extLst>
            <a:ext uri="{FF2B5EF4-FFF2-40B4-BE49-F238E27FC236}">
              <a16:creationId xmlns:a16="http://schemas.microsoft.com/office/drawing/2014/main" id="{FC6F1EE9-F9C8-D47A-77D7-60A5FC475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999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1473</xdr:row>
      <xdr:rowOff>0</xdr:rowOff>
    </xdr:from>
    <xdr:to>
      <xdr:col>13</xdr:col>
      <xdr:colOff>0</xdr:colOff>
      <xdr:row>1474</xdr:row>
      <xdr:rowOff>148590</xdr:rowOff>
    </xdr:to>
    <xdr:pic>
      <xdr:nvPicPr>
        <xdr:cNvPr id="1852" name="Imagen 1851" descr="Ver detalle">
          <a:hlinkClick xmlns:r="http://schemas.openxmlformats.org/officeDocument/2006/relationships" r:id="rId1794" tooltip="Ver detalle"/>
          <a:extLst>
            <a:ext uri="{FF2B5EF4-FFF2-40B4-BE49-F238E27FC236}">
              <a16:creationId xmlns:a16="http://schemas.microsoft.com/office/drawing/2014/main" id="{A021B27E-D732-876A-DB35-301144A875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0906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1470</xdr:row>
      <xdr:rowOff>0</xdr:rowOff>
    </xdr:from>
    <xdr:to>
      <xdr:col>13</xdr:col>
      <xdr:colOff>0</xdr:colOff>
      <xdr:row>1471</xdr:row>
      <xdr:rowOff>148590</xdr:rowOff>
    </xdr:to>
    <xdr:pic>
      <xdr:nvPicPr>
        <xdr:cNvPr id="1853" name="Imagen 1852" descr="Ver detalle">
          <a:hlinkClick xmlns:r="http://schemas.openxmlformats.org/officeDocument/2006/relationships" r:id="rId1795" tooltip="Ver detalle"/>
          <a:extLst>
            <a:ext uri="{FF2B5EF4-FFF2-40B4-BE49-F238E27FC236}">
              <a16:creationId xmlns:a16="http://schemas.microsoft.com/office/drawing/2014/main" id="{D306FD1A-F14B-C5B1-20B2-4A2509855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2856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1469</xdr:row>
      <xdr:rowOff>0</xdr:rowOff>
    </xdr:from>
    <xdr:to>
      <xdr:col>13</xdr:col>
      <xdr:colOff>0</xdr:colOff>
      <xdr:row>1470</xdr:row>
      <xdr:rowOff>148590</xdr:rowOff>
    </xdr:to>
    <xdr:pic>
      <xdr:nvPicPr>
        <xdr:cNvPr id="1854" name="Imagen 1853" descr="Ver detalle">
          <a:hlinkClick xmlns:r="http://schemas.openxmlformats.org/officeDocument/2006/relationships" r:id="rId1796" tooltip="Ver detalle"/>
          <a:extLst>
            <a:ext uri="{FF2B5EF4-FFF2-40B4-BE49-F238E27FC236}">
              <a16:creationId xmlns:a16="http://schemas.microsoft.com/office/drawing/2014/main" id="{A9F8888F-39AD-4CA1-F15A-8FFC5FDD5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377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1471</xdr:row>
      <xdr:rowOff>0</xdr:rowOff>
    </xdr:from>
    <xdr:to>
      <xdr:col>13</xdr:col>
      <xdr:colOff>0</xdr:colOff>
      <xdr:row>1472</xdr:row>
      <xdr:rowOff>148590</xdr:rowOff>
    </xdr:to>
    <xdr:pic>
      <xdr:nvPicPr>
        <xdr:cNvPr id="1855" name="Imagen 1854" descr="Ver detalle">
          <a:hlinkClick xmlns:r="http://schemas.openxmlformats.org/officeDocument/2006/relationships" r:id="rId1797" tooltip="Ver detalle"/>
          <a:extLst>
            <a:ext uri="{FF2B5EF4-FFF2-40B4-BE49-F238E27FC236}">
              <a16:creationId xmlns:a16="http://schemas.microsoft.com/office/drawing/2014/main" id="{2F372ACF-8673-0337-4E75-25658AA08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572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1590</xdr:row>
      <xdr:rowOff>0</xdr:rowOff>
    </xdr:from>
    <xdr:to>
      <xdr:col>13</xdr:col>
      <xdr:colOff>0</xdr:colOff>
      <xdr:row>1591</xdr:row>
      <xdr:rowOff>148590</xdr:rowOff>
    </xdr:to>
    <xdr:pic>
      <xdr:nvPicPr>
        <xdr:cNvPr id="1856" name="Imagen 1855" descr="Ver detalle">
          <a:hlinkClick xmlns:r="http://schemas.openxmlformats.org/officeDocument/2006/relationships" r:id="rId1798" tooltip="Ver detalle"/>
          <a:extLst>
            <a:ext uri="{FF2B5EF4-FFF2-40B4-BE49-F238E27FC236}">
              <a16:creationId xmlns:a16="http://schemas.microsoft.com/office/drawing/2014/main" id="{8E17AD6F-A48A-B60E-81DE-5C88887A7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211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1584</xdr:row>
      <xdr:rowOff>0</xdr:rowOff>
    </xdr:from>
    <xdr:to>
      <xdr:col>13</xdr:col>
      <xdr:colOff>0</xdr:colOff>
      <xdr:row>1585</xdr:row>
      <xdr:rowOff>148590</xdr:rowOff>
    </xdr:to>
    <xdr:pic>
      <xdr:nvPicPr>
        <xdr:cNvPr id="1857" name="Imagen 1856" descr="Ver detalle">
          <a:hlinkClick xmlns:r="http://schemas.openxmlformats.org/officeDocument/2006/relationships" r:id="rId1799" tooltip="Ver detalle"/>
          <a:extLst>
            <a:ext uri="{FF2B5EF4-FFF2-40B4-BE49-F238E27FC236}">
              <a16:creationId xmlns:a16="http://schemas.microsoft.com/office/drawing/2014/main" id="{D8388B09-50F5-2961-BDC3-515DEE013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406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1585</xdr:row>
      <xdr:rowOff>0</xdr:rowOff>
    </xdr:from>
    <xdr:to>
      <xdr:col>13</xdr:col>
      <xdr:colOff>0</xdr:colOff>
      <xdr:row>1586</xdr:row>
      <xdr:rowOff>148590</xdr:rowOff>
    </xdr:to>
    <xdr:pic>
      <xdr:nvPicPr>
        <xdr:cNvPr id="1858" name="Imagen 1857" descr="Ver detalle">
          <a:hlinkClick xmlns:r="http://schemas.openxmlformats.org/officeDocument/2006/relationships" r:id="rId1800" tooltip="Ver detalle"/>
          <a:extLst>
            <a:ext uri="{FF2B5EF4-FFF2-40B4-BE49-F238E27FC236}">
              <a16:creationId xmlns:a16="http://schemas.microsoft.com/office/drawing/2014/main" id="{8585ECF1-6A8A-58A5-CA4A-292C06225F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601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1586</xdr:row>
      <xdr:rowOff>0</xdr:rowOff>
    </xdr:from>
    <xdr:to>
      <xdr:col>13</xdr:col>
      <xdr:colOff>0</xdr:colOff>
      <xdr:row>1587</xdr:row>
      <xdr:rowOff>148590</xdr:rowOff>
    </xdr:to>
    <xdr:pic>
      <xdr:nvPicPr>
        <xdr:cNvPr id="1859" name="Imagen 1858" descr="Ver detalle">
          <a:hlinkClick xmlns:r="http://schemas.openxmlformats.org/officeDocument/2006/relationships" r:id="rId1801" tooltip="Ver detalle"/>
          <a:extLst>
            <a:ext uri="{FF2B5EF4-FFF2-40B4-BE49-F238E27FC236}">
              <a16:creationId xmlns:a16="http://schemas.microsoft.com/office/drawing/2014/main" id="{255A995B-8307-3A42-33E7-AD748B7D2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7319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1587</xdr:row>
      <xdr:rowOff>0</xdr:rowOff>
    </xdr:from>
    <xdr:to>
      <xdr:col>13</xdr:col>
      <xdr:colOff>0</xdr:colOff>
      <xdr:row>1588</xdr:row>
      <xdr:rowOff>148590</xdr:rowOff>
    </xdr:to>
    <xdr:pic>
      <xdr:nvPicPr>
        <xdr:cNvPr id="1860" name="Imagen 1859" descr="Ver detalle">
          <a:hlinkClick xmlns:r="http://schemas.openxmlformats.org/officeDocument/2006/relationships" r:id="rId1802" tooltip="Ver detalle"/>
          <a:extLst>
            <a:ext uri="{FF2B5EF4-FFF2-40B4-BE49-F238E27FC236}">
              <a16:creationId xmlns:a16="http://schemas.microsoft.com/office/drawing/2014/main" id="{EE662089-C30A-9344-7650-A8AA5D8FAF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8622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1588</xdr:row>
      <xdr:rowOff>0</xdr:rowOff>
    </xdr:from>
    <xdr:to>
      <xdr:col>13</xdr:col>
      <xdr:colOff>0</xdr:colOff>
      <xdr:row>1589</xdr:row>
      <xdr:rowOff>148590</xdr:rowOff>
    </xdr:to>
    <xdr:pic>
      <xdr:nvPicPr>
        <xdr:cNvPr id="1861" name="Imagen 1860" descr="Ver detalle">
          <a:hlinkClick xmlns:r="http://schemas.openxmlformats.org/officeDocument/2006/relationships" r:id="rId1803" tooltip="Ver detalle"/>
          <a:extLst>
            <a:ext uri="{FF2B5EF4-FFF2-40B4-BE49-F238E27FC236}">
              <a16:creationId xmlns:a16="http://schemas.microsoft.com/office/drawing/2014/main" id="{626A41CA-4AB2-E1A7-49C6-CDE7B9786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992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1591</xdr:row>
      <xdr:rowOff>0</xdr:rowOff>
    </xdr:from>
    <xdr:to>
      <xdr:col>13</xdr:col>
      <xdr:colOff>0</xdr:colOff>
      <xdr:row>1592</xdr:row>
      <xdr:rowOff>148590</xdr:rowOff>
    </xdr:to>
    <xdr:pic>
      <xdr:nvPicPr>
        <xdr:cNvPr id="1862" name="Imagen 1861" descr="Ver detalle">
          <a:hlinkClick xmlns:r="http://schemas.openxmlformats.org/officeDocument/2006/relationships" r:id="rId1804" tooltip="Ver detalle"/>
          <a:extLst>
            <a:ext uri="{FF2B5EF4-FFF2-40B4-BE49-F238E27FC236}">
              <a16:creationId xmlns:a16="http://schemas.microsoft.com/office/drawing/2014/main" id="{5A3EF0CC-2E36-14EB-3028-32E1D72BD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122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1592</xdr:row>
      <xdr:rowOff>0</xdr:rowOff>
    </xdr:from>
    <xdr:to>
      <xdr:col>13</xdr:col>
      <xdr:colOff>0</xdr:colOff>
      <xdr:row>1593</xdr:row>
      <xdr:rowOff>148590</xdr:rowOff>
    </xdr:to>
    <xdr:pic>
      <xdr:nvPicPr>
        <xdr:cNvPr id="1863" name="Imagen 1862" descr="Ver detalle">
          <a:hlinkClick xmlns:r="http://schemas.openxmlformats.org/officeDocument/2006/relationships" r:id="rId1805" tooltip="Ver detalle"/>
          <a:extLst>
            <a:ext uri="{FF2B5EF4-FFF2-40B4-BE49-F238E27FC236}">
              <a16:creationId xmlns:a16="http://schemas.microsoft.com/office/drawing/2014/main" id="{F14D4F2A-BDC2-8BB8-DD18-3D2EAAECB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214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1593</xdr:row>
      <xdr:rowOff>0</xdr:rowOff>
    </xdr:from>
    <xdr:to>
      <xdr:col>13</xdr:col>
      <xdr:colOff>0</xdr:colOff>
      <xdr:row>1594</xdr:row>
      <xdr:rowOff>148590</xdr:rowOff>
    </xdr:to>
    <xdr:pic>
      <xdr:nvPicPr>
        <xdr:cNvPr id="1864" name="Imagen 1863" descr="Ver detalle">
          <a:hlinkClick xmlns:r="http://schemas.openxmlformats.org/officeDocument/2006/relationships" r:id="rId1806" tooltip="Ver detalle"/>
          <a:extLst>
            <a:ext uri="{FF2B5EF4-FFF2-40B4-BE49-F238E27FC236}">
              <a16:creationId xmlns:a16="http://schemas.microsoft.com/office/drawing/2014/main" id="{209679A3-980B-20D0-1D91-89374C9E1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305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1589</xdr:row>
      <xdr:rowOff>0</xdr:rowOff>
    </xdr:from>
    <xdr:to>
      <xdr:col>13</xdr:col>
      <xdr:colOff>0</xdr:colOff>
      <xdr:row>1590</xdr:row>
      <xdr:rowOff>148590</xdr:rowOff>
    </xdr:to>
    <xdr:pic>
      <xdr:nvPicPr>
        <xdr:cNvPr id="1865" name="Imagen 1864" descr="Ver detalle">
          <a:hlinkClick xmlns:r="http://schemas.openxmlformats.org/officeDocument/2006/relationships" r:id="rId1807" tooltip="Ver detalle"/>
          <a:extLst>
            <a:ext uri="{FF2B5EF4-FFF2-40B4-BE49-F238E27FC236}">
              <a16:creationId xmlns:a16="http://schemas.microsoft.com/office/drawing/2014/main" id="{56FB2CEB-2D1D-A068-7160-DF7DD0535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397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1594</xdr:row>
      <xdr:rowOff>0</xdr:rowOff>
    </xdr:from>
    <xdr:to>
      <xdr:col>13</xdr:col>
      <xdr:colOff>0</xdr:colOff>
      <xdr:row>1595</xdr:row>
      <xdr:rowOff>148590</xdr:rowOff>
    </xdr:to>
    <xdr:pic>
      <xdr:nvPicPr>
        <xdr:cNvPr id="1866" name="Imagen 1865" descr="Ver detalle">
          <a:hlinkClick xmlns:r="http://schemas.openxmlformats.org/officeDocument/2006/relationships" r:id="rId1808" tooltip="Ver detalle"/>
          <a:extLst>
            <a:ext uri="{FF2B5EF4-FFF2-40B4-BE49-F238E27FC236}">
              <a16:creationId xmlns:a16="http://schemas.microsoft.com/office/drawing/2014/main" id="{27479034-8E91-C52D-A222-F9F570D56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592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1595</xdr:row>
      <xdr:rowOff>0</xdr:rowOff>
    </xdr:from>
    <xdr:to>
      <xdr:col>13</xdr:col>
      <xdr:colOff>0</xdr:colOff>
      <xdr:row>1596</xdr:row>
      <xdr:rowOff>148590</xdr:rowOff>
    </xdr:to>
    <xdr:pic>
      <xdr:nvPicPr>
        <xdr:cNvPr id="1867" name="Imagen 1866" descr="Ver detalle">
          <a:hlinkClick xmlns:r="http://schemas.openxmlformats.org/officeDocument/2006/relationships" r:id="rId1809" tooltip="Ver detalle"/>
          <a:extLst>
            <a:ext uri="{FF2B5EF4-FFF2-40B4-BE49-F238E27FC236}">
              <a16:creationId xmlns:a16="http://schemas.microsoft.com/office/drawing/2014/main" id="{8DC44846-EB8F-9927-1297-F9806CBB9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787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1596</xdr:row>
      <xdr:rowOff>0</xdr:rowOff>
    </xdr:from>
    <xdr:to>
      <xdr:col>13</xdr:col>
      <xdr:colOff>0</xdr:colOff>
      <xdr:row>1597</xdr:row>
      <xdr:rowOff>114300</xdr:rowOff>
    </xdr:to>
    <xdr:pic>
      <xdr:nvPicPr>
        <xdr:cNvPr id="1868" name="Imagen 1867" descr="Ver detalle">
          <a:hlinkClick xmlns:r="http://schemas.openxmlformats.org/officeDocument/2006/relationships" r:id="rId1810" tooltip="Ver detalle"/>
          <a:extLst>
            <a:ext uri="{FF2B5EF4-FFF2-40B4-BE49-F238E27FC236}">
              <a16:creationId xmlns:a16="http://schemas.microsoft.com/office/drawing/2014/main" id="{1BD086CA-AA42-CDFC-104A-0315BAF68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9824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1559</xdr:row>
      <xdr:rowOff>0</xdr:rowOff>
    </xdr:from>
    <xdr:to>
      <xdr:col>13</xdr:col>
      <xdr:colOff>0</xdr:colOff>
      <xdr:row>1560</xdr:row>
      <xdr:rowOff>114300</xdr:rowOff>
    </xdr:to>
    <xdr:pic>
      <xdr:nvPicPr>
        <xdr:cNvPr id="1869" name="Imagen 1868" descr="Ver detalle">
          <a:hlinkClick xmlns:r="http://schemas.openxmlformats.org/officeDocument/2006/relationships" r:id="rId1811" tooltip="Ver detalle"/>
          <a:extLst>
            <a:ext uri="{FF2B5EF4-FFF2-40B4-BE49-F238E27FC236}">
              <a16:creationId xmlns:a16="http://schemas.microsoft.com/office/drawing/2014/main" id="{656B920C-0C77-2F67-084E-239C10AA9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073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1558</xdr:row>
      <xdr:rowOff>0</xdr:rowOff>
    </xdr:from>
    <xdr:to>
      <xdr:col>13</xdr:col>
      <xdr:colOff>0</xdr:colOff>
      <xdr:row>1559</xdr:row>
      <xdr:rowOff>148590</xdr:rowOff>
    </xdr:to>
    <xdr:pic>
      <xdr:nvPicPr>
        <xdr:cNvPr id="1870" name="Imagen 1869" descr="Ver detalle">
          <a:hlinkClick xmlns:r="http://schemas.openxmlformats.org/officeDocument/2006/relationships" r:id="rId1812" tooltip="Ver detalle"/>
          <a:extLst>
            <a:ext uri="{FF2B5EF4-FFF2-40B4-BE49-F238E27FC236}">
              <a16:creationId xmlns:a16="http://schemas.microsoft.com/office/drawing/2014/main" id="{A2B3A125-6301-5F8E-2D4A-5F8E30F69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268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1582</xdr:row>
      <xdr:rowOff>0</xdr:rowOff>
    </xdr:from>
    <xdr:to>
      <xdr:col>13</xdr:col>
      <xdr:colOff>0</xdr:colOff>
      <xdr:row>1583</xdr:row>
      <xdr:rowOff>148590</xdr:rowOff>
    </xdr:to>
    <xdr:pic>
      <xdr:nvPicPr>
        <xdr:cNvPr id="1871" name="Imagen 1870" descr="Ver detalle">
          <a:hlinkClick xmlns:r="http://schemas.openxmlformats.org/officeDocument/2006/relationships" r:id="rId1813" tooltip="Ver detalle"/>
          <a:extLst>
            <a:ext uri="{FF2B5EF4-FFF2-40B4-BE49-F238E27FC236}">
              <a16:creationId xmlns:a16="http://schemas.microsoft.com/office/drawing/2014/main" id="{077CEADD-7442-A0D3-D752-A108760AC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4639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1571</xdr:row>
      <xdr:rowOff>0</xdr:rowOff>
    </xdr:from>
    <xdr:to>
      <xdr:col>13</xdr:col>
      <xdr:colOff>0</xdr:colOff>
      <xdr:row>1572</xdr:row>
      <xdr:rowOff>148590</xdr:rowOff>
    </xdr:to>
    <xdr:pic>
      <xdr:nvPicPr>
        <xdr:cNvPr id="1872" name="Imagen 1871" descr="Ver detalle">
          <a:hlinkClick xmlns:r="http://schemas.openxmlformats.org/officeDocument/2006/relationships" r:id="rId1814" tooltip="Ver detalle"/>
          <a:extLst>
            <a:ext uri="{FF2B5EF4-FFF2-40B4-BE49-F238E27FC236}">
              <a16:creationId xmlns:a16="http://schemas.microsoft.com/office/drawing/2014/main" id="{2BFD225B-9ED7-BA38-E91A-BAC0EE9A2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659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1572</xdr:row>
      <xdr:rowOff>0</xdr:rowOff>
    </xdr:from>
    <xdr:to>
      <xdr:col>13</xdr:col>
      <xdr:colOff>0</xdr:colOff>
      <xdr:row>1573</xdr:row>
      <xdr:rowOff>148590</xdr:rowOff>
    </xdr:to>
    <xdr:pic>
      <xdr:nvPicPr>
        <xdr:cNvPr id="1873" name="Imagen 1872" descr="Ver detalle">
          <a:hlinkClick xmlns:r="http://schemas.openxmlformats.org/officeDocument/2006/relationships" r:id="rId1815" tooltip="Ver detalle"/>
          <a:extLst>
            <a:ext uri="{FF2B5EF4-FFF2-40B4-BE49-F238E27FC236}">
              <a16:creationId xmlns:a16="http://schemas.microsoft.com/office/drawing/2014/main" id="{FBCE6B3E-E19D-3C07-1AF3-C06B93821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750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1573</xdr:row>
      <xdr:rowOff>0</xdr:rowOff>
    </xdr:from>
    <xdr:to>
      <xdr:col>13</xdr:col>
      <xdr:colOff>0</xdr:colOff>
      <xdr:row>1574</xdr:row>
      <xdr:rowOff>148590</xdr:rowOff>
    </xdr:to>
    <xdr:pic>
      <xdr:nvPicPr>
        <xdr:cNvPr id="1874" name="Imagen 1873" descr="Ver detalle">
          <a:hlinkClick xmlns:r="http://schemas.openxmlformats.org/officeDocument/2006/relationships" r:id="rId1816" tooltip="Ver detalle"/>
          <a:extLst>
            <a:ext uri="{FF2B5EF4-FFF2-40B4-BE49-F238E27FC236}">
              <a16:creationId xmlns:a16="http://schemas.microsoft.com/office/drawing/2014/main" id="{F010ABE1-C66B-461D-2B37-A6EFAF342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84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1574</xdr:row>
      <xdr:rowOff>0</xdr:rowOff>
    </xdr:from>
    <xdr:to>
      <xdr:col>13</xdr:col>
      <xdr:colOff>0</xdr:colOff>
      <xdr:row>1575</xdr:row>
      <xdr:rowOff>148590</xdr:rowOff>
    </xdr:to>
    <xdr:pic>
      <xdr:nvPicPr>
        <xdr:cNvPr id="1875" name="Imagen 1874" descr="Ver detalle">
          <a:hlinkClick xmlns:r="http://schemas.openxmlformats.org/officeDocument/2006/relationships" r:id="rId1817" tooltip="Ver detalle"/>
          <a:extLst>
            <a:ext uri="{FF2B5EF4-FFF2-40B4-BE49-F238E27FC236}">
              <a16:creationId xmlns:a16="http://schemas.microsoft.com/office/drawing/2014/main" id="{9FB6BFC0-0A5C-ECA2-2D7B-25FE7674C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933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1575</xdr:row>
      <xdr:rowOff>0</xdr:rowOff>
    </xdr:from>
    <xdr:to>
      <xdr:col>13</xdr:col>
      <xdr:colOff>0</xdr:colOff>
      <xdr:row>1576</xdr:row>
      <xdr:rowOff>148590</xdr:rowOff>
    </xdr:to>
    <xdr:pic>
      <xdr:nvPicPr>
        <xdr:cNvPr id="1876" name="Imagen 1875" descr="Ver detalle">
          <a:hlinkClick xmlns:r="http://schemas.openxmlformats.org/officeDocument/2006/relationships" r:id="rId1818" tooltip="Ver detalle"/>
          <a:extLst>
            <a:ext uri="{FF2B5EF4-FFF2-40B4-BE49-F238E27FC236}">
              <a16:creationId xmlns:a16="http://schemas.microsoft.com/office/drawing/2014/main" id="{238FB3AC-323B-B987-3714-C980F6DD1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024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1576</xdr:row>
      <xdr:rowOff>0</xdr:rowOff>
    </xdr:from>
    <xdr:to>
      <xdr:col>13</xdr:col>
      <xdr:colOff>0</xdr:colOff>
      <xdr:row>1577</xdr:row>
      <xdr:rowOff>148590</xdr:rowOff>
    </xdr:to>
    <xdr:pic>
      <xdr:nvPicPr>
        <xdr:cNvPr id="1877" name="Imagen 1876" descr="Ver detalle">
          <a:hlinkClick xmlns:r="http://schemas.openxmlformats.org/officeDocument/2006/relationships" r:id="rId1819" tooltip="Ver detalle"/>
          <a:extLst>
            <a:ext uri="{FF2B5EF4-FFF2-40B4-BE49-F238E27FC236}">
              <a16:creationId xmlns:a16="http://schemas.microsoft.com/office/drawing/2014/main" id="{D84DA179-D495-CCE2-0186-A031356E2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116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1577</xdr:row>
      <xdr:rowOff>0</xdr:rowOff>
    </xdr:from>
    <xdr:to>
      <xdr:col>13</xdr:col>
      <xdr:colOff>0</xdr:colOff>
      <xdr:row>1578</xdr:row>
      <xdr:rowOff>148590</xdr:rowOff>
    </xdr:to>
    <xdr:pic>
      <xdr:nvPicPr>
        <xdr:cNvPr id="1878" name="Imagen 1877" descr="Ver detalle">
          <a:hlinkClick xmlns:r="http://schemas.openxmlformats.org/officeDocument/2006/relationships" r:id="rId1820" tooltip="Ver detalle"/>
          <a:extLst>
            <a:ext uri="{FF2B5EF4-FFF2-40B4-BE49-F238E27FC236}">
              <a16:creationId xmlns:a16="http://schemas.microsoft.com/office/drawing/2014/main" id="{490EECE3-73D8-314F-D906-59BA7821E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207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1578</xdr:row>
      <xdr:rowOff>0</xdr:rowOff>
    </xdr:from>
    <xdr:to>
      <xdr:col>13</xdr:col>
      <xdr:colOff>0</xdr:colOff>
      <xdr:row>1579</xdr:row>
      <xdr:rowOff>148590</xdr:rowOff>
    </xdr:to>
    <xdr:pic>
      <xdr:nvPicPr>
        <xdr:cNvPr id="1879" name="Imagen 1878" descr="Ver detalle">
          <a:hlinkClick xmlns:r="http://schemas.openxmlformats.org/officeDocument/2006/relationships" r:id="rId1821" tooltip="Ver detalle"/>
          <a:extLst>
            <a:ext uri="{FF2B5EF4-FFF2-40B4-BE49-F238E27FC236}">
              <a16:creationId xmlns:a16="http://schemas.microsoft.com/office/drawing/2014/main" id="{200B1796-9D02-106B-37F6-F92BA5BB7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29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1579</xdr:row>
      <xdr:rowOff>0</xdr:rowOff>
    </xdr:from>
    <xdr:to>
      <xdr:col>13</xdr:col>
      <xdr:colOff>0</xdr:colOff>
      <xdr:row>1580</xdr:row>
      <xdr:rowOff>148590</xdr:rowOff>
    </xdr:to>
    <xdr:pic>
      <xdr:nvPicPr>
        <xdr:cNvPr id="1880" name="Imagen 1879" descr="Ver detalle">
          <a:hlinkClick xmlns:r="http://schemas.openxmlformats.org/officeDocument/2006/relationships" r:id="rId1822" tooltip="Ver detalle"/>
          <a:extLst>
            <a:ext uri="{FF2B5EF4-FFF2-40B4-BE49-F238E27FC236}">
              <a16:creationId xmlns:a16="http://schemas.microsoft.com/office/drawing/2014/main" id="{44AC686A-E259-75D1-E292-C464A0853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390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1580</xdr:row>
      <xdr:rowOff>0</xdr:rowOff>
    </xdr:from>
    <xdr:to>
      <xdr:col>13</xdr:col>
      <xdr:colOff>0</xdr:colOff>
      <xdr:row>1581</xdr:row>
      <xdr:rowOff>148590</xdr:rowOff>
    </xdr:to>
    <xdr:pic>
      <xdr:nvPicPr>
        <xdr:cNvPr id="1881" name="Imagen 1880" descr="Ver detalle">
          <a:hlinkClick xmlns:r="http://schemas.openxmlformats.org/officeDocument/2006/relationships" r:id="rId1823" tooltip="Ver detalle"/>
          <a:extLst>
            <a:ext uri="{FF2B5EF4-FFF2-40B4-BE49-F238E27FC236}">
              <a16:creationId xmlns:a16="http://schemas.microsoft.com/office/drawing/2014/main" id="{F995C2CA-BC28-4FEC-62CC-5615E88A92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48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1583</xdr:row>
      <xdr:rowOff>0</xdr:rowOff>
    </xdr:from>
    <xdr:to>
      <xdr:col>13</xdr:col>
      <xdr:colOff>0</xdr:colOff>
      <xdr:row>1584</xdr:row>
      <xdr:rowOff>148590</xdr:rowOff>
    </xdr:to>
    <xdr:pic>
      <xdr:nvPicPr>
        <xdr:cNvPr id="1882" name="Imagen 1881" descr="Ver detalle">
          <a:hlinkClick xmlns:r="http://schemas.openxmlformats.org/officeDocument/2006/relationships" r:id="rId1824" tooltip="Ver detalle"/>
          <a:extLst>
            <a:ext uri="{FF2B5EF4-FFF2-40B4-BE49-F238E27FC236}">
              <a16:creationId xmlns:a16="http://schemas.microsoft.com/office/drawing/2014/main" id="{5CFFB091-D1B5-D3E3-68C5-979FECA49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573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1581</xdr:row>
      <xdr:rowOff>0</xdr:rowOff>
    </xdr:from>
    <xdr:to>
      <xdr:col>13</xdr:col>
      <xdr:colOff>0</xdr:colOff>
      <xdr:row>1582</xdr:row>
      <xdr:rowOff>148590</xdr:rowOff>
    </xdr:to>
    <xdr:pic>
      <xdr:nvPicPr>
        <xdr:cNvPr id="1883" name="Imagen 1882" descr="Ver detalle">
          <a:hlinkClick xmlns:r="http://schemas.openxmlformats.org/officeDocument/2006/relationships" r:id="rId1825" tooltip="Ver detalle"/>
          <a:extLst>
            <a:ext uri="{FF2B5EF4-FFF2-40B4-BE49-F238E27FC236}">
              <a16:creationId xmlns:a16="http://schemas.microsoft.com/office/drawing/2014/main" id="{912536D9-BE4D-4FC6-707E-ADAECA159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768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1555</xdr:row>
      <xdr:rowOff>0</xdr:rowOff>
    </xdr:from>
    <xdr:to>
      <xdr:col>13</xdr:col>
      <xdr:colOff>0</xdr:colOff>
      <xdr:row>1556</xdr:row>
      <xdr:rowOff>148590</xdr:rowOff>
    </xdr:to>
    <xdr:pic>
      <xdr:nvPicPr>
        <xdr:cNvPr id="1884" name="Imagen 1883" descr="Ver detalle">
          <a:hlinkClick xmlns:r="http://schemas.openxmlformats.org/officeDocument/2006/relationships" r:id="rId1826" tooltip="Ver detalle"/>
          <a:extLst>
            <a:ext uri="{FF2B5EF4-FFF2-40B4-BE49-F238E27FC236}">
              <a16:creationId xmlns:a16="http://schemas.microsoft.com/office/drawing/2014/main" id="{68625E63-58F8-2238-5359-5DAB6426B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9636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1557</xdr:row>
      <xdr:rowOff>0</xdr:rowOff>
    </xdr:from>
    <xdr:to>
      <xdr:col>13</xdr:col>
      <xdr:colOff>0</xdr:colOff>
      <xdr:row>1558</xdr:row>
      <xdr:rowOff>148590</xdr:rowOff>
    </xdr:to>
    <xdr:pic>
      <xdr:nvPicPr>
        <xdr:cNvPr id="1885" name="Imagen 1884" descr="Ver detalle">
          <a:hlinkClick xmlns:r="http://schemas.openxmlformats.org/officeDocument/2006/relationships" r:id="rId1827" tooltip="Ver detalle"/>
          <a:extLst>
            <a:ext uri="{FF2B5EF4-FFF2-40B4-BE49-F238E27FC236}">
              <a16:creationId xmlns:a16="http://schemas.microsoft.com/office/drawing/2014/main" id="{792DA250-6E8C-911C-750D-15C28CCE6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158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1556</xdr:row>
      <xdr:rowOff>0</xdr:rowOff>
    </xdr:from>
    <xdr:to>
      <xdr:col>13</xdr:col>
      <xdr:colOff>0</xdr:colOff>
      <xdr:row>1557</xdr:row>
      <xdr:rowOff>148590</xdr:rowOff>
    </xdr:to>
    <xdr:pic>
      <xdr:nvPicPr>
        <xdr:cNvPr id="1886" name="Imagen 1885" descr="Ver detalle">
          <a:hlinkClick xmlns:r="http://schemas.openxmlformats.org/officeDocument/2006/relationships" r:id="rId1828" tooltip="Ver detalle"/>
          <a:extLst>
            <a:ext uri="{FF2B5EF4-FFF2-40B4-BE49-F238E27FC236}">
              <a16:creationId xmlns:a16="http://schemas.microsoft.com/office/drawing/2014/main" id="{53A3B3CE-3765-2330-A33D-8BB4C2AD1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353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1552</xdr:row>
      <xdr:rowOff>0</xdr:rowOff>
    </xdr:from>
    <xdr:to>
      <xdr:col>13</xdr:col>
      <xdr:colOff>0</xdr:colOff>
      <xdr:row>1553</xdr:row>
      <xdr:rowOff>148590</xdr:rowOff>
    </xdr:to>
    <xdr:pic>
      <xdr:nvPicPr>
        <xdr:cNvPr id="1887" name="Imagen 1886" descr="Ver detalle">
          <a:hlinkClick xmlns:r="http://schemas.openxmlformats.org/officeDocument/2006/relationships" r:id="rId1829" tooltip="Ver detalle"/>
          <a:extLst>
            <a:ext uri="{FF2B5EF4-FFF2-40B4-BE49-F238E27FC236}">
              <a16:creationId xmlns:a16="http://schemas.microsoft.com/office/drawing/2014/main" id="{E3B05615-AED4-FDE1-1A02-C474B76F8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445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1569</xdr:row>
      <xdr:rowOff>0</xdr:rowOff>
    </xdr:from>
    <xdr:to>
      <xdr:col>13</xdr:col>
      <xdr:colOff>0</xdr:colOff>
      <xdr:row>1570</xdr:row>
      <xdr:rowOff>148590</xdr:rowOff>
    </xdr:to>
    <xdr:pic>
      <xdr:nvPicPr>
        <xdr:cNvPr id="1888" name="Imagen 1887" descr="Ver detalle">
          <a:hlinkClick xmlns:r="http://schemas.openxmlformats.org/officeDocument/2006/relationships" r:id="rId1830" tooltip="Ver detalle"/>
          <a:extLst>
            <a:ext uri="{FF2B5EF4-FFF2-40B4-BE49-F238E27FC236}">
              <a16:creationId xmlns:a16="http://schemas.microsoft.com/office/drawing/2014/main" id="{BE4555FC-39CE-7550-7626-8AA04349F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640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1553</xdr:row>
      <xdr:rowOff>0</xdr:rowOff>
    </xdr:from>
    <xdr:to>
      <xdr:col>13</xdr:col>
      <xdr:colOff>0</xdr:colOff>
      <xdr:row>1554</xdr:row>
      <xdr:rowOff>148590</xdr:rowOff>
    </xdr:to>
    <xdr:pic>
      <xdr:nvPicPr>
        <xdr:cNvPr id="1889" name="Imagen 1888" descr="Ver detalle">
          <a:hlinkClick xmlns:r="http://schemas.openxmlformats.org/officeDocument/2006/relationships" r:id="rId1831" tooltip="Ver detalle"/>
          <a:extLst>
            <a:ext uri="{FF2B5EF4-FFF2-40B4-BE49-F238E27FC236}">
              <a16:creationId xmlns:a16="http://schemas.microsoft.com/office/drawing/2014/main" id="{00E39823-9224-D96D-F7E8-BCB5DAE4B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835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1551</xdr:row>
      <xdr:rowOff>0</xdr:rowOff>
    </xdr:from>
    <xdr:to>
      <xdr:col>13</xdr:col>
      <xdr:colOff>0</xdr:colOff>
      <xdr:row>1552</xdr:row>
      <xdr:rowOff>148590</xdr:rowOff>
    </xdr:to>
    <xdr:pic>
      <xdr:nvPicPr>
        <xdr:cNvPr id="1890" name="Imagen 1889" descr="Ver detalle">
          <a:hlinkClick xmlns:r="http://schemas.openxmlformats.org/officeDocument/2006/relationships" r:id="rId1832" tooltip="Ver detalle"/>
          <a:extLst>
            <a:ext uri="{FF2B5EF4-FFF2-40B4-BE49-F238E27FC236}">
              <a16:creationId xmlns:a16="http://schemas.microsoft.com/office/drawing/2014/main" id="{2E321A9F-FB5B-1F41-0C46-824BC7C17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926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1554</xdr:row>
      <xdr:rowOff>0</xdr:rowOff>
    </xdr:from>
    <xdr:to>
      <xdr:col>13</xdr:col>
      <xdr:colOff>0</xdr:colOff>
      <xdr:row>1555</xdr:row>
      <xdr:rowOff>148590</xdr:rowOff>
    </xdr:to>
    <xdr:pic>
      <xdr:nvPicPr>
        <xdr:cNvPr id="1891" name="Imagen 1890" descr="Ver detalle">
          <a:hlinkClick xmlns:r="http://schemas.openxmlformats.org/officeDocument/2006/relationships" r:id="rId1833" tooltip="Ver detalle"/>
          <a:extLst>
            <a:ext uri="{FF2B5EF4-FFF2-40B4-BE49-F238E27FC236}">
              <a16:creationId xmlns:a16="http://schemas.microsoft.com/office/drawing/2014/main" id="{DD39B70F-54AB-C56F-AB40-1A7F6B7C3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121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1541</xdr:row>
      <xdr:rowOff>0</xdr:rowOff>
    </xdr:from>
    <xdr:to>
      <xdr:col>13</xdr:col>
      <xdr:colOff>0</xdr:colOff>
      <xdr:row>1542</xdr:row>
      <xdr:rowOff>148590</xdr:rowOff>
    </xdr:to>
    <xdr:pic>
      <xdr:nvPicPr>
        <xdr:cNvPr id="1892" name="Imagen 1891" descr="Ver detalle">
          <a:hlinkClick xmlns:r="http://schemas.openxmlformats.org/officeDocument/2006/relationships" r:id="rId1834" tooltip="Ver detalle"/>
          <a:extLst>
            <a:ext uri="{FF2B5EF4-FFF2-40B4-BE49-F238E27FC236}">
              <a16:creationId xmlns:a16="http://schemas.microsoft.com/office/drawing/2014/main" id="{1EA31CF1-24A4-A001-7702-D8D12901A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2132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1544</xdr:row>
      <xdr:rowOff>0</xdr:rowOff>
    </xdr:from>
    <xdr:to>
      <xdr:col>13</xdr:col>
      <xdr:colOff>0</xdr:colOff>
      <xdr:row>1545</xdr:row>
      <xdr:rowOff>148590</xdr:rowOff>
    </xdr:to>
    <xdr:pic>
      <xdr:nvPicPr>
        <xdr:cNvPr id="1893" name="Imagen 1892" descr="Ver detalle">
          <a:hlinkClick xmlns:r="http://schemas.openxmlformats.org/officeDocument/2006/relationships" r:id="rId1835" tooltip="Ver detalle"/>
          <a:extLst>
            <a:ext uri="{FF2B5EF4-FFF2-40B4-BE49-F238E27FC236}">
              <a16:creationId xmlns:a16="http://schemas.microsoft.com/office/drawing/2014/main" id="{648B5549-E398-EB61-8201-A7186C5E2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4083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1550</xdr:row>
      <xdr:rowOff>0</xdr:rowOff>
    </xdr:from>
    <xdr:to>
      <xdr:col>13</xdr:col>
      <xdr:colOff>0</xdr:colOff>
      <xdr:row>1551</xdr:row>
      <xdr:rowOff>148590</xdr:rowOff>
    </xdr:to>
    <xdr:pic>
      <xdr:nvPicPr>
        <xdr:cNvPr id="1894" name="Imagen 1893" descr="Ver detalle">
          <a:hlinkClick xmlns:r="http://schemas.openxmlformats.org/officeDocument/2006/relationships" r:id="rId1836" tooltip="Ver detalle"/>
          <a:extLst>
            <a:ext uri="{FF2B5EF4-FFF2-40B4-BE49-F238E27FC236}">
              <a16:creationId xmlns:a16="http://schemas.microsoft.com/office/drawing/2014/main" id="{67B1A7F1-2AA0-70DF-33CC-9673F52A3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499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1543</xdr:row>
      <xdr:rowOff>0</xdr:rowOff>
    </xdr:from>
    <xdr:to>
      <xdr:col>13</xdr:col>
      <xdr:colOff>0</xdr:colOff>
      <xdr:row>1544</xdr:row>
      <xdr:rowOff>148590</xdr:rowOff>
    </xdr:to>
    <xdr:pic>
      <xdr:nvPicPr>
        <xdr:cNvPr id="1895" name="Imagen 1894" descr="Ver detalle">
          <a:hlinkClick xmlns:r="http://schemas.openxmlformats.org/officeDocument/2006/relationships" r:id="rId1837" tooltip="Ver detalle"/>
          <a:extLst>
            <a:ext uri="{FF2B5EF4-FFF2-40B4-BE49-F238E27FC236}">
              <a16:creationId xmlns:a16="http://schemas.microsoft.com/office/drawing/2014/main" id="{CFD8A1AE-F717-E149-56F3-5B6A4F41DB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694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1547</xdr:row>
      <xdr:rowOff>0</xdr:rowOff>
    </xdr:from>
    <xdr:to>
      <xdr:col>13</xdr:col>
      <xdr:colOff>0</xdr:colOff>
      <xdr:row>1548</xdr:row>
      <xdr:rowOff>148590</xdr:rowOff>
    </xdr:to>
    <xdr:pic>
      <xdr:nvPicPr>
        <xdr:cNvPr id="1896" name="Imagen 1895" descr="Ver detalle">
          <a:hlinkClick xmlns:r="http://schemas.openxmlformats.org/officeDocument/2006/relationships" r:id="rId1838" tooltip="Ver detalle"/>
          <a:extLst>
            <a:ext uri="{FF2B5EF4-FFF2-40B4-BE49-F238E27FC236}">
              <a16:creationId xmlns:a16="http://schemas.microsoft.com/office/drawing/2014/main" id="{F330CCA1-94F9-DA8E-8426-2ABD0405F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889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1542</xdr:row>
      <xdr:rowOff>0</xdr:rowOff>
    </xdr:from>
    <xdr:to>
      <xdr:col>13</xdr:col>
      <xdr:colOff>0</xdr:colOff>
      <xdr:row>1543</xdr:row>
      <xdr:rowOff>148590</xdr:rowOff>
    </xdr:to>
    <xdr:pic>
      <xdr:nvPicPr>
        <xdr:cNvPr id="1897" name="Imagen 1896" descr="Ver detalle">
          <a:hlinkClick xmlns:r="http://schemas.openxmlformats.org/officeDocument/2006/relationships" r:id="rId1839" tooltip="Ver detalle"/>
          <a:extLst>
            <a:ext uri="{FF2B5EF4-FFF2-40B4-BE49-F238E27FC236}">
              <a16:creationId xmlns:a16="http://schemas.microsoft.com/office/drawing/2014/main" id="{CB110F5C-A67D-B526-D543-C304BF9BB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085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1545</xdr:row>
      <xdr:rowOff>0</xdr:rowOff>
    </xdr:from>
    <xdr:to>
      <xdr:col>13</xdr:col>
      <xdr:colOff>0</xdr:colOff>
      <xdr:row>1546</xdr:row>
      <xdr:rowOff>148590</xdr:rowOff>
    </xdr:to>
    <xdr:pic>
      <xdr:nvPicPr>
        <xdr:cNvPr id="1898" name="Imagen 1897" descr="Ver detalle">
          <a:hlinkClick xmlns:r="http://schemas.openxmlformats.org/officeDocument/2006/relationships" r:id="rId1840" tooltip="Ver detalle"/>
          <a:extLst>
            <a:ext uri="{FF2B5EF4-FFF2-40B4-BE49-F238E27FC236}">
              <a16:creationId xmlns:a16="http://schemas.microsoft.com/office/drawing/2014/main" id="{5B44AC8A-17BC-2D7B-A062-54A642EA6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2800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1546</xdr:row>
      <xdr:rowOff>0</xdr:rowOff>
    </xdr:from>
    <xdr:to>
      <xdr:col>13</xdr:col>
      <xdr:colOff>0</xdr:colOff>
      <xdr:row>1547</xdr:row>
      <xdr:rowOff>148590</xdr:rowOff>
    </xdr:to>
    <xdr:pic>
      <xdr:nvPicPr>
        <xdr:cNvPr id="1899" name="Imagen 1898" descr="Ver detalle">
          <a:hlinkClick xmlns:r="http://schemas.openxmlformats.org/officeDocument/2006/relationships" r:id="rId1841" tooltip="Ver detalle"/>
          <a:extLst>
            <a:ext uri="{FF2B5EF4-FFF2-40B4-BE49-F238E27FC236}">
              <a16:creationId xmlns:a16="http://schemas.microsoft.com/office/drawing/2014/main" id="{392E17C0-C600-A2FA-6932-8A169A812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3715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1540</xdr:row>
      <xdr:rowOff>0</xdr:rowOff>
    </xdr:from>
    <xdr:to>
      <xdr:col>13</xdr:col>
      <xdr:colOff>0</xdr:colOff>
      <xdr:row>1541</xdr:row>
      <xdr:rowOff>148590</xdr:rowOff>
    </xdr:to>
    <xdr:pic>
      <xdr:nvPicPr>
        <xdr:cNvPr id="1900" name="Imagen 1899" descr="Ver detalle">
          <a:hlinkClick xmlns:r="http://schemas.openxmlformats.org/officeDocument/2006/relationships" r:id="rId1842" tooltip="Ver detalle"/>
          <a:extLst>
            <a:ext uri="{FF2B5EF4-FFF2-40B4-BE49-F238E27FC236}">
              <a16:creationId xmlns:a16="http://schemas.microsoft.com/office/drawing/2014/main" id="{E27A7510-5795-1687-5E59-9EC94BB71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4629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1566</xdr:row>
      <xdr:rowOff>0</xdr:rowOff>
    </xdr:from>
    <xdr:to>
      <xdr:col>13</xdr:col>
      <xdr:colOff>0</xdr:colOff>
      <xdr:row>1567</xdr:row>
      <xdr:rowOff>148590</xdr:rowOff>
    </xdr:to>
    <xdr:pic>
      <xdr:nvPicPr>
        <xdr:cNvPr id="1901" name="Imagen 1900" descr="Ver detalle">
          <a:hlinkClick xmlns:r="http://schemas.openxmlformats.org/officeDocument/2006/relationships" r:id="rId1843" tooltip="Ver detalle"/>
          <a:extLst>
            <a:ext uri="{FF2B5EF4-FFF2-40B4-BE49-F238E27FC236}">
              <a16:creationId xmlns:a16="http://schemas.microsoft.com/office/drawing/2014/main" id="{1F066FE9-BA6B-4629-460F-998A53F1B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658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1567</xdr:row>
      <xdr:rowOff>0</xdr:rowOff>
    </xdr:from>
    <xdr:to>
      <xdr:col>13</xdr:col>
      <xdr:colOff>0</xdr:colOff>
      <xdr:row>1568</xdr:row>
      <xdr:rowOff>148590</xdr:rowOff>
    </xdr:to>
    <xdr:pic>
      <xdr:nvPicPr>
        <xdr:cNvPr id="1902" name="Imagen 1901" descr="Ver detalle">
          <a:hlinkClick xmlns:r="http://schemas.openxmlformats.org/officeDocument/2006/relationships" r:id="rId1844" tooltip="Ver detalle"/>
          <a:extLst>
            <a:ext uri="{FF2B5EF4-FFF2-40B4-BE49-F238E27FC236}">
              <a16:creationId xmlns:a16="http://schemas.microsoft.com/office/drawing/2014/main" id="{214AB656-A393-C3FB-F6ED-0DDAD4C887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853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1568</xdr:row>
      <xdr:rowOff>0</xdr:rowOff>
    </xdr:from>
    <xdr:to>
      <xdr:col>13</xdr:col>
      <xdr:colOff>0</xdr:colOff>
      <xdr:row>1569</xdr:row>
      <xdr:rowOff>148590</xdr:rowOff>
    </xdr:to>
    <xdr:pic>
      <xdr:nvPicPr>
        <xdr:cNvPr id="1903" name="Imagen 1902" descr="Ver detalle">
          <a:hlinkClick xmlns:r="http://schemas.openxmlformats.org/officeDocument/2006/relationships" r:id="rId1845" tooltip="Ver detalle"/>
          <a:extLst>
            <a:ext uri="{FF2B5EF4-FFF2-40B4-BE49-F238E27FC236}">
              <a16:creationId xmlns:a16="http://schemas.microsoft.com/office/drawing/2014/main" id="{4BF12793-2BD8-F0C7-F1E0-BFEC583EA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048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1562</xdr:row>
      <xdr:rowOff>0</xdr:rowOff>
    </xdr:from>
    <xdr:to>
      <xdr:col>13</xdr:col>
      <xdr:colOff>0</xdr:colOff>
      <xdr:row>1563</xdr:row>
      <xdr:rowOff>148590</xdr:rowOff>
    </xdr:to>
    <xdr:pic>
      <xdr:nvPicPr>
        <xdr:cNvPr id="1904" name="Imagen 1903" descr="Ver detalle">
          <a:hlinkClick xmlns:r="http://schemas.openxmlformats.org/officeDocument/2006/relationships" r:id="rId1846" tooltip="Ver detalle"/>
          <a:extLst>
            <a:ext uri="{FF2B5EF4-FFF2-40B4-BE49-F238E27FC236}">
              <a16:creationId xmlns:a16="http://schemas.microsoft.com/office/drawing/2014/main" id="{87F756C9-72E6-12D4-1BB6-B95F486D0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243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1564</xdr:row>
      <xdr:rowOff>0</xdr:rowOff>
    </xdr:from>
    <xdr:to>
      <xdr:col>13</xdr:col>
      <xdr:colOff>0</xdr:colOff>
      <xdr:row>1565</xdr:row>
      <xdr:rowOff>148590</xdr:rowOff>
    </xdr:to>
    <xdr:pic>
      <xdr:nvPicPr>
        <xdr:cNvPr id="1905" name="Imagen 1904" descr="Ver detalle">
          <a:hlinkClick xmlns:r="http://schemas.openxmlformats.org/officeDocument/2006/relationships" r:id="rId1847" tooltip="Ver detalle"/>
          <a:extLst>
            <a:ext uri="{FF2B5EF4-FFF2-40B4-BE49-F238E27FC236}">
              <a16:creationId xmlns:a16="http://schemas.microsoft.com/office/drawing/2014/main" id="{E54EE54E-42B5-7D2A-0CA6-C71D2F750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6334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1565</xdr:row>
      <xdr:rowOff>0</xdr:rowOff>
    </xdr:from>
    <xdr:to>
      <xdr:col>13</xdr:col>
      <xdr:colOff>0</xdr:colOff>
      <xdr:row>1566</xdr:row>
      <xdr:rowOff>148590</xdr:rowOff>
    </xdr:to>
    <xdr:pic>
      <xdr:nvPicPr>
        <xdr:cNvPr id="1906" name="Imagen 1905" descr="Ver detalle">
          <a:hlinkClick xmlns:r="http://schemas.openxmlformats.org/officeDocument/2006/relationships" r:id="rId1848" tooltip="Ver detalle"/>
          <a:extLst>
            <a:ext uri="{FF2B5EF4-FFF2-40B4-BE49-F238E27FC236}">
              <a16:creationId xmlns:a16="http://schemas.microsoft.com/office/drawing/2014/main" id="{F70F2EF2-C43F-712B-D0B8-84E46B877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828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1539</xdr:row>
      <xdr:rowOff>0</xdr:rowOff>
    </xdr:from>
    <xdr:to>
      <xdr:col>13</xdr:col>
      <xdr:colOff>0</xdr:colOff>
      <xdr:row>1540</xdr:row>
      <xdr:rowOff>148590</xdr:rowOff>
    </xdr:to>
    <xdr:pic>
      <xdr:nvPicPr>
        <xdr:cNvPr id="1907" name="Imagen 1906" descr="Ver detalle">
          <a:hlinkClick xmlns:r="http://schemas.openxmlformats.org/officeDocument/2006/relationships" r:id="rId1849" tooltip="Ver detalle"/>
          <a:extLst>
            <a:ext uri="{FF2B5EF4-FFF2-40B4-BE49-F238E27FC236}">
              <a16:creationId xmlns:a16="http://schemas.microsoft.com/office/drawing/2014/main" id="{0381685A-0261-5153-7E56-9AFBDD1B1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023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1538</xdr:row>
      <xdr:rowOff>0</xdr:rowOff>
    </xdr:from>
    <xdr:to>
      <xdr:col>13</xdr:col>
      <xdr:colOff>0</xdr:colOff>
      <xdr:row>1539</xdr:row>
      <xdr:rowOff>148590</xdr:rowOff>
    </xdr:to>
    <xdr:pic>
      <xdr:nvPicPr>
        <xdr:cNvPr id="1908" name="Imagen 1907" descr="Ver detalle">
          <a:hlinkClick xmlns:r="http://schemas.openxmlformats.org/officeDocument/2006/relationships" r:id="rId1850" tooltip="Ver detalle"/>
          <a:extLst>
            <a:ext uri="{FF2B5EF4-FFF2-40B4-BE49-F238E27FC236}">
              <a16:creationId xmlns:a16="http://schemas.microsoft.com/office/drawing/2014/main" id="{9310B4F7-B8E4-4172-D3F0-EDA1492E2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218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1536</xdr:row>
      <xdr:rowOff>0</xdr:rowOff>
    </xdr:from>
    <xdr:to>
      <xdr:col>13</xdr:col>
      <xdr:colOff>0</xdr:colOff>
      <xdr:row>1537</xdr:row>
      <xdr:rowOff>148590</xdr:rowOff>
    </xdr:to>
    <xdr:pic>
      <xdr:nvPicPr>
        <xdr:cNvPr id="1909" name="Imagen 1908" descr="Ver detalle">
          <a:hlinkClick xmlns:r="http://schemas.openxmlformats.org/officeDocument/2006/relationships" r:id="rId1851" tooltip="Ver detalle"/>
          <a:extLst>
            <a:ext uri="{FF2B5EF4-FFF2-40B4-BE49-F238E27FC236}">
              <a16:creationId xmlns:a16="http://schemas.microsoft.com/office/drawing/2014/main" id="{07202747-F161-5934-922B-6739DA4CF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413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1537</xdr:row>
      <xdr:rowOff>0</xdr:rowOff>
    </xdr:from>
    <xdr:to>
      <xdr:col>13</xdr:col>
      <xdr:colOff>0</xdr:colOff>
      <xdr:row>1538</xdr:row>
      <xdr:rowOff>148590</xdr:rowOff>
    </xdr:to>
    <xdr:pic>
      <xdr:nvPicPr>
        <xdr:cNvPr id="1910" name="Imagen 1909" descr="Ver detalle">
          <a:hlinkClick xmlns:r="http://schemas.openxmlformats.org/officeDocument/2006/relationships" r:id="rId1852" tooltip="Ver detalle"/>
          <a:extLst>
            <a:ext uri="{FF2B5EF4-FFF2-40B4-BE49-F238E27FC236}">
              <a16:creationId xmlns:a16="http://schemas.microsoft.com/office/drawing/2014/main" id="{08A9BA1E-D6EE-4EF7-5BEB-9FB1C3D17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6087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1534</xdr:row>
      <xdr:rowOff>0</xdr:rowOff>
    </xdr:from>
    <xdr:to>
      <xdr:col>13</xdr:col>
      <xdr:colOff>0</xdr:colOff>
      <xdr:row>1535</xdr:row>
      <xdr:rowOff>148590</xdr:rowOff>
    </xdr:to>
    <xdr:pic>
      <xdr:nvPicPr>
        <xdr:cNvPr id="1911" name="Imagen 1910" descr="Ver detalle">
          <a:hlinkClick xmlns:r="http://schemas.openxmlformats.org/officeDocument/2006/relationships" r:id="rId1853" tooltip="Ver detalle"/>
          <a:extLst>
            <a:ext uri="{FF2B5EF4-FFF2-40B4-BE49-F238E27FC236}">
              <a16:creationId xmlns:a16="http://schemas.microsoft.com/office/drawing/2014/main" id="{FA68FC3D-FB02-FF2E-2CAA-3CDFD1222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700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1548</xdr:row>
      <xdr:rowOff>0</xdr:rowOff>
    </xdr:from>
    <xdr:to>
      <xdr:col>13</xdr:col>
      <xdr:colOff>0</xdr:colOff>
      <xdr:row>1549</xdr:row>
      <xdr:rowOff>148590</xdr:rowOff>
    </xdr:to>
    <xdr:pic>
      <xdr:nvPicPr>
        <xdr:cNvPr id="1912" name="Imagen 1911" descr="Ver detalle">
          <a:hlinkClick xmlns:r="http://schemas.openxmlformats.org/officeDocument/2006/relationships" r:id="rId1854" tooltip="Ver detalle"/>
          <a:extLst>
            <a:ext uri="{FF2B5EF4-FFF2-40B4-BE49-F238E27FC236}">
              <a16:creationId xmlns:a16="http://schemas.microsoft.com/office/drawing/2014/main" id="{CF002B21-7846-7545-DBD6-575BAEBB6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895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1535</xdr:row>
      <xdr:rowOff>0</xdr:rowOff>
    </xdr:from>
    <xdr:to>
      <xdr:col>13</xdr:col>
      <xdr:colOff>0</xdr:colOff>
      <xdr:row>1536</xdr:row>
      <xdr:rowOff>148590</xdr:rowOff>
    </xdr:to>
    <xdr:pic>
      <xdr:nvPicPr>
        <xdr:cNvPr id="1913" name="Imagen 1912" descr="Ver detalle">
          <a:hlinkClick xmlns:r="http://schemas.openxmlformats.org/officeDocument/2006/relationships" r:id="rId1855" tooltip="Ver detalle"/>
          <a:extLst>
            <a:ext uri="{FF2B5EF4-FFF2-40B4-BE49-F238E27FC236}">
              <a16:creationId xmlns:a16="http://schemas.microsoft.com/office/drawing/2014/main" id="{AABCEC4B-0C22-46AA-C1F0-150944533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090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1549</xdr:row>
      <xdr:rowOff>0</xdr:rowOff>
    </xdr:from>
    <xdr:to>
      <xdr:col>13</xdr:col>
      <xdr:colOff>0</xdr:colOff>
      <xdr:row>1550</xdr:row>
      <xdr:rowOff>148590</xdr:rowOff>
    </xdr:to>
    <xdr:pic>
      <xdr:nvPicPr>
        <xdr:cNvPr id="1914" name="Imagen 1913" descr="Ver detalle">
          <a:hlinkClick xmlns:r="http://schemas.openxmlformats.org/officeDocument/2006/relationships" r:id="rId1856" tooltip="Ver detalle"/>
          <a:extLst>
            <a:ext uri="{FF2B5EF4-FFF2-40B4-BE49-F238E27FC236}">
              <a16:creationId xmlns:a16="http://schemas.microsoft.com/office/drawing/2014/main" id="{2FC47C6D-76C2-8B91-6708-CE1B7BD42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2854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1630</xdr:row>
      <xdr:rowOff>0</xdr:rowOff>
    </xdr:from>
    <xdr:to>
      <xdr:col>13</xdr:col>
      <xdr:colOff>0</xdr:colOff>
      <xdr:row>1631</xdr:row>
      <xdr:rowOff>148590</xdr:rowOff>
    </xdr:to>
    <xdr:pic>
      <xdr:nvPicPr>
        <xdr:cNvPr id="1915" name="Imagen 1914" descr="Ver detalle">
          <a:hlinkClick xmlns:r="http://schemas.openxmlformats.org/officeDocument/2006/relationships" r:id="rId1857" tooltip="Ver detalle"/>
          <a:extLst>
            <a:ext uri="{FF2B5EF4-FFF2-40B4-BE49-F238E27FC236}">
              <a16:creationId xmlns:a16="http://schemas.microsoft.com/office/drawing/2014/main" id="{8E822D60-08FA-3987-12EB-0DDFE0D37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439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1630</xdr:row>
      <xdr:rowOff>0</xdr:rowOff>
    </xdr:from>
    <xdr:to>
      <xdr:col>13</xdr:col>
      <xdr:colOff>329565</xdr:colOff>
      <xdr:row>1631</xdr:row>
      <xdr:rowOff>148590</xdr:rowOff>
    </xdr:to>
    <xdr:pic>
      <xdr:nvPicPr>
        <xdr:cNvPr id="1916" name="Imagen 1915">
          <a:hlinkClick xmlns:r="http://schemas.openxmlformats.org/officeDocument/2006/relationships" r:id="rId1858" tooltip="Quitar este incidente de la liquidación"/>
          <a:extLst>
            <a:ext uri="{FF2B5EF4-FFF2-40B4-BE49-F238E27FC236}">
              <a16:creationId xmlns:a16="http://schemas.microsoft.com/office/drawing/2014/main" id="{C804C89E-A1D2-5103-4549-743DD4528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29439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1633</xdr:row>
      <xdr:rowOff>0</xdr:rowOff>
    </xdr:from>
    <xdr:to>
      <xdr:col>13</xdr:col>
      <xdr:colOff>0</xdr:colOff>
      <xdr:row>1634</xdr:row>
      <xdr:rowOff>114300</xdr:rowOff>
    </xdr:to>
    <xdr:pic>
      <xdr:nvPicPr>
        <xdr:cNvPr id="1917" name="Imagen 1916" descr="Ver detalle">
          <a:hlinkClick xmlns:r="http://schemas.openxmlformats.org/officeDocument/2006/relationships" r:id="rId1859" tooltip="Ver detalle"/>
          <a:extLst>
            <a:ext uri="{FF2B5EF4-FFF2-40B4-BE49-F238E27FC236}">
              <a16:creationId xmlns:a16="http://schemas.microsoft.com/office/drawing/2014/main" id="{2CFBC474-0C11-A6BD-4C33-BD0CE163C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634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1633</xdr:row>
      <xdr:rowOff>0</xdr:rowOff>
    </xdr:from>
    <xdr:to>
      <xdr:col>13</xdr:col>
      <xdr:colOff>329565</xdr:colOff>
      <xdr:row>1634</xdr:row>
      <xdr:rowOff>114300</xdr:rowOff>
    </xdr:to>
    <xdr:pic>
      <xdr:nvPicPr>
        <xdr:cNvPr id="1918" name="Imagen 1917">
          <a:hlinkClick xmlns:r="http://schemas.openxmlformats.org/officeDocument/2006/relationships" r:id="rId1860" tooltip="Quitar este incidente de la liquidación"/>
          <a:extLst>
            <a:ext uri="{FF2B5EF4-FFF2-40B4-BE49-F238E27FC236}">
              <a16:creationId xmlns:a16="http://schemas.microsoft.com/office/drawing/2014/main" id="{D5160A7B-9750-785A-CE1C-7CBCE3002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29634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1632</xdr:row>
      <xdr:rowOff>0</xdr:rowOff>
    </xdr:from>
    <xdr:to>
      <xdr:col>13</xdr:col>
      <xdr:colOff>0</xdr:colOff>
      <xdr:row>1633</xdr:row>
      <xdr:rowOff>148590</xdr:rowOff>
    </xdr:to>
    <xdr:pic>
      <xdr:nvPicPr>
        <xdr:cNvPr id="1919" name="Imagen 1918" descr="Ver detalle">
          <a:hlinkClick xmlns:r="http://schemas.openxmlformats.org/officeDocument/2006/relationships" r:id="rId1861" tooltip="Ver detalle"/>
          <a:extLst>
            <a:ext uri="{FF2B5EF4-FFF2-40B4-BE49-F238E27FC236}">
              <a16:creationId xmlns:a16="http://schemas.microsoft.com/office/drawing/2014/main" id="{363216EA-B904-A7D0-107B-7764CC41F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7263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1632</xdr:row>
      <xdr:rowOff>0</xdr:rowOff>
    </xdr:from>
    <xdr:to>
      <xdr:col>13</xdr:col>
      <xdr:colOff>329565</xdr:colOff>
      <xdr:row>1633</xdr:row>
      <xdr:rowOff>148590</xdr:rowOff>
    </xdr:to>
    <xdr:pic>
      <xdr:nvPicPr>
        <xdr:cNvPr id="1920" name="Imagen 1919">
          <a:hlinkClick xmlns:r="http://schemas.openxmlformats.org/officeDocument/2006/relationships" r:id="rId1862" tooltip="Quitar este incidente de la liquidación"/>
          <a:extLst>
            <a:ext uri="{FF2B5EF4-FFF2-40B4-BE49-F238E27FC236}">
              <a16:creationId xmlns:a16="http://schemas.microsoft.com/office/drawing/2014/main" id="{42A3CCFF-8D3F-ABF6-9CF0-C65EEDBBC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297263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1631</xdr:row>
      <xdr:rowOff>0</xdr:rowOff>
    </xdr:from>
    <xdr:to>
      <xdr:col>13</xdr:col>
      <xdr:colOff>0</xdr:colOff>
      <xdr:row>1632</xdr:row>
      <xdr:rowOff>148590</xdr:rowOff>
    </xdr:to>
    <xdr:pic>
      <xdr:nvPicPr>
        <xdr:cNvPr id="1921" name="Imagen 1920" descr="Ver detalle">
          <a:hlinkClick xmlns:r="http://schemas.openxmlformats.org/officeDocument/2006/relationships" r:id="rId1863" tooltip="Ver detalle"/>
          <a:extLst>
            <a:ext uri="{FF2B5EF4-FFF2-40B4-BE49-F238E27FC236}">
              <a16:creationId xmlns:a16="http://schemas.microsoft.com/office/drawing/2014/main" id="{FF285F7D-EFB6-AE8C-A510-DD5F73DEB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921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1631</xdr:row>
      <xdr:rowOff>0</xdr:rowOff>
    </xdr:from>
    <xdr:to>
      <xdr:col>13</xdr:col>
      <xdr:colOff>329565</xdr:colOff>
      <xdr:row>1632</xdr:row>
      <xdr:rowOff>148590</xdr:rowOff>
    </xdr:to>
    <xdr:pic>
      <xdr:nvPicPr>
        <xdr:cNvPr id="1922" name="Imagen 1921">
          <a:hlinkClick xmlns:r="http://schemas.openxmlformats.org/officeDocument/2006/relationships" r:id="rId1864" tooltip="Quitar este incidente de la liquidación"/>
          <a:extLst>
            <a:ext uri="{FF2B5EF4-FFF2-40B4-BE49-F238E27FC236}">
              <a16:creationId xmlns:a16="http://schemas.microsoft.com/office/drawing/2014/main" id="{6DD14AE0-469B-5518-4F18-1DADABF95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29921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1629</xdr:row>
      <xdr:rowOff>0</xdr:rowOff>
    </xdr:from>
    <xdr:to>
      <xdr:col>13</xdr:col>
      <xdr:colOff>0</xdr:colOff>
      <xdr:row>1630</xdr:row>
      <xdr:rowOff>148590</xdr:rowOff>
    </xdr:to>
    <xdr:pic>
      <xdr:nvPicPr>
        <xdr:cNvPr id="1923" name="Imagen 1922" descr="Ver detalle">
          <a:hlinkClick xmlns:r="http://schemas.openxmlformats.org/officeDocument/2006/relationships" r:id="rId1865" tooltip="Ver detalle"/>
          <a:extLst>
            <a:ext uri="{FF2B5EF4-FFF2-40B4-BE49-F238E27FC236}">
              <a16:creationId xmlns:a16="http://schemas.microsoft.com/office/drawing/2014/main" id="{9BD23EC0-20BD-D45E-F407-F8498A81A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116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1629</xdr:row>
      <xdr:rowOff>0</xdr:rowOff>
    </xdr:from>
    <xdr:to>
      <xdr:col>13</xdr:col>
      <xdr:colOff>329565</xdr:colOff>
      <xdr:row>1630</xdr:row>
      <xdr:rowOff>148590</xdr:rowOff>
    </xdr:to>
    <xdr:pic>
      <xdr:nvPicPr>
        <xdr:cNvPr id="1924" name="Imagen 1923">
          <a:hlinkClick xmlns:r="http://schemas.openxmlformats.org/officeDocument/2006/relationships" r:id="rId1866" tooltip="Quitar este incidente de la liquidación"/>
          <a:extLst>
            <a:ext uri="{FF2B5EF4-FFF2-40B4-BE49-F238E27FC236}">
              <a16:creationId xmlns:a16="http://schemas.microsoft.com/office/drawing/2014/main" id="{81D0CBAE-01FB-A959-61DA-53619BE42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0116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1623</xdr:row>
      <xdr:rowOff>0</xdr:rowOff>
    </xdr:from>
    <xdr:to>
      <xdr:col>13</xdr:col>
      <xdr:colOff>0</xdr:colOff>
      <xdr:row>1624</xdr:row>
      <xdr:rowOff>148590</xdr:rowOff>
    </xdr:to>
    <xdr:pic>
      <xdr:nvPicPr>
        <xdr:cNvPr id="1925" name="Imagen 1924" descr="Ver detalle">
          <a:hlinkClick xmlns:r="http://schemas.openxmlformats.org/officeDocument/2006/relationships" r:id="rId1867" tooltip="Ver detalle"/>
          <a:extLst>
            <a:ext uri="{FF2B5EF4-FFF2-40B4-BE49-F238E27FC236}">
              <a16:creationId xmlns:a16="http://schemas.microsoft.com/office/drawing/2014/main" id="{14DAB504-53F0-B028-D301-B9A913F07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2079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1623</xdr:row>
      <xdr:rowOff>0</xdr:rowOff>
    </xdr:from>
    <xdr:to>
      <xdr:col>13</xdr:col>
      <xdr:colOff>329565</xdr:colOff>
      <xdr:row>1624</xdr:row>
      <xdr:rowOff>148590</xdr:rowOff>
    </xdr:to>
    <xdr:pic>
      <xdr:nvPicPr>
        <xdr:cNvPr id="1926" name="Imagen 1925">
          <a:hlinkClick xmlns:r="http://schemas.openxmlformats.org/officeDocument/2006/relationships" r:id="rId1868" tooltip="Quitar este incidente de la liquidación"/>
          <a:extLst>
            <a:ext uri="{FF2B5EF4-FFF2-40B4-BE49-F238E27FC236}">
              <a16:creationId xmlns:a16="http://schemas.microsoft.com/office/drawing/2014/main" id="{932F68A3-74F3-DEED-DCA8-3838BA394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02079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1627</xdr:row>
      <xdr:rowOff>0</xdr:rowOff>
    </xdr:from>
    <xdr:to>
      <xdr:col>13</xdr:col>
      <xdr:colOff>0</xdr:colOff>
      <xdr:row>1628</xdr:row>
      <xdr:rowOff>148590</xdr:rowOff>
    </xdr:to>
    <xdr:pic>
      <xdr:nvPicPr>
        <xdr:cNvPr id="1927" name="Imagen 1926" descr="Ver detalle">
          <a:hlinkClick xmlns:r="http://schemas.openxmlformats.org/officeDocument/2006/relationships" r:id="rId1869" tooltip="Ver detalle"/>
          <a:extLst>
            <a:ext uri="{FF2B5EF4-FFF2-40B4-BE49-F238E27FC236}">
              <a16:creationId xmlns:a16="http://schemas.microsoft.com/office/drawing/2014/main" id="{BB7B99EF-A110-3194-F727-B639195E3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403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1627</xdr:row>
      <xdr:rowOff>0</xdr:rowOff>
    </xdr:from>
    <xdr:to>
      <xdr:col>13</xdr:col>
      <xdr:colOff>329565</xdr:colOff>
      <xdr:row>1628</xdr:row>
      <xdr:rowOff>148590</xdr:rowOff>
    </xdr:to>
    <xdr:pic>
      <xdr:nvPicPr>
        <xdr:cNvPr id="1928" name="Imagen 1927">
          <a:hlinkClick xmlns:r="http://schemas.openxmlformats.org/officeDocument/2006/relationships" r:id="rId1870" tooltip="Quitar este incidente de la liquidación"/>
          <a:extLst>
            <a:ext uri="{FF2B5EF4-FFF2-40B4-BE49-F238E27FC236}">
              <a16:creationId xmlns:a16="http://schemas.microsoft.com/office/drawing/2014/main" id="{A217D7D3-FF27-5A2F-B4B3-456A1AB8D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0403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1626</xdr:row>
      <xdr:rowOff>0</xdr:rowOff>
    </xdr:from>
    <xdr:to>
      <xdr:col>13</xdr:col>
      <xdr:colOff>0</xdr:colOff>
      <xdr:row>1627</xdr:row>
      <xdr:rowOff>148590</xdr:rowOff>
    </xdr:to>
    <xdr:pic>
      <xdr:nvPicPr>
        <xdr:cNvPr id="1929" name="Imagen 1928" descr="Ver detalle">
          <a:hlinkClick xmlns:r="http://schemas.openxmlformats.org/officeDocument/2006/relationships" r:id="rId1871" tooltip="Ver detalle"/>
          <a:extLst>
            <a:ext uri="{FF2B5EF4-FFF2-40B4-BE49-F238E27FC236}">
              <a16:creationId xmlns:a16="http://schemas.microsoft.com/office/drawing/2014/main" id="{E9FBEABE-3F47-D7AB-40A6-F764FA720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598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1626</xdr:row>
      <xdr:rowOff>0</xdr:rowOff>
    </xdr:from>
    <xdr:to>
      <xdr:col>13</xdr:col>
      <xdr:colOff>329565</xdr:colOff>
      <xdr:row>1627</xdr:row>
      <xdr:rowOff>148590</xdr:rowOff>
    </xdr:to>
    <xdr:pic>
      <xdr:nvPicPr>
        <xdr:cNvPr id="1930" name="Imagen 1929">
          <a:hlinkClick xmlns:r="http://schemas.openxmlformats.org/officeDocument/2006/relationships" r:id="rId1872" tooltip="Quitar este incidente de la liquidación"/>
          <a:extLst>
            <a:ext uri="{FF2B5EF4-FFF2-40B4-BE49-F238E27FC236}">
              <a16:creationId xmlns:a16="http://schemas.microsoft.com/office/drawing/2014/main" id="{64CED4C8-F41F-9A68-8943-884BF2906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0598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1619</xdr:row>
      <xdr:rowOff>0</xdr:rowOff>
    </xdr:from>
    <xdr:to>
      <xdr:col>13</xdr:col>
      <xdr:colOff>0</xdr:colOff>
      <xdr:row>1620</xdr:row>
      <xdr:rowOff>148590</xdr:rowOff>
    </xdr:to>
    <xdr:pic>
      <xdr:nvPicPr>
        <xdr:cNvPr id="1931" name="Imagen 1930" descr="Ver detalle">
          <a:hlinkClick xmlns:r="http://schemas.openxmlformats.org/officeDocument/2006/relationships" r:id="rId1873" tooltip="Ver detalle"/>
          <a:extLst>
            <a:ext uri="{FF2B5EF4-FFF2-40B4-BE49-F238E27FC236}">
              <a16:creationId xmlns:a16="http://schemas.microsoft.com/office/drawing/2014/main" id="{3F93FD4B-6CA9-EEB9-DA53-B2B6BD8C5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68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1619</xdr:row>
      <xdr:rowOff>0</xdr:rowOff>
    </xdr:from>
    <xdr:to>
      <xdr:col>13</xdr:col>
      <xdr:colOff>329565</xdr:colOff>
      <xdr:row>1620</xdr:row>
      <xdr:rowOff>148590</xdr:rowOff>
    </xdr:to>
    <xdr:pic>
      <xdr:nvPicPr>
        <xdr:cNvPr id="1932" name="Imagen 1931">
          <a:hlinkClick xmlns:r="http://schemas.openxmlformats.org/officeDocument/2006/relationships" r:id="rId1874" tooltip="Quitar este incidente de la liquidación"/>
          <a:extLst>
            <a:ext uri="{FF2B5EF4-FFF2-40B4-BE49-F238E27FC236}">
              <a16:creationId xmlns:a16="http://schemas.microsoft.com/office/drawing/2014/main" id="{8AA05B47-F562-3594-5888-8E7BF1706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068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1628</xdr:row>
      <xdr:rowOff>0</xdr:rowOff>
    </xdr:from>
    <xdr:to>
      <xdr:col>13</xdr:col>
      <xdr:colOff>0</xdr:colOff>
      <xdr:row>1629</xdr:row>
      <xdr:rowOff>148590</xdr:rowOff>
    </xdr:to>
    <xdr:pic>
      <xdr:nvPicPr>
        <xdr:cNvPr id="1933" name="Imagen 1932" descr="Ver detalle">
          <a:hlinkClick xmlns:r="http://schemas.openxmlformats.org/officeDocument/2006/relationships" r:id="rId1875" tooltip="Ver detalle"/>
          <a:extLst>
            <a:ext uri="{FF2B5EF4-FFF2-40B4-BE49-F238E27FC236}">
              <a16:creationId xmlns:a16="http://schemas.microsoft.com/office/drawing/2014/main" id="{8DD3E3A5-8674-B11E-31C5-6E9408E09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884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1628</xdr:row>
      <xdr:rowOff>0</xdr:rowOff>
    </xdr:from>
    <xdr:to>
      <xdr:col>13</xdr:col>
      <xdr:colOff>329565</xdr:colOff>
      <xdr:row>1629</xdr:row>
      <xdr:rowOff>148590</xdr:rowOff>
    </xdr:to>
    <xdr:pic>
      <xdr:nvPicPr>
        <xdr:cNvPr id="1934" name="Imagen 1933">
          <a:hlinkClick xmlns:r="http://schemas.openxmlformats.org/officeDocument/2006/relationships" r:id="rId1876" tooltip="Quitar este incidente de la liquidación"/>
          <a:extLst>
            <a:ext uri="{FF2B5EF4-FFF2-40B4-BE49-F238E27FC236}">
              <a16:creationId xmlns:a16="http://schemas.microsoft.com/office/drawing/2014/main" id="{F8C8C53C-0909-8A59-38DC-6FF3E0481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0884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1642</xdr:row>
      <xdr:rowOff>0</xdr:rowOff>
    </xdr:from>
    <xdr:to>
      <xdr:col>13</xdr:col>
      <xdr:colOff>0</xdr:colOff>
      <xdr:row>1643</xdr:row>
      <xdr:rowOff>148590</xdr:rowOff>
    </xdr:to>
    <xdr:pic>
      <xdr:nvPicPr>
        <xdr:cNvPr id="1935" name="Imagen 1934" descr="Ver detalle">
          <a:hlinkClick xmlns:r="http://schemas.openxmlformats.org/officeDocument/2006/relationships" r:id="rId1877" tooltip="Ver detalle"/>
          <a:extLst>
            <a:ext uri="{FF2B5EF4-FFF2-40B4-BE49-F238E27FC236}">
              <a16:creationId xmlns:a16="http://schemas.microsoft.com/office/drawing/2014/main" id="{E8FD624C-2F58-29B8-3A06-0AC626F77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976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1642</xdr:row>
      <xdr:rowOff>0</xdr:rowOff>
    </xdr:from>
    <xdr:to>
      <xdr:col>13</xdr:col>
      <xdr:colOff>329565</xdr:colOff>
      <xdr:row>1643</xdr:row>
      <xdr:rowOff>148590</xdr:rowOff>
    </xdr:to>
    <xdr:pic>
      <xdr:nvPicPr>
        <xdr:cNvPr id="1936" name="Imagen 1935">
          <a:hlinkClick xmlns:r="http://schemas.openxmlformats.org/officeDocument/2006/relationships" r:id="rId1878" tooltip="Quitar este incidente de la liquidación"/>
          <a:extLst>
            <a:ext uri="{FF2B5EF4-FFF2-40B4-BE49-F238E27FC236}">
              <a16:creationId xmlns:a16="http://schemas.microsoft.com/office/drawing/2014/main" id="{BF1E5647-98B3-C59D-708F-288AA0FE3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0976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1641</xdr:row>
      <xdr:rowOff>0</xdr:rowOff>
    </xdr:from>
    <xdr:to>
      <xdr:col>13</xdr:col>
      <xdr:colOff>0</xdr:colOff>
      <xdr:row>1642</xdr:row>
      <xdr:rowOff>148590</xdr:rowOff>
    </xdr:to>
    <xdr:pic>
      <xdr:nvPicPr>
        <xdr:cNvPr id="1937" name="Imagen 1936" descr="Ver detalle">
          <a:hlinkClick xmlns:r="http://schemas.openxmlformats.org/officeDocument/2006/relationships" r:id="rId1879" tooltip="Ver detalle"/>
          <a:extLst>
            <a:ext uri="{FF2B5EF4-FFF2-40B4-BE49-F238E27FC236}">
              <a16:creationId xmlns:a16="http://schemas.microsoft.com/office/drawing/2014/main" id="{101EAB20-5A4B-F89F-A6E7-B22A5215F5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171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1641</xdr:row>
      <xdr:rowOff>0</xdr:rowOff>
    </xdr:from>
    <xdr:to>
      <xdr:col>13</xdr:col>
      <xdr:colOff>329565</xdr:colOff>
      <xdr:row>1642</xdr:row>
      <xdr:rowOff>148590</xdr:rowOff>
    </xdr:to>
    <xdr:pic>
      <xdr:nvPicPr>
        <xdr:cNvPr id="1938" name="Imagen 1937">
          <a:hlinkClick xmlns:r="http://schemas.openxmlformats.org/officeDocument/2006/relationships" r:id="rId1880" tooltip="Quitar este incidente de la liquidación"/>
          <a:extLst>
            <a:ext uri="{FF2B5EF4-FFF2-40B4-BE49-F238E27FC236}">
              <a16:creationId xmlns:a16="http://schemas.microsoft.com/office/drawing/2014/main" id="{93EF2164-71E2-2BC4-BFE5-34227733C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1171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1640</xdr:row>
      <xdr:rowOff>0</xdr:rowOff>
    </xdr:from>
    <xdr:to>
      <xdr:col>13</xdr:col>
      <xdr:colOff>0</xdr:colOff>
      <xdr:row>1641</xdr:row>
      <xdr:rowOff>148590</xdr:rowOff>
    </xdr:to>
    <xdr:pic>
      <xdr:nvPicPr>
        <xdr:cNvPr id="1939" name="Imagen 1938" descr="Ver detalle">
          <a:hlinkClick xmlns:r="http://schemas.openxmlformats.org/officeDocument/2006/relationships" r:id="rId1881" tooltip="Ver detalle"/>
          <a:extLst>
            <a:ext uri="{FF2B5EF4-FFF2-40B4-BE49-F238E27FC236}">
              <a16:creationId xmlns:a16="http://schemas.microsoft.com/office/drawing/2014/main" id="{A28BD082-FB93-BC23-C3B3-C6FEFEF51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366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1640</xdr:row>
      <xdr:rowOff>0</xdr:rowOff>
    </xdr:from>
    <xdr:to>
      <xdr:col>13</xdr:col>
      <xdr:colOff>329565</xdr:colOff>
      <xdr:row>1641</xdr:row>
      <xdr:rowOff>148590</xdr:rowOff>
    </xdr:to>
    <xdr:pic>
      <xdr:nvPicPr>
        <xdr:cNvPr id="1940" name="Imagen 1939">
          <a:hlinkClick xmlns:r="http://schemas.openxmlformats.org/officeDocument/2006/relationships" r:id="rId1882" tooltip="Quitar este incidente de la liquidación"/>
          <a:extLst>
            <a:ext uri="{FF2B5EF4-FFF2-40B4-BE49-F238E27FC236}">
              <a16:creationId xmlns:a16="http://schemas.microsoft.com/office/drawing/2014/main" id="{8ACAED51-3ACB-C444-E9AC-652E2CF59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1366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1639</xdr:row>
      <xdr:rowOff>0</xdr:rowOff>
    </xdr:from>
    <xdr:to>
      <xdr:col>13</xdr:col>
      <xdr:colOff>0</xdr:colOff>
      <xdr:row>1640</xdr:row>
      <xdr:rowOff>148590</xdr:rowOff>
    </xdr:to>
    <xdr:pic>
      <xdr:nvPicPr>
        <xdr:cNvPr id="1941" name="Imagen 1940" descr="Ver detalle">
          <a:hlinkClick xmlns:r="http://schemas.openxmlformats.org/officeDocument/2006/relationships" r:id="rId1883" tooltip="Ver detalle"/>
          <a:extLst>
            <a:ext uri="{FF2B5EF4-FFF2-40B4-BE49-F238E27FC236}">
              <a16:creationId xmlns:a16="http://schemas.microsoft.com/office/drawing/2014/main" id="{ED24DD10-97A4-26E1-2CBF-4175187FB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4965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1639</xdr:row>
      <xdr:rowOff>0</xdr:rowOff>
    </xdr:from>
    <xdr:to>
      <xdr:col>13</xdr:col>
      <xdr:colOff>329565</xdr:colOff>
      <xdr:row>1640</xdr:row>
      <xdr:rowOff>148590</xdr:rowOff>
    </xdr:to>
    <xdr:pic>
      <xdr:nvPicPr>
        <xdr:cNvPr id="1942" name="Imagen 1941">
          <a:hlinkClick xmlns:r="http://schemas.openxmlformats.org/officeDocument/2006/relationships" r:id="rId1884" tooltip="Quitar este incidente de la liquidación"/>
          <a:extLst>
            <a:ext uri="{FF2B5EF4-FFF2-40B4-BE49-F238E27FC236}">
              <a16:creationId xmlns:a16="http://schemas.microsoft.com/office/drawing/2014/main" id="{1E50A692-5769-8B1D-A402-C80CCEBBA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14965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1638</xdr:row>
      <xdr:rowOff>0</xdr:rowOff>
    </xdr:from>
    <xdr:to>
      <xdr:col>13</xdr:col>
      <xdr:colOff>0</xdr:colOff>
      <xdr:row>1639</xdr:row>
      <xdr:rowOff>148590</xdr:rowOff>
    </xdr:to>
    <xdr:pic>
      <xdr:nvPicPr>
        <xdr:cNvPr id="1943" name="Imagen 1942" descr="Ver detalle">
          <a:hlinkClick xmlns:r="http://schemas.openxmlformats.org/officeDocument/2006/relationships" r:id="rId1885" tooltip="Ver detalle"/>
          <a:extLst>
            <a:ext uri="{FF2B5EF4-FFF2-40B4-BE49-F238E27FC236}">
              <a16:creationId xmlns:a16="http://schemas.microsoft.com/office/drawing/2014/main" id="{1C0C70BE-7A40-ABE5-18B4-DA2BB296B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626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1638</xdr:row>
      <xdr:rowOff>0</xdr:rowOff>
    </xdr:from>
    <xdr:to>
      <xdr:col>13</xdr:col>
      <xdr:colOff>329565</xdr:colOff>
      <xdr:row>1639</xdr:row>
      <xdr:rowOff>148590</xdr:rowOff>
    </xdr:to>
    <xdr:pic>
      <xdr:nvPicPr>
        <xdr:cNvPr id="1944" name="Imagen 1943">
          <a:hlinkClick xmlns:r="http://schemas.openxmlformats.org/officeDocument/2006/relationships" r:id="rId1886" tooltip="Quitar este incidente de la liquidación"/>
          <a:extLst>
            <a:ext uri="{FF2B5EF4-FFF2-40B4-BE49-F238E27FC236}">
              <a16:creationId xmlns:a16="http://schemas.microsoft.com/office/drawing/2014/main" id="{13B3678D-AB99-6D92-1367-54472AA1B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1626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1617</xdr:row>
      <xdr:rowOff>0</xdr:rowOff>
    </xdr:from>
    <xdr:to>
      <xdr:col>13</xdr:col>
      <xdr:colOff>0</xdr:colOff>
      <xdr:row>1618</xdr:row>
      <xdr:rowOff>148590</xdr:rowOff>
    </xdr:to>
    <xdr:pic>
      <xdr:nvPicPr>
        <xdr:cNvPr id="1945" name="Imagen 1944" descr="Ver detalle">
          <a:hlinkClick xmlns:r="http://schemas.openxmlformats.org/officeDocument/2006/relationships" r:id="rId1887" tooltip="Ver detalle"/>
          <a:extLst>
            <a:ext uri="{FF2B5EF4-FFF2-40B4-BE49-F238E27FC236}">
              <a16:creationId xmlns:a16="http://schemas.microsoft.com/office/drawing/2014/main" id="{47608B52-DD64-EC22-517E-135875F26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8218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1617</xdr:row>
      <xdr:rowOff>0</xdr:rowOff>
    </xdr:from>
    <xdr:to>
      <xdr:col>13</xdr:col>
      <xdr:colOff>329565</xdr:colOff>
      <xdr:row>1618</xdr:row>
      <xdr:rowOff>148590</xdr:rowOff>
    </xdr:to>
    <xdr:pic>
      <xdr:nvPicPr>
        <xdr:cNvPr id="1946" name="Imagen 1945">
          <a:hlinkClick xmlns:r="http://schemas.openxmlformats.org/officeDocument/2006/relationships" r:id="rId1888" tooltip="Quitar este incidente de la liquidación"/>
          <a:extLst>
            <a:ext uri="{FF2B5EF4-FFF2-40B4-BE49-F238E27FC236}">
              <a16:creationId xmlns:a16="http://schemas.microsoft.com/office/drawing/2014/main" id="{3C2330FE-999B-FCE7-6845-F91FD0274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18218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1609</xdr:row>
      <xdr:rowOff>0</xdr:rowOff>
    </xdr:from>
    <xdr:to>
      <xdr:col>13</xdr:col>
      <xdr:colOff>0</xdr:colOff>
      <xdr:row>1610</xdr:row>
      <xdr:rowOff>148590</xdr:rowOff>
    </xdr:to>
    <xdr:pic>
      <xdr:nvPicPr>
        <xdr:cNvPr id="1947" name="Imagen 1946" descr="Ver detalle">
          <a:hlinkClick xmlns:r="http://schemas.openxmlformats.org/officeDocument/2006/relationships" r:id="rId1889" tooltip="Ver detalle"/>
          <a:extLst>
            <a:ext uri="{FF2B5EF4-FFF2-40B4-BE49-F238E27FC236}">
              <a16:creationId xmlns:a16="http://schemas.microsoft.com/office/drawing/2014/main" id="{E1152541-ACA8-51B2-E327-7B9BAA0A1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9133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1609</xdr:row>
      <xdr:rowOff>0</xdr:rowOff>
    </xdr:from>
    <xdr:to>
      <xdr:col>13</xdr:col>
      <xdr:colOff>329565</xdr:colOff>
      <xdr:row>1610</xdr:row>
      <xdr:rowOff>148590</xdr:rowOff>
    </xdr:to>
    <xdr:pic>
      <xdr:nvPicPr>
        <xdr:cNvPr id="1948" name="Imagen 1947">
          <a:hlinkClick xmlns:r="http://schemas.openxmlformats.org/officeDocument/2006/relationships" r:id="rId1890" tooltip="Quitar este incidente de la liquidación"/>
          <a:extLst>
            <a:ext uri="{FF2B5EF4-FFF2-40B4-BE49-F238E27FC236}">
              <a16:creationId xmlns:a16="http://schemas.microsoft.com/office/drawing/2014/main" id="{6D77D4D2-9503-7BB1-7D66-7BFCD877E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19133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1612</xdr:row>
      <xdr:rowOff>0</xdr:rowOff>
    </xdr:from>
    <xdr:to>
      <xdr:col>13</xdr:col>
      <xdr:colOff>0</xdr:colOff>
      <xdr:row>1613</xdr:row>
      <xdr:rowOff>148590</xdr:rowOff>
    </xdr:to>
    <xdr:pic>
      <xdr:nvPicPr>
        <xdr:cNvPr id="1949" name="Imagen 1948" descr="Ver detalle">
          <a:hlinkClick xmlns:r="http://schemas.openxmlformats.org/officeDocument/2006/relationships" r:id="rId1891" tooltip="Ver detalle"/>
          <a:extLst>
            <a:ext uri="{FF2B5EF4-FFF2-40B4-BE49-F238E27FC236}">
              <a16:creationId xmlns:a16="http://schemas.microsoft.com/office/drawing/2014/main" id="{CF7028DB-3F9C-A1F3-0DFB-2B9C92C1C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1083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1612</xdr:row>
      <xdr:rowOff>0</xdr:rowOff>
    </xdr:from>
    <xdr:to>
      <xdr:col>13</xdr:col>
      <xdr:colOff>329565</xdr:colOff>
      <xdr:row>1613</xdr:row>
      <xdr:rowOff>148590</xdr:rowOff>
    </xdr:to>
    <xdr:pic>
      <xdr:nvPicPr>
        <xdr:cNvPr id="1950" name="Imagen 1949">
          <a:hlinkClick xmlns:r="http://schemas.openxmlformats.org/officeDocument/2006/relationships" r:id="rId1892" tooltip="Quitar este incidente de la liquidación"/>
          <a:extLst>
            <a:ext uri="{FF2B5EF4-FFF2-40B4-BE49-F238E27FC236}">
              <a16:creationId xmlns:a16="http://schemas.microsoft.com/office/drawing/2014/main" id="{2AA5BC44-62BB-D507-C3AB-DC82ECD36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21083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1615</xdr:row>
      <xdr:rowOff>0</xdr:rowOff>
    </xdr:from>
    <xdr:to>
      <xdr:col>13</xdr:col>
      <xdr:colOff>0</xdr:colOff>
      <xdr:row>1616</xdr:row>
      <xdr:rowOff>148590</xdr:rowOff>
    </xdr:to>
    <xdr:pic>
      <xdr:nvPicPr>
        <xdr:cNvPr id="1951" name="Imagen 1950" descr="Ver detalle">
          <a:hlinkClick xmlns:r="http://schemas.openxmlformats.org/officeDocument/2006/relationships" r:id="rId1893" tooltip="Ver detalle"/>
          <a:extLst>
            <a:ext uri="{FF2B5EF4-FFF2-40B4-BE49-F238E27FC236}">
              <a16:creationId xmlns:a16="http://schemas.microsoft.com/office/drawing/2014/main" id="{D4E9116A-D613-5ADC-DE21-5279B570F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3034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1615</xdr:row>
      <xdr:rowOff>0</xdr:rowOff>
    </xdr:from>
    <xdr:to>
      <xdr:col>13</xdr:col>
      <xdr:colOff>329565</xdr:colOff>
      <xdr:row>1616</xdr:row>
      <xdr:rowOff>148590</xdr:rowOff>
    </xdr:to>
    <xdr:pic>
      <xdr:nvPicPr>
        <xdr:cNvPr id="1952" name="Imagen 1951">
          <a:hlinkClick xmlns:r="http://schemas.openxmlformats.org/officeDocument/2006/relationships" r:id="rId1894" tooltip="Quitar este incidente de la liquidación"/>
          <a:extLst>
            <a:ext uri="{FF2B5EF4-FFF2-40B4-BE49-F238E27FC236}">
              <a16:creationId xmlns:a16="http://schemas.microsoft.com/office/drawing/2014/main" id="{12C019EE-E383-3DDA-8A8F-723DCD196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23034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1618</xdr:row>
      <xdr:rowOff>0</xdr:rowOff>
    </xdr:from>
    <xdr:to>
      <xdr:col>13</xdr:col>
      <xdr:colOff>0</xdr:colOff>
      <xdr:row>1619</xdr:row>
      <xdr:rowOff>148590</xdr:rowOff>
    </xdr:to>
    <xdr:pic>
      <xdr:nvPicPr>
        <xdr:cNvPr id="1953" name="Imagen 1952" descr="Ver detalle">
          <a:hlinkClick xmlns:r="http://schemas.openxmlformats.org/officeDocument/2006/relationships" r:id="rId1895" tooltip="Ver detalle"/>
          <a:extLst>
            <a:ext uri="{FF2B5EF4-FFF2-40B4-BE49-F238E27FC236}">
              <a16:creationId xmlns:a16="http://schemas.microsoft.com/office/drawing/2014/main" id="{38EDA902-8DC6-398D-1D91-E31A2D47D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394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1618</xdr:row>
      <xdr:rowOff>0</xdr:rowOff>
    </xdr:from>
    <xdr:to>
      <xdr:col>13</xdr:col>
      <xdr:colOff>329565</xdr:colOff>
      <xdr:row>1619</xdr:row>
      <xdr:rowOff>148590</xdr:rowOff>
    </xdr:to>
    <xdr:pic>
      <xdr:nvPicPr>
        <xdr:cNvPr id="1954" name="Imagen 1953">
          <a:hlinkClick xmlns:r="http://schemas.openxmlformats.org/officeDocument/2006/relationships" r:id="rId1896" tooltip="Quitar este incidente de la liquidación"/>
          <a:extLst>
            <a:ext uri="{FF2B5EF4-FFF2-40B4-BE49-F238E27FC236}">
              <a16:creationId xmlns:a16="http://schemas.microsoft.com/office/drawing/2014/main" id="{ABCD50D1-BB8C-8B98-EE9B-D3FE2D4B9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2394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1614</xdr:row>
      <xdr:rowOff>0</xdr:rowOff>
    </xdr:from>
    <xdr:to>
      <xdr:col>13</xdr:col>
      <xdr:colOff>0</xdr:colOff>
      <xdr:row>1615</xdr:row>
      <xdr:rowOff>148590</xdr:rowOff>
    </xdr:to>
    <xdr:pic>
      <xdr:nvPicPr>
        <xdr:cNvPr id="1955" name="Imagen 1954" descr="Ver detalle">
          <a:hlinkClick xmlns:r="http://schemas.openxmlformats.org/officeDocument/2006/relationships" r:id="rId1897" tooltip="Ver detalle"/>
          <a:extLst>
            <a:ext uri="{FF2B5EF4-FFF2-40B4-BE49-F238E27FC236}">
              <a16:creationId xmlns:a16="http://schemas.microsoft.com/office/drawing/2014/main" id="{55131AE7-4CA8-DA05-66A0-14FB9D8DB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486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1614</xdr:row>
      <xdr:rowOff>0</xdr:rowOff>
    </xdr:from>
    <xdr:to>
      <xdr:col>13</xdr:col>
      <xdr:colOff>329565</xdr:colOff>
      <xdr:row>1615</xdr:row>
      <xdr:rowOff>148590</xdr:rowOff>
    </xdr:to>
    <xdr:pic>
      <xdr:nvPicPr>
        <xdr:cNvPr id="1956" name="Imagen 1955">
          <a:hlinkClick xmlns:r="http://schemas.openxmlformats.org/officeDocument/2006/relationships" r:id="rId1898" tooltip="Quitar este incidente de la liquidación"/>
          <a:extLst>
            <a:ext uri="{FF2B5EF4-FFF2-40B4-BE49-F238E27FC236}">
              <a16:creationId xmlns:a16="http://schemas.microsoft.com/office/drawing/2014/main" id="{B34AE644-3B19-A17C-4EB9-EFAE7FFD0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2486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1624</xdr:row>
      <xdr:rowOff>0</xdr:rowOff>
    </xdr:from>
    <xdr:to>
      <xdr:col>13</xdr:col>
      <xdr:colOff>0</xdr:colOff>
      <xdr:row>1625</xdr:row>
      <xdr:rowOff>148590</xdr:rowOff>
    </xdr:to>
    <xdr:pic>
      <xdr:nvPicPr>
        <xdr:cNvPr id="1957" name="Imagen 1956" descr="Ver detalle">
          <a:hlinkClick xmlns:r="http://schemas.openxmlformats.org/officeDocument/2006/relationships" r:id="rId1899" tooltip="Ver detalle"/>
          <a:extLst>
            <a:ext uri="{FF2B5EF4-FFF2-40B4-BE49-F238E27FC236}">
              <a16:creationId xmlns:a16="http://schemas.microsoft.com/office/drawing/2014/main" id="{F57C54AF-ED94-237A-B6EE-F8B623532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6814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1624</xdr:row>
      <xdr:rowOff>0</xdr:rowOff>
    </xdr:from>
    <xdr:to>
      <xdr:col>13</xdr:col>
      <xdr:colOff>329565</xdr:colOff>
      <xdr:row>1625</xdr:row>
      <xdr:rowOff>148590</xdr:rowOff>
    </xdr:to>
    <xdr:pic>
      <xdr:nvPicPr>
        <xdr:cNvPr id="1958" name="Imagen 1957">
          <a:hlinkClick xmlns:r="http://schemas.openxmlformats.org/officeDocument/2006/relationships" r:id="rId1900" tooltip="Quitar este incidente de la liquidación"/>
          <a:extLst>
            <a:ext uri="{FF2B5EF4-FFF2-40B4-BE49-F238E27FC236}">
              <a16:creationId xmlns:a16="http://schemas.microsoft.com/office/drawing/2014/main" id="{432A3E27-ECDB-53C6-B46F-94BEE4FBD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26814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1616</xdr:row>
      <xdr:rowOff>0</xdr:rowOff>
    </xdr:from>
    <xdr:to>
      <xdr:col>13</xdr:col>
      <xdr:colOff>0</xdr:colOff>
      <xdr:row>1617</xdr:row>
      <xdr:rowOff>148590</xdr:rowOff>
    </xdr:to>
    <xdr:pic>
      <xdr:nvPicPr>
        <xdr:cNvPr id="1959" name="Imagen 1958" descr="Ver detalle">
          <a:hlinkClick xmlns:r="http://schemas.openxmlformats.org/officeDocument/2006/relationships" r:id="rId1901" tooltip="Ver detalle"/>
          <a:extLst>
            <a:ext uri="{FF2B5EF4-FFF2-40B4-BE49-F238E27FC236}">
              <a16:creationId xmlns:a16="http://schemas.microsoft.com/office/drawing/2014/main" id="{8647B584-3F82-CB86-73D4-87F4FC002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81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1616</xdr:row>
      <xdr:rowOff>0</xdr:rowOff>
    </xdr:from>
    <xdr:to>
      <xdr:col>13</xdr:col>
      <xdr:colOff>329565</xdr:colOff>
      <xdr:row>1617</xdr:row>
      <xdr:rowOff>148590</xdr:rowOff>
    </xdr:to>
    <xdr:pic>
      <xdr:nvPicPr>
        <xdr:cNvPr id="1960" name="Imagen 1959">
          <a:hlinkClick xmlns:r="http://schemas.openxmlformats.org/officeDocument/2006/relationships" r:id="rId1902" tooltip="Quitar este incidente de la liquidación"/>
          <a:extLst>
            <a:ext uri="{FF2B5EF4-FFF2-40B4-BE49-F238E27FC236}">
              <a16:creationId xmlns:a16="http://schemas.microsoft.com/office/drawing/2014/main" id="{E4EF1609-198E-F231-3C72-B01DD5553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281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1611</xdr:row>
      <xdr:rowOff>0</xdr:rowOff>
    </xdr:from>
    <xdr:to>
      <xdr:col>13</xdr:col>
      <xdr:colOff>0</xdr:colOff>
      <xdr:row>1612</xdr:row>
      <xdr:rowOff>148590</xdr:rowOff>
    </xdr:to>
    <xdr:pic>
      <xdr:nvPicPr>
        <xdr:cNvPr id="1961" name="Imagen 1960" descr="Ver detalle">
          <a:hlinkClick xmlns:r="http://schemas.openxmlformats.org/officeDocument/2006/relationships" r:id="rId1903" tooltip="Ver detalle"/>
          <a:extLst>
            <a:ext uri="{FF2B5EF4-FFF2-40B4-BE49-F238E27FC236}">
              <a16:creationId xmlns:a16="http://schemas.microsoft.com/office/drawing/2014/main" id="{398F82DB-5599-4CAB-4ADB-E76D69F4D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903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1611</xdr:row>
      <xdr:rowOff>0</xdr:rowOff>
    </xdr:from>
    <xdr:to>
      <xdr:col>13</xdr:col>
      <xdr:colOff>329565</xdr:colOff>
      <xdr:row>1612</xdr:row>
      <xdr:rowOff>148590</xdr:rowOff>
    </xdr:to>
    <xdr:pic>
      <xdr:nvPicPr>
        <xdr:cNvPr id="1962" name="Imagen 1961">
          <a:hlinkClick xmlns:r="http://schemas.openxmlformats.org/officeDocument/2006/relationships" r:id="rId1904" tooltip="Quitar este incidente de la liquidación"/>
          <a:extLst>
            <a:ext uri="{FF2B5EF4-FFF2-40B4-BE49-F238E27FC236}">
              <a16:creationId xmlns:a16="http://schemas.microsoft.com/office/drawing/2014/main" id="{0F847402-6B86-EFF3-2E04-D88B8DCE5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2903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1607</xdr:row>
      <xdr:rowOff>0</xdr:rowOff>
    </xdr:from>
    <xdr:to>
      <xdr:col>13</xdr:col>
      <xdr:colOff>0</xdr:colOff>
      <xdr:row>1608</xdr:row>
      <xdr:rowOff>148590</xdr:rowOff>
    </xdr:to>
    <xdr:pic>
      <xdr:nvPicPr>
        <xdr:cNvPr id="1963" name="Imagen 1962" descr="Ver detalle">
          <a:hlinkClick xmlns:r="http://schemas.openxmlformats.org/officeDocument/2006/relationships" r:id="rId1905" tooltip="Ver detalle"/>
          <a:extLst>
            <a:ext uri="{FF2B5EF4-FFF2-40B4-BE49-F238E27FC236}">
              <a16:creationId xmlns:a16="http://schemas.microsoft.com/office/drawing/2014/main" id="{77534026-554F-0222-9111-401CE0B066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0982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1622</xdr:row>
      <xdr:rowOff>0</xdr:rowOff>
    </xdr:from>
    <xdr:to>
      <xdr:col>13</xdr:col>
      <xdr:colOff>0</xdr:colOff>
      <xdr:row>1623</xdr:row>
      <xdr:rowOff>148590</xdr:rowOff>
    </xdr:to>
    <xdr:pic>
      <xdr:nvPicPr>
        <xdr:cNvPr id="1964" name="Imagen 1963" descr="Ver detalle">
          <a:hlinkClick xmlns:r="http://schemas.openxmlformats.org/officeDocument/2006/relationships" r:id="rId1906" tooltip="Ver detalle"/>
          <a:extLst>
            <a:ext uri="{FF2B5EF4-FFF2-40B4-BE49-F238E27FC236}">
              <a16:creationId xmlns:a16="http://schemas.microsoft.com/office/drawing/2014/main" id="{4856DB50-C4DF-6B86-416A-1D70DC085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189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1622</xdr:row>
      <xdr:rowOff>0</xdr:rowOff>
    </xdr:from>
    <xdr:to>
      <xdr:col>13</xdr:col>
      <xdr:colOff>329565</xdr:colOff>
      <xdr:row>1623</xdr:row>
      <xdr:rowOff>148590</xdr:rowOff>
    </xdr:to>
    <xdr:pic>
      <xdr:nvPicPr>
        <xdr:cNvPr id="1965" name="Imagen 1964">
          <a:hlinkClick xmlns:r="http://schemas.openxmlformats.org/officeDocument/2006/relationships" r:id="rId1907" tooltip="Quitar este incidente de la liquidación"/>
          <a:extLst>
            <a:ext uri="{FF2B5EF4-FFF2-40B4-BE49-F238E27FC236}">
              <a16:creationId xmlns:a16="http://schemas.microsoft.com/office/drawing/2014/main" id="{7C7E0989-C6B1-C97F-0094-59CFB9B7F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3189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1608</xdr:row>
      <xdr:rowOff>0</xdr:rowOff>
    </xdr:from>
    <xdr:to>
      <xdr:col>13</xdr:col>
      <xdr:colOff>0</xdr:colOff>
      <xdr:row>1609</xdr:row>
      <xdr:rowOff>148590</xdr:rowOff>
    </xdr:to>
    <xdr:pic>
      <xdr:nvPicPr>
        <xdr:cNvPr id="1966" name="Imagen 1965" descr="Ver detalle">
          <a:hlinkClick xmlns:r="http://schemas.openxmlformats.org/officeDocument/2006/relationships" r:id="rId1908" tooltip="Ver detalle"/>
          <a:extLst>
            <a:ext uri="{FF2B5EF4-FFF2-40B4-BE49-F238E27FC236}">
              <a16:creationId xmlns:a16="http://schemas.microsoft.com/office/drawing/2014/main" id="{870DA23F-E6B4-6184-FC58-EBD5CDC10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384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1608</xdr:row>
      <xdr:rowOff>0</xdr:rowOff>
    </xdr:from>
    <xdr:to>
      <xdr:col>13</xdr:col>
      <xdr:colOff>329565</xdr:colOff>
      <xdr:row>1609</xdr:row>
      <xdr:rowOff>148590</xdr:rowOff>
    </xdr:to>
    <xdr:pic>
      <xdr:nvPicPr>
        <xdr:cNvPr id="1967" name="Imagen 1966">
          <a:hlinkClick xmlns:r="http://schemas.openxmlformats.org/officeDocument/2006/relationships" r:id="rId1909" tooltip="Quitar este incidente de la liquidación"/>
          <a:extLst>
            <a:ext uri="{FF2B5EF4-FFF2-40B4-BE49-F238E27FC236}">
              <a16:creationId xmlns:a16="http://schemas.microsoft.com/office/drawing/2014/main" id="{CBB7B55E-5B65-BB5B-15B9-82CC0DF96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3384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1610</xdr:row>
      <xdr:rowOff>0</xdr:rowOff>
    </xdr:from>
    <xdr:to>
      <xdr:col>13</xdr:col>
      <xdr:colOff>0</xdr:colOff>
      <xdr:row>1611</xdr:row>
      <xdr:rowOff>148590</xdr:rowOff>
    </xdr:to>
    <xdr:pic>
      <xdr:nvPicPr>
        <xdr:cNvPr id="1968" name="Imagen 1967" descr="Ver detalle">
          <a:hlinkClick xmlns:r="http://schemas.openxmlformats.org/officeDocument/2006/relationships" r:id="rId1910" tooltip="Ver detalle"/>
          <a:extLst>
            <a:ext uri="{FF2B5EF4-FFF2-40B4-BE49-F238E27FC236}">
              <a16:creationId xmlns:a16="http://schemas.microsoft.com/office/drawing/2014/main" id="{85FAB7E6-5FBC-1035-49EA-E45ED7EFD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579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1610</xdr:row>
      <xdr:rowOff>0</xdr:rowOff>
    </xdr:from>
    <xdr:to>
      <xdr:col>13</xdr:col>
      <xdr:colOff>329565</xdr:colOff>
      <xdr:row>1611</xdr:row>
      <xdr:rowOff>148590</xdr:rowOff>
    </xdr:to>
    <xdr:pic>
      <xdr:nvPicPr>
        <xdr:cNvPr id="1969" name="Imagen 1968">
          <a:hlinkClick xmlns:r="http://schemas.openxmlformats.org/officeDocument/2006/relationships" r:id="rId1911" tooltip="Quitar este incidente de la liquidación"/>
          <a:extLst>
            <a:ext uri="{FF2B5EF4-FFF2-40B4-BE49-F238E27FC236}">
              <a16:creationId xmlns:a16="http://schemas.microsoft.com/office/drawing/2014/main" id="{120C1B03-7A1F-8060-34C2-2F8370965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3579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1613</xdr:row>
      <xdr:rowOff>0</xdr:rowOff>
    </xdr:from>
    <xdr:to>
      <xdr:col>13</xdr:col>
      <xdr:colOff>0</xdr:colOff>
      <xdr:row>1614</xdr:row>
      <xdr:rowOff>148590</xdr:rowOff>
    </xdr:to>
    <xdr:pic>
      <xdr:nvPicPr>
        <xdr:cNvPr id="1970" name="Imagen 1969" descr="Ver detalle">
          <a:hlinkClick xmlns:r="http://schemas.openxmlformats.org/officeDocument/2006/relationships" r:id="rId1912" tooltip="Ver detalle"/>
          <a:extLst>
            <a:ext uri="{FF2B5EF4-FFF2-40B4-BE49-F238E27FC236}">
              <a16:creationId xmlns:a16="http://schemas.microsoft.com/office/drawing/2014/main" id="{0816D0BC-D6F8-E958-D64D-CA82774212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671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1613</xdr:row>
      <xdr:rowOff>0</xdr:rowOff>
    </xdr:from>
    <xdr:to>
      <xdr:col>13</xdr:col>
      <xdr:colOff>329565</xdr:colOff>
      <xdr:row>1614</xdr:row>
      <xdr:rowOff>148590</xdr:rowOff>
    </xdr:to>
    <xdr:pic>
      <xdr:nvPicPr>
        <xdr:cNvPr id="1971" name="Imagen 1970">
          <a:hlinkClick xmlns:r="http://schemas.openxmlformats.org/officeDocument/2006/relationships" r:id="rId1913" tooltip="Quitar este incidente de la liquidación"/>
          <a:extLst>
            <a:ext uri="{FF2B5EF4-FFF2-40B4-BE49-F238E27FC236}">
              <a16:creationId xmlns:a16="http://schemas.microsoft.com/office/drawing/2014/main" id="{10C40B2D-93A5-3A78-DBC9-D39045E88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3671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1606</xdr:row>
      <xdr:rowOff>0</xdr:rowOff>
    </xdr:from>
    <xdr:to>
      <xdr:col>13</xdr:col>
      <xdr:colOff>0</xdr:colOff>
      <xdr:row>1607</xdr:row>
      <xdr:rowOff>148590</xdr:rowOff>
    </xdr:to>
    <xdr:pic>
      <xdr:nvPicPr>
        <xdr:cNvPr id="1972" name="Imagen 1971" descr="Ver detalle">
          <a:hlinkClick xmlns:r="http://schemas.openxmlformats.org/officeDocument/2006/relationships" r:id="rId1914" tooltip="Ver detalle"/>
          <a:extLst>
            <a:ext uri="{FF2B5EF4-FFF2-40B4-BE49-F238E27FC236}">
              <a16:creationId xmlns:a16="http://schemas.microsoft.com/office/drawing/2014/main" id="{5D0BCB19-3855-B473-2883-99A219038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866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1606</xdr:row>
      <xdr:rowOff>0</xdr:rowOff>
    </xdr:from>
    <xdr:to>
      <xdr:col>13</xdr:col>
      <xdr:colOff>329565</xdr:colOff>
      <xdr:row>1607</xdr:row>
      <xdr:rowOff>148590</xdr:rowOff>
    </xdr:to>
    <xdr:pic>
      <xdr:nvPicPr>
        <xdr:cNvPr id="1973" name="Imagen 1972">
          <a:hlinkClick xmlns:r="http://schemas.openxmlformats.org/officeDocument/2006/relationships" r:id="rId1915" tooltip="Quitar este incidente de la liquidación"/>
          <a:extLst>
            <a:ext uri="{FF2B5EF4-FFF2-40B4-BE49-F238E27FC236}">
              <a16:creationId xmlns:a16="http://schemas.microsoft.com/office/drawing/2014/main" id="{5374D140-73BC-07EB-8503-B6D043D74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3866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1602</xdr:row>
      <xdr:rowOff>0</xdr:rowOff>
    </xdr:from>
    <xdr:to>
      <xdr:col>13</xdr:col>
      <xdr:colOff>0</xdr:colOff>
      <xdr:row>1603</xdr:row>
      <xdr:rowOff>148590</xdr:rowOff>
    </xdr:to>
    <xdr:pic>
      <xdr:nvPicPr>
        <xdr:cNvPr id="1974" name="Imagen 1973" descr="Ver detalle">
          <a:hlinkClick xmlns:r="http://schemas.openxmlformats.org/officeDocument/2006/relationships" r:id="rId1916" tooltip="Ver detalle"/>
          <a:extLst>
            <a:ext uri="{FF2B5EF4-FFF2-40B4-BE49-F238E27FC236}">
              <a16:creationId xmlns:a16="http://schemas.microsoft.com/office/drawing/2014/main" id="{78A198F5-06B4-DD8F-8F69-BD5F16FEC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061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1602</xdr:row>
      <xdr:rowOff>0</xdr:rowOff>
    </xdr:from>
    <xdr:to>
      <xdr:col>13</xdr:col>
      <xdr:colOff>329565</xdr:colOff>
      <xdr:row>1603</xdr:row>
      <xdr:rowOff>148590</xdr:rowOff>
    </xdr:to>
    <xdr:pic>
      <xdr:nvPicPr>
        <xdr:cNvPr id="1975" name="Imagen 1974">
          <a:hlinkClick xmlns:r="http://schemas.openxmlformats.org/officeDocument/2006/relationships" r:id="rId1917" tooltip="Quitar este incidente de la liquidación"/>
          <a:extLst>
            <a:ext uri="{FF2B5EF4-FFF2-40B4-BE49-F238E27FC236}">
              <a16:creationId xmlns:a16="http://schemas.microsoft.com/office/drawing/2014/main" id="{CBB1B427-FC9B-FE6B-4FB4-9C98373C4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4061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1604</xdr:row>
      <xdr:rowOff>0</xdr:rowOff>
    </xdr:from>
    <xdr:to>
      <xdr:col>13</xdr:col>
      <xdr:colOff>0</xdr:colOff>
      <xdr:row>1605</xdr:row>
      <xdr:rowOff>148590</xdr:rowOff>
    </xdr:to>
    <xdr:pic>
      <xdr:nvPicPr>
        <xdr:cNvPr id="1976" name="Imagen 1975" descr="Ver detalle">
          <a:hlinkClick xmlns:r="http://schemas.openxmlformats.org/officeDocument/2006/relationships" r:id="rId1918" tooltip="Ver detalle"/>
          <a:extLst>
            <a:ext uri="{FF2B5EF4-FFF2-40B4-BE49-F238E27FC236}">
              <a16:creationId xmlns:a16="http://schemas.microsoft.com/office/drawing/2014/main" id="{099A56C2-24A2-F4CB-7A41-A6FAABEFE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256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1604</xdr:row>
      <xdr:rowOff>0</xdr:rowOff>
    </xdr:from>
    <xdr:to>
      <xdr:col>13</xdr:col>
      <xdr:colOff>329565</xdr:colOff>
      <xdr:row>1605</xdr:row>
      <xdr:rowOff>148590</xdr:rowOff>
    </xdr:to>
    <xdr:pic>
      <xdr:nvPicPr>
        <xdr:cNvPr id="1977" name="Imagen 1976">
          <a:hlinkClick xmlns:r="http://schemas.openxmlformats.org/officeDocument/2006/relationships" r:id="rId1919" tooltip="Quitar este incidente de la liquidación"/>
          <a:extLst>
            <a:ext uri="{FF2B5EF4-FFF2-40B4-BE49-F238E27FC236}">
              <a16:creationId xmlns:a16="http://schemas.microsoft.com/office/drawing/2014/main" id="{B905F691-998F-E5A5-FBD0-E29F2D9D4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4256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1605</xdr:row>
      <xdr:rowOff>0</xdr:rowOff>
    </xdr:from>
    <xdr:to>
      <xdr:col>13</xdr:col>
      <xdr:colOff>0</xdr:colOff>
      <xdr:row>1606</xdr:row>
      <xdr:rowOff>148590</xdr:rowOff>
    </xdr:to>
    <xdr:pic>
      <xdr:nvPicPr>
        <xdr:cNvPr id="1978" name="Imagen 1977" descr="Ver detalle">
          <a:hlinkClick xmlns:r="http://schemas.openxmlformats.org/officeDocument/2006/relationships" r:id="rId1920" tooltip="Ver detalle"/>
          <a:extLst>
            <a:ext uri="{FF2B5EF4-FFF2-40B4-BE49-F238E27FC236}">
              <a16:creationId xmlns:a16="http://schemas.microsoft.com/office/drawing/2014/main" id="{284F1B49-E64D-2EBA-C508-30A53D7A41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347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1605</xdr:row>
      <xdr:rowOff>0</xdr:rowOff>
    </xdr:from>
    <xdr:to>
      <xdr:col>13</xdr:col>
      <xdr:colOff>329565</xdr:colOff>
      <xdr:row>1606</xdr:row>
      <xdr:rowOff>148590</xdr:rowOff>
    </xdr:to>
    <xdr:pic>
      <xdr:nvPicPr>
        <xdr:cNvPr id="1979" name="Imagen 1978">
          <a:hlinkClick xmlns:r="http://schemas.openxmlformats.org/officeDocument/2006/relationships" r:id="rId1921" tooltip="Quitar este incidente de la liquidación"/>
          <a:extLst>
            <a:ext uri="{FF2B5EF4-FFF2-40B4-BE49-F238E27FC236}">
              <a16:creationId xmlns:a16="http://schemas.microsoft.com/office/drawing/2014/main" id="{7EF716F7-8C35-59D6-18B2-6CCD71850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4347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1643</xdr:row>
      <xdr:rowOff>0</xdr:rowOff>
    </xdr:from>
    <xdr:to>
      <xdr:col>13</xdr:col>
      <xdr:colOff>0</xdr:colOff>
      <xdr:row>1644</xdr:row>
      <xdr:rowOff>114300</xdr:rowOff>
    </xdr:to>
    <xdr:pic>
      <xdr:nvPicPr>
        <xdr:cNvPr id="1980" name="Imagen 1979" descr="Ver detalle">
          <a:hlinkClick xmlns:r="http://schemas.openxmlformats.org/officeDocument/2006/relationships" r:id="rId1922" tooltip="Ver detalle"/>
          <a:extLst>
            <a:ext uri="{FF2B5EF4-FFF2-40B4-BE49-F238E27FC236}">
              <a16:creationId xmlns:a16="http://schemas.microsoft.com/office/drawing/2014/main" id="{EB0DAD95-6371-051C-7863-809C78F0E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478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1643</xdr:row>
      <xdr:rowOff>0</xdr:rowOff>
    </xdr:from>
    <xdr:to>
      <xdr:col>13</xdr:col>
      <xdr:colOff>329565</xdr:colOff>
      <xdr:row>1644</xdr:row>
      <xdr:rowOff>114300</xdr:rowOff>
    </xdr:to>
    <xdr:pic>
      <xdr:nvPicPr>
        <xdr:cNvPr id="1981" name="Imagen 1980">
          <a:hlinkClick xmlns:r="http://schemas.openxmlformats.org/officeDocument/2006/relationships" r:id="rId1923" tooltip="Quitar este incidente de la liquidación"/>
          <a:extLst>
            <a:ext uri="{FF2B5EF4-FFF2-40B4-BE49-F238E27FC236}">
              <a16:creationId xmlns:a16="http://schemas.microsoft.com/office/drawing/2014/main" id="{13C424D9-F438-C2C2-FA23-0AF1F765F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4478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1637</xdr:row>
      <xdr:rowOff>0</xdr:rowOff>
    </xdr:from>
    <xdr:to>
      <xdr:col>13</xdr:col>
      <xdr:colOff>0</xdr:colOff>
      <xdr:row>1638</xdr:row>
      <xdr:rowOff>148590</xdr:rowOff>
    </xdr:to>
    <xdr:pic>
      <xdr:nvPicPr>
        <xdr:cNvPr id="1982" name="Imagen 1981" descr="Ver detalle">
          <a:hlinkClick xmlns:r="http://schemas.openxmlformats.org/officeDocument/2006/relationships" r:id="rId1924" tooltip="Ver detalle"/>
          <a:extLst>
            <a:ext uri="{FF2B5EF4-FFF2-40B4-BE49-F238E27FC236}">
              <a16:creationId xmlns:a16="http://schemas.microsoft.com/office/drawing/2014/main" id="{167205CF-37A2-BB26-A9EE-9AC5674DD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673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1637</xdr:row>
      <xdr:rowOff>0</xdr:rowOff>
    </xdr:from>
    <xdr:to>
      <xdr:col>13</xdr:col>
      <xdr:colOff>329565</xdr:colOff>
      <xdr:row>1638</xdr:row>
      <xdr:rowOff>148590</xdr:rowOff>
    </xdr:to>
    <xdr:pic>
      <xdr:nvPicPr>
        <xdr:cNvPr id="1983" name="Imagen 1982">
          <a:hlinkClick xmlns:r="http://schemas.openxmlformats.org/officeDocument/2006/relationships" r:id="rId1925" tooltip="Quitar este incidente de la liquidación"/>
          <a:extLst>
            <a:ext uri="{FF2B5EF4-FFF2-40B4-BE49-F238E27FC236}">
              <a16:creationId xmlns:a16="http://schemas.microsoft.com/office/drawing/2014/main" id="{DE8E9465-CFA7-77A4-AD40-252185A2B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4673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1636</xdr:row>
      <xdr:rowOff>0</xdr:rowOff>
    </xdr:from>
    <xdr:to>
      <xdr:col>13</xdr:col>
      <xdr:colOff>0</xdr:colOff>
      <xdr:row>1637</xdr:row>
      <xdr:rowOff>148590</xdr:rowOff>
    </xdr:to>
    <xdr:pic>
      <xdr:nvPicPr>
        <xdr:cNvPr id="1984" name="Imagen 1983" descr="Ver detalle">
          <a:hlinkClick xmlns:r="http://schemas.openxmlformats.org/officeDocument/2006/relationships" r:id="rId1926" tooltip="Ver detalle"/>
          <a:extLst>
            <a:ext uri="{FF2B5EF4-FFF2-40B4-BE49-F238E27FC236}">
              <a16:creationId xmlns:a16="http://schemas.microsoft.com/office/drawing/2014/main" id="{6E33FBD6-1DEC-A77E-0584-5DACA5FC93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868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1636</xdr:row>
      <xdr:rowOff>0</xdr:rowOff>
    </xdr:from>
    <xdr:to>
      <xdr:col>13</xdr:col>
      <xdr:colOff>329565</xdr:colOff>
      <xdr:row>1637</xdr:row>
      <xdr:rowOff>148590</xdr:rowOff>
    </xdr:to>
    <xdr:pic>
      <xdr:nvPicPr>
        <xdr:cNvPr id="1985" name="Imagen 1984">
          <a:hlinkClick xmlns:r="http://schemas.openxmlformats.org/officeDocument/2006/relationships" r:id="rId1927" tooltip="Quitar este incidente de la liquidación"/>
          <a:extLst>
            <a:ext uri="{FF2B5EF4-FFF2-40B4-BE49-F238E27FC236}">
              <a16:creationId xmlns:a16="http://schemas.microsoft.com/office/drawing/2014/main" id="{B6437C30-8131-6519-6D33-5900492FC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4868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1635</xdr:row>
      <xdr:rowOff>0</xdr:rowOff>
    </xdr:from>
    <xdr:to>
      <xdr:col>13</xdr:col>
      <xdr:colOff>0</xdr:colOff>
      <xdr:row>1636</xdr:row>
      <xdr:rowOff>148590</xdr:rowOff>
    </xdr:to>
    <xdr:pic>
      <xdr:nvPicPr>
        <xdr:cNvPr id="1986" name="Imagen 1985" descr="Ver detalle">
          <a:hlinkClick xmlns:r="http://schemas.openxmlformats.org/officeDocument/2006/relationships" r:id="rId1928" tooltip="Ver detalle"/>
          <a:extLst>
            <a:ext uri="{FF2B5EF4-FFF2-40B4-BE49-F238E27FC236}">
              <a16:creationId xmlns:a16="http://schemas.microsoft.com/office/drawing/2014/main" id="{9354A741-06C8-7AA5-8103-1FBC23FA6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063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1635</xdr:row>
      <xdr:rowOff>0</xdr:rowOff>
    </xdr:from>
    <xdr:to>
      <xdr:col>13</xdr:col>
      <xdr:colOff>329565</xdr:colOff>
      <xdr:row>1636</xdr:row>
      <xdr:rowOff>148590</xdr:rowOff>
    </xdr:to>
    <xdr:pic>
      <xdr:nvPicPr>
        <xdr:cNvPr id="1987" name="Imagen 1986">
          <a:hlinkClick xmlns:r="http://schemas.openxmlformats.org/officeDocument/2006/relationships" r:id="rId1929" tooltip="Quitar este incidente de la liquidación"/>
          <a:extLst>
            <a:ext uri="{FF2B5EF4-FFF2-40B4-BE49-F238E27FC236}">
              <a16:creationId xmlns:a16="http://schemas.microsoft.com/office/drawing/2014/main" id="{051DCCFA-5DFA-F5ED-D9D0-B4E58F91E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5063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1621</xdr:row>
      <xdr:rowOff>0</xdr:rowOff>
    </xdr:from>
    <xdr:to>
      <xdr:col>13</xdr:col>
      <xdr:colOff>0</xdr:colOff>
      <xdr:row>1622</xdr:row>
      <xdr:rowOff>148590</xdr:rowOff>
    </xdr:to>
    <xdr:pic>
      <xdr:nvPicPr>
        <xdr:cNvPr id="1988" name="Imagen 1987" descr="Ver detalle">
          <a:hlinkClick xmlns:r="http://schemas.openxmlformats.org/officeDocument/2006/relationships" r:id="rId1930" tooltip="Ver detalle"/>
          <a:extLst>
            <a:ext uri="{FF2B5EF4-FFF2-40B4-BE49-F238E27FC236}">
              <a16:creationId xmlns:a16="http://schemas.microsoft.com/office/drawing/2014/main" id="{5D580367-6D80-8C79-7DE1-977F69D56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258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1621</xdr:row>
      <xdr:rowOff>0</xdr:rowOff>
    </xdr:from>
    <xdr:to>
      <xdr:col>13</xdr:col>
      <xdr:colOff>329565</xdr:colOff>
      <xdr:row>1622</xdr:row>
      <xdr:rowOff>148590</xdr:rowOff>
    </xdr:to>
    <xdr:pic>
      <xdr:nvPicPr>
        <xdr:cNvPr id="1989" name="Imagen 1988">
          <a:hlinkClick xmlns:r="http://schemas.openxmlformats.org/officeDocument/2006/relationships" r:id="rId1931" tooltip="Quitar este incidente de la liquidación"/>
          <a:extLst>
            <a:ext uri="{FF2B5EF4-FFF2-40B4-BE49-F238E27FC236}">
              <a16:creationId xmlns:a16="http://schemas.microsoft.com/office/drawing/2014/main" id="{A847C830-309B-E9A7-0325-90AD9C312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5258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1620</xdr:row>
      <xdr:rowOff>0</xdr:rowOff>
    </xdr:from>
    <xdr:to>
      <xdr:col>13</xdr:col>
      <xdr:colOff>0</xdr:colOff>
      <xdr:row>1621</xdr:row>
      <xdr:rowOff>148590</xdr:rowOff>
    </xdr:to>
    <xdr:pic>
      <xdr:nvPicPr>
        <xdr:cNvPr id="1990" name="Imagen 1989" descr="Ver detalle">
          <a:hlinkClick xmlns:r="http://schemas.openxmlformats.org/officeDocument/2006/relationships" r:id="rId1932" tooltip="Ver detalle"/>
          <a:extLst>
            <a:ext uri="{FF2B5EF4-FFF2-40B4-BE49-F238E27FC236}">
              <a16:creationId xmlns:a16="http://schemas.microsoft.com/office/drawing/2014/main" id="{9B1C502D-9C61-DF3F-8C3C-3CD19EFA2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453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1620</xdr:row>
      <xdr:rowOff>0</xdr:rowOff>
    </xdr:from>
    <xdr:to>
      <xdr:col>13</xdr:col>
      <xdr:colOff>329565</xdr:colOff>
      <xdr:row>1621</xdr:row>
      <xdr:rowOff>148590</xdr:rowOff>
    </xdr:to>
    <xdr:pic>
      <xdr:nvPicPr>
        <xdr:cNvPr id="1991" name="Imagen 1990">
          <a:hlinkClick xmlns:r="http://schemas.openxmlformats.org/officeDocument/2006/relationships" r:id="rId1933" tooltip="Quitar este incidente de la liquidación"/>
          <a:extLst>
            <a:ext uri="{FF2B5EF4-FFF2-40B4-BE49-F238E27FC236}">
              <a16:creationId xmlns:a16="http://schemas.microsoft.com/office/drawing/2014/main" id="{0EF367A9-93EC-FC03-BDFF-56E2AC9DC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5453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1603</xdr:row>
      <xdr:rowOff>0</xdr:rowOff>
    </xdr:from>
    <xdr:to>
      <xdr:col>13</xdr:col>
      <xdr:colOff>0</xdr:colOff>
      <xdr:row>1604</xdr:row>
      <xdr:rowOff>148590</xdr:rowOff>
    </xdr:to>
    <xdr:pic>
      <xdr:nvPicPr>
        <xdr:cNvPr id="1992" name="Imagen 1991" descr="Ver detalle">
          <a:hlinkClick xmlns:r="http://schemas.openxmlformats.org/officeDocument/2006/relationships" r:id="rId1934" tooltip="Ver detalle"/>
          <a:extLst>
            <a:ext uri="{FF2B5EF4-FFF2-40B4-BE49-F238E27FC236}">
              <a16:creationId xmlns:a16="http://schemas.microsoft.com/office/drawing/2014/main" id="{E9528C24-E7D1-AE7F-0C43-D224A2816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648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1603</xdr:row>
      <xdr:rowOff>0</xdr:rowOff>
    </xdr:from>
    <xdr:to>
      <xdr:col>13</xdr:col>
      <xdr:colOff>329565</xdr:colOff>
      <xdr:row>1604</xdr:row>
      <xdr:rowOff>148590</xdr:rowOff>
    </xdr:to>
    <xdr:pic>
      <xdr:nvPicPr>
        <xdr:cNvPr id="1993" name="Imagen 1992">
          <a:hlinkClick xmlns:r="http://schemas.openxmlformats.org/officeDocument/2006/relationships" r:id="rId1935" tooltip="Quitar este incidente de la liquidación"/>
          <a:extLst>
            <a:ext uri="{FF2B5EF4-FFF2-40B4-BE49-F238E27FC236}">
              <a16:creationId xmlns:a16="http://schemas.microsoft.com/office/drawing/2014/main" id="{FB0572E1-EBDF-B75D-F207-0537EE97F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5648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1625</xdr:row>
      <xdr:rowOff>0</xdr:rowOff>
    </xdr:from>
    <xdr:to>
      <xdr:col>13</xdr:col>
      <xdr:colOff>0</xdr:colOff>
      <xdr:row>1626</xdr:row>
      <xdr:rowOff>148590</xdr:rowOff>
    </xdr:to>
    <xdr:pic>
      <xdr:nvPicPr>
        <xdr:cNvPr id="1994" name="Imagen 1993" descr="Ver detalle">
          <a:hlinkClick xmlns:r="http://schemas.openxmlformats.org/officeDocument/2006/relationships" r:id="rId1936" tooltip="Ver detalle"/>
          <a:extLst>
            <a:ext uri="{FF2B5EF4-FFF2-40B4-BE49-F238E27FC236}">
              <a16:creationId xmlns:a16="http://schemas.microsoft.com/office/drawing/2014/main" id="{DEB92832-5863-5D0E-5076-B9A690F95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843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1625</xdr:row>
      <xdr:rowOff>0</xdr:rowOff>
    </xdr:from>
    <xdr:to>
      <xdr:col>13</xdr:col>
      <xdr:colOff>329565</xdr:colOff>
      <xdr:row>1626</xdr:row>
      <xdr:rowOff>148590</xdr:rowOff>
    </xdr:to>
    <xdr:pic>
      <xdr:nvPicPr>
        <xdr:cNvPr id="1995" name="Imagen 1994">
          <a:hlinkClick xmlns:r="http://schemas.openxmlformats.org/officeDocument/2006/relationships" r:id="rId1937" tooltip="Quitar este incidente de la liquidación"/>
          <a:extLst>
            <a:ext uri="{FF2B5EF4-FFF2-40B4-BE49-F238E27FC236}">
              <a16:creationId xmlns:a16="http://schemas.microsoft.com/office/drawing/2014/main" id="{C1B469FF-C633-0D99-2527-B7E2631DA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5843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1688</xdr:row>
      <xdr:rowOff>0</xdr:rowOff>
    </xdr:from>
    <xdr:to>
      <xdr:col>13</xdr:col>
      <xdr:colOff>0</xdr:colOff>
      <xdr:row>1689</xdr:row>
      <xdr:rowOff>148590</xdr:rowOff>
    </xdr:to>
    <xdr:pic>
      <xdr:nvPicPr>
        <xdr:cNvPr id="1996" name="Imagen 1995" descr="Ver detalle">
          <a:hlinkClick xmlns:r="http://schemas.openxmlformats.org/officeDocument/2006/relationships" r:id="rId1938" tooltip="Ver detalle"/>
          <a:extLst>
            <a:ext uri="{FF2B5EF4-FFF2-40B4-BE49-F238E27FC236}">
              <a16:creationId xmlns:a16="http://schemas.microsoft.com/office/drawing/2014/main" id="{64BA4F99-7B2C-8953-6830-E7E2EBEBC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284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1690</xdr:row>
      <xdr:rowOff>0</xdr:rowOff>
    </xdr:from>
    <xdr:to>
      <xdr:col>13</xdr:col>
      <xdr:colOff>0</xdr:colOff>
      <xdr:row>1691</xdr:row>
      <xdr:rowOff>114300</xdr:rowOff>
    </xdr:to>
    <xdr:pic>
      <xdr:nvPicPr>
        <xdr:cNvPr id="1997" name="Imagen 1996" descr="Ver detalle">
          <a:hlinkClick xmlns:r="http://schemas.openxmlformats.org/officeDocument/2006/relationships" r:id="rId1939" tooltip="Ver detalle"/>
          <a:extLst>
            <a:ext uri="{FF2B5EF4-FFF2-40B4-BE49-F238E27FC236}">
              <a16:creationId xmlns:a16="http://schemas.microsoft.com/office/drawing/2014/main" id="{A89A0D7F-A57F-F4AF-5DC5-EC759EB5A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4792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1689</xdr:row>
      <xdr:rowOff>0</xdr:rowOff>
    </xdr:from>
    <xdr:to>
      <xdr:col>13</xdr:col>
      <xdr:colOff>0</xdr:colOff>
      <xdr:row>1690</xdr:row>
      <xdr:rowOff>148590</xdr:rowOff>
    </xdr:to>
    <xdr:pic>
      <xdr:nvPicPr>
        <xdr:cNvPr id="1998" name="Imagen 1997" descr="Ver detalle">
          <a:hlinkClick xmlns:r="http://schemas.openxmlformats.org/officeDocument/2006/relationships" r:id="rId1940" tooltip="Ver detalle"/>
          <a:extLst>
            <a:ext uri="{FF2B5EF4-FFF2-40B4-BE49-F238E27FC236}">
              <a16:creationId xmlns:a16="http://schemas.microsoft.com/office/drawing/2014/main" id="{BE2B2658-9767-E52A-DEF5-0C3BF3189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5706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1677</xdr:row>
      <xdr:rowOff>0</xdr:rowOff>
    </xdr:from>
    <xdr:to>
      <xdr:col>13</xdr:col>
      <xdr:colOff>0</xdr:colOff>
      <xdr:row>1678</xdr:row>
      <xdr:rowOff>148590</xdr:rowOff>
    </xdr:to>
    <xdr:pic>
      <xdr:nvPicPr>
        <xdr:cNvPr id="1999" name="Imagen 1998" descr="Ver detalle">
          <a:hlinkClick xmlns:r="http://schemas.openxmlformats.org/officeDocument/2006/relationships" r:id="rId1941" tooltip="Ver detalle"/>
          <a:extLst>
            <a:ext uri="{FF2B5EF4-FFF2-40B4-BE49-F238E27FC236}">
              <a16:creationId xmlns:a16="http://schemas.microsoft.com/office/drawing/2014/main" id="{EAF754B4-B814-939B-70E1-5180987B8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662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1676</xdr:row>
      <xdr:rowOff>0</xdr:rowOff>
    </xdr:from>
    <xdr:to>
      <xdr:col>13</xdr:col>
      <xdr:colOff>0</xdr:colOff>
      <xdr:row>1677</xdr:row>
      <xdr:rowOff>148590</xdr:rowOff>
    </xdr:to>
    <xdr:pic>
      <xdr:nvPicPr>
        <xdr:cNvPr id="2000" name="Imagen 1999" descr="Ver detalle">
          <a:hlinkClick xmlns:r="http://schemas.openxmlformats.org/officeDocument/2006/relationships" r:id="rId1942" tooltip="Ver detalle"/>
          <a:extLst>
            <a:ext uri="{FF2B5EF4-FFF2-40B4-BE49-F238E27FC236}">
              <a16:creationId xmlns:a16="http://schemas.microsoft.com/office/drawing/2014/main" id="{A2CE6A27-62D0-FF66-1063-9BA5530AA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857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1675</xdr:row>
      <xdr:rowOff>0</xdr:rowOff>
    </xdr:from>
    <xdr:to>
      <xdr:col>13</xdr:col>
      <xdr:colOff>0</xdr:colOff>
      <xdr:row>1676</xdr:row>
      <xdr:rowOff>148590</xdr:rowOff>
    </xdr:to>
    <xdr:pic>
      <xdr:nvPicPr>
        <xdr:cNvPr id="2001" name="Imagen 2000" descr="Ver detalle">
          <a:hlinkClick xmlns:r="http://schemas.openxmlformats.org/officeDocument/2006/relationships" r:id="rId1943" tooltip="Ver detalle"/>
          <a:extLst>
            <a:ext uri="{FF2B5EF4-FFF2-40B4-BE49-F238E27FC236}">
              <a16:creationId xmlns:a16="http://schemas.microsoft.com/office/drawing/2014/main" id="{AFA823B2-26EA-74DA-CDB6-7036E1FC3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052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1680</xdr:row>
      <xdr:rowOff>0</xdr:rowOff>
    </xdr:from>
    <xdr:to>
      <xdr:col>13</xdr:col>
      <xdr:colOff>0</xdr:colOff>
      <xdr:row>1681</xdr:row>
      <xdr:rowOff>148590</xdr:rowOff>
    </xdr:to>
    <xdr:pic>
      <xdr:nvPicPr>
        <xdr:cNvPr id="2002" name="Imagen 2001" descr="Ver detalle">
          <a:hlinkClick xmlns:r="http://schemas.openxmlformats.org/officeDocument/2006/relationships" r:id="rId1944" tooltip="Ver detalle"/>
          <a:extLst>
            <a:ext uri="{FF2B5EF4-FFF2-40B4-BE49-F238E27FC236}">
              <a16:creationId xmlns:a16="http://schemas.microsoft.com/office/drawing/2014/main" id="{576825E8-18AB-333F-DFD3-34EB02C51C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247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1679</xdr:row>
      <xdr:rowOff>0</xdr:rowOff>
    </xdr:from>
    <xdr:to>
      <xdr:col>13</xdr:col>
      <xdr:colOff>0</xdr:colOff>
      <xdr:row>1680</xdr:row>
      <xdr:rowOff>148590</xdr:rowOff>
    </xdr:to>
    <xdr:pic>
      <xdr:nvPicPr>
        <xdr:cNvPr id="2003" name="Imagen 2002" descr="Ver detalle">
          <a:hlinkClick xmlns:r="http://schemas.openxmlformats.org/officeDocument/2006/relationships" r:id="rId1945" tooltip="Ver detalle"/>
          <a:extLst>
            <a:ext uri="{FF2B5EF4-FFF2-40B4-BE49-F238E27FC236}">
              <a16:creationId xmlns:a16="http://schemas.microsoft.com/office/drawing/2014/main" id="{793A69E5-FD13-3D95-E068-A02C1324F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4424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1678</xdr:row>
      <xdr:rowOff>0</xdr:rowOff>
    </xdr:from>
    <xdr:to>
      <xdr:col>13</xdr:col>
      <xdr:colOff>0</xdr:colOff>
      <xdr:row>1679</xdr:row>
      <xdr:rowOff>148590</xdr:rowOff>
    </xdr:to>
    <xdr:pic>
      <xdr:nvPicPr>
        <xdr:cNvPr id="2004" name="Imagen 2003" descr="Ver detalle">
          <a:hlinkClick xmlns:r="http://schemas.openxmlformats.org/officeDocument/2006/relationships" r:id="rId1946" tooltip="Ver detalle"/>
          <a:extLst>
            <a:ext uri="{FF2B5EF4-FFF2-40B4-BE49-F238E27FC236}">
              <a16:creationId xmlns:a16="http://schemas.microsoft.com/office/drawing/2014/main" id="{91BD5178-2854-8F15-D70E-71FBB34DA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5727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1681</xdr:row>
      <xdr:rowOff>0</xdr:rowOff>
    </xdr:from>
    <xdr:to>
      <xdr:col>13</xdr:col>
      <xdr:colOff>0</xdr:colOff>
      <xdr:row>1682</xdr:row>
      <xdr:rowOff>148590</xdr:rowOff>
    </xdr:to>
    <xdr:pic>
      <xdr:nvPicPr>
        <xdr:cNvPr id="2005" name="Imagen 2004" descr="Ver detalle">
          <a:hlinkClick xmlns:r="http://schemas.openxmlformats.org/officeDocument/2006/relationships" r:id="rId1947" tooltip="Ver detalle"/>
          <a:extLst>
            <a:ext uri="{FF2B5EF4-FFF2-40B4-BE49-F238E27FC236}">
              <a16:creationId xmlns:a16="http://schemas.microsoft.com/office/drawing/2014/main" id="{1F1FB454-E6DC-C057-40DC-6574C3FD5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703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1687</xdr:row>
      <xdr:rowOff>0</xdr:rowOff>
    </xdr:from>
    <xdr:to>
      <xdr:col>13</xdr:col>
      <xdr:colOff>0</xdr:colOff>
      <xdr:row>1688</xdr:row>
      <xdr:rowOff>148590</xdr:rowOff>
    </xdr:to>
    <xdr:pic>
      <xdr:nvPicPr>
        <xdr:cNvPr id="2006" name="Imagen 2005" descr="Ver detalle">
          <a:hlinkClick xmlns:r="http://schemas.openxmlformats.org/officeDocument/2006/relationships" r:id="rId1948" tooltip="Ver detalle"/>
          <a:extLst>
            <a:ext uri="{FF2B5EF4-FFF2-40B4-BE49-F238E27FC236}">
              <a16:creationId xmlns:a16="http://schemas.microsoft.com/office/drawing/2014/main" id="{E161235F-A72E-095C-B6A7-5B7EEC0BD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898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1686</xdr:row>
      <xdr:rowOff>0</xdr:rowOff>
    </xdr:from>
    <xdr:to>
      <xdr:col>13</xdr:col>
      <xdr:colOff>0</xdr:colOff>
      <xdr:row>1687</xdr:row>
      <xdr:rowOff>148590</xdr:rowOff>
    </xdr:to>
    <xdr:pic>
      <xdr:nvPicPr>
        <xdr:cNvPr id="2007" name="Imagen 2006" descr="Ver detalle">
          <a:hlinkClick xmlns:r="http://schemas.openxmlformats.org/officeDocument/2006/relationships" r:id="rId1949" tooltip="Ver detalle"/>
          <a:extLst>
            <a:ext uri="{FF2B5EF4-FFF2-40B4-BE49-F238E27FC236}">
              <a16:creationId xmlns:a16="http://schemas.microsoft.com/office/drawing/2014/main" id="{9F5DC14E-441A-9F53-9D97-CF0D8D8FE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0931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1685</xdr:row>
      <xdr:rowOff>0</xdr:rowOff>
    </xdr:from>
    <xdr:to>
      <xdr:col>13</xdr:col>
      <xdr:colOff>0</xdr:colOff>
      <xdr:row>1686</xdr:row>
      <xdr:rowOff>148590</xdr:rowOff>
    </xdr:to>
    <xdr:pic>
      <xdr:nvPicPr>
        <xdr:cNvPr id="2008" name="Imagen 2007" descr="Ver detalle">
          <a:hlinkClick xmlns:r="http://schemas.openxmlformats.org/officeDocument/2006/relationships" r:id="rId1950" tooltip="Ver detalle"/>
          <a:extLst>
            <a:ext uri="{FF2B5EF4-FFF2-40B4-BE49-F238E27FC236}">
              <a16:creationId xmlns:a16="http://schemas.microsoft.com/office/drawing/2014/main" id="{7F21AD3C-BCBB-8443-601D-8C932895B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288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1684</xdr:row>
      <xdr:rowOff>0</xdr:rowOff>
    </xdr:from>
    <xdr:to>
      <xdr:col>13</xdr:col>
      <xdr:colOff>0</xdr:colOff>
      <xdr:row>1685</xdr:row>
      <xdr:rowOff>148590</xdr:rowOff>
    </xdr:to>
    <xdr:pic>
      <xdr:nvPicPr>
        <xdr:cNvPr id="2009" name="Imagen 2008" descr="Ver detalle">
          <a:hlinkClick xmlns:r="http://schemas.openxmlformats.org/officeDocument/2006/relationships" r:id="rId1951" tooltip="Ver detalle"/>
          <a:extLst>
            <a:ext uri="{FF2B5EF4-FFF2-40B4-BE49-F238E27FC236}">
              <a16:creationId xmlns:a16="http://schemas.microsoft.com/office/drawing/2014/main" id="{10A8BCCF-8032-80DA-0CE2-F73EC4454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483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1683</xdr:row>
      <xdr:rowOff>0</xdr:rowOff>
    </xdr:from>
    <xdr:to>
      <xdr:col>13</xdr:col>
      <xdr:colOff>0</xdr:colOff>
      <xdr:row>1684</xdr:row>
      <xdr:rowOff>148590</xdr:rowOff>
    </xdr:to>
    <xdr:pic>
      <xdr:nvPicPr>
        <xdr:cNvPr id="2010" name="Imagen 2009" descr="Ver detalle">
          <a:hlinkClick xmlns:r="http://schemas.openxmlformats.org/officeDocument/2006/relationships" r:id="rId1952" tooltip="Ver detalle"/>
          <a:extLst>
            <a:ext uri="{FF2B5EF4-FFF2-40B4-BE49-F238E27FC236}">
              <a16:creationId xmlns:a16="http://schemas.microsoft.com/office/drawing/2014/main" id="{FBA9469D-5F1A-D3C6-8B30-D5DEFABD7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5747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1682</xdr:row>
      <xdr:rowOff>0</xdr:rowOff>
    </xdr:from>
    <xdr:to>
      <xdr:col>13</xdr:col>
      <xdr:colOff>0</xdr:colOff>
      <xdr:row>1683</xdr:row>
      <xdr:rowOff>148590</xdr:rowOff>
    </xdr:to>
    <xdr:pic>
      <xdr:nvPicPr>
        <xdr:cNvPr id="2011" name="Imagen 2010" descr="Ver detalle">
          <a:hlinkClick xmlns:r="http://schemas.openxmlformats.org/officeDocument/2006/relationships" r:id="rId1953" tooltip="Ver detalle"/>
          <a:extLst>
            <a:ext uri="{FF2B5EF4-FFF2-40B4-BE49-F238E27FC236}">
              <a16:creationId xmlns:a16="http://schemas.microsoft.com/office/drawing/2014/main" id="{6AA4B141-0FEE-8842-2E94-E0251E50A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6661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1668</xdr:row>
      <xdr:rowOff>0</xdr:rowOff>
    </xdr:from>
    <xdr:to>
      <xdr:col>13</xdr:col>
      <xdr:colOff>0</xdr:colOff>
      <xdr:row>1669</xdr:row>
      <xdr:rowOff>148590</xdr:rowOff>
    </xdr:to>
    <xdr:pic>
      <xdr:nvPicPr>
        <xdr:cNvPr id="2012" name="Imagen 2011" descr="Ver detalle">
          <a:hlinkClick xmlns:r="http://schemas.openxmlformats.org/officeDocument/2006/relationships" r:id="rId1954" tooltip="Ver detalle"/>
          <a:extLst>
            <a:ext uri="{FF2B5EF4-FFF2-40B4-BE49-F238E27FC236}">
              <a16:creationId xmlns:a16="http://schemas.microsoft.com/office/drawing/2014/main" id="{3288FFDB-7841-1F5F-04DB-34CE70879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757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1670</xdr:row>
      <xdr:rowOff>0</xdr:rowOff>
    </xdr:from>
    <xdr:to>
      <xdr:col>13</xdr:col>
      <xdr:colOff>0</xdr:colOff>
      <xdr:row>1671</xdr:row>
      <xdr:rowOff>114300</xdr:rowOff>
    </xdr:to>
    <xdr:pic>
      <xdr:nvPicPr>
        <xdr:cNvPr id="2013" name="Imagen 2012" descr="Ver detalle">
          <a:hlinkClick xmlns:r="http://schemas.openxmlformats.org/officeDocument/2006/relationships" r:id="rId1955" tooltip="Ver detalle"/>
          <a:extLst>
            <a:ext uri="{FF2B5EF4-FFF2-40B4-BE49-F238E27FC236}">
              <a16:creationId xmlns:a16="http://schemas.microsoft.com/office/drawing/2014/main" id="{2EDCED55-F01F-6B2F-0E22-D1B104EA8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952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1667</xdr:row>
      <xdr:rowOff>0</xdr:rowOff>
    </xdr:from>
    <xdr:to>
      <xdr:col>13</xdr:col>
      <xdr:colOff>0</xdr:colOff>
      <xdr:row>1668</xdr:row>
      <xdr:rowOff>148590</xdr:rowOff>
    </xdr:to>
    <xdr:pic>
      <xdr:nvPicPr>
        <xdr:cNvPr id="2014" name="Imagen 2013" descr="Ver detalle">
          <a:hlinkClick xmlns:r="http://schemas.openxmlformats.org/officeDocument/2006/relationships" r:id="rId1956" tooltip="Ver detalle"/>
          <a:extLst>
            <a:ext uri="{FF2B5EF4-FFF2-40B4-BE49-F238E27FC236}">
              <a16:creationId xmlns:a16="http://schemas.microsoft.com/office/drawing/2014/main" id="{07D02678-04FC-B8A2-ECCE-7458A0FF8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044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1657</xdr:row>
      <xdr:rowOff>0</xdr:rowOff>
    </xdr:from>
    <xdr:to>
      <xdr:col>13</xdr:col>
      <xdr:colOff>0</xdr:colOff>
      <xdr:row>1658</xdr:row>
      <xdr:rowOff>148590</xdr:rowOff>
    </xdr:to>
    <xdr:pic>
      <xdr:nvPicPr>
        <xdr:cNvPr id="2015" name="Imagen 2014" descr="Ver detalle">
          <a:hlinkClick xmlns:r="http://schemas.openxmlformats.org/officeDocument/2006/relationships" r:id="rId1957" tooltip="Ver detalle"/>
          <a:extLst>
            <a:ext uri="{FF2B5EF4-FFF2-40B4-BE49-F238E27FC236}">
              <a16:creationId xmlns:a16="http://schemas.microsoft.com/office/drawing/2014/main" id="{0E642C71-C3F5-9DBD-05BB-19705DAF1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135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1658</xdr:row>
      <xdr:rowOff>0</xdr:rowOff>
    </xdr:from>
    <xdr:to>
      <xdr:col>13</xdr:col>
      <xdr:colOff>0</xdr:colOff>
      <xdr:row>1659</xdr:row>
      <xdr:rowOff>148590</xdr:rowOff>
    </xdr:to>
    <xdr:pic>
      <xdr:nvPicPr>
        <xdr:cNvPr id="2016" name="Imagen 2015" descr="Ver detalle">
          <a:hlinkClick xmlns:r="http://schemas.openxmlformats.org/officeDocument/2006/relationships" r:id="rId1958" tooltip="Ver detalle"/>
          <a:extLst>
            <a:ext uri="{FF2B5EF4-FFF2-40B4-BE49-F238E27FC236}">
              <a16:creationId xmlns:a16="http://schemas.microsoft.com/office/drawing/2014/main" id="{FC00B9AF-09C7-1D9B-E3B3-971C0DD54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330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1663</xdr:row>
      <xdr:rowOff>0</xdr:rowOff>
    </xdr:from>
    <xdr:to>
      <xdr:col>13</xdr:col>
      <xdr:colOff>0</xdr:colOff>
      <xdr:row>1664</xdr:row>
      <xdr:rowOff>148590</xdr:rowOff>
    </xdr:to>
    <xdr:pic>
      <xdr:nvPicPr>
        <xdr:cNvPr id="2017" name="Imagen 2016" descr="Ver detalle">
          <a:hlinkClick xmlns:r="http://schemas.openxmlformats.org/officeDocument/2006/relationships" r:id="rId1959" tooltip="Ver detalle"/>
          <a:extLst>
            <a:ext uri="{FF2B5EF4-FFF2-40B4-BE49-F238E27FC236}">
              <a16:creationId xmlns:a16="http://schemas.microsoft.com/office/drawing/2014/main" id="{1DD4C2A3-465D-A730-A518-822E24F2C5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5257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1660</xdr:row>
      <xdr:rowOff>0</xdr:rowOff>
    </xdr:from>
    <xdr:to>
      <xdr:col>13</xdr:col>
      <xdr:colOff>0</xdr:colOff>
      <xdr:row>1661</xdr:row>
      <xdr:rowOff>148590</xdr:rowOff>
    </xdr:to>
    <xdr:pic>
      <xdr:nvPicPr>
        <xdr:cNvPr id="2018" name="Imagen 2017" descr="Ver detalle">
          <a:hlinkClick xmlns:r="http://schemas.openxmlformats.org/officeDocument/2006/relationships" r:id="rId1960" tooltip="Ver detalle"/>
          <a:extLst>
            <a:ext uri="{FF2B5EF4-FFF2-40B4-BE49-F238E27FC236}">
              <a16:creationId xmlns:a16="http://schemas.microsoft.com/office/drawing/2014/main" id="{4A2F387A-5617-6C05-729C-B0CC5B87E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7207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1662</xdr:row>
      <xdr:rowOff>0</xdr:rowOff>
    </xdr:from>
    <xdr:to>
      <xdr:col>13</xdr:col>
      <xdr:colOff>0</xdr:colOff>
      <xdr:row>1663</xdr:row>
      <xdr:rowOff>148590</xdr:rowOff>
    </xdr:to>
    <xdr:pic>
      <xdr:nvPicPr>
        <xdr:cNvPr id="2019" name="Imagen 2018" descr="Ver detalle">
          <a:hlinkClick xmlns:r="http://schemas.openxmlformats.org/officeDocument/2006/relationships" r:id="rId1961" tooltip="Ver detalle"/>
          <a:extLst>
            <a:ext uri="{FF2B5EF4-FFF2-40B4-BE49-F238E27FC236}">
              <a16:creationId xmlns:a16="http://schemas.microsoft.com/office/drawing/2014/main" id="{A68B70B4-4FB5-0CED-1CE9-CF5AAAEA9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812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1659</xdr:row>
      <xdr:rowOff>0</xdr:rowOff>
    </xdr:from>
    <xdr:to>
      <xdr:col>13</xdr:col>
      <xdr:colOff>0</xdr:colOff>
      <xdr:row>1660</xdr:row>
      <xdr:rowOff>148590</xdr:rowOff>
    </xdr:to>
    <xdr:pic>
      <xdr:nvPicPr>
        <xdr:cNvPr id="2020" name="Imagen 2019" descr="Ver detalle">
          <a:hlinkClick xmlns:r="http://schemas.openxmlformats.org/officeDocument/2006/relationships" r:id="rId1962" tooltip="Ver detalle"/>
          <a:extLst>
            <a:ext uri="{FF2B5EF4-FFF2-40B4-BE49-F238E27FC236}">
              <a16:creationId xmlns:a16="http://schemas.microsoft.com/office/drawing/2014/main" id="{8AD7AF65-487A-0889-AD28-4911583D1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007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1669</xdr:row>
      <xdr:rowOff>0</xdr:rowOff>
    </xdr:from>
    <xdr:to>
      <xdr:col>13</xdr:col>
      <xdr:colOff>0</xdr:colOff>
      <xdr:row>1670</xdr:row>
      <xdr:rowOff>148590</xdr:rowOff>
    </xdr:to>
    <xdr:pic>
      <xdr:nvPicPr>
        <xdr:cNvPr id="2021" name="Imagen 2020" descr="Ver detalle">
          <a:hlinkClick xmlns:r="http://schemas.openxmlformats.org/officeDocument/2006/relationships" r:id="rId1963" tooltip="Ver detalle"/>
          <a:extLst>
            <a:ext uri="{FF2B5EF4-FFF2-40B4-BE49-F238E27FC236}">
              <a16:creationId xmlns:a16="http://schemas.microsoft.com/office/drawing/2014/main" id="{F78B31F9-DE2E-B90B-9F8F-251ADB5D2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202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1666</xdr:row>
      <xdr:rowOff>0</xdr:rowOff>
    </xdr:from>
    <xdr:to>
      <xdr:col>13</xdr:col>
      <xdr:colOff>0</xdr:colOff>
      <xdr:row>1667</xdr:row>
      <xdr:rowOff>148590</xdr:rowOff>
    </xdr:to>
    <xdr:pic>
      <xdr:nvPicPr>
        <xdr:cNvPr id="2022" name="Imagen 2021" descr="Ver detalle">
          <a:hlinkClick xmlns:r="http://schemas.openxmlformats.org/officeDocument/2006/relationships" r:id="rId1964" tooltip="Ver detalle"/>
          <a:extLst>
            <a:ext uri="{FF2B5EF4-FFF2-40B4-BE49-F238E27FC236}">
              <a16:creationId xmlns:a16="http://schemas.microsoft.com/office/drawing/2014/main" id="{A01E0FE8-1E67-3AE4-3DC4-FA3DA5435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332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1656</xdr:row>
      <xdr:rowOff>0</xdr:rowOff>
    </xdr:from>
    <xdr:to>
      <xdr:col>13</xdr:col>
      <xdr:colOff>0</xdr:colOff>
      <xdr:row>1657</xdr:row>
      <xdr:rowOff>148590</xdr:rowOff>
    </xdr:to>
    <xdr:pic>
      <xdr:nvPicPr>
        <xdr:cNvPr id="2023" name="Imagen 2022" descr="Ver detalle">
          <a:hlinkClick xmlns:r="http://schemas.openxmlformats.org/officeDocument/2006/relationships" r:id="rId1965" tooltip="Ver detalle"/>
          <a:extLst>
            <a:ext uri="{FF2B5EF4-FFF2-40B4-BE49-F238E27FC236}">
              <a16:creationId xmlns:a16="http://schemas.microsoft.com/office/drawing/2014/main" id="{D6D8DB1B-1546-035A-021A-D9880FEC1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527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1661</xdr:row>
      <xdr:rowOff>0</xdr:rowOff>
    </xdr:from>
    <xdr:to>
      <xdr:col>13</xdr:col>
      <xdr:colOff>0</xdr:colOff>
      <xdr:row>1662</xdr:row>
      <xdr:rowOff>148590</xdr:rowOff>
    </xdr:to>
    <xdr:pic>
      <xdr:nvPicPr>
        <xdr:cNvPr id="2024" name="Imagen 2023" descr="Ver detalle">
          <a:hlinkClick xmlns:r="http://schemas.openxmlformats.org/officeDocument/2006/relationships" r:id="rId1966" tooltip="Ver detalle"/>
          <a:extLst>
            <a:ext uri="{FF2B5EF4-FFF2-40B4-BE49-F238E27FC236}">
              <a16:creationId xmlns:a16="http://schemas.microsoft.com/office/drawing/2014/main" id="{914E5FA3-9078-B03B-8D35-B4AEC1AAD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722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1652</xdr:row>
      <xdr:rowOff>0</xdr:rowOff>
    </xdr:from>
    <xdr:to>
      <xdr:col>13</xdr:col>
      <xdr:colOff>0</xdr:colOff>
      <xdr:row>1653</xdr:row>
      <xdr:rowOff>148590</xdr:rowOff>
    </xdr:to>
    <xdr:pic>
      <xdr:nvPicPr>
        <xdr:cNvPr id="2025" name="Imagen 2024" descr="Ver detalle">
          <a:hlinkClick xmlns:r="http://schemas.openxmlformats.org/officeDocument/2006/relationships" r:id="rId1967" tooltip="Ver detalle"/>
          <a:extLst>
            <a:ext uri="{FF2B5EF4-FFF2-40B4-BE49-F238E27FC236}">
              <a16:creationId xmlns:a16="http://schemas.microsoft.com/office/drawing/2014/main" id="{B16D02C4-8CE4-AD98-B222-4FDC653E7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9178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1655</xdr:row>
      <xdr:rowOff>0</xdr:rowOff>
    </xdr:from>
    <xdr:to>
      <xdr:col>13</xdr:col>
      <xdr:colOff>0</xdr:colOff>
      <xdr:row>1656</xdr:row>
      <xdr:rowOff>148590</xdr:rowOff>
    </xdr:to>
    <xdr:pic>
      <xdr:nvPicPr>
        <xdr:cNvPr id="2026" name="Imagen 2025" descr="Ver detalle">
          <a:hlinkClick xmlns:r="http://schemas.openxmlformats.org/officeDocument/2006/relationships" r:id="rId1968" tooltip="Ver detalle"/>
          <a:extLst>
            <a:ext uri="{FF2B5EF4-FFF2-40B4-BE49-F238E27FC236}">
              <a16:creationId xmlns:a16="http://schemas.microsoft.com/office/drawing/2014/main" id="{69BC2021-4B3A-6CC8-3F0C-C6531ED37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112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1665</xdr:row>
      <xdr:rowOff>0</xdr:rowOff>
    </xdr:from>
    <xdr:to>
      <xdr:col>13</xdr:col>
      <xdr:colOff>0</xdr:colOff>
      <xdr:row>1666</xdr:row>
      <xdr:rowOff>148590</xdr:rowOff>
    </xdr:to>
    <xdr:pic>
      <xdr:nvPicPr>
        <xdr:cNvPr id="2027" name="Imagen 2026" descr="Ver detalle">
          <a:hlinkClick xmlns:r="http://schemas.openxmlformats.org/officeDocument/2006/relationships" r:id="rId1969" tooltip="Ver detalle"/>
          <a:extLst>
            <a:ext uri="{FF2B5EF4-FFF2-40B4-BE49-F238E27FC236}">
              <a16:creationId xmlns:a16="http://schemas.microsoft.com/office/drawing/2014/main" id="{31DA3039-AB59-9639-A4B3-FEFAD06B6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308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1654</xdr:row>
      <xdr:rowOff>0</xdr:rowOff>
    </xdr:from>
    <xdr:to>
      <xdr:col>13</xdr:col>
      <xdr:colOff>0</xdr:colOff>
      <xdr:row>1655</xdr:row>
      <xdr:rowOff>148590</xdr:rowOff>
    </xdr:to>
    <xdr:pic>
      <xdr:nvPicPr>
        <xdr:cNvPr id="2028" name="Imagen 2027" descr="Ver detalle">
          <a:hlinkClick xmlns:r="http://schemas.openxmlformats.org/officeDocument/2006/relationships" r:id="rId1970" tooltip="Ver detalle"/>
          <a:extLst>
            <a:ext uri="{FF2B5EF4-FFF2-40B4-BE49-F238E27FC236}">
              <a16:creationId xmlns:a16="http://schemas.microsoft.com/office/drawing/2014/main" id="{61CFEA1E-1A9B-E402-6638-605107A23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503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1674</xdr:row>
      <xdr:rowOff>0</xdr:rowOff>
    </xdr:from>
    <xdr:to>
      <xdr:col>13</xdr:col>
      <xdr:colOff>0</xdr:colOff>
      <xdr:row>1675</xdr:row>
      <xdr:rowOff>148590</xdr:rowOff>
    </xdr:to>
    <xdr:pic>
      <xdr:nvPicPr>
        <xdr:cNvPr id="2029" name="Imagen 2028" descr="Ver detalle">
          <a:hlinkClick xmlns:r="http://schemas.openxmlformats.org/officeDocument/2006/relationships" r:id="rId1971" tooltip="Ver detalle"/>
          <a:extLst>
            <a:ext uri="{FF2B5EF4-FFF2-40B4-BE49-F238E27FC236}">
              <a16:creationId xmlns:a16="http://schemas.microsoft.com/office/drawing/2014/main" id="{832DD565-1603-AC2A-22C8-F2D7A39D9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698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1673</xdr:row>
      <xdr:rowOff>0</xdr:rowOff>
    </xdr:from>
    <xdr:to>
      <xdr:col>13</xdr:col>
      <xdr:colOff>0</xdr:colOff>
      <xdr:row>1674</xdr:row>
      <xdr:rowOff>148590</xdr:rowOff>
    </xdr:to>
    <xdr:pic>
      <xdr:nvPicPr>
        <xdr:cNvPr id="2030" name="Imagen 2029" descr="Ver detalle">
          <a:hlinkClick xmlns:r="http://schemas.openxmlformats.org/officeDocument/2006/relationships" r:id="rId1972" tooltip="Ver detalle"/>
          <a:extLst>
            <a:ext uri="{FF2B5EF4-FFF2-40B4-BE49-F238E27FC236}">
              <a16:creationId xmlns:a16="http://schemas.microsoft.com/office/drawing/2014/main" id="{6EC4FD68-0786-A2EA-7523-9E7C8F7E80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893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1664</xdr:row>
      <xdr:rowOff>0</xdr:rowOff>
    </xdr:from>
    <xdr:to>
      <xdr:col>13</xdr:col>
      <xdr:colOff>0</xdr:colOff>
      <xdr:row>1665</xdr:row>
      <xdr:rowOff>148590</xdr:rowOff>
    </xdr:to>
    <xdr:pic>
      <xdr:nvPicPr>
        <xdr:cNvPr id="2031" name="Imagen 2030" descr="Ver detalle">
          <a:hlinkClick xmlns:r="http://schemas.openxmlformats.org/officeDocument/2006/relationships" r:id="rId1973" tooltip="Ver detalle"/>
          <a:extLst>
            <a:ext uri="{FF2B5EF4-FFF2-40B4-BE49-F238E27FC236}">
              <a16:creationId xmlns:a16="http://schemas.microsoft.com/office/drawing/2014/main" id="{5C5CC3E8-F4EC-EA7C-EEFD-4BBE9FAF2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088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1653</xdr:row>
      <xdr:rowOff>0</xdr:rowOff>
    </xdr:from>
    <xdr:to>
      <xdr:col>13</xdr:col>
      <xdr:colOff>0</xdr:colOff>
      <xdr:row>1654</xdr:row>
      <xdr:rowOff>148590</xdr:rowOff>
    </xdr:to>
    <xdr:pic>
      <xdr:nvPicPr>
        <xdr:cNvPr id="2032" name="Imagen 2031" descr="Ver detalle">
          <a:hlinkClick xmlns:r="http://schemas.openxmlformats.org/officeDocument/2006/relationships" r:id="rId1974" tooltip="Ver detalle"/>
          <a:extLst>
            <a:ext uri="{FF2B5EF4-FFF2-40B4-BE49-F238E27FC236}">
              <a16:creationId xmlns:a16="http://schemas.microsoft.com/office/drawing/2014/main" id="{82BB3BA4-7B6E-1AF2-7DEE-2B219DE89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2833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1651</xdr:row>
      <xdr:rowOff>0</xdr:rowOff>
    </xdr:from>
    <xdr:to>
      <xdr:col>13</xdr:col>
      <xdr:colOff>0</xdr:colOff>
      <xdr:row>1652</xdr:row>
      <xdr:rowOff>148590</xdr:rowOff>
    </xdr:to>
    <xdr:pic>
      <xdr:nvPicPr>
        <xdr:cNvPr id="2033" name="Imagen 2032" descr="Ver detalle">
          <a:hlinkClick xmlns:r="http://schemas.openxmlformats.org/officeDocument/2006/relationships" r:id="rId1975" tooltip="Ver detalle"/>
          <a:extLst>
            <a:ext uri="{FF2B5EF4-FFF2-40B4-BE49-F238E27FC236}">
              <a16:creationId xmlns:a16="http://schemas.microsoft.com/office/drawing/2014/main" id="{121AA403-5EA6-789B-785C-0423FB5E5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4784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1647</xdr:row>
      <xdr:rowOff>0</xdr:rowOff>
    </xdr:from>
    <xdr:to>
      <xdr:col>13</xdr:col>
      <xdr:colOff>0</xdr:colOff>
      <xdr:row>1648</xdr:row>
      <xdr:rowOff>148590</xdr:rowOff>
    </xdr:to>
    <xdr:pic>
      <xdr:nvPicPr>
        <xdr:cNvPr id="2034" name="Imagen 2033" descr="Ver detalle">
          <a:hlinkClick xmlns:r="http://schemas.openxmlformats.org/officeDocument/2006/relationships" r:id="rId1976" tooltip="Ver detalle"/>
          <a:extLst>
            <a:ext uri="{FF2B5EF4-FFF2-40B4-BE49-F238E27FC236}">
              <a16:creationId xmlns:a16="http://schemas.microsoft.com/office/drawing/2014/main" id="{118C921E-B0D6-ED21-75FB-1BB149CD6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569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1650</xdr:row>
      <xdr:rowOff>0</xdr:rowOff>
    </xdr:from>
    <xdr:to>
      <xdr:col>13</xdr:col>
      <xdr:colOff>0</xdr:colOff>
      <xdr:row>1651</xdr:row>
      <xdr:rowOff>148590</xdr:rowOff>
    </xdr:to>
    <xdr:pic>
      <xdr:nvPicPr>
        <xdr:cNvPr id="2035" name="Imagen 2034" descr="Ver detalle">
          <a:hlinkClick xmlns:r="http://schemas.openxmlformats.org/officeDocument/2006/relationships" r:id="rId1977" tooltip="Ver detalle"/>
          <a:extLst>
            <a:ext uri="{FF2B5EF4-FFF2-40B4-BE49-F238E27FC236}">
              <a16:creationId xmlns:a16="http://schemas.microsoft.com/office/drawing/2014/main" id="{7BA4F36D-4EED-EA18-D05A-9DD325C3C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7649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1648</xdr:row>
      <xdr:rowOff>0</xdr:rowOff>
    </xdr:from>
    <xdr:to>
      <xdr:col>13</xdr:col>
      <xdr:colOff>0</xdr:colOff>
      <xdr:row>1649</xdr:row>
      <xdr:rowOff>148590</xdr:rowOff>
    </xdr:to>
    <xdr:pic>
      <xdr:nvPicPr>
        <xdr:cNvPr id="2036" name="Imagen 2035" descr="Ver detalle">
          <a:hlinkClick xmlns:r="http://schemas.openxmlformats.org/officeDocument/2006/relationships" r:id="rId1978" tooltip="Ver detalle"/>
          <a:extLst>
            <a:ext uri="{FF2B5EF4-FFF2-40B4-BE49-F238E27FC236}">
              <a16:creationId xmlns:a16="http://schemas.microsoft.com/office/drawing/2014/main" id="{1F0B93B7-56D6-201E-C3E7-6550CDAA6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960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1785</xdr:row>
      <xdr:rowOff>0</xdr:rowOff>
    </xdr:from>
    <xdr:to>
      <xdr:col>13</xdr:col>
      <xdr:colOff>0</xdr:colOff>
      <xdr:row>1786</xdr:row>
      <xdr:rowOff>148590</xdr:rowOff>
    </xdr:to>
    <xdr:pic>
      <xdr:nvPicPr>
        <xdr:cNvPr id="2061" name="Imagen 2060" descr="Ver detalle">
          <a:hlinkClick xmlns:r="http://schemas.openxmlformats.org/officeDocument/2006/relationships" r:id="rId1979" tooltip="Ver detalle"/>
          <a:extLst>
            <a:ext uri="{FF2B5EF4-FFF2-40B4-BE49-F238E27FC236}">
              <a16:creationId xmlns:a16="http://schemas.microsoft.com/office/drawing/2014/main" id="{4679F033-13E3-3F38-29AE-1BEEC08F4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14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1784</xdr:row>
      <xdr:rowOff>0</xdr:rowOff>
    </xdr:from>
    <xdr:to>
      <xdr:col>13</xdr:col>
      <xdr:colOff>0</xdr:colOff>
      <xdr:row>1785</xdr:row>
      <xdr:rowOff>148590</xdr:rowOff>
    </xdr:to>
    <xdr:pic>
      <xdr:nvPicPr>
        <xdr:cNvPr id="2062" name="Imagen 2061" descr="Ver detalle">
          <a:hlinkClick xmlns:r="http://schemas.openxmlformats.org/officeDocument/2006/relationships" r:id="rId1980" tooltip="Ver detalle"/>
          <a:extLst>
            <a:ext uri="{FF2B5EF4-FFF2-40B4-BE49-F238E27FC236}">
              <a16:creationId xmlns:a16="http://schemas.microsoft.com/office/drawing/2014/main" id="{4430F063-5D5B-64E6-BE0F-DB42AD0363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3418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1783</xdr:row>
      <xdr:rowOff>0</xdr:rowOff>
    </xdr:from>
    <xdr:to>
      <xdr:col>13</xdr:col>
      <xdr:colOff>0</xdr:colOff>
      <xdr:row>1784</xdr:row>
      <xdr:rowOff>148590</xdr:rowOff>
    </xdr:to>
    <xdr:pic>
      <xdr:nvPicPr>
        <xdr:cNvPr id="2063" name="Imagen 2062" descr="Ver detalle">
          <a:hlinkClick xmlns:r="http://schemas.openxmlformats.org/officeDocument/2006/relationships" r:id="rId1981" tooltip="Ver detalle"/>
          <a:extLst>
            <a:ext uri="{FF2B5EF4-FFF2-40B4-BE49-F238E27FC236}">
              <a16:creationId xmlns:a16="http://schemas.microsoft.com/office/drawing/2014/main" id="{9F3EF112-C122-A5CE-3ABA-899C0A7A5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536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1789</xdr:row>
      <xdr:rowOff>0</xdr:rowOff>
    </xdr:from>
    <xdr:to>
      <xdr:col>13</xdr:col>
      <xdr:colOff>0</xdr:colOff>
      <xdr:row>1790</xdr:row>
      <xdr:rowOff>148590</xdr:rowOff>
    </xdr:to>
    <xdr:pic>
      <xdr:nvPicPr>
        <xdr:cNvPr id="2064" name="Imagen 2063" descr="Ver detalle">
          <a:hlinkClick xmlns:r="http://schemas.openxmlformats.org/officeDocument/2006/relationships" r:id="rId1982" tooltip="Ver detalle"/>
          <a:extLst>
            <a:ext uri="{FF2B5EF4-FFF2-40B4-BE49-F238E27FC236}">
              <a16:creationId xmlns:a16="http://schemas.microsoft.com/office/drawing/2014/main" id="{47EFD422-0AED-C926-683B-E224CDC3F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6671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1727</xdr:row>
      <xdr:rowOff>0</xdr:rowOff>
    </xdr:from>
    <xdr:to>
      <xdr:col>13</xdr:col>
      <xdr:colOff>0</xdr:colOff>
      <xdr:row>1728</xdr:row>
      <xdr:rowOff>148590</xdr:rowOff>
    </xdr:to>
    <xdr:pic>
      <xdr:nvPicPr>
        <xdr:cNvPr id="2065" name="Imagen 2064" descr="Ver detalle">
          <a:hlinkClick xmlns:r="http://schemas.openxmlformats.org/officeDocument/2006/relationships" r:id="rId1983" tooltip="Ver detalle"/>
          <a:extLst>
            <a:ext uri="{FF2B5EF4-FFF2-40B4-BE49-F238E27FC236}">
              <a16:creationId xmlns:a16="http://schemas.microsoft.com/office/drawing/2014/main" id="{E99983EB-1EB6-E9DF-8049-0D990FBBC7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862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1770</xdr:row>
      <xdr:rowOff>0</xdr:rowOff>
    </xdr:from>
    <xdr:to>
      <xdr:col>13</xdr:col>
      <xdr:colOff>0</xdr:colOff>
      <xdr:row>1771</xdr:row>
      <xdr:rowOff>148590</xdr:rowOff>
    </xdr:to>
    <xdr:pic>
      <xdr:nvPicPr>
        <xdr:cNvPr id="2066" name="Imagen 2065" descr="Ver detalle">
          <a:hlinkClick xmlns:r="http://schemas.openxmlformats.org/officeDocument/2006/relationships" r:id="rId1984" tooltip="Ver detalle"/>
          <a:extLst>
            <a:ext uri="{FF2B5EF4-FFF2-40B4-BE49-F238E27FC236}">
              <a16:creationId xmlns:a16="http://schemas.microsoft.com/office/drawing/2014/main" id="{84DE8DC3-D389-B5C9-859A-AF21973734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05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1796</xdr:row>
      <xdr:rowOff>0</xdr:rowOff>
    </xdr:from>
    <xdr:to>
      <xdr:col>13</xdr:col>
      <xdr:colOff>0</xdr:colOff>
      <xdr:row>1797</xdr:row>
      <xdr:rowOff>148590</xdr:rowOff>
    </xdr:to>
    <xdr:pic>
      <xdr:nvPicPr>
        <xdr:cNvPr id="2067" name="Imagen 2066" descr="Ver detalle">
          <a:hlinkClick xmlns:r="http://schemas.openxmlformats.org/officeDocument/2006/relationships" r:id="rId1985" tooltip="Ver detalle"/>
          <a:extLst>
            <a:ext uri="{FF2B5EF4-FFF2-40B4-BE49-F238E27FC236}">
              <a16:creationId xmlns:a16="http://schemas.microsoft.com/office/drawing/2014/main" id="{E232CC05-C0AD-2BEB-D3D3-19000E1E4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252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1795</xdr:row>
      <xdr:rowOff>0</xdr:rowOff>
    </xdr:from>
    <xdr:to>
      <xdr:col>13</xdr:col>
      <xdr:colOff>0</xdr:colOff>
      <xdr:row>1796</xdr:row>
      <xdr:rowOff>148590</xdr:rowOff>
    </xdr:to>
    <xdr:pic>
      <xdr:nvPicPr>
        <xdr:cNvPr id="2068" name="Imagen 2067" descr="Ver detalle">
          <a:hlinkClick xmlns:r="http://schemas.openxmlformats.org/officeDocument/2006/relationships" r:id="rId1986" tooltip="Ver detalle"/>
          <a:extLst>
            <a:ext uri="{FF2B5EF4-FFF2-40B4-BE49-F238E27FC236}">
              <a16:creationId xmlns:a16="http://schemas.microsoft.com/office/drawing/2014/main" id="{9E21528F-B766-6900-DCB7-6CC93B518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447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1797</xdr:row>
      <xdr:rowOff>0</xdr:rowOff>
    </xdr:from>
    <xdr:to>
      <xdr:col>13</xdr:col>
      <xdr:colOff>0</xdr:colOff>
      <xdr:row>1798</xdr:row>
      <xdr:rowOff>148590</xdr:rowOff>
    </xdr:to>
    <xdr:pic>
      <xdr:nvPicPr>
        <xdr:cNvPr id="2069" name="Imagen 2068" descr="Ver detalle">
          <a:hlinkClick xmlns:r="http://schemas.openxmlformats.org/officeDocument/2006/relationships" r:id="rId1987" tooltip="Ver detalle"/>
          <a:extLst>
            <a:ext uri="{FF2B5EF4-FFF2-40B4-BE49-F238E27FC236}">
              <a16:creationId xmlns:a16="http://schemas.microsoft.com/office/drawing/2014/main" id="{E76C339F-4028-F540-4634-74D24DBC1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6425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1769</xdr:row>
      <xdr:rowOff>0</xdr:rowOff>
    </xdr:from>
    <xdr:to>
      <xdr:col>13</xdr:col>
      <xdr:colOff>0</xdr:colOff>
      <xdr:row>1770</xdr:row>
      <xdr:rowOff>148590</xdr:rowOff>
    </xdr:to>
    <xdr:pic>
      <xdr:nvPicPr>
        <xdr:cNvPr id="2070" name="Imagen 2069" descr="Ver detalle">
          <a:hlinkClick xmlns:r="http://schemas.openxmlformats.org/officeDocument/2006/relationships" r:id="rId1988" tooltip="Ver detalle"/>
          <a:extLst>
            <a:ext uri="{FF2B5EF4-FFF2-40B4-BE49-F238E27FC236}">
              <a16:creationId xmlns:a16="http://schemas.microsoft.com/office/drawing/2014/main" id="{7B517D87-B990-DC68-9FC3-EE0E42F30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837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1782</xdr:row>
      <xdr:rowOff>0</xdr:rowOff>
    </xdr:from>
    <xdr:to>
      <xdr:col>13</xdr:col>
      <xdr:colOff>0</xdr:colOff>
      <xdr:row>1783</xdr:row>
      <xdr:rowOff>148590</xdr:rowOff>
    </xdr:to>
    <xdr:pic>
      <xdr:nvPicPr>
        <xdr:cNvPr id="2071" name="Imagen 2070" descr="Ver detalle">
          <a:hlinkClick xmlns:r="http://schemas.openxmlformats.org/officeDocument/2006/relationships" r:id="rId1989" tooltip="Ver detalle"/>
          <a:extLst>
            <a:ext uri="{FF2B5EF4-FFF2-40B4-BE49-F238E27FC236}">
              <a16:creationId xmlns:a16="http://schemas.microsoft.com/office/drawing/2014/main" id="{A23A4C83-E3AD-27AC-0CE0-EF3F21B3A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032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1771</xdr:row>
      <xdr:rowOff>0</xdr:rowOff>
    </xdr:from>
    <xdr:to>
      <xdr:col>13</xdr:col>
      <xdr:colOff>0</xdr:colOff>
      <xdr:row>1772</xdr:row>
      <xdr:rowOff>148590</xdr:rowOff>
    </xdr:to>
    <xdr:pic>
      <xdr:nvPicPr>
        <xdr:cNvPr id="2072" name="Imagen 2071" descr="Ver detalle">
          <a:hlinkClick xmlns:r="http://schemas.openxmlformats.org/officeDocument/2006/relationships" r:id="rId1990" tooltip="Ver detalle"/>
          <a:extLst>
            <a:ext uri="{FF2B5EF4-FFF2-40B4-BE49-F238E27FC236}">
              <a16:creationId xmlns:a16="http://schemas.microsoft.com/office/drawing/2014/main" id="{BD440023-FD48-1378-80FC-148FE68F9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2277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1788</xdr:row>
      <xdr:rowOff>0</xdr:rowOff>
    </xdr:from>
    <xdr:to>
      <xdr:col>13</xdr:col>
      <xdr:colOff>0</xdr:colOff>
      <xdr:row>1789</xdr:row>
      <xdr:rowOff>148590</xdr:rowOff>
    </xdr:to>
    <xdr:pic>
      <xdr:nvPicPr>
        <xdr:cNvPr id="2073" name="Imagen 2072" descr="Ver detalle">
          <a:hlinkClick xmlns:r="http://schemas.openxmlformats.org/officeDocument/2006/relationships" r:id="rId1991" tooltip="Ver detalle"/>
          <a:extLst>
            <a:ext uri="{FF2B5EF4-FFF2-40B4-BE49-F238E27FC236}">
              <a16:creationId xmlns:a16="http://schemas.microsoft.com/office/drawing/2014/main" id="{00BF88C4-4D3F-C954-0DF1-86E51C985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422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1774</xdr:row>
      <xdr:rowOff>0</xdr:rowOff>
    </xdr:from>
    <xdr:to>
      <xdr:col>13</xdr:col>
      <xdr:colOff>0</xdr:colOff>
      <xdr:row>1775</xdr:row>
      <xdr:rowOff>148590</xdr:rowOff>
    </xdr:to>
    <xdr:pic>
      <xdr:nvPicPr>
        <xdr:cNvPr id="2074" name="Imagen 2073" descr="Ver detalle">
          <a:hlinkClick xmlns:r="http://schemas.openxmlformats.org/officeDocument/2006/relationships" r:id="rId1992" tooltip="Ver detalle"/>
          <a:extLst>
            <a:ext uri="{FF2B5EF4-FFF2-40B4-BE49-F238E27FC236}">
              <a16:creationId xmlns:a16="http://schemas.microsoft.com/office/drawing/2014/main" id="{B0037ABA-6438-47AC-20ED-83B157993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6179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1773</xdr:row>
      <xdr:rowOff>0</xdr:rowOff>
    </xdr:from>
    <xdr:to>
      <xdr:col>13</xdr:col>
      <xdr:colOff>0</xdr:colOff>
      <xdr:row>1774</xdr:row>
      <xdr:rowOff>148590</xdr:rowOff>
    </xdr:to>
    <xdr:pic>
      <xdr:nvPicPr>
        <xdr:cNvPr id="2075" name="Imagen 2074" descr="Ver detalle">
          <a:hlinkClick xmlns:r="http://schemas.openxmlformats.org/officeDocument/2006/relationships" r:id="rId1993" tooltip="Ver detalle"/>
          <a:extLst>
            <a:ext uri="{FF2B5EF4-FFF2-40B4-BE49-F238E27FC236}">
              <a16:creationId xmlns:a16="http://schemas.microsoft.com/office/drawing/2014/main" id="{23E0312D-AE00-2A06-7CB8-2ED34367E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8129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1772</xdr:row>
      <xdr:rowOff>0</xdr:rowOff>
    </xdr:from>
    <xdr:to>
      <xdr:col>13</xdr:col>
      <xdr:colOff>0</xdr:colOff>
      <xdr:row>1773</xdr:row>
      <xdr:rowOff>148590</xdr:rowOff>
    </xdr:to>
    <xdr:pic>
      <xdr:nvPicPr>
        <xdr:cNvPr id="2076" name="Imagen 2075" descr="Ver detalle">
          <a:hlinkClick xmlns:r="http://schemas.openxmlformats.org/officeDocument/2006/relationships" r:id="rId1994" tooltip="Ver detalle"/>
          <a:extLst>
            <a:ext uri="{FF2B5EF4-FFF2-40B4-BE49-F238E27FC236}">
              <a16:creationId xmlns:a16="http://schemas.microsoft.com/office/drawing/2014/main" id="{B53D5D42-8761-4ECF-CC4A-8F26F6870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00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1787</xdr:row>
      <xdr:rowOff>0</xdr:rowOff>
    </xdr:from>
    <xdr:to>
      <xdr:col>13</xdr:col>
      <xdr:colOff>0</xdr:colOff>
      <xdr:row>1788</xdr:row>
      <xdr:rowOff>148590</xdr:rowOff>
    </xdr:to>
    <xdr:pic>
      <xdr:nvPicPr>
        <xdr:cNvPr id="2077" name="Imagen 2076" descr="Ver detalle">
          <a:hlinkClick xmlns:r="http://schemas.openxmlformats.org/officeDocument/2006/relationships" r:id="rId1995" tooltip="Ver detalle"/>
          <a:extLst>
            <a:ext uri="{FF2B5EF4-FFF2-40B4-BE49-F238E27FC236}">
              <a16:creationId xmlns:a16="http://schemas.microsoft.com/office/drawing/2014/main" id="{E1FC0067-E38D-D9E8-30A6-BCA1031D4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2031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1777</xdr:row>
      <xdr:rowOff>0</xdr:rowOff>
    </xdr:from>
    <xdr:to>
      <xdr:col>13</xdr:col>
      <xdr:colOff>0</xdr:colOff>
      <xdr:row>1778</xdr:row>
      <xdr:rowOff>148590</xdr:rowOff>
    </xdr:to>
    <xdr:pic>
      <xdr:nvPicPr>
        <xdr:cNvPr id="2078" name="Imagen 2077" descr="Ver detalle">
          <a:hlinkClick xmlns:r="http://schemas.openxmlformats.org/officeDocument/2006/relationships" r:id="rId1996" tooltip="Ver detalle"/>
          <a:extLst>
            <a:ext uri="{FF2B5EF4-FFF2-40B4-BE49-F238E27FC236}">
              <a16:creationId xmlns:a16="http://schemas.microsoft.com/office/drawing/2014/main" id="{F1FA2E6D-9729-79AA-D8BA-9A2378BED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3982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1776</xdr:row>
      <xdr:rowOff>0</xdr:rowOff>
    </xdr:from>
    <xdr:to>
      <xdr:col>13</xdr:col>
      <xdr:colOff>0</xdr:colOff>
      <xdr:row>1777</xdr:row>
      <xdr:rowOff>148590</xdr:rowOff>
    </xdr:to>
    <xdr:pic>
      <xdr:nvPicPr>
        <xdr:cNvPr id="2079" name="Imagen 2078" descr="Ver detalle">
          <a:hlinkClick xmlns:r="http://schemas.openxmlformats.org/officeDocument/2006/relationships" r:id="rId1997" tooltip="Ver detalle"/>
          <a:extLst>
            <a:ext uri="{FF2B5EF4-FFF2-40B4-BE49-F238E27FC236}">
              <a16:creationId xmlns:a16="http://schemas.microsoft.com/office/drawing/2014/main" id="{C7D9CEF1-06B9-A4F6-436F-A18C7278CC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5932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1775</xdr:row>
      <xdr:rowOff>0</xdr:rowOff>
    </xdr:from>
    <xdr:to>
      <xdr:col>13</xdr:col>
      <xdr:colOff>0</xdr:colOff>
      <xdr:row>1776</xdr:row>
      <xdr:rowOff>148590</xdr:rowOff>
    </xdr:to>
    <xdr:pic>
      <xdr:nvPicPr>
        <xdr:cNvPr id="2080" name="Imagen 2079" descr="Ver detalle">
          <a:hlinkClick xmlns:r="http://schemas.openxmlformats.org/officeDocument/2006/relationships" r:id="rId1998" tooltip="Ver detalle"/>
          <a:extLst>
            <a:ext uri="{FF2B5EF4-FFF2-40B4-BE49-F238E27FC236}">
              <a16:creationId xmlns:a16="http://schemas.microsoft.com/office/drawing/2014/main" id="{75F46226-6E94-3BAF-F244-3DCF008C2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7883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1792</xdr:row>
      <xdr:rowOff>0</xdr:rowOff>
    </xdr:from>
    <xdr:to>
      <xdr:col>13</xdr:col>
      <xdr:colOff>0</xdr:colOff>
      <xdr:row>1793</xdr:row>
      <xdr:rowOff>148590</xdr:rowOff>
    </xdr:to>
    <xdr:pic>
      <xdr:nvPicPr>
        <xdr:cNvPr id="2081" name="Imagen 2080" descr="Ver detalle">
          <a:hlinkClick xmlns:r="http://schemas.openxmlformats.org/officeDocument/2006/relationships" r:id="rId1999" tooltip="Ver detalle"/>
          <a:extLst>
            <a:ext uri="{FF2B5EF4-FFF2-40B4-BE49-F238E27FC236}">
              <a16:creationId xmlns:a16="http://schemas.microsoft.com/office/drawing/2014/main" id="{4826337D-7001-1B6C-782D-2520D637A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983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1791</xdr:row>
      <xdr:rowOff>0</xdr:rowOff>
    </xdr:from>
    <xdr:to>
      <xdr:col>13</xdr:col>
      <xdr:colOff>0</xdr:colOff>
      <xdr:row>1792</xdr:row>
      <xdr:rowOff>148590</xdr:rowOff>
    </xdr:to>
    <xdr:pic>
      <xdr:nvPicPr>
        <xdr:cNvPr id="2082" name="Imagen 2081" descr="Ver detalle">
          <a:hlinkClick xmlns:r="http://schemas.openxmlformats.org/officeDocument/2006/relationships" r:id="rId2000" tooltip="Ver detalle"/>
          <a:extLst>
            <a:ext uri="{FF2B5EF4-FFF2-40B4-BE49-F238E27FC236}">
              <a16:creationId xmlns:a16="http://schemas.microsoft.com/office/drawing/2014/main" id="{28A9BF60-54FE-E4E3-0C6D-78346DD98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1784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1790</xdr:row>
      <xdr:rowOff>0</xdr:rowOff>
    </xdr:from>
    <xdr:to>
      <xdr:col>13</xdr:col>
      <xdr:colOff>0</xdr:colOff>
      <xdr:row>1791</xdr:row>
      <xdr:rowOff>148590</xdr:rowOff>
    </xdr:to>
    <xdr:pic>
      <xdr:nvPicPr>
        <xdr:cNvPr id="2083" name="Imagen 2082" descr="Ver detalle">
          <a:hlinkClick xmlns:r="http://schemas.openxmlformats.org/officeDocument/2006/relationships" r:id="rId2001" tooltip="Ver detalle"/>
          <a:extLst>
            <a:ext uri="{FF2B5EF4-FFF2-40B4-BE49-F238E27FC236}">
              <a16:creationId xmlns:a16="http://schemas.microsoft.com/office/drawing/2014/main" id="{C8153CED-7EAD-8005-4695-1C2FAA363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3735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1779</xdr:row>
      <xdr:rowOff>0</xdr:rowOff>
    </xdr:from>
    <xdr:to>
      <xdr:col>13</xdr:col>
      <xdr:colOff>0</xdr:colOff>
      <xdr:row>1780</xdr:row>
      <xdr:rowOff>148590</xdr:rowOff>
    </xdr:to>
    <xdr:pic>
      <xdr:nvPicPr>
        <xdr:cNvPr id="2084" name="Imagen 2083" descr="Ver detalle">
          <a:hlinkClick xmlns:r="http://schemas.openxmlformats.org/officeDocument/2006/relationships" r:id="rId2002" tooltip="Ver detalle"/>
          <a:extLst>
            <a:ext uri="{FF2B5EF4-FFF2-40B4-BE49-F238E27FC236}">
              <a16:creationId xmlns:a16="http://schemas.microsoft.com/office/drawing/2014/main" id="{5EB8B95F-4BD6-A1CE-510E-3E6D953FA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5686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1793</xdr:row>
      <xdr:rowOff>0</xdr:rowOff>
    </xdr:from>
    <xdr:to>
      <xdr:col>13</xdr:col>
      <xdr:colOff>0</xdr:colOff>
      <xdr:row>1794</xdr:row>
      <xdr:rowOff>148590</xdr:rowOff>
    </xdr:to>
    <xdr:pic>
      <xdr:nvPicPr>
        <xdr:cNvPr id="2085" name="Imagen 2084" descr="Ver detalle">
          <a:hlinkClick xmlns:r="http://schemas.openxmlformats.org/officeDocument/2006/relationships" r:id="rId2003" tooltip="Ver detalle"/>
          <a:extLst>
            <a:ext uri="{FF2B5EF4-FFF2-40B4-BE49-F238E27FC236}">
              <a16:creationId xmlns:a16="http://schemas.microsoft.com/office/drawing/2014/main" id="{5F70D640-1C84-8D31-6E69-3E94A5820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829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1778</xdr:row>
      <xdr:rowOff>0</xdr:rowOff>
    </xdr:from>
    <xdr:to>
      <xdr:col>13</xdr:col>
      <xdr:colOff>0</xdr:colOff>
      <xdr:row>1779</xdr:row>
      <xdr:rowOff>148590</xdr:rowOff>
    </xdr:to>
    <xdr:pic>
      <xdr:nvPicPr>
        <xdr:cNvPr id="2086" name="Imagen 2085" descr="Ver detalle">
          <a:hlinkClick xmlns:r="http://schemas.openxmlformats.org/officeDocument/2006/relationships" r:id="rId2004" tooltip="Ver detalle"/>
          <a:extLst>
            <a:ext uri="{FF2B5EF4-FFF2-40B4-BE49-F238E27FC236}">
              <a16:creationId xmlns:a16="http://schemas.microsoft.com/office/drawing/2014/main" id="{82ED2B40-002F-CDB2-84E1-FB7DD2C90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959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1730</xdr:row>
      <xdr:rowOff>0</xdr:rowOff>
    </xdr:from>
    <xdr:to>
      <xdr:col>13</xdr:col>
      <xdr:colOff>0</xdr:colOff>
      <xdr:row>1731</xdr:row>
      <xdr:rowOff>148590</xdr:rowOff>
    </xdr:to>
    <xdr:pic>
      <xdr:nvPicPr>
        <xdr:cNvPr id="2087" name="Imagen 2086" descr="Ver detalle">
          <a:hlinkClick xmlns:r="http://schemas.openxmlformats.org/officeDocument/2006/relationships" r:id="rId2005" tooltip="Ver detalle"/>
          <a:extLst>
            <a:ext uri="{FF2B5EF4-FFF2-40B4-BE49-F238E27FC236}">
              <a16:creationId xmlns:a16="http://schemas.microsoft.com/office/drawing/2014/main" id="{E040C96C-E6AD-2A93-8F73-AA42B26C0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089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1726</xdr:row>
      <xdr:rowOff>0</xdr:rowOff>
    </xdr:from>
    <xdr:to>
      <xdr:col>13</xdr:col>
      <xdr:colOff>0</xdr:colOff>
      <xdr:row>1727</xdr:row>
      <xdr:rowOff>148590</xdr:rowOff>
    </xdr:to>
    <xdr:pic>
      <xdr:nvPicPr>
        <xdr:cNvPr id="2088" name="Imagen 2087" descr="Ver detalle">
          <a:hlinkClick xmlns:r="http://schemas.openxmlformats.org/officeDocument/2006/relationships" r:id="rId2006" tooltip="Ver detalle"/>
          <a:extLst>
            <a:ext uri="{FF2B5EF4-FFF2-40B4-BE49-F238E27FC236}">
              <a16:creationId xmlns:a16="http://schemas.microsoft.com/office/drawing/2014/main" id="{79F8552A-0B6B-79C2-2207-28C90CF74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181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1731</xdr:row>
      <xdr:rowOff>0</xdr:rowOff>
    </xdr:from>
    <xdr:to>
      <xdr:col>13</xdr:col>
      <xdr:colOff>0</xdr:colOff>
      <xdr:row>1732</xdr:row>
      <xdr:rowOff>114300</xdr:rowOff>
    </xdr:to>
    <xdr:pic>
      <xdr:nvPicPr>
        <xdr:cNvPr id="2089" name="Imagen 2088" descr="Ver detalle">
          <a:hlinkClick xmlns:r="http://schemas.openxmlformats.org/officeDocument/2006/relationships" r:id="rId2007" tooltip="Ver detalle"/>
          <a:extLst>
            <a:ext uri="{FF2B5EF4-FFF2-40B4-BE49-F238E27FC236}">
              <a16:creationId xmlns:a16="http://schemas.microsoft.com/office/drawing/2014/main" id="{A2F869CF-60D6-6D9A-6826-62A2A11E8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3763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1725</xdr:row>
      <xdr:rowOff>0</xdr:rowOff>
    </xdr:from>
    <xdr:to>
      <xdr:col>13</xdr:col>
      <xdr:colOff>0</xdr:colOff>
      <xdr:row>1726</xdr:row>
      <xdr:rowOff>148590</xdr:rowOff>
    </xdr:to>
    <xdr:pic>
      <xdr:nvPicPr>
        <xdr:cNvPr id="2090" name="Imagen 2089" descr="Ver detalle">
          <a:hlinkClick xmlns:r="http://schemas.openxmlformats.org/officeDocument/2006/relationships" r:id="rId2008" tooltip="Ver detalle"/>
          <a:extLst>
            <a:ext uri="{FF2B5EF4-FFF2-40B4-BE49-F238E27FC236}">
              <a16:creationId xmlns:a16="http://schemas.microsoft.com/office/drawing/2014/main" id="{AA8420BF-2421-D186-930C-13108100C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4677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1729</xdr:row>
      <xdr:rowOff>0</xdr:rowOff>
    </xdr:from>
    <xdr:to>
      <xdr:col>13</xdr:col>
      <xdr:colOff>0</xdr:colOff>
      <xdr:row>1730</xdr:row>
      <xdr:rowOff>148590</xdr:rowOff>
    </xdr:to>
    <xdr:pic>
      <xdr:nvPicPr>
        <xdr:cNvPr id="2091" name="Imagen 2090" descr="Ver detalle">
          <a:hlinkClick xmlns:r="http://schemas.openxmlformats.org/officeDocument/2006/relationships" r:id="rId2009" tooltip="Ver detalle"/>
          <a:extLst>
            <a:ext uri="{FF2B5EF4-FFF2-40B4-BE49-F238E27FC236}">
              <a16:creationId xmlns:a16="http://schemas.microsoft.com/office/drawing/2014/main" id="{A8A2FED3-F7AF-4CEC-B1E9-F535EF2A3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6628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1724</xdr:row>
      <xdr:rowOff>0</xdr:rowOff>
    </xdr:from>
    <xdr:to>
      <xdr:col>13</xdr:col>
      <xdr:colOff>0</xdr:colOff>
      <xdr:row>1725</xdr:row>
      <xdr:rowOff>148590</xdr:rowOff>
    </xdr:to>
    <xdr:pic>
      <xdr:nvPicPr>
        <xdr:cNvPr id="2092" name="Imagen 2091" descr="Ver detalle">
          <a:hlinkClick xmlns:r="http://schemas.openxmlformats.org/officeDocument/2006/relationships" r:id="rId2010" tooltip="Ver detalle"/>
          <a:extLst>
            <a:ext uri="{FF2B5EF4-FFF2-40B4-BE49-F238E27FC236}">
              <a16:creationId xmlns:a16="http://schemas.microsoft.com/office/drawing/2014/main" id="{520D3270-0385-172C-4085-3A8A4221E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857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1766</xdr:row>
      <xdr:rowOff>0</xdr:rowOff>
    </xdr:from>
    <xdr:to>
      <xdr:col>13</xdr:col>
      <xdr:colOff>0</xdr:colOff>
      <xdr:row>1767</xdr:row>
      <xdr:rowOff>148590</xdr:rowOff>
    </xdr:to>
    <xdr:pic>
      <xdr:nvPicPr>
        <xdr:cNvPr id="2093" name="Imagen 2092" descr="Ver detalle">
          <a:hlinkClick xmlns:r="http://schemas.openxmlformats.org/officeDocument/2006/relationships" r:id="rId2011" tooltip="Ver detalle"/>
          <a:extLst>
            <a:ext uri="{FF2B5EF4-FFF2-40B4-BE49-F238E27FC236}">
              <a16:creationId xmlns:a16="http://schemas.microsoft.com/office/drawing/2014/main" id="{DEE38649-DC1E-E567-008E-EF63BD7F4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053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1765</xdr:row>
      <xdr:rowOff>0</xdr:rowOff>
    </xdr:from>
    <xdr:to>
      <xdr:col>13</xdr:col>
      <xdr:colOff>0</xdr:colOff>
      <xdr:row>1766</xdr:row>
      <xdr:rowOff>148590</xdr:rowOff>
    </xdr:to>
    <xdr:pic>
      <xdr:nvPicPr>
        <xdr:cNvPr id="2094" name="Imagen 2093" descr="Ver detalle">
          <a:hlinkClick xmlns:r="http://schemas.openxmlformats.org/officeDocument/2006/relationships" r:id="rId2012" tooltip="Ver detalle"/>
          <a:extLst>
            <a:ext uri="{FF2B5EF4-FFF2-40B4-BE49-F238E27FC236}">
              <a16:creationId xmlns:a16="http://schemas.microsoft.com/office/drawing/2014/main" id="{BE6FB527-C0EE-670E-C35A-C2CF28024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183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1764</xdr:row>
      <xdr:rowOff>0</xdr:rowOff>
    </xdr:from>
    <xdr:to>
      <xdr:col>13</xdr:col>
      <xdr:colOff>0</xdr:colOff>
      <xdr:row>1765</xdr:row>
      <xdr:rowOff>148590</xdr:rowOff>
    </xdr:to>
    <xdr:pic>
      <xdr:nvPicPr>
        <xdr:cNvPr id="2095" name="Imagen 2094" descr="Ver detalle">
          <a:hlinkClick xmlns:r="http://schemas.openxmlformats.org/officeDocument/2006/relationships" r:id="rId2013" tooltip="Ver detalle"/>
          <a:extLst>
            <a:ext uri="{FF2B5EF4-FFF2-40B4-BE49-F238E27FC236}">
              <a16:creationId xmlns:a16="http://schemas.microsoft.com/office/drawing/2014/main" id="{1CC4E5C7-3C9A-D131-6B2C-B382797B0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313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1786</xdr:row>
      <xdr:rowOff>0</xdr:rowOff>
    </xdr:from>
    <xdr:to>
      <xdr:col>13</xdr:col>
      <xdr:colOff>0</xdr:colOff>
      <xdr:row>1787</xdr:row>
      <xdr:rowOff>148590</xdr:rowOff>
    </xdr:to>
    <xdr:pic>
      <xdr:nvPicPr>
        <xdr:cNvPr id="2096" name="Imagen 2095" descr="Ver detalle">
          <a:hlinkClick xmlns:r="http://schemas.openxmlformats.org/officeDocument/2006/relationships" r:id="rId2014" tooltip="Ver detalle"/>
          <a:extLst>
            <a:ext uri="{FF2B5EF4-FFF2-40B4-BE49-F238E27FC236}">
              <a16:creationId xmlns:a16="http://schemas.microsoft.com/office/drawing/2014/main" id="{B7E359F7-DB8D-17D2-7C2A-53FB75616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508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1763</xdr:row>
      <xdr:rowOff>0</xdr:rowOff>
    </xdr:from>
    <xdr:to>
      <xdr:col>13</xdr:col>
      <xdr:colOff>0</xdr:colOff>
      <xdr:row>1764</xdr:row>
      <xdr:rowOff>148590</xdr:rowOff>
    </xdr:to>
    <xdr:pic>
      <xdr:nvPicPr>
        <xdr:cNvPr id="2097" name="Imagen 2096" descr="Ver detalle">
          <a:hlinkClick xmlns:r="http://schemas.openxmlformats.org/officeDocument/2006/relationships" r:id="rId2015" tooltip="Ver detalle"/>
          <a:extLst>
            <a:ext uri="{FF2B5EF4-FFF2-40B4-BE49-F238E27FC236}">
              <a16:creationId xmlns:a16="http://schemas.microsoft.com/office/drawing/2014/main" id="{2A030455-D2F3-928C-53E1-76DB2669B2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703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1768</xdr:row>
      <xdr:rowOff>0</xdr:rowOff>
    </xdr:from>
    <xdr:to>
      <xdr:col>13</xdr:col>
      <xdr:colOff>0</xdr:colOff>
      <xdr:row>1769</xdr:row>
      <xdr:rowOff>148590</xdr:rowOff>
    </xdr:to>
    <xdr:pic>
      <xdr:nvPicPr>
        <xdr:cNvPr id="2098" name="Imagen 2097" descr="Ver detalle">
          <a:hlinkClick xmlns:r="http://schemas.openxmlformats.org/officeDocument/2006/relationships" r:id="rId2016" tooltip="Ver detalle"/>
          <a:extLst>
            <a:ext uri="{FF2B5EF4-FFF2-40B4-BE49-F238E27FC236}">
              <a16:creationId xmlns:a16="http://schemas.microsoft.com/office/drawing/2014/main" id="{7ED15E10-3F4F-5598-B4D6-421B4024A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898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1767</xdr:row>
      <xdr:rowOff>0</xdr:rowOff>
    </xdr:from>
    <xdr:to>
      <xdr:col>13</xdr:col>
      <xdr:colOff>0</xdr:colOff>
      <xdr:row>1768</xdr:row>
      <xdr:rowOff>148590</xdr:rowOff>
    </xdr:to>
    <xdr:pic>
      <xdr:nvPicPr>
        <xdr:cNvPr id="2099" name="Imagen 2098" descr="Ver detalle">
          <a:hlinkClick xmlns:r="http://schemas.openxmlformats.org/officeDocument/2006/relationships" r:id="rId2017" tooltip="Ver detalle"/>
          <a:extLst>
            <a:ext uri="{FF2B5EF4-FFF2-40B4-BE49-F238E27FC236}">
              <a16:creationId xmlns:a16="http://schemas.microsoft.com/office/drawing/2014/main" id="{3696E087-F834-D20A-6DCE-4511892E8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093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1759</xdr:row>
      <xdr:rowOff>0</xdr:rowOff>
    </xdr:from>
    <xdr:to>
      <xdr:col>13</xdr:col>
      <xdr:colOff>0</xdr:colOff>
      <xdr:row>1760</xdr:row>
      <xdr:rowOff>148590</xdr:rowOff>
    </xdr:to>
    <xdr:pic>
      <xdr:nvPicPr>
        <xdr:cNvPr id="2100" name="Imagen 2099" descr="Ver detalle">
          <a:hlinkClick xmlns:r="http://schemas.openxmlformats.org/officeDocument/2006/relationships" r:id="rId2018" tooltip="Ver detalle"/>
          <a:extLst>
            <a:ext uri="{FF2B5EF4-FFF2-40B4-BE49-F238E27FC236}">
              <a16:creationId xmlns:a16="http://schemas.microsoft.com/office/drawing/2014/main" id="{DB84752B-2450-1E53-1294-EF42DF735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2889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1781</xdr:row>
      <xdr:rowOff>0</xdr:rowOff>
    </xdr:from>
    <xdr:to>
      <xdr:col>13</xdr:col>
      <xdr:colOff>0</xdr:colOff>
      <xdr:row>1782</xdr:row>
      <xdr:rowOff>148590</xdr:rowOff>
    </xdr:to>
    <xdr:pic>
      <xdr:nvPicPr>
        <xdr:cNvPr id="2101" name="Imagen 2100" descr="Ver detalle">
          <a:hlinkClick xmlns:r="http://schemas.openxmlformats.org/officeDocument/2006/relationships" r:id="rId2019" tooltip="Ver detalle"/>
          <a:extLst>
            <a:ext uri="{FF2B5EF4-FFF2-40B4-BE49-F238E27FC236}">
              <a16:creationId xmlns:a16="http://schemas.microsoft.com/office/drawing/2014/main" id="{EAE07A86-44C3-48E7-B4EE-AEC40F515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484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1780</xdr:row>
      <xdr:rowOff>0</xdr:rowOff>
    </xdr:from>
    <xdr:to>
      <xdr:col>13</xdr:col>
      <xdr:colOff>0</xdr:colOff>
      <xdr:row>1781</xdr:row>
      <xdr:rowOff>148590</xdr:rowOff>
    </xdr:to>
    <xdr:pic>
      <xdr:nvPicPr>
        <xdr:cNvPr id="2102" name="Imagen 2101" descr="Ver detalle">
          <a:hlinkClick xmlns:r="http://schemas.openxmlformats.org/officeDocument/2006/relationships" r:id="rId2020" tooltip="Ver detalle"/>
          <a:extLst>
            <a:ext uri="{FF2B5EF4-FFF2-40B4-BE49-F238E27FC236}">
              <a16:creationId xmlns:a16="http://schemas.microsoft.com/office/drawing/2014/main" id="{B6A2C142-E44B-BC4E-9CC2-1CFD86113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679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1762</xdr:row>
      <xdr:rowOff>0</xdr:rowOff>
    </xdr:from>
    <xdr:to>
      <xdr:col>13</xdr:col>
      <xdr:colOff>0</xdr:colOff>
      <xdr:row>1763</xdr:row>
      <xdr:rowOff>148590</xdr:rowOff>
    </xdr:to>
    <xdr:pic>
      <xdr:nvPicPr>
        <xdr:cNvPr id="2103" name="Imagen 2102" descr="Ver detalle">
          <a:hlinkClick xmlns:r="http://schemas.openxmlformats.org/officeDocument/2006/relationships" r:id="rId2021" tooltip="Ver detalle"/>
          <a:extLst>
            <a:ext uri="{FF2B5EF4-FFF2-40B4-BE49-F238E27FC236}">
              <a16:creationId xmlns:a16="http://schemas.microsoft.com/office/drawing/2014/main" id="{86A2B37D-759E-1605-84D5-C05E3025C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8741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1761</xdr:row>
      <xdr:rowOff>0</xdr:rowOff>
    </xdr:from>
    <xdr:to>
      <xdr:col>13</xdr:col>
      <xdr:colOff>0</xdr:colOff>
      <xdr:row>1762</xdr:row>
      <xdr:rowOff>148590</xdr:rowOff>
    </xdr:to>
    <xdr:pic>
      <xdr:nvPicPr>
        <xdr:cNvPr id="2104" name="Imagen 2103" descr="Ver detalle">
          <a:hlinkClick xmlns:r="http://schemas.openxmlformats.org/officeDocument/2006/relationships" r:id="rId2022" tooltip="Ver detalle"/>
          <a:extLst>
            <a:ext uri="{FF2B5EF4-FFF2-40B4-BE49-F238E27FC236}">
              <a16:creationId xmlns:a16="http://schemas.microsoft.com/office/drawing/2014/main" id="{82FBD77A-81AD-9F80-BF30-2967F8E4E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0692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1760</xdr:row>
      <xdr:rowOff>0</xdr:rowOff>
    </xdr:from>
    <xdr:to>
      <xdr:col>13</xdr:col>
      <xdr:colOff>0</xdr:colOff>
      <xdr:row>1761</xdr:row>
      <xdr:rowOff>148590</xdr:rowOff>
    </xdr:to>
    <xdr:pic>
      <xdr:nvPicPr>
        <xdr:cNvPr id="2105" name="Imagen 2104" descr="Ver detalle">
          <a:hlinkClick xmlns:r="http://schemas.openxmlformats.org/officeDocument/2006/relationships" r:id="rId2023" tooltip="Ver detalle"/>
          <a:extLst>
            <a:ext uri="{FF2B5EF4-FFF2-40B4-BE49-F238E27FC236}">
              <a16:creationId xmlns:a16="http://schemas.microsoft.com/office/drawing/2014/main" id="{140B2182-D9DA-3A1E-1295-EFD311C06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264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1758</xdr:row>
      <xdr:rowOff>0</xdr:rowOff>
    </xdr:from>
    <xdr:to>
      <xdr:col>13</xdr:col>
      <xdr:colOff>0</xdr:colOff>
      <xdr:row>1759</xdr:row>
      <xdr:rowOff>148590</xdr:rowOff>
    </xdr:to>
    <xdr:pic>
      <xdr:nvPicPr>
        <xdr:cNvPr id="2106" name="Imagen 2105" descr="Ver detalle">
          <a:hlinkClick xmlns:r="http://schemas.openxmlformats.org/officeDocument/2006/relationships" r:id="rId2024" tooltip="Ver detalle"/>
          <a:extLst>
            <a:ext uri="{FF2B5EF4-FFF2-40B4-BE49-F238E27FC236}">
              <a16:creationId xmlns:a16="http://schemas.microsoft.com/office/drawing/2014/main" id="{24FC4D96-E6EB-5BD0-C50A-310C12D67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4594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1728</xdr:row>
      <xdr:rowOff>0</xdr:rowOff>
    </xdr:from>
    <xdr:to>
      <xdr:col>13</xdr:col>
      <xdr:colOff>0</xdr:colOff>
      <xdr:row>1729</xdr:row>
      <xdr:rowOff>148590</xdr:rowOff>
    </xdr:to>
    <xdr:pic>
      <xdr:nvPicPr>
        <xdr:cNvPr id="2107" name="Imagen 2106" descr="Ver detalle">
          <a:hlinkClick xmlns:r="http://schemas.openxmlformats.org/officeDocument/2006/relationships" r:id="rId2025" tooltip="Ver detalle"/>
          <a:extLst>
            <a:ext uri="{FF2B5EF4-FFF2-40B4-BE49-F238E27FC236}">
              <a16:creationId xmlns:a16="http://schemas.microsoft.com/office/drawing/2014/main" id="{ECF2F1B4-BC92-BC40-A2C3-18A4BCCBB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65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1798</xdr:row>
      <xdr:rowOff>0</xdr:rowOff>
    </xdr:from>
    <xdr:to>
      <xdr:col>13</xdr:col>
      <xdr:colOff>0</xdr:colOff>
      <xdr:row>1799</xdr:row>
      <xdr:rowOff>148590</xdr:rowOff>
    </xdr:to>
    <xdr:pic>
      <xdr:nvPicPr>
        <xdr:cNvPr id="2108" name="Imagen 2107" descr="Ver detalle">
          <a:hlinkClick xmlns:r="http://schemas.openxmlformats.org/officeDocument/2006/relationships" r:id="rId2026" tooltip="Ver detalle"/>
          <a:extLst>
            <a:ext uri="{FF2B5EF4-FFF2-40B4-BE49-F238E27FC236}">
              <a16:creationId xmlns:a16="http://schemas.microsoft.com/office/drawing/2014/main" id="{3A3AFAF7-6859-571C-0466-A49116184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849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1757</xdr:row>
      <xdr:rowOff>0</xdr:rowOff>
    </xdr:from>
    <xdr:to>
      <xdr:col>13</xdr:col>
      <xdr:colOff>0</xdr:colOff>
      <xdr:row>1758</xdr:row>
      <xdr:rowOff>148590</xdr:rowOff>
    </xdr:to>
    <xdr:pic>
      <xdr:nvPicPr>
        <xdr:cNvPr id="2109" name="Imagen 2108" descr="Ver detalle">
          <a:hlinkClick xmlns:r="http://schemas.openxmlformats.org/officeDocument/2006/relationships" r:id="rId2027" tooltip="Ver detalle"/>
          <a:extLst>
            <a:ext uri="{FF2B5EF4-FFF2-40B4-BE49-F238E27FC236}">
              <a16:creationId xmlns:a16="http://schemas.microsoft.com/office/drawing/2014/main" id="{9C76F468-EC19-526A-8C93-4982AF6F1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239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1756</xdr:row>
      <xdr:rowOff>0</xdr:rowOff>
    </xdr:from>
    <xdr:to>
      <xdr:col>13</xdr:col>
      <xdr:colOff>0</xdr:colOff>
      <xdr:row>1757</xdr:row>
      <xdr:rowOff>148590</xdr:rowOff>
    </xdr:to>
    <xdr:pic>
      <xdr:nvPicPr>
        <xdr:cNvPr id="2110" name="Imagen 2109" descr="Ver detalle">
          <a:hlinkClick xmlns:r="http://schemas.openxmlformats.org/officeDocument/2006/relationships" r:id="rId2028" tooltip="Ver detalle"/>
          <a:extLst>
            <a:ext uri="{FF2B5EF4-FFF2-40B4-BE49-F238E27FC236}">
              <a16:creationId xmlns:a16="http://schemas.microsoft.com/office/drawing/2014/main" id="{A5318834-306E-739F-6725-83A185F7C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434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1718</xdr:row>
      <xdr:rowOff>0</xdr:rowOff>
    </xdr:from>
    <xdr:to>
      <xdr:col>13</xdr:col>
      <xdr:colOff>0</xdr:colOff>
      <xdr:row>1719</xdr:row>
      <xdr:rowOff>148590</xdr:rowOff>
    </xdr:to>
    <xdr:pic>
      <xdr:nvPicPr>
        <xdr:cNvPr id="2111" name="Imagen 2110" descr="Ver detalle">
          <a:hlinkClick xmlns:r="http://schemas.openxmlformats.org/officeDocument/2006/relationships" r:id="rId2029" tooltip="Ver detalle"/>
          <a:extLst>
            <a:ext uri="{FF2B5EF4-FFF2-40B4-BE49-F238E27FC236}">
              <a16:creationId xmlns:a16="http://schemas.microsoft.com/office/drawing/2014/main" id="{0B9A25E5-0010-5A94-13C2-89D977BCD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629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1723</xdr:row>
      <xdr:rowOff>0</xdr:rowOff>
    </xdr:from>
    <xdr:to>
      <xdr:col>13</xdr:col>
      <xdr:colOff>0</xdr:colOff>
      <xdr:row>1724</xdr:row>
      <xdr:rowOff>148590</xdr:rowOff>
    </xdr:to>
    <xdr:pic>
      <xdr:nvPicPr>
        <xdr:cNvPr id="2112" name="Imagen 2111" descr="Ver detalle">
          <a:hlinkClick xmlns:r="http://schemas.openxmlformats.org/officeDocument/2006/relationships" r:id="rId2030" tooltip="Ver detalle"/>
          <a:extLst>
            <a:ext uri="{FF2B5EF4-FFF2-40B4-BE49-F238E27FC236}">
              <a16:creationId xmlns:a16="http://schemas.microsoft.com/office/drawing/2014/main" id="{0BF880CA-B94F-FF22-0DE0-8AC46EADA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721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1719</xdr:row>
      <xdr:rowOff>0</xdr:rowOff>
    </xdr:from>
    <xdr:to>
      <xdr:col>13</xdr:col>
      <xdr:colOff>0</xdr:colOff>
      <xdr:row>1720</xdr:row>
      <xdr:rowOff>148590</xdr:rowOff>
    </xdr:to>
    <xdr:pic>
      <xdr:nvPicPr>
        <xdr:cNvPr id="2113" name="Imagen 2112" descr="Ver detalle">
          <a:hlinkClick xmlns:r="http://schemas.openxmlformats.org/officeDocument/2006/relationships" r:id="rId2031" tooltip="Ver detalle"/>
          <a:extLst>
            <a:ext uri="{FF2B5EF4-FFF2-40B4-BE49-F238E27FC236}">
              <a16:creationId xmlns:a16="http://schemas.microsoft.com/office/drawing/2014/main" id="{6DF6AC13-E54C-8868-2C96-EA47EFF3C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9163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1720</xdr:row>
      <xdr:rowOff>0</xdr:rowOff>
    </xdr:from>
    <xdr:to>
      <xdr:col>13</xdr:col>
      <xdr:colOff>0</xdr:colOff>
      <xdr:row>1721</xdr:row>
      <xdr:rowOff>148590</xdr:rowOff>
    </xdr:to>
    <xdr:pic>
      <xdr:nvPicPr>
        <xdr:cNvPr id="2114" name="Imagen 2113" descr="Ver detalle">
          <a:hlinkClick xmlns:r="http://schemas.openxmlformats.org/officeDocument/2006/relationships" r:id="rId2032" tooltip="Ver detalle"/>
          <a:extLst>
            <a:ext uri="{FF2B5EF4-FFF2-40B4-BE49-F238E27FC236}">
              <a16:creationId xmlns:a16="http://schemas.microsoft.com/office/drawing/2014/main" id="{E9D903B0-CDC7-B392-F36F-6F55E606D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1114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1755</xdr:row>
      <xdr:rowOff>0</xdr:rowOff>
    </xdr:from>
    <xdr:to>
      <xdr:col>13</xdr:col>
      <xdr:colOff>0</xdr:colOff>
      <xdr:row>1756</xdr:row>
      <xdr:rowOff>148590</xdr:rowOff>
    </xdr:to>
    <xdr:pic>
      <xdr:nvPicPr>
        <xdr:cNvPr id="2115" name="Imagen 2114" descr="Ver detalle">
          <a:hlinkClick xmlns:r="http://schemas.openxmlformats.org/officeDocument/2006/relationships" r:id="rId2033" tooltip="Ver detalle"/>
          <a:extLst>
            <a:ext uri="{FF2B5EF4-FFF2-40B4-BE49-F238E27FC236}">
              <a16:creationId xmlns:a16="http://schemas.microsoft.com/office/drawing/2014/main" id="{B205BC6D-9244-95A0-ADD5-32B97ECBE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3064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1754</xdr:row>
      <xdr:rowOff>0</xdr:rowOff>
    </xdr:from>
    <xdr:to>
      <xdr:col>13</xdr:col>
      <xdr:colOff>0</xdr:colOff>
      <xdr:row>1755</xdr:row>
      <xdr:rowOff>148590</xdr:rowOff>
    </xdr:to>
    <xdr:pic>
      <xdr:nvPicPr>
        <xdr:cNvPr id="2116" name="Imagen 2115" descr="Ver detalle">
          <a:hlinkClick xmlns:r="http://schemas.openxmlformats.org/officeDocument/2006/relationships" r:id="rId2034" tooltip="Ver detalle"/>
          <a:extLst>
            <a:ext uri="{FF2B5EF4-FFF2-40B4-BE49-F238E27FC236}">
              <a16:creationId xmlns:a16="http://schemas.microsoft.com/office/drawing/2014/main" id="{28E4A353-8E84-370C-3CCD-CBB47EBAC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501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1715</xdr:row>
      <xdr:rowOff>0</xdr:rowOff>
    </xdr:from>
    <xdr:to>
      <xdr:col>13</xdr:col>
      <xdr:colOff>0</xdr:colOff>
      <xdr:row>1716</xdr:row>
      <xdr:rowOff>148590</xdr:rowOff>
    </xdr:to>
    <xdr:pic>
      <xdr:nvPicPr>
        <xdr:cNvPr id="2117" name="Imagen 2116" descr="Ver detalle">
          <a:hlinkClick xmlns:r="http://schemas.openxmlformats.org/officeDocument/2006/relationships" r:id="rId2035" tooltip="Ver detalle"/>
          <a:extLst>
            <a:ext uri="{FF2B5EF4-FFF2-40B4-BE49-F238E27FC236}">
              <a16:creationId xmlns:a16="http://schemas.microsoft.com/office/drawing/2014/main" id="{567479F2-CC2B-7DE4-CDF9-6591F5AB1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696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1753</xdr:row>
      <xdr:rowOff>0</xdr:rowOff>
    </xdr:from>
    <xdr:to>
      <xdr:col>13</xdr:col>
      <xdr:colOff>0</xdr:colOff>
      <xdr:row>1754</xdr:row>
      <xdr:rowOff>148590</xdr:rowOff>
    </xdr:to>
    <xdr:pic>
      <xdr:nvPicPr>
        <xdr:cNvPr id="2118" name="Imagen 2117" descr="Ver detalle">
          <a:hlinkClick xmlns:r="http://schemas.openxmlformats.org/officeDocument/2006/relationships" r:id="rId2036" tooltip="Ver detalle"/>
          <a:extLst>
            <a:ext uri="{FF2B5EF4-FFF2-40B4-BE49-F238E27FC236}">
              <a16:creationId xmlns:a16="http://schemas.microsoft.com/office/drawing/2014/main" id="{5D895A91-1FC0-8C03-F36B-A269E2DC5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891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1752</xdr:row>
      <xdr:rowOff>0</xdr:rowOff>
    </xdr:from>
    <xdr:to>
      <xdr:col>13</xdr:col>
      <xdr:colOff>0</xdr:colOff>
      <xdr:row>1753</xdr:row>
      <xdr:rowOff>148590</xdr:rowOff>
    </xdr:to>
    <xdr:pic>
      <xdr:nvPicPr>
        <xdr:cNvPr id="2119" name="Imagen 2118" descr="Ver detalle">
          <a:hlinkClick xmlns:r="http://schemas.openxmlformats.org/officeDocument/2006/relationships" r:id="rId2037" tooltip="Ver detalle"/>
          <a:extLst>
            <a:ext uri="{FF2B5EF4-FFF2-40B4-BE49-F238E27FC236}">
              <a16:creationId xmlns:a16="http://schemas.microsoft.com/office/drawing/2014/main" id="{55D4FCFB-EB65-2FE1-2D03-ADFA749C4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086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1751</xdr:row>
      <xdr:rowOff>0</xdr:rowOff>
    </xdr:from>
    <xdr:to>
      <xdr:col>13</xdr:col>
      <xdr:colOff>0</xdr:colOff>
      <xdr:row>1752</xdr:row>
      <xdr:rowOff>148590</xdr:rowOff>
    </xdr:to>
    <xdr:pic>
      <xdr:nvPicPr>
        <xdr:cNvPr id="2120" name="Imagen 2119" descr="Ver detalle">
          <a:hlinkClick xmlns:r="http://schemas.openxmlformats.org/officeDocument/2006/relationships" r:id="rId2038" tooltip="Ver detalle"/>
          <a:extLst>
            <a:ext uri="{FF2B5EF4-FFF2-40B4-BE49-F238E27FC236}">
              <a16:creationId xmlns:a16="http://schemas.microsoft.com/office/drawing/2014/main" id="{D92C9D57-C8CA-F5FC-1A3B-4897572AD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281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1750</xdr:row>
      <xdr:rowOff>0</xdr:rowOff>
    </xdr:from>
    <xdr:to>
      <xdr:col>13</xdr:col>
      <xdr:colOff>0</xdr:colOff>
      <xdr:row>1751</xdr:row>
      <xdr:rowOff>148590</xdr:rowOff>
    </xdr:to>
    <xdr:pic>
      <xdr:nvPicPr>
        <xdr:cNvPr id="2121" name="Imagen 2120" descr="Ver detalle">
          <a:hlinkClick xmlns:r="http://schemas.openxmlformats.org/officeDocument/2006/relationships" r:id="rId2039" tooltip="Ver detalle"/>
          <a:extLst>
            <a:ext uri="{FF2B5EF4-FFF2-40B4-BE49-F238E27FC236}">
              <a16:creationId xmlns:a16="http://schemas.microsoft.com/office/drawing/2014/main" id="{C74B0154-ED93-1051-9C56-84863C538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476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1749</xdr:row>
      <xdr:rowOff>0</xdr:rowOff>
    </xdr:from>
    <xdr:to>
      <xdr:col>13</xdr:col>
      <xdr:colOff>0</xdr:colOff>
      <xdr:row>1750</xdr:row>
      <xdr:rowOff>148590</xdr:rowOff>
    </xdr:to>
    <xdr:pic>
      <xdr:nvPicPr>
        <xdr:cNvPr id="2122" name="Imagen 2121" descr="Ver detalle">
          <a:hlinkClick xmlns:r="http://schemas.openxmlformats.org/officeDocument/2006/relationships" r:id="rId2040" tooltip="Ver detalle"/>
          <a:extLst>
            <a:ext uri="{FF2B5EF4-FFF2-40B4-BE49-F238E27FC236}">
              <a16:creationId xmlns:a16="http://schemas.microsoft.com/office/drawing/2014/main" id="{D6EAB994-D8A9-86CD-4ABD-0F64CC5CD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67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1748</xdr:row>
      <xdr:rowOff>0</xdr:rowOff>
    </xdr:from>
    <xdr:to>
      <xdr:col>13</xdr:col>
      <xdr:colOff>0</xdr:colOff>
      <xdr:row>1749</xdr:row>
      <xdr:rowOff>148590</xdr:rowOff>
    </xdr:to>
    <xdr:pic>
      <xdr:nvPicPr>
        <xdr:cNvPr id="2123" name="Imagen 2122" descr="Ver detalle">
          <a:hlinkClick xmlns:r="http://schemas.openxmlformats.org/officeDocument/2006/relationships" r:id="rId2041" tooltip="Ver detalle"/>
          <a:extLst>
            <a:ext uri="{FF2B5EF4-FFF2-40B4-BE49-F238E27FC236}">
              <a16:creationId xmlns:a16="http://schemas.microsoft.com/office/drawing/2014/main" id="{9AFD19F1-E41B-495D-C1A8-5B782CB3F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8670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1747</xdr:row>
      <xdr:rowOff>0</xdr:rowOff>
    </xdr:from>
    <xdr:to>
      <xdr:col>13</xdr:col>
      <xdr:colOff>0</xdr:colOff>
      <xdr:row>1748</xdr:row>
      <xdr:rowOff>148590</xdr:rowOff>
    </xdr:to>
    <xdr:pic>
      <xdr:nvPicPr>
        <xdr:cNvPr id="2124" name="Imagen 2123" descr="Ver detalle">
          <a:hlinkClick xmlns:r="http://schemas.openxmlformats.org/officeDocument/2006/relationships" r:id="rId2042" tooltip="Ver detalle"/>
          <a:extLst>
            <a:ext uri="{FF2B5EF4-FFF2-40B4-BE49-F238E27FC236}">
              <a16:creationId xmlns:a16="http://schemas.microsoft.com/office/drawing/2014/main" id="{A15CF63D-8909-E70E-9FFE-B30A7F010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0621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1746</xdr:row>
      <xdr:rowOff>0</xdr:rowOff>
    </xdr:from>
    <xdr:to>
      <xdr:col>13</xdr:col>
      <xdr:colOff>0</xdr:colOff>
      <xdr:row>1747</xdr:row>
      <xdr:rowOff>148590</xdr:rowOff>
    </xdr:to>
    <xdr:pic>
      <xdr:nvPicPr>
        <xdr:cNvPr id="2125" name="Imagen 2124" descr="Ver detalle">
          <a:hlinkClick xmlns:r="http://schemas.openxmlformats.org/officeDocument/2006/relationships" r:id="rId2043" tooltip="Ver detalle"/>
          <a:extLst>
            <a:ext uri="{FF2B5EF4-FFF2-40B4-BE49-F238E27FC236}">
              <a16:creationId xmlns:a16="http://schemas.microsoft.com/office/drawing/2014/main" id="{523865C1-744D-A487-5C50-A06C82CAA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2572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1745</xdr:row>
      <xdr:rowOff>0</xdr:rowOff>
    </xdr:from>
    <xdr:to>
      <xdr:col>13</xdr:col>
      <xdr:colOff>0</xdr:colOff>
      <xdr:row>1746</xdr:row>
      <xdr:rowOff>148590</xdr:rowOff>
    </xdr:to>
    <xdr:pic>
      <xdr:nvPicPr>
        <xdr:cNvPr id="2126" name="Imagen 2125" descr="Ver detalle">
          <a:hlinkClick xmlns:r="http://schemas.openxmlformats.org/officeDocument/2006/relationships" r:id="rId2044" tooltip="Ver detalle"/>
          <a:extLst>
            <a:ext uri="{FF2B5EF4-FFF2-40B4-BE49-F238E27FC236}">
              <a16:creationId xmlns:a16="http://schemas.microsoft.com/office/drawing/2014/main" id="{1CC03AA0-AE41-6A1E-C75E-03E9BBBDA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452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1744</xdr:row>
      <xdr:rowOff>0</xdr:rowOff>
    </xdr:from>
    <xdr:to>
      <xdr:col>13</xdr:col>
      <xdr:colOff>0</xdr:colOff>
      <xdr:row>1745</xdr:row>
      <xdr:rowOff>148590</xdr:rowOff>
    </xdr:to>
    <xdr:pic>
      <xdr:nvPicPr>
        <xdr:cNvPr id="2127" name="Imagen 2126" descr="Ver detalle">
          <a:hlinkClick xmlns:r="http://schemas.openxmlformats.org/officeDocument/2006/relationships" r:id="rId2045" tooltip="Ver detalle"/>
          <a:extLst>
            <a:ext uri="{FF2B5EF4-FFF2-40B4-BE49-F238E27FC236}">
              <a16:creationId xmlns:a16="http://schemas.microsoft.com/office/drawing/2014/main" id="{E2F3F0CE-55BA-0F0D-9ABB-A5F50EC72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543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1743</xdr:row>
      <xdr:rowOff>0</xdr:rowOff>
    </xdr:from>
    <xdr:to>
      <xdr:col>13</xdr:col>
      <xdr:colOff>0</xdr:colOff>
      <xdr:row>1744</xdr:row>
      <xdr:rowOff>148590</xdr:rowOff>
    </xdr:to>
    <xdr:pic>
      <xdr:nvPicPr>
        <xdr:cNvPr id="2128" name="Imagen 2127" descr="Ver detalle">
          <a:hlinkClick xmlns:r="http://schemas.openxmlformats.org/officeDocument/2006/relationships" r:id="rId2046" tooltip="Ver detalle"/>
          <a:extLst>
            <a:ext uri="{FF2B5EF4-FFF2-40B4-BE49-F238E27FC236}">
              <a16:creationId xmlns:a16="http://schemas.microsoft.com/office/drawing/2014/main" id="{6F1BC663-A248-CB68-39D9-AD1D3F4E8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635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1742</xdr:row>
      <xdr:rowOff>0</xdr:rowOff>
    </xdr:from>
    <xdr:to>
      <xdr:col>13</xdr:col>
      <xdr:colOff>0</xdr:colOff>
      <xdr:row>1743</xdr:row>
      <xdr:rowOff>148590</xdr:rowOff>
    </xdr:to>
    <xdr:pic>
      <xdr:nvPicPr>
        <xdr:cNvPr id="2129" name="Imagen 2128" descr="Ver detalle">
          <a:hlinkClick xmlns:r="http://schemas.openxmlformats.org/officeDocument/2006/relationships" r:id="rId2047" tooltip="Ver detalle"/>
          <a:extLst>
            <a:ext uri="{FF2B5EF4-FFF2-40B4-BE49-F238E27FC236}">
              <a16:creationId xmlns:a16="http://schemas.microsoft.com/office/drawing/2014/main" id="{0E15FA3C-C6FA-85C9-734A-C67F4DE18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726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1722</xdr:row>
      <xdr:rowOff>0</xdr:rowOff>
    </xdr:from>
    <xdr:to>
      <xdr:col>13</xdr:col>
      <xdr:colOff>0</xdr:colOff>
      <xdr:row>1723</xdr:row>
      <xdr:rowOff>148590</xdr:rowOff>
    </xdr:to>
    <xdr:pic>
      <xdr:nvPicPr>
        <xdr:cNvPr id="2130" name="Imagen 2129" descr="Ver detalle">
          <a:hlinkClick xmlns:r="http://schemas.openxmlformats.org/officeDocument/2006/relationships" r:id="rId2048" tooltip="Ver detalle"/>
          <a:extLst>
            <a:ext uri="{FF2B5EF4-FFF2-40B4-BE49-F238E27FC236}">
              <a16:creationId xmlns:a16="http://schemas.microsoft.com/office/drawing/2014/main" id="{012F595A-13D7-346B-323D-6E51D1B79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818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1714</xdr:row>
      <xdr:rowOff>0</xdr:rowOff>
    </xdr:from>
    <xdr:to>
      <xdr:col>13</xdr:col>
      <xdr:colOff>0</xdr:colOff>
      <xdr:row>1715</xdr:row>
      <xdr:rowOff>148590</xdr:rowOff>
    </xdr:to>
    <xdr:pic>
      <xdr:nvPicPr>
        <xdr:cNvPr id="2131" name="Imagen 2130" descr="Ver detalle">
          <a:hlinkClick xmlns:r="http://schemas.openxmlformats.org/officeDocument/2006/relationships" r:id="rId2049" tooltip="Ver detalle"/>
          <a:extLst>
            <a:ext uri="{FF2B5EF4-FFF2-40B4-BE49-F238E27FC236}">
              <a16:creationId xmlns:a16="http://schemas.microsoft.com/office/drawing/2014/main" id="{DE9D20E4-AABE-3FC0-53CC-1D7AEE557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909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1713</xdr:row>
      <xdr:rowOff>0</xdr:rowOff>
    </xdr:from>
    <xdr:to>
      <xdr:col>13</xdr:col>
      <xdr:colOff>0</xdr:colOff>
      <xdr:row>1714</xdr:row>
      <xdr:rowOff>148590</xdr:rowOff>
    </xdr:to>
    <xdr:pic>
      <xdr:nvPicPr>
        <xdr:cNvPr id="2132" name="Imagen 2131" descr="Ver detalle">
          <a:hlinkClick xmlns:r="http://schemas.openxmlformats.org/officeDocument/2006/relationships" r:id="rId2050" tooltip="Ver detalle"/>
          <a:extLst>
            <a:ext uri="{FF2B5EF4-FFF2-40B4-BE49-F238E27FC236}">
              <a16:creationId xmlns:a16="http://schemas.microsoft.com/office/drawing/2014/main" id="{6C53093C-6EAC-DF31-D77C-30CBB8DFE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104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1716</xdr:row>
      <xdr:rowOff>0</xdr:rowOff>
    </xdr:from>
    <xdr:to>
      <xdr:col>13</xdr:col>
      <xdr:colOff>0</xdr:colOff>
      <xdr:row>1717</xdr:row>
      <xdr:rowOff>148590</xdr:rowOff>
    </xdr:to>
    <xdr:pic>
      <xdr:nvPicPr>
        <xdr:cNvPr id="2133" name="Imagen 2132" descr="Ver detalle">
          <a:hlinkClick xmlns:r="http://schemas.openxmlformats.org/officeDocument/2006/relationships" r:id="rId2051" tooltip="Ver detalle"/>
          <a:extLst>
            <a:ext uri="{FF2B5EF4-FFF2-40B4-BE49-F238E27FC236}">
              <a16:creationId xmlns:a16="http://schemas.microsoft.com/office/drawing/2014/main" id="{A4645EB0-1659-5060-EB32-63E584A7D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4947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1711</xdr:row>
      <xdr:rowOff>0</xdr:rowOff>
    </xdr:from>
    <xdr:to>
      <xdr:col>13</xdr:col>
      <xdr:colOff>0</xdr:colOff>
      <xdr:row>1712</xdr:row>
      <xdr:rowOff>148590</xdr:rowOff>
    </xdr:to>
    <xdr:pic>
      <xdr:nvPicPr>
        <xdr:cNvPr id="2134" name="Imagen 2133" descr="Ver detalle">
          <a:hlinkClick xmlns:r="http://schemas.openxmlformats.org/officeDocument/2006/relationships" r:id="rId2052" tooltip="Ver detalle"/>
          <a:extLst>
            <a:ext uri="{FF2B5EF4-FFF2-40B4-BE49-F238E27FC236}">
              <a16:creationId xmlns:a16="http://schemas.microsoft.com/office/drawing/2014/main" id="{F200B44D-C5CF-00C2-1636-C7CCCF13AD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625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1710</xdr:row>
      <xdr:rowOff>0</xdr:rowOff>
    </xdr:from>
    <xdr:to>
      <xdr:col>13</xdr:col>
      <xdr:colOff>0</xdr:colOff>
      <xdr:row>1711</xdr:row>
      <xdr:rowOff>148590</xdr:rowOff>
    </xdr:to>
    <xdr:pic>
      <xdr:nvPicPr>
        <xdr:cNvPr id="2135" name="Imagen 2134" descr="Ver detalle">
          <a:hlinkClick xmlns:r="http://schemas.openxmlformats.org/officeDocument/2006/relationships" r:id="rId2053" tooltip="Ver detalle"/>
          <a:extLst>
            <a:ext uri="{FF2B5EF4-FFF2-40B4-BE49-F238E27FC236}">
              <a16:creationId xmlns:a16="http://schemas.microsoft.com/office/drawing/2014/main" id="{F8323B5C-4936-38C1-6016-558BC66FD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8200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1712</xdr:row>
      <xdr:rowOff>0</xdr:rowOff>
    </xdr:from>
    <xdr:to>
      <xdr:col>13</xdr:col>
      <xdr:colOff>0</xdr:colOff>
      <xdr:row>1713</xdr:row>
      <xdr:rowOff>148590</xdr:rowOff>
    </xdr:to>
    <xdr:pic>
      <xdr:nvPicPr>
        <xdr:cNvPr id="2136" name="Imagen 2135" descr="Ver detalle">
          <a:hlinkClick xmlns:r="http://schemas.openxmlformats.org/officeDocument/2006/relationships" r:id="rId2054" tooltip="Ver detalle"/>
          <a:extLst>
            <a:ext uri="{FF2B5EF4-FFF2-40B4-BE49-F238E27FC236}">
              <a16:creationId xmlns:a16="http://schemas.microsoft.com/office/drawing/2014/main" id="{F31DB4B2-FC2C-38BB-2665-16153BC3A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015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1737</xdr:row>
      <xdr:rowOff>0</xdr:rowOff>
    </xdr:from>
    <xdr:to>
      <xdr:col>13</xdr:col>
      <xdr:colOff>0</xdr:colOff>
      <xdr:row>1738</xdr:row>
      <xdr:rowOff>148590</xdr:rowOff>
    </xdr:to>
    <xdr:pic>
      <xdr:nvPicPr>
        <xdr:cNvPr id="2137" name="Imagen 2136" descr="Ver detalle">
          <a:hlinkClick xmlns:r="http://schemas.openxmlformats.org/officeDocument/2006/relationships" r:id="rId2055" tooltip="Ver detalle"/>
          <a:extLst>
            <a:ext uri="{FF2B5EF4-FFF2-40B4-BE49-F238E27FC236}">
              <a16:creationId xmlns:a16="http://schemas.microsoft.com/office/drawing/2014/main" id="{E9FCD75D-F360-FB1C-1B9B-A79FC3B373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2102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1741</xdr:row>
      <xdr:rowOff>0</xdr:rowOff>
    </xdr:from>
    <xdr:to>
      <xdr:col>13</xdr:col>
      <xdr:colOff>0</xdr:colOff>
      <xdr:row>1742</xdr:row>
      <xdr:rowOff>148590</xdr:rowOff>
    </xdr:to>
    <xdr:pic>
      <xdr:nvPicPr>
        <xdr:cNvPr id="2138" name="Imagen 2137" descr="Ver detalle">
          <a:hlinkClick xmlns:r="http://schemas.openxmlformats.org/officeDocument/2006/relationships" r:id="rId2056" tooltip="Ver detalle"/>
          <a:extLst>
            <a:ext uri="{FF2B5EF4-FFF2-40B4-BE49-F238E27FC236}">
              <a16:creationId xmlns:a16="http://schemas.microsoft.com/office/drawing/2014/main" id="{815C962D-EEE2-B47B-8594-32240D33D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4052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1740</xdr:row>
      <xdr:rowOff>0</xdr:rowOff>
    </xdr:from>
    <xdr:to>
      <xdr:col>13</xdr:col>
      <xdr:colOff>0</xdr:colOff>
      <xdr:row>1741</xdr:row>
      <xdr:rowOff>148590</xdr:rowOff>
    </xdr:to>
    <xdr:pic>
      <xdr:nvPicPr>
        <xdr:cNvPr id="2139" name="Imagen 2138" descr="Ver detalle">
          <a:hlinkClick xmlns:r="http://schemas.openxmlformats.org/officeDocument/2006/relationships" r:id="rId2057" tooltip="Ver detalle"/>
          <a:extLst>
            <a:ext uri="{FF2B5EF4-FFF2-40B4-BE49-F238E27FC236}">
              <a16:creationId xmlns:a16="http://schemas.microsoft.com/office/drawing/2014/main" id="{FC0F68B9-BCB2-FFA3-792D-F580111FC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496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1739</xdr:row>
      <xdr:rowOff>0</xdr:rowOff>
    </xdr:from>
    <xdr:to>
      <xdr:col>13</xdr:col>
      <xdr:colOff>0</xdr:colOff>
      <xdr:row>1740</xdr:row>
      <xdr:rowOff>148590</xdr:rowOff>
    </xdr:to>
    <xdr:pic>
      <xdr:nvPicPr>
        <xdr:cNvPr id="2140" name="Imagen 2139" descr="Ver detalle">
          <a:hlinkClick xmlns:r="http://schemas.openxmlformats.org/officeDocument/2006/relationships" r:id="rId2058" tooltip="Ver detalle"/>
          <a:extLst>
            <a:ext uri="{FF2B5EF4-FFF2-40B4-BE49-F238E27FC236}">
              <a16:creationId xmlns:a16="http://schemas.microsoft.com/office/drawing/2014/main" id="{0513CA60-3AF2-2914-F3FA-2491AA237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691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1738</xdr:row>
      <xdr:rowOff>0</xdr:rowOff>
    </xdr:from>
    <xdr:to>
      <xdr:col>13</xdr:col>
      <xdr:colOff>0</xdr:colOff>
      <xdr:row>1739</xdr:row>
      <xdr:rowOff>148590</xdr:rowOff>
    </xdr:to>
    <xdr:pic>
      <xdr:nvPicPr>
        <xdr:cNvPr id="2141" name="Imagen 2140" descr="Ver detalle">
          <a:hlinkClick xmlns:r="http://schemas.openxmlformats.org/officeDocument/2006/relationships" r:id="rId2059" tooltip="Ver detalle"/>
          <a:extLst>
            <a:ext uri="{FF2B5EF4-FFF2-40B4-BE49-F238E27FC236}">
              <a16:creationId xmlns:a16="http://schemas.microsoft.com/office/drawing/2014/main" id="{7B760E04-C4DC-8BE5-B979-1A071D6AF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886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1709</xdr:row>
      <xdr:rowOff>0</xdr:rowOff>
    </xdr:from>
    <xdr:to>
      <xdr:col>13</xdr:col>
      <xdr:colOff>0</xdr:colOff>
      <xdr:row>1710</xdr:row>
      <xdr:rowOff>148590</xdr:rowOff>
    </xdr:to>
    <xdr:pic>
      <xdr:nvPicPr>
        <xdr:cNvPr id="2142" name="Imagen 2141" descr="Ver detalle">
          <a:hlinkClick xmlns:r="http://schemas.openxmlformats.org/officeDocument/2006/relationships" r:id="rId2060" tooltip="Ver detalle"/>
          <a:extLst>
            <a:ext uri="{FF2B5EF4-FFF2-40B4-BE49-F238E27FC236}">
              <a16:creationId xmlns:a16="http://schemas.microsoft.com/office/drawing/2014/main" id="{5D34AE41-F312-B8BD-812B-3866DFE21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08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1703</xdr:row>
      <xdr:rowOff>0</xdr:rowOff>
    </xdr:from>
    <xdr:to>
      <xdr:col>13</xdr:col>
      <xdr:colOff>0</xdr:colOff>
      <xdr:row>1704</xdr:row>
      <xdr:rowOff>148590</xdr:rowOff>
    </xdr:to>
    <xdr:pic>
      <xdr:nvPicPr>
        <xdr:cNvPr id="2143" name="Imagen 2142" descr="Ver detalle">
          <a:hlinkClick xmlns:r="http://schemas.openxmlformats.org/officeDocument/2006/relationships" r:id="rId2061" tooltip="Ver detalle"/>
          <a:extLst>
            <a:ext uri="{FF2B5EF4-FFF2-40B4-BE49-F238E27FC236}">
              <a16:creationId xmlns:a16="http://schemas.microsoft.com/office/drawing/2014/main" id="{17281578-DA19-2181-B7CF-452B4EACD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277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1706</xdr:row>
      <xdr:rowOff>0</xdr:rowOff>
    </xdr:from>
    <xdr:to>
      <xdr:col>13</xdr:col>
      <xdr:colOff>0</xdr:colOff>
      <xdr:row>1707</xdr:row>
      <xdr:rowOff>148590</xdr:rowOff>
    </xdr:to>
    <xdr:pic>
      <xdr:nvPicPr>
        <xdr:cNvPr id="2144" name="Imagen 2143" descr="Ver detalle">
          <a:hlinkClick xmlns:r="http://schemas.openxmlformats.org/officeDocument/2006/relationships" r:id="rId2062" tooltip="Ver detalle"/>
          <a:extLst>
            <a:ext uri="{FF2B5EF4-FFF2-40B4-BE49-F238E27FC236}">
              <a16:creationId xmlns:a16="http://schemas.microsoft.com/office/drawing/2014/main" id="{3202EB12-0E1B-299B-7F1B-0880A6F8B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4720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1736</xdr:row>
      <xdr:rowOff>0</xdr:rowOff>
    </xdr:from>
    <xdr:to>
      <xdr:col>13</xdr:col>
      <xdr:colOff>0</xdr:colOff>
      <xdr:row>1737</xdr:row>
      <xdr:rowOff>148590</xdr:rowOff>
    </xdr:to>
    <xdr:pic>
      <xdr:nvPicPr>
        <xdr:cNvPr id="2145" name="Imagen 2144" descr="Ver detalle">
          <a:hlinkClick xmlns:r="http://schemas.openxmlformats.org/officeDocument/2006/relationships" r:id="rId2063" tooltip="Ver detalle"/>
          <a:extLst>
            <a:ext uri="{FF2B5EF4-FFF2-40B4-BE49-F238E27FC236}">
              <a16:creationId xmlns:a16="http://schemas.microsoft.com/office/drawing/2014/main" id="{B21B2773-4B4A-3FFC-5164-BA87F9EC1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5635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1735</xdr:row>
      <xdr:rowOff>0</xdr:rowOff>
    </xdr:from>
    <xdr:to>
      <xdr:col>13</xdr:col>
      <xdr:colOff>0</xdr:colOff>
      <xdr:row>1736</xdr:row>
      <xdr:rowOff>148590</xdr:rowOff>
    </xdr:to>
    <xdr:pic>
      <xdr:nvPicPr>
        <xdr:cNvPr id="2146" name="Imagen 2145" descr="Ver detalle">
          <a:hlinkClick xmlns:r="http://schemas.openxmlformats.org/officeDocument/2006/relationships" r:id="rId2064" tooltip="Ver detalle"/>
          <a:extLst>
            <a:ext uri="{FF2B5EF4-FFF2-40B4-BE49-F238E27FC236}">
              <a16:creationId xmlns:a16="http://schemas.microsoft.com/office/drawing/2014/main" id="{7B4FC3BF-FBDA-BED4-F202-D6652AC7A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6938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1707</xdr:row>
      <xdr:rowOff>0</xdr:rowOff>
    </xdr:from>
    <xdr:to>
      <xdr:col>13</xdr:col>
      <xdr:colOff>0</xdr:colOff>
      <xdr:row>1708</xdr:row>
      <xdr:rowOff>148590</xdr:rowOff>
    </xdr:to>
    <xdr:pic>
      <xdr:nvPicPr>
        <xdr:cNvPr id="2147" name="Imagen 2146" descr="Ver detalle">
          <a:hlinkClick xmlns:r="http://schemas.openxmlformats.org/officeDocument/2006/relationships" r:id="rId2065" tooltip="Ver detalle"/>
          <a:extLst>
            <a:ext uri="{FF2B5EF4-FFF2-40B4-BE49-F238E27FC236}">
              <a16:creationId xmlns:a16="http://schemas.microsoft.com/office/drawing/2014/main" id="{F21E025A-45EA-8E13-1592-BD32354C7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8889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1701</xdr:row>
      <xdr:rowOff>0</xdr:rowOff>
    </xdr:from>
    <xdr:to>
      <xdr:col>13</xdr:col>
      <xdr:colOff>0</xdr:colOff>
      <xdr:row>1702</xdr:row>
      <xdr:rowOff>148590</xdr:rowOff>
    </xdr:to>
    <xdr:pic>
      <xdr:nvPicPr>
        <xdr:cNvPr id="2148" name="Imagen 2147" descr="Ver detalle">
          <a:hlinkClick xmlns:r="http://schemas.openxmlformats.org/officeDocument/2006/relationships" r:id="rId2066" tooltip="Ver detalle"/>
          <a:extLst>
            <a:ext uri="{FF2B5EF4-FFF2-40B4-BE49-F238E27FC236}">
              <a16:creationId xmlns:a16="http://schemas.microsoft.com/office/drawing/2014/main" id="{171928E6-AEF0-35F2-5DD7-5D0343B60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9803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1708</xdr:row>
      <xdr:rowOff>0</xdr:rowOff>
    </xdr:from>
    <xdr:to>
      <xdr:col>13</xdr:col>
      <xdr:colOff>0</xdr:colOff>
      <xdr:row>1709</xdr:row>
      <xdr:rowOff>148590</xdr:rowOff>
    </xdr:to>
    <xdr:pic>
      <xdr:nvPicPr>
        <xdr:cNvPr id="2149" name="Imagen 2148" descr="Ver detalle">
          <a:hlinkClick xmlns:r="http://schemas.openxmlformats.org/officeDocument/2006/relationships" r:id="rId2067" tooltip="Ver detalle"/>
          <a:extLst>
            <a:ext uri="{FF2B5EF4-FFF2-40B4-BE49-F238E27FC236}">
              <a16:creationId xmlns:a16="http://schemas.microsoft.com/office/drawing/2014/main" id="{1ED75E50-B583-DB92-8A73-5F14458C6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17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1704</xdr:row>
      <xdr:rowOff>0</xdr:rowOff>
    </xdr:from>
    <xdr:to>
      <xdr:col>13</xdr:col>
      <xdr:colOff>0</xdr:colOff>
      <xdr:row>1705</xdr:row>
      <xdr:rowOff>148590</xdr:rowOff>
    </xdr:to>
    <xdr:pic>
      <xdr:nvPicPr>
        <xdr:cNvPr id="2150" name="Imagen 2149" descr="Ver detalle">
          <a:hlinkClick xmlns:r="http://schemas.openxmlformats.org/officeDocument/2006/relationships" r:id="rId2068" tooltip="Ver detalle"/>
          <a:extLst>
            <a:ext uri="{FF2B5EF4-FFF2-40B4-BE49-F238E27FC236}">
              <a16:creationId xmlns:a16="http://schemas.microsoft.com/office/drawing/2014/main" id="{3902067E-0690-CFF2-FDA5-90FF1841F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266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1705</xdr:row>
      <xdr:rowOff>0</xdr:rowOff>
    </xdr:from>
    <xdr:to>
      <xdr:col>13</xdr:col>
      <xdr:colOff>0</xdr:colOff>
      <xdr:row>1706</xdr:row>
      <xdr:rowOff>148590</xdr:rowOff>
    </xdr:to>
    <xdr:pic>
      <xdr:nvPicPr>
        <xdr:cNvPr id="2151" name="Imagen 2150" descr="Ver detalle">
          <a:hlinkClick xmlns:r="http://schemas.openxmlformats.org/officeDocument/2006/relationships" r:id="rId2069" tooltip="Ver detalle"/>
          <a:extLst>
            <a:ext uri="{FF2B5EF4-FFF2-40B4-BE49-F238E27FC236}">
              <a16:creationId xmlns:a16="http://schemas.microsoft.com/office/drawing/2014/main" id="{0B8DF76C-55F1-42C9-949D-30BE51486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4619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1702</xdr:row>
      <xdr:rowOff>0</xdr:rowOff>
    </xdr:from>
    <xdr:to>
      <xdr:col>13</xdr:col>
      <xdr:colOff>0</xdr:colOff>
      <xdr:row>1703</xdr:row>
      <xdr:rowOff>148590</xdr:rowOff>
    </xdr:to>
    <xdr:pic>
      <xdr:nvPicPr>
        <xdr:cNvPr id="2152" name="Imagen 2151" descr="Ver detalle">
          <a:hlinkClick xmlns:r="http://schemas.openxmlformats.org/officeDocument/2006/relationships" r:id="rId2070" tooltip="Ver detalle"/>
          <a:extLst>
            <a:ext uri="{FF2B5EF4-FFF2-40B4-BE49-F238E27FC236}">
              <a16:creationId xmlns:a16="http://schemas.microsoft.com/office/drawing/2014/main" id="{28864E2A-8269-E4A9-E6B8-CF6FFF60D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6570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1698</xdr:row>
      <xdr:rowOff>0</xdr:rowOff>
    </xdr:from>
    <xdr:to>
      <xdr:col>13</xdr:col>
      <xdr:colOff>0</xdr:colOff>
      <xdr:row>1699</xdr:row>
      <xdr:rowOff>148590</xdr:rowOff>
    </xdr:to>
    <xdr:pic>
      <xdr:nvPicPr>
        <xdr:cNvPr id="2153" name="Imagen 2152" descr="Ver detalle">
          <a:hlinkClick xmlns:r="http://schemas.openxmlformats.org/officeDocument/2006/relationships" r:id="rId2071" tooltip="Ver detalle"/>
          <a:extLst>
            <a:ext uri="{FF2B5EF4-FFF2-40B4-BE49-F238E27FC236}">
              <a16:creationId xmlns:a16="http://schemas.microsoft.com/office/drawing/2014/main" id="{21EE1793-4EA2-4C3E-0D7A-A312416CE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7484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1700</xdr:row>
      <xdr:rowOff>0</xdr:rowOff>
    </xdr:from>
    <xdr:to>
      <xdr:col>13</xdr:col>
      <xdr:colOff>0</xdr:colOff>
      <xdr:row>1701</xdr:row>
      <xdr:rowOff>148590</xdr:rowOff>
    </xdr:to>
    <xdr:pic>
      <xdr:nvPicPr>
        <xdr:cNvPr id="2154" name="Imagen 2153" descr="Ver detalle">
          <a:hlinkClick xmlns:r="http://schemas.openxmlformats.org/officeDocument/2006/relationships" r:id="rId2072" tooltip="Ver detalle"/>
          <a:extLst>
            <a:ext uri="{FF2B5EF4-FFF2-40B4-BE49-F238E27FC236}">
              <a16:creationId xmlns:a16="http://schemas.microsoft.com/office/drawing/2014/main" id="{5C62E392-4533-FDE4-EDF9-BAC9721EE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943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1696</xdr:row>
      <xdr:rowOff>0</xdr:rowOff>
    </xdr:from>
    <xdr:to>
      <xdr:col>13</xdr:col>
      <xdr:colOff>0</xdr:colOff>
      <xdr:row>1697</xdr:row>
      <xdr:rowOff>148590</xdr:rowOff>
    </xdr:to>
    <xdr:pic>
      <xdr:nvPicPr>
        <xdr:cNvPr id="2155" name="Imagen 2154" descr="Ver detalle">
          <a:hlinkClick xmlns:r="http://schemas.openxmlformats.org/officeDocument/2006/relationships" r:id="rId2073" tooltip="Ver detalle"/>
          <a:extLst>
            <a:ext uri="{FF2B5EF4-FFF2-40B4-BE49-F238E27FC236}">
              <a16:creationId xmlns:a16="http://schemas.microsoft.com/office/drawing/2014/main" id="{30FBD776-6CCA-8DBD-CA5B-4B260EFE3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0349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1695</xdr:row>
      <xdr:rowOff>0</xdr:rowOff>
    </xdr:from>
    <xdr:to>
      <xdr:col>13</xdr:col>
      <xdr:colOff>0</xdr:colOff>
      <xdr:row>1696</xdr:row>
      <xdr:rowOff>148590</xdr:rowOff>
    </xdr:to>
    <xdr:pic>
      <xdr:nvPicPr>
        <xdr:cNvPr id="2156" name="Imagen 2155" descr="Ver detalle">
          <a:hlinkClick xmlns:r="http://schemas.openxmlformats.org/officeDocument/2006/relationships" r:id="rId2074" tooltip="Ver detalle"/>
          <a:extLst>
            <a:ext uri="{FF2B5EF4-FFF2-40B4-BE49-F238E27FC236}">
              <a16:creationId xmlns:a16="http://schemas.microsoft.com/office/drawing/2014/main" id="{EED9182E-3701-DE36-9E95-03A0DD739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2300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1721</xdr:row>
      <xdr:rowOff>0</xdr:rowOff>
    </xdr:from>
    <xdr:to>
      <xdr:col>13</xdr:col>
      <xdr:colOff>0</xdr:colOff>
      <xdr:row>1722</xdr:row>
      <xdr:rowOff>148590</xdr:rowOff>
    </xdr:to>
    <xdr:pic>
      <xdr:nvPicPr>
        <xdr:cNvPr id="2157" name="Imagen 2156" descr="Ver detalle">
          <a:hlinkClick xmlns:r="http://schemas.openxmlformats.org/officeDocument/2006/relationships" r:id="rId2075" tooltip="Ver detalle"/>
          <a:extLst>
            <a:ext uri="{FF2B5EF4-FFF2-40B4-BE49-F238E27FC236}">
              <a16:creationId xmlns:a16="http://schemas.microsoft.com/office/drawing/2014/main" id="{79DEB9D6-6871-53C2-84BF-1016E0174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516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1697</xdr:row>
      <xdr:rowOff>0</xdr:rowOff>
    </xdr:from>
    <xdr:to>
      <xdr:col>13</xdr:col>
      <xdr:colOff>0</xdr:colOff>
      <xdr:row>1698</xdr:row>
      <xdr:rowOff>148590</xdr:rowOff>
    </xdr:to>
    <xdr:pic>
      <xdr:nvPicPr>
        <xdr:cNvPr id="2158" name="Imagen 2157" descr="Ver detalle">
          <a:hlinkClick xmlns:r="http://schemas.openxmlformats.org/officeDocument/2006/relationships" r:id="rId2076" tooltip="Ver detalle"/>
          <a:extLst>
            <a:ext uri="{FF2B5EF4-FFF2-40B4-BE49-F238E27FC236}">
              <a16:creationId xmlns:a16="http://schemas.microsoft.com/office/drawing/2014/main" id="{B724B84F-4332-EF07-82CD-1A7F8E391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711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1693</xdr:row>
      <xdr:rowOff>0</xdr:rowOff>
    </xdr:from>
    <xdr:to>
      <xdr:col>13</xdr:col>
      <xdr:colOff>0</xdr:colOff>
      <xdr:row>1694</xdr:row>
      <xdr:rowOff>148590</xdr:rowOff>
    </xdr:to>
    <xdr:pic>
      <xdr:nvPicPr>
        <xdr:cNvPr id="2159" name="Imagen 2158" descr="Ver detalle">
          <a:hlinkClick xmlns:r="http://schemas.openxmlformats.org/officeDocument/2006/relationships" r:id="rId2077" tooltip="Ver detalle"/>
          <a:extLst>
            <a:ext uri="{FF2B5EF4-FFF2-40B4-BE49-F238E27FC236}">
              <a16:creationId xmlns:a16="http://schemas.microsoft.com/office/drawing/2014/main" id="{A9E5DDBC-DE61-4005-8A33-80EA8CD41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8419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1691</xdr:row>
      <xdr:rowOff>0</xdr:rowOff>
    </xdr:from>
    <xdr:ext cx="304800" cy="304800"/>
    <xdr:pic>
      <xdr:nvPicPr>
        <xdr:cNvPr id="2160" name="Imagen 2159" descr="Ver detalle">
          <a:hlinkClick xmlns:r="http://schemas.openxmlformats.org/officeDocument/2006/relationships" r:id="rId2007" tooltip="Ver detalle"/>
          <a:extLst>
            <a:ext uri="{FF2B5EF4-FFF2-40B4-BE49-F238E27FC236}">
              <a16:creationId xmlns:a16="http://schemas.microsoft.com/office/drawing/2014/main" id="{679FECB0-3981-4F92-9A60-E42BB920C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57660" y="317357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1896</xdr:row>
      <xdr:rowOff>0</xdr:rowOff>
    </xdr:from>
    <xdr:to>
      <xdr:col>13</xdr:col>
      <xdr:colOff>0</xdr:colOff>
      <xdr:row>1897</xdr:row>
      <xdr:rowOff>148590</xdr:rowOff>
    </xdr:to>
    <xdr:pic>
      <xdr:nvPicPr>
        <xdr:cNvPr id="2037" name="Imagen 2036" descr="Ver detalle">
          <a:hlinkClick xmlns:r="http://schemas.openxmlformats.org/officeDocument/2006/relationships" r:id="rId2078" tooltip="Ver detalle"/>
          <a:extLst>
            <a:ext uri="{FF2B5EF4-FFF2-40B4-BE49-F238E27FC236}">
              <a16:creationId xmlns:a16="http://schemas.microsoft.com/office/drawing/2014/main" id="{E2D44596-4526-12DF-9641-E38B98554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161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1897</xdr:row>
      <xdr:rowOff>0</xdr:rowOff>
    </xdr:from>
    <xdr:to>
      <xdr:col>13</xdr:col>
      <xdr:colOff>0</xdr:colOff>
      <xdr:row>1898</xdr:row>
      <xdr:rowOff>148590</xdr:rowOff>
    </xdr:to>
    <xdr:pic>
      <xdr:nvPicPr>
        <xdr:cNvPr id="2038" name="Imagen 2037" descr="Ver detalle">
          <a:hlinkClick xmlns:r="http://schemas.openxmlformats.org/officeDocument/2006/relationships" r:id="rId2079" tooltip="Ver detalle"/>
          <a:extLst>
            <a:ext uri="{FF2B5EF4-FFF2-40B4-BE49-F238E27FC236}">
              <a16:creationId xmlns:a16="http://schemas.microsoft.com/office/drawing/2014/main" id="{BC0F645A-5167-93B0-B452-7F1950F4D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356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1905</xdr:row>
      <xdr:rowOff>0</xdr:rowOff>
    </xdr:from>
    <xdr:to>
      <xdr:col>13</xdr:col>
      <xdr:colOff>0</xdr:colOff>
      <xdr:row>1906</xdr:row>
      <xdr:rowOff>148590</xdr:rowOff>
    </xdr:to>
    <xdr:pic>
      <xdr:nvPicPr>
        <xdr:cNvPr id="2039" name="Imagen 2038" descr="Ver detalle">
          <a:hlinkClick xmlns:r="http://schemas.openxmlformats.org/officeDocument/2006/relationships" r:id="rId2080" tooltip="Ver detalle"/>
          <a:extLst>
            <a:ext uri="{FF2B5EF4-FFF2-40B4-BE49-F238E27FC236}">
              <a16:creationId xmlns:a16="http://schemas.microsoft.com/office/drawing/2014/main" id="{C19496F6-2DCD-53CE-5965-CEFF6CF52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551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1906</xdr:row>
      <xdr:rowOff>0</xdr:rowOff>
    </xdr:from>
    <xdr:to>
      <xdr:col>13</xdr:col>
      <xdr:colOff>0</xdr:colOff>
      <xdr:row>1907</xdr:row>
      <xdr:rowOff>148590</xdr:rowOff>
    </xdr:to>
    <xdr:pic>
      <xdr:nvPicPr>
        <xdr:cNvPr id="2040" name="Imagen 2039" descr="Ver detalle">
          <a:hlinkClick xmlns:r="http://schemas.openxmlformats.org/officeDocument/2006/relationships" r:id="rId2081" tooltip="Ver detalle"/>
          <a:extLst>
            <a:ext uri="{FF2B5EF4-FFF2-40B4-BE49-F238E27FC236}">
              <a16:creationId xmlns:a16="http://schemas.microsoft.com/office/drawing/2014/main" id="{973D4F78-4154-E341-E8F2-0D792FE47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746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1907</xdr:row>
      <xdr:rowOff>0</xdr:rowOff>
    </xdr:from>
    <xdr:to>
      <xdr:col>13</xdr:col>
      <xdr:colOff>0</xdr:colOff>
      <xdr:row>1908</xdr:row>
      <xdr:rowOff>148590</xdr:rowOff>
    </xdr:to>
    <xdr:pic>
      <xdr:nvPicPr>
        <xdr:cNvPr id="2041" name="Imagen 2040" descr="Ver detalle">
          <a:hlinkClick xmlns:r="http://schemas.openxmlformats.org/officeDocument/2006/relationships" r:id="rId2082" tooltip="Ver detalle"/>
          <a:extLst>
            <a:ext uri="{FF2B5EF4-FFF2-40B4-BE49-F238E27FC236}">
              <a16:creationId xmlns:a16="http://schemas.microsoft.com/office/drawing/2014/main" id="{4640930D-D3B7-DF45-0A07-6045CC386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9417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1899</xdr:row>
      <xdr:rowOff>0</xdr:rowOff>
    </xdr:from>
    <xdr:to>
      <xdr:col>13</xdr:col>
      <xdr:colOff>0</xdr:colOff>
      <xdr:row>1900</xdr:row>
      <xdr:rowOff>148590</xdr:rowOff>
    </xdr:to>
    <xdr:pic>
      <xdr:nvPicPr>
        <xdr:cNvPr id="2042" name="Imagen 2041" descr="Ver detalle">
          <a:hlinkClick xmlns:r="http://schemas.openxmlformats.org/officeDocument/2006/relationships" r:id="rId2083" tooltip="Ver detalle"/>
          <a:extLst>
            <a:ext uri="{FF2B5EF4-FFF2-40B4-BE49-F238E27FC236}">
              <a16:creationId xmlns:a16="http://schemas.microsoft.com/office/drawing/2014/main" id="{BC73368E-4A5C-B137-157C-5F9AFF999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1368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1900</xdr:row>
      <xdr:rowOff>0</xdr:rowOff>
    </xdr:from>
    <xdr:to>
      <xdr:col>13</xdr:col>
      <xdr:colOff>0</xdr:colOff>
      <xdr:row>1901</xdr:row>
      <xdr:rowOff>148590</xdr:rowOff>
    </xdr:to>
    <xdr:pic>
      <xdr:nvPicPr>
        <xdr:cNvPr id="2043" name="Imagen 2042" descr="Ver detalle">
          <a:hlinkClick xmlns:r="http://schemas.openxmlformats.org/officeDocument/2006/relationships" r:id="rId2084" tooltip="Ver detalle"/>
          <a:extLst>
            <a:ext uri="{FF2B5EF4-FFF2-40B4-BE49-F238E27FC236}">
              <a16:creationId xmlns:a16="http://schemas.microsoft.com/office/drawing/2014/main" id="{B232D781-8BC4-5857-84E7-F2E30EE0D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331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1901</xdr:row>
      <xdr:rowOff>0</xdr:rowOff>
    </xdr:from>
    <xdr:to>
      <xdr:col>13</xdr:col>
      <xdr:colOff>0</xdr:colOff>
      <xdr:row>1902</xdr:row>
      <xdr:rowOff>148590</xdr:rowOff>
    </xdr:to>
    <xdr:pic>
      <xdr:nvPicPr>
        <xdr:cNvPr id="2044" name="Imagen 2043" descr="Ver detalle">
          <a:hlinkClick xmlns:r="http://schemas.openxmlformats.org/officeDocument/2006/relationships" r:id="rId2085" tooltip="Ver detalle"/>
          <a:extLst>
            <a:ext uri="{FF2B5EF4-FFF2-40B4-BE49-F238E27FC236}">
              <a16:creationId xmlns:a16="http://schemas.microsoft.com/office/drawing/2014/main" id="{3BE2CBAD-1794-FC70-1D77-42BACF5AA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526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1902</xdr:row>
      <xdr:rowOff>0</xdr:rowOff>
    </xdr:from>
    <xdr:to>
      <xdr:col>13</xdr:col>
      <xdr:colOff>0</xdr:colOff>
      <xdr:row>1903</xdr:row>
      <xdr:rowOff>148590</xdr:rowOff>
    </xdr:to>
    <xdr:pic>
      <xdr:nvPicPr>
        <xdr:cNvPr id="2045" name="Imagen 2044" descr="Ver detalle">
          <a:hlinkClick xmlns:r="http://schemas.openxmlformats.org/officeDocument/2006/relationships" r:id="rId2086" tooltip="Ver detalle"/>
          <a:extLst>
            <a:ext uri="{FF2B5EF4-FFF2-40B4-BE49-F238E27FC236}">
              <a16:creationId xmlns:a16="http://schemas.microsoft.com/office/drawing/2014/main" id="{6D5AA927-1361-7B3D-5829-FC73F2FDF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7220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1898</xdr:row>
      <xdr:rowOff>0</xdr:rowOff>
    </xdr:from>
    <xdr:to>
      <xdr:col>13</xdr:col>
      <xdr:colOff>0</xdr:colOff>
      <xdr:row>1899</xdr:row>
      <xdr:rowOff>148590</xdr:rowOff>
    </xdr:to>
    <xdr:pic>
      <xdr:nvPicPr>
        <xdr:cNvPr id="2046" name="Imagen 2045" descr="Ver detalle">
          <a:hlinkClick xmlns:r="http://schemas.openxmlformats.org/officeDocument/2006/relationships" r:id="rId2087" tooltip="Ver detalle"/>
          <a:extLst>
            <a:ext uri="{FF2B5EF4-FFF2-40B4-BE49-F238E27FC236}">
              <a16:creationId xmlns:a16="http://schemas.microsoft.com/office/drawing/2014/main" id="{5F7D435E-C65C-A24D-8096-81364EC7D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813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1904</xdr:row>
      <xdr:rowOff>0</xdr:rowOff>
    </xdr:from>
    <xdr:to>
      <xdr:col>13</xdr:col>
      <xdr:colOff>0</xdr:colOff>
      <xdr:row>1905</xdr:row>
      <xdr:rowOff>148590</xdr:rowOff>
    </xdr:to>
    <xdr:pic>
      <xdr:nvPicPr>
        <xdr:cNvPr id="2047" name="Imagen 2046" descr="Ver detalle">
          <a:hlinkClick xmlns:r="http://schemas.openxmlformats.org/officeDocument/2006/relationships" r:id="rId2088" tooltip="Ver detalle"/>
          <a:extLst>
            <a:ext uri="{FF2B5EF4-FFF2-40B4-BE49-F238E27FC236}">
              <a16:creationId xmlns:a16="http://schemas.microsoft.com/office/drawing/2014/main" id="{157A9857-E5CE-0218-3B1E-4E4E4AA03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0085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1903</xdr:row>
      <xdr:rowOff>0</xdr:rowOff>
    </xdr:from>
    <xdr:to>
      <xdr:col>13</xdr:col>
      <xdr:colOff>0</xdr:colOff>
      <xdr:row>1904</xdr:row>
      <xdr:rowOff>148590</xdr:rowOff>
    </xdr:to>
    <xdr:pic>
      <xdr:nvPicPr>
        <xdr:cNvPr id="2048" name="Imagen 2047" descr="Ver detalle">
          <a:hlinkClick xmlns:r="http://schemas.openxmlformats.org/officeDocument/2006/relationships" r:id="rId2089" tooltip="Ver detalle"/>
          <a:extLst>
            <a:ext uri="{FF2B5EF4-FFF2-40B4-BE49-F238E27FC236}">
              <a16:creationId xmlns:a16="http://schemas.microsoft.com/office/drawing/2014/main" id="{367D43AC-6311-FC9A-8BFD-8C0292900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203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1838</xdr:row>
      <xdr:rowOff>0</xdr:rowOff>
    </xdr:from>
    <xdr:to>
      <xdr:col>13</xdr:col>
      <xdr:colOff>0</xdr:colOff>
      <xdr:row>1839</xdr:row>
      <xdr:rowOff>148590</xdr:rowOff>
    </xdr:to>
    <xdr:pic>
      <xdr:nvPicPr>
        <xdr:cNvPr id="2049" name="Imagen 2048" descr="Ver detalle">
          <a:hlinkClick xmlns:r="http://schemas.openxmlformats.org/officeDocument/2006/relationships" r:id="rId2090" tooltip="Ver detalle"/>
          <a:extLst>
            <a:ext uri="{FF2B5EF4-FFF2-40B4-BE49-F238E27FC236}">
              <a16:creationId xmlns:a16="http://schemas.microsoft.com/office/drawing/2014/main" id="{C8C39446-57DE-0A34-416C-FA31A7268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398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1836</xdr:row>
      <xdr:rowOff>0</xdr:rowOff>
    </xdr:from>
    <xdr:to>
      <xdr:col>13</xdr:col>
      <xdr:colOff>0</xdr:colOff>
      <xdr:row>1837</xdr:row>
      <xdr:rowOff>148590</xdr:rowOff>
    </xdr:to>
    <xdr:pic>
      <xdr:nvPicPr>
        <xdr:cNvPr id="2050" name="Imagen 2049" descr="Ver detalle">
          <a:hlinkClick xmlns:r="http://schemas.openxmlformats.org/officeDocument/2006/relationships" r:id="rId2091" tooltip="Ver detalle"/>
          <a:extLst>
            <a:ext uri="{FF2B5EF4-FFF2-40B4-BE49-F238E27FC236}">
              <a16:creationId xmlns:a16="http://schemas.microsoft.com/office/drawing/2014/main" id="{33D9BC20-D2DB-801A-8E12-A9D9104CE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593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1886</xdr:row>
      <xdr:rowOff>0</xdr:rowOff>
    </xdr:from>
    <xdr:to>
      <xdr:col>13</xdr:col>
      <xdr:colOff>0</xdr:colOff>
      <xdr:row>1887</xdr:row>
      <xdr:rowOff>148590</xdr:rowOff>
    </xdr:to>
    <xdr:pic>
      <xdr:nvPicPr>
        <xdr:cNvPr id="2051" name="Imagen 2050" descr="Ver detalle">
          <a:hlinkClick xmlns:r="http://schemas.openxmlformats.org/officeDocument/2006/relationships" r:id="rId2092" tooltip="Ver detalle"/>
          <a:extLst>
            <a:ext uri="{FF2B5EF4-FFF2-40B4-BE49-F238E27FC236}">
              <a16:creationId xmlns:a16="http://schemas.microsoft.com/office/drawing/2014/main" id="{0DC434F7-8696-1304-3088-E4F308272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788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1835</xdr:row>
      <xdr:rowOff>0</xdr:rowOff>
    </xdr:from>
    <xdr:to>
      <xdr:col>13</xdr:col>
      <xdr:colOff>0</xdr:colOff>
      <xdr:row>1836</xdr:row>
      <xdr:rowOff>148590</xdr:rowOff>
    </xdr:to>
    <xdr:pic>
      <xdr:nvPicPr>
        <xdr:cNvPr id="2052" name="Imagen 2051" descr="Ver detalle">
          <a:hlinkClick xmlns:r="http://schemas.openxmlformats.org/officeDocument/2006/relationships" r:id="rId2093" tooltip="Ver detalle"/>
          <a:extLst>
            <a:ext uri="{FF2B5EF4-FFF2-40B4-BE49-F238E27FC236}">
              <a16:creationId xmlns:a16="http://schemas.microsoft.com/office/drawing/2014/main" id="{E0C9820E-FFF3-1741-AFA5-098CA15F1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983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1890</xdr:row>
      <xdr:rowOff>0</xdr:rowOff>
    </xdr:from>
    <xdr:to>
      <xdr:col>13</xdr:col>
      <xdr:colOff>0</xdr:colOff>
      <xdr:row>1891</xdr:row>
      <xdr:rowOff>148590</xdr:rowOff>
    </xdr:to>
    <xdr:pic>
      <xdr:nvPicPr>
        <xdr:cNvPr id="2053" name="Imagen 2052" descr="Ver detalle">
          <a:hlinkClick xmlns:r="http://schemas.openxmlformats.org/officeDocument/2006/relationships" r:id="rId2094" tooltip="Ver detalle"/>
          <a:extLst>
            <a:ext uri="{FF2B5EF4-FFF2-40B4-BE49-F238E27FC236}">
              <a16:creationId xmlns:a16="http://schemas.microsoft.com/office/drawing/2014/main" id="{D7DF89CB-4E29-DFCC-0BA9-1F7F15697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1789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1892</xdr:row>
      <xdr:rowOff>0</xdr:rowOff>
    </xdr:from>
    <xdr:to>
      <xdr:col>13</xdr:col>
      <xdr:colOff>0</xdr:colOff>
      <xdr:row>1893</xdr:row>
      <xdr:rowOff>148590</xdr:rowOff>
    </xdr:to>
    <xdr:pic>
      <xdr:nvPicPr>
        <xdr:cNvPr id="2054" name="Imagen 2053" descr="Ver detalle">
          <a:hlinkClick xmlns:r="http://schemas.openxmlformats.org/officeDocument/2006/relationships" r:id="rId2095" tooltip="Ver detalle"/>
          <a:extLst>
            <a:ext uri="{FF2B5EF4-FFF2-40B4-BE49-F238E27FC236}">
              <a16:creationId xmlns:a16="http://schemas.microsoft.com/office/drawing/2014/main" id="{512D9370-01E2-DBE1-7C2F-92615DAFE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374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1893</xdr:row>
      <xdr:rowOff>0</xdr:rowOff>
    </xdr:from>
    <xdr:to>
      <xdr:col>13</xdr:col>
      <xdr:colOff>0</xdr:colOff>
      <xdr:row>1894</xdr:row>
      <xdr:rowOff>148590</xdr:rowOff>
    </xdr:to>
    <xdr:pic>
      <xdr:nvPicPr>
        <xdr:cNvPr id="2055" name="Imagen 2054" descr="Ver detalle">
          <a:hlinkClick xmlns:r="http://schemas.openxmlformats.org/officeDocument/2006/relationships" r:id="rId2096" tooltip="Ver detalle"/>
          <a:extLst>
            <a:ext uri="{FF2B5EF4-FFF2-40B4-BE49-F238E27FC236}">
              <a16:creationId xmlns:a16="http://schemas.microsoft.com/office/drawing/2014/main" id="{33B2AA27-DFD7-1953-D916-A151DFBEE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5691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1894</xdr:row>
      <xdr:rowOff>0</xdr:rowOff>
    </xdr:from>
    <xdr:to>
      <xdr:col>13</xdr:col>
      <xdr:colOff>0</xdr:colOff>
      <xdr:row>1895</xdr:row>
      <xdr:rowOff>148590</xdr:rowOff>
    </xdr:to>
    <xdr:pic>
      <xdr:nvPicPr>
        <xdr:cNvPr id="2056" name="Imagen 2055" descr="Ver detalle">
          <a:hlinkClick xmlns:r="http://schemas.openxmlformats.org/officeDocument/2006/relationships" r:id="rId2097" tooltip="Ver detalle"/>
          <a:extLst>
            <a:ext uri="{FF2B5EF4-FFF2-40B4-BE49-F238E27FC236}">
              <a16:creationId xmlns:a16="http://schemas.microsoft.com/office/drawing/2014/main" id="{066DDAFF-4715-10A8-0DA6-8FF16AAF1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660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1895</xdr:row>
      <xdr:rowOff>0</xdr:rowOff>
    </xdr:from>
    <xdr:to>
      <xdr:col>13</xdr:col>
      <xdr:colOff>0</xdr:colOff>
      <xdr:row>1896</xdr:row>
      <xdr:rowOff>148590</xdr:rowOff>
    </xdr:to>
    <xdr:pic>
      <xdr:nvPicPr>
        <xdr:cNvPr id="2057" name="Imagen 2056" descr="Ver detalle">
          <a:hlinkClick xmlns:r="http://schemas.openxmlformats.org/officeDocument/2006/relationships" r:id="rId2098" tooltip="Ver detalle"/>
          <a:extLst>
            <a:ext uri="{FF2B5EF4-FFF2-40B4-BE49-F238E27FC236}">
              <a16:creationId xmlns:a16="http://schemas.microsoft.com/office/drawing/2014/main" id="{B54A2D63-2BB1-9AA5-3FFA-414DCEADB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752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1889</xdr:row>
      <xdr:rowOff>0</xdr:rowOff>
    </xdr:from>
    <xdr:to>
      <xdr:col>13</xdr:col>
      <xdr:colOff>0</xdr:colOff>
      <xdr:row>1890</xdr:row>
      <xdr:rowOff>148590</xdr:rowOff>
    </xdr:to>
    <xdr:pic>
      <xdr:nvPicPr>
        <xdr:cNvPr id="2058" name="Imagen 2057" descr="Ver detalle">
          <a:hlinkClick xmlns:r="http://schemas.openxmlformats.org/officeDocument/2006/relationships" r:id="rId2099" tooltip="Ver detalle"/>
          <a:extLst>
            <a:ext uri="{FF2B5EF4-FFF2-40B4-BE49-F238E27FC236}">
              <a16:creationId xmlns:a16="http://schemas.microsoft.com/office/drawing/2014/main" id="{3AC3A906-201A-41EF-766B-8508ACF3F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9470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1891</xdr:row>
      <xdr:rowOff>0</xdr:rowOff>
    </xdr:from>
    <xdr:to>
      <xdr:col>13</xdr:col>
      <xdr:colOff>0</xdr:colOff>
      <xdr:row>1892</xdr:row>
      <xdr:rowOff>148590</xdr:rowOff>
    </xdr:to>
    <xdr:pic>
      <xdr:nvPicPr>
        <xdr:cNvPr id="2059" name="Imagen 2058" descr="Ver detalle">
          <a:hlinkClick xmlns:r="http://schemas.openxmlformats.org/officeDocument/2006/relationships" r:id="rId2100" tooltip="Ver detalle"/>
          <a:extLst>
            <a:ext uri="{FF2B5EF4-FFF2-40B4-BE49-F238E27FC236}">
              <a16:creationId xmlns:a16="http://schemas.microsoft.com/office/drawing/2014/main" id="{07E16C74-4460-0444-7B98-9204C5DE7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142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1839</xdr:row>
      <xdr:rowOff>0</xdr:rowOff>
    </xdr:from>
    <xdr:to>
      <xdr:col>13</xdr:col>
      <xdr:colOff>0</xdr:colOff>
      <xdr:row>1840</xdr:row>
      <xdr:rowOff>118110</xdr:rowOff>
    </xdr:to>
    <xdr:pic>
      <xdr:nvPicPr>
        <xdr:cNvPr id="2060" name="Imagen 2059" descr="Ver detalle">
          <a:hlinkClick xmlns:r="http://schemas.openxmlformats.org/officeDocument/2006/relationships" r:id="rId2101" tooltip="Ver detalle"/>
          <a:extLst>
            <a:ext uri="{FF2B5EF4-FFF2-40B4-BE49-F238E27FC236}">
              <a16:creationId xmlns:a16="http://schemas.microsoft.com/office/drawing/2014/main" id="{726F66B2-A775-2669-DDB6-F9DF3B94D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3372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1833</xdr:row>
      <xdr:rowOff>0</xdr:rowOff>
    </xdr:from>
    <xdr:to>
      <xdr:col>13</xdr:col>
      <xdr:colOff>0</xdr:colOff>
      <xdr:row>1834</xdr:row>
      <xdr:rowOff>148590</xdr:rowOff>
    </xdr:to>
    <xdr:pic>
      <xdr:nvPicPr>
        <xdr:cNvPr id="2161" name="Imagen 2160" descr="Ver detalle">
          <a:hlinkClick xmlns:r="http://schemas.openxmlformats.org/officeDocument/2006/relationships" r:id="rId2102" tooltip="Ver detalle"/>
          <a:extLst>
            <a:ext uri="{FF2B5EF4-FFF2-40B4-BE49-F238E27FC236}">
              <a16:creationId xmlns:a16="http://schemas.microsoft.com/office/drawing/2014/main" id="{C1E4F384-3E01-6411-2136-AE0346E83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520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1834</xdr:row>
      <xdr:rowOff>0</xdr:rowOff>
    </xdr:from>
    <xdr:to>
      <xdr:col>13</xdr:col>
      <xdr:colOff>0</xdr:colOff>
      <xdr:row>1835</xdr:row>
      <xdr:rowOff>148590</xdr:rowOff>
    </xdr:to>
    <xdr:pic>
      <xdr:nvPicPr>
        <xdr:cNvPr id="2162" name="Imagen 2161" descr="Ver detalle">
          <a:hlinkClick xmlns:r="http://schemas.openxmlformats.org/officeDocument/2006/relationships" r:id="rId2103" tooltip="Ver detalle"/>
          <a:extLst>
            <a:ext uri="{FF2B5EF4-FFF2-40B4-BE49-F238E27FC236}">
              <a16:creationId xmlns:a16="http://schemas.microsoft.com/office/drawing/2014/main" id="{E7DBB956-337D-9450-A376-225DAA5AD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715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1887</xdr:row>
      <xdr:rowOff>0</xdr:rowOff>
    </xdr:from>
    <xdr:to>
      <xdr:col>13</xdr:col>
      <xdr:colOff>0</xdr:colOff>
      <xdr:row>1888</xdr:row>
      <xdr:rowOff>148590</xdr:rowOff>
    </xdr:to>
    <xdr:pic>
      <xdr:nvPicPr>
        <xdr:cNvPr id="2163" name="Imagen 2162" descr="Ver detalle">
          <a:hlinkClick xmlns:r="http://schemas.openxmlformats.org/officeDocument/2006/relationships" r:id="rId2104" tooltip="Ver detalle"/>
          <a:extLst>
            <a:ext uri="{FF2B5EF4-FFF2-40B4-BE49-F238E27FC236}">
              <a16:creationId xmlns:a16="http://schemas.microsoft.com/office/drawing/2014/main" id="{CAA1F7DD-CA73-AD82-1415-CBFEB7112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910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1888</xdr:row>
      <xdr:rowOff>0</xdr:rowOff>
    </xdr:from>
    <xdr:to>
      <xdr:col>13</xdr:col>
      <xdr:colOff>0</xdr:colOff>
      <xdr:row>1889</xdr:row>
      <xdr:rowOff>148590</xdr:rowOff>
    </xdr:to>
    <xdr:pic>
      <xdr:nvPicPr>
        <xdr:cNvPr id="2164" name="Imagen 2163" descr="Ver detalle">
          <a:hlinkClick xmlns:r="http://schemas.openxmlformats.org/officeDocument/2006/relationships" r:id="rId2105" tooltip="Ver detalle"/>
          <a:extLst>
            <a:ext uri="{FF2B5EF4-FFF2-40B4-BE49-F238E27FC236}">
              <a16:creationId xmlns:a16="http://schemas.microsoft.com/office/drawing/2014/main" id="{3380976E-5DBC-ADBC-ED79-ED91104FF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105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1874</xdr:row>
      <xdr:rowOff>0</xdr:rowOff>
    </xdr:from>
    <xdr:to>
      <xdr:col>13</xdr:col>
      <xdr:colOff>0</xdr:colOff>
      <xdr:row>1875</xdr:row>
      <xdr:rowOff>148590</xdr:rowOff>
    </xdr:to>
    <xdr:pic>
      <xdr:nvPicPr>
        <xdr:cNvPr id="2165" name="Imagen 2164" descr="Ver detalle">
          <a:hlinkClick xmlns:r="http://schemas.openxmlformats.org/officeDocument/2006/relationships" r:id="rId2106" tooltip="Ver detalle"/>
          <a:extLst>
            <a:ext uri="{FF2B5EF4-FFF2-40B4-BE49-F238E27FC236}">
              <a16:creationId xmlns:a16="http://schemas.microsoft.com/office/drawing/2014/main" id="{D277E62D-5852-F5A5-D227-80FE469F3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3004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1875</xdr:row>
      <xdr:rowOff>0</xdr:rowOff>
    </xdr:from>
    <xdr:to>
      <xdr:col>13</xdr:col>
      <xdr:colOff>0</xdr:colOff>
      <xdr:row>1876</xdr:row>
      <xdr:rowOff>148590</xdr:rowOff>
    </xdr:to>
    <xdr:pic>
      <xdr:nvPicPr>
        <xdr:cNvPr id="2166" name="Imagen 2165" descr="Ver detalle">
          <a:hlinkClick xmlns:r="http://schemas.openxmlformats.org/officeDocument/2006/relationships" r:id="rId2107" tooltip="Ver detalle"/>
          <a:extLst>
            <a:ext uri="{FF2B5EF4-FFF2-40B4-BE49-F238E27FC236}">
              <a16:creationId xmlns:a16="http://schemas.microsoft.com/office/drawing/2014/main" id="{1F582819-95D7-95E5-0A03-0C2750B36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495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1870</xdr:row>
      <xdr:rowOff>0</xdr:rowOff>
    </xdr:from>
    <xdr:to>
      <xdr:col>13</xdr:col>
      <xdr:colOff>0</xdr:colOff>
      <xdr:row>1871</xdr:row>
      <xdr:rowOff>148590</xdr:rowOff>
    </xdr:to>
    <xdr:pic>
      <xdr:nvPicPr>
        <xdr:cNvPr id="2167" name="Imagen 2166" descr="Ver detalle">
          <a:hlinkClick xmlns:r="http://schemas.openxmlformats.org/officeDocument/2006/relationships" r:id="rId2108" tooltip="Ver detalle"/>
          <a:extLst>
            <a:ext uri="{FF2B5EF4-FFF2-40B4-BE49-F238E27FC236}">
              <a16:creationId xmlns:a16="http://schemas.microsoft.com/office/drawing/2014/main" id="{C7AD8C1A-8B3B-CC38-A287-31F6CC4F3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6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1876</xdr:row>
      <xdr:rowOff>0</xdr:rowOff>
    </xdr:from>
    <xdr:to>
      <xdr:col>13</xdr:col>
      <xdr:colOff>0</xdr:colOff>
      <xdr:row>1877</xdr:row>
      <xdr:rowOff>148590</xdr:rowOff>
    </xdr:to>
    <xdr:pic>
      <xdr:nvPicPr>
        <xdr:cNvPr id="2168" name="Imagen 2167" descr="Ver detalle">
          <a:hlinkClick xmlns:r="http://schemas.openxmlformats.org/officeDocument/2006/relationships" r:id="rId2109" tooltip="Ver detalle"/>
          <a:extLst>
            <a:ext uri="{FF2B5EF4-FFF2-40B4-BE49-F238E27FC236}">
              <a16:creationId xmlns:a16="http://schemas.microsoft.com/office/drawing/2014/main" id="{2431FA50-D5CB-39EC-6845-14DFF9BBE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885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1877</xdr:row>
      <xdr:rowOff>0</xdr:rowOff>
    </xdr:from>
    <xdr:to>
      <xdr:col>13</xdr:col>
      <xdr:colOff>0</xdr:colOff>
      <xdr:row>1878</xdr:row>
      <xdr:rowOff>148590</xdr:rowOff>
    </xdr:to>
    <xdr:pic>
      <xdr:nvPicPr>
        <xdr:cNvPr id="2169" name="Imagen 2168" descr="Ver detalle">
          <a:hlinkClick xmlns:r="http://schemas.openxmlformats.org/officeDocument/2006/relationships" r:id="rId2110" tooltip="Ver detalle"/>
          <a:extLst>
            <a:ext uri="{FF2B5EF4-FFF2-40B4-BE49-F238E27FC236}">
              <a16:creationId xmlns:a16="http://schemas.microsoft.com/office/drawing/2014/main" id="{12A69F73-C7ED-1420-4282-B5748F707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080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1878</xdr:row>
      <xdr:rowOff>0</xdr:rowOff>
    </xdr:from>
    <xdr:to>
      <xdr:col>13</xdr:col>
      <xdr:colOff>0</xdr:colOff>
      <xdr:row>1879</xdr:row>
      <xdr:rowOff>148590</xdr:rowOff>
    </xdr:to>
    <xdr:pic>
      <xdr:nvPicPr>
        <xdr:cNvPr id="2170" name="Imagen 2169" descr="Ver detalle">
          <a:hlinkClick xmlns:r="http://schemas.openxmlformats.org/officeDocument/2006/relationships" r:id="rId2111" tooltip="Ver detalle"/>
          <a:extLst>
            <a:ext uri="{FF2B5EF4-FFF2-40B4-BE49-F238E27FC236}">
              <a16:creationId xmlns:a16="http://schemas.microsoft.com/office/drawing/2014/main" id="{6F2D8A77-EE95-AFBC-FEDB-E82168B28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2757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1879</xdr:row>
      <xdr:rowOff>0</xdr:rowOff>
    </xdr:from>
    <xdr:to>
      <xdr:col>13</xdr:col>
      <xdr:colOff>0</xdr:colOff>
      <xdr:row>1880</xdr:row>
      <xdr:rowOff>148590</xdr:rowOff>
    </xdr:to>
    <xdr:pic>
      <xdr:nvPicPr>
        <xdr:cNvPr id="2171" name="Imagen 2170" descr="Ver detalle">
          <a:hlinkClick xmlns:r="http://schemas.openxmlformats.org/officeDocument/2006/relationships" r:id="rId2112" tooltip="Ver detalle"/>
          <a:extLst>
            <a:ext uri="{FF2B5EF4-FFF2-40B4-BE49-F238E27FC236}">
              <a16:creationId xmlns:a16="http://schemas.microsoft.com/office/drawing/2014/main" id="{A6D12546-5D4C-CC7B-7AED-9A7295C75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4708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1880</xdr:row>
      <xdr:rowOff>0</xdr:rowOff>
    </xdr:from>
    <xdr:to>
      <xdr:col>13</xdr:col>
      <xdr:colOff>0</xdr:colOff>
      <xdr:row>1881</xdr:row>
      <xdr:rowOff>148590</xdr:rowOff>
    </xdr:to>
    <xdr:pic>
      <xdr:nvPicPr>
        <xdr:cNvPr id="2172" name="Imagen 2171" descr="Ver detalle">
          <a:hlinkClick xmlns:r="http://schemas.openxmlformats.org/officeDocument/2006/relationships" r:id="rId2113" tooltip="Ver detalle"/>
          <a:extLst>
            <a:ext uri="{FF2B5EF4-FFF2-40B4-BE49-F238E27FC236}">
              <a16:creationId xmlns:a16="http://schemas.microsoft.com/office/drawing/2014/main" id="{10281264-DCD3-1A46-C8F3-1D81C5243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665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1881</xdr:row>
      <xdr:rowOff>0</xdr:rowOff>
    </xdr:from>
    <xdr:to>
      <xdr:col>13</xdr:col>
      <xdr:colOff>0</xdr:colOff>
      <xdr:row>1882</xdr:row>
      <xdr:rowOff>148590</xdr:rowOff>
    </xdr:to>
    <xdr:pic>
      <xdr:nvPicPr>
        <xdr:cNvPr id="2173" name="Imagen 2172" descr="Ver detalle">
          <a:hlinkClick xmlns:r="http://schemas.openxmlformats.org/officeDocument/2006/relationships" r:id="rId2114" tooltip="Ver detalle"/>
          <a:extLst>
            <a:ext uri="{FF2B5EF4-FFF2-40B4-BE49-F238E27FC236}">
              <a16:creationId xmlns:a16="http://schemas.microsoft.com/office/drawing/2014/main" id="{8B6B0567-3062-640C-26DA-60FA5C00A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75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1882</xdr:row>
      <xdr:rowOff>0</xdr:rowOff>
    </xdr:from>
    <xdr:to>
      <xdr:col>13</xdr:col>
      <xdr:colOff>0</xdr:colOff>
      <xdr:row>1883</xdr:row>
      <xdr:rowOff>148590</xdr:rowOff>
    </xdr:to>
    <xdr:pic>
      <xdr:nvPicPr>
        <xdr:cNvPr id="2174" name="Imagen 2173" descr="Ver detalle">
          <a:hlinkClick xmlns:r="http://schemas.openxmlformats.org/officeDocument/2006/relationships" r:id="rId2115" tooltip="Ver detalle"/>
          <a:extLst>
            <a:ext uri="{FF2B5EF4-FFF2-40B4-BE49-F238E27FC236}">
              <a16:creationId xmlns:a16="http://schemas.microsoft.com/office/drawing/2014/main" id="{2EE618E4-D910-7D48-D23A-7DC4E34CB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848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1883</xdr:row>
      <xdr:rowOff>0</xdr:rowOff>
    </xdr:from>
    <xdr:to>
      <xdr:col>13</xdr:col>
      <xdr:colOff>0</xdr:colOff>
      <xdr:row>1884</xdr:row>
      <xdr:rowOff>148590</xdr:rowOff>
    </xdr:to>
    <xdr:pic>
      <xdr:nvPicPr>
        <xdr:cNvPr id="2175" name="Imagen 2174" descr="Ver detalle">
          <a:hlinkClick xmlns:r="http://schemas.openxmlformats.org/officeDocument/2006/relationships" r:id="rId2116" tooltip="Ver detalle"/>
          <a:extLst>
            <a:ext uri="{FF2B5EF4-FFF2-40B4-BE49-F238E27FC236}">
              <a16:creationId xmlns:a16="http://schemas.microsoft.com/office/drawing/2014/main" id="{16DB1EF0-A7FB-6F75-CA9A-02092ED07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940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1884</xdr:row>
      <xdr:rowOff>0</xdr:rowOff>
    </xdr:from>
    <xdr:to>
      <xdr:col>13</xdr:col>
      <xdr:colOff>0</xdr:colOff>
      <xdr:row>1885</xdr:row>
      <xdr:rowOff>148590</xdr:rowOff>
    </xdr:to>
    <xdr:pic>
      <xdr:nvPicPr>
        <xdr:cNvPr id="2176" name="Imagen 2175" descr="Ver detalle">
          <a:hlinkClick xmlns:r="http://schemas.openxmlformats.org/officeDocument/2006/relationships" r:id="rId2117" tooltip="Ver detalle"/>
          <a:extLst>
            <a:ext uri="{FF2B5EF4-FFF2-40B4-BE49-F238E27FC236}">
              <a16:creationId xmlns:a16="http://schemas.microsoft.com/office/drawing/2014/main" id="{B5C5D3FE-994C-EA0D-7BA1-7C6B040FF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031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1873</xdr:row>
      <xdr:rowOff>0</xdr:rowOff>
    </xdr:from>
    <xdr:to>
      <xdr:col>13</xdr:col>
      <xdr:colOff>0</xdr:colOff>
      <xdr:row>1874</xdr:row>
      <xdr:rowOff>148590</xdr:rowOff>
    </xdr:to>
    <xdr:pic>
      <xdr:nvPicPr>
        <xdr:cNvPr id="2177" name="Imagen 2176" descr="Ver detalle">
          <a:hlinkClick xmlns:r="http://schemas.openxmlformats.org/officeDocument/2006/relationships" r:id="rId2118" tooltip="Ver detalle"/>
          <a:extLst>
            <a:ext uri="{FF2B5EF4-FFF2-40B4-BE49-F238E27FC236}">
              <a16:creationId xmlns:a16="http://schemas.microsoft.com/office/drawing/2014/main" id="{C5612BAF-9FCE-EF1E-098F-599BDC4EA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123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1871</xdr:row>
      <xdr:rowOff>0</xdr:rowOff>
    </xdr:from>
    <xdr:to>
      <xdr:col>13</xdr:col>
      <xdr:colOff>0</xdr:colOff>
      <xdr:row>1872</xdr:row>
      <xdr:rowOff>148590</xdr:rowOff>
    </xdr:to>
    <xdr:pic>
      <xdr:nvPicPr>
        <xdr:cNvPr id="2178" name="Imagen 2177" descr="Ver detalle">
          <a:hlinkClick xmlns:r="http://schemas.openxmlformats.org/officeDocument/2006/relationships" r:id="rId2119" tooltip="Ver detalle"/>
          <a:extLst>
            <a:ext uri="{FF2B5EF4-FFF2-40B4-BE49-F238E27FC236}">
              <a16:creationId xmlns:a16="http://schemas.microsoft.com/office/drawing/2014/main" id="{B45BF38C-2DA6-15D2-B2AC-D4A56084D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318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1872</xdr:row>
      <xdr:rowOff>0</xdr:rowOff>
    </xdr:from>
    <xdr:to>
      <xdr:col>13</xdr:col>
      <xdr:colOff>0</xdr:colOff>
      <xdr:row>1873</xdr:row>
      <xdr:rowOff>148590</xdr:rowOff>
    </xdr:to>
    <xdr:pic>
      <xdr:nvPicPr>
        <xdr:cNvPr id="2179" name="Imagen 2178" descr="Ver detalle">
          <a:hlinkClick xmlns:r="http://schemas.openxmlformats.org/officeDocument/2006/relationships" r:id="rId2120" tooltip="Ver detalle"/>
          <a:extLst>
            <a:ext uri="{FF2B5EF4-FFF2-40B4-BE49-F238E27FC236}">
              <a16:creationId xmlns:a16="http://schemas.microsoft.com/office/drawing/2014/main" id="{804D248A-4DC2-89F6-5C94-0A083FE72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5132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1831</xdr:row>
      <xdr:rowOff>0</xdr:rowOff>
    </xdr:from>
    <xdr:to>
      <xdr:col>13</xdr:col>
      <xdr:colOff>0</xdr:colOff>
      <xdr:row>1832</xdr:row>
      <xdr:rowOff>148590</xdr:rowOff>
    </xdr:to>
    <xdr:pic>
      <xdr:nvPicPr>
        <xdr:cNvPr id="2180" name="Imagen 2179" descr="Ver detalle">
          <a:hlinkClick xmlns:r="http://schemas.openxmlformats.org/officeDocument/2006/relationships" r:id="rId2121" tooltip="Ver detalle"/>
          <a:extLst>
            <a:ext uri="{FF2B5EF4-FFF2-40B4-BE49-F238E27FC236}">
              <a16:creationId xmlns:a16="http://schemas.microsoft.com/office/drawing/2014/main" id="{19F600FA-0B79-EE8C-87E6-F5D9DAB44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7083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1827</xdr:row>
      <xdr:rowOff>0</xdr:rowOff>
    </xdr:from>
    <xdr:to>
      <xdr:col>13</xdr:col>
      <xdr:colOff>0</xdr:colOff>
      <xdr:row>1828</xdr:row>
      <xdr:rowOff>148590</xdr:rowOff>
    </xdr:to>
    <xdr:pic>
      <xdr:nvPicPr>
        <xdr:cNvPr id="2181" name="Imagen 2180" descr="Ver detalle">
          <a:hlinkClick xmlns:r="http://schemas.openxmlformats.org/officeDocument/2006/relationships" r:id="rId2122" tooltip="Ver detalle"/>
          <a:extLst>
            <a:ext uri="{FF2B5EF4-FFF2-40B4-BE49-F238E27FC236}">
              <a16:creationId xmlns:a16="http://schemas.microsoft.com/office/drawing/2014/main" id="{BE18A1CC-ED97-3768-3781-30C119016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903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1826</xdr:row>
      <xdr:rowOff>0</xdr:rowOff>
    </xdr:from>
    <xdr:to>
      <xdr:col>13</xdr:col>
      <xdr:colOff>0</xdr:colOff>
      <xdr:row>1827</xdr:row>
      <xdr:rowOff>148590</xdr:rowOff>
    </xdr:to>
    <xdr:pic>
      <xdr:nvPicPr>
        <xdr:cNvPr id="2182" name="Imagen 2181" descr="Ver detalle">
          <a:hlinkClick xmlns:r="http://schemas.openxmlformats.org/officeDocument/2006/relationships" r:id="rId2123" tooltip="Ver detalle"/>
          <a:extLst>
            <a:ext uri="{FF2B5EF4-FFF2-40B4-BE49-F238E27FC236}">
              <a16:creationId xmlns:a16="http://schemas.microsoft.com/office/drawing/2014/main" id="{587983EE-C32F-66C9-F113-4970E80044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098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1865</xdr:row>
      <xdr:rowOff>0</xdr:rowOff>
    </xdr:from>
    <xdr:to>
      <xdr:col>13</xdr:col>
      <xdr:colOff>0</xdr:colOff>
      <xdr:row>1866</xdr:row>
      <xdr:rowOff>148590</xdr:rowOff>
    </xdr:to>
    <xdr:pic>
      <xdr:nvPicPr>
        <xdr:cNvPr id="2183" name="Imagen 2182" descr="Ver detalle">
          <a:hlinkClick xmlns:r="http://schemas.openxmlformats.org/officeDocument/2006/relationships" r:id="rId2124" tooltip="Ver detalle"/>
          <a:extLst>
            <a:ext uri="{FF2B5EF4-FFF2-40B4-BE49-F238E27FC236}">
              <a16:creationId xmlns:a16="http://schemas.microsoft.com/office/drawing/2014/main" id="{09BC490B-A7B0-8224-B823-C4DE62264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293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1866</xdr:row>
      <xdr:rowOff>0</xdr:rowOff>
    </xdr:from>
    <xdr:to>
      <xdr:col>13</xdr:col>
      <xdr:colOff>0</xdr:colOff>
      <xdr:row>1867</xdr:row>
      <xdr:rowOff>148590</xdr:rowOff>
    </xdr:to>
    <xdr:pic>
      <xdr:nvPicPr>
        <xdr:cNvPr id="2184" name="Imagen 2183" descr="Ver detalle">
          <a:hlinkClick xmlns:r="http://schemas.openxmlformats.org/officeDocument/2006/relationships" r:id="rId2125" tooltip="Ver detalle"/>
          <a:extLst>
            <a:ext uri="{FF2B5EF4-FFF2-40B4-BE49-F238E27FC236}">
              <a16:creationId xmlns:a16="http://schemas.microsoft.com/office/drawing/2014/main" id="{43360849-5F89-2D73-DFF3-44406BDCE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423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1869</xdr:row>
      <xdr:rowOff>0</xdr:rowOff>
    </xdr:from>
    <xdr:to>
      <xdr:col>13</xdr:col>
      <xdr:colOff>0</xdr:colOff>
      <xdr:row>1870</xdr:row>
      <xdr:rowOff>148590</xdr:rowOff>
    </xdr:to>
    <xdr:pic>
      <xdr:nvPicPr>
        <xdr:cNvPr id="2185" name="Imagen 2184" descr="Ver detalle">
          <a:hlinkClick xmlns:r="http://schemas.openxmlformats.org/officeDocument/2006/relationships" r:id="rId2126" tooltip="Ver detalle"/>
          <a:extLst>
            <a:ext uri="{FF2B5EF4-FFF2-40B4-BE49-F238E27FC236}">
              <a16:creationId xmlns:a16="http://schemas.microsoft.com/office/drawing/2014/main" id="{063AB3EF-29D0-6DE4-530D-5FBAF9470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749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1867</xdr:row>
      <xdr:rowOff>0</xdr:rowOff>
    </xdr:from>
    <xdr:to>
      <xdr:col>13</xdr:col>
      <xdr:colOff>0</xdr:colOff>
      <xdr:row>1868</xdr:row>
      <xdr:rowOff>148590</xdr:rowOff>
    </xdr:to>
    <xdr:pic>
      <xdr:nvPicPr>
        <xdr:cNvPr id="2186" name="Imagen 2185" descr="Ver detalle">
          <a:hlinkClick xmlns:r="http://schemas.openxmlformats.org/officeDocument/2006/relationships" r:id="rId2127" tooltip="Ver detalle"/>
          <a:extLst>
            <a:ext uri="{FF2B5EF4-FFF2-40B4-BE49-F238E27FC236}">
              <a16:creationId xmlns:a16="http://schemas.microsoft.com/office/drawing/2014/main" id="{37FBBC2A-6D83-C779-AB23-FB4D57D14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944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1830</xdr:row>
      <xdr:rowOff>0</xdr:rowOff>
    </xdr:from>
    <xdr:to>
      <xdr:col>13</xdr:col>
      <xdr:colOff>0</xdr:colOff>
      <xdr:row>1831</xdr:row>
      <xdr:rowOff>148590</xdr:rowOff>
    </xdr:to>
    <xdr:pic>
      <xdr:nvPicPr>
        <xdr:cNvPr id="2187" name="Imagen 2186" descr="Ver detalle">
          <a:hlinkClick xmlns:r="http://schemas.openxmlformats.org/officeDocument/2006/relationships" r:id="rId2128" tooltip="Ver detalle"/>
          <a:extLst>
            <a:ext uri="{FF2B5EF4-FFF2-40B4-BE49-F238E27FC236}">
              <a16:creationId xmlns:a16="http://schemas.microsoft.com/office/drawing/2014/main" id="{B590414B-2773-9B8C-BE45-4B1F4BF59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074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1828</xdr:row>
      <xdr:rowOff>0</xdr:rowOff>
    </xdr:from>
    <xdr:to>
      <xdr:col>13</xdr:col>
      <xdr:colOff>0</xdr:colOff>
      <xdr:row>1829</xdr:row>
      <xdr:rowOff>148590</xdr:rowOff>
    </xdr:to>
    <xdr:pic>
      <xdr:nvPicPr>
        <xdr:cNvPr id="2188" name="Imagen 2187" descr="Ver detalle">
          <a:hlinkClick xmlns:r="http://schemas.openxmlformats.org/officeDocument/2006/relationships" r:id="rId2129" tooltip="Ver detalle"/>
          <a:extLst>
            <a:ext uri="{FF2B5EF4-FFF2-40B4-BE49-F238E27FC236}">
              <a16:creationId xmlns:a16="http://schemas.microsoft.com/office/drawing/2014/main" id="{EF230FB4-ED74-E0DB-36BA-666445475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269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1857</xdr:row>
      <xdr:rowOff>0</xdr:rowOff>
    </xdr:from>
    <xdr:to>
      <xdr:col>13</xdr:col>
      <xdr:colOff>0</xdr:colOff>
      <xdr:row>1858</xdr:row>
      <xdr:rowOff>148590</xdr:rowOff>
    </xdr:to>
    <xdr:pic>
      <xdr:nvPicPr>
        <xdr:cNvPr id="2189" name="Imagen 2188" descr="Ver detalle">
          <a:hlinkClick xmlns:r="http://schemas.openxmlformats.org/officeDocument/2006/relationships" r:id="rId2130" tooltip="Ver detalle"/>
          <a:extLst>
            <a:ext uri="{FF2B5EF4-FFF2-40B4-BE49-F238E27FC236}">
              <a16:creationId xmlns:a16="http://schemas.microsoft.com/office/drawing/2014/main" id="{9F02539C-D25F-D4BA-0A54-7912F1813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464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1858</xdr:row>
      <xdr:rowOff>0</xdr:rowOff>
    </xdr:from>
    <xdr:to>
      <xdr:col>13</xdr:col>
      <xdr:colOff>0</xdr:colOff>
      <xdr:row>1859</xdr:row>
      <xdr:rowOff>148590</xdr:rowOff>
    </xdr:to>
    <xdr:pic>
      <xdr:nvPicPr>
        <xdr:cNvPr id="2190" name="Imagen 2189" descr="Ver detalle">
          <a:hlinkClick xmlns:r="http://schemas.openxmlformats.org/officeDocument/2006/relationships" r:id="rId2131" tooltip="Ver detalle"/>
          <a:extLst>
            <a:ext uri="{FF2B5EF4-FFF2-40B4-BE49-F238E27FC236}">
              <a16:creationId xmlns:a16="http://schemas.microsoft.com/office/drawing/2014/main" id="{2BFB4A85-74A1-E753-A9BA-3BEC9361B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659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1859</xdr:row>
      <xdr:rowOff>0</xdr:rowOff>
    </xdr:from>
    <xdr:to>
      <xdr:col>13</xdr:col>
      <xdr:colOff>0</xdr:colOff>
      <xdr:row>1860</xdr:row>
      <xdr:rowOff>148590</xdr:rowOff>
    </xdr:to>
    <xdr:pic>
      <xdr:nvPicPr>
        <xdr:cNvPr id="2191" name="Imagen 2190" descr="Ver detalle">
          <a:hlinkClick xmlns:r="http://schemas.openxmlformats.org/officeDocument/2006/relationships" r:id="rId2132" tooltip="Ver detalle"/>
          <a:extLst>
            <a:ext uri="{FF2B5EF4-FFF2-40B4-BE49-F238E27FC236}">
              <a16:creationId xmlns:a16="http://schemas.microsoft.com/office/drawing/2014/main" id="{5AA28333-F893-FF89-45DF-F433831B0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85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1860</xdr:row>
      <xdr:rowOff>0</xdr:rowOff>
    </xdr:from>
    <xdr:to>
      <xdr:col>13</xdr:col>
      <xdr:colOff>0</xdr:colOff>
      <xdr:row>1861</xdr:row>
      <xdr:rowOff>148590</xdr:rowOff>
    </xdr:to>
    <xdr:pic>
      <xdr:nvPicPr>
        <xdr:cNvPr id="2192" name="Imagen 2191" descr="Ver detalle">
          <a:hlinkClick xmlns:r="http://schemas.openxmlformats.org/officeDocument/2006/relationships" r:id="rId2133" tooltip="Ver detalle"/>
          <a:extLst>
            <a:ext uri="{FF2B5EF4-FFF2-40B4-BE49-F238E27FC236}">
              <a16:creationId xmlns:a16="http://schemas.microsoft.com/office/drawing/2014/main" id="{74A07756-0C9E-9EFF-0997-E30CE55AE4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985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1851</xdr:row>
      <xdr:rowOff>0</xdr:rowOff>
    </xdr:from>
    <xdr:to>
      <xdr:col>13</xdr:col>
      <xdr:colOff>0</xdr:colOff>
      <xdr:row>1852</xdr:row>
      <xdr:rowOff>148590</xdr:rowOff>
    </xdr:to>
    <xdr:pic>
      <xdr:nvPicPr>
        <xdr:cNvPr id="2193" name="Imagen 2192" descr="Ver detalle">
          <a:hlinkClick xmlns:r="http://schemas.openxmlformats.org/officeDocument/2006/relationships" r:id="rId2134" tooltip="Ver detalle"/>
          <a:extLst>
            <a:ext uri="{FF2B5EF4-FFF2-40B4-BE49-F238E27FC236}">
              <a16:creationId xmlns:a16="http://schemas.microsoft.com/office/drawing/2014/main" id="{5D5B3794-2F1E-11ED-8684-889970B03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1802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1825</xdr:row>
      <xdr:rowOff>0</xdr:rowOff>
    </xdr:from>
    <xdr:to>
      <xdr:col>13</xdr:col>
      <xdr:colOff>0</xdr:colOff>
      <xdr:row>1826</xdr:row>
      <xdr:rowOff>148590</xdr:rowOff>
    </xdr:to>
    <xdr:pic>
      <xdr:nvPicPr>
        <xdr:cNvPr id="2194" name="Imagen 2193" descr="Ver detalle">
          <a:hlinkClick xmlns:r="http://schemas.openxmlformats.org/officeDocument/2006/relationships" r:id="rId2135" tooltip="Ver detalle"/>
          <a:extLst>
            <a:ext uri="{FF2B5EF4-FFF2-40B4-BE49-F238E27FC236}">
              <a16:creationId xmlns:a16="http://schemas.microsoft.com/office/drawing/2014/main" id="{1F6BB9CA-FCEE-F69C-2A63-5486004F0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3753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1843</xdr:row>
      <xdr:rowOff>0</xdr:rowOff>
    </xdr:from>
    <xdr:to>
      <xdr:col>13</xdr:col>
      <xdr:colOff>0</xdr:colOff>
      <xdr:row>1844</xdr:row>
      <xdr:rowOff>148590</xdr:rowOff>
    </xdr:to>
    <xdr:pic>
      <xdr:nvPicPr>
        <xdr:cNvPr id="2195" name="Imagen 2194" descr="Ver detalle">
          <a:hlinkClick xmlns:r="http://schemas.openxmlformats.org/officeDocument/2006/relationships" r:id="rId2136" tooltip="Ver detalle"/>
          <a:extLst>
            <a:ext uri="{FF2B5EF4-FFF2-40B4-BE49-F238E27FC236}">
              <a16:creationId xmlns:a16="http://schemas.microsoft.com/office/drawing/2014/main" id="{6FD39811-779E-0FCF-F5BE-90E7C843B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570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1844</xdr:row>
      <xdr:rowOff>0</xdr:rowOff>
    </xdr:from>
    <xdr:to>
      <xdr:col>13</xdr:col>
      <xdr:colOff>0</xdr:colOff>
      <xdr:row>1845</xdr:row>
      <xdr:rowOff>148590</xdr:rowOff>
    </xdr:to>
    <xdr:pic>
      <xdr:nvPicPr>
        <xdr:cNvPr id="2196" name="Imagen 2195" descr="Ver detalle">
          <a:hlinkClick xmlns:r="http://schemas.openxmlformats.org/officeDocument/2006/relationships" r:id="rId2137" tooltip="Ver detalle"/>
          <a:extLst>
            <a:ext uri="{FF2B5EF4-FFF2-40B4-BE49-F238E27FC236}">
              <a16:creationId xmlns:a16="http://schemas.microsoft.com/office/drawing/2014/main" id="{DFD2786E-4C4E-AC8D-BE0B-EA28B1988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765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1845</xdr:row>
      <xdr:rowOff>0</xdr:rowOff>
    </xdr:from>
    <xdr:to>
      <xdr:col>13</xdr:col>
      <xdr:colOff>0</xdr:colOff>
      <xdr:row>1846</xdr:row>
      <xdr:rowOff>148590</xdr:rowOff>
    </xdr:to>
    <xdr:pic>
      <xdr:nvPicPr>
        <xdr:cNvPr id="2197" name="Imagen 2196" descr="Ver detalle">
          <a:hlinkClick xmlns:r="http://schemas.openxmlformats.org/officeDocument/2006/relationships" r:id="rId2138" tooltip="Ver detalle"/>
          <a:extLst>
            <a:ext uri="{FF2B5EF4-FFF2-40B4-BE49-F238E27FC236}">
              <a16:creationId xmlns:a16="http://schemas.microsoft.com/office/drawing/2014/main" id="{DCBC2CAE-E8F6-59A0-53BA-2EE7D632F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960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1846</xdr:row>
      <xdr:rowOff>0</xdr:rowOff>
    </xdr:from>
    <xdr:to>
      <xdr:col>13</xdr:col>
      <xdr:colOff>0</xdr:colOff>
      <xdr:row>1847</xdr:row>
      <xdr:rowOff>148590</xdr:rowOff>
    </xdr:to>
    <xdr:pic>
      <xdr:nvPicPr>
        <xdr:cNvPr id="2198" name="Imagen 2197" descr="Ver detalle">
          <a:hlinkClick xmlns:r="http://schemas.openxmlformats.org/officeDocument/2006/relationships" r:id="rId2139" tooltip="Ver detalle"/>
          <a:extLst>
            <a:ext uri="{FF2B5EF4-FFF2-40B4-BE49-F238E27FC236}">
              <a16:creationId xmlns:a16="http://schemas.microsoft.com/office/drawing/2014/main" id="{292E06BF-F18E-4EEE-FBA0-E9024A283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1556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1847</xdr:row>
      <xdr:rowOff>0</xdr:rowOff>
    </xdr:from>
    <xdr:to>
      <xdr:col>13</xdr:col>
      <xdr:colOff>0</xdr:colOff>
      <xdr:row>1848</xdr:row>
      <xdr:rowOff>148590</xdr:rowOff>
    </xdr:to>
    <xdr:pic>
      <xdr:nvPicPr>
        <xdr:cNvPr id="2199" name="Imagen 2198" descr="Ver detalle">
          <a:hlinkClick xmlns:r="http://schemas.openxmlformats.org/officeDocument/2006/relationships" r:id="rId2140" tooltip="Ver detalle"/>
          <a:extLst>
            <a:ext uri="{FF2B5EF4-FFF2-40B4-BE49-F238E27FC236}">
              <a16:creationId xmlns:a16="http://schemas.microsoft.com/office/drawing/2014/main" id="{4A3B2A12-031B-6BEB-E1A1-177811015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350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1848</xdr:row>
      <xdr:rowOff>0</xdr:rowOff>
    </xdr:from>
    <xdr:to>
      <xdr:col>13</xdr:col>
      <xdr:colOff>0</xdr:colOff>
      <xdr:row>1849</xdr:row>
      <xdr:rowOff>148590</xdr:rowOff>
    </xdr:to>
    <xdr:pic>
      <xdr:nvPicPr>
        <xdr:cNvPr id="2200" name="Imagen 2199" descr="Ver detalle">
          <a:hlinkClick xmlns:r="http://schemas.openxmlformats.org/officeDocument/2006/relationships" r:id="rId2141" tooltip="Ver detalle"/>
          <a:extLst>
            <a:ext uri="{FF2B5EF4-FFF2-40B4-BE49-F238E27FC236}">
              <a16:creationId xmlns:a16="http://schemas.microsoft.com/office/drawing/2014/main" id="{243EC297-10D4-1A28-4D33-ECC7A89B1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545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1849</xdr:row>
      <xdr:rowOff>0</xdr:rowOff>
    </xdr:from>
    <xdr:to>
      <xdr:col>13</xdr:col>
      <xdr:colOff>0</xdr:colOff>
      <xdr:row>1850</xdr:row>
      <xdr:rowOff>148590</xdr:rowOff>
    </xdr:to>
    <xdr:pic>
      <xdr:nvPicPr>
        <xdr:cNvPr id="2201" name="Imagen 2200" descr="Ver detalle">
          <a:hlinkClick xmlns:r="http://schemas.openxmlformats.org/officeDocument/2006/relationships" r:id="rId2142" tooltip="Ver detalle"/>
          <a:extLst>
            <a:ext uri="{FF2B5EF4-FFF2-40B4-BE49-F238E27FC236}">
              <a16:creationId xmlns:a16="http://schemas.microsoft.com/office/drawing/2014/main" id="{E60B1D82-D166-2F14-844A-5A61ED09A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740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1850</xdr:row>
      <xdr:rowOff>0</xdr:rowOff>
    </xdr:from>
    <xdr:to>
      <xdr:col>13</xdr:col>
      <xdr:colOff>0</xdr:colOff>
      <xdr:row>1851</xdr:row>
      <xdr:rowOff>148590</xdr:rowOff>
    </xdr:to>
    <xdr:pic>
      <xdr:nvPicPr>
        <xdr:cNvPr id="2202" name="Imagen 2201" descr="Ver detalle">
          <a:hlinkClick xmlns:r="http://schemas.openxmlformats.org/officeDocument/2006/relationships" r:id="rId2143" tooltip="Ver detalle"/>
          <a:extLst>
            <a:ext uri="{FF2B5EF4-FFF2-40B4-BE49-F238E27FC236}">
              <a16:creationId xmlns:a16="http://schemas.microsoft.com/office/drawing/2014/main" id="{1EA7FB09-36A5-3100-5D15-31D442714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9359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1822</xdr:row>
      <xdr:rowOff>0</xdr:rowOff>
    </xdr:from>
    <xdr:to>
      <xdr:col>13</xdr:col>
      <xdr:colOff>0</xdr:colOff>
      <xdr:row>1823</xdr:row>
      <xdr:rowOff>148590</xdr:rowOff>
    </xdr:to>
    <xdr:pic>
      <xdr:nvPicPr>
        <xdr:cNvPr id="2203" name="Imagen 2202" descr="Ver detalle">
          <a:hlinkClick xmlns:r="http://schemas.openxmlformats.org/officeDocument/2006/relationships" r:id="rId2144" tooltip="Ver detalle"/>
          <a:extLst>
            <a:ext uri="{FF2B5EF4-FFF2-40B4-BE49-F238E27FC236}">
              <a16:creationId xmlns:a16="http://schemas.microsoft.com/office/drawing/2014/main" id="{B9C23982-8A87-5CAF-BCFA-1968D9563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1309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1852</xdr:row>
      <xdr:rowOff>0</xdr:rowOff>
    </xdr:from>
    <xdr:to>
      <xdr:col>13</xdr:col>
      <xdr:colOff>0</xdr:colOff>
      <xdr:row>1853</xdr:row>
      <xdr:rowOff>148590</xdr:rowOff>
    </xdr:to>
    <xdr:pic>
      <xdr:nvPicPr>
        <xdr:cNvPr id="2204" name="Imagen 2203" descr="Ver detalle">
          <a:hlinkClick xmlns:r="http://schemas.openxmlformats.org/officeDocument/2006/relationships" r:id="rId2145" tooltip="Ver detalle"/>
          <a:extLst>
            <a:ext uri="{FF2B5EF4-FFF2-40B4-BE49-F238E27FC236}">
              <a16:creationId xmlns:a16="http://schemas.microsoft.com/office/drawing/2014/main" id="{3F7E5A7D-74C8-B776-3D53-EC6B00A8D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326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1853</xdr:row>
      <xdr:rowOff>0</xdr:rowOff>
    </xdr:from>
    <xdr:to>
      <xdr:col>13</xdr:col>
      <xdr:colOff>0</xdr:colOff>
      <xdr:row>1854</xdr:row>
      <xdr:rowOff>148590</xdr:rowOff>
    </xdr:to>
    <xdr:pic>
      <xdr:nvPicPr>
        <xdr:cNvPr id="2205" name="Imagen 2204" descr="Ver detalle">
          <a:hlinkClick xmlns:r="http://schemas.openxmlformats.org/officeDocument/2006/relationships" r:id="rId2146" tooltip="Ver detalle"/>
          <a:extLst>
            <a:ext uri="{FF2B5EF4-FFF2-40B4-BE49-F238E27FC236}">
              <a16:creationId xmlns:a16="http://schemas.microsoft.com/office/drawing/2014/main" id="{29A20DF7-12A2-25A8-6E16-9A008D084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521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1854</xdr:row>
      <xdr:rowOff>0</xdr:rowOff>
    </xdr:from>
    <xdr:to>
      <xdr:col>13</xdr:col>
      <xdr:colOff>0</xdr:colOff>
      <xdr:row>1855</xdr:row>
      <xdr:rowOff>148590</xdr:rowOff>
    </xdr:to>
    <xdr:pic>
      <xdr:nvPicPr>
        <xdr:cNvPr id="2206" name="Imagen 2205" descr="Ver detalle">
          <a:hlinkClick xmlns:r="http://schemas.openxmlformats.org/officeDocument/2006/relationships" r:id="rId2147" tooltip="Ver detalle"/>
          <a:extLst>
            <a:ext uri="{FF2B5EF4-FFF2-40B4-BE49-F238E27FC236}">
              <a16:creationId xmlns:a16="http://schemas.microsoft.com/office/drawing/2014/main" id="{3296C707-5B1E-754E-28F0-0911C2927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716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1855</xdr:row>
      <xdr:rowOff>0</xdr:rowOff>
    </xdr:from>
    <xdr:to>
      <xdr:col>13</xdr:col>
      <xdr:colOff>0</xdr:colOff>
      <xdr:row>1856</xdr:row>
      <xdr:rowOff>148590</xdr:rowOff>
    </xdr:to>
    <xdr:pic>
      <xdr:nvPicPr>
        <xdr:cNvPr id="2207" name="Imagen 2206" descr="Ver detalle">
          <a:hlinkClick xmlns:r="http://schemas.openxmlformats.org/officeDocument/2006/relationships" r:id="rId2148" tooltip="Ver detalle"/>
          <a:extLst>
            <a:ext uri="{FF2B5EF4-FFF2-40B4-BE49-F238E27FC236}">
              <a16:creationId xmlns:a16="http://schemas.microsoft.com/office/drawing/2014/main" id="{C29F3E9D-D78A-4AE9-2A0B-EAD197EC2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911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1856</xdr:row>
      <xdr:rowOff>0</xdr:rowOff>
    </xdr:from>
    <xdr:to>
      <xdr:col>13</xdr:col>
      <xdr:colOff>0</xdr:colOff>
      <xdr:row>1857</xdr:row>
      <xdr:rowOff>148590</xdr:rowOff>
    </xdr:to>
    <xdr:pic>
      <xdr:nvPicPr>
        <xdr:cNvPr id="2208" name="Imagen 2207" descr="Ver detalle">
          <a:hlinkClick xmlns:r="http://schemas.openxmlformats.org/officeDocument/2006/relationships" r:id="rId2149" tooltip="Ver detalle"/>
          <a:extLst>
            <a:ext uri="{FF2B5EF4-FFF2-40B4-BE49-F238E27FC236}">
              <a16:creationId xmlns:a16="http://schemas.microsoft.com/office/drawing/2014/main" id="{AEC31632-C32B-B648-1DE4-EBB838F09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106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1819</xdr:row>
      <xdr:rowOff>0</xdr:rowOff>
    </xdr:from>
    <xdr:to>
      <xdr:col>13</xdr:col>
      <xdr:colOff>0</xdr:colOff>
      <xdr:row>1820</xdr:row>
      <xdr:rowOff>148590</xdr:rowOff>
    </xdr:to>
    <xdr:pic>
      <xdr:nvPicPr>
        <xdr:cNvPr id="2209" name="Imagen 2208" descr="Ver detalle">
          <a:hlinkClick xmlns:r="http://schemas.openxmlformats.org/officeDocument/2006/relationships" r:id="rId2150" tooltip="Ver detalle"/>
          <a:extLst>
            <a:ext uri="{FF2B5EF4-FFF2-40B4-BE49-F238E27FC236}">
              <a16:creationId xmlns:a16="http://schemas.microsoft.com/office/drawing/2014/main" id="{F6BDA6E1-444A-462B-A6AB-6F8456460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496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1820</xdr:row>
      <xdr:rowOff>0</xdr:rowOff>
    </xdr:from>
    <xdr:to>
      <xdr:col>13</xdr:col>
      <xdr:colOff>0</xdr:colOff>
      <xdr:row>1821</xdr:row>
      <xdr:rowOff>148590</xdr:rowOff>
    </xdr:to>
    <xdr:pic>
      <xdr:nvPicPr>
        <xdr:cNvPr id="2210" name="Imagen 2209" descr="Ver detalle">
          <a:hlinkClick xmlns:r="http://schemas.openxmlformats.org/officeDocument/2006/relationships" r:id="rId2151" tooltip="Ver detalle"/>
          <a:extLst>
            <a:ext uri="{FF2B5EF4-FFF2-40B4-BE49-F238E27FC236}">
              <a16:creationId xmlns:a16="http://schemas.microsoft.com/office/drawing/2014/main" id="{C4B2BED3-2679-FD64-8F79-ACC5CAC29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69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1823</xdr:row>
      <xdr:rowOff>0</xdr:rowOff>
    </xdr:from>
    <xdr:to>
      <xdr:col>13</xdr:col>
      <xdr:colOff>0</xdr:colOff>
      <xdr:row>1824</xdr:row>
      <xdr:rowOff>148590</xdr:rowOff>
    </xdr:to>
    <xdr:pic>
      <xdr:nvPicPr>
        <xdr:cNvPr id="2211" name="Imagen 2210" descr="Ver detalle">
          <a:hlinkClick xmlns:r="http://schemas.openxmlformats.org/officeDocument/2006/relationships" r:id="rId2152" tooltip="Ver detalle"/>
          <a:extLst>
            <a:ext uri="{FF2B5EF4-FFF2-40B4-BE49-F238E27FC236}">
              <a16:creationId xmlns:a16="http://schemas.microsoft.com/office/drawing/2014/main" id="{BA13211E-D208-BADB-CBA8-08D1145FFB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886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1829</xdr:row>
      <xdr:rowOff>0</xdr:rowOff>
    </xdr:from>
    <xdr:to>
      <xdr:col>13</xdr:col>
      <xdr:colOff>0</xdr:colOff>
      <xdr:row>1830</xdr:row>
      <xdr:rowOff>148590</xdr:rowOff>
    </xdr:to>
    <xdr:pic>
      <xdr:nvPicPr>
        <xdr:cNvPr id="2212" name="Imagen 2211" descr="Ver detalle">
          <a:hlinkClick xmlns:r="http://schemas.openxmlformats.org/officeDocument/2006/relationships" r:id="rId2153" tooltip="Ver detalle"/>
          <a:extLst>
            <a:ext uri="{FF2B5EF4-FFF2-40B4-BE49-F238E27FC236}">
              <a16:creationId xmlns:a16="http://schemas.microsoft.com/office/drawing/2014/main" id="{5FEB7CD2-3CB7-EE9C-3FDE-E9711DED1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081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1821</xdr:row>
      <xdr:rowOff>0</xdr:rowOff>
    </xdr:from>
    <xdr:to>
      <xdr:col>13</xdr:col>
      <xdr:colOff>0</xdr:colOff>
      <xdr:row>1822</xdr:row>
      <xdr:rowOff>148590</xdr:rowOff>
    </xdr:to>
    <xdr:pic>
      <xdr:nvPicPr>
        <xdr:cNvPr id="2213" name="Imagen 2212" descr="Ver detalle">
          <a:hlinkClick xmlns:r="http://schemas.openxmlformats.org/officeDocument/2006/relationships" r:id="rId2154" tooltip="Ver detalle"/>
          <a:extLst>
            <a:ext uri="{FF2B5EF4-FFF2-40B4-BE49-F238E27FC236}">
              <a16:creationId xmlns:a16="http://schemas.microsoft.com/office/drawing/2014/main" id="{057DC191-E89A-1B32-137B-57135DADB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2767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1817</xdr:row>
      <xdr:rowOff>0</xdr:rowOff>
    </xdr:from>
    <xdr:to>
      <xdr:col>13</xdr:col>
      <xdr:colOff>0</xdr:colOff>
      <xdr:row>1818</xdr:row>
      <xdr:rowOff>148590</xdr:rowOff>
    </xdr:to>
    <xdr:pic>
      <xdr:nvPicPr>
        <xdr:cNvPr id="2214" name="Imagen 2213" descr="Ver detalle">
          <a:hlinkClick xmlns:r="http://schemas.openxmlformats.org/officeDocument/2006/relationships" r:id="rId2155" tooltip="Ver detalle"/>
          <a:extLst>
            <a:ext uri="{FF2B5EF4-FFF2-40B4-BE49-F238E27FC236}">
              <a16:creationId xmlns:a16="http://schemas.microsoft.com/office/drawing/2014/main" id="{3A147425-E0AC-AC86-C4B8-B0BC5E38F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368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1816</xdr:row>
      <xdr:rowOff>0</xdr:rowOff>
    </xdr:from>
    <xdr:to>
      <xdr:col>13</xdr:col>
      <xdr:colOff>0</xdr:colOff>
      <xdr:row>1817</xdr:row>
      <xdr:rowOff>148590</xdr:rowOff>
    </xdr:to>
    <xdr:pic>
      <xdr:nvPicPr>
        <xdr:cNvPr id="2215" name="Imagen 2214" descr="Ver detalle">
          <a:hlinkClick xmlns:r="http://schemas.openxmlformats.org/officeDocument/2006/relationships" r:id="rId2156" tooltip="Ver detalle"/>
          <a:extLst>
            <a:ext uri="{FF2B5EF4-FFF2-40B4-BE49-F238E27FC236}">
              <a16:creationId xmlns:a16="http://schemas.microsoft.com/office/drawing/2014/main" id="{6A31E6B8-A015-157F-F977-C38E1267D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563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1814</xdr:row>
      <xdr:rowOff>0</xdr:rowOff>
    </xdr:from>
    <xdr:to>
      <xdr:col>13</xdr:col>
      <xdr:colOff>0</xdr:colOff>
      <xdr:row>1815</xdr:row>
      <xdr:rowOff>148590</xdr:rowOff>
    </xdr:to>
    <xdr:pic>
      <xdr:nvPicPr>
        <xdr:cNvPr id="2216" name="Imagen 2215" descr="Ver detalle">
          <a:hlinkClick xmlns:r="http://schemas.openxmlformats.org/officeDocument/2006/relationships" r:id="rId2157" tooltip="Ver detalle"/>
          <a:extLst>
            <a:ext uri="{FF2B5EF4-FFF2-40B4-BE49-F238E27FC236}">
              <a16:creationId xmlns:a16="http://schemas.microsoft.com/office/drawing/2014/main" id="{EA6F28AD-0A5A-A826-26FD-A5A1BB6F3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758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1818</xdr:row>
      <xdr:rowOff>0</xdr:rowOff>
    </xdr:from>
    <xdr:to>
      <xdr:col>13</xdr:col>
      <xdr:colOff>0</xdr:colOff>
      <xdr:row>1819</xdr:row>
      <xdr:rowOff>148590</xdr:rowOff>
    </xdr:to>
    <xdr:pic>
      <xdr:nvPicPr>
        <xdr:cNvPr id="2217" name="Imagen 2216" descr="Ver detalle">
          <a:hlinkClick xmlns:r="http://schemas.openxmlformats.org/officeDocument/2006/relationships" r:id="rId2158" tooltip="Ver detalle"/>
          <a:extLst>
            <a:ext uri="{FF2B5EF4-FFF2-40B4-BE49-F238E27FC236}">
              <a16:creationId xmlns:a16="http://schemas.microsoft.com/office/drawing/2014/main" id="{1EDBCDA1-1FAB-6678-8F97-1C720D684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849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1824</xdr:row>
      <xdr:rowOff>0</xdr:rowOff>
    </xdr:from>
    <xdr:to>
      <xdr:col>13</xdr:col>
      <xdr:colOff>0</xdr:colOff>
      <xdr:row>1825</xdr:row>
      <xdr:rowOff>148590</xdr:rowOff>
    </xdr:to>
    <xdr:pic>
      <xdr:nvPicPr>
        <xdr:cNvPr id="2218" name="Imagen 2217" descr="Ver detalle">
          <a:hlinkClick xmlns:r="http://schemas.openxmlformats.org/officeDocument/2006/relationships" r:id="rId2159" tooltip="Ver detalle"/>
          <a:extLst>
            <a:ext uri="{FF2B5EF4-FFF2-40B4-BE49-F238E27FC236}">
              <a16:creationId xmlns:a16="http://schemas.microsoft.com/office/drawing/2014/main" id="{CC01DCDA-8018-C773-4E9E-FBCF9987B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044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1810</xdr:row>
      <xdr:rowOff>0</xdr:rowOff>
    </xdr:from>
    <xdr:to>
      <xdr:col>13</xdr:col>
      <xdr:colOff>0</xdr:colOff>
      <xdr:row>1811</xdr:row>
      <xdr:rowOff>148590</xdr:rowOff>
    </xdr:to>
    <xdr:pic>
      <xdr:nvPicPr>
        <xdr:cNvPr id="2219" name="Imagen 2218" descr="Ver detalle">
          <a:hlinkClick xmlns:r="http://schemas.openxmlformats.org/officeDocument/2006/relationships" r:id="rId2160" tooltip="Ver detalle"/>
          <a:extLst>
            <a:ext uri="{FF2B5EF4-FFF2-40B4-BE49-F238E27FC236}">
              <a16:creationId xmlns:a16="http://schemas.microsoft.com/office/drawing/2014/main" id="{06A8F8AF-256D-893D-428E-C9094E95E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239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1815</xdr:row>
      <xdr:rowOff>0</xdr:rowOff>
    </xdr:from>
    <xdr:to>
      <xdr:col>13</xdr:col>
      <xdr:colOff>0</xdr:colOff>
      <xdr:row>1816</xdr:row>
      <xdr:rowOff>148590</xdr:rowOff>
    </xdr:to>
    <xdr:pic>
      <xdr:nvPicPr>
        <xdr:cNvPr id="2220" name="Imagen 2219" descr="Ver detalle">
          <a:hlinkClick xmlns:r="http://schemas.openxmlformats.org/officeDocument/2006/relationships" r:id="rId2161" tooltip="Ver detalle"/>
          <a:extLst>
            <a:ext uri="{FF2B5EF4-FFF2-40B4-BE49-F238E27FC236}">
              <a16:creationId xmlns:a16="http://schemas.microsoft.com/office/drawing/2014/main" id="{4F1724F3-BD25-B3F2-FB4A-8853980E1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435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1813</xdr:row>
      <xdr:rowOff>0</xdr:rowOff>
    </xdr:from>
    <xdr:to>
      <xdr:col>13</xdr:col>
      <xdr:colOff>0</xdr:colOff>
      <xdr:row>1814</xdr:row>
      <xdr:rowOff>148590</xdr:rowOff>
    </xdr:to>
    <xdr:pic>
      <xdr:nvPicPr>
        <xdr:cNvPr id="2221" name="Imagen 2220" descr="Ver detalle">
          <a:hlinkClick xmlns:r="http://schemas.openxmlformats.org/officeDocument/2006/relationships" r:id="rId2162" tooltip="Ver detalle"/>
          <a:extLst>
            <a:ext uri="{FF2B5EF4-FFF2-40B4-BE49-F238E27FC236}">
              <a16:creationId xmlns:a16="http://schemas.microsoft.com/office/drawing/2014/main" id="{D5FA864A-8B76-0423-6729-58B6F84D1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5653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1842</xdr:row>
      <xdr:rowOff>0</xdr:rowOff>
    </xdr:from>
    <xdr:to>
      <xdr:col>13</xdr:col>
      <xdr:colOff>0</xdr:colOff>
      <xdr:row>1843</xdr:row>
      <xdr:rowOff>148590</xdr:rowOff>
    </xdr:to>
    <xdr:pic>
      <xdr:nvPicPr>
        <xdr:cNvPr id="2222" name="Imagen 2221" descr="Ver detalle">
          <a:hlinkClick xmlns:r="http://schemas.openxmlformats.org/officeDocument/2006/relationships" r:id="rId2163" tooltip="Ver detalle"/>
          <a:extLst>
            <a:ext uri="{FF2B5EF4-FFF2-40B4-BE49-F238E27FC236}">
              <a16:creationId xmlns:a16="http://schemas.microsoft.com/office/drawing/2014/main" id="{300E1998-9E91-4E8A-B6C7-5C6F9F460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760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1811</xdr:row>
      <xdr:rowOff>0</xdr:rowOff>
    </xdr:from>
    <xdr:to>
      <xdr:col>13</xdr:col>
      <xdr:colOff>0</xdr:colOff>
      <xdr:row>1812</xdr:row>
      <xdr:rowOff>148590</xdr:rowOff>
    </xdr:to>
    <xdr:pic>
      <xdr:nvPicPr>
        <xdr:cNvPr id="2223" name="Imagen 2222" descr="Ver detalle">
          <a:hlinkClick xmlns:r="http://schemas.openxmlformats.org/officeDocument/2006/relationships" r:id="rId2164" tooltip="Ver detalle"/>
          <a:extLst>
            <a:ext uri="{FF2B5EF4-FFF2-40B4-BE49-F238E27FC236}">
              <a16:creationId xmlns:a16="http://schemas.microsoft.com/office/drawing/2014/main" id="{A99AA173-72AC-3A3F-59B9-CB3DA0E7D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9554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1807</xdr:row>
      <xdr:rowOff>0</xdr:rowOff>
    </xdr:from>
    <xdr:to>
      <xdr:col>13</xdr:col>
      <xdr:colOff>0</xdr:colOff>
      <xdr:row>1808</xdr:row>
      <xdr:rowOff>148590</xdr:rowOff>
    </xdr:to>
    <xdr:pic>
      <xdr:nvPicPr>
        <xdr:cNvPr id="2224" name="Imagen 2223" descr="Ver detalle">
          <a:hlinkClick xmlns:r="http://schemas.openxmlformats.org/officeDocument/2006/relationships" r:id="rId2165" tooltip="Ver detalle"/>
          <a:extLst>
            <a:ext uri="{FF2B5EF4-FFF2-40B4-BE49-F238E27FC236}">
              <a16:creationId xmlns:a16="http://schemas.microsoft.com/office/drawing/2014/main" id="{CBF981C0-F01F-F3E2-C2D8-B5ECED1CF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1505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1808</xdr:row>
      <xdr:rowOff>0</xdr:rowOff>
    </xdr:from>
    <xdr:to>
      <xdr:col>13</xdr:col>
      <xdr:colOff>0</xdr:colOff>
      <xdr:row>1809</xdr:row>
      <xdr:rowOff>148590</xdr:rowOff>
    </xdr:to>
    <xdr:pic>
      <xdr:nvPicPr>
        <xdr:cNvPr id="2225" name="Imagen 2224" descr="Ver detalle">
          <a:hlinkClick xmlns:r="http://schemas.openxmlformats.org/officeDocument/2006/relationships" r:id="rId2166" tooltip="Ver detalle"/>
          <a:extLst>
            <a:ext uri="{FF2B5EF4-FFF2-40B4-BE49-F238E27FC236}">
              <a16:creationId xmlns:a16="http://schemas.microsoft.com/office/drawing/2014/main" id="{FE56D7CB-04AF-0E53-E565-EC0E506C9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3455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1809</xdr:row>
      <xdr:rowOff>0</xdr:rowOff>
    </xdr:from>
    <xdr:to>
      <xdr:col>13</xdr:col>
      <xdr:colOff>0</xdr:colOff>
      <xdr:row>1810</xdr:row>
      <xdr:rowOff>148590</xdr:rowOff>
    </xdr:to>
    <xdr:pic>
      <xdr:nvPicPr>
        <xdr:cNvPr id="2226" name="Imagen 2225" descr="Ver detalle">
          <a:hlinkClick xmlns:r="http://schemas.openxmlformats.org/officeDocument/2006/relationships" r:id="rId2167" tooltip="Ver detalle"/>
          <a:extLst>
            <a:ext uri="{FF2B5EF4-FFF2-40B4-BE49-F238E27FC236}">
              <a16:creationId xmlns:a16="http://schemas.microsoft.com/office/drawing/2014/main" id="{82779942-BDA1-1068-746A-CDF01A4D9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5406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1805</xdr:row>
      <xdr:rowOff>0</xdr:rowOff>
    </xdr:from>
    <xdr:to>
      <xdr:col>13</xdr:col>
      <xdr:colOff>0</xdr:colOff>
      <xdr:row>1806</xdr:row>
      <xdr:rowOff>148590</xdr:rowOff>
    </xdr:to>
    <xdr:pic>
      <xdr:nvPicPr>
        <xdr:cNvPr id="2227" name="Imagen 2226" descr="Ver detalle">
          <a:hlinkClick xmlns:r="http://schemas.openxmlformats.org/officeDocument/2006/relationships" r:id="rId2168" tooltip="Ver detalle"/>
          <a:extLst>
            <a:ext uri="{FF2B5EF4-FFF2-40B4-BE49-F238E27FC236}">
              <a16:creationId xmlns:a16="http://schemas.microsoft.com/office/drawing/2014/main" id="{D6A61051-82F9-22E3-5182-F6178E014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73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1806</xdr:row>
      <xdr:rowOff>0</xdr:rowOff>
    </xdr:from>
    <xdr:to>
      <xdr:col>13</xdr:col>
      <xdr:colOff>0</xdr:colOff>
      <xdr:row>1807</xdr:row>
      <xdr:rowOff>148590</xdr:rowOff>
    </xdr:to>
    <xdr:pic>
      <xdr:nvPicPr>
        <xdr:cNvPr id="2228" name="Imagen 2227" descr="Ver detalle">
          <a:hlinkClick xmlns:r="http://schemas.openxmlformats.org/officeDocument/2006/relationships" r:id="rId2169" tooltip="Ver detalle"/>
          <a:extLst>
            <a:ext uri="{FF2B5EF4-FFF2-40B4-BE49-F238E27FC236}">
              <a16:creationId xmlns:a16="http://schemas.microsoft.com/office/drawing/2014/main" id="{A7BFF2A9-3F8C-19CA-39F4-0ED48A3AB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930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1812</xdr:row>
      <xdr:rowOff>0</xdr:rowOff>
    </xdr:from>
    <xdr:to>
      <xdr:col>13</xdr:col>
      <xdr:colOff>0</xdr:colOff>
      <xdr:row>1813</xdr:row>
      <xdr:rowOff>148590</xdr:rowOff>
    </xdr:to>
    <xdr:pic>
      <xdr:nvPicPr>
        <xdr:cNvPr id="2229" name="Imagen 2228" descr="Ver detalle">
          <a:hlinkClick xmlns:r="http://schemas.openxmlformats.org/officeDocument/2006/relationships" r:id="rId2170" tooltip="Ver detalle"/>
          <a:extLst>
            <a:ext uri="{FF2B5EF4-FFF2-40B4-BE49-F238E27FC236}">
              <a16:creationId xmlns:a16="http://schemas.microsoft.com/office/drawing/2014/main" id="{B47795D8-8015-F1C4-4DC1-8FA8A9574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1258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1837</xdr:row>
      <xdr:rowOff>0</xdr:rowOff>
    </xdr:from>
    <xdr:to>
      <xdr:col>13</xdr:col>
      <xdr:colOff>0</xdr:colOff>
      <xdr:row>1838</xdr:row>
      <xdr:rowOff>148590</xdr:rowOff>
    </xdr:to>
    <xdr:pic>
      <xdr:nvPicPr>
        <xdr:cNvPr id="2230" name="Imagen 2229" descr="Ver detalle">
          <a:hlinkClick xmlns:r="http://schemas.openxmlformats.org/officeDocument/2006/relationships" r:id="rId2171" tooltip="Ver detalle"/>
          <a:extLst>
            <a:ext uri="{FF2B5EF4-FFF2-40B4-BE49-F238E27FC236}">
              <a16:creationId xmlns:a16="http://schemas.microsoft.com/office/drawing/2014/main" id="{5972DE41-A98E-A3F6-239D-8B381C9C4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2173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1804</xdr:row>
      <xdr:rowOff>0</xdr:rowOff>
    </xdr:from>
    <xdr:to>
      <xdr:col>13</xdr:col>
      <xdr:colOff>0</xdr:colOff>
      <xdr:row>1805</xdr:row>
      <xdr:rowOff>148590</xdr:rowOff>
    </xdr:to>
    <xdr:pic>
      <xdr:nvPicPr>
        <xdr:cNvPr id="2231" name="Imagen 2230" descr="Ver detalle">
          <a:hlinkClick xmlns:r="http://schemas.openxmlformats.org/officeDocument/2006/relationships" r:id="rId2172" tooltip="Ver detalle"/>
          <a:extLst>
            <a:ext uri="{FF2B5EF4-FFF2-40B4-BE49-F238E27FC236}">
              <a16:creationId xmlns:a16="http://schemas.microsoft.com/office/drawing/2014/main" id="{7FB4B277-FF90-DA32-1E30-A22888291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4123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1885</xdr:row>
      <xdr:rowOff>0</xdr:rowOff>
    </xdr:from>
    <xdr:to>
      <xdr:col>13</xdr:col>
      <xdr:colOff>0</xdr:colOff>
      <xdr:row>1886</xdr:row>
      <xdr:rowOff>148590</xdr:rowOff>
    </xdr:to>
    <xdr:pic>
      <xdr:nvPicPr>
        <xdr:cNvPr id="2232" name="Imagen 2231" descr="Ver detalle">
          <a:hlinkClick xmlns:r="http://schemas.openxmlformats.org/officeDocument/2006/relationships" r:id="rId2173" tooltip="Ver detalle"/>
          <a:extLst>
            <a:ext uri="{FF2B5EF4-FFF2-40B4-BE49-F238E27FC236}">
              <a16:creationId xmlns:a16="http://schemas.microsoft.com/office/drawing/2014/main" id="{92983CF0-B3AD-35D6-E87B-72D69FB7F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607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1863</xdr:row>
      <xdr:rowOff>0</xdr:rowOff>
    </xdr:from>
    <xdr:to>
      <xdr:col>13</xdr:col>
      <xdr:colOff>0</xdr:colOff>
      <xdr:row>1864</xdr:row>
      <xdr:rowOff>148590</xdr:rowOff>
    </xdr:to>
    <xdr:pic>
      <xdr:nvPicPr>
        <xdr:cNvPr id="2233" name="Imagen 2232" descr="Ver detalle">
          <a:hlinkClick xmlns:r="http://schemas.openxmlformats.org/officeDocument/2006/relationships" r:id="rId2174" tooltip="Ver detalle"/>
          <a:extLst>
            <a:ext uri="{FF2B5EF4-FFF2-40B4-BE49-F238E27FC236}">
              <a16:creationId xmlns:a16="http://schemas.microsoft.com/office/drawing/2014/main" id="{6ACF8F7C-1012-85AE-0873-28853773EA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89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1952</xdr:row>
      <xdr:rowOff>0</xdr:rowOff>
    </xdr:from>
    <xdr:to>
      <xdr:col>13</xdr:col>
      <xdr:colOff>0</xdr:colOff>
      <xdr:row>1953</xdr:row>
      <xdr:rowOff>118110</xdr:rowOff>
    </xdr:to>
    <xdr:pic>
      <xdr:nvPicPr>
        <xdr:cNvPr id="2234" name="Imagen 2233" descr="Ver detalle">
          <a:hlinkClick xmlns:r="http://schemas.openxmlformats.org/officeDocument/2006/relationships" r:id="rId2175" tooltip="Ver detalle"/>
          <a:extLst>
            <a:ext uri="{FF2B5EF4-FFF2-40B4-BE49-F238E27FC236}">
              <a16:creationId xmlns:a16="http://schemas.microsoft.com/office/drawing/2014/main" id="{2FAF76E6-131F-2C43-FA32-DEC042757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253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1983</xdr:row>
      <xdr:rowOff>0</xdr:rowOff>
    </xdr:from>
    <xdr:to>
      <xdr:col>13</xdr:col>
      <xdr:colOff>0</xdr:colOff>
      <xdr:row>1984</xdr:row>
      <xdr:rowOff>118110</xdr:rowOff>
    </xdr:to>
    <xdr:pic>
      <xdr:nvPicPr>
        <xdr:cNvPr id="2235" name="Imagen 2234" descr="Ver detalle">
          <a:hlinkClick xmlns:r="http://schemas.openxmlformats.org/officeDocument/2006/relationships" r:id="rId2176" tooltip="Ver detalle"/>
          <a:extLst>
            <a:ext uri="{FF2B5EF4-FFF2-40B4-BE49-F238E27FC236}">
              <a16:creationId xmlns:a16="http://schemas.microsoft.com/office/drawing/2014/main" id="{E72A5D5A-3C53-0B37-4C8C-27EE7860C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529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1982</xdr:row>
      <xdr:rowOff>0</xdr:rowOff>
    </xdr:from>
    <xdr:to>
      <xdr:col>13</xdr:col>
      <xdr:colOff>0</xdr:colOff>
      <xdr:row>1983</xdr:row>
      <xdr:rowOff>118110</xdr:rowOff>
    </xdr:to>
    <xdr:pic>
      <xdr:nvPicPr>
        <xdr:cNvPr id="2236" name="Imagen 2235" descr="Ver detalle">
          <a:hlinkClick xmlns:r="http://schemas.openxmlformats.org/officeDocument/2006/relationships" r:id="rId2177" tooltip="Ver detalle"/>
          <a:extLst>
            <a:ext uri="{FF2B5EF4-FFF2-40B4-BE49-F238E27FC236}">
              <a16:creationId xmlns:a16="http://schemas.microsoft.com/office/drawing/2014/main" id="{DA46BF6B-9272-A8C5-9504-D049130D8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8040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1981</xdr:row>
      <xdr:rowOff>0</xdr:rowOff>
    </xdr:from>
    <xdr:to>
      <xdr:col>13</xdr:col>
      <xdr:colOff>0</xdr:colOff>
      <xdr:row>1982</xdr:row>
      <xdr:rowOff>118110</xdr:rowOff>
    </xdr:to>
    <xdr:pic>
      <xdr:nvPicPr>
        <xdr:cNvPr id="2237" name="Imagen 2236" descr="Ver detalle">
          <a:hlinkClick xmlns:r="http://schemas.openxmlformats.org/officeDocument/2006/relationships" r:id="rId2178" tooltip="Ver detalle"/>
          <a:extLst>
            <a:ext uri="{FF2B5EF4-FFF2-40B4-BE49-F238E27FC236}">
              <a16:creationId xmlns:a16="http://schemas.microsoft.com/office/drawing/2014/main" id="{45CD8C94-D9B1-84A4-CBB0-4F9B147BF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079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1953</xdr:row>
      <xdr:rowOff>0</xdr:rowOff>
    </xdr:from>
    <xdr:to>
      <xdr:col>13</xdr:col>
      <xdr:colOff>0</xdr:colOff>
      <xdr:row>1954</xdr:row>
      <xdr:rowOff>114300</xdr:rowOff>
    </xdr:to>
    <xdr:pic>
      <xdr:nvPicPr>
        <xdr:cNvPr id="2238" name="Imagen 2237" descr="Ver detalle">
          <a:hlinkClick xmlns:r="http://schemas.openxmlformats.org/officeDocument/2006/relationships" r:id="rId2179" tooltip="Ver detalle"/>
          <a:extLst>
            <a:ext uri="{FF2B5EF4-FFF2-40B4-BE49-F238E27FC236}">
              <a16:creationId xmlns:a16="http://schemas.microsoft.com/office/drawing/2014/main" id="{19CC820A-656C-5E5C-0190-856DB81A1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3542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1990</xdr:row>
      <xdr:rowOff>0</xdr:rowOff>
    </xdr:from>
    <xdr:to>
      <xdr:col>13</xdr:col>
      <xdr:colOff>0</xdr:colOff>
      <xdr:row>1991</xdr:row>
      <xdr:rowOff>118110</xdr:rowOff>
    </xdr:to>
    <xdr:pic>
      <xdr:nvPicPr>
        <xdr:cNvPr id="2239" name="Imagen 2238" descr="Ver detalle">
          <a:hlinkClick xmlns:r="http://schemas.openxmlformats.org/officeDocument/2006/relationships" r:id="rId2180" tooltip="Ver detalle"/>
          <a:extLst>
            <a:ext uri="{FF2B5EF4-FFF2-40B4-BE49-F238E27FC236}">
              <a16:creationId xmlns:a16="http://schemas.microsoft.com/office/drawing/2014/main" id="{88055C9C-B5BA-4801-36AD-F30315ED9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4830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1987</xdr:row>
      <xdr:rowOff>0</xdr:rowOff>
    </xdr:from>
    <xdr:to>
      <xdr:col>13</xdr:col>
      <xdr:colOff>0</xdr:colOff>
      <xdr:row>1988</xdr:row>
      <xdr:rowOff>118110</xdr:rowOff>
    </xdr:to>
    <xdr:pic>
      <xdr:nvPicPr>
        <xdr:cNvPr id="2240" name="Imagen 2239" descr="Ver detalle">
          <a:hlinkClick xmlns:r="http://schemas.openxmlformats.org/officeDocument/2006/relationships" r:id="rId2181" tooltip="Ver detalle"/>
          <a:extLst>
            <a:ext uri="{FF2B5EF4-FFF2-40B4-BE49-F238E27FC236}">
              <a16:creationId xmlns:a16="http://schemas.microsoft.com/office/drawing/2014/main" id="{D9FF511A-0EA2-C2EE-E859-09290E124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758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1991</xdr:row>
      <xdr:rowOff>0</xdr:rowOff>
    </xdr:from>
    <xdr:to>
      <xdr:col>13</xdr:col>
      <xdr:colOff>0</xdr:colOff>
      <xdr:row>1992</xdr:row>
      <xdr:rowOff>118110</xdr:rowOff>
    </xdr:to>
    <xdr:pic>
      <xdr:nvPicPr>
        <xdr:cNvPr id="2241" name="Imagen 2240" descr="Ver detalle">
          <a:hlinkClick xmlns:r="http://schemas.openxmlformats.org/officeDocument/2006/relationships" r:id="rId2182" tooltip="Ver detalle"/>
          <a:extLst>
            <a:ext uri="{FF2B5EF4-FFF2-40B4-BE49-F238E27FC236}">
              <a16:creationId xmlns:a16="http://schemas.microsoft.com/office/drawing/2014/main" id="{0CDB974E-E093-49AD-4397-180CB2631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03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1985</xdr:row>
      <xdr:rowOff>0</xdr:rowOff>
    </xdr:from>
    <xdr:to>
      <xdr:col>13</xdr:col>
      <xdr:colOff>0</xdr:colOff>
      <xdr:row>1986</xdr:row>
      <xdr:rowOff>118110</xdr:rowOff>
    </xdr:to>
    <xdr:pic>
      <xdr:nvPicPr>
        <xdr:cNvPr id="2242" name="Imagen 2241" descr="Ver detalle">
          <a:hlinkClick xmlns:r="http://schemas.openxmlformats.org/officeDocument/2006/relationships" r:id="rId2183" tooltip="Ver detalle"/>
          <a:extLst>
            <a:ext uri="{FF2B5EF4-FFF2-40B4-BE49-F238E27FC236}">
              <a16:creationId xmlns:a16="http://schemas.microsoft.com/office/drawing/2014/main" id="{F26D7E18-26F2-60E5-E095-94E6B42BE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3082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1986</xdr:row>
      <xdr:rowOff>0</xdr:rowOff>
    </xdr:from>
    <xdr:to>
      <xdr:col>13</xdr:col>
      <xdr:colOff>0</xdr:colOff>
      <xdr:row>1987</xdr:row>
      <xdr:rowOff>118110</xdr:rowOff>
    </xdr:to>
    <xdr:pic>
      <xdr:nvPicPr>
        <xdr:cNvPr id="2243" name="Imagen 2242" descr="Ver detalle">
          <a:hlinkClick xmlns:r="http://schemas.openxmlformats.org/officeDocument/2006/relationships" r:id="rId2184" tooltip="Ver detalle"/>
          <a:extLst>
            <a:ext uri="{FF2B5EF4-FFF2-40B4-BE49-F238E27FC236}">
              <a16:creationId xmlns:a16="http://schemas.microsoft.com/office/drawing/2014/main" id="{31CE41C6-3DA9-1F24-8A23-59FD52687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5833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1984</xdr:row>
      <xdr:rowOff>0</xdr:rowOff>
    </xdr:from>
    <xdr:to>
      <xdr:col>13</xdr:col>
      <xdr:colOff>0</xdr:colOff>
      <xdr:row>1985</xdr:row>
      <xdr:rowOff>118110</xdr:rowOff>
    </xdr:to>
    <xdr:pic>
      <xdr:nvPicPr>
        <xdr:cNvPr id="2244" name="Imagen 2243" descr="Ver detalle">
          <a:hlinkClick xmlns:r="http://schemas.openxmlformats.org/officeDocument/2006/relationships" r:id="rId2185" tooltip="Ver detalle"/>
          <a:extLst>
            <a:ext uri="{FF2B5EF4-FFF2-40B4-BE49-F238E27FC236}">
              <a16:creationId xmlns:a16="http://schemas.microsoft.com/office/drawing/2014/main" id="{9F032E52-5238-9895-89C8-810814C42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858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1988</xdr:row>
      <xdr:rowOff>0</xdr:rowOff>
    </xdr:from>
    <xdr:to>
      <xdr:col>13</xdr:col>
      <xdr:colOff>0</xdr:colOff>
      <xdr:row>1989</xdr:row>
      <xdr:rowOff>118110</xdr:rowOff>
    </xdr:to>
    <xdr:pic>
      <xdr:nvPicPr>
        <xdr:cNvPr id="2245" name="Imagen 2244" descr="Ver detalle">
          <a:hlinkClick xmlns:r="http://schemas.openxmlformats.org/officeDocument/2006/relationships" r:id="rId2186" tooltip="Ver detalle"/>
          <a:extLst>
            <a:ext uri="{FF2B5EF4-FFF2-40B4-BE49-F238E27FC236}">
              <a16:creationId xmlns:a16="http://schemas.microsoft.com/office/drawing/2014/main" id="{8284AD7E-1E16-E1A3-D0A4-8E478B7DF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133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1989</xdr:row>
      <xdr:rowOff>0</xdr:rowOff>
    </xdr:from>
    <xdr:to>
      <xdr:col>13</xdr:col>
      <xdr:colOff>0</xdr:colOff>
      <xdr:row>1990</xdr:row>
      <xdr:rowOff>118110</xdr:rowOff>
    </xdr:to>
    <xdr:pic>
      <xdr:nvPicPr>
        <xdr:cNvPr id="2246" name="Imagen 2245" descr="Ver detalle">
          <a:hlinkClick xmlns:r="http://schemas.openxmlformats.org/officeDocument/2006/relationships" r:id="rId2187" tooltip="Ver detalle"/>
          <a:extLst>
            <a:ext uri="{FF2B5EF4-FFF2-40B4-BE49-F238E27FC236}">
              <a16:creationId xmlns:a16="http://schemas.microsoft.com/office/drawing/2014/main" id="{1ED2E631-22F7-7A6F-7E1D-A46B36E54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408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1948</xdr:row>
      <xdr:rowOff>0</xdr:rowOff>
    </xdr:from>
    <xdr:to>
      <xdr:col>13</xdr:col>
      <xdr:colOff>0</xdr:colOff>
      <xdr:row>1949</xdr:row>
      <xdr:rowOff>118110</xdr:rowOff>
    </xdr:to>
    <xdr:pic>
      <xdr:nvPicPr>
        <xdr:cNvPr id="2247" name="Imagen 2246" descr="Ver detalle">
          <a:hlinkClick xmlns:r="http://schemas.openxmlformats.org/officeDocument/2006/relationships" r:id="rId2188" tooltip="Ver detalle"/>
          <a:extLst>
            <a:ext uri="{FF2B5EF4-FFF2-40B4-BE49-F238E27FC236}">
              <a16:creationId xmlns:a16="http://schemas.microsoft.com/office/drawing/2014/main" id="{2FF0303A-4577-B143-61D6-5810BC23A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6836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1951</xdr:row>
      <xdr:rowOff>0</xdr:rowOff>
    </xdr:from>
    <xdr:to>
      <xdr:col>13</xdr:col>
      <xdr:colOff>0</xdr:colOff>
      <xdr:row>1952</xdr:row>
      <xdr:rowOff>118110</xdr:rowOff>
    </xdr:to>
    <xdr:pic>
      <xdr:nvPicPr>
        <xdr:cNvPr id="2248" name="Imagen 2247" descr="Ver detalle">
          <a:hlinkClick xmlns:r="http://schemas.openxmlformats.org/officeDocument/2006/relationships" r:id="rId2189" tooltip="Ver detalle"/>
          <a:extLst>
            <a:ext uri="{FF2B5EF4-FFF2-40B4-BE49-F238E27FC236}">
              <a16:creationId xmlns:a16="http://schemas.microsoft.com/office/drawing/2014/main" id="{0281C225-882D-9D3B-C774-A0C4E1ECC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958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1995</xdr:row>
      <xdr:rowOff>0</xdr:rowOff>
    </xdr:from>
    <xdr:to>
      <xdr:col>13</xdr:col>
      <xdr:colOff>0</xdr:colOff>
      <xdr:row>1996</xdr:row>
      <xdr:rowOff>114300</xdr:rowOff>
    </xdr:to>
    <xdr:pic>
      <xdr:nvPicPr>
        <xdr:cNvPr id="2249" name="Imagen 2248" descr="Ver detalle">
          <a:hlinkClick xmlns:r="http://schemas.openxmlformats.org/officeDocument/2006/relationships" r:id="rId2190" tooltip="Ver detalle"/>
          <a:extLst>
            <a:ext uri="{FF2B5EF4-FFF2-40B4-BE49-F238E27FC236}">
              <a16:creationId xmlns:a16="http://schemas.microsoft.com/office/drawing/2014/main" id="{D9B9F2AE-EBD3-981F-98EF-6AA840479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233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1994</xdr:row>
      <xdr:rowOff>0</xdr:rowOff>
    </xdr:from>
    <xdr:to>
      <xdr:col>13</xdr:col>
      <xdr:colOff>0</xdr:colOff>
      <xdr:row>1995</xdr:row>
      <xdr:rowOff>118110</xdr:rowOff>
    </xdr:to>
    <xdr:pic>
      <xdr:nvPicPr>
        <xdr:cNvPr id="2250" name="Imagen 2249" descr="Ver detalle">
          <a:hlinkClick xmlns:r="http://schemas.openxmlformats.org/officeDocument/2006/relationships" r:id="rId2191" tooltip="Ver detalle"/>
          <a:extLst>
            <a:ext uri="{FF2B5EF4-FFF2-40B4-BE49-F238E27FC236}">
              <a16:creationId xmlns:a16="http://schemas.microsoft.com/office/drawing/2014/main" id="{09548EF7-EF1E-C787-8263-73D0C917C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508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1993</xdr:row>
      <xdr:rowOff>0</xdr:rowOff>
    </xdr:from>
    <xdr:to>
      <xdr:col>13</xdr:col>
      <xdr:colOff>0</xdr:colOff>
      <xdr:row>1994</xdr:row>
      <xdr:rowOff>118110</xdr:rowOff>
    </xdr:to>
    <xdr:pic>
      <xdr:nvPicPr>
        <xdr:cNvPr id="2251" name="Imagen 2250" descr="Ver detalle">
          <a:hlinkClick xmlns:r="http://schemas.openxmlformats.org/officeDocument/2006/relationships" r:id="rId2192" tooltip="Ver detalle"/>
          <a:extLst>
            <a:ext uri="{FF2B5EF4-FFF2-40B4-BE49-F238E27FC236}">
              <a16:creationId xmlns:a16="http://schemas.microsoft.com/office/drawing/2014/main" id="{7BA9A084-3599-D3EB-AE5C-73826BEDE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784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1992</xdr:row>
      <xdr:rowOff>0</xdr:rowOff>
    </xdr:from>
    <xdr:to>
      <xdr:col>13</xdr:col>
      <xdr:colOff>0</xdr:colOff>
      <xdr:row>1993</xdr:row>
      <xdr:rowOff>118110</xdr:rowOff>
    </xdr:to>
    <xdr:pic>
      <xdr:nvPicPr>
        <xdr:cNvPr id="2252" name="Imagen 2251" descr="Ver detalle">
          <a:hlinkClick xmlns:r="http://schemas.openxmlformats.org/officeDocument/2006/relationships" r:id="rId2193" tooltip="Ver detalle"/>
          <a:extLst>
            <a:ext uri="{FF2B5EF4-FFF2-40B4-BE49-F238E27FC236}">
              <a16:creationId xmlns:a16="http://schemas.microsoft.com/office/drawing/2014/main" id="{B1064366-82D1-E0F0-FDF0-C9148917AF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0591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1947</xdr:row>
      <xdr:rowOff>0</xdr:rowOff>
    </xdr:from>
    <xdr:to>
      <xdr:col>13</xdr:col>
      <xdr:colOff>0</xdr:colOff>
      <xdr:row>1948</xdr:row>
      <xdr:rowOff>118110</xdr:rowOff>
    </xdr:to>
    <xdr:pic>
      <xdr:nvPicPr>
        <xdr:cNvPr id="2253" name="Imagen 2252" descr="Ver detalle">
          <a:hlinkClick xmlns:r="http://schemas.openxmlformats.org/officeDocument/2006/relationships" r:id="rId2194" tooltip="Ver detalle"/>
          <a:extLst>
            <a:ext uri="{FF2B5EF4-FFF2-40B4-BE49-F238E27FC236}">
              <a16:creationId xmlns:a16="http://schemas.microsoft.com/office/drawing/2014/main" id="{59769630-C21A-9545-C108-26CEBE31D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334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1946</xdr:row>
      <xdr:rowOff>0</xdr:rowOff>
    </xdr:from>
    <xdr:to>
      <xdr:col>13</xdr:col>
      <xdr:colOff>0</xdr:colOff>
      <xdr:row>1947</xdr:row>
      <xdr:rowOff>118110</xdr:rowOff>
    </xdr:to>
    <xdr:pic>
      <xdr:nvPicPr>
        <xdr:cNvPr id="2254" name="Imagen 2253" descr="Ver detalle">
          <a:hlinkClick xmlns:r="http://schemas.openxmlformats.org/officeDocument/2006/relationships" r:id="rId2195" tooltip="Ver detalle"/>
          <a:extLst>
            <a:ext uri="{FF2B5EF4-FFF2-40B4-BE49-F238E27FC236}">
              <a16:creationId xmlns:a16="http://schemas.microsoft.com/office/drawing/2014/main" id="{86F746B8-3649-1425-8FD2-ABC6A7914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609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1949</xdr:row>
      <xdr:rowOff>0</xdr:rowOff>
    </xdr:from>
    <xdr:to>
      <xdr:col>13</xdr:col>
      <xdr:colOff>0</xdr:colOff>
      <xdr:row>1950</xdr:row>
      <xdr:rowOff>118110</xdr:rowOff>
    </xdr:to>
    <xdr:pic>
      <xdr:nvPicPr>
        <xdr:cNvPr id="2255" name="Imagen 2254" descr="Ver detalle">
          <a:hlinkClick xmlns:r="http://schemas.openxmlformats.org/officeDocument/2006/relationships" r:id="rId2196" tooltip="Ver detalle"/>
          <a:extLst>
            <a:ext uri="{FF2B5EF4-FFF2-40B4-BE49-F238E27FC236}">
              <a16:creationId xmlns:a16="http://schemas.microsoft.com/office/drawing/2014/main" id="{A8B04B8C-D98F-0B63-0CCC-955C2EFE0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8843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1980</xdr:row>
      <xdr:rowOff>0</xdr:rowOff>
    </xdr:from>
    <xdr:to>
      <xdr:col>13</xdr:col>
      <xdr:colOff>0</xdr:colOff>
      <xdr:row>1981</xdr:row>
      <xdr:rowOff>118110</xdr:rowOff>
    </xdr:to>
    <xdr:pic>
      <xdr:nvPicPr>
        <xdr:cNvPr id="2256" name="Imagen 2255" descr="Ver detalle">
          <a:hlinkClick xmlns:r="http://schemas.openxmlformats.org/officeDocument/2006/relationships" r:id="rId2197" tooltip="Ver detalle"/>
          <a:extLst>
            <a:ext uri="{FF2B5EF4-FFF2-40B4-BE49-F238E27FC236}">
              <a16:creationId xmlns:a16="http://schemas.microsoft.com/office/drawing/2014/main" id="{F285ACCF-C212-A8BA-B5CA-5643037DB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159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1979</xdr:row>
      <xdr:rowOff>0</xdr:rowOff>
    </xdr:from>
    <xdr:to>
      <xdr:col>13</xdr:col>
      <xdr:colOff>0</xdr:colOff>
      <xdr:row>1980</xdr:row>
      <xdr:rowOff>118110</xdr:rowOff>
    </xdr:to>
    <xdr:pic>
      <xdr:nvPicPr>
        <xdr:cNvPr id="2257" name="Imagen 2256" descr="Ver detalle">
          <a:hlinkClick xmlns:r="http://schemas.openxmlformats.org/officeDocument/2006/relationships" r:id="rId2198" tooltip="Ver detalle"/>
          <a:extLst>
            <a:ext uri="{FF2B5EF4-FFF2-40B4-BE49-F238E27FC236}">
              <a16:creationId xmlns:a16="http://schemas.microsoft.com/office/drawing/2014/main" id="{EB3AEE91-7914-834F-D4D8-B3F1F5AB98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434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1977</xdr:row>
      <xdr:rowOff>0</xdr:rowOff>
    </xdr:from>
    <xdr:to>
      <xdr:col>13</xdr:col>
      <xdr:colOff>0</xdr:colOff>
      <xdr:row>1978</xdr:row>
      <xdr:rowOff>118110</xdr:rowOff>
    </xdr:to>
    <xdr:pic>
      <xdr:nvPicPr>
        <xdr:cNvPr id="2258" name="Imagen 2257" descr="Ver detalle">
          <a:hlinkClick xmlns:r="http://schemas.openxmlformats.org/officeDocument/2006/relationships" r:id="rId2199" tooltip="Ver detalle"/>
          <a:extLst>
            <a:ext uri="{FF2B5EF4-FFF2-40B4-BE49-F238E27FC236}">
              <a16:creationId xmlns:a16="http://schemas.microsoft.com/office/drawing/2014/main" id="{E50D8BCD-051E-AD8D-881A-53FC8E393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904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1976</xdr:row>
      <xdr:rowOff>0</xdr:rowOff>
    </xdr:from>
    <xdr:to>
      <xdr:col>13</xdr:col>
      <xdr:colOff>0</xdr:colOff>
      <xdr:row>1977</xdr:row>
      <xdr:rowOff>118110</xdr:rowOff>
    </xdr:to>
    <xdr:pic>
      <xdr:nvPicPr>
        <xdr:cNvPr id="2259" name="Imagen 2258" descr="Ver detalle">
          <a:hlinkClick xmlns:r="http://schemas.openxmlformats.org/officeDocument/2006/relationships" r:id="rId2200" tooltip="Ver detalle"/>
          <a:extLst>
            <a:ext uri="{FF2B5EF4-FFF2-40B4-BE49-F238E27FC236}">
              <a16:creationId xmlns:a16="http://schemas.microsoft.com/office/drawing/2014/main" id="{620D2329-E327-E44B-D10D-6B83EC807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0997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1975</xdr:row>
      <xdr:rowOff>0</xdr:rowOff>
    </xdr:from>
    <xdr:to>
      <xdr:col>13</xdr:col>
      <xdr:colOff>0</xdr:colOff>
      <xdr:row>1976</xdr:row>
      <xdr:rowOff>118110</xdr:rowOff>
    </xdr:to>
    <xdr:pic>
      <xdr:nvPicPr>
        <xdr:cNvPr id="2260" name="Imagen 2259" descr="Ver detalle">
          <a:hlinkClick xmlns:r="http://schemas.openxmlformats.org/officeDocument/2006/relationships" r:id="rId2201" tooltip="Ver detalle"/>
          <a:extLst>
            <a:ext uri="{FF2B5EF4-FFF2-40B4-BE49-F238E27FC236}">
              <a16:creationId xmlns:a16="http://schemas.microsoft.com/office/drawing/2014/main" id="{03643600-E7F6-E672-A69A-134C94180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294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1945</xdr:row>
      <xdr:rowOff>0</xdr:rowOff>
    </xdr:from>
    <xdr:to>
      <xdr:col>13</xdr:col>
      <xdr:colOff>0</xdr:colOff>
      <xdr:row>1946</xdr:row>
      <xdr:rowOff>118110</xdr:rowOff>
    </xdr:to>
    <xdr:pic>
      <xdr:nvPicPr>
        <xdr:cNvPr id="2261" name="Imagen 2260" descr="Ver detalle">
          <a:hlinkClick xmlns:r="http://schemas.openxmlformats.org/officeDocument/2006/relationships" r:id="rId2202" tooltip="Ver detalle"/>
          <a:extLst>
            <a:ext uri="{FF2B5EF4-FFF2-40B4-BE49-F238E27FC236}">
              <a16:creationId xmlns:a16="http://schemas.microsoft.com/office/drawing/2014/main" id="{833C01B1-8E73-B1FF-7767-B952120B1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4898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1970</xdr:row>
      <xdr:rowOff>0</xdr:rowOff>
    </xdr:from>
    <xdr:to>
      <xdr:col>13</xdr:col>
      <xdr:colOff>0</xdr:colOff>
      <xdr:row>1971</xdr:row>
      <xdr:rowOff>118110</xdr:rowOff>
    </xdr:to>
    <xdr:pic>
      <xdr:nvPicPr>
        <xdr:cNvPr id="2262" name="Imagen 2261" descr="Ver detalle">
          <a:hlinkClick xmlns:r="http://schemas.openxmlformats.org/officeDocument/2006/relationships" r:id="rId2203" tooltip="Ver detalle"/>
          <a:extLst>
            <a:ext uri="{FF2B5EF4-FFF2-40B4-BE49-F238E27FC236}">
              <a16:creationId xmlns:a16="http://schemas.microsoft.com/office/drawing/2014/main" id="{D3CBCE84-AF61-8836-C5BC-A2D618918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6849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1971</xdr:row>
      <xdr:rowOff>0</xdr:rowOff>
    </xdr:from>
    <xdr:to>
      <xdr:col>13</xdr:col>
      <xdr:colOff>0</xdr:colOff>
      <xdr:row>1972</xdr:row>
      <xdr:rowOff>118110</xdr:rowOff>
    </xdr:to>
    <xdr:pic>
      <xdr:nvPicPr>
        <xdr:cNvPr id="2263" name="Imagen 2262" descr="Ver detalle">
          <a:hlinkClick xmlns:r="http://schemas.openxmlformats.org/officeDocument/2006/relationships" r:id="rId2204" tooltip="Ver detalle"/>
          <a:extLst>
            <a:ext uri="{FF2B5EF4-FFF2-40B4-BE49-F238E27FC236}">
              <a16:creationId xmlns:a16="http://schemas.microsoft.com/office/drawing/2014/main" id="{CDBB113A-114A-72BB-2EB1-3BE5E67EF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8800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1974</xdr:row>
      <xdr:rowOff>0</xdr:rowOff>
    </xdr:from>
    <xdr:to>
      <xdr:col>13</xdr:col>
      <xdr:colOff>0</xdr:colOff>
      <xdr:row>1975</xdr:row>
      <xdr:rowOff>118110</xdr:rowOff>
    </xdr:to>
    <xdr:pic>
      <xdr:nvPicPr>
        <xdr:cNvPr id="2264" name="Imagen 2263" descr="Ver detalle">
          <a:hlinkClick xmlns:r="http://schemas.openxmlformats.org/officeDocument/2006/relationships" r:id="rId2205" tooltip="Ver detalle"/>
          <a:extLst>
            <a:ext uri="{FF2B5EF4-FFF2-40B4-BE49-F238E27FC236}">
              <a16:creationId xmlns:a16="http://schemas.microsoft.com/office/drawing/2014/main" id="{6D65E85B-7EE6-2A48-DE4D-0EBB5564B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0750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1973</xdr:row>
      <xdr:rowOff>0</xdr:rowOff>
    </xdr:from>
    <xdr:to>
      <xdr:col>13</xdr:col>
      <xdr:colOff>0</xdr:colOff>
      <xdr:row>1974</xdr:row>
      <xdr:rowOff>118110</xdr:rowOff>
    </xdr:to>
    <xdr:pic>
      <xdr:nvPicPr>
        <xdr:cNvPr id="2265" name="Imagen 2264" descr="Ver detalle">
          <a:hlinkClick xmlns:r="http://schemas.openxmlformats.org/officeDocument/2006/relationships" r:id="rId2206" tooltip="Ver detalle"/>
          <a:extLst>
            <a:ext uri="{FF2B5EF4-FFF2-40B4-BE49-F238E27FC236}">
              <a16:creationId xmlns:a16="http://schemas.microsoft.com/office/drawing/2014/main" id="{F23AE732-3CFE-D1EB-74A4-3047DB91E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270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1972</xdr:row>
      <xdr:rowOff>0</xdr:rowOff>
    </xdr:from>
    <xdr:to>
      <xdr:col>13</xdr:col>
      <xdr:colOff>0</xdr:colOff>
      <xdr:row>1973</xdr:row>
      <xdr:rowOff>118110</xdr:rowOff>
    </xdr:to>
    <xdr:pic>
      <xdr:nvPicPr>
        <xdr:cNvPr id="2266" name="Imagen 2265" descr="Ver detalle">
          <a:hlinkClick xmlns:r="http://schemas.openxmlformats.org/officeDocument/2006/relationships" r:id="rId2207" tooltip="Ver detalle"/>
          <a:extLst>
            <a:ext uri="{FF2B5EF4-FFF2-40B4-BE49-F238E27FC236}">
              <a16:creationId xmlns:a16="http://schemas.microsoft.com/office/drawing/2014/main" id="{523F20D8-7C2F-DE5B-5A58-554F688D2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4652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1944</xdr:row>
      <xdr:rowOff>0</xdr:rowOff>
    </xdr:from>
    <xdr:to>
      <xdr:col>13</xdr:col>
      <xdr:colOff>0</xdr:colOff>
      <xdr:row>1945</xdr:row>
      <xdr:rowOff>118110</xdr:rowOff>
    </xdr:to>
    <xdr:pic>
      <xdr:nvPicPr>
        <xdr:cNvPr id="2267" name="Imagen 2266" descr="Ver detalle">
          <a:hlinkClick xmlns:r="http://schemas.openxmlformats.org/officeDocument/2006/relationships" r:id="rId2208" tooltip="Ver detalle"/>
          <a:extLst>
            <a:ext uri="{FF2B5EF4-FFF2-40B4-BE49-F238E27FC236}">
              <a16:creationId xmlns:a16="http://schemas.microsoft.com/office/drawing/2014/main" id="{8F7578F6-8194-1755-9A4B-889D05C3E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660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1963</xdr:row>
      <xdr:rowOff>0</xdr:rowOff>
    </xdr:from>
    <xdr:to>
      <xdr:col>13</xdr:col>
      <xdr:colOff>0</xdr:colOff>
      <xdr:row>1964</xdr:row>
      <xdr:rowOff>118110</xdr:rowOff>
    </xdr:to>
    <xdr:pic>
      <xdr:nvPicPr>
        <xdr:cNvPr id="2268" name="Imagen 2267" descr="Ver detalle">
          <a:hlinkClick xmlns:r="http://schemas.openxmlformats.org/officeDocument/2006/relationships" r:id="rId2209" tooltip="Ver detalle"/>
          <a:extLst>
            <a:ext uri="{FF2B5EF4-FFF2-40B4-BE49-F238E27FC236}">
              <a16:creationId xmlns:a16="http://schemas.microsoft.com/office/drawing/2014/main" id="{02D3F755-2C7E-478C-8D34-044BFF216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855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1943</xdr:row>
      <xdr:rowOff>0</xdr:rowOff>
    </xdr:from>
    <xdr:to>
      <xdr:col>13</xdr:col>
      <xdr:colOff>0</xdr:colOff>
      <xdr:row>1944</xdr:row>
      <xdr:rowOff>118110</xdr:rowOff>
    </xdr:to>
    <xdr:pic>
      <xdr:nvPicPr>
        <xdr:cNvPr id="2269" name="Imagen 2268" descr="Ver detalle">
          <a:hlinkClick xmlns:r="http://schemas.openxmlformats.org/officeDocument/2006/relationships" r:id="rId2210" tooltip="Ver detalle"/>
          <a:extLst>
            <a:ext uri="{FF2B5EF4-FFF2-40B4-BE49-F238E27FC236}">
              <a16:creationId xmlns:a16="http://schemas.microsoft.com/office/drawing/2014/main" id="{9667041A-6104-E5BA-72F2-EDE7B5069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050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1950</xdr:row>
      <xdr:rowOff>0</xdr:rowOff>
    </xdr:from>
    <xdr:to>
      <xdr:col>13</xdr:col>
      <xdr:colOff>0</xdr:colOff>
      <xdr:row>1951</xdr:row>
      <xdr:rowOff>118110</xdr:rowOff>
    </xdr:to>
    <xdr:pic>
      <xdr:nvPicPr>
        <xdr:cNvPr id="2270" name="Imagen 2269" descr="Ver detalle">
          <a:hlinkClick xmlns:r="http://schemas.openxmlformats.org/officeDocument/2006/relationships" r:id="rId2211" tooltip="Ver detalle"/>
          <a:extLst>
            <a:ext uri="{FF2B5EF4-FFF2-40B4-BE49-F238E27FC236}">
              <a16:creationId xmlns:a16="http://schemas.microsoft.com/office/drawing/2014/main" id="{47B80612-C37F-09F5-04CF-37B7E1625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141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1962</xdr:row>
      <xdr:rowOff>0</xdr:rowOff>
    </xdr:from>
    <xdr:to>
      <xdr:col>13</xdr:col>
      <xdr:colOff>0</xdr:colOff>
      <xdr:row>1963</xdr:row>
      <xdr:rowOff>118110</xdr:rowOff>
    </xdr:to>
    <xdr:pic>
      <xdr:nvPicPr>
        <xdr:cNvPr id="2271" name="Imagen 2270" descr="Ver detalle">
          <a:hlinkClick xmlns:r="http://schemas.openxmlformats.org/officeDocument/2006/relationships" r:id="rId2212" tooltip="Ver detalle"/>
          <a:extLst>
            <a:ext uri="{FF2B5EF4-FFF2-40B4-BE49-F238E27FC236}">
              <a16:creationId xmlns:a16="http://schemas.microsoft.com/office/drawing/2014/main" id="{BB1B256B-A265-9480-4DA8-BAA53B582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336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1961</xdr:row>
      <xdr:rowOff>0</xdr:rowOff>
    </xdr:from>
    <xdr:to>
      <xdr:col>13</xdr:col>
      <xdr:colOff>0</xdr:colOff>
      <xdr:row>1962</xdr:row>
      <xdr:rowOff>118110</xdr:rowOff>
    </xdr:to>
    <xdr:pic>
      <xdr:nvPicPr>
        <xdr:cNvPr id="2272" name="Imagen 2271" descr="Ver detalle">
          <a:hlinkClick xmlns:r="http://schemas.openxmlformats.org/officeDocument/2006/relationships" r:id="rId2213" tooltip="Ver detalle"/>
          <a:extLst>
            <a:ext uri="{FF2B5EF4-FFF2-40B4-BE49-F238E27FC236}">
              <a16:creationId xmlns:a16="http://schemas.microsoft.com/office/drawing/2014/main" id="{026A0FC1-30AE-AFE3-9C62-F8BAE2BFC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5320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1960</xdr:row>
      <xdr:rowOff>0</xdr:rowOff>
    </xdr:from>
    <xdr:to>
      <xdr:col>13</xdr:col>
      <xdr:colOff>0</xdr:colOff>
      <xdr:row>1961</xdr:row>
      <xdr:rowOff>118110</xdr:rowOff>
    </xdr:to>
    <xdr:pic>
      <xdr:nvPicPr>
        <xdr:cNvPr id="2273" name="Imagen 2272" descr="Ver detalle">
          <a:hlinkClick xmlns:r="http://schemas.openxmlformats.org/officeDocument/2006/relationships" r:id="rId2214" tooltip="Ver detalle"/>
          <a:extLst>
            <a:ext uri="{FF2B5EF4-FFF2-40B4-BE49-F238E27FC236}">
              <a16:creationId xmlns:a16="http://schemas.microsoft.com/office/drawing/2014/main" id="{C13532A7-9AEA-ECCC-260C-71041EC76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7271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1959</xdr:row>
      <xdr:rowOff>0</xdr:rowOff>
    </xdr:from>
    <xdr:to>
      <xdr:col>13</xdr:col>
      <xdr:colOff>0</xdr:colOff>
      <xdr:row>1960</xdr:row>
      <xdr:rowOff>118110</xdr:rowOff>
    </xdr:to>
    <xdr:pic>
      <xdr:nvPicPr>
        <xdr:cNvPr id="2274" name="Imagen 2273" descr="Ver detalle">
          <a:hlinkClick xmlns:r="http://schemas.openxmlformats.org/officeDocument/2006/relationships" r:id="rId2215" tooltip="Ver detalle"/>
          <a:extLst>
            <a:ext uri="{FF2B5EF4-FFF2-40B4-BE49-F238E27FC236}">
              <a16:creationId xmlns:a16="http://schemas.microsoft.com/office/drawing/2014/main" id="{25516C34-9BAA-BFA7-27FA-73412A5F5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922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1958</xdr:row>
      <xdr:rowOff>0</xdr:rowOff>
    </xdr:from>
    <xdr:to>
      <xdr:col>13</xdr:col>
      <xdr:colOff>0</xdr:colOff>
      <xdr:row>1959</xdr:row>
      <xdr:rowOff>118110</xdr:rowOff>
    </xdr:to>
    <xdr:pic>
      <xdr:nvPicPr>
        <xdr:cNvPr id="2275" name="Imagen 2274" descr="Ver detalle">
          <a:hlinkClick xmlns:r="http://schemas.openxmlformats.org/officeDocument/2006/relationships" r:id="rId2216" tooltip="Ver detalle"/>
          <a:extLst>
            <a:ext uri="{FF2B5EF4-FFF2-40B4-BE49-F238E27FC236}">
              <a16:creationId xmlns:a16="http://schemas.microsoft.com/office/drawing/2014/main" id="{6003DE8C-70ED-E24F-D3BB-CA28CC415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013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1965</xdr:row>
      <xdr:rowOff>0</xdr:rowOff>
    </xdr:from>
    <xdr:to>
      <xdr:col>13</xdr:col>
      <xdr:colOff>0</xdr:colOff>
      <xdr:row>1966</xdr:row>
      <xdr:rowOff>118110</xdr:rowOff>
    </xdr:to>
    <xdr:pic>
      <xdr:nvPicPr>
        <xdr:cNvPr id="2276" name="Imagen 2275" descr="Ver detalle">
          <a:hlinkClick xmlns:r="http://schemas.openxmlformats.org/officeDocument/2006/relationships" r:id="rId2217" tooltip="Ver detalle"/>
          <a:extLst>
            <a:ext uri="{FF2B5EF4-FFF2-40B4-BE49-F238E27FC236}">
              <a16:creationId xmlns:a16="http://schemas.microsoft.com/office/drawing/2014/main" id="{AF0FC948-40A4-BF41-83E9-2F0CEA552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2086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1964</xdr:row>
      <xdr:rowOff>0</xdr:rowOff>
    </xdr:from>
    <xdr:to>
      <xdr:col>13</xdr:col>
      <xdr:colOff>0</xdr:colOff>
      <xdr:row>1965</xdr:row>
      <xdr:rowOff>118110</xdr:rowOff>
    </xdr:to>
    <xdr:pic>
      <xdr:nvPicPr>
        <xdr:cNvPr id="2277" name="Imagen 2276" descr="Ver detalle">
          <a:hlinkClick xmlns:r="http://schemas.openxmlformats.org/officeDocument/2006/relationships" r:id="rId2218" tooltip="Ver detalle"/>
          <a:extLst>
            <a:ext uri="{FF2B5EF4-FFF2-40B4-BE49-F238E27FC236}">
              <a16:creationId xmlns:a16="http://schemas.microsoft.com/office/drawing/2014/main" id="{B2CD09F8-742D-25FE-F561-BEE7F35F3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300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1969</xdr:row>
      <xdr:rowOff>0</xdr:rowOff>
    </xdr:from>
    <xdr:to>
      <xdr:col>13</xdr:col>
      <xdr:colOff>0</xdr:colOff>
      <xdr:row>1970</xdr:row>
      <xdr:rowOff>118110</xdr:rowOff>
    </xdr:to>
    <xdr:pic>
      <xdr:nvPicPr>
        <xdr:cNvPr id="2278" name="Imagen 2277" descr="Ver detalle">
          <a:hlinkClick xmlns:r="http://schemas.openxmlformats.org/officeDocument/2006/relationships" r:id="rId2219" tooltip="Ver detalle"/>
          <a:extLst>
            <a:ext uri="{FF2B5EF4-FFF2-40B4-BE49-F238E27FC236}">
              <a16:creationId xmlns:a16="http://schemas.microsoft.com/office/drawing/2014/main" id="{F84C8AF1-76FC-4934-6A70-FEB5CEA89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3915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1968</xdr:row>
      <xdr:rowOff>0</xdr:rowOff>
    </xdr:from>
    <xdr:to>
      <xdr:col>13</xdr:col>
      <xdr:colOff>0</xdr:colOff>
      <xdr:row>1969</xdr:row>
      <xdr:rowOff>118110</xdr:rowOff>
    </xdr:to>
    <xdr:pic>
      <xdr:nvPicPr>
        <xdr:cNvPr id="2279" name="Imagen 2278" descr="Ver detalle">
          <a:hlinkClick xmlns:r="http://schemas.openxmlformats.org/officeDocument/2006/relationships" r:id="rId2220" tooltip="Ver detalle"/>
          <a:extLst>
            <a:ext uri="{FF2B5EF4-FFF2-40B4-BE49-F238E27FC236}">
              <a16:creationId xmlns:a16="http://schemas.microsoft.com/office/drawing/2014/main" id="{9C0BEA49-28BB-F0A3-785D-486760B0A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586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1967</xdr:row>
      <xdr:rowOff>0</xdr:rowOff>
    </xdr:from>
    <xdr:to>
      <xdr:col>13</xdr:col>
      <xdr:colOff>0</xdr:colOff>
      <xdr:row>1968</xdr:row>
      <xdr:rowOff>118110</xdr:rowOff>
    </xdr:to>
    <xdr:pic>
      <xdr:nvPicPr>
        <xdr:cNvPr id="2280" name="Imagen 2279" descr="Ver detalle">
          <a:hlinkClick xmlns:r="http://schemas.openxmlformats.org/officeDocument/2006/relationships" r:id="rId2221" tooltip="Ver detalle"/>
          <a:extLst>
            <a:ext uri="{FF2B5EF4-FFF2-40B4-BE49-F238E27FC236}">
              <a16:creationId xmlns:a16="http://schemas.microsoft.com/office/drawing/2014/main" id="{AF2D0339-8D35-A5CA-F446-19863D16C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781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1966</xdr:row>
      <xdr:rowOff>0</xdr:rowOff>
    </xdr:from>
    <xdr:to>
      <xdr:col>13</xdr:col>
      <xdr:colOff>0</xdr:colOff>
      <xdr:row>1967</xdr:row>
      <xdr:rowOff>118110</xdr:rowOff>
    </xdr:to>
    <xdr:pic>
      <xdr:nvPicPr>
        <xdr:cNvPr id="2281" name="Imagen 2280" descr="Ver detalle">
          <a:hlinkClick xmlns:r="http://schemas.openxmlformats.org/officeDocument/2006/relationships" r:id="rId2222" tooltip="Ver detalle"/>
          <a:extLst>
            <a:ext uri="{FF2B5EF4-FFF2-40B4-BE49-F238E27FC236}">
              <a16:creationId xmlns:a16="http://schemas.microsoft.com/office/drawing/2014/main" id="{55AA1501-2DEB-A174-87AD-F63FB98F8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9767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1956</xdr:row>
      <xdr:rowOff>0</xdr:rowOff>
    </xdr:from>
    <xdr:to>
      <xdr:col>13</xdr:col>
      <xdr:colOff>0</xdr:colOff>
      <xdr:row>1957</xdr:row>
      <xdr:rowOff>118110</xdr:rowOff>
    </xdr:to>
    <xdr:pic>
      <xdr:nvPicPr>
        <xdr:cNvPr id="2282" name="Imagen 2281" descr="Ver detalle">
          <a:hlinkClick xmlns:r="http://schemas.openxmlformats.org/officeDocument/2006/relationships" r:id="rId2223" tooltip="Ver detalle"/>
          <a:extLst>
            <a:ext uri="{FF2B5EF4-FFF2-40B4-BE49-F238E27FC236}">
              <a16:creationId xmlns:a16="http://schemas.microsoft.com/office/drawing/2014/main" id="{08870405-5711-2ED8-8CF1-8820B1220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366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1937</xdr:row>
      <xdr:rowOff>0</xdr:rowOff>
    </xdr:from>
    <xdr:to>
      <xdr:col>13</xdr:col>
      <xdr:colOff>0</xdr:colOff>
      <xdr:row>1938</xdr:row>
      <xdr:rowOff>118110</xdr:rowOff>
    </xdr:to>
    <xdr:pic>
      <xdr:nvPicPr>
        <xdr:cNvPr id="2283" name="Imagen 2282" descr="Ver detalle">
          <a:hlinkClick xmlns:r="http://schemas.openxmlformats.org/officeDocument/2006/relationships" r:id="rId2224" tooltip="Ver detalle"/>
          <a:extLst>
            <a:ext uri="{FF2B5EF4-FFF2-40B4-BE49-F238E27FC236}">
              <a16:creationId xmlns:a16="http://schemas.microsoft.com/office/drawing/2014/main" id="{109D7970-1548-FE15-9CB1-AF4E1E262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562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1939</xdr:row>
      <xdr:rowOff>0</xdr:rowOff>
    </xdr:from>
    <xdr:to>
      <xdr:col>13</xdr:col>
      <xdr:colOff>0</xdr:colOff>
      <xdr:row>1940</xdr:row>
      <xdr:rowOff>118110</xdr:rowOff>
    </xdr:to>
    <xdr:pic>
      <xdr:nvPicPr>
        <xdr:cNvPr id="2284" name="Imagen 2283" descr="Ver detalle">
          <a:hlinkClick xmlns:r="http://schemas.openxmlformats.org/officeDocument/2006/relationships" r:id="rId2225" tooltip="Ver detalle"/>
          <a:extLst>
            <a:ext uri="{FF2B5EF4-FFF2-40B4-BE49-F238E27FC236}">
              <a16:creationId xmlns:a16="http://schemas.microsoft.com/office/drawing/2014/main" id="{02F626B4-5726-EFAC-2624-C9086DCCB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757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1940</xdr:row>
      <xdr:rowOff>0</xdr:rowOff>
    </xdr:from>
    <xdr:to>
      <xdr:col>13</xdr:col>
      <xdr:colOff>0</xdr:colOff>
      <xdr:row>1941</xdr:row>
      <xdr:rowOff>118110</xdr:rowOff>
    </xdr:to>
    <xdr:pic>
      <xdr:nvPicPr>
        <xdr:cNvPr id="2285" name="Imagen 2284" descr="Ver detalle">
          <a:hlinkClick xmlns:r="http://schemas.openxmlformats.org/officeDocument/2006/relationships" r:id="rId2226" tooltip="Ver detalle"/>
          <a:extLst>
            <a:ext uri="{FF2B5EF4-FFF2-40B4-BE49-F238E27FC236}">
              <a16:creationId xmlns:a16="http://schemas.microsoft.com/office/drawing/2014/main" id="{E2B6E6DE-7220-0AB5-6EF5-C18623131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9521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1938</xdr:row>
      <xdr:rowOff>0</xdr:rowOff>
    </xdr:from>
    <xdr:to>
      <xdr:col>13</xdr:col>
      <xdr:colOff>0</xdr:colOff>
      <xdr:row>1939</xdr:row>
      <xdr:rowOff>118110</xdr:rowOff>
    </xdr:to>
    <xdr:pic>
      <xdr:nvPicPr>
        <xdr:cNvPr id="2286" name="Imagen 2285" descr="Ver detalle">
          <a:hlinkClick xmlns:r="http://schemas.openxmlformats.org/officeDocument/2006/relationships" r:id="rId2227" tooltip="Ver detalle"/>
          <a:extLst>
            <a:ext uri="{FF2B5EF4-FFF2-40B4-BE49-F238E27FC236}">
              <a16:creationId xmlns:a16="http://schemas.microsoft.com/office/drawing/2014/main" id="{1AE5447A-1832-4DFE-5938-BB98994EA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147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1929</xdr:row>
      <xdr:rowOff>0</xdr:rowOff>
    </xdr:from>
    <xdr:to>
      <xdr:col>13</xdr:col>
      <xdr:colOff>0</xdr:colOff>
      <xdr:row>1930</xdr:row>
      <xdr:rowOff>118110</xdr:rowOff>
    </xdr:to>
    <xdr:pic>
      <xdr:nvPicPr>
        <xdr:cNvPr id="2287" name="Imagen 2286" descr="Ver detalle">
          <a:hlinkClick xmlns:r="http://schemas.openxmlformats.org/officeDocument/2006/relationships" r:id="rId2228" tooltip="Ver detalle"/>
          <a:extLst>
            <a:ext uri="{FF2B5EF4-FFF2-40B4-BE49-F238E27FC236}">
              <a16:creationId xmlns:a16="http://schemas.microsoft.com/office/drawing/2014/main" id="{DA7CB088-23B7-5918-7255-D7FCE9AAF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342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1928</xdr:row>
      <xdr:rowOff>0</xdr:rowOff>
    </xdr:from>
    <xdr:to>
      <xdr:col>13</xdr:col>
      <xdr:colOff>0</xdr:colOff>
      <xdr:row>1929</xdr:row>
      <xdr:rowOff>118110</xdr:rowOff>
    </xdr:to>
    <xdr:pic>
      <xdr:nvPicPr>
        <xdr:cNvPr id="2288" name="Imagen 2287" descr="Ver detalle">
          <a:hlinkClick xmlns:r="http://schemas.openxmlformats.org/officeDocument/2006/relationships" r:id="rId2229" tooltip="Ver detalle"/>
          <a:extLst>
            <a:ext uri="{FF2B5EF4-FFF2-40B4-BE49-F238E27FC236}">
              <a16:creationId xmlns:a16="http://schemas.microsoft.com/office/drawing/2014/main" id="{CA50F8DC-D8E0-F4FB-13FD-438EB9FDF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4337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1941</xdr:row>
      <xdr:rowOff>0</xdr:rowOff>
    </xdr:from>
    <xdr:to>
      <xdr:col>13</xdr:col>
      <xdr:colOff>0</xdr:colOff>
      <xdr:row>1942</xdr:row>
      <xdr:rowOff>118110</xdr:rowOff>
    </xdr:to>
    <xdr:pic>
      <xdr:nvPicPr>
        <xdr:cNvPr id="2289" name="Imagen 2288" descr="Ver detalle">
          <a:hlinkClick xmlns:r="http://schemas.openxmlformats.org/officeDocument/2006/relationships" r:id="rId2230" tooltip="Ver detalle"/>
          <a:extLst>
            <a:ext uri="{FF2B5EF4-FFF2-40B4-BE49-F238E27FC236}">
              <a16:creationId xmlns:a16="http://schemas.microsoft.com/office/drawing/2014/main" id="{710293A5-4C53-61CF-E9F3-5D677A83E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5251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1935</xdr:row>
      <xdr:rowOff>0</xdr:rowOff>
    </xdr:from>
    <xdr:to>
      <xdr:col>13</xdr:col>
      <xdr:colOff>0</xdr:colOff>
      <xdr:row>1936</xdr:row>
      <xdr:rowOff>118110</xdr:rowOff>
    </xdr:to>
    <xdr:pic>
      <xdr:nvPicPr>
        <xdr:cNvPr id="2290" name="Imagen 2289" descr="Ver detalle">
          <a:hlinkClick xmlns:r="http://schemas.openxmlformats.org/officeDocument/2006/relationships" r:id="rId2231" tooltip="Ver detalle"/>
          <a:extLst>
            <a:ext uri="{FF2B5EF4-FFF2-40B4-BE49-F238E27FC236}">
              <a16:creationId xmlns:a16="http://schemas.microsoft.com/office/drawing/2014/main" id="{615AE489-87E3-3487-85E6-9D7B67D2D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720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1942</xdr:row>
      <xdr:rowOff>0</xdr:rowOff>
    </xdr:from>
    <xdr:to>
      <xdr:col>13</xdr:col>
      <xdr:colOff>0</xdr:colOff>
      <xdr:row>1943</xdr:row>
      <xdr:rowOff>118110</xdr:rowOff>
    </xdr:to>
    <xdr:pic>
      <xdr:nvPicPr>
        <xdr:cNvPr id="2291" name="Imagen 2290" descr="Ver detalle">
          <a:hlinkClick xmlns:r="http://schemas.openxmlformats.org/officeDocument/2006/relationships" r:id="rId2232" tooltip="Ver detalle"/>
          <a:extLst>
            <a:ext uri="{FF2B5EF4-FFF2-40B4-BE49-F238E27FC236}">
              <a16:creationId xmlns:a16="http://schemas.microsoft.com/office/drawing/2014/main" id="{804BE053-28AE-79E7-3965-6D1394B45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9153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1927</xdr:row>
      <xdr:rowOff>0</xdr:rowOff>
    </xdr:from>
    <xdr:to>
      <xdr:col>13</xdr:col>
      <xdr:colOff>0</xdr:colOff>
      <xdr:row>1928</xdr:row>
      <xdr:rowOff>118110</xdr:rowOff>
    </xdr:to>
    <xdr:pic>
      <xdr:nvPicPr>
        <xdr:cNvPr id="2292" name="Imagen 2291" descr="Ver detalle">
          <a:hlinkClick xmlns:r="http://schemas.openxmlformats.org/officeDocument/2006/relationships" r:id="rId2233" tooltip="Ver detalle"/>
          <a:extLst>
            <a:ext uri="{FF2B5EF4-FFF2-40B4-BE49-F238E27FC236}">
              <a16:creationId xmlns:a16="http://schemas.microsoft.com/office/drawing/2014/main" id="{3B3B999E-8FB7-C938-2E5C-F39CD6C9E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1103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1934</xdr:row>
      <xdr:rowOff>0</xdr:rowOff>
    </xdr:from>
    <xdr:to>
      <xdr:col>13</xdr:col>
      <xdr:colOff>0</xdr:colOff>
      <xdr:row>1935</xdr:row>
      <xdr:rowOff>118110</xdr:rowOff>
    </xdr:to>
    <xdr:pic>
      <xdr:nvPicPr>
        <xdr:cNvPr id="2293" name="Imagen 2292" descr="Ver detalle">
          <a:hlinkClick xmlns:r="http://schemas.openxmlformats.org/officeDocument/2006/relationships" r:id="rId2234" tooltip="Ver detalle"/>
          <a:extLst>
            <a:ext uri="{FF2B5EF4-FFF2-40B4-BE49-F238E27FC236}">
              <a16:creationId xmlns:a16="http://schemas.microsoft.com/office/drawing/2014/main" id="{B58006A2-3C59-D935-81FF-AAB77CEE2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3054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1923</xdr:row>
      <xdr:rowOff>0</xdr:rowOff>
    </xdr:from>
    <xdr:to>
      <xdr:col>13</xdr:col>
      <xdr:colOff>0</xdr:colOff>
      <xdr:row>1924</xdr:row>
      <xdr:rowOff>118110</xdr:rowOff>
    </xdr:to>
    <xdr:pic>
      <xdr:nvPicPr>
        <xdr:cNvPr id="2294" name="Imagen 2293" descr="Ver detalle">
          <a:hlinkClick xmlns:r="http://schemas.openxmlformats.org/officeDocument/2006/relationships" r:id="rId2235" tooltip="Ver detalle"/>
          <a:extLst>
            <a:ext uri="{FF2B5EF4-FFF2-40B4-BE49-F238E27FC236}">
              <a16:creationId xmlns:a16="http://schemas.microsoft.com/office/drawing/2014/main" id="{1B91F44E-85E1-C7E2-40BC-87003BAF0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500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1926</xdr:row>
      <xdr:rowOff>0</xdr:rowOff>
    </xdr:from>
    <xdr:to>
      <xdr:col>13</xdr:col>
      <xdr:colOff>0</xdr:colOff>
      <xdr:row>1927</xdr:row>
      <xdr:rowOff>118110</xdr:rowOff>
    </xdr:to>
    <xdr:pic>
      <xdr:nvPicPr>
        <xdr:cNvPr id="2295" name="Imagen 2294" descr="Ver detalle">
          <a:hlinkClick xmlns:r="http://schemas.openxmlformats.org/officeDocument/2006/relationships" r:id="rId2236" tooltip="Ver detalle"/>
          <a:extLst>
            <a:ext uri="{FF2B5EF4-FFF2-40B4-BE49-F238E27FC236}">
              <a16:creationId xmlns:a16="http://schemas.microsoft.com/office/drawing/2014/main" id="{402332AA-CD00-6B37-EAC7-1D1E02F49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695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1925</xdr:row>
      <xdr:rowOff>0</xdr:rowOff>
    </xdr:from>
    <xdr:to>
      <xdr:col>13</xdr:col>
      <xdr:colOff>0</xdr:colOff>
      <xdr:row>1926</xdr:row>
      <xdr:rowOff>118110</xdr:rowOff>
    </xdr:to>
    <xdr:pic>
      <xdr:nvPicPr>
        <xdr:cNvPr id="2296" name="Imagen 2295" descr="Ver detalle">
          <a:hlinkClick xmlns:r="http://schemas.openxmlformats.org/officeDocument/2006/relationships" r:id="rId2237" tooltip="Ver detalle"/>
          <a:extLst>
            <a:ext uri="{FF2B5EF4-FFF2-40B4-BE49-F238E27FC236}">
              <a16:creationId xmlns:a16="http://schemas.microsoft.com/office/drawing/2014/main" id="{5DF2751E-A076-1ED5-288A-4CE64AD4D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8906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1924</xdr:row>
      <xdr:rowOff>0</xdr:rowOff>
    </xdr:from>
    <xdr:to>
      <xdr:col>13</xdr:col>
      <xdr:colOff>0</xdr:colOff>
      <xdr:row>1925</xdr:row>
      <xdr:rowOff>118110</xdr:rowOff>
    </xdr:to>
    <xdr:pic>
      <xdr:nvPicPr>
        <xdr:cNvPr id="2297" name="Imagen 2296" descr="Ver detalle">
          <a:hlinkClick xmlns:r="http://schemas.openxmlformats.org/officeDocument/2006/relationships" r:id="rId2238" tooltip="Ver detalle"/>
          <a:extLst>
            <a:ext uri="{FF2B5EF4-FFF2-40B4-BE49-F238E27FC236}">
              <a16:creationId xmlns:a16="http://schemas.microsoft.com/office/drawing/2014/main" id="{716766C0-603A-F4C5-5D2B-E4DFBCFEB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0857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1922</xdr:row>
      <xdr:rowOff>0</xdr:rowOff>
    </xdr:from>
    <xdr:to>
      <xdr:col>13</xdr:col>
      <xdr:colOff>0</xdr:colOff>
      <xdr:row>1923</xdr:row>
      <xdr:rowOff>118110</xdr:rowOff>
    </xdr:to>
    <xdr:pic>
      <xdr:nvPicPr>
        <xdr:cNvPr id="2298" name="Imagen 2297" descr="Ver detalle">
          <a:hlinkClick xmlns:r="http://schemas.openxmlformats.org/officeDocument/2006/relationships" r:id="rId2239" tooltip="Ver detalle"/>
          <a:extLst>
            <a:ext uri="{FF2B5EF4-FFF2-40B4-BE49-F238E27FC236}">
              <a16:creationId xmlns:a16="http://schemas.microsoft.com/office/drawing/2014/main" id="{DCD37612-D5C6-4C9E-6C33-99A669306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2808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1932</xdr:row>
      <xdr:rowOff>0</xdr:rowOff>
    </xdr:from>
    <xdr:to>
      <xdr:col>13</xdr:col>
      <xdr:colOff>0</xdr:colOff>
      <xdr:row>1933</xdr:row>
      <xdr:rowOff>118110</xdr:rowOff>
    </xdr:to>
    <xdr:pic>
      <xdr:nvPicPr>
        <xdr:cNvPr id="2299" name="Imagen 2298" descr="Ver detalle">
          <a:hlinkClick xmlns:r="http://schemas.openxmlformats.org/officeDocument/2006/relationships" r:id="rId2240" tooltip="Ver detalle"/>
          <a:extLst>
            <a:ext uri="{FF2B5EF4-FFF2-40B4-BE49-F238E27FC236}">
              <a16:creationId xmlns:a16="http://schemas.microsoft.com/office/drawing/2014/main" id="{51875A7B-159B-27AD-CAE4-365D2AF75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475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1919</xdr:row>
      <xdr:rowOff>0</xdr:rowOff>
    </xdr:from>
    <xdr:to>
      <xdr:col>13</xdr:col>
      <xdr:colOff>0</xdr:colOff>
      <xdr:row>1920</xdr:row>
      <xdr:rowOff>118110</xdr:rowOff>
    </xdr:to>
    <xdr:pic>
      <xdr:nvPicPr>
        <xdr:cNvPr id="2300" name="Imagen 2299" descr="Ver detalle">
          <a:hlinkClick xmlns:r="http://schemas.openxmlformats.org/officeDocument/2006/relationships" r:id="rId2241" tooltip="Ver detalle"/>
          <a:extLst>
            <a:ext uri="{FF2B5EF4-FFF2-40B4-BE49-F238E27FC236}">
              <a16:creationId xmlns:a16="http://schemas.microsoft.com/office/drawing/2014/main" id="{38AA8E06-F63F-07DF-DF8A-9A512E35E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670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1921</xdr:row>
      <xdr:rowOff>0</xdr:rowOff>
    </xdr:from>
    <xdr:to>
      <xdr:col>13</xdr:col>
      <xdr:colOff>0</xdr:colOff>
      <xdr:row>1922</xdr:row>
      <xdr:rowOff>118110</xdr:rowOff>
    </xdr:to>
    <xdr:pic>
      <xdr:nvPicPr>
        <xdr:cNvPr id="2301" name="Imagen 2300" descr="Ver detalle">
          <a:hlinkClick xmlns:r="http://schemas.openxmlformats.org/officeDocument/2006/relationships" r:id="rId2242" tooltip="Ver detalle"/>
          <a:extLst>
            <a:ext uri="{FF2B5EF4-FFF2-40B4-BE49-F238E27FC236}">
              <a16:creationId xmlns:a16="http://schemas.microsoft.com/office/drawing/2014/main" id="{B433A890-18B1-91D8-00C1-9BFFAC4F9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8660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1916</xdr:row>
      <xdr:rowOff>0</xdr:rowOff>
    </xdr:from>
    <xdr:to>
      <xdr:col>13</xdr:col>
      <xdr:colOff>0</xdr:colOff>
      <xdr:row>1917</xdr:row>
      <xdr:rowOff>118110</xdr:rowOff>
    </xdr:to>
    <xdr:pic>
      <xdr:nvPicPr>
        <xdr:cNvPr id="2302" name="Imagen 2301" descr="Ver detalle">
          <a:hlinkClick xmlns:r="http://schemas.openxmlformats.org/officeDocument/2006/relationships" r:id="rId2243" tooltip="Ver detalle"/>
          <a:extLst>
            <a:ext uri="{FF2B5EF4-FFF2-40B4-BE49-F238E27FC236}">
              <a16:creationId xmlns:a16="http://schemas.microsoft.com/office/drawing/2014/main" id="{E9AF251D-D958-0B7D-84A1-7C9A2410E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957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1918</xdr:row>
      <xdr:rowOff>0</xdr:rowOff>
    </xdr:from>
    <xdr:to>
      <xdr:col>13</xdr:col>
      <xdr:colOff>0</xdr:colOff>
      <xdr:row>1919</xdr:row>
      <xdr:rowOff>118110</xdr:rowOff>
    </xdr:to>
    <xdr:pic>
      <xdr:nvPicPr>
        <xdr:cNvPr id="2303" name="Imagen 2302" descr="Ver detalle">
          <a:hlinkClick xmlns:r="http://schemas.openxmlformats.org/officeDocument/2006/relationships" r:id="rId2244" tooltip="Ver detalle"/>
          <a:extLst>
            <a:ext uri="{FF2B5EF4-FFF2-40B4-BE49-F238E27FC236}">
              <a16:creationId xmlns:a16="http://schemas.microsoft.com/office/drawing/2014/main" id="{20135D36-CFAF-6096-F6ED-0F28BBB09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152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1933</xdr:row>
      <xdr:rowOff>0</xdr:rowOff>
    </xdr:from>
    <xdr:to>
      <xdr:col>13</xdr:col>
      <xdr:colOff>0</xdr:colOff>
      <xdr:row>1934</xdr:row>
      <xdr:rowOff>118110</xdr:rowOff>
    </xdr:to>
    <xdr:pic>
      <xdr:nvPicPr>
        <xdr:cNvPr id="2304" name="Imagen 2303" descr="Ver detalle">
          <a:hlinkClick xmlns:r="http://schemas.openxmlformats.org/officeDocument/2006/relationships" r:id="rId2245" tooltip="Ver detalle"/>
          <a:extLst>
            <a:ext uri="{FF2B5EF4-FFF2-40B4-BE49-F238E27FC236}">
              <a16:creationId xmlns:a16="http://schemas.microsoft.com/office/drawing/2014/main" id="{331DCA18-46BD-F061-43DF-0DDAF3FC4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347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1920</xdr:row>
      <xdr:rowOff>0</xdr:rowOff>
    </xdr:from>
    <xdr:to>
      <xdr:col>13</xdr:col>
      <xdr:colOff>0</xdr:colOff>
      <xdr:row>1921</xdr:row>
      <xdr:rowOff>118110</xdr:rowOff>
    </xdr:to>
    <xdr:pic>
      <xdr:nvPicPr>
        <xdr:cNvPr id="2305" name="Imagen 2304" descr="Ver detalle">
          <a:hlinkClick xmlns:r="http://schemas.openxmlformats.org/officeDocument/2006/relationships" r:id="rId2246" tooltip="Ver detalle"/>
          <a:extLst>
            <a:ext uri="{FF2B5EF4-FFF2-40B4-BE49-F238E27FC236}">
              <a16:creationId xmlns:a16="http://schemas.microsoft.com/office/drawing/2014/main" id="{31E8B688-D80E-8426-F3DE-AB8573514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5426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1931</xdr:row>
      <xdr:rowOff>0</xdr:rowOff>
    </xdr:from>
    <xdr:to>
      <xdr:col>13</xdr:col>
      <xdr:colOff>0</xdr:colOff>
      <xdr:row>1932</xdr:row>
      <xdr:rowOff>118110</xdr:rowOff>
    </xdr:to>
    <xdr:pic>
      <xdr:nvPicPr>
        <xdr:cNvPr id="2306" name="Imagen 2305" descr="Ver detalle">
          <a:hlinkClick xmlns:r="http://schemas.openxmlformats.org/officeDocument/2006/relationships" r:id="rId2247" tooltip="Ver detalle"/>
          <a:extLst>
            <a:ext uri="{FF2B5EF4-FFF2-40B4-BE49-F238E27FC236}">
              <a16:creationId xmlns:a16="http://schemas.microsoft.com/office/drawing/2014/main" id="{183CF9AC-030F-1FC2-12AC-467BE864D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829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1930</xdr:row>
      <xdr:rowOff>0</xdr:rowOff>
    </xdr:from>
    <xdr:to>
      <xdr:col>13</xdr:col>
      <xdr:colOff>0</xdr:colOff>
      <xdr:row>1931</xdr:row>
      <xdr:rowOff>118110</xdr:rowOff>
    </xdr:to>
    <xdr:pic>
      <xdr:nvPicPr>
        <xdr:cNvPr id="2307" name="Imagen 2306" descr="Ver detalle">
          <a:hlinkClick xmlns:r="http://schemas.openxmlformats.org/officeDocument/2006/relationships" r:id="rId2248" tooltip="Ver detalle"/>
          <a:extLst>
            <a:ext uri="{FF2B5EF4-FFF2-40B4-BE49-F238E27FC236}">
              <a16:creationId xmlns:a16="http://schemas.microsoft.com/office/drawing/2014/main" id="{43681D4F-9D3D-F9D3-73C6-14A6C1C70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920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1915</xdr:row>
      <xdr:rowOff>0</xdr:rowOff>
    </xdr:from>
    <xdr:to>
      <xdr:col>13</xdr:col>
      <xdr:colOff>0</xdr:colOff>
      <xdr:row>1916</xdr:row>
      <xdr:rowOff>118110</xdr:rowOff>
    </xdr:to>
    <xdr:pic>
      <xdr:nvPicPr>
        <xdr:cNvPr id="2308" name="Imagen 2307" descr="Ver detalle">
          <a:hlinkClick xmlns:r="http://schemas.openxmlformats.org/officeDocument/2006/relationships" r:id="rId2249" tooltip="Ver detalle"/>
          <a:extLst>
            <a:ext uri="{FF2B5EF4-FFF2-40B4-BE49-F238E27FC236}">
              <a16:creationId xmlns:a16="http://schemas.microsoft.com/office/drawing/2014/main" id="{E82E9E6E-9573-DC38-4D2F-56F727492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1012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2071</xdr:row>
      <xdr:rowOff>0</xdr:rowOff>
    </xdr:from>
    <xdr:to>
      <xdr:col>13</xdr:col>
      <xdr:colOff>0</xdr:colOff>
      <xdr:row>2072</xdr:row>
      <xdr:rowOff>114300</xdr:rowOff>
    </xdr:to>
    <xdr:pic>
      <xdr:nvPicPr>
        <xdr:cNvPr id="2309" name="Imagen 2308" descr="Ver detalle">
          <a:hlinkClick xmlns:r="http://schemas.openxmlformats.org/officeDocument/2006/relationships" r:id="rId2250" tooltip="Ver detalle"/>
          <a:extLst>
            <a:ext uri="{FF2B5EF4-FFF2-40B4-BE49-F238E27FC236}">
              <a16:creationId xmlns:a16="http://schemas.microsoft.com/office/drawing/2014/main" id="{541E8700-EFBE-0AA5-CE33-482F22C41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7748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2036</xdr:row>
      <xdr:rowOff>0</xdr:rowOff>
    </xdr:from>
    <xdr:to>
      <xdr:col>13</xdr:col>
      <xdr:colOff>0</xdr:colOff>
      <xdr:row>2037</xdr:row>
      <xdr:rowOff>114300</xdr:rowOff>
    </xdr:to>
    <xdr:pic>
      <xdr:nvPicPr>
        <xdr:cNvPr id="2310" name="Imagen 2309" descr="Ver detalle">
          <a:hlinkClick xmlns:r="http://schemas.openxmlformats.org/officeDocument/2006/relationships" r:id="rId2251" tooltip="Ver detalle"/>
          <a:extLst>
            <a:ext uri="{FF2B5EF4-FFF2-40B4-BE49-F238E27FC236}">
              <a16:creationId xmlns:a16="http://schemas.microsoft.com/office/drawing/2014/main" id="{4A0890F9-3DEF-4EB3-7435-EE9B71ED4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0499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2032</xdr:row>
      <xdr:rowOff>0</xdr:rowOff>
    </xdr:from>
    <xdr:to>
      <xdr:col>13</xdr:col>
      <xdr:colOff>0</xdr:colOff>
      <xdr:row>2033</xdr:row>
      <xdr:rowOff>118110</xdr:rowOff>
    </xdr:to>
    <xdr:pic>
      <xdr:nvPicPr>
        <xdr:cNvPr id="2311" name="Imagen 2310" descr="Ver detalle">
          <a:hlinkClick xmlns:r="http://schemas.openxmlformats.org/officeDocument/2006/relationships" r:id="rId2252" tooltip="Ver detalle"/>
          <a:extLst>
            <a:ext uri="{FF2B5EF4-FFF2-40B4-BE49-F238E27FC236}">
              <a16:creationId xmlns:a16="http://schemas.microsoft.com/office/drawing/2014/main" id="{11C93A4D-ACF2-FD5D-B74C-70FC45177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325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2067</xdr:row>
      <xdr:rowOff>0</xdr:rowOff>
    </xdr:from>
    <xdr:to>
      <xdr:col>13</xdr:col>
      <xdr:colOff>0</xdr:colOff>
      <xdr:row>2068</xdr:row>
      <xdr:rowOff>118110</xdr:rowOff>
    </xdr:to>
    <xdr:pic>
      <xdr:nvPicPr>
        <xdr:cNvPr id="2312" name="Imagen 2311" descr="Ver detalle">
          <a:hlinkClick xmlns:r="http://schemas.openxmlformats.org/officeDocument/2006/relationships" r:id="rId2253" tooltip="Ver detalle"/>
          <a:extLst>
            <a:ext uri="{FF2B5EF4-FFF2-40B4-BE49-F238E27FC236}">
              <a16:creationId xmlns:a16="http://schemas.microsoft.com/office/drawing/2014/main" id="{655B7CCA-313B-B990-24BA-C9F128C9A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600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2066</xdr:row>
      <xdr:rowOff>0</xdr:rowOff>
    </xdr:from>
    <xdr:to>
      <xdr:col>13</xdr:col>
      <xdr:colOff>0</xdr:colOff>
      <xdr:row>2067</xdr:row>
      <xdr:rowOff>118110</xdr:rowOff>
    </xdr:to>
    <xdr:pic>
      <xdr:nvPicPr>
        <xdr:cNvPr id="2313" name="Imagen 2312" descr="Ver detalle">
          <a:hlinkClick xmlns:r="http://schemas.openxmlformats.org/officeDocument/2006/relationships" r:id="rId2254" tooltip="Ver detalle"/>
          <a:extLst>
            <a:ext uri="{FF2B5EF4-FFF2-40B4-BE49-F238E27FC236}">
              <a16:creationId xmlns:a16="http://schemas.microsoft.com/office/drawing/2014/main" id="{8EE41BEA-CA2F-8847-F078-5F6AE355A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875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2065</xdr:row>
      <xdr:rowOff>0</xdr:rowOff>
    </xdr:from>
    <xdr:to>
      <xdr:col>13</xdr:col>
      <xdr:colOff>0</xdr:colOff>
      <xdr:row>2066</xdr:row>
      <xdr:rowOff>118110</xdr:rowOff>
    </xdr:to>
    <xdr:pic>
      <xdr:nvPicPr>
        <xdr:cNvPr id="2314" name="Imagen 2313" descr="Ver detalle">
          <a:hlinkClick xmlns:r="http://schemas.openxmlformats.org/officeDocument/2006/relationships" r:id="rId2255" tooltip="Ver detalle"/>
          <a:extLst>
            <a:ext uri="{FF2B5EF4-FFF2-40B4-BE49-F238E27FC236}">
              <a16:creationId xmlns:a16="http://schemas.microsoft.com/office/drawing/2014/main" id="{EF31D938-7250-3BFA-9DE0-3B45D8D037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1502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2064</xdr:row>
      <xdr:rowOff>0</xdr:rowOff>
    </xdr:from>
    <xdr:to>
      <xdr:col>13</xdr:col>
      <xdr:colOff>0</xdr:colOff>
      <xdr:row>2065</xdr:row>
      <xdr:rowOff>118110</xdr:rowOff>
    </xdr:to>
    <xdr:pic>
      <xdr:nvPicPr>
        <xdr:cNvPr id="2315" name="Imagen 2314" descr="Ver detalle">
          <a:hlinkClick xmlns:r="http://schemas.openxmlformats.org/officeDocument/2006/relationships" r:id="rId2256" tooltip="Ver detalle"/>
          <a:extLst>
            <a:ext uri="{FF2B5EF4-FFF2-40B4-BE49-F238E27FC236}">
              <a16:creationId xmlns:a16="http://schemas.microsoft.com/office/drawing/2014/main" id="{EB0D39AF-A9C5-BCA9-BAA9-782F5184C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4253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2070</xdr:row>
      <xdr:rowOff>0</xdr:rowOff>
    </xdr:from>
    <xdr:to>
      <xdr:col>13</xdr:col>
      <xdr:colOff>0</xdr:colOff>
      <xdr:row>2071</xdr:row>
      <xdr:rowOff>118110</xdr:rowOff>
    </xdr:to>
    <xdr:pic>
      <xdr:nvPicPr>
        <xdr:cNvPr id="2316" name="Imagen 2315" descr="Ver detalle">
          <a:hlinkClick xmlns:r="http://schemas.openxmlformats.org/officeDocument/2006/relationships" r:id="rId2257" tooltip="Ver detalle"/>
          <a:extLst>
            <a:ext uri="{FF2B5EF4-FFF2-40B4-BE49-F238E27FC236}">
              <a16:creationId xmlns:a16="http://schemas.microsoft.com/office/drawing/2014/main" id="{1BE8BB63-95C1-1F08-B9D0-DAA9D73E2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554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2069</xdr:row>
      <xdr:rowOff>0</xdr:rowOff>
    </xdr:from>
    <xdr:to>
      <xdr:col>13</xdr:col>
      <xdr:colOff>0</xdr:colOff>
      <xdr:row>2070</xdr:row>
      <xdr:rowOff>118110</xdr:rowOff>
    </xdr:to>
    <xdr:pic>
      <xdr:nvPicPr>
        <xdr:cNvPr id="2317" name="Imagen 2316" descr="Ver detalle">
          <a:hlinkClick xmlns:r="http://schemas.openxmlformats.org/officeDocument/2006/relationships" r:id="rId2258" tooltip="Ver detalle"/>
          <a:extLst>
            <a:ext uri="{FF2B5EF4-FFF2-40B4-BE49-F238E27FC236}">
              <a16:creationId xmlns:a16="http://schemas.microsoft.com/office/drawing/2014/main" id="{E670FD13-90E6-A0FA-960F-9C394E80E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829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2068</xdr:row>
      <xdr:rowOff>0</xdr:rowOff>
    </xdr:from>
    <xdr:to>
      <xdr:col>13</xdr:col>
      <xdr:colOff>0</xdr:colOff>
      <xdr:row>2069</xdr:row>
      <xdr:rowOff>118110</xdr:rowOff>
    </xdr:to>
    <xdr:pic>
      <xdr:nvPicPr>
        <xdr:cNvPr id="2318" name="Imagen 2317" descr="Ver detalle">
          <a:hlinkClick xmlns:r="http://schemas.openxmlformats.org/officeDocument/2006/relationships" r:id="rId2259" tooltip="Ver detalle"/>
          <a:extLst>
            <a:ext uri="{FF2B5EF4-FFF2-40B4-BE49-F238E27FC236}">
              <a16:creationId xmlns:a16="http://schemas.microsoft.com/office/drawing/2014/main" id="{401EEC22-2882-2F90-0ACF-722F0DA76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104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2058</xdr:row>
      <xdr:rowOff>0</xdr:rowOff>
    </xdr:from>
    <xdr:to>
      <xdr:col>13</xdr:col>
      <xdr:colOff>0</xdr:colOff>
      <xdr:row>2059</xdr:row>
      <xdr:rowOff>118110</xdr:rowOff>
    </xdr:to>
    <xdr:pic>
      <xdr:nvPicPr>
        <xdr:cNvPr id="2319" name="Imagen 2318" descr="Ver detalle">
          <a:hlinkClick xmlns:r="http://schemas.openxmlformats.org/officeDocument/2006/relationships" r:id="rId2260" tooltip="Ver detalle"/>
          <a:extLst>
            <a:ext uri="{FF2B5EF4-FFF2-40B4-BE49-F238E27FC236}">
              <a16:creationId xmlns:a16="http://schemas.microsoft.com/office/drawing/2014/main" id="{D2638878-3A01-3108-076F-8A773B346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379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2060</xdr:row>
      <xdr:rowOff>0</xdr:rowOff>
    </xdr:from>
    <xdr:to>
      <xdr:col>13</xdr:col>
      <xdr:colOff>0</xdr:colOff>
      <xdr:row>2061</xdr:row>
      <xdr:rowOff>118110</xdr:rowOff>
    </xdr:to>
    <xdr:pic>
      <xdr:nvPicPr>
        <xdr:cNvPr id="2320" name="Imagen 2319" descr="Ver detalle">
          <a:hlinkClick xmlns:r="http://schemas.openxmlformats.org/officeDocument/2006/relationships" r:id="rId2261" tooltip="Ver detalle"/>
          <a:extLst>
            <a:ext uri="{FF2B5EF4-FFF2-40B4-BE49-F238E27FC236}">
              <a16:creationId xmlns:a16="http://schemas.microsoft.com/office/drawing/2014/main" id="{1CFEFA58-89BA-1CD3-F6D8-5DC0D247E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65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2028</xdr:row>
      <xdr:rowOff>0</xdr:rowOff>
    </xdr:from>
    <xdr:to>
      <xdr:col>13</xdr:col>
      <xdr:colOff>0</xdr:colOff>
      <xdr:row>2029</xdr:row>
      <xdr:rowOff>118110</xdr:rowOff>
    </xdr:to>
    <xdr:pic>
      <xdr:nvPicPr>
        <xdr:cNvPr id="2321" name="Imagen 2320" descr="Ver detalle">
          <a:hlinkClick xmlns:r="http://schemas.openxmlformats.org/officeDocument/2006/relationships" r:id="rId2262" tooltip="Ver detalle"/>
          <a:extLst>
            <a:ext uri="{FF2B5EF4-FFF2-40B4-BE49-F238E27FC236}">
              <a16:creationId xmlns:a16="http://schemas.microsoft.com/office/drawing/2014/main" id="{8CBB853E-0402-2AE1-F4AE-EC449497F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929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2035</xdr:row>
      <xdr:rowOff>0</xdr:rowOff>
    </xdr:from>
    <xdr:to>
      <xdr:col>13</xdr:col>
      <xdr:colOff>0</xdr:colOff>
      <xdr:row>2036</xdr:row>
      <xdr:rowOff>118110</xdr:rowOff>
    </xdr:to>
    <xdr:pic>
      <xdr:nvPicPr>
        <xdr:cNvPr id="2322" name="Imagen 2321" descr="Ver detalle">
          <a:hlinkClick xmlns:r="http://schemas.openxmlformats.org/officeDocument/2006/relationships" r:id="rId2263" tooltip="Ver detalle"/>
          <a:extLst>
            <a:ext uri="{FF2B5EF4-FFF2-40B4-BE49-F238E27FC236}">
              <a16:creationId xmlns:a16="http://schemas.microsoft.com/office/drawing/2014/main" id="{4E988213-D263-44E8-514C-2F1171EAE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2046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2063</xdr:row>
      <xdr:rowOff>0</xdr:rowOff>
    </xdr:from>
    <xdr:to>
      <xdr:col>13</xdr:col>
      <xdr:colOff>0</xdr:colOff>
      <xdr:row>2064</xdr:row>
      <xdr:rowOff>118110</xdr:rowOff>
    </xdr:to>
    <xdr:pic>
      <xdr:nvPicPr>
        <xdr:cNvPr id="2323" name="Imagen 2322" descr="Ver detalle">
          <a:hlinkClick xmlns:r="http://schemas.openxmlformats.org/officeDocument/2006/relationships" r:id="rId2264" tooltip="Ver detalle"/>
          <a:extLst>
            <a:ext uri="{FF2B5EF4-FFF2-40B4-BE49-F238E27FC236}">
              <a16:creationId xmlns:a16="http://schemas.microsoft.com/office/drawing/2014/main" id="{E43DF3AF-603B-C4E6-D2DC-EF1E9253A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3334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2062</xdr:row>
      <xdr:rowOff>0</xdr:rowOff>
    </xdr:from>
    <xdr:to>
      <xdr:col>13</xdr:col>
      <xdr:colOff>0</xdr:colOff>
      <xdr:row>2063</xdr:row>
      <xdr:rowOff>118110</xdr:rowOff>
    </xdr:to>
    <xdr:pic>
      <xdr:nvPicPr>
        <xdr:cNvPr id="2324" name="Imagen 2323" descr="Ver detalle">
          <a:hlinkClick xmlns:r="http://schemas.openxmlformats.org/officeDocument/2006/relationships" r:id="rId2265" tooltip="Ver detalle"/>
          <a:extLst>
            <a:ext uri="{FF2B5EF4-FFF2-40B4-BE49-F238E27FC236}">
              <a16:creationId xmlns:a16="http://schemas.microsoft.com/office/drawing/2014/main" id="{03275C45-D31F-E1A2-5D88-60B932222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608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2061</xdr:row>
      <xdr:rowOff>0</xdr:rowOff>
    </xdr:from>
    <xdr:to>
      <xdr:col>13</xdr:col>
      <xdr:colOff>0</xdr:colOff>
      <xdr:row>2062</xdr:row>
      <xdr:rowOff>118110</xdr:rowOff>
    </xdr:to>
    <xdr:pic>
      <xdr:nvPicPr>
        <xdr:cNvPr id="2325" name="Imagen 2324" descr="Ver detalle">
          <a:hlinkClick xmlns:r="http://schemas.openxmlformats.org/officeDocument/2006/relationships" r:id="rId2266" tooltip="Ver detalle"/>
          <a:extLst>
            <a:ext uri="{FF2B5EF4-FFF2-40B4-BE49-F238E27FC236}">
              <a16:creationId xmlns:a16="http://schemas.microsoft.com/office/drawing/2014/main" id="{1A25266D-92CB-C230-3AF2-AFE20F4E2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792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2057</xdr:row>
      <xdr:rowOff>0</xdr:rowOff>
    </xdr:from>
    <xdr:to>
      <xdr:col>13</xdr:col>
      <xdr:colOff>0</xdr:colOff>
      <xdr:row>2058</xdr:row>
      <xdr:rowOff>118110</xdr:rowOff>
    </xdr:to>
    <xdr:pic>
      <xdr:nvPicPr>
        <xdr:cNvPr id="2326" name="Imagen 2325" descr="Ver detalle">
          <a:hlinkClick xmlns:r="http://schemas.openxmlformats.org/officeDocument/2006/relationships" r:id="rId2267" tooltip="Ver detalle"/>
          <a:extLst>
            <a:ext uri="{FF2B5EF4-FFF2-40B4-BE49-F238E27FC236}">
              <a16:creationId xmlns:a16="http://schemas.microsoft.com/office/drawing/2014/main" id="{786C2327-45A0-ADF8-A9E2-9D88A81827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9757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2059</xdr:row>
      <xdr:rowOff>0</xdr:rowOff>
    </xdr:from>
    <xdr:to>
      <xdr:col>13</xdr:col>
      <xdr:colOff>0</xdr:colOff>
      <xdr:row>2060</xdr:row>
      <xdr:rowOff>118110</xdr:rowOff>
    </xdr:to>
    <xdr:pic>
      <xdr:nvPicPr>
        <xdr:cNvPr id="2327" name="Imagen 2326" descr="Ver detalle">
          <a:hlinkClick xmlns:r="http://schemas.openxmlformats.org/officeDocument/2006/relationships" r:id="rId2268" tooltip="Ver detalle"/>
          <a:extLst>
            <a:ext uri="{FF2B5EF4-FFF2-40B4-BE49-F238E27FC236}">
              <a16:creationId xmlns:a16="http://schemas.microsoft.com/office/drawing/2014/main" id="{24155E72-BD31-DDE7-02C2-6E3C2E0D2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250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2056</xdr:row>
      <xdr:rowOff>0</xdr:rowOff>
    </xdr:from>
    <xdr:to>
      <xdr:col>13</xdr:col>
      <xdr:colOff>0</xdr:colOff>
      <xdr:row>2057</xdr:row>
      <xdr:rowOff>118110</xdr:rowOff>
    </xdr:to>
    <xdr:pic>
      <xdr:nvPicPr>
        <xdr:cNvPr id="2328" name="Imagen 2327" descr="Ver detalle">
          <a:hlinkClick xmlns:r="http://schemas.openxmlformats.org/officeDocument/2006/relationships" r:id="rId2269" tooltip="Ver detalle"/>
          <a:extLst>
            <a:ext uri="{FF2B5EF4-FFF2-40B4-BE49-F238E27FC236}">
              <a16:creationId xmlns:a16="http://schemas.microsoft.com/office/drawing/2014/main" id="{A0943A1C-99AE-B96F-6E25-182C350F5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5259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2055</xdr:row>
      <xdr:rowOff>0</xdr:rowOff>
    </xdr:from>
    <xdr:to>
      <xdr:col>13</xdr:col>
      <xdr:colOff>0</xdr:colOff>
      <xdr:row>2056</xdr:row>
      <xdr:rowOff>118110</xdr:rowOff>
    </xdr:to>
    <xdr:pic>
      <xdr:nvPicPr>
        <xdr:cNvPr id="2329" name="Imagen 2328" descr="Ver detalle">
          <a:hlinkClick xmlns:r="http://schemas.openxmlformats.org/officeDocument/2006/relationships" r:id="rId2270" tooltip="Ver detalle"/>
          <a:extLst>
            <a:ext uri="{FF2B5EF4-FFF2-40B4-BE49-F238E27FC236}">
              <a16:creationId xmlns:a16="http://schemas.microsoft.com/office/drawing/2014/main" id="{CFE0F467-490A-596E-B7B5-138CAC444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801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2034</xdr:row>
      <xdr:rowOff>0</xdr:rowOff>
    </xdr:from>
    <xdr:to>
      <xdr:col>13</xdr:col>
      <xdr:colOff>0</xdr:colOff>
      <xdr:row>2035</xdr:row>
      <xdr:rowOff>118110</xdr:rowOff>
    </xdr:to>
    <xdr:pic>
      <xdr:nvPicPr>
        <xdr:cNvPr id="2330" name="Imagen 2329" descr="Ver detalle">
          <a:hlinkClick xmlns:r="http://schemas.openxmlformats.org/officeDocument/2006/relationships" r:id="rId2271" tooltip="Ver detalle"/>
          <a:extLst>
            <a:ext uri="{FF2B5EF4-FFF2-40B4-BE49-F238E27FC236}">
              <a16:creationId xmlns:a16="http://schemas.microsoft.com/office/drawing/2014/main" id="{97550887-D017-6B95-0867-06AFD1AEC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0761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2031</xdr:row>
      <xdr:rowOff>0</xdr:rowOff>
    </xdr:from>
    <xdr:to>
      <xdr:col>13</xdr:col>
      <xdr:colOff>0</xdr:colOff>
      <xdr:row>2032</xdr:row>
      <xdr:rowOff>118110</xdr:rowOff>
    </xdr:to>
    <xdr:pic>
      <xdr:nvPicPr>
        <xdr:cNvPr id="2331" name="Imagen 2330" descr="Ver detalle">
          <a:hlinkClick xmlns:r="http://schemas.openxmlformats.org/officeDocument/2006/relationships" r:id="rId2272" tooltip="Ver detalle"/>
          <a:extLst>
            <a:ext uri="{FF2B5EF4-FFF2-40B4-BE49-F238E27FC236}">
              <a16:creationId xmlns:a16="http://schemas.microsoft.com/office/drawing/2014/main" id="{843648BA-B5DF-B9CD-5712-0BC11C34B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351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2030</xdr:row>
      <xdr:rowOff>0</xdr:rowOff>
    </xdr:from>
    <xdr:to>
      <xdr:col>13</xdr:col>
      <xdr:colOff>0</xdr:colOff>
      <xdr:row>2031</xdr:row>
      <xdr:rowOff>118110</xdr:rowOff>
    </xdr:to>
    <xdr:pic>
      <xdr:nvPicPr>
        <xdr:cNvPr id="2332" name="Imagen 2331" descr="Ver detalle">
          <a:hlinkClick xmlns:r="http://schemas.openxmlformats.org/officeDocument/2006/relationships" r:id="rId2273" tooltip="Ver detalle"/>
          <a:extLst>
            <a:ext uri="{FF2B5EF4-FFF2-40B4-BE49-F238E27FC236}">
              <a16:creationId xmlns:a16="http://schemas.microsoft.com/office/drawing/2014/main" id="{2D9192DB-C272-95CF-AA57-9D18258B4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626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2029</xdr:row>
      <xdr:rowOff>0</xdr:rowOff>
    </xdr:from>
    <xdr:to>
      <xdr:col>13</xdr:col>
      <xdr:colOff>0</xdr:colOff>
      <xdr:row>2030</xdr:row>
      <xdr:rowOff>118110</xdr:rowOff>
    </xdr:to>
    <xdr:pic>
      <xdr:nvPicPr>
        <xdr:cNvPr id="2333" name="Imagen 2332" descr="Ver detalle">
          <a:hlinkClick xmlns:r="http://schemas.openxmlformats.org/officeDocument/2006/relationships" r:id="rId2274" tooltip="Ver detalle"/>
          <a:extLst>
            <a:ext uri="{FF2B5EF4-FFF2-40B4-BE49-F238E27FC236}">
              <a16:creationId xmlns:a16="http://schemas.microsoft.com/office/drawing/2014/main" id="{EE74AE2C-F4DD-CE73-8081-124DBA1D2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096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2016</xdr:row>
      <xdr:rowOff>0</xdr:rowOff>
    </xdr:from>
    <xdr:to>
      <xdr:col>13</xdr:col>
      <xdr:colOff>0</xdr:colOff>
      <xdr:row>2017</xdr:row>
      <xdr:rowOff>118110</xdr:rowOff>
    </xdr:to>
    <xdr:pic>
      <xdr:nvPicPr>
        <xdr:cNvPr id="2334" name="Imagen 2333" descr="Ver detalle">
          <a:hlinkClick xmlns:r="http://schemas.openxmlformats.org/officeDocument/2006/relationships" r:id="rId2275" tooltip="Ver detalle"/>
          <a:extLst>
            <a:ext uri="{FF2B5EF4-FFF2-40B4-BE49-F238E27FC236}">
              <a16:creationId xmlns:a16="http://schemas.microsoft.com/office/drawing/2014/main" id="{84FDBFB4-E1E7-8843-216C-75C9CECCC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2915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2017</xdr:row>
      <xdr:rowOff>0</xdr:rowOff>
    </xdr:from>
    <xdr:to>
      <xdr:col>13</xdr:col>
      <xdr:colOff>0</xdr:colOff>
      <xdr:row>2018</xdr:row>
      <xdr:rowOff>118110</xdr:rowOff>
    </xdr:to>
    <xdr:pic>
      <xdr:nvPicPr>
        <xdr:cNvPr id="2335" name="Imagen 2334" descr="Ver detalle">
          <a:hlinkClick xmlns:r="http://schemas.openxmlformats.org/officeDocument/2006/relationships" r:id="rId2276" tooltip="Ver detalle"/>
          <a:extLst>
            <a:ext uri="{FF2B5EF4-FFF2-40B4-BE49-F238E27FC236}">
              <a16:creationId xmlns:a16="http://schemas.microsoft.com/office/drawing/2014/main" id="{2BBA1B6D-05DF-BB34-C9DE-9241CD0C2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4865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2022</xdr:row>
      <xdr:rowOff>0</xdr:rowOff>
    </xdr:from>
    <xdr:to>
      <xdr:col>13</xdr:col>
      <xdr:colOff>0</xdr:colOff>
      <xdr:row>2023</xdr:row>
      <xdr:rowOff>118110</xdr:rowOff>
    </xdr:to>
    <xdr:pic>
      <xdr:nvPicPr>
        <xdr:cNvPr id="2336" name="Imagen 2335" descr="Ver detalle">
          <a:hlinkClick xmlns:r="http://schemas.openxmlformats.org/officeDocument/2006/relationships" r:id="rId2277" tooltip="Ver detalle"/>
          <a:extLst>
            <a:ext uri="{FF2B5EF4-FFF2-40B4-BE49-F238E27FC236}">
              <a16:creationId xmlns:a16="http://schemas.microsoft.com/office/drawing/2014/main" id="{FB9D2CBF-481A-45ED-D807-69A68F031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68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2021</xdr:row>
      <xdr:rowOff>0</xdr:rowOff>
    </xdr:from>
    <xdr:to>
      <xdr:col>13</xdr:col>
      <xdr:colOff>0</xdr:colOff>
      <xdr:row>2022</xdr:row>
      <xdr:rowOff>118110</xdr:rowOff>
    </xdr:to>
    <xdr:pic>
      <xdr:nvPicPr>
        <xdr:cNvPr id="2337" name="Imagen 2336" descr="Ver detalle">
          <a:hlinkClick xmlns:r="http://schemas.openxmlformats.org/officeDocument/2006/relationships" r:id="rId2278" tooltip="Ver detalle"/>
          <a:extLst>
            <a:ext uri="{FF2B5EF4-FFF2-40B4-BE49-F238E27FC236}">
              <a16:creationId xmlns:a16="http://schemas.microsoft.com/office/drawing/2014/main" id="{A0B433B4-6B06-5D56-4597-F6E53162B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876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2033</xdr:row>
      <xdr:rowOff>0</xdr:rowOff>
    </xdr:from>
    <xdr:to>
      <xdr:col>13</xdr:col>
      <xdr:colOff>0</xdr:colOff>
      <xdr:row>2034</xdr:row>
      <xdr:rowOff>118110</xdr:rowOff>
    </xdr:to>
    <xdr:pic>
      <xdr:nvPicPr>
        <xdr:cNvPr id="2338" name="Imagen 2337" descr="Ver detalle">
          <a:hlinkClick xmlns:r="http://schemas.openxmlformats.org/officeDocument/2006/relationships" r:id="rId2279" tooltip="Ver detalle"/>
          <a:extLst>
            <a:ext uri="{FF2B5EF4-FFF2-40B4-BE49-F238E27FC236}">
              <a16:creationId xmlns:a16="http://schemas.microsoft.com/office/drawing/2014/main" id="{B1ABB456-2EB1-F6B5-ED9E-3A708D5CE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0717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2023</xdr:row>
      <xdr:rowOff>0</xdr:rowOff>
    </xdr:from>
    <xdr:to>
      <xdr:col>13</xdr:col>
      <xdr:colOff>0</xdr:colOff>
      <xdr:row>2024</xdr:row>
      <xdr:rowOff>118110</xdr:rowOff>
    </xdr:to>
    <xdr:pic>
      <xdr:nvPicPr>
        <xdr:cNvPr id="2339" name="Imagen 2338" descr="Ver detalle">
          <a:hlinkClick xmlns:r="http://schemas.openxmlformats.org/officeDocument/2006/relationships" r:id="rId2280" tooltip="Ver detalle"/>
          <a:extLst>
            <a:ext uri="{FF2B5EF4-FFF2-40B4-BE49-F238E27FC236}">
              <a16:creationId xmlns:a16="http://schemas.microsoft.com/office/drawing/2014/main" id="{405C36FB-D5A2-77A6-1ADA-AD287BECE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2020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2019</xdr:row>
      <xdr:rowOff>0</xdr:rowOff>
    </xdr:from>
    <xdr:to>
      <xdr:col>13</xdr:col>
      <xdr:colOff>0</xdr:colOff>
      <xdr:row>2020</xdr:row>
      <xdr:rowOff>118110</xdr:rowOff>
    </xdr:to>
    <xdr:pic>
      <xdr:nvPicPr>
        <xdr:cNvPr id="2340" name="Imagen 2339" descr="Ver detalle">
          <a:hlinkClick xmlns:r="http://schemas.openxmlformats.org/officeDocument/2006/relationships" r:id="rId2281" tooltip="Ver detalle"/>
          <a:extLst>
            <a:ext uri="{FF2B5EF4-FFF2-40B4-BE49-F238E27FC236}">
              <a16:creationId xmlns:a16="http://schemas.microsoft.com/office/drawing/2014/main" id="{D15137B9-6A0B-6FB9-D29D-73E1540A7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397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2020</xdr:row>
      <xdr:rowOff>0</xdr:rowOff>
    </xdr:from>
    <xdr:to>
      <xdr:col>13</xdr:col>
      <xdr:colOff>0</xdr:colOff>
      <xdr:row>2021</xdr:row>
      <xdr:rowOff>118110</xdr:rowOff>
    </xdr:to>
    <xdr:pic>
      <xdr:nvPicPr>
        <xdr:cNvPr id="2341" name="Imagen 2340" descr="Ver detalle">
          <a:hlinkClick xmlns:r="http://schemas.openxmlformats.org/officeDocument/2006/relationships" r:id="rId2282" tooltip="Ver detalle"/>
          <a:extLst>
            <a:ext uri="{FF2B5EF4-FFF2-40B4-BE49-F238E27FC236}">
              <a16:creationId xmlns:a16="http://schemas.microsoft.com/office/drawing/2014/main" id="{AA4B5B4C-84DC-E5DD-7B0B-49302DA26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59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2012</xdr:row>
      <xdr:rowOff>0</xdr:rowOff>
    </xdr:from>
    <xdr:to>
      <xdr:col>13</xdr:col>
      <xdr:colOff>0</xdr:colOff>
      <xdr:row>2013</xdr:row>
      <xdr:rowOff>118110</xdr:rowOff>
    </xdr:to>
    <xdr:pic>
      <xdr:nvPicPr>
        <xdr:cNvPr id="2342" name="Imagen 2341" descr="Ver detalle">
          <a:hlinkClick xmlns:r="http://schemas.openxmlformats.org/officeDocument/2006/relationships" r:id="rId2283" tooltip="Ver detalle"/>
          <a:extLst>
            <a:ext uri="{FF2B5EF4-FFF2-40B4-BE49-F238E27FC236}">
              <a16:creationId xmlns:a16="http://schemas.microsoft.com/office/drawing/2014/main" id="{3054E008-2CDF-EA7C-9685-1632626668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787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2024</xdr:row>
      <xdr:rowOff>0</xdr:rowOff>
    </xdr:from>
    <xdr:to>
      <xdr:col>13</xdr:col>
      <xdr:colOff>0</xdr:colOff>
      <xdr:row>2025</xdr:row>
      <xdr:rowOff>118110</xdr:rowOff>
    </xdr:to>
    <xdr:pic>
      <xdr:nvPicPr>
        <xdr:cNvPr id="2343" name="Imagen 2342" descr="Ver detalle">
          <a:hlinkClick xmlns:r="http://schemas.openxmlformats.org/officeDocument/2006/relationships" r:id="rId2284" tooltip="Ver detalle"/>
          <a:extLst>
            <a:ext uri="{FF2B5EF4-FFF2-40B4-BE49-F238E27FC236}">
              <a16:creationId xmlns:a16="http://schemas.microsoft.com/office/drawing/2014/main" id="{3B62C63B-AF6A-8340-F758-A51074908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982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2009</xdr:row>
      <xdr:rowOff>0</xdr:rowOff>
    </xdr:from>
    <xdr:to>
      <xdr:col>13</xdr:col>
      <xdr:colOff>0</xdr:colOff>
      <xdr:row>2010</xdr:row>
      <xdr:rowOff>118110</xdr:rowOff>
    </xdr:to>
    <xdr:pic>
      <xdr:nvPicPr>
        <xdr:cNvPr id="2344" name="Imagen 2343" descr="Ver detalle">
          <a:hlinkClick xmlns:r="http://schemas.openxmlformats.org/officeDocument/2006/relationships" r:id="rId2285" tooltip="Ver detalle"/>
          <a:extLst>
            <a:ext uri="{FF2B5EF4-FFF2-40B4-BE49-F238E27FC236}">
              <a16:creationId xmlns:a16="http://schemas.microsoft.com/office/drawing/2014/main" id="{EB3BC9D9-3B70-BD7E-2372-ADF50E417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177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2014</xdr:row>
      <xdr:rowOff>0</xdr:rowOff>
    </xdr:from>
    <xdr:to>
      <xdr:col>13</xdr:col>
      <xdr:colOff>0</xdr:colOff>
      <xdr:row>2015</xdr:row>
      <xdr:rowOff>118110</xdr:rowOff>
    </xdr:to>
    <xdr:pic>
      <xdr:nvPicPr>
        <xdr:cNvPr id="2345" name="Imagen 2344" descr="Ver detalle">
          <a:hlinkClick xmlns:r="http://schemas.openxmlformats.org/officeDocument/2006/relationships" r:id="rId2286" tooltip="Ver detalle"/>
          <a:extLst>
            <a:ext uri="{FF2B5EF4-FFF2-40B4-BE49-F238E27FC236}">
              <a16:creationId xmlns:a16="http://schemas.microsoft.com/office/drawing/2014/main" id="{E2E14A18-F80F-7ABC-A210-5CAA91124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307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2010</xdr:row>
      <xdr:rowOff>0</xdr:rowOff>
    </xdr:from>
    <xdr:to>
      <xdr:col>13</xdr:col>
      <xdr:colOff>0</xdr:colOff>
      <xdr:row>2011</xdr:row>
      <xdr:rowOff>118110</xdr:rowOff>
    </xdr:to>
    <xdr:pic>
      <xdr:nvPicPr>
        <xdr:cNvPr id="2346" name="Imagen 2345" descr="Ver detalle">
          <a:hlinkClick xmlns:r="http://schemas.openxmlformats.org/officeDocument/2006/relationships" r:id="rId2287" tooltip="Ver detalle"/>
          <a:extLst>
            <a:ext uri="{FF2B5EF4-FFF2-40B4-BE49-F238E27FC236}">
              <a16:creationId xmlns:a16="http://schemas.microsoft.com/office/drawing/2014/main" id="{8BA6947A-C9BB-E4E4-639F-7AAE5C1B5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502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2026</xdr:row>
      <xdr:rowOff>0</xdr:rowOff>
    </xdr:from>
    <xdr:to>
      <xdr:col>13</xdr:col>
      <xdr:colOff>0</xdr:colOff>
      <xdr:row>2027</xdr:row>
      <xdr:rowOff>118110</xdr:rowOff>
    </xdr:to>
    <xdr:pic>
      <xdr:nvPicPr>
        <xdr:cNvPr id="2347" name="Imagen 2346" descr="Ver detalle">
          <a:hlinkClick xmlns:r="http://schemas.openxmlformats.org/officeDocument/2006/relationships" r:id="rId2288" tooltip="Ver detalle"/>
          <a:extLst>
            <a:ext uri="{FF2B5EF4-FFF2-40B4-BE49-F238E27FC236}">
              <a16:creationId xmlns:a16="http://schemas.microsoft.com/office/drawing/2014/main" id="{2671065B-7447-6EDF-6D96-048D285BE7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594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2025</xdr:row>
      <xdr:rowOff>0</xdr:rowOff>
    </xdr:from>
    <xdr:to>
      <xdr:col>13</xdr:col>
      <xdr:colOff>0</xdr:colOff>
      <xdr:row>2026</xdr:row>
      <xdr:rowOff>118110</xdr:rowOff>
    </xdr:to>
    <xdr:pic>
      <xdr:nvPicPr>
        <xdr:cNvPr id="2348" name="Imagen 2347" descr="Ver detalle">
          <a:hlinkClick xmlns:r="http://schemas.openxmlformats.org/officeDocument/2006/relationships" r:id="rId2289" tooltip="Ver detalle"/>
          <a:extLst>
            <a:ext uri="{FF2B5EF4-FFF2-40B4-BE49-F238E27FC236}">
              <a16:creationId xmlns:a16="http://schemas.microsoft.com/office/drawing/2014/main" id="{569F1CA3-0AC0-FFB6-77BF-72817AD03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7245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2042</xdr:row>
      <xdr:rowOff>0</xdr:rowOff>
    </xdr:from>
    <xdr:to>
      <xdr:col>13</xdr:col>
      <xdr:colOff>0</xdr:colOff>
      <xdr:row>2043</xdr:row>
      <xdr:rowOff>118110</xdr:rowOff>
    </xdr:to>
    <xdr:pic>
      <xdr:nvPicPr>
        <xdr:cNvPr id="2349" name="Imagen 2348" descr="Ver detalle">
          <a:hlinkClick xmlns:r="http://schemas.openxmlformats.org/officeDocument/2006/relationships" r:id="rId2290" tooltip="Ver detalle"/>
          <a:extLst>
            <a:ext uri="{FF2B5EF4-FFF2-40B4-BE49-F238E27FC236}">
              <a16:creationId xmlns:a16="http://schemas.microsoft.com/office/drawing/2014/main" id="{27813CBB-A674-F26D-04E6-D12F6E075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8548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2007</xdr:row>
      <xdr:rowOff>0</xdr:rowOff>
    </xdr:from>
    <xdr:to>
      <xdr:col>13</xdr:col>
      <xdr:colOff>0</xdr:colOff>
      <xdr:row>2008</xdr:row>
      <xdr:rowOff>118110</xdr:rowOff>
    </xdr:to>
    <xdr:pic>
      <xdr:nvPicPr>
        <xdr:cNvPr id="2350" name="Imagen 2349" descr="Ver detalle">
          <a:hlinkClick xmlns:r="http://schemas.openxmlformats.org/officeDocument/2006/relationships" r:id="rId2291" tooltip="Ver detalle"/>
          <a:extLst>
            <a:ext uri="{FF2B5EF4-FFF2-40B4-BE49-F238E27FC236}">
              <a16:creationId xmlns:a16="http://schemas.microsoft.com/office/drawing/2014/main" id="{FB39A906-159D-1FE6-4B1E-BC9105CBF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049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2015</xdr:row>
      <xdr:rowOff>0</xdr:rowOff>
    </xdr:from>
    <xdr:to>
      <xdr:col>13</xdr:col>
      <xdr:colOff>0</xdr:colOff>
      <xdr:row>2016</xdr:row>
      <xdr:rowOff>118110</xdr:rowOff>
    </xdr:to>
    <xdr:pic>
      <xdr:nvPicPr>
        <xdr:cNvPr id="2351" name="Imagen 2350" descr="Ver detalle">
          <a:hlinkClick xmlns:r="http://schemas.openxmlformats.org/officeDocument/2006/relationships" r:id="rId2292" tooltip="Ver detalle"/>
          <a:extLst>
            <a:ext uri="{FF2B5EF4-FFF2-40B4-BE49-F238E27FC236}">
              <a16:creationId xmlns:a16="http://schemas.microsoft.com/office/drawing/2014/main" id="{D01BA545-4F9C-B0DE-C76C-44E5C1B718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141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2013</xdr:row>
      <xdr:rowOff>0</xdr:rowOff>
    </xdr:from>
    <xdr:to>
      <xdr:col>13</xdr:col>
      <xdr:colOff>0</xdr:colOff>
      <xdr:row>2014</xdr:row>
      <xdr:rowOff>118110</xdr:rowOff>
    </xdr:to>
    <xdr:pic>
      <xdr:nvPicPr>
        <xdr:cNvPr id="2352" name="Imagen 2351" descr="Ver detalle">
          <a:hlinkClick xmlns:r="http://schemas.openxmlformats.org/officeDocument/2006/relationships" r:id="rId2293" tooltip="Ver detalle"/>
          <a:extLst>
            <a:ext uri="{FF2B5EF4-FFF2-40B4-BE49-F238E27FC236}">
              <a16:creationId xmlns:a16="http://schemas.microsoft.com/office/drawing/2014/main" id="{D4E0ED56-6930-6768-AD30-44022C65C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336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2041</xdr:row>
      <xdr:rowOff>0</xdr:rowOff>
    </xdr:from>
    <xdr:to>
      <xdr:col>13</xdr:col>
      <xdr:colOff>0</xdr:colOff>
      <xdr:row>2042</xdr:row>
      <xdr:rowOff>118110</xdr:rowOff>
    </xdr:to>
    <xdr:pic>
      <xdr:nvPicPr>
        <xdr:cNvPr id="2353" name="Imagen 2352" descr="Ver detalle">
          <a:hlinkClick xmlns:r="http://schemas.openxmlformats.org/officeDocument/2006/relationships" r:id="rId2294" tooltip="Ver detalle"/>
          <a:extLst>
            <a:ext uri="{FF2B5EF4-FFF2-40B4-BE49-F238E27FC236}">
              <a16:creationId xmlns:a16="http://schemas.microsoft.com/office/drawing/2014/main" id="{42BC3C1F-6E82-3B88-8352-A967D0A79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427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2040</xdr:row>
      <xdr:rowOff>0</xdr:rowOff>
    </xdr:from>
    <xdr:to>
      <xdr:col>13</xdr:col>
      <xdr:colOff>0</xdr:colOff>
      <xdr:row>2041</xdr:row>
      <xdr:rowOff>118110</xdr:rowOff>
    </xdr:to>
    <xdr:pic>
      <xdr:nvPicPr>
        <xdr:cNvPr id="2354" name="Imagen 2353" descr="Ver detalle">
          <a:hlinkClick xmlns:r="http://schemas.openxmlformats.org/officeDocument/2006/relationships" r:id="rId2295" tooltip="Ver detalle"/>
          <a:extLst>
            <a:ext uri="{FF2B5EF4-FFF2-40B4-BE49-F238E27FC236}">
              <a16:creationId xmlns:a16="http://schemas.microsoft.com/office/drawing/2014/main" id="{4AB0E32E-C616-F621-F26E-237CDE56E1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622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2039</xdr:row>
      <xdr:rowOff>0</xdr:rowOff>
    </xdr:from>
    <xdr:to>
      <xdr:col>13</xdr:col>
      <xdr:colOff>0</xdr:colOff>
      <xdr:row>2040</xdr:row>
      <xdr:rowOff>118110</xdr:rowOff>
    </xdr:to>
    <xdr:pic>
      <xdr:nvPicPr>
        <xdr:cNvPr id="2355" name="Imagen 2354" descr="Ver detalle">
          <a:hlinkClick xmlns:r="http://schemas.openxmlformats.org/officeDocument/2006/relationships" r:id="rId2296" tooltip="Ver detalle"/>
          <a:extLst>
            <a:ext uri="{FF2B5EF4-FFF2-40B4-BE49-F238E27FC236}">
              <a16:creationId xmlns:a16="http://schemas.microsoft.com/office/drawing/2014/main" id="{B34945AF-6709-089F-1422-A61FB7FBB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714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2038</xdr:row>
      <xdr:rowOff>0</xdr:rowOff>
    </xdr:from>
    <xdr:to>
      <xdr:col>13</xdr:col>
      <xdr:colOff>0</xdr:colOff>
      <xdr:row>2039</xdr:row>
      <xdr:rowOff>118110</xdr:rowOff>
    </xdr:to>
    <xdr:pic>
      <xdr:nvPicPr>
        <xdr:cNvPr id="2356" name="Imagen 2355" descr="Ver detalle">
          <a:hlinkClick xmlns:r="http://schemas.openxmlformats.org/officeDocument/2006/relationships" r:id="rId2297" tooltip="Ver detalle"/>
          <a:extLst>
            <a:ext uri="{FF2B5EF4-FFF2-40B4-BE49-F238E27FC236}">
              <a16:creationId xmlns:a16="http://schemas.microsoft.com/office/drawing/2014/main" id="{8C26DF9E-709A-F822-03BB-25CB3664D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80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2011</xdr:row>
      <xdr:rowOff>0</xdr:rowOff>
    </xdr:from>
    <xdr:to>
      <xdr:col>13</xdr:col>
      <xdr:colOff>0</xdr:colOff>
      <xdr:row>2012</xdr:row>
      <xdr:rowOff>118110</xdr:rowOff>
    </xdr:to>
    <xdr:pic>
      <xdr:nvPicPr>
        <xdr:cNvPr id="2357" name="Imagen 2356" descr="Ver detalle">
          <a:hlinkClick xmlns:r="http://schemas.openxmlformats.org/officeDocument/2006/relationships" r:id="rId2298" tooltip="Ver detalle"/>
          <a:extLst>
            <a:ext uri="{FF2B5EF4-FFF2-40B4-BE49-F238E27FC236}">
              <a16:creationId xmlns:a16="http://schemas.microsoft.com/office/drawing/2014/main" id="{587F4015-4047-E67D-ADF2-3CE3239D0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027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2000</xdr:row>
      <xdr:rowOff>0</xdr:rowOff>
    </xdr:from>
    <xdr:to>
      <xdr:col>13</xdr:col>
      <xdr:colOff>0</xdr:colOff>
      <xdr:row>2001</xdr:row>
      <xdr:rowOff>118110</xdr:rowOff>
    </xdr:to>
    <xdr:pic>
      <xdr:nvPicPr>
        <xdr:cNvPr id="2358" name="Imagen 2357" descr="Ver detalle">
          <a:hlinkClick xmlns:r="http://schemas.openxmlformats.org/officeDocument/2006/relationships" r:id="rId2299" tooltip="Ver detalle"/>
          <a:extLst>
            <a:ext uri="{FF2B5EF4-FFF2-40B4-BE49-F238E27FC236}">
              <a16:creationId xmlns:a16="http://schemas.microsoft.com/office/drawing/2014/main" id="{664B84FF-DB6A-6578-8C5E-69BCB979C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222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1998</xdr:row>
      <xdr:rowOff>0</xdr:rowOff>
    </xdr:from>
    <xdr:to>
      <xdr:col>13</xdr:col>
      <xdr:colOff>0</xdr:colOff>
      <xdr:row>1999</xdr:row>
      <xdr:rowOff>118110</xdr:rowOff>
    </xdr:to>
    <xdr:pic>
      <xdr:nvPicPr>
        <xdr:cNvPr id="2359" name="Imagen 2358" descr="Ver detalle">
          <a:hlinkClick xmlns:r="http://schemas.openxmlformats.org/officeDocument/2006/relationships" r:id="rId2300" tooltip="Ver detalle"/>
          <a:extLst>
            <a:ext uri="{FF2B5EF4-FFF2-40B4-BE49-F238E27FC236}">
              <a16:creationId xmlns:a16="http://schemas.microsoft.com/office/drawing/2014/main" id="{D09B9F36-5C52-9E1C-FE38-E5DF49B66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417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2005</xdr:row>
      <xdr:rowOff>0</xdr:rowOff>
    </xdr:from>
    <xdr:to>
      <xdr:col>13</xdr:col>
      <xdr:colOff>0</xdr:colOff>
      <xdr:row>2006</xdr:row>
      <xdr:rowOff>118110</xdr:rowOff>
    </xdr:to>
    <xdr:pic>
      <xdr:nvPicPr>
        <xdr:cNvPr id="2360" name="Imagen 2359" descr="Ver detalle">
          <a:hlinkClick xmlns:r="http://schemas.openxmlformats.org/officeDocument/2006/relationships" r:id="rId2301" tooltip="Ver detalle"/>
          <a:extLst>
            <a:ext uri="{FF2B5EF4-FFF2-40B4-BE49-F238E27FC236}">
              <a16:creationId xmlns:a16="http://schemas.microsoft.com/office/drawing/2014/main" id="{85387269-1629-9C98-435A-5163A2F73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612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2001</xdr:row>
      <xdr:rowOff>0</xdr:rowOff>
    </xdr:from>
    <xdr:to>
      <xdr:col>13</xdr:col>
      <xdr:colOff>0</xdr:colOff>
      <xdr:row>2002</xdr:row>
      <xdr:rowOff>118110</xdr:rowOff>
    </xdr:to>
    <xdr:pic>
      <xdr:nvPicPr>
        <xdr:cNvPr id="2361" name="Imagen 2360" descr="Ver detalle">
          <a:hlinkClick xmlns:r="http://schemas.openxmlformats.org/officeDocument/2006/relationships" r:id="rId2302" tooltip="Ver detalle"/>
          <a:extLst>
            <a:ext uri="{FF2B5EF4-FFF2-40B4-BE49-F238E27FC236}">
              <a16:creationId xmlns:a16="http://schemas.microsoft.com/office/drawing/2014/main" id="{90D636D3-2B56-1EA1-738E-FE377399C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704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2008</xdr:row>
      <xdr:rowOff>0</xdr:rowOff>
    </xdr:from>
    <xdr:to>
      <xdr:col>13</xdr:col>
      <xdr:colOff>0</xdr:colOff>
      <xdr:row>2009</xdr:row>
      <xdr:rowOff>118110</xdr:rowOff>
    </xdr:to>
    <xdr:pic>
      <xdr:nvPicPr>
        <xdr:cNvPr id="2362" name="Imagen 2361" descr="Ver detalle">
          <a:hlinkClick xmlns:r="http://schemas.openxmlformats.org/officeDocument/2006/relationships" r:id="rId2303" tooltip="Ver detalle"/>
          <a:extLst>
            <a:ext uri="{FF2B5EF4-FFF2-40B4-BE49-F238E27FC236}">
              <a16:creationId xmlns:a16="http://schemas.microsoft.com/office/drawing/2014/main" id="{D3BAEB2C-A7A9-D32A-9218-557F54C5F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899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2004</xdr:row>
      <xdr:rowOff>0</xdr:rowOff>
    </xdr:from>
    <xdr:to>
      <xdr:col>13</xdr:col>
      <xdr:colOff>0</xdr:colOff>
      <xdr:row>2005</xdr:row>
      <xdr:rowOff>118110</xdr:rowOff>
    </xdr:to>
    <xdr:pic>
      <xdr:nvPicPr>
        <xdr:cNvPr id="2363" name="Imagen 2362" descr="Ver detalle">
          <a:hlinkClick xmlns:r="http://schemas.openxmlformats.org/officeDocument/2006/relationships" r:id="rId2304" tooltip="Ver detalle"/>
          <a:extLst>
            <a:ext uri="{FF2B5EF4-FFF2-40B4-BE49-F238E27FC236}">
              <a16:creationId xmlns:a16="http://schemas.microsoft.com/office/drawing/2014/main" id="{031060D4-C478-3410-CAB9-906657446D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0943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2003</xdr:row>
      <xdr:rowOff>0</xdr:rowOff>
    </xdr:from>
    <xdr:to>
      <xdr:col>13</xdr:col>
      <xdr:colOff>0</xdr:colOff>
      <xdr:row>2004</xdr:row>
      <xdr:rowOff>118110</xdr:rowOff>
    </xdr:to>
    <xdr:pic>
      <xdr:nvPicPr>
        <xdr:cNvPr id="2364" name="Imagen 2363" descr="Ver detalle">
          <a:hlinkClick xmlns:r="http://schemas.openxmlformats.org/officeDocument/2006/relationships" r:id="rId2305" tooltip="Ver detalle"/>
          <a:extLst>
            <a:ext uri="{FF2B5EF4-FFF2-40B4-BE49-F238E27FC236}">
              <a16:creationId xmlns:a16="http://schemas.microsoft.com/office/drawing/2014/main" id="{2782616C-57DE-9AA2-7B67-BC4E47CA7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2894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2054</xdr:row>
      <xdr:rowOff>0</xdr:rowOff>
    </xdr:from>
    <xdr:to>
      <xdr:col>13</xdr:col>
      <xdr:colOff>0</xdr:colOff>
      <xdr:row>2055</xdr:row>
      <xdr:rowOff>118110</xdr:rowOff>
    </xdr:to>
    <xdr:pic>
      <xdr:nvPicPr>
        <xdr:cNvPr id="2365" name="Imagen 2364" descr="Ver detalle">
          <a:hlinkClick xmlns:r="http://schemas.openxmlformats.org/officeDocument/2006/relationships" r:id="rId2306" tooltip="Ver detalle"/>
          <a:extLst>
            <a:ext uri="{FF2B5EF4-FFF2-40B4-BE49-F238E27FC236}">
              <a16:creationId xmlns:a16="http://schemas.microsoft.com/office/drawing/2014/main" id="{36C18B52-FEB5-E988-3D19-46AE853BD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4845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2053</xdr:row>
      <xdr:rowOff>0</xdr:rowOff>
    </xdr:from>
    <xdr:to>
      <xdr:col>13</xdr:col>
      <xdr:colOff>0</xdr:colOff>
      <xdr:row>2054</xdr:row>
      <xdr:rowOff>118110</xdr:rowOff>
    </xdr:to>
    <xdr:pic>
      <xdr:nvPicPr>
        <xdr:cNvPr id="2366" name="Imagen 2365" descr="Ver detalle">
          <a:hlinkClick xmlns:r="http://schemas.openxmlformats.org/officeDocument/2006/relationships" r:id="rId2307" tooltip="Ver detalle"/>
          <a:extLst>
            <a:ext uri="{FF2B5EF4-FFF2-40B4-BE49-F238E27FC236}">
              <a16:creationId xmlns:a16="http://schemas.microsoft.com/office/drawing/2014/main" id="{4A291291-5351-067E-D0C2-74D61790F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679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2052</xdr:row>
      <xdr:rowOff>0</xdr:rowOff>
    </xdr:from>
    <xdr:to>
      <xdr:col>13</xdr:col>
      <xdr:colOff>0</xdr:colOff>
      <xdr:row>2053</xdr:row>
      <xdr:rowOff>118110</xdr:rowOff>
    </xdr:to>
    <xdr:pic>
      <xdr:nvPicPr>
        <xdr:cNvPr id="2367" name="Imagen 2366" descr="Ver detalle">
          <a:hlinkClick xmlns:r="http://schemas.openxmlformats.org/officeDocument/2006/relationships" r:id="rId2308" tooltip="Ver detalle"/>
          <a:extLst>
            <a:ext uri="{FF2B5EF4-FFF2-40B4-BE49-F238E27FC236}">
              <a16:creationId xmlns:a16="http://schemas.microsoft.com/office/drawing/2014/main" id="{DF85C41A-CB3C-3374-696B-C0F1805C9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874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2051</xdr:row>
      <xdr:rowOff>0</xdr:rowOff>
    </xdr:from>
    <xdr:to>
      <xdr:col>13</xdr:col>
      <xdr:colOff>0</xdr:colOff>
      <xdr:row>2052</xdr:row>
      <xdr:rowOff>118110</xdr:rowOff>
    </xdr:to>
    <xdr:pic>
      <xdr:nvPicPr>
        <xdr:cNvPr id="2368" name="Imagen 2367" descr="Ver detalle">
          <a:hlinkClick xmlns:r="http://schemas.openxmlformats.org/officeDocument/2006/relationships" r:id="rId2309" tooltip="Ver detalle"/>
          <a:extLst>
            <a:ext uri="{FF2B5EF4-FFF2-40B4-BE49-F238E27FC236}">
              <a16:creationId xmlns:a16="http://schemas.microsoft.com/office/drawing/2014/main" id="{F28D9628-5933-E669-D850-0FEE9F93E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0697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2050</xdr:row>
      <xdr:rowOff>0</xdr:rowOff>
    </xdr:from>
    <xdr:to>
      <xdr:col>13</xdr:col>
      <xdr:colOff>0</xdr:colOff>
      <xdr:row>2051</xdr:row>
      <xdr:rowOff>118110</xdr:rowOff>
    </xdr:to>
    <xdr:pic>
      <xdr:nvPicPr>
        <xdr:cNvPr id="2369" name="Imagen 2368" descr="Ver detalle">
          <a:hlinkClick xmlns:r="http://schemas.openxmlformats.org/officeDocument/2006/relationships" r:id="rId2310" tooltip="Ver detalle"/>
          <a:extLst>
            <a:ext uri="{FF2B5EF4-FFF2-40B4-BE49-F238E27FC236}">
              <a16:creationId xmlns:a16="http://schemas.microsoft.com/office/drawing/2014/main" id="{A8B6E7DF-53BC-7D2E-29E9-4356A99EF1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2648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2049</xdr:row>
      <xdr:rowOff>0</xdr:rowOff>
    </xdr:from>
    <xdr:to>
      <xdr:col>13</xdr:col>
      <xdr:colOff>0</xdr:colOff>
      <xdr:row>2050</xdr:row>
      <xdr:rowOff>118110</xdr:rowOff>
    </xdr:to>
    <xdr:pic>
      <xdr:nvPicPr>
        <xdr:cNvPr id="2370" name="Imagen 2369" descr="Ver detalle">
          <a:hlinkClick xmlns:r="http://schemas.openxmlformats.org/officeDocument/2006/relationships" r:id="rId2311" tooltip="Ver detalle"/>
          <a:extLst>
            <a:ext uri="{FF2B5EF4-FFF2-40B4-BE49-F238E27FC236}">
              <a16:creationId xmlns:a16="http://schemas.microsoft.com/office/drawing/2014/main" id="{F2F08FE2-0A3E-9A90-160B-A44BF5CF3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459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2048</xdr:row>
      <xdr:rowOff>0</xdr:rowOff>
    </xdr:from>
    <xdr:to>
      <xdr:col>13</xdr:col>
      <xdr:colOff>0</xdr:colOff>
      <xdr:row>2049</xdr:row>
      <xdr:rowOff>118110</xdr:rowOff>
    </xdr:to>
    <xdr:pic>
      <xdr:nvPicPr>
        <xdr:cNvPr id="2371" name="Imagen 2370" descr="Ver detalle">
          <a:hlinkClick xmlns:r="http://schemas.openxmlformats.org/officeDocument/2006/relationships" r:id="rId2312" tooltip="Ver detalle"/>
          <a:extLst>
            <a:ext uri="{FF2B5EF4-FFF2-40B4-BE49-F238E27FC236}">
              <a16:creationId xmlns:a16="http://schemas.microsoft.com/office/drawing/2014/main" id="{438B7638-893F-310B-F06B-F29E6632E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60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2047</xdr:row>
      <xdr:rowOff>0</xdr:rowOff>
    </xdr:from>
    <xdr:to>
      <xdr:col>13</xdr:col>
      <xdr:colOff>0</xdr:colOff>
      <xdr:row>2048</xdr:row>
      <xdr:rowOff>118110</xdr:rowOff>
    </xdr:to>
    <xdr:pic>
      <xdr:nvPicPr>
        <xdr:cNvPr id="2372" name="Imagen 2371" descr="Ver detalle">
          <a:hlinkClick xmlns:r="http://schemas.openxmlformats.org/officeDocument/2006/relationships" r:id="rId2313" tooltip="Ver detalle"/>
          <a:extLst>
            <a:ext uri="{FF2B5EF4-FFF2-40B4-BE49-F238E27FC236}">
              <a16:creationId xmlns:a16="http://schemas.microsoft.com/office/drawing/2014/main" id="{F4F83C90-AEB1-1C47-8A03-9ECCB9FF5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733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2046</xdr:row>
      <xdr:rowOff>0</xdr:rowOff>
    </xdr:from>
    <xdr:to>
      <xdr:col>13</xdr:col>
      <xdr:colOff>0</xdr:colOff>
      <xdr:row>2047</xdr:row>
      <xdr:rowOff>118110</xdr:rowOff>
    </xdr:to>
    <xdr:pic>
      <xdr:nvPicPr>
        <xdr:cNvPr id="2373" name="Imagen 2372" descr="Ver detalle">
          <a:hlinkClick xmlns:r="http://schemas.openxmlformats.org/officeDocument/2006/relationships" r:id="rId2314" tooltip="Ver detalle"/>
          <a:extLst>
            <a:ext uri="{FF2B5EF4-FFF2-40B4-BE49-F238E27FC236}">
              <a16:creationId xmlns:a16="http://schemas.microsoft.com/office/drawing/2014/main" id="{01AC8376-8599-2975-121E-AFF003626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8637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2045</xdr:row>
      <xdr:rowOff>0</xdr:rowOff>
    </xdr:from>
    <xdr:to>
      <xdr:col>13</xdr:col>
      <xdr:colOff>0</xdr:colOff>
      <xdr:row>2046</xdr:row>
      <xdr:rowOff>118110</xdr:rowOff>
    </xdr:to>
    <xdr:pic>
      <xdr:nvPicPr>
        <xdr:cNvPr id="2374" name="Imagen 2373" descr="Ver detalle">
          <a:hlinkClick xmlns:r="http://schemas.openxmlformats.org/officeDocument/2006/relationships" r:id="rId2315" tooltip="Ver detalle"/>
          <a:extLst>
            <a:ext uri="{FF2B5EF4-FFF2-40B4-BE49-F238E27FC236}">
              <a16:creationId xmlns:a16="http://schemas.microsoft.com/office/drawing/2014/main" id="{A0F1AA3C-AD8A-04FE-93B2-D4BD5EC51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994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2044</xdr:row>
      <xdr:rowOff>0</xdr:rowOff>
    </xdr:from>
    <xdr:to>
      <xdr:col>13</xdr:col>
      <xdr:colOff>0</xdr:colOff>
      <xdr:row>2045</xdr:row>
      <xdr:rowOff>118110</xdr:rowOff>
    </xdr:to>
    <xdr:pic>
      <xdr:nvPicPr>
        <xdr:cNvPr id="2375" name="Imagen 2374" descr="Ver detalle">
          <a:hlinkClick xmlns:r="http://schemas.openxmlformats.org/officeDocument/2006/relationships" r:id="rId2316" tooltip="Ver detalle"/>
          <a:extLst>
            <a:ext uri="{FF2B5EF4-FFF2-40B4-BE49-F238E27FC236}">
              <a16:creationId xmlns:a16="http://schemas.microsoft.com/office/drawing/2014/main" id="{522628C1-C90C-B98F-032B-BB6FA4FC6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124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2043</xdr:row>
      <xdr:rowOff>0</xdr:rowOff>
    </xdr:from>
    <xdr:to>
      <xdr:col>13</xdr:col>
      <xdr:colOff>0</xdr:colOff>
      <xdr:row>2044</xdr:row>
      <xdr:rowOff>118110</xdr:rowOff>
    </xdr:to>
    <xdr:pic>
      <xdr:nvPicPr>
        <xdr:cNvPr id="2376" name="Imagen 2375" descr="Ver detalle">
          <a:hlinkClick xmlns:r="http://schemas.openxmlformats.org/officeDocument/2006/relationships" r:id="rId2317" tooltip="Ver detalle"/>
          <a:extLst>
            <a:ext uri="{FF2B5EF4-FFF2-40B4-BE49-F238E27FC236}">
              <a16:creationId xmlns:a16="http://schemas.microsoft.com/office/drawing/2014/main" id="{C11251EF-E506-C88C-69A9-167A082D5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254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2002</xdr:row>
      <xdr:rowOff>0</xdr:rowOff>
    </xdr:from>
    <xdr:to>
      <xdr:col>13</xdr:col>
      <xdr:colOff>0</xdr:colOff>
      <xdr:row>2003</xdr:row>
      <xdr:rowOff>118110</xdr:rowOff>
    </xdr:to>
    <xdr:pic>
      <xdr:nvPicPr>
        <xdr:cNvPr id="2377" name="Imagen 2376" descr="Ver detalle">
          <a:hlinkClick xmlns:r="http://schemas.openxmlformats.org/officeDocument/2006/relationships" r:id="rId2318" tooltip="Ver detalle"/>
          <a:extLst>
            <a:ext uri="{FF2B5EF4-FFF2-40B4-BE49-F238E27FC236}">
              <a16:creationId xmlns:a16="http://schemas.microsoft.com/office/drawing/2014/main" id="{56AD4BB8-37A2-ED5F-68DB-88F38CB9D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449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1999</xdr:row>
      <xdr:rowOff>0</xdr:rowOff>
    </xdr:from>
    <xdr:to>
      <xdr:col>13</xdr:col>
      <xdr:colOff>0</xdr:colOff>
      <xdr:row>2000</xdr:row>
      <xdr:rowOff>118110</xdr:rowOff>
    </xdr:to>
    <xdr:pic>
      <xdr:nvPicPr>
        <xdr:cNvPr id="2378" name="Imagen 2377" descr="Ver detalle">
          <a:hlinkClick xmlns:r="http://schemas.openxmlformats.org/officeDocument/2006/relationships" r:id="rId2319" tooltip="Ver detalle"/>
          <a:extLst>
            <a:ext uri="{FF2B5EF4-FFF2-40B4-BE49-F238E27FC236}">
              <a16:creationId xmlns:a16="http://schemas.microsoft.com/office/drawing/2014/main" id="{C867D540-95C2-0527-B0C8-0166D6B11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644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2095</xdr:row>
      <xdr:rowOff>0</xdr:rowOff>
    </xdr:from>
    <xdr:to>
      <xdr:col>13</xdr:col>
      <xdr:colOff>0</xdr:colOff>
      <xdr:row>2096</xdr:row>
      <xdr:rowOff>114300</xdr:rowOff>
    </xdr:to>
    <xdr:pic>
      <xdr:nvPicPr>
        <xdr:cNvPr id="2379" name="Imagen 2378" descr="Ver detalle">
          <a:hlinkClick xmlns:r="http://schemas.openxmlformats.org/officeDocument/2006/relationships" r:id="rId2320" tooltip="Ver detalle"/>
          <a:extLst>
            <a:ext uri="{FF2B5EF4-FFF2-40B4-BE49-F238E27FC236}">
              <a16:creationId xmlns:a16="http://schemas.microsoft.com/office/drawing/2014/main" id="{B6AD711B-9940-4C89-4A05-FFFE516CC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126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2091</xdr:row>
      <xdr:rowOff>0</xdr:rowOff>
    </xdr:from>
    <xdr:to>
      <xdr:col>13</xdr:col>
      <xdr:colOff>0</xdr:colOff>
      <xdr:row>2092</xdr:row>
      <xdr:rowOff>118110</xdr:rowOff>
    </xdr:to>
    <xdr:pic>
      <xdr:nvPicPr>
        <xdr:cNvPr id="2380" name="Imagen 2379" descr="Ver detalle">
          <a:hlinkClick xmlns:r="http://schemas.openxmlformats.org/officeDocument/2006/relationships" r:id="rId2321" tooltip="Ver detalle"/>
          <a:extLst>
            <a:ext uri="{FF2B5EF4-FFF2-40B4-BE49-F238E27FC236}">
              <a16:creationId xmlns:a16="http://schemas.microsoft.com/office/drawing/2014/main" id="{97F5556F-65A4-0072-6D91-3D4F87630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218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2089</xdr:row>
      <xdr:rowOff>0</xdr:rowOff>
    </xdr:from>
    <xdr:to>
      <xdr:col>13</xdr:col>
      <xdr:colOff>0</xdr:colOff>
      <xdr:row>2090</xdr:row>
      <xdr:rowOff>118110</xdr:rowOff>
    </xdr:to>
    <xdr:pic>
      <xdr:nvPicPr>
        <xdr:cNvPr id="2381" name="Imagen 2380" descr="Ver detalle">
          <a:hlinkClick xmlns:r="http://schemas.openxmlformats.org/officeDocument/2006/relationships" r:id="rId2322" tooltip="Ver detalle"/>
          <a:extLst>
            <a:ext uri="{FF2B5EF4-FFF2-40B4-BE49-F238E27FC236}">
              <a16:creationId xmlns:a16="http://schemas.microsoft.com/office/drawing/2014/main" id="{E8C0EB03-D189-E022-A058-006C7945A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413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2094</xdr:row>
      <xdr:rowOff>0</xdr:rowOff>
    </xdr:from>
    <xdr:to>
      <xdr:col>13</xdr:col>
      <xdr:colOff>0</xdr:colOff>
      <xdr:row>2095</xdr:row>
      <xdr:rowOff>118110</xdr:rowOff>
    </xdr:to>
    <xdr:pic>
      <xdr:nvPicPr>
        <xdr:cNvPr id="2382" name="Imagen 2381" descr="Ver detalle">
          <a:hlinkClick xmlns:r="http://schemas.openxmlformats.org/officeDocument/2006/relationships" r:id="rId2323" tooltip="Ver detalle"/>
          <a:extLst>
            <a:ext uri="{FF2B5EF4-FFF2-40B4-BE49-F238E27FC236}">
              <a16:creationId xmlns:a16="http://schemas.microsoft.com/office/drawing/2014/main" id="{AB0AF33D-9537-57F8-4F32-4BAD74768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6082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2090</xdr:row>
      <xdr:rowOff>0</xdr:rowOff>
    </xdr:from>
    <xdr:to>
      <xdr:col>13</xdr:col>
      <xdr:colOff>0</xdr:colOff>
      <xdr:row>2091</xdr:row>
      <xdr:rowOff>118110</xdr:rowOff>
    </xdr:to>
    <xdr:pic>
      <xdr:nvPicPr>
        <xdr:cNvPr id="2383" name="Imagen 2382" descr="Ver detalle">
          <a:hlinkClick xmlns:r="http://schemas.openxmlformats.org/officeDocument/2006/relationships" r:id="rId2324" tooltip="Ver detalle"/>
          <a:extLst>
            <a:ext uri="{FF2B5EF4-FFF2-40B4-BE49-F238E27FC236}">
              <a16:creationId xmlns:a16="http://schemas.microsoft.com/office/drawing/2014/main" id="{1698065A-226D-1F6F-6503-6B6313EED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699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2086</xdr:row>
      <xdr:rowOff>0</xdr:rowOff>
    </xdr:from>
    <xdr:to>
      <xdr:col>13</xdr:col>
      <xdr:colOff>0</xdr:colOff>
      <xdr:row>2087</xdr:row>
      <xdr:rowOff>118110</xdr:rowOff>
    </xdr:to>
    <xdr:pic>
      <xdr:nvPicPr>
        <xdr:cNvPr id="2384" name="Imagen 2383" descr="Ver detalle">
          <a:hlinkClick xmlns:r="http://schemas.openxmlformats.org/officeDocument/2006/relationships" r:id="rId2325" tooltip="Ver detalle"/>
          <a:extLst>
            <a:ext uri="{FF2B5EF4-FFF2-40B4-BE49-F238E27FC236}">
              <a16:creationId xmlns:a16="http://schemas.microsoft.com/office/drawing/2014/main" id="{E16F2EE6-67C4-32EB-0CC4-5DE9754C5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791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2093</xdr:row>
      <xdr:rowOff>0</xdr:rowOff>
    </xdr:from>
    <xdr:to>
      <xdr:col>13</xdr:col>
      <xdr:colOff>0</xdr:colOff>
      <xdr:row>2094</xdr:row>
      <xdr:rowOff>118110</xdr:rowOff>
    </xdr:to>
    <xdr:pic>
      <xdr:nvPicPr>
        <xdr:cNvPr id="2385" name="Imagen 2384" descr="Ver detalle">
          <a:hlinkClick xmlns:r="http://schemas.openxmlformats.org/officeDocument/2006/relationships" r:id="rId2326" tooltip="Ver detalle"/>
          <a:extLst>
            <a:ext uri="{FF2B5EF4-FFF2-40B4-BE49-F238E27FC236}">
              <a16:creationId xmlns:a16="http://schemas.microsoft.com/office/drawing/2014/main" id="{E52BBE47-DB45-959F-BF5B-0240B2B16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986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2085</xdr:row>
      <xdr:rowOff>0</xdr:rowOff>
    </xdr:from>
    <xdr:to>
      <xdr:col>13</xdr:col>
      <xdr:colOff>0</xdr:colOff>
      <xdr:row>2086</xdr:row>
      <xdr:rowOff>118110</xdr:rowOff>
    </xdr:to>
    <xdr:pic>
      <xdr:nvPicPr>
        <xdr:cNvPr id="2386" name="Imagen 2385" descr="Ver detalle">
          <a:hlinkClick xmlns:r="http://schemas.openxmlformats.org/officeDocument/2006/relationships" r:id="rId2327" tooltip="Ver detalle"/>
          <a:extLst>
            <a:ext uri="{FF2B5EF4-FFF2-40B4-BE49-F238E27FC236}">
              <a16:creationId xmlns:a16="http://schemas.microsoft.com/office/drawing/2014/main" id="{50456111-E37E-F5AB-8578-461059415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181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2087</xdr:row>
      <xdr:rowOff>0</xdr:rowOff>
    </xdr:from>
    <xdr:to>
      <xdr:col>13</xdr:col>
      <xdr:colOff>0</xdr:colOff>
      <xdr:row>2088</xdr:row>
      <xdr:rowOff>118110</xdr:rowOff>
    </xdr:to>
    <xdr:pic>
      <xdr:nvPicPr>
        <xdr:cNvPr id="2387" name="Imagen 2386" descr="Ver detalle">
          <a:hlinkClick xmlns:r="http://schemas.openxmlformats.org/officeDocument/2006/relationships" r:id="rId2328" tooltip="Ver detalle"/>
          <a:extLst>
            <a:ext uri="{FF2B5EF4-FFF2-40B4-BE49-F238E27FC236}">
              <a16:creationId xmlns:a16="http://schemas.microsoft.com/office/drawing/2014/main" id="{AFCA3E43-349C-BD3E-D93D-F6C9F849B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311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2088</xdr:row>
      <xdr:rowOff>0</xdr:rowOff>
    </xdr:from>
    <xdr:to>
      <xdr:col>13</xdr:col>
      <xdr:colOff>0</xdr:colOff>
      <xdr:row>2089</xdr:row>
      <xdr:rowOff>118110</xdr:rowOff>
    </xdr:to>
    <xdr:pic>
      <xdr:nvPicPr>
        <xdr:cNvPr id="2388" name="Imagen 2387" descr="Ver detalle">
          <a:hlinkClick xmlns:r="http://schemas.openxmlformats.org/officeDocument/2006/relationships" r:id="rId2329" tooltip="Ver detalle"/>
          <a:extLst>
            <a:ext uri="{FF2B5EF4-FFF2-40B4-BE49-F238E27FC236}">
              <a16:creationId xmlns:a16="http://schemas.microsoft.com/office/drawing/2014/main" id="{0D66D3A9-E43A-E1D0-5D5F-ADED5F196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403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2084</xdr:row>
      <xdr:rowOff>0</xdr:rowOff>
    </xdr:from>
    <xdr:to>
      <xdr:col>13</xdr:col>
      <xdr:colOff>0</xdr:colOff>
      <xdr:row>2085</xdr:row>
      <xdr:rowOff>118110</xdr:rowOff>
    </xdr:to>
    <xdr:pic>
      <xdr:nvPicPr>
        <xdr:cNvPr id="2389" name="Imagen 2388" descr="Ver detalle">
          <a:hlinkClick xmlns:r="http://schemas.openxmlformats.org/officeDocument/2006/relationships" r:id="rId2330" tooltip="Ver detalle"/>
          <a:extLst>
            <a:ext uri="{FF2B5EF4-FFF2-40B4-BE49-F238E27FC236}">
              <a16:creationId xmlns:a16="http://schemas.microsoft.com/office/drawing/2014/main" id="{43F3310A-BBCE-3E4E-BA45-493487163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49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2107</xdr:row>
      <xdr:rowOff>0</xdr:rowOff>
    </xdr:from>
    <xdr:to>
      <xdr:col>13</xdr:col>
      <xdr:colOff>0</xdr:colOff>
      <xdr:row>2108</xdr:row>
      <xdr:rowOff>114300</xdr:rowOff>
    </xdr:to>
    <xdr:pic>
      <xdr:nvPicPr>
        <xdr:cNvPr id="2390" name="Imagen 2389" descr="Ver detalle">
          <a:hlinkClick xmlns:r="http://schemas.openxmlformats.org/officeDocument/2006/relationships" r:id="rId2331" tooltip="Ver detalle"/>
          <a:extLst>
            <a:ext uri="{FF2B5EF4-FFF2-40B4-BE49-F238E27FC236}">
              <a16:creationId xmlns:a16="http://schemas.microsoft.com/office/drawing/2014/main" id="{526194C9-1031-D6CB-91D5-76E7E5680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6895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2106</xdr:row>
      <xdr:rowOff>0</xdr:rowOff>
    </xdr:from>
    <xdr:to>
      <xdr:col>13</xdr:col>
      <xdr:colOff>0</xdr:colOff>
      <xdr:row>2107</xdr:row>
      <xdr:rowOff>118110</xdr:rowOff>
    </xdr:to>
    <xdr:pic>
      <xdr:nvPicPr>
        <xdr:cNvPr id="2391" name="Imagen 2390" descr="Ver detalle">
          <a:hlinkClick xmlns:r="http://schemas.openxmlformats.org/officeDocument/2006/relationships" r:id="rId2332" tooltip="Ver detalle"/>
          <a:extLst>
            <a:ext uri="{FF2B5EF4-FFF2-40B4-BE49-F238E27FC236}">
              <a16:creationId xmlns:a16="http://schemas.microsoft.com/office/drawing/2014/main" id="{A7500288-8E7A-7CC7-2FE0-A24536BD9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8846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2105</xdr:row>
      <xdr:rowOff>0</xdr:rowOff>
    </xdr:from>
    <xdr:to>
      <xdr:col>13</xdr:col>
      <xdr:colOff>0</xdr:colOff>
      <xdr:row>2106</xdr:row>
      <xdr:rowOff>118110</xdr:rowOff>
    </xdr:to>
    <xdr:pic>
      <xdr:nvPicPr>
        <xdr:cNvPr id="2392" name="Imagen 2391" descr="Ver detalle">
          <a:hlinkClick xmlns:r="http://schemas.openxmlformats.org/officeDocument/2006/relationships" r:id="rId2333" tooltip="Ver detalle"/>
          <a:extLst>
            <a:ext uri="{FF2B5EF4-FFF2-40B4-BE49-F238E27FC236}">
              <a16:creationId xmlns:a16="http://schemas.microsoft.com/office/drawing/2014/main" id="{55C2E3C5-B901-A632-B264-1719B54A3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0796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2104</xdr:row>
      <xdr:rowOff>0</xdr:rowOff>
    </xdr:from>
    <xdr:to>
      <xdr:col>13</xdr:col>
      <xdr:colOff>0</xdr:colOff>
      <xdr:row>2105</xdr:row>
      <xdr:rowOff>118110</xdr:rowOff>
    </xdr:to>
    <xdr:pic>
      <xdr:nvPicPr>
        <xdr:cNvPr id="2393" name="Imagen 2392" descr="Ver detalle">
          <a:hlinkClick xmlns:r="http://schemas.openxmlformats.org/officeDocument/2006/relationships" r:id="rId2334" tooltip="Ver detalle"/>
          <a:extLst>
            <a:ext uri="{FF2B5EF4-FFF2-40B4-BE49-F238E27FC236}">
              <a16:creationId xmlns:a16="http://schemas.microsoft.com/office/drawing/2014/main" id="{7D982D73-F985-713F-F68C-E38C98165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1711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2103</xdr:row>
      <xdr:rowOff>0</xdr:rowOff>
    </xdr:from>
    <xdr:to>
      <xdr:col>13</xdr:col>
      <xdr:colOff>0</xdr:colOff>
      <xdr:row>2104</xdr:row>
      <xdr:rowOff>118110</xdr:rowOff>
    </xdr:to>
    <xdr:pic>
      <xdr:nvPicPr>
        <xdr:cNvPr id="2394" name="Imagen 2393" descr="Ver detalle">
          <a:hlinkClick xmlns:r="http://schemas.openxmlformats.org/officeDocument/2006/relationships" r:id="rId2335" tooltip="Ver detalle"/>
          <a:extLst>
            <a:ext uri="{FF2B5EF4-FFF2-40B4-BE49-F238E27FC236}">
              <a16:creationId xmlns:a16="http://schemas.microsoft.com/office/drawing/2014/main" id="{DF677CC9-335D-D199-7C6F-0802A9904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2625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2102</xdr:row>
      <xdr:rowOff>0</xdr:rowOff>
    </xdr:from>
    <xdr:to>
      <xdr:col>13</xdr:col>
      <xdr:colOff>0</xdr:colOff>
      <xdr:row>2103</xdr:row>
      <xdr:rowOff>118110</xdr:rowOff>
    </xdr:to>
    <xdr:pic>
      <xdr:nvPicPr>
        <xdr:cNvPr id="2395" name="Imagen 2394" descr="Ver detalle">
          <a:hlinkClick xmlns:r="http://schemas.openxmlformats.org/officeDocument/2006/relationships" r:id="rId2336" tooltip="Ver detalle"/>
          <a:extLst>
            <a:ext uri="{FF2B5EF4-FFF2-40B4-BE49-F238E27FC236}">
              <a16:creationId xmlns:a16="http://schemas.microsoft.com/office/drawing/2014/main" id="{EAE51613-0850-8BA7-282C-3E77075AC7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3539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2101</xdr:row>
      <xdr:rowOff>0</xdr:rowOff>
    </xdr:from>
    <xdr:to>
      <xdr:col>13</xdr:col>
      <xdr:colOff>0</xdr:colOff>
      <xdr:row>2102</xdr:row>
      <xdr:rowOff>118110</xdr:rowOff>
    </xdr:to>
    <xdr:pic>
      <xdr:nvPicPr>
        <xdr:cNvPr id="2396" name="Imagen 2395" descr="Ver detalle">
          <a:hlinkClick xmlns:r="http://schemas.openxmlformats.org/officeDocument/2006/relationships" r:id="rId2337" tooltip="Ver detalle"/>
          <a:extLst>
            <a:ext uri="{FF2B5EF4-FFF2-40B4-BE49-F238E27FC236}">
              <a16:creationId xmlns:a16="http://schemas.microsoft.com/office/drawing/2014/main" id="{BD5A4066-1242-59AF-C1CD-E18F3E77C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4454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2100</xdr:row>
      <xdr:rowOff>0</xdr:rowOff>
    </xdr:from>
    <xdr:to>
      <xdr:col>13</xdr:col>
      <xdr:colOff>0</xdr:colOff>
      <xdr:row>2101</xdr:row>
      <xdr:rowOff>118110</xdr:rowOff>
    </xdr:to>
    <xdr:pic>
      <xdr:nvPicPr>
        <xdr:cNvPr id="2397" name="Imagen 2396" descr="Ver detalle">
          <a:hlinkClick xmlns:r="http://schemas.openxmlformats.org/officeDocument/2006/relationships" r:id="rId2338" tooltip="Ver detalle"/>
          <a:extLst>
            <a:ext uri="{FF2B5EF4-FFF2-40B4-BE49-F238E27FC236}">
              <a16:creationId xmlns:a16="http://schemas.microsoft.com/office/drawing/2014/main" id="{BB7D52FF-3670-87CF-944C-16ABBDDB6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5368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2099</xdr:row>
      <xdr:rowOff>0</xdr:rowOff>
    </xdr:from>
    <xdr:to>
      <xdr:col>13</xdr:col>
      <xdr:colOff>0</xdr:colOff>
      <xdr:row>2100</xdr:row>
      <xdr:rowOff>118110</xdr:rowOff>
    </xdr:to>
    <xdr:pic>
      <xdr:nvPicPr>
        <xdr:cNvPr id="2398" name="Imagen 2397" descr="Ver detalle">
          <a:hlinkClick xmlns:r="http://schemas.openxmlformats.org/officeDocument/2006/relationships" r:id="rId2339" tooltip="Ver detalle"/>
          <a:extLst>
            <a:ext uri="{FF2B5EF4-FFF2-40B4-BE49-F238E27FC236}">
              <a16:creationId xmlns:a16="http://schemas.microsoft.com/office/drawing/2014/main" id="{C147F566-6AEE-7139-4161-A57B00927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628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2098</xdr:row>
      <xdr:rowOff>0</xdr:rowOff>
    </xdr:from>
    <xdr:to>
      <xdr:col>13</xdr:col>
      <xdr:colOff>0</xdr:colOff>
      <xdr:row>2099</xdr:row>
      <xdr:rowOff>118110</xdr:rowOff>
    </xdr:to>
    <xdr:pic>
      <xdr:nvPicPr>
        <xdr:cNvPr id="2399" name="Imagen 2398" descr="Ver detalle">
          <a:hlinkClick xmlns:r="http://schemas.openxmlformats.org/officeDocument/2006/relationships" r:id="rId2340" tooltip="Ver detalle"/>
          <a:extLst>
            <a:ext uri="{FF2B5EF4-FFF2-40B4-BE49-F238E27FC236}">
              <a16:creationId xmlns:a16="http://schemas.microsoft.com/office/drawing/2014/main" id="{C8E60C55-466E-AFBA-1996-4F7A85FB1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7197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2097</xdr:row>
      <xdr:rowOff>0</xdr:rowOff>
    </xdr:from>
    <xdr:to>
      <xdr:col>13</xdr:col>
      <xdr:colOff>0</xdr:colOff>
      <xdr:row>2098</xdr:row>
      <xdr:rowOff>118110</xdr:rowOff>
    </xdr:to>
    <xdr:pic>
      <xdr:nvPicPr>
        <xdr:cNvPr id="2400" name="Imagen 2399" descr="Ver detalle">
          <a:hlinkClick xmlns:r="http://schemas.openxmlformats.org/officeDocument/2006/relationships" r:id="rId2341" tooltip="Ver detalle"/>
          <a:extLst>
            <a:ext uri="{FF2B5EF4-FFF2-40B4-BE49-F238E27FC236}">
              <a16:creationId xmlns:a16="http://schemas.microsoft.com/office/drawing/2014/main" id="{0338668C-75FB-3B62-57C4-9ABDC3DD75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9148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2083</xdr:row>
      <xdr:rowOff>0</xdr:rowOff>
    </xdr:from>
    <xdr:to>
      <xdr:col>13</xdr:col>
      <xdr:colOff>0</xdr:colOff>
      <xdr:row>2084</xdr:row>
      <xdr:rowOff>118110</xdr:rowOff>
    </xdr:to>
    <xdr:pic>
      <xdr:nvPicPr>
        <xdr:cNvPr id="2401" name="Imagen 2400" descr="Ver detalle">
          <a:hlinkClick xmlns:r="http://schemas.openxmlformats.org/officeDocument/2006/relationships" r:id="rId2342" tooltip="Ver detalle"/>
          <a:extLst>
            <a:ext uri="{FF2B5EF4-FFF2-40B4-BE49-F238E27FC236}">
              <a16:creationId xmlns:a16="http://schemas.microsoft.com/office/drawing/2014/main" id="{1B344B7D-4B45-FDAB-7BEA-FF8000204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109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2092</xdr:row>
      <xdr:rowOff>0</xdr:rowOff>
    </xdr:from>
    <xdr:to>
      <xdr:col>13</xdr:col>
      <xdr:colOff>0</xdr:colOff>
      <xdr:row>2093</xdr:row>
      <xdr:rowOff>118110</xdr:rowOff>
    </xdr:to>
    <xdr:pic>
      <xdr:nvPicPr>
        <xdr:cNvPr id="2402" name="Imagen 2401" descr="Ver detalle">
          <a:hlinkClick xmlns:r="http://schemas.openxmlformats.org/officeDocument/2006/relationships" r:id="rId2343" tooltip="Ver detalle"/>
          <a:extLst>
            <a:ext uri="{FF2B5EF4-FFF2-40B4-BE49-F238E27FC236}">
              <a16:creationId xmlns:a16="http://schemas.microsoft.com/office/drawing/2014/main" id="{8D9A8B49-D034-451C-E15C-BBE7B5861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201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2082</xdr:row>
      <xdr:rowOff>0</xdr:rowOff>
    </xdr:from>
    <xdr:to>
      <xdr:col>13</xdr:col>
      <xdr:colOff>0</xdr:colOff>
      <xdr:row>2083</xdr:row>
      <xdr:rowOff>118110</xdr:rowOff>
    </xdr:to>
    <xdr:pic>
      <xdr:nvPicPr>
        <xdr:cNvPr id="2403" name="Imagen 2402" descr="Ver detalle">
          <a:hlinkClick xmlns:r="http://schemas.openxmlformats.org/officeDocument/2006/relationships" r:id="rId2344" tooltip="Ver detalle"/>
          <a:extLst>
            <a:ext uri="{FF2B5EF4-FFF2-40B4-BE49-F238E27FC236}">
              <a16:creationId xmlns:a16="http://schemas.microsoft.com/office/drawing/2014/main" id="{07FD178A-C3FD-0516-1182-BAA8A002A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396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2079</xdr:row>
      <xdr:rowOff>0</xdr:rowOff>
    </xdr:from>
    <xdr:to>
      <xdr:col>13</xdr:col>
      <xdr:colOff>0</xdr:colOff>
      <xdr:row>2080</xdr:row>
      <xdr:rowOff>118110</xdr:rowOff>
    </xdr:to>
    <xdr:pic>
      <xdr:nvPicPr>
        <xdr:cNvPr id="2404" name="Imagen 2403" descr="Ver detalle">
          <a:hlinkClick xmlns:r="http://schemas.openxmlformats.org/officeDocument/2006/relationships" r:id="rId2345" tooltip="Ver detalle"/>
          <a:extLst>
            <a:ext uri="{FF2B5EF4-FFF2-40B4-BE49-F238E27FC236}">
              <a16:creationId xmlns:a16="http://schemas.microsoft.com/office/drawing/2014/main" id="{3C0CC8DB-2BF7-73D3-0FB0-336C81D01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591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2075</xdr:row>
      <xdr:rowOff>0</xdr:rowOff>
    </xdr:from>
    <xdr:to>
      <xdr:col>13</xdr:col>
      <xdr:colOff>0</xdr:colOff>
      <xdr:row>2076</xdr:row>
      <xdr:rowOff>118110</xdr:rowOff>
    </xdr:to>
    <xdr:pic>
      <xdr:nvPicPr>
        <xdr:cNvPr id="2405" name="Imagen 2404" descr="Ver detalle">
          <a:hlinkClick xmlns:r="http://schemas.openxmlformats.org/officeDocument/2006/relationships" r:id="rId2346" tooltip="Ver detalle"/>
          <a:extLst>
            <a:ext uri="{FF2B5EF4-FFF2-40B4-BE49-F238E27FC236}">
              <a16:creationId xmlns:a16="http://schemas.microsoft.com/office/drawing/2014/main" id="{BF137E60-BBB6-0C3B-796D-B21832977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7865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2077</xdr:row>
      <xdr:rowOff>0</xdr:rowOff>
    </xdr:from>
    <xdr:to>
      <xdr:col>13</xdr:col>
      <xdr:colOff>0</xdr:colOff>
      <xdr:row>2078</xdr:row>
      <xdr:rowOff>118110</xdr:rowOff>
    </xdr:to>
    <xdr:pic>
      <xdr:nvPicPr>
        <xdr:cNvPr id="2406" name="Imagen 2405" descr="Ver detalle">
          <a:hlinkClick xmlns:r="http://schemas.openxmlformats.org/officeDocument/2006/relationships" r:id="rId2347" tooltip="Ver detalle"/>
          <a:extLst>
            <a:ext uri="{FF2B5EF4-FFF2-40B4-BE49-F238E27FC236}">
              <a16:creationId xmlns:a16="http://schemas.microsoft.com/office/drawing/2014/main" id="{01021098-06AA-43E5-E1B8-4638A1687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981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2078</xdr:row>
      <xdr:rowOff>0</xdr:rowOff>
    </xdr:from>
    <xdr:to>
      <xdr:col>13</xdr:col>
      <xdr:colOff>0</xdr:colOff>
      <xdr:row>2079</xdr:row>
      <xdr:rowOff>118110</xdr:rowOff>
    </xdr:to>
    <xdr:pic>
      <xdr:nvPicPr>
        <xdr:cNvPr id="2407" name="Imagen 2406" descr="Ver detalle">
          <a:hlinkClick xmlns:r="http://schemas.openxmlformats.org/officeDocument/2006/relationships" r:id="rId2348" tooltip="Ver detalle"/>
          <a:extLst>
            <a:ext uri="{FF2B5EF4-FFF2-40B4-BE49-F238E27FC236}">
              <a16:creationId xmlns:a16="http://schemas.microsoft.com/office/drawing/2014/main" id="{E6675E9F-6854-8FEF-E4AE-5B222809D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17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2080</xdr:row>
      <xdr:rowOff>0</xdr:rowOff>
    </xdr:from>
    <xdr:to>
      <xdr:col>13</xdr:col>
      <xdr:colOff>0</xdr:colOff>
      <xdr:row>2081</xdr:row>
      <xdr:rowOff>118110</xdr:rowOff>
    </xdr:to>
    <xdr:pic>
      <xdr:nvPicPr>
        <xdr:cNvPr id="2408" name="Imagen 2407" descr="Ver detalle">
          <a:hlinkClick xmlns:r="http://schemas.openxmlformats.org/officeDocument/2006/relationships" r:id="rId2349" tooltip="Ver detalle"/>
          <a:extLst>
            <a:ext uri="{FF2B5EF4-FFF2-40B4-BE49-F238E27FC236}">
              <a16:creationId xmlns:a16="http://schemas.microsoft.com/office/drawing/2014/main" id="{70C3F400-23F3-50B1-8612-AA27B020F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3717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2081</xdr:row>
      <xdr:rowOff>0</xdr:rowOff>
    </xdr:from>
    <xdr:to>
      <xdr:col>13</xdr:col>
      <xdr:colOff>0</xdr:colOff>
      <xdr:row>2082</xdr:row>
      <xdr:rowOff>118110</xdr:rowOff>
    </xdr:to>
    <xdr:pic>
      <xdr:nvPicPr>
        <xdr:cNvPr id="2409" name="Imagen 2408" descr="Ver detalle">
          <a:hlinkClick xmlns:r="http://schemas.openxmlformats.org/officeDocument/2006/relationships" r:id="rId2350" tooltip="Ver detalle"/>
          <a:extLst>
            <a:ext uri="{FF2B5EF4-FFF2-40B4-BE49-F238E27FC236}">
              <a16:creationId xmlns:a16="http://schemas.microsoft.com/office/drawing/2014/main" id="{551A5B34-BFEA-F3E1-405F-FB0A4E3B2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5020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2111</xdr:row>
      <xdr:rowOff>0</xdr:rowOff>
    </xdr:from>
    <xdr:to>
      <xdr:col>13</xdr:col>
      <xdr:colOff>0</xdr:colOff>
      <xdr:row>2112</xdr:row>
      <xdr:rowOff>118110</xdr:rowOff>
    </xdr:to>
    <xdr:pic>
      <xdr:nvPicPr>
        <xdr:cNvPr id="2410" name="Imagen 2409" descr="Ver detalle">
          <a:hlinkClick xmlns:r="http://schemas.openxmlformats.org/officeDocument/2006/relationships" r:id="rId2351" tooltip="Ver detalle"/>
          <a:extLst>
            <a:ext uri="{FF2B5EF4-FFF2-40B4-BE49-F238E27FC236}">
              <a16:creationId xmlns:a16="http://schemas.microsoft.com/office/drawing/2014/main" id="{CD9BDE60-5867-7978-F083-5C12F6341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829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2112</xdr:row>
      <xdr:rowOff>0</xdr:rowOff>
    </xdr:from>
    <xdr:to>
      <xdr:col>13</xdr:col>
      <xdr:colOff>0</xdr:colOff>
      <xdr:row>2113</xdr:row>
      <xdr:rowOff>118110</xdr:rowOff>
    </xdr:to>
    <xdr:pic>
      <xdr:nvPicPr>
        <xdr:cNvPr id="2411" name="Imagen 2410" descr="Ver detalle">
          <a:hlinkClick xmlns:r="http://schemas.openxmlformats.org/officeDocument/2006/relationships" r:id="rId2352" tooltip="Ver detalle"/>
          <a:extLst>
            <a:ext uri="{FF2B5EF4-FFF2-40B4-BE49-F238E27FC236}">
              <a16:creationId xmlns:a16="http://schemas.microsoft.com/office/drawing/2014/main" id="{4238C6A1-70A8-D194-FBA0-1AD23BAB5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104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2113</xdr:row>
      <xdr:rowOff>0</xdr:rowOff>
    </xdr:from>
    <xdr:to>
      <xdr:col>13</xdr:col>
      <xdr:colOff>0</xdr:colOff>
      <xdr:row>2114</xdr:row>
      <xdr:rowOff>118110</xdr:rowOff>
    </xdr:to>
    <xdr:pic>
      <xdr:nvPicPr>
        <xdr:cNvPr id="2412" name="Imagen 2411" descr="Ver detalle">
          <a:hlinkClick xmlns:r="http://schemas.openxmlformats.org/officeDocument/2006/relationships" r:id="rId2353" tooltip="Ver detalle"/>
          <a:extLst>
            <a:ext uri="{FF2B5EF4-FFF2-40B4-BE49-F238E27FC236}">
              <a16:creationId xmlns:a16="http://schemas.microsoft.com/office/drawing/2014/main" id="{103AB81C-AC00-D8CD-4214-E57C3361A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379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2114</xdr:row>
      <xdr:rowOff>0</xdr:rowOff>
    </xdr:from>
    <xdr:to>
      <xdr:col>13</xdr:col>
      <xdr:colOff>0</xdr:colOff>
      <xdr:row>2115</xdr:row>
      <xdr:rowOff>118110</xdr:rowOff>
    </xdr:to>
    <xdr:pic>
      <xdr:nvPicPr>
        <xdr:cNvPr id="2413" name="Imagen 2412" descr="Ver detalle">
          <a:hlinkClick xmlns:r="http://schemas.openxmlformats.org/officeDocument/2006/relationships" r:id="rId2354" tooltip="Ver detalle"/>
          <a:extLst>
            <a:ext uri="{FF2B5EF4-FFF2-40B4-BE49-F238E27FC236}">
              <a16:creationId xmlns:a16="http://schemas.microsoft.com/office/drawing/2014/main" id="{B35ECFA5-26E0-5970-DD42-15797FA12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65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2115</xdr:row>
      <xdr:rowOff>0</xdr:rowOff>
    </xdr:from>
    <xdr:to>
      <xdr:col>13</xdr:col>
      <xdr:colOff>0</xdr:colOff>
      <xdr:row>2116</xdr:row>
      <xdr:rowOff>118110</xdr:rowOff>
    </xdr:to>
    <xdr:pic>
      <xdr:nvPicPr>
        <xdr:cNvPr id="2414" name="Imagen 2413" descr="Ver detalle">
          <a:hlinkClick xmlns:r="http://schemas.openxmlformats.org/officeDocument/2006/relationships" r:id="rId2355" tooltip="Ver detalle"/>
          <a:extLst>
            <a:ext uri="{FF2B5EF4-FFF2-40B4-BE49-F238E27FC236}">
              <a16:creationId xmlns:a16="http://schemas.microsoft.com/office/drawing/2014/main" id="{BF86A869-5048-5E1B-8F85-922E1CE41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929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2116</xdr:row>
      <xdr:rowOff>0</xdr:rowOff>
    </xdr:from>
    <xdr:to>
      <xdr:col>13</xdr:col>
      <xdr:colOff>0</xdr:colOff>
      <xdr:row>2117</xdr:row>
      <xdr:rowOff>118110</xdr:rowOff>
    </xdr:to>
    <xdr:pic>
      <xdr:nvPicPr>
        <xdr:cNvPr id="2415" name="Imagen 2414" descr="Ver detalle">
          <a:hlinkClick xmlns:r="http://schemas.openxmlformats.org/officeDocument/2006/relationships" r:id="rId2356" tooltip="Ver detalle"/>
          <a:extLst>
            <a:ext uri="{FF2B5EF4-FFF2-40B4-BE49-F238E27FC236}">
              <a16:creationId xmlns:a16="http://schemas.microsoft.com/office/drawing/2014/main" id="{A381DB36-FD64-FBDB-25A9-3F23A79FF5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2046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2118</xdr:row>
      <xdr:rowOff>0</xdr:rowOff>
    </xdr:from>
    <xdr:to>
      <xdr:col>13</xdr:col>
      <xdr:colOff>0</xdr:colOff>
      <xdr:row>2119</xdr:row>
      <xdr:rowOff>118110</xdr:rowOff>
    </xdr:to>
    <xdr:pic>
      <xdr:nvPicPr>
        <xdr:cNvPr id="2416" name="Imagen 2415" descr="Ver detalle">
          <a:hlinkClick xmlns:r="http://schemas.openxmlformats.org/officeDocument/2006/relationships" r:id="rId2357" tooltip="Ver detalle"/>
          <a:extLst>
            <a:ext uri="{FF2B5EF4-FFF2-40B4-BE49-F238E27FC236}">
              <a16:creationId xmlns:a16="http://schemas.microsoft.com/office/drawing/2014/main" id="{1D825051-D7D0-4FFD-2BDB-A16B02EB0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4797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2119</xdr:row>
      <xdr:rowOff>0</xdr:rowOff>
    </xdr:from>
    <xdr:to>
      <xdr:col>13</xdr:col>
      <xdr:colOff>0</xdr:colOff>
      <xdr:row>2120</xdr:row>
      <xdr:rowOff>118110</xdr:rowOff>
    </xdr:to>
    <xdr:pic>
      <xdr:nvPicPr>
        <xdr:cNvPr id="2417" name="Imagen 2416" descr="Ver detalle">
          <a:hlinkClick xmlns:r="http://schemas.openxmlformats.org/officeDocument/2006/relationships" r:id="rId2358" tooltip="Ver detalle"/>
          <a:extLst>
            <a:ext uri="{FF2B5EF4-FFF2-40B4-BE49-F238E27FC236}">
              <a16:creationId xmlns:a16="http://schemas.microsoft.com/office/drawing/2014/main" id="{AE63BE94-9F6D-D5D3-1925-D12A140FB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754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2120</xdr:row>
      <xdr:rowOff>0</xdr:rowOff>
    </xdr:from>
    <xdr:to>
      <xdr:col>13</xdr:col>
      <xdr:colOff>0</xdr:colOff>
      <xdr:row>2121</xdr:row>
      <xdr:rowOff>118110</xdr:rowOff>
    </xdr:to>
    <xdr:pic>
      <xdr:nvPicPr>
        <xdr:cNvPr id="2418" name="Imagen 2417" descr="Ver detalle">
          <a:hlinkClick xmlns:r="http://schemas.openxmlformats.org/officeDocument/2006/relationships" r:id="rId2359" tooltip="Ver detalle"/>
          <a:extLst>
            <a:ext uri="{FF2B5EF4-FFF2-40B4-BE49-F238E27FC236}">
              <a16:creationId xmlns:a16="http://schemas.microsoft.com/office/drawing/2014/main" id="{79588BAC-8ED7-C4AC-1CAD-396CDC0E48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029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2121</xdr:row>
      <xdr:rowOff>0</xdr:rowOff>
    </xdr:from>
    <xdr:to>
      <xdr:col>13</xdr:col>
      <xdr:colOff>0</xdr:colOff>
      <xdr:row>2122</xdr:row>
      <xdr:rowOff>118110</xdr:rowOff>
    </xdr:to>
    <xdr:pic>
      <xdr:nvPicPr>
        <xdr:cNvPr id="2419" name="Imagen 2418" descr="Ver detalle">
          <a:hlinkClick xmlns:r="http://schemas.openxmlformats.org/officeDocument/2006/relationships" r:id="rId2360" tooltip="Ver detalle"/>
          <a:extLst>
            <a:ext uri="{FF2B5EF4-FFF2-40B4-BE49-F238E27FC236}">
              <a16:creationId xmlns:a16="http://schemas.microsoft.com/office/drawing/2014/main" id="{097D2A36-D0D1-A866-AC13-D2681DD9B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3049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2122</xdr:row>
      <xdr:rowOff>0</xdr:rowOff>
    </xdr:from>
    <xdr:to>
      <xdr:col>13</xdr:col>
      <xdr:colOff>0</xdr:colOff>
      <xdr:row>2123</xdr:row>
      <xdr:rowOff>118110</xdr:rowOff>
    </xdr:to>
    <xdr:pic>
      <xdr:nvPicPr>
        <xdr:cNvPr id="2420" name="Imagen 2419" descr="Ver detalle">
          <a:hlinkClick xmlns:r="http://schemas.openxmlformats.org/officeDocument/2006/relationships" r:id="rId2361" tooltip="Ver detalle"/>
          <a:extLst>
            <a:ext uri="{FF2B5EF4-FFF2-40B4-BE49-F238E27FC236}">
              <a16:creationId xmlns:a16="http://schemas.microsoft.com/office/drawing/2014/main" id="{A1F2893B-2F58-B8B9-9718-4E58863BE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43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2123</xdr:row>
      <xdr:rowOff>0</xdr:rowOff>
    </xdr:from>
    <xdr:to>
      <xdr:col>13</xdr:col>
      <xdr:colOff>0</xdr:colOff>
      <xdr:row>2124</xdr:row>
      <xdr:rowOff>118110</xdr:rowOff>
    </xdr:to>
    <xdr:pic>
      <xdr:nvPicPr>
        <xdr:cNvPr id="2421" name="Imagen 2420" descr="Ver detalle">
          <a:hlinkClick xmlns:r="http://schemas.openxmlformats.org/officeDocument/2006/relationships" r:id="rId2362" tooltip="Ver detalle"/>
          <a:extLst>
            <a:ext uri="{FF2B5EF4-FFF2-40B4-BE49-F238E27FC236}">
              <a16:creationId xmlns:a16="http://schemas.microsoft.com/office/drawing/2014/main" id="{F35C92D9-8B95-7EB8-C5C5-FB3ECFD72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562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2124</xdr:row>
      <xdr:rowOff>0</xdr:rowOff>
    </xdr:from>
    <xdr:to>
      <xdr:col>13</xdr:col>
      <xdr:colOff>0</xdr:colOff>
      <xdr:row>2125</xdr:row>
      <xdr:rowOff>118110</xdr:rowOff>
    </xdr:to>
    <xdr:pic>
      <xdr:nvPicPr>
        <xdr:cNvPr id="2422" name="Imagen 2421" descr="Ver detalle">
          <a:hlinkClick xmlns:r="http://schemas.openxmlformats.org/officeDocument/2006/relationships" r:id="rId2363" tooltip="Ver detalle"/>
          <a:extLst>
            <a:ext uri="{FF2B5EF4-FFF2-40B4-BE49-F238E27FC236}">
              <a16:creationId xmlns:a16="http://schemas.microsoft.com/office/drawing/2014/main" id="{08D9738B-27A0-F73D-D16F-1AC1E5A96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837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2125</xdr:row>
      <xdr:rowOff>0</xdr:rowOff>
    </xdr:from>
    <xdr:to>
      <xdr:col>13</xdr:col>
      <xdr:colOff>0</xdr:colOff>
      <xdr:row>2126</xdr:row>
      <xdr:rowOff>118110</xdr:rowOff>
    </xdr:to>
    <xdr:pic>
      <xdr:nvPicPr>
        <xdr:cNvPr id="2423" name="Imagen 2422" descr="Ver detalle">
          <a:hlinkClick xmlns:r="http://schemas.openxmlformats.org/officeDocument/2006/relationships" r:id="rId2364" tooltip="Ver detalle"/>
          <a:extLst>
            <a:ext uri="{FF2B5EF4-FFF2-40B4-BE49-F238E27FC236}">
              <a16:creationId xmlns:a16="http://schemas.microsoft.com/office/drawing/2014/main" id="{58765247-2A93-428A-04F7-7F215F20B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1126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2126</xdr:row>
      <xdr:rowOff>0</xdr:rowOff>
    </xdr:from>
    <xdr:to>
      <xdr:col>13</xdr:col>
      <xdr:colOff>0</xdr:colOff>
      <xdr:row>2127</xdr:row>
      <xdr:rowOff>118110</xdr:rowOff>
    </xdr:to>
    <xdr:pic>
      <xdr:nvPicPr>
        <xdr:cNvPr id="2424" name="Imagen 2423" descr="Ver detalle">
          <a:hlinkClick xmlns:r="http://schemas.openxmlformats.org/officeDocument/2006/relationships" r:id="rId2365" tooltip="Ver detalle"/>
          <a:extLst>
            <a:ext uri="{FF2B5EF4-FFF2-40B4-BE49-F238E27FC236}">
              <a16:creationId xmlns:a16="http://schemas.microsoft.com/office/drawing/2014/main" id="{481DAB0F-EC48-6E0B-6FD5-6644430C8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241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2128</xdr:row>
      <xdr:rowOff>0</xdr:rowOff>
    </xdr:from>
    <xdr:to>
      <xdr:col>13</xdr:col>
      <xdr:colOff>0</xdr:colOff>
      <xdr:row>2129</xdr:row>
      <xdr:rowOff>118110</xdr:rowOff>
    </xdr:to>
    <xdr:pic>
      <xdr:nvPicPr>
        <xdr:cNvPr id="2425" name="Imagen 2424" descr="Ver detalle">
          <a:hlinkClick xmlns:r="http://schemas.openxmlformats.org/officeDocument/2006/relationships" r:id="rId2366" tooltip="Ver detalle"/>
          <a:extLst>
            <a:ext uri="{FF2B5EF4-FFF2-40B4-BE49-F238E27FC236}">
              <a16:creationId xmlns:a16="http://schemas.microsoft.com/office/drawing/2014/main" id="{40035561-A453-3D0F-E4A9-783F9A22A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516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2129</xdr:row>
      <xdr:rowOff>0</xdr:rowOff>
    </xdr:from>
    <xdr:to>
      <xdr:col>13</xdr:col>
      <xdr:colOff>0</xdr:colOff>
      <xdr:row>2130</xdr:row>
      <xdr:rowOff>118110</xdr:rowOff>
    </xdr:to>
    <xdr:pic>
      <xdr:nvPicPr>
        <xdr:cNvPr id="2426" name="Imagen 2425" descr="Ver detalle">
          <a:hlinkClick xmlns:r="http://schemas.openxmlformats.org/officeDocument/2006/relationships" r:id="rId2367" tooltip="Ver detalle"/>
          <a:extLst>
            <a:ext uri="{FF2B5EF4-FFF2-40B4-BE49-F238E27FC236}">
              <a16:creationId xmlns:a16="http://schemas.microsoft.com/office/drawing/2014/main" id="{C30A2B8A-A4C9-A0B6-8D90-45431F27A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791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2130</xdr:row>
      <xdr:rowOff>0</xdr:rowOff>
    </xdr:from>
    <xdr:to>
      <xdr:col>13</xdr:col>
      <xdr:colOff>0</xdr:colOff>
      <xdr:row>2131</xdr:row>
      <xdr:rowOff>118110</xdr:rowOff>
    </xdr:to>
    <xdr:pic>
      <xdr:nvPicPr>
        <xdr:cNvPr id="2427" name="Imagen 2426" descr="Ver detalle">
          <a:hlinkClick xmlns:r="http://schemas.openxmlformats.org/officeDocument/2006/relationships" r:id="rId2368" tooltip="Ver detalle"/>
          <a:extLst>
            <a:ext uri="{FF2B5EF4-FFF2-40B4-BE49-F238E27FC236}">
              <a16:creationId xmlns:a16="http://schemas.microsoft.com/office/drawing/2014/main" id="{197492C2-868B-D3A1-AE0D-5A0D4E5E8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0667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2131</xdr:row>
      <xdr:rowOff>0</xdr:rowOff>
    </xdr:from>
    <xdr:to>
      <xdr:col>13</xdr:col>
      <xdr:colOff>0</xdr:colOff>
      <xdr:row>2132</xdr:row>
      <xdr:rowOff>118110</xdr:rowOff>
    </xdr:to>
    <xdr:pic>
      <xdr:nvPicPr>
        <xdr:cNvPr id="2428" name="Imagen 2427" descr="Ver detalle">
          <a:hlinkClick xmlns:r="http://schemas.openxmlformats.org/officeDocument/2006/relationships" r:id="rId2369" tooltip="Ver detalle"/>
          <a:extLst>
            <a:ext uri="{FF2B5EF4-FFF2-40B4-BE49-F238E27FC236}">
              <a16:creationId xmlns:a16="http://schemas.microsoft.com/office/drawing/2014/main" id="{8D01CBF9-AA7E-4F6D-05A4-048FDDF34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341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2132</xdr:row>
      <xdr:rowOff>0</xdr:rowOff>
    </xdr:from>
    <xdr:to>
      <xdr:col>13</xdr:col>
      <xdr:colOff>0</xdr:colOff>
      <xdr:row>2133</xdr:row>
      <xdr:rowOff>118110</xdr:rowOff>
    </xdr:to>
    <xdr:pic>
      <xdr:nvPicPr>
        <xdr:cNvPr id="2429" name="Imagen 2428" descr="Ver detalle">
          <a:hlinkClick xmlns:r="http://schemas.openxmlformats.org/officeDocument/2006/relationships" r:id="rId2370" tooltip="Ver detalle"/>
          <a:extLst>
            <a:ext uri="{FF2B5EF4-FFF2-40B4-BE49-F238E27FC236}">
              <a16:creationId xmlns:a16="http://schemas.microsoft.com/office/drawing/2014/main" id="{DD2C4529-23A8-57A9-0D18-6164EC700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470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2133</xdr:row>
      <xdr:rowOff>0</xdr:rowOff>
    </xdr:from>
    <xdr:to>
      <xdr:col>13</xdr:col>
      <xdr:colOff>0</xdr:colOff>
      <xdr:row>2134</xdr:row>
      <xdr:rowOff>118110</xdr:rowOff>
    </xdr:to>
    <xdr:pic>
      <xdr:nvPicPr>
        <xdr:cNvPr id="2430" name="Imagen 2429" descr="Ver detalle">
          <a:hlinkClick xmlns:r="http://schemas.openxmlformats.org/officeDocument/2006/relationships" r:id="rId2371" tooltip="Ver detalle"/>
          <a:extLst>
            <a:ext uri="{FF2B5EF4-FFF2-40B4-BE49-F238E27FC236}">
              <a16:creationId xmlns:a16="http://schemas.microsoft.com/office/drawing/2014/main" id="{CCBCB596-159A-D0F1-A3FA-95D7E9056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617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2135</xdr:row>
      <xdr:rowOff>0</xdr:rowOff>
    </xdr:from>
    <xdr:to>
      <xdr:col>13</xdr:col>
      <xdr:colOff>0</xdr:colOff>
      <xdr:row>2136</xdr:row>
      <xdr:rowOff>118110</xdr:rowOff>
    </xdr:to>
    <xdr:pic>
      <xdr:nvPicPr>
        <xdr:cNvPr id="2431" name="Imagen 2430" descr="Ver detalle">
          <a:hlinkClick xmlns:r="http://schemas.openxmlformats.org/officeDocument/2006/relationships" r:id="rId2372" tooltip="Ver detalle"/>
          <a:extLst>
            <a:ext uri="{FF2B5EF4-FFF2-40B4-BE49-F238E27FC236}">
              <a16:creationId xmlns:a16="http://schemas.microsoft.com/office/drawing/2014/main" id="{A4D6798C-22E5-11CB-3582-8A7C9DBEC2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7647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2136</xdr:row>
      <xdr:rowOff>0</xdr:rowOff>
    </xdr:from>
    <xdr:to>
      <xdr:col>13</xdr:col>
      <xdr:colOff>0</xdr:colOff>
      <xdr:row>2137</xdr:row>
      <xdr:rowOff>118110</xdr:rowOff>
    </xdr:to>
    <xdr:pic>
      <xdr:nvPicPr>
        <xdr:cNvPr id="2432" name="Imagen 2431" descr="Ver detalle">
          <a:hlinkClick xmlns:r="http://schemas.openxmlformats.org/officeDocument/2006/relationships" r:id="rId2373" tooltip="Ver detalle"/>
          <a:extLst>
            <a:ext uri="{FF2B5EF4-FFF2-40B4-BE49-F238E27FC236}">
              <a16:creationId xmlns:a16="http://schemas.microsoft.com/office/drawing/2014/main" id="{6FABBDCA-CB77-B764-888E-218FD4FC4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893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2137</xdr:row>
      <xdr:rowOff>0</xdr:rowOff>
    </xdr:from>
    <xdr:to>
      <xdr:col>13</xdr:col>
      <xdr:colOff>0</xdr:colOff>
      <xdr:row>2138</xdr:row>
      <xdr:rowOff>118110</xdr:rowOff>
    </xdr:to>
    <xdr:pic>
      <xdr:nvPicPr>
        <xdr:cNvPr id="2433" name="Imagen 2432" descr="Ver detalle">
          <a:hlinkClick xmlns:r="http://schemas.openxmlformats.org/officeDocument/2006/relationships" r:id="rId2374" tooltip="Ver detalle"/>
          <a:extLst>
            <a:ext uri="{FF2B5EF4-FFF2-40B4-BE49-F238E27FC236}">
              <a16:creationId xmlns:a16="http://schemas.microsoft.com/office/drawing/2014/main" id="{E3361560-D12A-613F-F4E1-57A511043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168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2139</xdr:row>
      <xdr:rowOff>0</xdr:rowOff>
    </xdr:from>
    <xdr:to>
      <xdr:col>13</xdr:col>
      <xdr:colOff>0</xdr:colOff>
      <xdr:row>2140</xdr:row>
      <xdr:rowOff>114300</xdr:rowOff>
    </xdr:to>
    <xdr:pic>
      <xdr:nvPicPr>
        <xdr:cNvPr id="2434" name="Imagen 2433" descr="Ver detalle">
          <a:hlinkClick xmlns:r="http://schemas.openxmlformats.org/officeDocument/2006/relationships" r:id="rId2375" tooltip="Ver detalle"/>
          <a:extLst>
            <a:ext uri="{FF2B5EF4-FFF2-40B4-BE49-F238E27FC236}">
              <a16:creationId xmlns:a16="http://schemas.microsoft.com/office/drawing/2014/main" id="{C26E3196-4205-3C44-6B0C-3B2C3094B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638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2117</xdr:row>
      <xdr:rowOff>0</xdr:rowOff>
    </xdr:from>
    <xdr:to>
      <xdr:col>13</xdr:col>
      <xdr:colOff>0</xdr:colOff>
      <xdr:row>2118</xdr:row>
      <xdr:rowOff>118110</xdr:rowOff>
    </xdr:to>
    <xdr:pic>
      <xdr:nvPicPr>
        <xdr:cNvPr id="2435" name="Imagen 2434" descr="Ver detalle">
          <a:hlinkClick xmlns:r="http://schemas.openxmlformats.org/officeDocument/2006/relationships" r:id="rId2376" tooltip="Ver detalle"/>
          <a:extLst>
            <a:ext uri="{FF2B5EF4-FFF2-40B4-BE49-F238E27FC236}">
              <a16:creationId xmlns:a16="http://schemas.microsoft.com/office/drawing/2014/main" id="{F1705703-DA08-4A15-AAF7-FB4E976D5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730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2134</xdr:row>
      <xdr:rowOff>0</xdr:rowOff>
    </xdr:from>
    <xdr:to>
      <xdr:col>13</xdr:col>
      <xdr:colOff>0</xdr:colOff>
      <xdr:row>2135</xdr:row>
      <xdr:rowOff>118110</xdr:rowOff>
    </xdr:to>
    <xdr:pic>
      <xdr:nvPicPr>
        <xdr:cNvPr id="2436" name="Imagen 2435" descr="Ver detalle">
          <a:hlinkClick xmlns:r="http://schemas.openxmlformats.org/officeDocument/2006/relationships" r:id="rId2377" tooltip="Ver detalle"/>
          <a:extLst>
            <a:ext uri="{FF2B5EF4-FFF2-40B4-BE49-F238E27FC236}">
              <a16:creationId xmlns:a16="http://schemas.microsoft.com/office/drawing/2014/main" id="{D449F0C4-BA36-D222-9E95-ABCFD518A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925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2142</xdr:row>
      <xdr:rowOff>0</xdr:rowOff>
    </xdr:from>
    <xdr:to>
      <xdr:col>13</xdr:col>
      <xdr:colOff>0</xdr:colOff>
      <xdr:row>2143</xdr:row>
      <xdr:rowOff>118110</xdr:rowOff>
    </xdr:to>
    <xdr:pic>
      <xdr:nvPicPr>
        <xdr:cNvPr id="2437" name="Imagen 2436" descr="Ver detalle">
          <a:hlinkClick xmlns:r="http://schemas.openxmlformats.org/officeDocument/2006/relationships" r:id="rId2378" tooltip="Ver detalle"/>
          <a:extLst>
            <a:ext uri="{FF2B5EF4-FFF2-40B4-BE49-F238E27FC236}">
              <a16:creationId xmlns:a16="http://schemas.microsoft.com/office/drawing/2014/main" id="{C5534692-8DCB-2560-63F3-AEA74BCD8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0166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2143</xdr:row>
      <xdr:rowOff>0</xdr:rowOff>
    </xdr:from>
    <xdr:to>
      <xdr:col>13</xdr:col>
      <xdr:colOff>0</xdr:colOff>
      <xdr:row>2144</xdr:row>
      <xdr:rowOff>118110</xdr:rowOff>
    </xdr:to>
    <xdr:pic>
      <xdr:nvPicPr>
        <xdr:cNvPr id="2438" name="Imagen 2437" descr="Ver detalle">
          <a:hlinkClick xmlns:r="http://schemas.openxmlformats.org/officeDocument/2006/relationships" r:id="rId2379" tooltip="Ver detalle"/>
          <a:extLst>
            <a:ext uri="{FF2B5EF4-FFF2-40B4-BE49-F238E27FC236}">
              <a16:creationId xmlns:a16="http://schemas.microsoft.com/office/drawing/2014/main" id="{D160EB08-9C7D-5667-9485-8A31B3EBE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1081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2144</xdr:row>
      <xdr:rowOff>0</xdr:rowOff>
    </xdr:from>
    <xdr:to>
      <xdr:col>13</xdr:col>
      <xdr:colOff>0</xdr:colOff>
      <xdr:row>2145</xdr:row>
      <xdr:rowOff>118110</xdr:rowOff>
    </xdr:to>
    <xdr:pic>
      <xdr:nvPicPr>
        <xdr:cNvPr id="2439" name="Imagen 2438" descr="Ver detalle">
          <a:hlinkClick xmlns:r="http://schemas.openxmlformats.org/officeDocument/2006/relationships" r:id="rId2380" tooltip="Ver detalle"/>
          <a:extLst>
            <a:ext uri="{FF2B5EF4-FFF2-40B4-BE49-F238E27FC236}">
              <a16:creationId xmlns:a16="http://schemas.microsoft.com/office/drawing/2014/main" id="{F9E59101-E748-61BE-3A7E-46AB6B1E2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199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2145</xdr:row>
      <xdr:rowOff>0</xdr:rowOff>
    </xdr:from>
    <xdr:to>
      <xdr:col>13</xdr:col>
      <xdr:colOff>0</xdr:colOff>
      <xdr:row>2146</xdr:row>
      <xdr:rowOff>118110</xdr:rowOff>
    </xdr:to>
    <xdr:pic>
      <xdr:nvPicPr>
        <xdr:cNvPr id="2440" name="Imagen 2439" descr="Ver detalle">
          <a:hlinkClick xmlns:r="http://schemas.openxmlformats.org/officeDocument/2006/relationships" r:id="rId2381" tooltip="Ver detalle"/>
          <a:extLst>
            <a:ext uri="{FF2B5EF4-FFF2-40B4-BE49-F238E27FC236}">
              <a16:creationId xmlns:a16="http://schemas.microsoft.com/office/drawing/2014/main" id="{20B8CF4C-9DAF-B50D-F0AE-8C210900F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394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2146</xdr:row>
      <xdr:rowOff>0</xdr:rowOff>
    </xdr:from>
    <xdr:to>
      <xdr:col>13</xdr:col>
      <xdr:colOff>0</xdr:colOff>
      <xdr:row>2147</xdr:row>
      <xdr:rowOff>118110</xdr:rowOff>
    </xdr:to>
    <xdr:pic>
      <xdr:nvPicPr>
        <xdr:cNvPr id="2441" name="Imagen 2440" descr="Ver detalle">
          <a:hlinkClick xmlns:r="http://schemas.openxmlformats.org/officeDocument/2006/relationships" r:id="rId2382" tooltip="Ver detalle"/>
          <a:extLst>
            <a:ext uri="{FF2B5EF4-FFF2-40B4-BE49-F238E27FC236}">
              <a16:creationId xmlns:a16="http://schemas.microsoft.com/office/drawing/2014/main" id="{642BAF28-7670-9A52-F584-9351EA8C2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5896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2147</xdr:row>
      <xdr:rowOff>0</xdr:rowOff>
    </xdr:from>
    <xdr:to>
      <xdr:col>13</xdr:col>
      <xdr:colOff>0</xdr:colOff>
      <xdr:row>2148</xdr:row>
      <xdr:rowOff>118110</xdr:rowOff>
    </xdr:to>
    <xdr:pic>
      <xdr:nvPicPr>
        <xdr:cNvPr id="2442" name="Imagen 2441" descr="Ver detalle">
          <a:hlinkClick xmlns:r="http://schemas.openxmlformats.org/officeDocument/2006/relationships" r:id="rId2383" tooltip="Ver detalle"/>
          <a:extLst>
            <a:ext uri="{FF2B5EF4-FFF2-40B4-BE49-F238E27FC236}">
              <a16:creationId xmlns:a16="http://schemas.microsoft.com/office/drawing/2014/main" id="{DBFD3029-B060-015D-3BC9-5DBC84A19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784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2148</xdr:row>
      <xdr:rowOff>0</xdr:rowOff>
    </xdr:from>
    <xdr:to>
      <xdr:col>13</xdr:col>
      <xdr:colOff>0</xdr:colOff>
      <xdr:row>2149</xdr:row>
      <xdr:rowOff>118110</xdr:rowOff>
    </xdr:to>
    <xdr:pic>
      <xdr:nvPicPr>
        <xdr:cNvPr id="2443" name="Imagen 2442" descr="Ver detalle">
          <a:hlinkClick xmlns:r="http://schemas.openxmlformats.org/officeDocument/2006/relationships" r:id="rId2384" tooltip="Ver detalle"/>
          <a:extLst>
            <a:ext uri="{FF2B5EF4-FFF2-40B4-BE49-F238E27FC236}">
              <a16:creationId xmlns:a16="http://schemas.microsoft.com/office/drawing/2014/main" id="{888CA3BC-9070-172F-E7A0-498FD28F6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876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2149</xdr:row>
      <xdr:rowOff>0</xdr:rowOff>
    </xdr:from>
    <xdr:to>
      <xdr:col>13</xdr:col>
      <xdr:colOff>0</xdr:colOff>
      <xdr:row>2150</xdr:row>
      <xdr:rowOff>118110</xdr:rowOff>
    </xdr:to>
    <xdr:pic>
      <xdr:nvPicPr>
        <xdr:cNvPr id="2444" name="Imagen 2443" descr="Ver detalle">
          <a:hlinkClick xmlns:r="http://schemas.openxmlformats.org/officeDocument/2006/relationships" r:id="rId2385" tooltip="Ver detalle"/>
          <a:extLst>
            <a:ext uri="{FF2B5EF4-FFF2-40B4-BE49-F238E27FC236}">
              <a16:creationId xmlns:a16="http://schemas.microsoft.com/office/drawing/2014/main" id="{9054C974-8513-BC22-9F9C-02255D411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0712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2150</xdr:row>
      <xdr:rowOff>0</xdr:rowOff>
    </xdr:from>
    <xdr:to>
      <xdr:col>13</xdr:col>
      <xdr:colOff>0</xdr:colOff>
      <xdr:row>2151</xdr:row>
      <xdr:rowOff>118110</xdr:rowOff>
    </xdr:to>
    <xdr:pic>
      <xdr:nvPicPr>
        <xdr:cNvPr id="2445" name="Imagen 2444" descr="Ver detalle">
          <a:hlinkClick xmlns:r="http://schemas.openxmlformats.org/officeDocument/2006/relationships" r:id="rId2386" tooltip="Ver detalle"/>
          <a:extLst>
            <a:ext uri="{FF2B5EF4-FFF2-40B4-BE49-F238E27FC236}">
              <a16:creationId xmlns:a16="http://schemas.microsoft.com/office/drawing/2014/main" id="{3054CF0A-79CC-0350-7C58-2FA63CA67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2663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2151</xdr:row>
      <xdr:rowOff>0</xdr:rowOff>
    </xdr:from>
    <xdr:to>
      <xdr:col>13</xdr:col>
      <xdr:colOff>0</xdr:colOff>
      <xdr:row>2152</xdr:row>
      <xdr:rowOff>118110</xdr:rowOff>
    </xdr:to>
    <xdr:pic>
      <xdr:nvPicPr>
        <xdr:cNvPr id="2446" name="Imagen 2445" descr="Ver detalle">
          <a:hlinkClick xmlns:r="http://schemas.openxmlformats.org/officeDocument/2006/relationships" r:id="rId2387" tooltip="Ver detalle"/>
          <a:extLst>
            <a:ext uri="{FF2B5EF4-FFF2-40B4-BE49-F238E27FC236}">
              <a16:creationId xmlns:a16="http://schemas.microsoft.com/office/drawing/2014/main" id="{BBBA8325-A44D-1222-D6B7-4EFB64E65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4614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2152</xdr:row>
      <xdr:rowOff>0</xdr:rowOff>
    </xdr:from>
    <xdr:to>
      <xdr:col>13</xdr:col>
      <xdr:colOff>0</xdr:colOff>
      <xdr:row>2153</xdr:row>
      <xdr:rowOff>118110</xdr:rowOff>
    </xdr:to>
    <xdr:pic>
      <xdr:nvPicPr>
        <xdr:cNvPr id="2447" name="Imagen 2446" descr="Ver detalle">
          <a:hlinkClick xmlns:r="http://schemas.openxmlformats.org/officeDocument/2006/relationships" r:id="rId2388" tooltip="Ver detalle"/>
          <a:extLst>
            <a:ext uri="{FF2B5EF4-FFF2-40B4-BE49-F238E27FC236}">
              <a16:creationId xmlns:a16="http://schemas.microsoft.com/office/drawing/2014/main" id="{686B6594-42F3-C79C-0DB1-5FCA0A657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591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2153</xdr:row>
      <xdr:rowOff>0</xdr:rowOff>
    </xdr:from>
    <xdr:to>
      <xdr:col>13</xdr:col>
      <xdr:colOff>0</xdr:colOff>
      <xdr:row>2154</xdr:row>
      <xdr:rowOff>118110</xdr:rowOff>
    </xdr:to>
    <xdr:pic>
      <xdr:nvPicPr>
        <xdr:cNvPr id="2448" name="Imagen 2447" descr="Ver detalle">
          <a:hlinkClick xmlns:r="http://schemas.openxmlformats.org/officeDocument/2006/relationships" r:id="rId2389" tooltip="Ver detalle"/>
          <a:extLst>
            <a:ext uri="{FF2B5EF4-FFF2-40B4-BE49-F238E27FC236}">
              <a16:creationId xmlns:a16="http://schemas.microsoft.com/office/drawing/2014/main" id="{34E93E08-88F0-D719-98AD-B3B7FD014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786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2154</xdr:row>
      <xdr:rowOff>0</xdr:rowOff>
    </xdr:from>
    <xdr:to>
      <xdr:col>13</xdr:col>
      <xdr:colOff>0</xdr:colOff>
      <xdr:row>2155</xdr:row>
      <xdr:rowOff>118110</xdr:rowOff>
    </xdr:to>
    <xdr:pic>
      <xdr:nvPicPr>
        <xdr:cNvPr id="2449" name="Imagen 2448" descr="Ver detalle">
          <a:hlinkClick xmlns:r="http://schemas.openxmlformats.org/officeDocument/2006/relationships" r:id="rId2390" tooltip="Ver detalle"/>
          <a:extLst>
            <a:ext uri="{FF2B5EF4-FFF2-40B4-BE49-F238E27FC236}">
              <a16:creationId xmlns:a16="http://schemas.microsoft.com/office/drawing/2014/main" id="{54CCBD97-23BD-EEDD-03EF-4EAEC5542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9171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2155</xdr:row>
      <xdr:rowOff>0</xdr:rowOff>
    </xdr:from>
    <xdr:to>
      <xdr:col>13</xdr:col>
      <xdr:colOff>0</xdr:colOff>
      <xdr:row>2156</xdr:row>
      <xdr:rowOff>118110</xdr:rowOff>
    </xdr:to>
    <xdr:pic>
      <xdr:nvPicPr>
        <xdr:cNvPr id="2450" name="Imagen 2449" descr="Ver detalle">
          <a:hlinkClick xmlns:r="http://schemas.openxmlformats.org/officeDocument/2006/relationships" r:id="rId2391" tooltip="Ver detalle"/>
          <a:extLst>
            <a:ext uri="{FF2B5EF4-FFF2-40B4-BE49-F238E27FC236}">
              <a16:creationId xmlns:a16="http://schemas.microsoft.com/office/drawing/2014/main" id="{E59FB4FD-9FD9-44DC-0407-B6D8186BC3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0474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2156</xdr:row>
      <xdr:rowOff>0</xdr:rowOff>
    </xdr:from>
    <xdr:to>
      <xdr:col>13</xdr:col>
      <xdr:colOff>0</xdr:colOff>
      <xdr:row>2157</xdr:row>
      <xdr:rowOff>118110</xdr:rowOff>
    </xdr:to>
    <xdr:pic>
      <xdr:nvPicPr>
        <xdr:cNvPr id="2451" name="Imagen 2450" descr="Ver detalle">
          <a:hlinkClick xmlns:r="http://schemas.openxmlformats.org/officeDocument/2006/relationships" r:id="rId2392" tooltip="Ver detalle"/>
          <a:extLst>
            <a:ext uri="{FF2B5EF4-FFF2-40B4-BE49-F238E27FC236}">
              <a16:creationId xmlns:a16="http://schemas.microsoft.com/office/drawing/2014/main" id="{36FDB9CF-B2DC-713B-1386-6473D44F3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1777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2157</xdr:row>
      <xdr:rowOff>0</xdr:rowOff>
    </xdr:from>
    <xdr:to>
      <xdr:col>13</xdr:col>
      <xdr:colOff>0</xdr:colOff>
      <xdr:row>2158</xdr:row>
      <xdr:rowOff>118110</xdr:rowOff>
    </xdr:to>
    <xdr:pic>
      <xdr:nvPicPr>
        <xdr:cNvPr id="2452" name="Imagen 2451" descr="Ver detalle">
          <a:hlinkClick xmlns:r="http://schemas.openxmlformats.org/officeDocument/2006/relationships" r:id="rId2393" tooltip="Ver detalle"/>
          <a:extLst>
            <a:ext uri="{FF2B5EF4-FFF2-40B4-BE49-F238E27FC236}">
              <a16:creationId xmlns:a16="http://schemas.microsoft.com/office/drawing/2014/main" id="{FF2BF8FC-0C2D-DD6E-E954-087C0505B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308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2158</xdr:row>
      <xdr:rowOff>0</xdr:rowOff>
    </xdr:from>
    <xdr:to>
      <xdr:col>13</xdr:col>
      <xdr:colOff>0</xdr:colOff>
      <xdr:row>2159</xdr:row>
      <xdr:rowOff>118110</xdr:rowOff>
    </xdr:to>
    <xdr:pic>
      <xdr:nvPicPr>
        <xdr:cNvPr id="2453" name="Imagen 2452" descr="Ver detalle">
          <a:hlinkClick xmlns:r="http://schemas.openxmlformats.org/officeDocument/2006/relationships" r:id="rId2394" tooltip="Ver detalle"/>
          <a:extLst>
            <a:ext uri="{FF2B5EF4-FFF2-40B4-BE49-F238E27FC236}">
              <a16:creationId xmlns:a16="http://schemas.microsoft.com/office/drawing/2014/main" id="{DF3EBE7C-303E-4744-18F8-51199DC62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50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2159</xdr:row>
      <xdr:rowOff>0</xdr:rowOff>
    </xdr:from>
    <xdr:to>
      <xdr:col>13</xdr:col>
      <xdr:colOff>0</xdr:colOff>
      <xdr:row>2160</xdr:row>
      <xdr:rowOff>118110</xdr:rowOff>
    </xdr:to>
    <xdr:pic>
      <xdr:nvPicPr>
        <xdr:cNvPr id="2454" name="Imagen 2453" descr="Ver detalle">
          <a:hlinkClick xmlns:r="http://schemas.openxmlformats.org/officeDocument/2006/relationships" r:id="rId2395" tooltip="Ver detalle"/>
          <a:extLst>
            <a:ext uri="{FF2B5EF4-FFF2-40B4-BE49-F238E27FC236}">
              <a16:creationId xmlns:a16="http://schemas.microsoft.com/office/drawing/2014/main" id="{D5E49EBB-DAE4-A843-594A-C4A611224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594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2160</xdr:row>
      <xdr:rowOff>0</xdr:rowOff>
    </xdr:from>
    <xdr:to>
      <xdr:col>13</xdr:col>
      <xdr:colOff>0</xdr:colOff>
      <xdr:row>2161</xdr:row>
      <xdr:rowOff>118110</xdr:rowOff>
    </xdr:to>
    <xdr:pic>
      <xdr:nvPicPr>
        <xdr:cNvPr id="2455" name="Imagen 2454" descr="Ver detalle">
          <a:hlinkClick xmlns:r="http://schemas.openxmlformats.org/officeDocument/2006/relationships" r:id="rId2396" tooltip="Ver detalle"/>
          <a:extLst>
            <a:ext uri="{FF2B5EF4-FFF2-40B4-BE49-F238E27FC236}">
              <a16:creationId xmlns:a16="http://schemas.microsoft.com/office/drawing/2014/main" id="{40C26872-4CB4-5B7C-9AD2-44A35DBA0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789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2161</xdr:row>
      <xdr:rowOff>0</xdr:rowOff>
    </xdr:from>
    <xdr:to>
      <xdr:col>13</xdr:col>
      <xdr:colOff>0</xdr:colOff>
      <xdr:row>2162</xdr:row>
      <xdr:rowOff>118110</xdr:rowOff>
    </xdr:to>
    <xdr:pic>
      <xdr:nvPicPr>
        <xdr:cNvPr id="2456" name="Imagen 2455" descr="Ver detalle">
          <a:hlinkClick xmlns:r="http://schemas.openxmlformats.org/officeDocument/2006/relationships" r:id="rId2397" tooltip="Ver detalle"/>
          <a:extLst>
            <a:ext uri="{FF2B5EF4-FFF2-40B4-BE49-F238E27FC236}">
              <a16:creationId xmlns:a16="http://schemas.microsoft.com/office/drawing/2014/main" id="{F6C3CFB6-46E6-BB91-8858-374CA71AD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881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2162</xdr:row>
      <xdr:rowOff>0</xdr:rowOff>
    </xdr:from>
    <xdr:to>
      <xdr:col>13</xdr:col>
      <xdr:colOff>0</xdr:colOff>
      <xdr:row>2163</xdr:row>
      <xdr:rowOff>118110</xdr:rowOff>
    </xdr:to>
    <xdr:pic>
      <xdr:nvPicPr>
        <xdr:cNvPr id="2457" name="Imagen 2456" descr="Ver detalle">
          <a:hlinkClick xmlns:r="http://schemas.openxmlformats.org/officeDocument/2006/relationships" r:id="rId2398" tooltip="Ver detalle"/>
          <a:extLst>
            <a:ext uri="{FF2B5EF4-FFF2-40B4-BE49-F238E27FC236}">
              <a16:creationId xmlns:a16="http://schemas.microsoft.com/office/drawing/2014/main" id="{80A9CDA4-3CF5-A5C5-7AC9-47C302ACD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076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2108</xdr:row>
      <xdr:rowOff>0</xdr:rowOff>
    </xdr:from>
    <xdr:to>
      <xdr:col>13</xdr:col>
      <xdr:colOff>0</xdr:colOff>
      <xdr:row>2109</xdr:row>
      <xdr:rowOff>118110</xdr:rowOff>
    </xdr:to>
    <xdr:pic>
      <xdr:nvPicPr>
        <xdr:cNvPr id="2458" name="Imagen 2457" descr="Ver detalle">
          <a:hlinkClick xmlns:r="http://schemas.openxmlformats.org/officeDocument/2006/relationships" r:id="rId2399" tooltip="Ver detalle"/>
          <a:extLst>
            <a:ext uri="{FF2B5EF4-FFF2-40B4-BE49-F238E27FC236}">
              <a16:creationId xmlns:a16="http://schemas.microsoft.com/office/drawing/2014/main" id="{2CC5D1CB-696E-F039-1A40-6A09E8AF0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466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2186</xdr:row>
      <xdr:rowOff>0</xdr:rowOff>
    </xdr:from>
    <xdr:to>
      <xdr:col>13</xdr:col>
      <xdr:colOff>0</xdr:colOff>
      <xdr:row>2187</xdr:row>
      <xdr:rowOff>118110</xdr:rowOff>
    </xdr:to>
    <xdr:pic>
      <xdr:nvPicPr>
        <xdr:cNvPr id="2459" name="Imagen 2458" descr="Ver detalle">
          <a:hlinkClick xmlns:r="http://schemas.openxmlformats.org/officeDocument/2006/relationships" r:id="rId2400" tooltip="Ver detalle"/>
          <a:extLst>
            <a:ext uri="{FF2B5EF4-FFF2-40B4-BE49-F238E27FC236}">
              <a16:creationId xmlns:a16="http://schemas.microsoft.com/office/drawing/2014/main" id="{1A508AA2-8CE0-C368-964C-8CAACE163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815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2187</xdr:row>
      <xdr:rowOff>0</xdr:rowOff>
    </xdr:from>
    <xdr:to>
      <xdr:col>13</xdr:col>
      <xdr:colOff>0</xdr:colOff>
      <xdr:row>2188</xdr:row>
      <xdr:rowOff>118110</xdr:rowOff>
    </xdr:to>
    <xdr:pic>
      <xdr:nvPicPr>
        <xdr:cNvPr id="2460" name="Imagen 2459" descr="Ver detalle">
          <a:hlinkClick xmlns:r="http://schemas.openxmlformats.org/officeDocument/2006/relationships" r:id="rId2401" tooltip="Ver detalle"/>
          <a:extLst>
            <a:ext uri="{FF2B5EF4-FFF2-40B4-BE49-F238E27FC236}">
              <a16:creationId xmlns:a16="http://schemas.microsoft.com/office/drawing/2014/main" id="{810280A4-67A0-F29F-F7A4-58BB2B281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010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2188</xdr:row>
      <xdr:rowOff>0</xdr:rowOff>
    </xdr:from>
    <xdr:to>
      <xdr:col>13</xdr:col>
      <xdr:colOff>0</xdr:colOff>
      <xdr:row>2189</xdr:row>
      <xdr:rowOff>118110</xdr:rowOff>
    </xdr:to>
    <xdr:pic>
      <xdr:nvPicPr>
        <xdr:cNvPr id="2461" name="Imagen 2460" descr="Ver detalle">
          <a:hlinkClick xmlns:r="http://schemas.openxmlformats.org/officeDocument/2006/relationships" r:id="rId2402" tooltip="Ver detalle"/>
          <a:extLst>
            <a:ext uri="{FF2B5EF4-FFF2-40B4-BE49-F238E27FC236}">
              <a16:creationId xmlns:a16="http://schemas.microsoft.com/office/drawing/2014/main" id="{ABA712FE-6403-E6AF-8A58-42D1B3CEE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2054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2189</xdr:row>
      <xdr:rowOff>0</xdr:rowOff>
    </xdr:from>
    <xdr:to>
      <xdr:col>13</xdr:col>
      <xdr:colOff>0</xdr:colOff>
      <xdr:row>2190</xdr:row>
      <xdr:rowOff>118110</xdr:rowOff>
    </xdr:to>
    <xdr:pic>
      <xdr:nvPicPr>
        <xdr:cNvPr id="2462" name="Imagen 2461" descr="Ver detalle">
          <a:hlinkClick xmlns:r="http://schemas.openxmlformats.org/officeDocument/2006/relationships" r:id="rId2403" tooltip="Ver detalle"/>
          <a:extLst>
            <a:ext uri="{FF2B5EF4-FFF2-40B4-BE49-F238E27FC236}">
              <a16:creationId xmlns:a16="http://schemas.microsoft.com/office/drawing/2014/main" id="{89C24D1E-E0FF-B0D9-3E29-4DB8F58F7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400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2190</xdr:row>
      <xdr:rowOff>0</xdr:rowOff>
    </xdr:from>
    <xdr:to>
      <xdr:col>13</xdr:col>
      <xdr:colOff>0</xdr:colOff>
      <xdr:row>2191</xdr:row>
      <xdr:rowOff>118110</xdr:rowOff>
    </xdr:to>
    <xdr:pic>
      <xdr:nvPicPr>
        <xdr:cNvPr id="2463" name="Imagen 2462" descr="Ver detalle">
          <a:hlinkClick xmlns:r="http://schemas.openxmlformats.org/officeDocument/2006/relationships" r:id="rId2404" tooltip="Ver detalle"/>
          <a:extLst>
            <a:ext uri="{FF2B5EF4-FFF2-40B4-BE49-F238E27FC236}">
              <a16:creationId xmlns:a16="http://schemas.microsoft.com/office/drawing/2014/main" id="{86CECD43-E17A-296A-40F5-972F3973A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595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2191</xdr:row>
      <xdr:rowOff>0</xdr:rowOff>
    </xdr:from>
    <xdr:to>
      <xdr:col>13</xdr:col>
      <xdr:colOff>0</xdr:colOff>
      <xdr:row>2192</xdr:row>
      <xdr:rowOff>118110</xdr:rowOff>
    </xdr:to>
    <xdr:pic>
      <xdr:nvPicPr>
        <xdr:cNvPr id="2464" name="Imagen 2463" descr="Ver detalle">
          <a:hlinkClick xmlns:r="http://schemas.openxmlformats.org/officeDocument/2006/relationships" r:id="rId2405" tooltip="Ver detalle"/>
          <a:extLst>
            <a:ext uri="{FF2B5EF4-FFF2-40B4-BE49-F238E27FC236}">
              <a16:creationId xmlns:a16="http://schemas.microsoft.com/office/drawing/2014/main" id="{2782144A-ACA8-5B80-F827-377FF9745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790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2192</xdr:row>
      <xdr:rowOff>0</xdr:rowOff>
    </xdr:from>
    <xdr:to>
      <xdr:col>13</xdr:col>
      <xdr:colOff>0</xdr:colOff>
      <xdr:row>2193</xdr:row>
      <xdr:rowOff>118110</xdr:rowOff>
    </xdr:to>
    <xdr:pic>
      <xdr:nvPicPr>
        <xdr:cNvPr id="2465" name="Imagen 2464" descr="Ver detalle">
          <a:hlinkClick xmlns:r="http://schemas.openxmlformats.org/officeDocument/2006/relationships" r:id="rId2406" tooltip="Ver detalle"/>
          <a:extLst>
            <a:ext uri="{FF2B5EF4-FFF2-40B4-BE49-F238E27FC236}">
              <a16:creationId xmlns:a16="http://schemas.microsoft.com/office/drawing/2014/main" id="{6293CB33-23D8-20FC-F807-6129D9547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985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2193</xdr:row>
      <xdr:rowOff>0</xdr:rowOff>
    </xdr:from>
    <xdr:to>
      <xdr:col>13</xdr:col>
      <xdr:colOff>0</xdr:colOff>
      <xdr:row>2194</xdr:row>
      <xdr:rowOff>118110</xdr:rowOff>
    </xdr:to>
    <xdr:pic>
      <xdr:nvPicPr>
        <xdr:cNvPr id="2466" name="Imagen 2465" descr="Ver detalle">
          <a:hlinkClick xmlns:r="http://schemas.openxmlformats.org/officeDocument/2006/relationships" r:id="rId2407" tooltip="Ver detalle"/>
          <a:extLst>
            <a:ext uri="{FF2B5EF4-FFF2-40B4-BE49-F238E27FC236}">
              <a16:creationId xmlns:a16="http://schemas.microsoft.com/office/drawing/2014/main" id="{F7D85A89-A4B6-998A-5AD1-56CBD7C46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1807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2194</xdr:row>
      <xdr:rowOff>0</xdr:rowOff>
    </xdr:from>
    <xdr:to>
      <xdr:col>13</xdr:col>
      <xdr:colOff>0</xdr:colOff>
      <xdr:row>2195</xdr:row>
      <xdr:rowOff>118110</xdr:rowOff>
    </xdr:to>
    <xdr:pic>
      <xdr:nvPicPr>
        <xdr:cNvPr id="2467" name="Imagen 2466" descr="Ver detalle">
          <a:hlinkClick xmlns:r="http://schemas.openxmlformats.org/officeDocument/2006/relationships" r:id="rId2408" tooltip="Ver detalle"/>
          <a:extLst>
            <a:ext uri="{FF2B5EF4-FFF2-40B4-BE49-F238E27FC236}">
              <a16:creationId xmlns:a16="http://schemas.microsoft.com/office/drawing/2014/main" id="{80331352-E1AB-096B-AF1C-5E1E140A5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3758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2195</xdr:row>
      <xdr:rowOff>0</xdr:rowOff>
    </xdr:from>
    <xdr:to>
      <xdr:col>13</xdr:col>
      <xdr:colOff>0</xdr:colOff>
      <xdr:row>2196</xdr:row>
      <xdr:rowOff>118110</xdr:rowOff>
    </xdr:to>
    <xdr:pic>
      <xdr:nvPicPr>
        <xdr:cNvPr id="2468" name="Imagen 2467" descr="Ver detalle">
          <a:hlinkClick xmlns:r="http://schemas.openxmlformats.org/officeDocument/2006/relationships" r:id="rId2409" tooltip="Ver detalle"/>
          <a:extLst>
            <a:ext uri="{FF2B5EF4-FFF2-40B4-BE49-F238E27FC236}">
              <a16:creationId xmlns:a16="http://schemas.microsoft.com/office/drawing/2014/main" id="{91522917-5899-F150-2B69-BBB1BD52B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570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2196</xdr:row>
      <xdr:rowOff>0</xdr:rowOff>
    </xdr:from>
    <xdr:to>
      <xdr:col>13</xdr:col>
      <xdr:colOff>0</xdr:colOff>
      <xdr:row>2197</xdr:row>
      <xdr:rowOff>118110</xdr:rowOff>
    </xdr:to>
    <xdr:pic>
      <xdr:nvPicPr>
        <xdr:cNvPr id="2469" name="Imagen 2468" descr="Ver detalle">
          <a:hlinkClick xmlns:r="http://schemas.openxmlformats.org/officeDocument/2006/relationships" r:id="rId2410" tooltip="Ver detalle"/>
          <a:extLst>
            <a:ext uri="{FF2B5EF4-FFF2-40B4-BE49-F238E27FC236}">
              <a16:creationId xmlns:a16="http://schemas.microsoft.com/office/drawing/2014/main" id="{7911DFCC-EF2E-C681-4DE8-9C862602A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765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2197</xdr:row>
      <xdr:rowOff>0</xdr:rowOff>
    </xdr:from>
    <xdr:to>
      <xdr:col>13</xdr:col>
      <xdr:colOff>0</xdr:colOff>
      <xdr:row>2198</xdr:row>
      <xdr:rowOff>118110</xdr:rowOff>
    </xdr:to>
    <xdr:pic>
      <xdr:nvPicPr>
        <xdr:cNvPr id="2470" name="Imagen 2469" descr="Ver detalle">
          <a:hlinkClick xmlns:r="http://schemas.openxmlformats.org/officeDocument/2006/relationships" r:id="rId2411" tooltip="Ver detalle"/>
          <a:extLst>
            <a:ext uri="{FF2B5EF4-FFF2-40B4-BE49-F238E27FC236}">
              <a16:creationId xmlns:a16="http://schemas.microsoft.com/office/drawing/2014/main" id="{0468A28E-33A4-8F4A-6733-1A0F28E0A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896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2183</xdr:row>
      <xdr:rowOff>0</xdr:rowOff>
    </xdr:from>
    <xdr:to>
      <xdr:col>13</xdr:col>
      <xdr:colOff>0</xdr:colOff>
      <xdr:row>2184</xdr:row>
      <xdr:rowOff>114300</xdr:rowOff>
    </xdr:to>
    <xdr:pic>
      <xdr:nvPicPr>
        <xdr:cNvPr id="2471" name="Imagen 2470" descr="Ver detalle">
          <a:hlinkClick xmlns:r="http://schemas.openxmlformats.org/officeDocument/2006/relationships" r:id="rId2412" tooltip="Ver detalle"/>
          <a:extLst>
            <a:ext uri="{FF2B5EF4-FFF2-40B4-BE49-F238E27FC236}">
              <a16:creationId xmlns:a16="http://schemas.microsoft.com/office/drawing/2014/main" id="{5C2FDAFB-D999-E1F7-4149-11AAB5084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0265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2182</xdr:row>
      <xdr:rowOff>0</xdr:rowOff>
    </xdr:from>
    <xdr:to>
      <xdr:col>13</xdr:col>
      <xdr:colOff>0</xdr:colOff>
      <xdr:row>2183</xdr:row>
      <xdr:rowOff>118110</xdr:rowOff>
    </xdr:to>
    <xdr:pic>
      <xdr:nvPicPr>
        <xdr:cNvPr id="2472" name="Imagen 2471" descr="Ver detalle">
          <a:hlinkClick xmlns:r="http://schemas.openxmlformats.org/officeDocument/2006/relationships" r:id="rId2413" tooltip="Ver detalle"/>
          <a:extLst>
            <a:ext uri="{FF2B5EF4-FFF2-40B4-BE49-F238E27FC236}">
              <a16:creationId xmlns:a16="http://schemas.microsoft.com/office/drawing/2014/main" id="{36C3176A-D3A5-0D69-5A3D-0CB470688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221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2181</xdr:row>
      <xdr:rowOff>0</xdr:rowOff>
    </xdr:from>
    <xdr:to>
      <xdr:col>13</xdr:col>
      <xdr:colOff>0</xdr:colOff>
      <xdr:row>2182</xdr:row>
      <xdr:rowOff>118110</xdr:rowOff>
    </xdr:to>
    <xdr:pic>
      <xdr:nvPicPr>
        <xdr:cNvPr id="2473" name="Imagen 2472" descr="Ver detalle">
          <a:hlinkClick xmlns:r="http://schemas.openxmlformats.org/officeDocument/2006/relationships" r:id="rId2414" tooltip="Ver detalle"/>
          <a:extLst>
            <a:ext uri="{FF2B5EF4-FFF2-40B4-BE49-F238E27FC236}">
              <a16:creationId xmlns:a16="http://schemas.microsoft.com/office/drawing/2014/main" id="{68362A36-A840-3811-E96C-00C922847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416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2178</xdr:row>
      <xdr:rowOff>0</xdr:rowOff>
    </xdr:from>
    <xdr:to>
      <xdr:col>13</xdr:col>
      <xdr:colOff>0</xdr:colOff>
      <xdr:row>2179</xdr:row>
      <xdr:rowOff>118110</xdr:rowOff>
    </xdr:to>
    <xdr:pic>
      <xdr:nvPicPr>
        <xdr:cNvPr id="2474" name="Imagen 2473" descr="Ver detalle">
          <a:hlinkClick xmlns:r="http://schemas.openxmlformats.org/officeDocument/2006/relationships" r:id="rId2415" tooltip="Ver detalle"/>
          <a:extLst>
            <a:ext uri="{FF2B5EF4-FFF2-40B4-BE49-F238E27FC236}">
              <a16:creationId xmlns:a16="http://schemas.microsoft.com/office/drawing/2014/main" id="{0EEEEB70-6FFA-76A8-DF0E-82A8B0929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508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2179</xdr:row>
      <xdr:rowOff>0</xdr:rowOff>
    </xdr:from>
    <xdr:to>
      <xdr:col>13</xdr:col>
      <xdr:colOff>0</xdr:colOff>
      <xdr:row>2180</xdr:row>
      <xdr:rowOff>118110</xdr:rowOff>
    </xdr:to>
    <xdr:pic>
      <xdr:nvPicPr>
        <xdr:cNvPr id="2475" name="Imagen 2474" descr="Ver detalle">
          <a:hlinkClick xmlns:r="http://schemas.openxmlformats.org/officeDocument/2006/relationships" r:id="rId2416" tooltip="Ver detalle"/>
          <a:extLst>
            <a:ext uri="{FF2B5EF4-FFF2-40B4-BE49-F238E27FC236}">
              <a16:creationId xmlns:a16="http://schemas.microsoft.com/office/drawing/2014/main" id="{EE990730-D6F5-6E67-7208-BD9DE14B4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7032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2180</xdr:row>
      <xdr:rowOff>0</xdr:rowOff>
    </xdr:from>
    <xdr:to>
      <xdr:col>13</xdr:col>
      <xdr:colOff>0</xdr:colOff>
      <xdr:row>2181</xdr:row>
      <xdr:rowOff>118110</xdr:rowOff>
    </xdr:to>
    <xdr:pic>
      <xdr:nvPicPr>
        <xdr:cNvPr id="2476" name="Imagen 2475" descr="Ver detalle">
          <a:hlinkClick xmlns:r="http://schemas.openxmlformats.org/officeDocument/2006/relationships" r:id="rId2417" tooltip="Ver detalle"/>
          <a:extLst>
            <a:ext uri="{FF2B5EF4-FFF2-40B4-BE49-F238E27FC236}">
              <a16:creationId xmlns:a16="http://schemas.microsoft.com/office/drawing/2014/main" id="{22E6FCA8-8D60-A471-5702-A85EFE3B9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898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2177</xdr:row>
      <xdr:rowOff>0</xdr:rowOff>
    </xdr:from>
    <xdr:to>
      <xdr:col>13</xdr:col>
      <xdr:colOff>0</xdr:colOff>
      <xdr:row>2178</xdr:row>
      <xdr:rowOff>118110</xdr:rowOff>
    </xdr:to>
    <xdr:pic>
      <xdr:nvPicPr>
        <xdr:cNvPr id="2477" name="Imagen 2476" descr="Ver detalle">
          <a:hlinkClick xmlns:r="http://schemas.openxmlformats.org/officeDocument/2006/relationships" r:id="rId2418" tooltip="Ver detalle"/>
          <a:extLst>
            <a:ext uri="{FF2B5EF4-FFF2-40B4-BE49-F238E27FC236}">
              <a16:creationId xmlns:a16="http://schemas.microsoft.com/office/drawing/2014/main" id="{E4EC3C11-8B96-4E28-A9C8-2E11C9FC6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093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2175</xdr:row>
      <xdr:rowOff>0</xdr:rowOff>
    </xdr:from>
    <xdr:to>
      <xdr:col>13</xdr:col>
      <xdr:colOff>0</xdr:colOff>
      <xdr:row>2176</xdr:row>
      <xdr:rowOff>118110</xdr:rowOff>
    </xdr:to>
    <xdr:pic>
      <xdr:nvPicPr>
        <xdr:cNvPr id="2478" name="Imagen 2477" descr="Ver detalle">
          <a:hlinkClick xmlns:r="http://schemas.openxmlformats.org/officeDocument/2006/relationships" r:id="rId2419" tooltip="Ver detalle"/>
          <a:extLst>
            <a:ext uri="{FF2B5EF4-FFF2-40B4-BE49-F238E27FC236}">
              <a16:creationId xmlns:a16="http://schemas.microsoft.com/office/drawing/2014/main" id="{2705906C-C9D1-1D6D-8B10-7C1F9B8CE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223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2176</xdr:row>
      <xdr:rowOff>0</xdr:rowOff>
    </xdr:from>
    <xdr:to>
      <xdr:col>13</xdr:col>
      <xdr:colOff>0</xdr:colOff>
      <xdr:row>2177</xdr:row>
      <xdr:rowOff>118110</xdr:rowOff>
    </xdr:to>
    <xdr:pic>
      <xdr:nvPicPr>
        <xdr:cNvPr id="2479" name="Imagen 2478" descr="Ver detalle">
          <a:hlinkClick xmlns:r="http://schemas.openxmlformats.org/officeDocument/2006/relationships" r:id="rId2420" tooltip="Ver detalle"/>
          <a:extLst>
            <a:ext uri="{FF2B5EF4-FFF2-40B4-BE49-F238E27FC236}">
              <a16:creationId xmlns:a16="http://schemas.microsoft.com/office/drawing/2014/main" id="{BA910668-BF38-AFFD-2612-39417A16D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418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2173</xdr:row>
      <xdr:rowOff>0</xdr:rowOff>
    </xdr:from>
    <xdr:to>
      <xdr:col>13</xdr:col>
      <xdr:colOff>0</xdr:colOff>
      <xdr:row>2174</xdr:row>
      <xdr:rowOff>118110</xdr:rowOff>
    </xdr:to>
    <xdr:pic>
      <xdr:nvPicPr>
        <xdr:cNvPr id="2480" name="Imagen 2479" descr="Ver detalle">
          <a:hlinkClick xmlns:r="http://schemas.openxmlformats.org/officeDocument/2006/relationships" r:id="rId2421" tooltip="Ver detalle"/>
          <a:extLst>
            <a:ext uri="{FF2B5EF4-FFF2-40B4-BE49-F238E27FC236}">
              <a16:creationId xmlns:a16="http://schemas.microsoft.com/office/drawing/2014/main" id="{A0A29DC6-DA66-F9E5-5C0B-4D96482F4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613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2174</xdr:row>
      <xdr:rowOff>0</xdr:rowOff>
    </xdr:from>
    <xdr:to>
      <xdr:col>13</xdr:col>
      <xdr:colOff>0</xdr:colOff>
      <xdr:row>2175</xdr:row>
      <xdr:rowOff>118110</xdr:rowOff>
    </xdr:to>
    <xdr:pic>
      <xdr:nvPicPr>
        <xdr:cNvPr id="2481" name="Imagen 2480" descr="Ver detalle">
          <a:hlinkClick xmlns:r="http://schemas.openxmlformats.org/officeDocument/2006/relationships" r:id="rId2422" tooltip="Ver detalle"/>
          <a:extLst>
            <a:ext uri="{FF2B5EF4-FFF2-40B4-BE49-F238E27FC236}">
              <a16:creationId xmlns:a16="http://schemas.microsoft.com/office/drawing/2014/main" id="{2D2D6C9C-D925-6ECF-D28C-2635619A1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808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2171</xdr:row>
      <xdr:rowOff>0</xdr:rowOff>
    </xdr:from>
    <xdr:to>
      <xdr:col>13</xdr:col>
      <xdr:colOff>0</xdr:colOff>
      <xdr:row>2172</xdr:row>
      <xdr:rowOff>118110</xdr:rowOff>
    </xdr:to>
    <xdr:pic>
      <xdr:nvPicPr>
        <xdr:cNvPr id="2482" name="Imagen 2481" descr="Ver detalle">
          <a:hlinkClick xmlns:r="http://schemas.openxmlformats.org/officeDocument/2006/relationships" r:id="rId2423" tooltip="Ver detalle"/>
          <a:extLst>
            <a:ext uri="{FF2B5EF4-FFF2-40B4-BE49-F238E27FC236}">
              <a16:creationId xmlns:a16="http://schemas.microsoft.com/office/drawing/2014/main" id="{F50EA6A3-6C46-855C-FF74-0DEE1A2B6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939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2167</xdr:row>
      <xdr:rowOff>0</xdr:rowOff>
    </xdr:from>
    <xdr:to>
      <xdr:col>13</xdr:col>
      <xdr:colOff>0</xdr:colOff>
      <xdr:row>2168</xdr:row>
      <xdr:rowOff>118110</xdr:rowOff>
    </xdr:to>
    <xdr:pic>
      <xdr:nvPicPr>
        <xdr:cNvPr id="2483" name="Imagen 2482" descr="Ver detalle">
          <a:hlinkClick xmlns:r="http://schemas.openxmlformats.org/officeDocument/2006/relationships" r:id="rId2424" tooltip="Ver detalle"/>
          <a:extLst>
            <a:ext uri="{FF2B5EF4-FFF2-40B4-BE49-F238E27FC236}">
              <a16:creationId xmlns:a16="http://schemas.microsoft.com/office/drawing/2014/main" id="{946F9C89-1D82-3D19-4109-FF5229D1B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238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2168</xdr:row>
      <xdr:rowOff>0</xdr:rowOff>
    </xdr:from>
    <xdr:to>
      <xdr:col>13</xdr:col>
      <xdr:colOff>0</xdr:colOff>
      <xdr:row>2169</xdr:row>
      <xdr:rowOff>118110</xdr:rowOff>
    </xdr:to>
    <xdr:pic>
      <xdr:nvPicPr>
        <xdr:cNvPr id="2484" name="Imagen 2483" descr="Ver detalle">
          <a:hlinkClick xmlns:r="http://schemas.openxmlformats.org/officeDocument/2006/relationships" r:id="rId2425" tooltip="Ver detalle"/>
          <a:extLst>
            <a:ext uri="{FF2B5EF4-FFF2-40B4-BE49-F238E27FC236}">
              <a16:creationId xmlns:a16="http://schemas.microsoft.com/office/drawing/2014/main" id="{9C05EC91-343B-506D-1BB8-9D7D7F820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433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2170</xdr:row>
      <xdr:rowOff>0</xdr:rowOff>
    </xdr:from>
    <xdr:to>
      <xdr:col>13</xdr:col>
      <xdr:colOff>0</xdr:colOff>
      <xdr:row>2171</xdr:row>
      <xdr:rowOff>118110</xdr:rowOff>
    </xdr:to>
    <xdr:pic>
      <xdr:nvPicPr>
        <xdr:cNvPr id="2485" name="Imagen 2484" descr="Ver detalle">
          <a:hlinkClick xmlns:r="http://schemas.openxmlformats.org/officeDocument/2006/relationships" r:id="rId2426" tooltip="Ver detalle"/>
          <a:extLst>
            <a:ext uri="{FF2B5EF4-FFF2-40B4-BE49-F238E27FC236}">
              <a16:creationId xmlns:a16="http://schemas.microsoft.com/office/drawing/2014/main" id="{860CDCF6-FA16-0E0D-0041-8AC386A82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628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2169</xdr:row>
      <xdr:rowOff>0</xdr:rowOff>
    </xdr:from>
    <xdr:to>
      <xdr:col>13</xdr:col>
      <xdr:colOff>0</xdr:colOff>
      <xdr:row>2170</xdr:row>
      <xdr:rowOff>118110</xdr:rowOff>
    </xdr:to>
    <xdr:pic>
      <xdr:nvPicPr>
        <xdr:cNvPr id="2486" name="Imagen 2485" descr="Ver detalle">
          <a:hlinkClick xmlns:r="http://schemas.openxmlformats.org/officeDocument/2006/relationships" r:id="rId2427" tooltip="Ver detalle"/>
          <a:extLst>
            <a:ext uri="{FF2B5EF4-FFF2-40B4-BE49-F238E27FC236}">
              <a16:creationId xmlns:a16="http://schemas.microsoft.com/office/drawing/2014/main" id="{EDCAC278-5E67-6123-A1C9-A52764895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8238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2172</xdr:row>
      <xdr:rowOff>0</xdr:rowOff>
    </xdr:from>
    <xdr:to>
      <xdr:col>13</xdr:col>
      <xdr:colOff>0</xdr:colOff>
      <xdr:row>2173</xdr:row>
      <xdr:rowOff>118110</xdr:rowOff>
    </xdr:to>
    <xdr:pic>
      <xdr:nvPicPr>
        <xdr:cNvPr id="2487" name="Imagen 2486" descr="Ver detalle">
          <a:hlinkClick xmlns:r="http://schemas.openxmlformats.org/officeDocument/2006/relationships" r:id="rId2428" tooltip="Ver detalle"/>
          <a:extLst>
            <a:ext uri="{FF2B5EF4-FFF2-40B4-BE49-F238E27FC236}">
              <a16:creationId xmlns:a16="http://schemas.microsoft.com/office/drawing/2014/main" id="{31AF3C1B-2591-F310-B39C-115837353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915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2198</xdr:row>
      <xdr:rowOff>0</xdr:rowOff>
    </xdr:from>
    <xdr:to>
      <xdr:col>13</xdr:col>
      <xdr:colOff>0</xdr:colOff>
      <xdr:row>2199</xdr:row>
      <xdr:rowOff>118110</xdr:rowOff>
    </xdr:to>
    <xdr:pic>
      <xdr:nvPicPr>
        <xdr:cNvPr id="2488" name="Imagen 2487" descr="Ver detalle">
          <a:hlinkClick xmlns:r="http://schemas.openxmlformats.org/officeDocument/2006/relationships" r:id="rId2429" tooltip="Ver detalle"/>
          <a:extLst>
            <a:ext uri="{FF2B5EF4-FFF2-40B4-BE49-F238E27FC236}">
              <a16:creationId xmlns:a16="http://schemas.microsoft.com/office/drawing/2014/main" id="{AF8E44AA-D15A-F078-AB36-A2A20CFAB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045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2224</xdr:row>
      <xdr:rowOff>0</xdr:rowOff>
    </xdr:from>
    <xdr:to>
      <xdr:col>13</xdr:col>
      <xdr:colOff>0</xdr:colOff>
      <xdr:row>2225</xdr:row>
      <xdr:rowOff>118110</xdr:rowOff>
    </xdr:to>
    <xdr:pic>
      <xdr:nvPicPr>
        <xdr:cNvPr id="2489" name="Imagen 2488" descr="Ver detalle">
          <a:hlinkClick xmlns:r="http://schemas.openxmlformats.org/officeDocument/2006/relationships" r:id="rId2430" tooltip="Ver detalle"/>
          <a:extLst>
            <a:ext uri="{FF2B5EF4-FFF2-40B4-BE49-F238E27FC236}">
              <a16:creationId xmlns:a16="http://schemas.microsoft.com/office/drawing/2014/main" id="{FFD935D4-2854-93FD-020D-FAB5A0104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4766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2225</xdr:row>
      <xdr:rowOff>0</xdr:rowOff>
    </xdr:from>
    <xdr:to>
      <xdr:col>13</xdr:col>
      <xdr:colOff>0</xdr:colOff>
      <xdr:row>2226</xdr:row>
      <xdr:rowOff>118110</xdr:rowOff>
    </xdr:to>
    <xdr:pic>
      <xdr:nvPicPr>
        <xdr:cNvPr id="2490" name="Imagen 2489" descr="Ver detalle">
          <a:hlinkClick xmlns:r="http://schemas.openxmlformats.org/officeDocument/2006/relationships" r:id="rId2431" tooltip="Ver detalle"/>
          <a:extLst>
            <a:ext uri="{FF2B5EF4-FFF2-40B4-BE49-F238E27FC236}">
              <a16:creationId xmlns:a16="http://schemas.microsoft.com/office/drawing/2014/main" id="{0AF391FA-EA73-819F-E5F8-D624529DD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671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2226</xdr:row>
      <xdr:rowOff>0</xdr:rowOff>
    </xdr:from>
    <xdr:to>
      <xdr:col>13</xdr:col>
      <xdr:colOff>0</xdr:colOff>
      <xdr:row>2227</xdr:row>
      <xdr:rowOff>118110</xdr:rowOff>
    </xdr:to>
    <xdr:pic>
      <xdr:nvPicPr>
        <xdr:cNvPr id="2491" name="Imagen 2490" descr="Ver detalle">
          <a:hlinkClick xmlns:r="http://schemas.openxmlformats.org/officeDocument/2006/relationships" r:id="rId2432" tooltip="Ver detalle"/>
          <a:extLst>
            <a:ext uri="{FF2B5EF4-FFF2-40B4-BE49-F238E27FC236}">
              <a16:creationId xmlns:a16="http://schemas.microsoft.com/office/drawing/2014/main" id="{E517BE81-CC51-106B-1F4B-59582FC18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8668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2227</xdr:row>
      <xdr:rowOff>0</xdr:rowOff>
    </xdr:from>
    <xdr:to>
      <xdr:col>13</xdr:col>
      <xdr:colOff>0</xdr:colOff>
      <xdr:row>2228</xdr:row>
      <xdr:rowOff>118110</xdr:rowOff>
    </xdr:to>
    <xdr:pic>
      <xdr:nvPicPr>
        <xdr:cNvPr id="2492" name="Imagen 2491" descr="Ver detalle">
          <a:hlinkClick xmlns:r="http://schemas.openxmlformats.org/officeDocument/2006/relationships" r:id="rId2433" tooltip="Ver detalle"/>
          <a:extLst>
            <a:ext uri="{FF2B5EF4-FFF2-40B4-BE49-F238E27FC236}">
              <a16:creationId xmlns:a16="http://schemas.microsoft.com/office/drawing/2014/main" id="{04701C01-FB31-49A2-2250-57FBC016D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061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2244</xdr:row>
      <xdr:rowOff>0</xdr:rowOff>
    </xdr:from>
    <xdr:to>
      <xdr:col>13</xdr:col>
      <xdr:colOff>0</xdr:colOff>
      <xdr:row>2245</xdr:row>
      <xdr:rowOff>118110</xdr:rowOff>
    </xdr:to>
    <xdr:pic>
      <xdr:nvPicPr>
        <xdr:cNvPr id="2493" name="Imagen 2492" descr="Ver detalle">
          <a:hlinkClick xmlns:r="http://schemas.openxmlformats.org/officeDocument/2006/relationships" r:id="rId2434" tooltip="Ver detalle"/>
          <a:extLst>
            <a:ext uri="{FF2B5EF4-FFF2-40B4-BE49-F238E27FC236}">
              <a16:creationId xmlns:a16="http://schemas.microsoft.com/office/drawing/2014/main" id="{51798212-E1CB-B168-A8C2-64D41F21F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2569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2220</xdr:row>
      <xdr:rowOff>0</xdr:rowOff>
    </xdr:from>
    <xdr:to>
      <xdr:col>13</xdr:col>
      <xdr:colOff>0</xdr:colOff>
      <xdr:row>2221</xdr:row>
      <xdr:rowOff>118110</xdr:rowOff>
    </xdr:to>
    <xdr:pic>
      <xdr:nvPicPr>
        <xdr:cNvPr id="2494" name="Imagen 2493" descr="Ver detalle">
          <a:hlinkClick xmlns:r="http://schemas.openxmlformats.org/officeDocument/2006/relationships" r:id="rId2435" tooltip="Ver detalle"/>
          <a:extLst>
            <a:ext uri="{FF2B5EF4-FFF2-40B4-BE49-F238E27FC236}">
              <a16:creationId xmlns:a16="http://schemas.microsoft.com/office/drawing/2014/main" id="{33F481D1-40DE-8C35-A836-8EDB37C3B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452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2228</xdr:row>
      <xdr:rowOff>0</xdr:rowOff>
    </xdr:from>
    <xdr:to>
      <xdr:col>13</xdr:col>
      <xdr:colOff>0</xdr:colOff>
      <xdr:row>2229</xdr:row>
      <xdr:rowOff>118110</xdr:rowOff>
    </xdr:to>
    <xdr:pic>
      <xdr:nvPicPr>
        <xdr:cNvPr id="2495" name="Imagen 2494" descr="Ver detalle">
          <a:hlinkClick xmlns:r="http://schemas.openxmlformats.org/officeDocument/2006/relationships" r:id="rId2436" tooltip="Ver detalle"/>
          <a:extLst>
            <a:ext uri="{FF2B5EF4-FFF2-40B4-BE49-F238E27FC236}">
              <a16:creationId xmlns:a16="http://schemas.microsoft.com/office/drawing/2014/main" id="{7E9752C7-6576-125B-E954-EA142E1A3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582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2248</xdr:row>
      <xdr:rowOff>0</xdr:rowOff>
    </xdr:from>
    <xdr:to>
      <xdr:col>13</xdr:col>
      <xdr:colOff>0</xdr:colOff>
      <xdr:row>2249</xdr:row>
      <xdr:rowOff>118110</xdr:rowOff>
    </xdr:to>
    <xdr:pic>
      <xdr:nvPicPr>
        <xdr:cNvPr id="2496" name="Imagen 2495" descr="Ver detalle">
          <a:hlinkClick xmlns:r="http://schemas.openxmlformats.org/officeDocument/2006/relationships" r:id="rId2437" tooltip="Ver detalle"/>
          <a:extLst>
            <a:ext uri="{FF2B5EF4-FFF2-40B4-BE49-F238E27FC236}">
              <a16:creationId xmlns:a16="http://schemas.microsoft.com/office/drawing/2014/main" id="{3FD18272-6BB9-5290-5C56-D739AAD8F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777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2249</xdr:row>
      <xdr:rowOff>0</xdr:rowOff>
    </xdr:from>
    <xdr:to>
      <xdr:col>13</xdr:col>
      <xdr:colOff>0</xdr:colOff>
      <xdr:row>2250</xdr:row>
      <xdr:rowOff>118110</xdr:rowOff>
    </xdr:to>
    <xdr:pic>
      <xdr:nvPicPr>
        <xdr:cNvPr id="2497" name="Imagen 2496" descr="Ver detalle">
          <a:hlinkClick xmlns:r="http://schemas.openxmlformats.org/officeDocument/2006/relationships" r:id="rId2438" tooltip="Ver detalle"/>
          <a:extLst>
            <a:ext uri="{FF2B5EF4-FFF2-40B4-BE49-F238E27FC236}">
              <a16:creationId xmlns:a16="http://schemas.microsoft.com/office/drawing/2014/main" id="{CC76CDE9-5949-65E6-6C2F-010860439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972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2250</xdr:row>
      <xdr:rowOff>0</xdr:rowOff>
    </xdr:from>
    <xdr:to>
      <xdr:col>13</xdr:col>
      <xdr:colOff>0</xdr:colOff>
      <xdr:row>2251</xdr:row>
      <xdr:rowOff>118110</xdr:rowOff>
    </xdr:to>
    <xdr:pic>
      <xdr:nvPicPr>
        <xdr:cNvPr id="2498" name="Imagen 2497" descr="Ver detalle">
          <a:hlinkClick xmlns:r="http://schemas.openxmlformats.org/officeDocument/2006/relationships" r:id="rId2439" tooltip="Ver detalle"/>
          <a:extLst>
            <a:ext uri="{FF2B5EF4-FFF2-40B4-BE49-F238E27FC236}">
              <a16:creationId xmlns:a16="http://schemas.microsoft.com/office/drawing/2014/main" id="{BA452C17-1BB4-48F2-9BBF-2ECB3FC06C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1675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2251</xdr:row>
      <xdr:rowOff>0</xdr:rowOff>
    </xdr:from>
    <xdr:to>
      <xdr:col>13</xdr:col>
      <xdr:colOff>0</xdr:colOff>
      <xdr:row>2252</xdr:row>
      <xdr:rowOff>118110</xdr:rowOff>
    </xdr:to>
    <xdr:pic>
      <xdr:nvPicPr>
        <xdr:cNvPr id="2499" name="Imagen 2498" descr="Ver detalle">
          <a:hlinkClick xmlns:r="http://schemas.openxmlformats.org/officeDocument/2006/relationships" r:id="rId2440" tooltip="Ver detalle"/>
          <a:extLst>
            <a:ext uri="{FF2B5EF4-FFF2-40B4-BE49-F238E27FC236}">
              <a16:creationId xmlns:a16="http://schemas.microsoft.com/office/drawing/2014/main" id="{604B95FC-8412-F1B6-384A-34C890522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362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2252</xdr:row>
      <xdr:rowOff>0</xdr:rowOff>
    </xdr:from>
    <xdr:to>
      <xdr:col>13</xdr:col>
      <xdr:colOff>0</xdr:colOff>
      <xdr:row>2253</xdr:row>
      <xdr:rowOff>118110</xdr:rowOff>
    </xdr:to>
    <xdr:pic>
      <xdr:nvPicPr>
        <xdr:cNvPr id="2500" name="Imagen 2499" descr="Ver detalle">
          <a:hlinkClick xmlns:r="http://schemas.openxmlformats.org/officeDocument/2006/relationships" r:id="rId2441" tooltip="Ver detalle"/>
          <a:extLst>
            <a:ext uri="{FF2B5EF4-FFF2-40B4-BE49-F238E27FC236}">
              <a16:creationId xmlns:a16="http://schemas.microsoft.com/office/drawing/2014/main" id="{4A458FEC-43C2-5928-C510-F2F8BA65D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55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2223</xdr:row>
      <xdr:rowOff>0</xdr:rowOff>
    </xdr:from>
    <xdr:to>
      <xdr:col>13</xdr:col>
      <xdr:colOff>0</xdr:colOff>
      <xdr:row>2224</xdr:row>
      <xdr:rowOff>118110</xdr:rowOff>
    </xdr:to>
    <xdr:pic>
      <xdr:nvPicPr>
        <xdr:cNvPr id="2501" name="Imagen 2500" descr="Ver detalle">
          <a:hlinkClick xmlns:r="http://schemas.openxmlformats.org/officeDocument/2006/relationships" r:id="rId2442" tooltip="Ver detalle"/>
          <a:extLst>
            <a:ext uri="{FF2B5EF4-FFF2-40B4-BE49-F238E27FC236}">
              <a16:creationId xmlns:a16="http://schemas.microsoft.com/office/drawing/2014/main" id="{B9CFD6B2-4282-46A8-9977-D7A05A171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7527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2253</xdr:row>
      <xdr:rowOff>0</xdr:rowOff>
    </xdr:from>
    <xdr:to>
      <xdr:col>13</xdr:col>
      <xdr:colOff>0</xdr:colOff>
      <xdr:row>2254</xdr:row>
      <xdr:rowOff>118110</xdr:rowOff>
    </xdr:to>
    <xdr:pic>
      <xdr:nvPicPr>
        <xdr:cNvPr id="2502" name="Imagen 2501" descr="Ver detalle">
          <a:hlinkClick xmlns:r="http://schemas.openxmlformats.org/officeDocument/2006/relationships" r:id="rId2443" tooltip="Ver detalle"/>
          <a:extLst>
            <a:ext uri="{FF2B5EF4-FFF2-40B4-BE49-F238E27FC236}">
              <a16:creationId xmlns:a16="http://schemas.microsoft.com/office/drawing/2014/main" id="{97924695-A2EE-25EC-27B9-E8DF7EC83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8442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2254</xdr:row>
      <xdr:rowOff>0</xdr:rowOff>
    </xdr:from>
    <xdr:to>
      <xdr:col>13</xdr:col>
      <xdr:colOff>0</xdr:colOff>
      <xdr:row>2255</xdr:row>
      <xdr:rowOff>118110</xdr:rowOff>
    </xdr:to>
    <xdr:pic>
      <xdr:nvPicPr>
        <xdr:cNvPr id="2503" name="Imagen 2502" descr="Ver detalle">
          <a:hlinkClick xmlns:r="http://schemas.openxmlformats.org/officeDocument/2006/relationships" r:id="rId2444" tooltip="Ver detalle"/>
          <a:extLst>
            <a:ext uri="{FF2B5EF4-FFF2-40B4-BE49-F238E27FC236}">
              <a16:creationId xmlns:a16="http://schemas.microsoft.com/office/drawing/2014/main" id="{72D22980-E1D0-1E85-F272-9505DA859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9356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2255</xdr:row>
      <xdr:rowOff>0</xdr:rowOff>
    </xdr:from>
    <xdr:to>
      <xdr:col>13</xdr:col>
      <xdr:colOff>0</xdr:colOff>
      <xdr:row>2256</xdr:row>
      <xdr:rowOff>118110</xdr:rowOff>
    </xdr:to>
    <xdr:pic>
      <xdr:nvPicPr>
        <xdr:cNvPr id="2504" name="Imagen 2503" descr="Ver detalle">
          <a:hlinkClick xmlns:r="http://schemas.openxmlformats.org/officeDocument/2006/relationships" r:id="rId2445" tooltip="Ver detalle"/>
          <a:extLst>
            <a:ext uri="{FF2B5EF4-FFF2-40B4-BE49-F238E27FC236}">
              <a16:creationId xmlns:a16="http://schemas.microsoft.com/office/drawing/2014/main" id="{960F0F3B-70A5-63D5-9C61-DFEFC3885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1307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2243</xdr:row>
      <xdr:rowOff>0</xdr:rowOff>
    </xdr:from>
    <xdr:to>
      <xdr:col>13</xdr:col>
      <xdr:colOff>0</xdr:colOff>
      <xdr:row>2244</xdr:row>
      <xdr:rowOff>118110</xdr:rowOff>
    </xdr:to>
    <xdr:pic>
      <xdr:nvPicPr>
        <xdr:cNvPr id="2505" name="Imagen 2504" descr="Ver detalle">
          <a:hlinkClick xmlns:r="http://schemas.openxmlformats.org/officeDocument/2006/relationships" r:id="rId2446" tooltip="Ver detalle"/>
          <a:extLst>
            <a:ext uri="{FF2B5EF4-FFF2-40B4-BE49-F238E27FC236}">
              <a16:creationId xmlns:a16="http://schemas.microsoft.com/office/drawing/2014/main" id="{113713C5-DB82-6E74-F715-95413D0E1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3257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2256</xdr:row>
      <xdr:rowOff>0</xdr:rowOff>
    </xdr:from>
    <xdr:to>
      <xdr:col>13</xdr:col>
      <xdr:colOff>0</xdr:colOff>
      <xdr:row>2257</xdr:row>
      <xdr:rowOff>118110</xdr:rowOff>
    </xdr:to>
    <xdr:pic>
      <xdr:nvPicPr>
        <xdr:cNvPr id="2506" name="Imagen 2505" descr="Ver detalle">
          <a:hlinkClick xmlns:r="http://schemas.openxmlformats.org/officeDocument/2006/relationships" r:id="rId2447" tooltip="Ver detalle"/>
          <a:extLst>
            <a:ext uri="{FF2B5EF4-FFF2-40B4-BE49-F238E27FC236}">
              <a16:creationId xmlns:a16="http://schemas.microsoft.com/office/drawing/2014/main" id="{E60984E1-CD78-E33C-91DC-3F9CF8CC0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5208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2257</xdr:row>
      <xdr:rowOff>0</xdr:rowOff>
    </xdr:from>
    <xdr:to>
      <xdr:col>13</xdr:col>
      <xdr:colOff>0</xdr:colOff>
      <xdr:row>2258</xdr:row>
      <xdr:rowOff>118110</xdr:rowOff>
    </xdr:to>
    <xdr:pic>
      <xdr:nvPicPr>
        <xdr:cNvPr id="2507" name="Imagen 2506" descr="Ver detalle">
          <a:hlinkClick xmlns:r="http://schemas.openxmlformats.org/officeDocument/2006/relationships" r:id="rId2448" tooltip="Ver detalle"/>
          <a:extLst>
            <a:ext uri="{FF2B5EF4-FFF2-40B4-BE49-F238E27FC236}">
              <a16:creationId xmlns:a16="http://schemas.microsoft.com/office/drawing/2014/main" id="{5909BC8B-A355-820B-603D-A727B753D3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715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2207</xdr:row>
      <xdr:rowOff>0</xdr:rowOff>
    </xdr:from>
    <xdr:to>
      <xdr:col>13</xdr:col>
      <xdr:colOff>0</xdr:colOff>
      <xdr:row>2208</xdr:row>
      <xdr:rowOff>118110</xdr:rowOff>
    </xdr:to>
    <xdr:pic>
      <xdr:nvPicPr>
        <xdr:cNvPr id="2508" name="Imagen 2507" descr="Ver detalle">
          <a:hlinkClick xmlns:r="http://schemas.openxmlformats.org/officeDocument/2006/relationships" r:id="rId2449" tooltip="Ver detalle"/>
          <a:extLst>
            <a:ext uri="{FF2B5EF4-FFF2-40B4-BE49-F238E27FC236}">
              <a16:creationId xmlns:a16="http://schemas.microsoft.com/office/drawing/2014/main" id="{8911ECF7-4428-87EC-E6C5-9495418E4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911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2245</xdr:row>
      <xdr:rowOff>0</xdr:rowOff>
    </xdr:from>
    <xdr:to>
      <xdr:col>13</xdr:col>
      <xdr:colOff>0</xdr:colOff>
      <xdr:row>2246</xdr:row>
      <xdr:rowOff>118110</xdr:rowOff>
    </xdr:to>
    <xdr:pic>
      <xdr:nvPicPr>
        <xdr:cNvPr id="2509" name="Imagen 2508" descr="Ver detalle">
          <a:hlinkClick xmlns:r="http://schemas.openxmlformats.org/officeDocument/2006/relationships" r:id="rId2450" tooltip="Ver detalle"/>
          <a:extLst>
            <a:ext uri="{FF2B5EF4-FFF2-40B4-BE49-F238E27FC236}">
              <a16:creationId xmlns:a16="http://schemas.microsoft.com/office/drawing/2014/main" id="{0CB5FE2A-4FC4-1575-E24D-1551B9673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1060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2246</xdr:row>
      <xdr:rowOff>0</xdr:rowOff>
    </xdr:from>
    <xdr:to>
      <xdr:col>13</xdr:col>
      <xdr:colOff>0</xdr:colOff>
      <xdr:row>2247</xdr:row>
      <xdr:rowOff>118110</xdr:rowOff>
    </xdr:to>
    <xdr:pic>
      <xdr:nvPicPr>
        <xdr:cNvPr id="2510" name="Imagen 2509" descr="Ver detalle">
          <a:hlinkClick xmlns:r="http://schemas.openxmlformats.org/officeDocument/2006/relationships" r:id="rId2451" tooltip="Ver detalle"/>
          <a:extLst>
            <a:ext uri="{FF2B5EF4-FFF2-40B4-BE49-F238E27FC236}">
              <a16:creationId xmlns:a16="http://schemas.microsoft.com/office/drawing/2014/main" id="{337CE58C-0345-7C99-4325-53CAA95B3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3011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2247</xdr:row>
      <xdr:rowOff>0</xdr:rowOff>
    </xdr:from>
    <xdr:to>
      <xdr:col>13</xdr:col>
      <xdr:colOff>0</xdr:colOff>
      <xdr:row>2248</xdr:row>
      <xdr:rowOff>118110</xdr:rowOff>
    </xdr:to>
    <xdr:pic>
      <xdr:nvPicPr>
        <xdr:cNvPr id="2511" name="Imagen 2510" descr="Ver detalle">
          <a:hlinkClick xmlns:r="http://schemas.openxmlformats.org/officeDocument/2006/relationships" r:id="rId2452" tooltip="Ver detalle"/>
          <a:extLst>
            <a:ext uri="{FF2B5EF4-FFF2-40B4-BE49-F238E27FC236}">
              <a16:creationId xmlns:a16="http://schemas.microsoft.com/office/drawing/2014/main" id="{3617F921-FAA5-C0D8-DA4C-379BD8369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4962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2258</xdr:row>
      <xdr:rowOff>0</xdr:rowOff>
    </xdr:from>
    <xdr:to>
      <xdr:col>13</xdr:col>
      <xdr:colOff>0</xdr:colOff>
      <xdr:row>2259</xdr:row>
      <xdr:rowOff>118110</xdr:rowOff>
    </xdr:to>
    <xdr:pic>
      <xdr:nvPicPr>
        <xdr:cNvPr id="2512" name="Imagen 2511" descr="Ver detalle">
          <a:hlinkClick xmlns:r="http://schemas.openxmlformats.org/officeDocument/2006/relationships" r:id="rId2453" tooltip="Ver detalle"/>
          <a:extLst>
            <a:ext uri="{FF2B5EF4-FFF2-40B4-BE49-F238E27FC236}">
              <a16:creationId xmlns:a16="http://schemas.microsoft.com/office/drawing/2014/main" id="{E28902D2-84BC-396F-8AE5-D86521BE4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5876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2260</xdr:row>
      <xdr:rowOff>0</xdr:rowOff>
    </xdr:from>
    <xdr:to>
      <xdr:col>13</xdr:col>
      <xdr:colOff>0</xdr:colOff>
      <xdr:row>2261</xdr:row>
      <xdr:rowOff>118110</xdr:rowOff>
    </xdr:to>
    <xdr:pic>
      <xdr:nvPicPr>
        <xdr:cNvPr id="2513" name="Imagen 2512" descr="Ver detalle">
          <a:hlinkClick xmlns:r="http://schemas.openxmlformats.org/officeDocument/2006/relationships" r:id="rId2454" tooltip="Ver detalle"/>
          <a:extLst>
            <a:ext uri="{FF2B5EF4-FFF2-40B4-BE49-F238E27FC236}">
              <a16:creationId xmlns:a16="http://schemas.microsoft.com/office/drawing/2014/main" id="{537C171F-1097-425F-647F-DFA157B1E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977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2261</xdr:row>
      <xdr:rowOff>0</xdr:rowOff>
    </xdr:from>
    <xdr:to>
      <xdr:col>13</xdr:col>
      <xdr:colOff>0</xdr:colOff>
      <xdr:row>2262</xdr:row>
      <xdr:rowOff>118110</xdr:rowOff>
    </xdr:to>
    <xdr:pic>
      <xdr:nvPicPr>
        <xdr:cNvPr id="2514" name="Imagen 2513" descr="Ver detalle">
          <a:hlinkClick xmlns:r="http://schemas.openxmlformats.org/officeDocument/2006/relationships" r:id="rId2455" tooltip="Ver detalle"/>
          <a:extLst>
            <a:ext uri="{FF2B5EF4-FFF2-40B4-BE49-F238E27FC236}">
              <a16:creationId xmlns:a16="http://schemas.microsoft.com/office/drawing/2014/main" id="{D8171395-0BC5-AD71-451C-63009128A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1728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2262</xdr:row>
      <xdr:rowOff>0</xdr:rowOff>
    </xdr:from>
    <xdr:to>
      <xdr:col>13</xdr:col>
      <xdr:colOff>0</xdr:colOff>
      <xdr:row>2263</xdr:row>
      <xdr:rowOff>118110</xdr:rowOff>
    </xdr:to>
    <xdr:pic>
      <xdr:nvPicPr>
        <xdr:cNvPr id="2515" name="Imagen 2514" descr="Ver detalle">
          <a:hlinkClick xmlns:r="http://schemas.openxmlformats.org/officeDocument/2006/relationships" r:id="rId2456" tooltip="Ver detalle"/>
          <a:extLst>
            <a:ext uri="{FF2B5EF4-FFF2-40B4-BE49-F238E27FC236}">
              <a16:creationId xmlns:a16="http://schemas.microsoft.com/office/drawing/2014/main" id="{8D37E30E-B580-3FC1-C593-3CCA6B4F0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3679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2263</xdr:row>
      <xdr:rowOff>0</xdr:rowOff>
    </xdr:from>
    <xdr:to>
      <xdr:col>13</xdr:col>
      <xdr:colOff>0</xdr:colOff>
      <xdr:row>2264</xdr:row>
      <xdr:rowOff>118110</xdr:rowOff>
    </xdr:to>
    <xdr:pic>
      <xdr:nvPicPr>
        <xdr:cNvPr id="2516" name="Imagen 2515" descr="Ver detalle">
          <a:hlinkClick xmlns:r="http://schemas.openxmlformats.org/officeDocument/2006/relationships" r:id="rId2457" tooltip="Ver detalle"/>
          <a:extLst>
            <a:ext uri="{FF2B5EF4-FFF2-40B4-BE49-F238E27FC236}">
              <a16:creationId xmlns:a16="http://schemas.microsoft.com/office/drawing/2014/main" id="{FA470C41-8B90-63F3-FCAB-2F56325D7A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5630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2264</xdr:row>
      <xdr:rowOff>0</xdr:rowOff>
    </xdr:from>
    <xdr:to>
      <xdr:col>13</xdr:col>
      <xdr:colOff>0</xdr:colOff>
      <xdr:row>2265</xdr:row>
      <xdr:rowOff>118110</xdr:rowOff>
    </xdr:to>
    <xdr:pic>
      <xdr:nvPicPr>
        <xdr:cNvPr id="2517" name="Imagen 2516" descr="Ver detalle">
          <a:hlinkClick xmlns:r="http://schemas.openxmlformats.org/officeDocument/2006/relationships" r:id="rId2458" tooltip="Ver detalle"/>
          <a:extLst>
            <a:ext uri="{FF2B5EF4-FFF2-40B4-BE49-F238E27FC236}">
              <a16:creationId xmlns:a16="http://schemas.microsoft.com/office/drawing/2014/main" id="{FFFAA3C1-4A83-43A6-53ED-67BC5F49A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75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2265</xdr:row>
      <xdr:rowOff>0</xdr:rowOff>
    </xdr:from>
    <xdr:to>
      <xdr:col>13</xdr:col>
      <xdr:colOff>0</xdr:colOff>
      <xdr:row>2266</xdr:row>
      <xdr:rowOff>118110</xdr:rowOff>
    </xdr:to>
    <xdr:pic>
      <xdr:nvPicPr>
        <xdr:cNvPr id="2518" name="Imagen 2517" descr="Ver detalle">
          <a:hlinkClick xmlns:r="http://schemas.openxmlformats.org/officeDocument/2006/relationships" r:id="rId2459" tooltip="Ver detalle"/>
          <a:extLst>
            <a:ext uri="{FF2B5EF4-FFF2-40B4-BE49-F238E27FC236}">
              <a16:creationId xmlns:a16="http://schemas.microsoft.com/office/drawing/2014/main" id="{116E190F-31E6-050B-78D1-64D300D21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9531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2266</xdr:row>
      <xdr:rowOff>0</xdr:rowOff>
    </xdr:from>
    <xdr:to>
      <xdr:col>13</xdr:col>
      <xdr:colOff>0</xdr:colOff>
      <xdr:row>2267</xdr:row>
      <xdr:rowOff>118110</xdr:rowOff>
    </xdr:to>
    <xdr:pic>
      <xdr:nvPicPr>
        <xdr:cNvPr id="2519" name="Imagen 2518" descr="Ver detalle">
          <a:hlinkClick xmlns:r="http://schemas.openxmlformats.org/officeDocument/2006/relationships" r:id="rId2460" tooltip="Ver detalle"/>
          <a:extLst>
            <a:ext uri="{FF2B5EF4-FFF2-40B4-BE49-F238E27FC236}">
              <a16:creationId xmlns:a16="http://schemas.microsoft.com/office/drawing/2014/main" id="{B80C8493-F0F9-B6F3-E91E-B29D0C908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044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2267</xdr:row>
      <xdr:rowOff>0</xdr:rowOff>
    </xdr:from>
    <xdr:to>
      <xdr:col>13</xdr:col>
      <xdr:colOff>0</xdr:colOff>
      <xdr:row>2268</xdr:row>
      <xdr:rowOff>118110</xdr:rowOff>
    </xdr:to>
    <xdr:pic>
      <xdr:nvPicPr>
        <xdr:cNvPr id="2520" name="Imagen 2519" descr="Ver detalle">
          <a:hlinkClick xmlns:r="http://schemas.openxmlformats.org/officeDocument/2006/relationships" r:id="rId2461" tooltip="Ver detalle"/>
          <a:extLst>
            <a:ext uri="{FF2B5EF4-FFF2-40B4-BE49-F238E27FC236}">
              <a16:creationId xmlns:a16="http://schemas.microsoft.com/office/drawing/2014/main" id="{A3B66928-53CC-CF6D-00ED-D19B67B98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1360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2221</xdr:row>
      <xdr:rowOff>0</xdr:rowOff>
    </xdr:from>
    <xdr:to>
      <xdr:col>13</xdr:col>
      <xdr:colOff>0</xdr:colOff>
      <xdr:row>2222</xdr:row>
      <xdr:rowOff>118110</xdr:rowOff>
    </xdr:to>
    <xdr:pic>
      <xdr:nvPicPr>
        <xdr:cNvPr id="2521" name="Imagen 2520" descr="Ver detalle">
          <a:hlinkClick xmlns:r="http://schemas.openxmlformats.org/officeDocument/2006/relationships" r:id="rId2462" tooltip="Ver detalle"/>
          <a:extLst>
            <a:ext uri="{FF2B5EF4-FFF2-40B4-BE49-F238E27FC236}">
              <a16:creationId xmlns:a16="http://schemas.microsoft.com/office/drawing/2014/main" id="{EB80ACF0-7C82-2292-4051-0F5576ECB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2274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2217</xdr:row>
      <xdr:rowOff>0</xdr:rowOff>
    </xdr:from>
    <xdr:to>
      <xdr:col>13</xdr:col>
      <xdr:colOff>0</xdr:colOff>
      <xdr:row>2218</xdr:row>
      <xdr:rowOff>118110</xdr:rowOff>
    </xdr:to>
    <xdr:pic>
      <xdr:nvPicPr>
        <xdr:cNvPr id="2522" name="Imagen 2521" descr="Ver detalle">
          <a:hlinkClick xmlns:r="http://schemas.openxmlformats.org/officeDocument/2006/relationships" r:id="rId2463" tooltip="Ver detalle"/>
          <a:extLst>
            <a:ext uri="{FF2B5EF4-FFF2-40B4-BE49-F238E27FC236}">
              <a16:creationId xmlns:a16="http://schemas.microsoft.com/office/drawing/2014/main" id="{CDAF5151-7009-7BA4-06F0-C269E429D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4225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2212</xdr:row>
      <xdr:rowOff>0</xdr:rowOff>
    </xdr:from>
    <xdr:to>
      <xdr:col>13</xdr:col>
      <xdr:colOff>0</xdr:colOff>
      <xdr:row>2213</xdr:row>
      <xdr:rowOff>118110</xdr:rowOff>
    </xdr:to>
    <xdr:pic>
      <xdr:nvPicPr>
        <xdr:cNvPr id="2523" name="Imagen 2522" descr="Ver detalle">
          <a:hlinkClick xmlns:r="http://schemas.openxmlformats.org/officeDocument/2006/relationships" r:id="rId2464" tooltip="Ver detalle"/>
          <a:extLst>
            <a:ext uri="{FF2B5EF4-FFF2-40B4-BE49-F238E27FC236}">
              <a16:creationId xmlns:a16="http://schemas.microsoft.com/office/drawing/2014/main" id="{58AA3D7C-CEB1-0926-E9C1-1C98444F8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5528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2214</xdr:row>
      <xdr:rowOff>0</xdr:rowOff>
    </xdr:from>
    <xdr:to>
      <xdr:col>13</xdr:col>
      <xdr:colOff>0</xdr:colOff>
      <xdr:row>2215</xdr:row>
      <xdr:rowOff>118110</xdr:rowOff>
    </xdr:to>
    <xdr:pic>
      <xdr:nvPicPr>
        <xdr:cNvPr id="2524" name="Imagen 2523" descr="Ver detalle">
          <a:hlinkClick xmlns:r="http://schemas.openxmlformats.org/officeDocument/2006/relationships" r:id="rId2465" tooltip="Ver detalle"/>
          <a:extLst>
            <a:ext uri="{FF2B5EF4-FFF2-40B4-BE49-F238E27FC236}">
              <a16:creationId xmlns:a16="http://schemas.microsoft.com/office/drawing/2014/main" id="{645391AD-D333-9145-3B42-C18D0A73F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747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2215</xdr:row>
      <xdr:rowOff>0</xdr:rowOff>
    </xdr:from>
    <xdr:to>
      <xdr:col>13</xdr:col>
      <xdr:colOff>0</xdr:colOff>
      <xdr:row>2216</xdr:row>
      <xdr:rowOff>118110</xdr:rowOff>
    </xdr:to>
    <xdr:pic>
      <xdr:nvPicPr>
        <xdr:cNvPr id="2525" name="Imagen 2524" descr="Ver detalle">
          <a:hlinkClick xmlns:r="http://schemas.openxmlformats.org/officeDocument/2006/relationships" r:id="rId2466" tooltip="Ver detalle"/>
          <a:extLst>
            <a:ext uri="{FF2B5EF4-FFF2-40B4-BE49-F238E27FC236}">
              <a16:creationId xmlns:a16="http://schemas.microsoft.com/office/drawing/2014/main" id="{D6CD032E-D2AA-ED15-87B8-5A51FB93D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839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2218</xdr:row>
      <xdr:rowOff>0</xdr:rowOff>
    </xdr:from>
    <xdr:to>
      <xdr:col>13</xdr:col>
      <xdr:colOff>0</xdr:colOff>
      <xdr:row>2219</xdr:row>
      <xdr:rowOff>118110</xdr:rowOff>
    </xdr:to>
    <xdr:pic>
      <xdr:nvPicPr>
        <xdr:cNvPr id="2526" name="Imagen 2525" descr="Ver detalle">
          <a:hlinkClick xmlns:r="http://schemas.openxmlformats.org/officeDocument/2006/relationships" r:id="rId2467" tooltip="Ver detalle"/>
          <a:extLst>
            <a:ext uri="{FF2B5EF4-FFF2-40B4-BE49-F238E27FC236}">
              <a16:creationId xmlns:a16="http://schemas.microsoft.com/office/drawing/2014/main" id="{AF158A7C-B770-537C-5F1E-10DDBF94F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930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2216</xdr:row>
      <xdr:rowOff>0</xdr:rowOff>
    </xdr:from>
    <xdr:to>
      <xdr:col>13</xdr:col>
      <xdr:colOff>0</xdr:colOff>
      <xdr:row>2217</xdr:row>
      <xdr:rowOff>118110</xdr:rowOff>
    </xdr:to>
    <xdr:pic>
      <xdr:nvPicPr>
        <xdr:cNvPr id="2527" name="Imagen 2526" descr="Ver detalle">
          <a:hlinkClick xmlns:r="http://schemas.openxmlformats.org/officeDocument/2006/relationships" r:id="rId2468" tooltip="Ver detalle"/>
          <a:extLst>
            <a:ext uri="{FF2B5EF4-FFF2-40B4-BE49-F238E27FC236}">
              <a16:creationId xmlns:a16="http://schemas.microsoft.com/office/drawing/2014/main" id="{03DA152B-DE87-5514-8A85-78E234BD83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0740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2232</xdr:row>
      <xdr:rowOff>0</xdr:rowOff>
    </xdr:from>
    <xdr:to>
      <xdr:col>13</xdr:col>
      <xdr:colOff>0</xdr:colOff>
      <xdr:row>2233</xdr:row>
      <xdr:rowOff>118110</xdr:rowOff>
    </xdr:to>
    <xdr:pic>
      <xdr:nvPicPr>
        <xdr:cNvPr id="2528" name="Imagen 2527" descr="Ver detalle">
          <a:hlinkClick xmlns:r="http://schemas.openxmlformats.org/officeDocument/2006/relationships" r:id="rId2469" tooltip="Ver detalle"/>
          <a:extLst>
            <a:ext uri="{FF2B5EF4-FFF2-40B4-BE49-F238E27FC236}">
              <a16:creationId xmlns:a16="http://schemas.microsoft.com/office/drawing/2014/main" id="{4D30C410-7CD8-712D-4407-DC846E771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269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2211</xdr:row>
      <xdr:rowOff>0</xdr:rowOff>
    </xdr:from>
    <xdr:to>
      <xdr:col>13</xdr:col>
      <xdr:colOff>0</xdr:colOff>
      <xdr:row>2212</xdr:row>
      <xdr:rowOff>118110</xdr:rowOff>
    </xdr:to>
    <xdr:pic>
      <xdr:nvPicPr>
        <xdr:cNvPr id="2529" name="Imagen 2528" descr="Ver detalle">
          <a:hlinkClick xmlns:r="http://schemas.openxmlformats.org/officeDocument/2006/relationships" r:id="rId2470" tooltip="Ver detalle"/>
          <a:extLst>
            <a:ext uri="{FF2B5EF4-FFF2-40B4-BE49-F238E27FC236}">
              <a16:creationId xmlns:a16="http://schemas.microsoft.com/office/drawing/2014/main" id="{68DD5C31-4676-198E-F544-B1982D87F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464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2233</xdr:row>
      <xdr:rowOff>0</xdr:rowOff>
    </xdr:from>
    <xdr:to>
      <xdr:col>13</xdr:col>
      <xdr:colOff>0</xdr:colOff>
      <xdr:row>2234</xdr:row>
      <xdr:rowOff>118110</xdr:rowOff>
    </xdr:to>
    <xdr:pic>
      <xdr:nvPicPr>
        <xdr:cNvPr id="2530" name="Imagen 2529" descr="Ver detalle">
          <a:hlinkClick xmlns:r="http://schemas.openxmlformats.org/officeDocument/2006/relationships" r:id="rId2471" tooltip="Ver detalle"/>
          <a:extLst>
            <a:ext uri="{FF2B5EF4-FFF2-40B4-BE49-F238E27FC236}">
              <a16:creationId xmlns:a16="http://schemas.microsoft.com/office/drawing/2014/main" id="{1F73DFFC-4F8A-7599-5889-49B2F26C4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555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2234</xdr:row>
      <xdr:rowOff>0</xdr:rowOff>
    </xdr:from>
    <xdr:to>
      <xdr:col>13</xdr:col>
      <xdr:colOff>0</xdr:colOff>
      <xdr:row>2235</xdr:row>
      <xdr:rowOff>118110</xdr:rowOff>
    </xdr:to>
    <xdr:pic>
      <xdr:nvPicPr>
        <xdr:cNvPr id="2531" name="Imagen 2530" descr="Ver detalle">
          <a:hlinkClick xmlns:r="http://schemas.openxmlformats.org/officeDocument/2006/relationships" r:id="rId2472" tooltip="Ver detalle"/>
          <a:extLst>
            <a:ext uri="{FF2B5EF4-FFF2-40B4-BE49-F238E27FC236}">
              <a16:creationId xmlns:a16="http://schemas.microsoft.com/office/drawing/2014/main" id="{2E7A3A04-B80F-C7EC-CF76-D946F60F6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750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2235</xdr:row>
      <xdr:rowOff>0</xdr:rowOff>
    </xdr:from>
    <xdr:to>
      <xdr:col>13</xdr:col>
      <xdr:colOff>0</xdr:colOff>
      <xdr:row>2236</xdr:row>
      <xdr:rowOff>118110</xdr:rowOff>
    </xdr:to>
    <xdr:pic>
      <xdr:nvPicPr>
        <xdr:cNvPr id="2532" name="Imagen 2531" descr="Ver detalle">
          <a:hlinkClick xmlns:r="http://schemas.openxmlformats.org/officeDocument/2006/relationships" r:id="rId2473" tooltip="Ver detalle"/>
          <a:extLst>
            <a:ext uri="{FF2B5EF4-FFF2-40B4-BE49-F238E27FC236}">
              <a16:creationId xmlns:a16="http://schemas.microsoft.com/office/drawing/2014/main" id="{175C7707-1027-C19D-67B1-BB6250B4B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9458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2236</xdr:row>
      <xdr:rowOff>0</xdr:rowOff>
    </xdr:from>
    <xdr:to>
      <xdr:col>13</xdr:col>
      <xdr:colOff>0</xdr:colOff>
      <xdr:row>2237</xdr:row>
      <xdr:rowOff>118110</xdr:rowOff>
    </xdr:to>
    <xdr:pic>
      <xdr:nvPicPr>
        <xdr:cNvPr id="2533" name="Imagen 2532" descr="Ver detalle">
          <a:hlinkClick xmlns:r="http://schemas.openxmlformats.org/officeDocument/2006/relationships" r:id="rId2474" tooltip="Ver detalle"/>
          <a:extLst>
            <a:ext uri="{FF2B5EF4-FFF2-40B4-BE49-F238E27FC236}">
              <a16:creationId xmlns:a16="http://schemas.microsoft.com/office/drawing/2014/main" id="{537D8810-45B2-3744-B8DE-32F109BF8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1408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2237</xdr:row>
      <xdr:rowOff>0</xdr:rowOff>
    </xdr:from>
    <xdr:to>
      <xdr:col>13</xdr:col>
      <xdr:colOff>0</xdr:colOff>
      <xdr:row>2238</xdr:row>
      <xdr:rowOff>118110</xdr:rowOff>
    </xdr:to>
    <xdr:pic>
      <xdr:nvPicPr>
        <xdr:cNvPr id="2534" name="Imagen 2533" descr="Ver detalle">
          <a:hlinkClick xmlns:r="http://schemas.openxmlformats.org/officeDocument/2006/relationships" r:id="rId2475" tooltip="Ver detalle"/>
          <a:extLst>
            <a:ext uri="{FF2B5EF4-FFF2-40B4-BE49-F238E27FC236}">
              <a16:creationId xmlns:a16="http://schemas.microsoft.com/office/drawing/2014/main" id="{4411D9F1-B582-7605-6385-EF674C625C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335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2238</xdr:row>
      <xdr:rowOff>0</xdr:rowOff>
    </xdr:from>
    <xdr:to>
      <xdr:col>13</xdr:col>
      <xdr:colOff>0</xdr:colOff>
      <xdr:row>2239</xdr:row>
      <xdr:rowOff>118110</xdr:rowOff>
    </xdr:to>
    <xdr:pic>
      <xdr:nvPicPr>
        <xdr:cNvPr id="2535" name="Imagen 2534" descr="Ver detalle">
          <a:hlinkClick xmlns:r="http://schemas.openxmlformats.org/officeDocument/2006/relationships" r:id="rId2476" tooltip="Ver detalle"/>
          <a:extLst>
            <a:ext uri="{FF2B5EF4-FFF2-40B4-BE49-F238E27FC236}">
              <a16:creationId xmlns:a16="http://schemas.microsoft.com/office/drawing/2014/main" id="{5BF16822-F298-074C-E8FC-C555B474D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531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2239</xdr:row>
      <xdr:rowOff>0</xdr:rowOff>
    </xdr:from>
    <xdr:to>
      <xdr:col>13</xdr:col>
      <xdr:colOff>0</xdr:colOff>
      <xdr:row>2240</xdr:row>
      <xdr:rowOff>118110</xdr:rowOff>
    </xdr:to>
    <xdr:pic>
      <xdr:nvPicPr>
        <xdr:cNvPr id="2536" name="Imagen 2535" descr="Ver detalle">
          <a:hlinkClick xmlns:r="http://schemas.openxmlformats.org/officeDocument/2006/relationships" r:id="rId2477" tooltip="Ver detalle"/>
          <a:extLst>
            <a:ext uri="{FF2B5EF4-FFF2-40B4-BE49-F238E27FC236}">
              <a16:creationId xmlns:a16="http://schemas.microsoft.com/office/drawing/2014/main" id="{BBA82BBA-1542-B881-8FCA-DDAF0F0B47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726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2241</xdr:row>
      <xdr:rowOff>0</xdr:rowOff>
    </xdr:from>
    <xdr:to>
      <xdr:col>13</xdr:col>
      <xdr:colOff>0</xdr:colOff>
      <xdr:row>2242</xdr:row>
      <xdr:rowOff>118110</xdr:rowOff>
    </xdr:to>
    <xdr:pic>
      <xdr:nvPicPr>
        <xdr:cNvPr id="2537" name="Imagen 2536" descr="Ver detalle">
          <a:hlinkClick xmlns:r="http://schemas.openxmlformats.org/officeDocument/2006/relationships" r:id="rId2478" tooltip="Ver detalle"/>
          <a:extLst>
            <a:ext uri="{FF2B5EF4-FFF2-40B4-BE49-F238E27FC236}">
              <a16:creationId xmlns:a16="http://schemas.microsoft.com/office/drawing/2014/main" id="{4CE5B5DD-6F1C-DC67-A147-D8B36F755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116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2242</xdr:row>
      <xdr:rowOff>0</xdr:rowOff>
    </xdr:from>
    <xdr:to>
      <xdr:col>13</xdr:col>
      <xdr:colOff>0</xdr:colOff>
      <xdr:row>2243</xdr:row>
      <xdr:rowOff>118110</xdr:rowOff>
    </xdr:to>
    <xdr:pic>
      <xdr:nvPicPr>
        <xdr:cNvPr id="2538" name="Imagen 2537" descr="Ver detalle">
          <a:hlinkClick xmlns:r="http://schemas.openxmlformats.org/officeDocument/2006/relationships" r:id="rId2479" tooltip="Ver detalle"/>
          <a:extLst>
            <a:ext uri="{FF2B5EF4-FFF2-40B4-BE49-F238E27FC236}">
              <a16:creationId xmlns:a16="http://schemas.microsoft.com/office/drawing/2014/main" id="{83213A21-5F12-F50F-8B14-3883A1B4CE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311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2219</xdr:row>
      <xdr:rowOff>0</xdr:rowOff>
    </xdr:from>
    <xdr:to>
      <xdr:col>13</xdr:col>
      <xdr:colOff>0</xdr:colOff>
      <xdr:row>2220</xdr:row>
      <xdr:rowOff>118110</xdr:rowOff>
    </xdr:to>
    <xdr:pic>
      <xdr:nvPicPr>
        <xdr:cNvPr id="2539" name="Imagen 2538" descr="Ver detalle">
          <a:hlinkClick xmlns:r="http://schemas.openxmlformats.org/officeDocument/2006/relationships" r:id="rId2480" tooltip="Ver detalle"/>
          <a:extLst>
            <a:ext uri="{FF2B5EF4-FFF2-40B4-BE49-F238E27FC236}">
              <a16:creationId xmlns:a16="http://schemas.microsoft.com/office/drawing/2014/main" id="{71CF00C6-27B3-0A20-84BA-D598FAC4B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506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2209</xdr:row>
      <xdr:rowOff>0</xdr:rowOff>
    </xdr:from>
    <xdr:to>
      <xdr:col>13</xdr:col>
      <xdr:colOff>0</xdr:colOff>
      <xdr:row>2210</xdr:row>
      <xdr:rowOff>118110</xdr:rowOff>
    </xdr:to>
    <xdr:pic>
      <xdr:nvPicPr>
        <xdr:cNvPr id="2540" name="Imagen 2539" descr="Ver detalle">
          <a:hlinkClick xmlns:r="http://schemas.openxmlformats.org/officeDocument/2006/relationships" r:id="rId2481" tooltip="Ver detalle"/>
          <a:extLst>
            <a:ext uri="{FF2B5EF4-FFF2-40B4-BE49-F238E27FC236}">
              <a16:creationId xmlns:a16="http://schemas.microsoft.com/office/drawing/2014/main" id="{DCB22599-4D87-898F-B370-D21929946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636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2207</xdr:row>
      <xdr:rowOff>0</xdr:rowOff>
    </xdr:from>
    <xdr:to>
      <xdr:col>13</xdr:col>
      <xdr:colOff>0</xdr:colOff>
      <xdr:row>2208</xdr:row>
      <xdr:rowOff>118110</xdr:rowOff>
    </xdr:to>
    <xdr:pic>
      <xdr:nvPicPr>
        <xdr:cNvPr id="2541" name="Imagen 2540" descr="Ver detalle">
          <a:hlinkClick xmlns:r="http://schemas.openxmlformats.org/officeDocument/2006/relationships" r:id="rId2482" tooltip="Ver detalle"/>
          <a:extLst>
            <a:ext uri="{FF2B5EF4-FFF2-40B4-BE49-F238E27FC236}">
              <a16:creationId xmlns:a16="http://schemas.microsoft.com/office/drawing/2014/main" id="{06753466-DD90-A47A-82F9-B4AE06306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766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2222</xdr:row>
      <xdr:rowOff>0</xdr:rowOff>
    </xdr:from>
    <xdr:to>
      <xdr:col>13</xdr:col>
      <xdr:colOff>0</xdr:colOff>
      <xdr:row>2223</xdr:row>
      <xdr:rowOff>118110</xdr:rowOff>
    </xdr:to>
    <xdr:pic>
      <xdr:nvPicPr>
        <xdr:cNvPr id="2542" name="Imagen 2541" descr="Ver detalle">
          <a:hlinkClick xmlns:r="http://schemas.openxmlformats.org/officeDocument/2006/relationships" r:id="rId2483" tooltip="Ver detalle"/>
          <a:extLst>
            <a:ext uri="{FF2B5EF4-FFF2-40B4-BE49-F238E27FC236}">
              <a16:creationId xmlns:a16="http://schemas.microsoft.com/office/drawing/2014/main" id="{255B834F-C3ED-9B4B-8B2B-F8C5FC077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9620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2204</xdr:row>
      <xdr:rowOff>0</xdr:rowOff>
    </xdr:from>
    <xdr:to>
      <xdr:col>13</xdr:col>
      <xdr:colOff>0</xdr:colOff>
      <xdr:row>2205</xdr:row>
      <xdr:rowOff>118110</xdr:rowOff>
    </xdr:to>
    <xdr:pic>
      <xdr:nvPicPr>
        <xdr:cNvPr id="2543" name="Imagen 2542" descr="Ver detalle">
          <a:hlinkClick xmlns:r="http://schemas.openxmlformats.org/officeDocument/2006/relationships" r:id="rId2484" tooltip="Ver detalle"/>
          <a:extLst>
            <a:ext uri="{FF2B5EF4-FFF2-40B4-BE49-F238E27FC236}">
              <a16:creationId xmlns:a16="http://schemas.microsoft.com/office/drawing/2014/main" id="{504D8F4A-3FCC-1AB2-9B0F-DFAD38397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1571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2200</xdr:row>
      <xdr:rowOff>0</xdr:rowOff>
    </xdr:from>
    <xdr:to>
      <xdr:col>13</xdr:col>
      <xdr:colOff>0</xdr:colOff>
      <xdr:row>2201</xdr:row>
      <xdr:rowOff>118110</xdr:rowOff>
    </xdr:to>
    <xdr:pic>
      <xdr:nvPicPr>
        <xdr:cNvPr id="2544" name="Imagen 2543" descr="Ver detalle">
          <a:hlinkClick xmlns:r="http://schemas.openxmlformats.org/officeDocument/2006/relationships" r:id="rId2485" tooltip="Ver detalle"/>
          <a:extLst>
            <a:ext uri="{FF2B5EF4-FFF2-40B4-BE49-F238E27FC236}">
              <a16:creationId xmlns:a16="http://schemas.microsoft.com/office/drawing/2014/main" id="{78C57E04-7660-20D9-CAF0-45C5BC513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352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2205</xdr:row>
      <xdr:rowOff>0</xdr:rowOff>
    </xdr:from>
    <xdr:to>
      <xdr:col>13</xdr:col>
      <xdr:colOff>0</xdr:colOff>
      <xdr:row>2206</xdr:row>
      <xdr:rowOff>118110</xdr:rowOff>
    </xdr:to>
    <xdr:pic>
      <xdr:nvPicPr>
        <xdr:cNvPr id="2545" name="Imagen 2544" descr="Ver detalle">
          <a:hlinkClick xmlns:r="http://schemas.openxmlformats.org/officeDocument/2006/relationships" r:id="rId2486" tooltip="Ver detalle"/>
          <a:extLst>
            <a:ext uri="{FF2B5EF4-FFF2-40B4-BE49-F238E27FC236}">
              <a16:creationId xmlns:a16="http://schemas.microsoft.com/office/drawing/2014/main" id="{CBF3BDC1-9FBF-107C-B5E3-876B4752D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456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2202</xdr:row>
      <xdr:rowOff>0</xdr:rowOff>
    </xdr:from>
    <xdr:to>
      <xdr:col>13</xdr:col>
      <xdr:colOff>0</xdr:colOff>
      <xdr:row>2203</xdr:row>
      <xdr:rowOff>118110</xdr:rowOff>
    </xdr:to>
    <xdr:pic>
      <xdr:nvPicPr>
        <xdr:cNvPr id="2546" name="Imagen 2545" descr="Ver detalle">
          <a:hlinkClick xmlns:r="http://schemas.openxmlformats.org/officeDocument/2006/relationships" r:id="rId2487" tooltip="Ver detalle"/>
          <a:extLst>
            <a:ext uri="{FF2B5EF4-FFF2-40B4-BE49-F238E27FC236}">
              <a16:creationId xmlns:a16="http://schemas.microsoft.com/office/drawing/2014/main" id="{A6E0E792-A87A-8309-CD28-4A3A86891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586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2206</xdr:row>
      <xdr:rowOff>0</xdr:rowOff>
    </xdr:from>
    <xdr:to>
      <xdr:col>13</xdr:col>
      <xdr:colOff>0</xdr:colOff>
      <xdr:row>2207</xdr:row>
      <xdr:rowOff>118110</xdr:rowOff>
    </xdr:to>
    <xdr:pic>
      <xdr:nvPicPr>
        <xdr:cNvPr id="2547" name="Imagen 2546" descr="Ver detalle">
          <a:hlinkClick xmlns:r="http://schemas.openxmlformats.org/officeDocument/2006/relationships" r:id="rId2488" tooltip="Ver detalle"/>
          <a:extLst>
            <a:ext uri="{FF2B5EF4-FFF2-40B4-BE49-F238E27FC236}">
              <a16:creationId xmlns:a16="http://schemas.microsoft.com/office/drawing/2014/main" id="{E13C011B-B4D1-3BC4-50E9-D71BFB9EC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678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2210</xdr:row>
      <xdr:rowOff>0</xdr:rowOff>
    </xdr:from>
    <xdr:to>
      <xdr:col>13</xdr:col>
      <xdr:colOff>0</xdr:colOff>
      <xdr:row>2211</xdr:row>
      <xdr:rowOff>118110</xdr:rowOff>
    </xdr:to>
    <xdr:pic>
      <xdr:nvPicPr>
        <xdr:cNvPr id="2548" name="Imagen 2547" descr="Ver detalle">
          <a:hlinkClick xmlns:r="http://schemas.openxmlformats.org/officeDocument/2006/relationships" r:id="rId2489" tooltip="Ver detalle"/>
          <a:extLst>
            <a:ext uri="{FF2B5EF4-FFF2-40B4-BE49-F238E27FC236}">
              <a16:creationId xmlns:a16="http://schemas.microsoft.com/office/drawing/2014/main" id="{A84D6050-E06B-7092-39CD-C43FDA6FE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8734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2203</xdr:row>
      <xdr:rowOff>0</xdr:rowOff>
    </xdr:from>
    <xdr:to>
      <xdr:col>13</xdr:col>
      <xdr:colOff>0</xdr:colOff>
      <xdr:row>2204</xdr:row>
      <xdr:rowOff>118110</xdr:rowOff>
    </xdr:to>
    <xdr:pic>
      <xdr:nvPicPr>
        <xdr:cNvPr id="2549" name="Imagen 2548" descr="Ver detalle">
          <a:hlinkClick xmlns:r="http://schemas.openxmlformats.org/officeDocument/2006/relationships" r:id="rId2490" tooltip="Ver detalle"/>
          <a:extLst>
            <a:ext uri="{FF2B5EF4-FFF2-40B4-BE49-F238E27FC236}">
              <a16:creationId xmlns:a16="http://schemas.microsoft.com/office/drawing/2014/main" id="{15B5232D-738D-DD6C-BB5B-B667F0954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1068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2229</xdr:row>
      <xdr:rowOff>0</xdr:rowOff>
    </xdr:from>
    <xdr:to>
      <xdr:col>13</xdr:col>
      <xdr:colOff>0</xdr:colOff>
      <xdr:row>2230</xdr:row>
      <xdr:rowOff>114300</xdr:rowOff>
    </xdr:to>
    <xdr:pic>
      <xdr:nvPicPr>
        <xdr:cNvPr id="2550" name="Imagen 2549" descr="Ver detalle">
          <a:hlinkClick xmlns:r="http://schemas.openxmlformats.org/officeDocument/2006/relationships" r:id="rId2491" tooltip="Ver detalle"/>
          <a:extLst>
            <a:ext uri="{FF2B5EF4-FFF2-40B4-BE49-F238E27FC236}">
              <a16:creationId xmlns:a16="http://schemas.microsoft.com/office/drawing/2014/main" id="{F2D7E11E-86BD-AF39-DCCE-1BCDA9CB2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1159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2320</xdr:row>
      <xdr:rowOff>0</xdr:rowOff>
    </xdr:from>
    <xdr:to>
      <xdr:col>13</xdr:col>
      <xdr:colOff>0</xdr:colOff>
      <xdr:row>2321</xdr:row>
      <xdr:rowOff>114300</xdr:rowOff>
    </xdr:to>
    <xdr:pic>
      <xdr:nvPicPr>
        <xdr:cNvPr id="2551" name="Imagen 2550" descr="Ver detalle">
          <a:hlinkClick xmlns:r="http://schemas.openxmlformats.org/officeDocument/2006/relationships" r:id="rId2492" tooltip="Ver detalle"/>
          <a:extLst>
            <a:ext uri="{FF2B5EF4-FFF2-40B4-BE49-F238E27FC236}">
              <a16:creationId xmlns:a16="http://schemas.microsoft.com/office/drawing/2014/main" id="{7B14A6B7-DAD1-08FB-0E59-3B3BAC160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3556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2320</xdr:row>
      <xdr:rowOff>0</xdr:rowOff>
    </xdr:from>
    <xdr:to>
      <xdr:col>13</xdr:col>
      <xdr:colOff>299085</xdr:colOff>
      <xdr:row>2321</xdr:row>
      <xdr:rowOff>114300</xdr:rowOff>
    </xdr:to>
    <xdr:pic>
      <xdr:nvPicPr>
        <xdr:cNvPr id="2552" name="Imagen 2551">
          <a:hlinkClick xmlns:r="http://schemas.openxmlformats.org/officeDocument/2006/relationships" r:id="rId2493" tooltip="Quitar este incidente de la liquidación"/>
          <a:extLst>
            <a:ext uri="{FF2B5EF4-FFF2-40B4-BE49-F238E27FC236}">
              <a16:creationId xmlns:a16="http://schemas.microsoft.com/office/drawing/2014/main" id="{B533C888-D09C-39D6-757E-EE804032A1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3556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2321</xdr:row>
      <xdr:rowOff>0</xdr:rowOff>
    </xdr:from>
    <xdr:to>
      <xdr:col>13</xdr:col>
      <xdr:colOff>0</xdr:colOff>
      <xdr:row>2322</xdr:row>
      <xdr:rowOff>114300</xdr:rowOff>
    </xdr:to>
    <xdr:pic>
      <xdr:nvPicPr>
        <xdr:cNvPr id="2553" name="Imagen 2552" descr="Ver detalle">
          <a:hlinkClick xmlns:r="http://schemas.openxmlformats.org/officeDocument/2006/relationships" r:id="rId2494" tooltip="Ver detalle"/>
          <a:extLst>
            <a:ext uri="{FF2B5EF4-FFF2-40B4-BE49-F238E27FC236}">
              <a16:creationId xmlns:a16="http://schemas.microsoft.com/office/drawing/2014/main" id="{D21FEDEC-6B28-99EB-78EC-30B53DE30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3800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2321</xdr:row>
      <xdr:rowOff>0</xdr:rowOff>
    </xdr:from>
    <xdr:to>
      <xdr:col>13</xdr:col>
      <xdr:colOff>299085</xdr:colOff>
      <xdr:row>2322</xdr:row>
      <xdr:rowOff>114300</xdr:rowOff>
    </xdr:to>
    <xdr:pic>
      <xdr:nvPicPr>
        <xdr:cNvPr id="2554" name="Imagen 2553">
          <a:hlinkClick xmlns:r="http://schemas.openxmlformats.org/officeDocument/2006/relationships" r:id="rId2495" tooltip="Quitar este incidente de la liquidación"/>
          <a:extLst>
            <a:ext uri="{FF2B5EF4-FFF2-40B4-BE49-F238E27FC236}">
              <a16:creationId xmlns:a16="http://schemas.microsoft.com/office/drawing/2014/main" id="{A615D59F-3C5E-172A-0081-28CB9890A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3800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2322</xdr:row>
      <xdr:rowOff>0</xdr:rowOff>
    </xdr:from>
    <xdr:to>
      <xdr:col>13</xdr:col>
      <xdr:colOff>0</xdr:colOff>
      <xdr:row>2323</xdr:row>
      <xdr:rowOff>114300</xdr:rowOff>
    </xdr:to>
    <xdr:pic>
      <xdr:nvPicPr>
        <xdr:cNvPr id="2555" name="Imagen 2554" descr="Ver detalle">
          <a:hlinkClick xmlns:r="http://schemas.openxmlformats.org/officeDocument/2006/relationships" r:id="rId2496" tooltip="Ver detalle"/>
          <a:extLst>
            <a:ext uri="{FF2B5EF4-FFF2-40B4-BE49-F238E27FC236}">
              <a16:creationId xmlns:a16="http://schemas.microsoft.com/office/drawing/2014/main" id="{9BABF004-A96C-4F29-A9F2-7A75C9E55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4044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2322</xdr:row>
      <xdr:rowOff>0</xdr:rowOff>
    </xdr:from>
    <xdr:to>
      <xdr:col>13</xdr:col>
      <xdr:colOff>299085</xdr:colOff>
      <xdr:row>2323</xdr:row>
      <xdr:rowOff>114300</xdr:rowOff>
    </xdr:to>
    <xdr:pic>
      <xdr:nvPicPr>
        <xdr:cNvPr id="2556" name="Imagen 2555">
          <a:hlinkClick xmlns:r="http://schemas.openxmlformats.org/officeDocument/2006/relationships" r:id="rId2497" tooltip="Quitar este incidente de la liquidación"/>
          <a:extLst>
            <a:ext uri="{FF2B5EF4-FFF2-40B4-BE49-F238E27FC236}">
              <a16:creationId xmlns:a16="http://schemas.microsoft.com/office/drawing/2014/main" id="{F70D524E-8278-DDF5-F904-AF12F7C9B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4044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2323</xdr:row>
      <xdr:rowOff>0</xdr:rowOff>
    </xdr:from>
    <xdr:to>
      <xdr:col>13</xdr:col>
      <xdr:colOff>0</xdr:colOff>
      <xdr:row>2324</xdr:row>
      <xdr:rowOff>114300</xdr:rowOff>
    </xdr:to>
    <xdr:pic>
      <xdr:nvPicPr>
        <xdr:cNvPr id="2557" name="Imagen 2556" descr="Ver detalle">
          <a:hlinkClick xmlns:r="http://schemas.openxmlformats.org/officeDocument/2006/relationships" r:id="rId2498" tooltip="Ver detalle"/>
          <a:extLst>
            <a:ext uri="{FF2B5EF4-FFF2-40B4-BE49-F238E27FC236}">
              <a16:creationId xmlns:a16="http://schemas.microsoft.com/office/drawing/2014/main" id="{EF58BBCA-6DED-A8B4-92E5-E2E801A17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4288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2323</xdr:row>
      <xdr:rowOff>0</xdr:rowOff>
    </xdr:from>
    <xdr:to>
      <xdr:col>13</xdr:col>
      <xdr:colOff>299085</xdr:colOff>
      <xdr:row>2324</xdr:row>
      <xdr:rowOff>114300</xdr:rowOff>
    </xdr:to>
    <xdr:pic>
      <xdr:nvPicPr>
        <xdr:cNvPr id="2558" name="Imagen 2557">
          <a:hlinkClick xmlns:r="http://schemas.openxmlformats.org/officeDocument/2006/relationships" r:id="rId2499" tooltip="Quitar este incidente de la liquidación"/>
          <a:extLst>
            <a:ext uri="{FF2B5EF4-FFF2-40B4-BE49-F238E27FC236}">
              <a16:creationId xmlns:a16="http://schemas.microsoft.com/office/drawing/2014/main" id="{4C6F98A4-1A8C-7979-A5D7-21310C46B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4288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2324</xdr:row>
      <xdr:rowOff>0</xdr:rowOff>
    </xdr:from>
    <xdr:to>
      <xdr:col>13</xdr:col>
      <xdr:colOff>0</xdr:colOff>
      <xdr:row>2325</xdr:row>
      <xdr:rowOff>114300</xdr:rowOff>
    </xdr:to>
    <xdr:pic>
      <xdr:nvPicPr>
        <xdr:cNvPr id="2559" name="Imagen 2558" descr="Ver detalle">
          <a:hlinkClick xmlns:r="http://schemas.openxmlformats.org/officeDocument/2006/relationships" r:id="rId2500" tooltip="Ver detalle"/>
          <a:extLst>
            <a:ext uri="{FF2B5EF4-FFF2-40B4-BE49-F238E27FC236}">
              <a16:creationId xmlns:a16="http://schemas.microsoft.com/office/drawing/2014/main" id="{6EBCF233-7CF2-3848-37B9-29F2DEA81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4532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2324</xdr:row>
      <xdr:rowOff>0</xdr:rowOff>
    </xdr:from>
    <xdr:to>
      <xdr:col>13</xdr:col>
      <xdr:colOff>299085</xdr:colOff>
      <xdr:row>2325</xdr:row>
      <xdr:rowOff>114300</xdr:rowOff>
    </xdr:to>
    <xdr:pic>
      <xdr:nvPicPr>
        <xdr:cNvPr id="2560" name="Imagen 2559">
          <a:hlinkClick xmlns:r="http://schemas.openxmlformats.org/officeDocument/2006/relationships" r:id="rId2501" tooltip="Quitar este incidente de la liquidación"/>
          <a:extLst>
            <a:ext uri="{FF2B5EF4-FFF2-40B4-BE49-F238E27FC236}">
              <a16:creationId xmlns:a16="http://schemas.microsoft.com/office/drawing/2014/main" id="{9B303BA8-2C04-8700-6FA9-D1D33E3762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4532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2313</xdr:row>
      <xdr:rowOff>0</xdr:rowOff>
    </xdr:from>
    <xdr:to>
      <xdr:col>13</xdr:col>
      <xdr:colOff>0</xdr:colOff>
      <xdr:row>2314</xdr:row>
      <xdr:rowOff>114300</xdr:rowOff>
    </xdr:to>
    <xdr:pic>
      <xdr:nvPicPr>
        <xdr:cNvPr id="2561" name="Imagen 2560" descr="Ver detalle">
          <a:hlinkClick xmlns:r="http://schemas.openxmlformats.org/officeDocument/2006/relationships" r:id="rId2502" tooltip="Ver detalle"/>
          <a:extLst>
            <a:ext uri="{FF2B5EF4-FFF2-40B4-BE49-F238E27FC236}">
              <a16:creationId xmlns:a16="http://schemas.microsoft.com/office/drawing/2014/main" id="{B06EDBD9-C2EE-A0AB-302B-2ED6AB89C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4776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2313</xdr:row>
      <xdr:rowOff>0</xdr:rowOff>
    </xdr:from>
    <xdr:to>
      <xdr:col>13</xdr:col>
      <xdr:colOff>299085</xdr:colOff>
      <xdr:row>2314</xdr:row>
      <xdr:rowOff>114300</xdr:rowOff>
    </xdr:to>
    <xdr:pic>
      <xdr:nvPicPr>
        <xdr:cNvPr id="2562" name="Imagen 2561">
          <a:hlinkClick xmlns:r="http://schemas.openxmlformats.org/officeDocument/2006/relationships" r:id="rId2503" tooltip="Quitar este incidente de la liquidación"/>
          <a:extLst>
            <a:ext uri="{FF2B5EF4-FFF2-40B4-BE49-F238E27FC236}">
              <a16:creationId xmlns:a16="http://schemas.microsoft.com/office/drawing/2014/main" id="{765F5334-91E5-11C7-E1FA-119B76AAD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4776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2314</xdr:row>
      <xdr:rowOff>0</xdr:rowOff>
    </xdr:from>
    <xdr:to>
      <xdr:col>13</xdr:col>
      <xdr:colOff>0</xdr:colOff>
      <xdr:row>2315</xdr:row>
      <xdr:rowOff>114300</xdr:rowOff>
    </xdr:to>
    <xdr:pic>
      <xdr:nvPicPr>
        <xdr:cNvPr id="2563" name="Imagen 2562" descr="Ver detalle">
          <a:hlinkClick xmlns:r="http://schemas.openxmlformats.org/officeDocument/2006/relationships" r:id="rId2504" tooltip="Ver detalle"/>
          <a:extLst>
            <a:ext uri="{FF2B5EF4-FFF2-40B4-BE49-F238E27FC236}">
              <a16:creationId xmlns:a16="http://schemas.microsoft.com/office/drawing/2014/main" id="{897F05A4-F5E9-C2B0-07A7-60D77B3DF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5019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2314</xdr:row>
      <xdr:rowOff>0</xdr:rowOff>
    </xdr:from>
    <xdr:to>
      <xdr:col>13</xdr:col>
      <xdr:colOff>299085</xdr:colOff>
      <xdr:row>2315</xdr:row>
      <xdr:rowOff>114300</xdr:rowOff>
    </xdr:to>
    <xdr:pic>
      <xdr:nvPicPr>
        <xdr:cNvPr id="2564" name="Imagen 2563">
          <a:hlinkClick xmlns:r="http://schemas.openxmlformats.org/officeDocument/2006/relationships" r:id="rId2505" tooltip="Quitar este incidente de la liquidación"/>
          <a:extLst>
            <a:ext uri="{FF2B5EF4-FFF2-40B4-BE49-F238E27FC236}">
              <a16:creationId xmlns:a16="http://schemas.microsoft.com/office/drawing/2014/main" id="{D26BC249-11DC-B938-A48E-C4752D45E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5019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2309</xdr:row>
      <xdr:rowOff>0</xdr:rowOff>
    </xdr:from>
    <xdr:to>
      <xdr:col>13</xdr:col>
      <xdr:colOff>0</xdr:colOff>
      <xdr:row>2310</xdr:row>
      <xdr:rowOff>114300</xdr:rowOff>
    </xdr:to>
    <xdr:pic>
      <xdr:nvPicPr>
        <xdr:cNvPr id="2565" name="Imagen 2564" descr="Ver detalle">
          <a:hlinkClick xmlns:r="http://schemas.openxmlformats.org/officeDocument/2006/relationships" r:id="rId2506" tooltip="Ver detalle"/>
          <a:extLst>
            <a:ext uri="{FF2B5EF4-FFF2-40B4-BE49-F238E27FC236}">
              <a16:creationId xmlns:a16="http://schemas.microsoft.com/office/drawing/2014/main" id="{22A28A49-00F7-EE90-2701-30AA5EAD8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5263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2309</xdr:row>
      <xdr:rowOff>0</xdr:rowOff>
    </xdr:from>
    <xdr:to>
      <xdr:col>13</xdr:col>
      <xdr:colOff>299085</xdr:colOff>
      <xdr:row>2310</xdr:row>
      <xdr:rowOff>114300</xdr:rowOff>
    </xdr:to>
    <xdr:pic>
      <xdr:nvPicPr>
        <xdr:cNvPr id="2566" name="Imagen 2565">
          <a:hlinkClick xmlns:r="http://schemas.openxmlformats.org/officeDocument/2006/relationships" r:id="rId2507" tooltip="Quitar este incidente de la liquidación"/>
          <a:extLst>
            <a:ext uri="{FF2B5EF4-FFF2-40B4-BE49-F238E27FC236}">
              <a16:creationId xmlns:a16="http://schemas.microsoft.com/office/drawing/2014/main" id="{524211B5-D613-3D4A-8FE7-78B317B29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5263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2312</xdr:row>
      <xdr:rowOff>0</xdr:rowOff>
    </xdr:from>
    <xdr:to>
      <xdr:col>13</xdr:col>
      <xdr:colOff>0</xdr:colOff>
      <xdr:row>2313</xdr:row>
      <xdr:rowOff>114300</xdr:rowOff>
    </xdr:to>
    <xdr:pic>
      <xdr:nvPicPr>
        <xdr:cNvPr id="2567" name="Imagen 2566" descr="Ver detalle">
          <a:hlinkClick xmlns:r="http://schemas.openxmlformats.org/officeDocument/2006/relationships" r:id="rId2508" tooltip="Ver detalle"/>
          <a:extLst>
            <a:ext uri="{FF2B5EF4-FFF2-40B4-BE49-F238E27FC236}">
              <a16:creationId xmlns:a16="http://schemas.microsoft.com/office/drawing/2014/main" id="{91DBE33A-C558-5770-8A06-ECC43F18E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5507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2312</xdr:row>
      <xdr:rowOff>0</xdr:rowOff>
    </xdr:from>
    <xdr:to>
      <xdr:col>13</xdr:col>
      <xdr:colOff>299085</xdr:colOff>
      <xdr:row>2313</xdr:row>
      <xdr:rowOff>114300</xdr:rowOff>
    </xdr:to>
    <xdr:pic>
      <xdr:nvPicPr>
        <xdr:cNvPr id="2568" name="Imagen 2567">
          <a:hlinkClick xmlns:r="http://schemas.openxmlformats.org/officeDocument/2006/relationships" r:id="rId2509" tooltip="Quitar este incidente de la liquidación"/>
          <a:extLst>
            <a:ext uri="{FF2B5EF4-FFF2-40B4-BE49-F238E27FC236}">
              <a16:creationId xmlns:a16="http://schemas.microsoft.com/office/drawing/2014/main" id="{8A64CB02-FD28-793F-F6CB-2ED87FE00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5507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2311</xdr:row>
      <xdr:rowOff>0</xdr:rowOff>
    </xdr:from>
    <xdr:to>
      <xdr:col>13</xdr:col>
      <xdr:colOff>0</xdr:colOff>
      <xdr:row>2312</xdr:row>
      <xdr:rowOff>114300</xdr:rowOff>
    </xdr:to>
    <xdr:pic>
      <xdr:nvPicPr>
        <xdr:cNvPr id="2569" name="Imagen 2568" descr="Ver detalle">
          <a:hlinkClick xmlns:r="http://schemas.openxmlformats.org/officeDocument/2006/relationships" r:id="rId2510" tooltip="Ver detalle"/>
          <a:extLst>
            <a:ext uri="{FF2B5EF4-FFF2-40B4-BE49-F238E27FC236}">
              <a16:creationId xmlns:a16="http://schemas.microsoft.com/office/drawing/2014/main" id="{ADCA2EFC-2C85-6AF9-67C1-8A0F47597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5751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2311</xdr:row>
      <xdr:rowOff>0</xdr:rowOff>
    </xdr:from>
    <xdr:to>
      <xdr:col>13</xdr:col>
      <xdr:colOff>299085</xdr:colOff>
      <xdr:row>2312</xdr:row>
      <xdr:rowOff>114300</xdr:rowOff>
    </xdr:to>
    <xdr:pic>
      <xdr:nvPicPr>
        <xdr:cNvPr id="2570" name="Imagen 2569">
          <a:hlinkClick xmlns:r="http://schemas.openxmlformats.org/officeDocument/2006/relationships" r:id="rId2511" tooltip="Quitar este incidente de la liquidación"/>
          <a:extLst>
            <a:ext uri="{FF2B5EF4-FFF2-40B4-BE49-F238E27FC236}">
              <a16:creationId xmlns:a16="http://schemas.microsoft.com/office/drawing/2014/main" id="{2D4DB123-E20B-8BEF-B866-746E3B72C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5751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2310</xdr:row>
      <xdr:rowOff>0</xdr:rowOff>
    </xdr:from>
    <xdr:to>
      <xdr:col>13</xdr:col>
      <xdr:colOff>0</xdr:colOff>
      <xdr:row>2311</xdr:row>
      <xdr:rowOff>114300</xdr:rowOff>
    </xdr:to>
    <xdr:pic>
      <xdr:nvPicPr>
        <xdr:cNvPr id="2571" name="Imagen 2570" descr="Ver detalle">
          <a:hlinkClick xmlns:r="http://schemas.openxmlformats.org/officeDocument/2006/relationships" r:id="rId2512" tooltip="Ver detalle"/>
          <a:extLst>
            <a:ext uri="{FF2B5EF4-FFF2-40B4-BE49-F238E27FC236}">
              <a16:creationId xmlns:a16="http://schemas.microsoft.com/office/drawing/2014/main" id="{F2DEA32E-0B94-1C4E-1A40-33E82B430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5995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2310</xdr:row>
      <xdr:rowOff>0</xdr:rowOff>
    </xdr:from>
    <xdr:to>
      <xdr:col>13</xdr:col>
      <xdr:colOff>299085</xdr:colOff>
      <xdr:row>2311</xdr:row>
      <xdr:rowOff>114300</xdr:rowOff>
    </xdr:to>
    <xdr:pic>
      <xdr:nvPicPr>
        <xdr:cNvPr id="2572" name="Imagen 2571">
          <a:hlinkClick xmlns:r="http://schemas.openxmlformats.org/officeDocument/2006/relationships" r:id="rId2513" tooltip="Quitar este incidente de la liquidación"/>
          <a:extLst>
            <a:ext uri="{FF2B5EF4-FFF2-40B4-BE49-F238E27FC236}">
              <a16:creationId xmlns:a16="http://schemas.microsoft.com/office/drawing/2014/main" id="{D849BFC3-AEB5-CB62-7DBC-0C454297D9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5995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2305</xdr:row>
      <xdr:rowOff>0</xdr:rowOff>
    </xdr:from>
    <xdr:to>
      <xdr:col>13</xdr:col>
      <xdr:colOff>0</xdr:colOff>
      <xdr:row>2306</xdr:row>
      <xdr:rowOff>114300</xdr:rowOff>
    </xdr:to>
    <xdr:pic>
      <xdr:nvPicPr>
        <xdr:cNvPr id="2573" name="Imagen 2572" descr="Ver detalle">
          <a:hlinkClick xmlns:r="http://schemas.openxmlformats.org/officeDocument/2006/relationships" r:id="rId2514" tooltip="Ver detalle"/>
          <a:extLst>
            <a:ext uri="{FF2B5EF4-FFF2-40B4-BE49-F238E27FC236}">
              <a16:creationId xmlns:a16="http://schemas.microsoft.com/office/drawing/2014/main" id="{87123F6A-2B3A-840D-014E-182AA4A94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6239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2305</xdr:row>
      <xdr:rowOff>0</xdr:rowOff>
    </xdr:from>
    <xdr:to>
      <xdr:col>13</xdr:col>
      <xdr:colOff>299085</xdr:colOff>
      <xdr:row>2306</xdr:row>
      <xdr:rowOff>114300</xdr:rowOff>
    </xdr:to>
    <xdr:pic>
      <xdr:nvPicPr>
        <xdr:cNvPr id="2574" name="Imagen 2573">
          <a:hlinkClick xmlns:r="http://schemas.openxmlformats.org/officeDocument/2006/relationships" r:id="rId2515" tooltip="Quitar este incidente de la liquidación"/>
          <a:extLst>
            <a:ext uri="{FF2B5EF4-FFF2-40B4-BE49-F238E27FC236}">
              <a16:creationId xmlns:a16="http://schemas.microsoft.com/office/drawing/2014/main" id="{03180E11-6198-2B92-0544-A3B9E61EA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6239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2315</xdr:row>
      <xdr:rowOff>0</xdr:rowOff>
    </xdr:from>
    <xdr:to>
      <xdr:col>13</xdr:col>
      <xdr:colOff>0</xdr:colOff>
      <xdr:row>2316</xdr:row>
      <xdr:rowOff>110490</xdr:rowOff>
    </xdr:to>
    <xdr:pic>
      <xdr:nvPicPr>
        <xdr:cNvPr id="2575" name="Imagen 2574" descr="Ver detalle">
          <a:hlinkClick xmlns:r="http://schemas.openxmlformats.org/officeDocument/2006/relationships" r:id="rId2516" tooltip="Ver detalle"/>
          <a:extLst>
            <a:ext uri="{FF2B5EF4-FFF2-40B4-BE49-F238E27FC236}">
              <a16:creationId xmlns:a16="http://schemas.microsoft.com/office/drawing/2014/main" id="{00D5BE8E-01E8-811E-B555-7FC9BE032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6482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2315</xdr:row>
      <xdr:rowOff>0</xdr:rowOff>
    </xdr:from>
    <xdr:to>
      <xdr:col>13</xdr:col>
      <xdr:colOff>299085</xdr:colOff>
      <xdr:row>2316</xdr:row>
      <xdr:rowOff>110490</xdr:rowOff>
    </xdr:to>
    <xdr:pic>
      <xdr:nvPicPr>
        <xdr:cNvPr id="2576" name="Imagen 2575">
          <a:hlinkClick xmlns:r="http://schemas.openxmlformats.org/officeDocument/2006/relationships" r:id="rId2517" tooltip="Quitar este incidente de la liquidación"/>
          <a:extLst>
            <a:ext uri="{FF2B5EF4-FFF2-40B4-BE49-F238E27FC236}">
              <a16:creationId xmlns:a16="http://schemas.microsoft.com/office/drawing/2014/main" id="{1FA7289B-12F6-2F0E-263F-AC4923B04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6482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2306</xdr:row>
      <xdr:rowOff>0</xdr:rowOff>
    </xdr:from>
    <xdr:to>
      <xdr:col>13</xdr:col>
      <xdr:colOff>0</xdr:colOff>
      <xdr:row>2307</xdr:row>
      <xdr:rowOff>114300</xdr:rowOff>
    </xdr:to>
    <xdr:pic>
      <xdr:nvPicPr>
        <xdr:cNvPr id="2577" name="Imagen 2576" descr="Ver detalle">
          <a:hlinkClick xmlns:r="http://schemas.openxmlformats.org/officeDocument/2006/relationships" r:id="rId2518" tooltip="Ver detalle"/>
          <a:extLst>
            <a:ext uri="{FF2B5EF4-FFF2-40B4-BE49-F238E27FC236}">
              <a16:creationId xmlns:a16="http://schemas.microsoft.com/office/drawing/2014/main" id="{75E756DB-86B1-E8ED-D345-B22783708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6726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2306</xdr:row>
      <xdr:rowOff>0</xdr:rowOff>
    </xdr:from>
    <xdr:to>
      <xdr:col>13</xdr:col>
      <xdr:colOff>299085</xdr:colOff>
      <xdr:row>2307</xdr:row>
      <xdr:rowOff>114300</xdr:rowOff>
    </xdr:to>
    <xdr:pic>
      <xdr:nvPicPr>
        <xdr:cNvPr id="2578" name="Imagen 2577">
          <a:hlinkClick xmlns:r="http://schemas.openxmlformats.org/officeDocument/2006/relationships" r:id="rId2519" tooltip="Quitar este incidente de la liquidación"/>
          <a:extLst>
            <a:ext uri="{FF2B5EF4-FFF2-40B4-BE49-F238E27FC236}">
              <a16:creationId xmlns:a16="http://schemas.microsoft.com/office/drawing/2014/main" id="{4D4CB8E6-9DBA-7834-BE65-5168D040B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6726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2298</xdr:row>
      <xdr:rowOff>0</xdr:rowOff>
    </xdr:from>
    <xdr:to>
      <xdr:col>13</xdr:col>
      <xdr:colOff>0</xdr:colOff>
      <xdr:row>2299</xdr:row>
      <xdr:rowOff>114300</xdr:rowOff>
    </xdr:to>
    <xdr:pic>
      <xdr:nvPicPr>
        <xdr:cNvPr id="2579" name="Imagen 2578" descr="Ver detalle">
          <a:hlinkClick xmlns:r="http://schemas.openxmlformats.org/officeDocument/2006/relationships" r:id="rId2520" tooltip="Ver detalle"/>
          <a:extLst>
            <a:ext uri="{FF2B5EF4-FFF2-40B4-BE49-F238E27FC236}">
              <a16:creationId xmlns:a16="http://schemas.microsoft.com/office/drawing/2014/main" id="{214EB1B5-4BCE-4B9C-A56E-62623AA26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6970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2298</xdr:row>
      <xdr:rowOff>0</xdr:rowOff>
    </xdr:from>
    <xdr:to>
      <xdr:col>13</xdr:col>
      <xdr:colOff>299085</xdr:colOff>
      <xdr:row>2299</xdr:row>
      <xdr:rowOff>114300</xdr:rowOff>
    </xdr:to>
    <xdr:pic>
      <xdr:nvPicPr>
        <xdr:cNvPr id="2580" name="Imagen 2579">
          <a:hlinkClick xmlns:r="http://schemas.openxmlformats.org/officeDocument/2006/relationships" r:id="rId2521" tooltip="Quitar este incidente de la liquidación"/>
          <a:extLst>
            <a:ext uri="{FF2B5EF4-FFF2-40B4-BE49-F238E27FC236}">
              <a16:creationId xmlns:a16="http://schemas.microsoft.com/office/drawing/2014/main" id="{8C052C36-E3A6-DDAA-200B-366BBA4D4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6970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2307</xdr:row>
      <xdr:rowOff>0</xdr:rowOff>
    </xdr:from>
    <xdr:to>
      <xdr:col>13</xdr:col>
      <xdr:colOff>0</xdr:colOff>
      <xdr:row>2308</xdr:row>
      <xdr:rowOff>114300</xdr:rowOff>
    </xdr:to>
    <xdr:pic>
      <xdr:nvPicPr>
        <xdr:cNvPr id="2581" name="Imagen 2580" descr="Ver detalle">
          <a:hlinkClick xmlns:r="http://schemas.openxmlformats.org/officeDocument/2006/relationships" r:id="rId2522" tooltip="Ver detalle"/>
          <a:extLst>
            <a:ext uri="{FF2B5EF4-FFF2-40B4-BE49-F238E27FC236}">
              <a16:creationId xmlns:a16="http://schemas.microsoft.com/office/drawing/2014/main" id="{7AD712E1-3840-F3CF-F54B-F74D0F4EF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7214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2307</xdr:row>
      <xdr:rowOff>0</xdr:rowOff>
    </xdr:from>
    <xdr:to>
      <xdr:col>13</xdr:col>
      <xdr:colOff>299085</xdr:colOff>
      <xdr:row>2308</xdr:row>
      <xdr:rowOff>114300</xdr:rowOff>
    </xdr:to>
    <xdr:pic>
      <xdr:nvPicPr>
        <xdr:cNvPr id="2582" name="Imagen 2581">
          <a:hlinkClick xmlns:r="http://schemas.openxmlformats.org/officeDocument/2006/relationships" r:id="rId2523" tooltip="Quitar este incidente de la liquidación"/>
          <a:extLst>
            <a:ext uri="{FF2B5EF4-FFF2-40B4-BE49-F238E27FC236}">
              <a16:creationId xmlns:a16="http://schemas.microsoft.com/office/drawing/2014/main" id="{69CEC17A-FE03-9138-51E4-68EB1389F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7214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2299</xdr:row>
      <xdr:rowOff>0</xdr:rowOff>
    </xdr:from>
    <xdr:to>
      <xdr:col>13</xdr:col>
      <xdr:colOff>0</xdr:colOff>
      <xdr:row>2300</xdr:row>
      <xdr:rowOff>114300</xdr:rowOff>
    </xdr:to>
    <xdr:pic>
      <xdr:nvPicPr>
        <xdr:cNvPr id="2583" name="Imagen 2582" descr="Ver detalle">
          <a:hlinkClick xmlns:r="http://schemas.openxmlformats.org/officeDocument/2006/relationships" r:id="rId2524" tooltip="Ver detalle"/>
          <a:extLst>
            <a:ext uri="{FF2B5EF4-FFF2-40B4-BE49-F238E27FC236}">
              <a16:creationId xmlns:a16="http://schemas.microsoft.com/office/drawing/2014/main" id="{E844DDE0-70A9-7983-295A-D9B21656A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737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2299</xdr:row>
      <xdr:rowOff>0</xdr:rowOff>
    </xdr:from>
    <xdr:to>
      <xdr:col>13</xdr:col>
      <xdr:colOff>299085</xdr:colOff>
      <xdr:row>2300</xdr:row>
      <xdr:rowOff>114300</xdr:rowOff>
    </xdr:to>
    <xdr:pic>
      <xdr:nvPicPr>
        <xdr:cNvPr id="2584" name="Imagen 2583">
          <a:hlinkClick xmlns:r="http://schemas.openxmlformats.org/officeDocument/2006/relationships" r:id="rId2525" tooltip="Quitar este incidente de la liquidación"/>
          <a:extLst>
            <a:ext uri="{FF2B5EF4-FFF2-40B4-BE49-F238E27FC236}">
              <a16:creationId xmlns:a16="http://schemas.microsoft.com/office/drawing/2014/main" id="{C426FF82-1216-6D9B-14B4-09FD42676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737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2302</xdr:row>
      <xdr:rowOff>0</xdr:rowOff>
    </xdr:from>
    <xdr:to>
      <xdr:col>13</xdr:col>
      <xdr:colOff>0</xdr:colOff>
      <xdr:row>2303</xdr:row>
      <xdr:rowOff>114300</xdr:rowOff>
    </xdr:to>
    <xdr:pic>
      <xdr:nvPicPr>
        <xdr:cNvPr id="2585" name="Imagen 2584" descr="Ver detalle">
          <a:hlinkClick xmlns:r="http://schemas.openxmlformats.org/officeDocument/2006/relationships" r:id="rId2526" tooltip="Ver detalle"/>
          <a:extLst>
            <a:ext uri="{FF2B5EF4-FFF2-40B4-BE49-F238E27FC236}">
              <a16:creationId xmlns:a16="http://schemas.microsoft.com/office/drawing/2014/main" id="{8E311F9C-B5E6-5C5F-3CF8-D137AC9F5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749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2302</xdr:row>
      <xdr:rowOff>0</xdr:rowOff>
    </xdr:from>
    <xdr:to>
      <xdr:col>13</xdr:col>
      <xdr:colOff>299085</xdr:colOff>
      <xdr:row>2303</xdr:row>
      <xdr:rowOff>114300</xdr:rowOff>
    </xdr:to>
    <xdr:pic>
      <xdr:nvPicPr>
        <xdr:cNvPr id="2586" name="Imagen 2585">
          <a:hlinkClick xmlns:r="http://schemas.openxmlformats.org/officeDocument/2006/relationships" r:id="rId2527" tooltip="Quitar este incidente de la liquidación"/>
          <a:extLst>
            <a:ext uri="{FF2B5EF4-FFF2-40B4-BE49-F238E27FC236}">
              <a16:creationId xmlns:a16="http://schemas.microsoft.com/office/drawing/2014/main" id="{30035904-B034-F2C0-84C0-7572615C2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749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2303</xdr:row>
      <xdr:rowOff>0</xdr:rowOff>
    </xdr:from>
    <xdr:to>
      <xdr:col>13</xdr:col>
      <xdr:colOff>0</xdr:colOff>
      <xdr:row>2304</xdr:row>
      <xdr:rowOff>114300</xdr:rowOff>
    </xdr:to>
    <xdr:pic>
      <xdr:nvPicPr>
        <xdr:cNvPr id="2587" name="Imagen 2586" descr="Ver detalle">
          <a:hlinkClick xmlns:r="http://schemas.openxmlformats.org/officeDocument/2006/relationships" r:id="rId2528" tooltip="Ver detalle"/>
          <a:extLst>
            <a:ext uri="{FF2B5EF4-FFF2-40B4-BE49-F238E27FC236}">
              <a16:creationId xmlns:a16="http://schemas.microsoft.com/office/drawing/2014/main" id="{8D81776C-DFBA-0659-BD55-54AEC5A05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7735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2303</xdr:row>
      <xdr:rowOff>0</xdr:rowOff>
    </xdr:from>
    <xdr:to>
      <xdr:col>13</xdr:col>
      <xdr:colOff>299085</xdr:colOff>
      <xdr:row>2304</xdr:row>
      <xdr:rowOff>114300</xdr:rowOff>
    </xdr:to>
    <xdr:pic>
      <xdr:nvPicPr>
        <xdr:cNvPr id="2588" name="Imagen 2587">
          <a:hlinkClick xmlns:r="http://schemas.openxmlformats.org/officeDocument/2006/relationships" r:id="rId2529" tooltip="Quitar este incidente de la liquidación"/>
          <a:extLst>
            <a:ext uri="{FF2B5EF4-FFF2-40B4-BE49-F238E27FC236}">
              <a16:creationId xmlns:a16="http://schemas.microsoft.com/office/drawing/2014/main" id="{90DEB8E1-07E8-CF32-1D30-958F33959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7735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2292</xdr:row>
      <xdr:rowOff>0</xdr:rowOff>
    </xdr:from>
    <xdr:to>
      <xdr:col>13</xdr:col>
      <xdr:colOff>0</xdr:colOff>
      <xdr:row>2293</xdr:row>
      <xdr:rowOff>114300</xdr:rowOff>
    </xdr:to>
    <xdr:pic>
      <xdr:nvPicPr>
        <xdr:cNvPr id="2589" name="Imagen 2588" descr="Ver detalle">
          <a:hlinkClick xmlns:r="http://schemas.openxmlformats.org/officeDocument/2006/relationships" r:id="rId2530" tooltip="Ver detalle"/>
          <a:extLst>
            <a:ext uri="{FF2B5EF4-FFF2-40B4-BE49-F238E27FC236}">
              <a16:creationId xmlns:a16="http://schemas.microsoft.com/office/drawing/2014/main" id="{CA24C5CF-6695-5921-CFE6-201276558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7979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2292</xdr:row>
      <xdr:rowOff>0</xdr:rowOff>
    </xdr:from>
    <xdr:to>
      <xdr:col>13</xdr:col>
      <xdr:colOff>299085</xdr:colOff>
      <xdr:row>2293</xdr:row>
      <xdr:rowOff>114300</xdr:rowOff>
    </xdr:to>
    <xdr:pic>
      <xdr:nvPicPr>
        <xdr:cNvPr id="2590" name="Imagen 2589">
          <a:hlinkClick xmlns:r="http://schemas.openxmlformats.org/officeDocument/2006/relationships" r:id="rId2531" tooltip="Quitar este incidente de la liquidación"/>
          <a:extLst>
            <a:ext uri="{FF2B5EF4-FFF2-40B4-BE49-F238E27FC236}">
              <a16:creationId xmlns:a16="http://schemas.microsoft.com/office/drawing/2014/main" id="{97A48816-FA1A-AFCC-733E-A09F91316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7979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2308</xdr:row>
      <xdr:rowOff>0</xdr:rowOff>
    </xdr:from>
    <xdr:to>
      <xdr:col>13</xdr:col>
      <xdr:colOff>0</xdr:colOff>
      <xdr:row>2309</xdr:row>
      <xdr:rowOff>114300</xdr:rowOff>
    </xdr:to>
    <xdr:pic>
      <xdr:nvPicPr>
        <xdr:cNvPr id="2591" name="Imagen 2590" descr="Ver detalle">
          <a:hlinkClick xmlns:r="http://schemas.openxmlformats.org/officeDocument/2006/relationships" r:id="rId2532" tooltip="Ver detalle"/>
          <a:extLst>
            <a:ext uri="{FF2B5EF4-FFF2-40B4-BE49-F238E27FC236}">
              <a16:creationId xmlns:a16="http://schemas.microsoft.com/office/drawing/2014/main" id="{927E2337-5CC0-271C-AD3B-49DE2F3D7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8223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2308</xdr:row>
      <xdr:rowOff>0</xdr:rowOff>
    </xdr:from>
    <xdr:to>
      <xdr:col>13</xdr:col>
      <xdr:colOff>299085</xdr:colOff>
      <xdr:row>2309</xdr:row>
      <xdr:rowOff>114300</xdr:rowOff>
    </xdr:to>
    <xdr:pic>
      <xdr:nvPicPr>
        <xdr:cNvPr id="2592" name="Imagen 2591">
          <a:hlinkClick xmlns:r="http://schemas.openxmlformats.org/officeDocument/2006/relationships" r:id="rId2533" tooltip="Quitar este incidente de la liquidación"/>
          <a:extLst>
            <a:ext uri="{FF2B5EF4-FFF2-40B4-BE49-F238E27FC236}">
              <a16:creationId xmlns:a16="http://schemas.microsoft.com/office/drawing/2014/main" id="{8848AFD7-4895-FDB4-E513-D096AD977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8223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2300</xdr:row>
      <xdr:rowOff>0</xdr:rowOff>
    </xdr:from>
    <xdr:to>
      <xdr:col>13</xdr:col>
      <xdr:colOff>0</xdr:colOff>
      <xdr:row>2301</xdr:row>
      <xdr:rowOff>114300</xdr:rowOff>
    </xdr:to>
    <xdr:pic>
      <xdr:nvPicPr>
        <xdr:cNvPr id="2593" name="Imagen 2592" descr="Ver detalle">
          <a:hlinkClick xmlns:r="http://schemas.openxmlformats.org/officeDocument/2006/relationships" r:id="rId2534" tooltip="Ver detalle"/>
          <a:extLst>
            <a:ext uri="{FF2B5EF4-FFF2-40B4-BE49-F238E27FC236}">
              <a16:creationId xmlns:a16="http://schemas.microsoft.com/office/drawing/2014/main" id="{FCAF9DF4-5A35-A1CF-2061-549C703C1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8467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2300</xdr:row>
      <xdr:rowOff>0</xdr:rowOff>
    </xdr:from>
    <xdr:to>
      <xdr:col>13</xdr:col>
      <xdr:colOff>299085</xdr:colOff>
      <xdr:row>2301</xdr:row>
      <xdr:rowOff>114300</xdr:rowOff>
    </xdr:to>
    <xdr:pic>
      <xdr:nvPicPr>
        <xdr:cNvPr id="2594" name="Imagen 2593">
          <a:hlinkClick xmlns:r="http://schemas.openxmlformats.org/officeDocument/2006/relationships" r:id="rId2535" tooltip="Quitar este incidente de la liquidación"/>
          <a:extLst>
            <a:ext uri="{FF2B5EF4-FFF2-40B4-BE49-F238E27FC236}">
              <a16:creationId xmlns:a16="http://schemas.microsoft.com/office/drawing/2014/main" id="{25212290-5A99-9402-4BB2-DC07A31E5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8467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2293</xdr:row>
      <xdr:rowOff>0</xdr:rowOff>
    </xdr:from>
    <xdr:to>
      <xdr:col>13</xdr:col>
      <xdr:colOff>0</xdr:colOff>
      <xdr:row>2294</xdr:row>
      <xdr:rowOff>114300</xdr:rowOff>
    </xdr:to>
    <xdr:pic>
      <xdr:nvPicPr>
        <xdr:cNvPr id="2595" name="Imagen 2594" descr="Ver detalle">
          <a:hlinkClick xmlns:r="http://schemas.openxmlformats.org/officeDocument/2006/relationships" r:id="rId2536" tooltip="Ver detalle"/>
          <a:extLst>
            <a:ext uri="{FF2B5EF4-FFF2-40B4-BE49-F238E27FC236}">
              <a16:creationId xmlns:a16="http://schemas.microsoft.com/office/drawing/2014/main" id="{917AFD7A-2FC3-DA8B-A2E5-0E4C2E479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871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2293</xdr:row>
      <xdr:rowOff>0</xdr:rowOff>
    </xdr:from>
    <xdr:to>
      <xdr:col>13</xdr:col>
      <xdr:colOff>299085</xdr:colOff>
      <xdr:row>2294</xdr:row>
      <xdr:rowOff>114300</xdr:rowOff>
    </xdr:to>
    <xdr:pic>
      <xdr:nvPicPr>
        <xdr:cNvPr id="2596" name="Imagen 2595">
          <a:hlinkClick xmlns:r="http://schemas.openxmlformats.org/officeDocument/2006/relationships" r:id="rId2537" tooltip="Quitar este incidente de la liquidación"/>
          <a:extLst>
            <a:ext uri="{FF2B5EF4-FFF2-40B4-BE49-F238E27FC236}">
              <a16:creationId xmlns:a16="http://schemas.microsoft.com/office/drawing/2014/main" id="{DB054FC4-DD8B-1A8E-8137-B5F208AA6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871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2294</xdr:row>
      <xdr:rowOff>0</xdr:rowOff>
    </xdr:from>
    <xdr:to>
      <xdr:col>13</xdr:col>
      <xdr:colOff>0</xdr:colOff>
      <xdr:row>2295</xdr:row>
      <xdr:rowOff>114300</xdr:rowOff>
    </xdr:to>
    <xdr:pic>
      <xdr:nvPicPr>
        <xdr:cNvPr id="2597" name="Imagen 2596" descr="Ver detalle">
          <a:hlinkClick xmlns:r="http://schemas.openxmlformats.org/officeDocument/2006/relationships" r:id="rId2538" tooltip="Ver detalle"/>
          <a:extLst>
            <a:ext uri="{FF2B5EF4-FFF2-40B4-BE49-F238E27FC236}">
              <a16:creationId xmlns:a16="http://schemas.microsoft.com/office/drawing/2014/main" id="{788F5CB0-E252-7D79-3433-1F8A9235A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8954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2294</xdr:row>
      <xdr:rowOff>0</xdr:rowOff>
    </xdr:from>
    <xdr:to>
      <xdr:col>13</xdr:col>
      <xdr:colOff>299085</xdr:colOff>
      <xdr:row>2295</xdr:row>
      <xdr:rowOff>114300</xdr:rowOff>
    </xdr:to>
    <xdr:pic>
      <xdr:nvPicPr>
        <xdr:cNvPr id="2598" name="Imagen 2597">
          <a:hlinkClick xmlns:r="http://schemas.openxmlformats.org/officeDocument/2006/relationships" r:id="rId2539" tooltip="Quitar este incidente de la liquidación"/>
          <a:extLst>
            <a:ext uri="{FF2B5EF4-FFF2-40B4-BE49-F238E27FC236}">
              <a16:creationId xmlns:a16="http://schemas.microsoft.com/office/drawing/2014/main" id="{148337F0-D4CF-0B27-FE00-04BEDC37C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8954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2288</xdr:row>
      <xdr:rowOff>0</xdr:rowOff>
    </xdr:from>
    <xdr:to>
      <xdr:col>13</xdr:col>
      <xdr:colOff>0</xdr:colOff>
      <xdr:row>2289</xdr:row>
      <xdr:rowOff>114300</xdr:rowOff>
    </xdr:to>
    <xdr:pic>
      <xdr:nvPicPr>
        <xdr:cNvPr id="2599" name="Imagen 2598" descr="Ver detalle">
          <a:hlinkClick xmlns:r="http://schemas.openxmlformats.org/officeDocument/2006/relationships" r:id="rId2540" tooltip="Ver detalle"/>
          <a:extLst>
            <a:ext uri="{FF2B5EF4-FFF2-40B4-BE49-F238E27FC236}">
              <a16:creationId xmlns:a16="http://schemas.microsoft.com/office/drawing/2014/main" id="{A32153AE-CDEE-78CB-7DC1-36E6A91788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9442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2288</xdr:row>
      <xdr:rowOff>0</xdr:rowOff>
    </xdr:from>
    <xdr:to>
      <xdr:col>13</xdr:col>
      <xdr:colOff>299085</xdr:colOff>
      <xdr:row>2289</xdr:row>
      <xdr:rowOff>114300</xdr:rowOff>
    </xdr:to>
    <xdr:pic>
      <xdr:nvPicPr>
        <xdr:cNvPr id="2600" name="Imagen 2599">
          <a:hlinkClick xmlns:r="http://schemas.openxmlformats.org/officeDocument/2006/relationships" r:id="rId2541" tooltip="Quitar este incidente de la liquidación"/>
          <a:extLst>
            <a:ext uri="{FF2B5EF4-FFF2-40B4-BE49-F238E27FC236}">
              <a16:creationId xmlns:a16="http://schemas.microsoft.com/office/drawing/2014/main" id="{6078ECE9-FDD6-0864-F278-CAEC79C34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9442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2291</xdr:row>
      <xdr:rowOff>0</xdr:rowOff>
    </xdr:from>
    <xdr:to>
      <xdr:col>13</xdr:col>
      <xdr:colOff>0</xdr:colOff>
      <xdr:row>2292</xdr:row>
      <xdr:rowOff>114300</xdr:rowOff>
    </xdr:to>
    <xdr:pic>
      <xdr:nvPicPr>
        <xdr:cNvPr id="2601" name="Imagen 2600" descr="Ver detalle">
          <a:hlinkClick xmlns:r="http://schemas.openxmlformats.org/officeDocument/2006/relationships" r:id="rId2542" tooltip="Ver detalle"/>
          <a:extLst>
            <a:ext uri="{FF2B5EF4-FFF2-40B4-BE49-F238E27FC236}">
              <a16:creationId xmlns:a16="http://schemas.microsoft.com/office/drawing/2014/main" id="{AEBD5B0E-6371-F692-C822-10D74AED6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9686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2291</xdr:row>
      <xdr:rowOff>0</xdr:rowOff>
    </xdr:from>
    <xdr:to>
      <xdr:col>13</xdr:col>
      <xdr:colOff>299085</xdr:colOff>
      <xdr:row>2292</xdr:row>
      <xdr:rowOff>114300</xdr:rowOff>
    </xdr:to>
    <xdr:pic>
      <xdr:nvPicPr>
        <xdr:cNvPr id="2602" name="Imagen 2601">
          <a:hlinkClick xmlns:r="http://schemas.openxmlformats.org/officeDocument/2006/relationships" r:id="rId2543" tooltip="Quitar este incidente de la liquidación"/>
          <a:extLst>
            <a:ext uri="{FF2B5EF4-FFF2-40B4-BE49-F238E27FC236}">
              <a16:creationId xmlns:a16="http://schemas.microsoft.com/office/drawing/2014/main" id="{D58C06FC-3AC4-6D2D-45AC-AA3EEC7A1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9686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2283</xdr:row>
      <xdr:rowOff>0</xdr:rowOff>
    </xdr:from>
    <xdr:to>
      <xdr:col>13</xdr:col>
      <xdr:colOff>0</xdr:colOff>
      <xdr:row>2284</xdr:row>
      <xdr:rowOff>114300</xdr:rowOff>
    </xdr:to>
    <xdr:pic>
      <xdr:nvPicPr>
        <xdr:cNvPr id="2603" name="Imagen 2602" descr="Ver detalle">
          <a:hlinkClick xmlns:r="http://schemas.openxmlformats.org/officeDocument/2006/relationships" r:id="rId2544" tooltip="Ver detalle"/>
          <a:extLst>
            <a:ext uri="{FF2B5EF4-FFF2-40B4-BE49-F238E27FC236}">
              <a16:creationId xmlns:a16="http://schemas.microsoft.com/office/drawing/2014/main" id="{94C023F5-B706-C317-3018-754FAB235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993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2283</xdr:row>
      <xdr:rowOff>0</xdr:rowOff>
    </xdr:from>
    <xdr:to>
      <xdr:col>13</xdr:col>
      <xdr:colOff>299085</xdr:colOff>
      <xdr:row>2284</xdr:row>
      <xdr:rowOff>114300</xdr:rowOff>
    </xdr:to>
    <xdr:pic>
      <xdr:nvPicPr>
        <xdr:cNvPr id="2604" name="Imagen 2603">
          <a:hlinkClick xmlns:r="http://schemas.openxmlformats.org/officeDocument/2006/relationships" r:id="rId2545" tooltip="Quitar este incidente de la liquidación"/>
          <a:extLst>
            <a:ext uri="{FF2B5EF4-FFF2-40B4-BE49-F238E27FC236}">
              <a16:creationId xmlns:a16="http://schemas.microsoft.com/office/drawing/2014/main" id="{68AAD277-D178-6537-4E3B-6A3DA0570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993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2284</xdr:row>
      <xdr:rowOff>0</xdr:rowOff>
    </xdr:from>
    <xdr:to>
      <xdr:col>13</xdr:col>
      <xdr:colOff>0</xdr:colOff>
      <xdr:row>2285</xdr:row>
      <xdr:rowOff>114300</xdr:rowOff>
    </xdr:to>
    <xdr:pic>
      <xdr:nvPicPr>
        <xdr:cNvPr id="2605" name="Imagen 2604" descr="Ver detalle">
          <a:hlinkClick xmlns:r="http://schemas.openxmlformats.org/officeDocument/2006/relationships" r:id="rId2546" tooltip="Ver detalle"/>
          <a:extLst>
            <a:ext uri="{FF2B5EF4-FFF2-40B4-BE49-F238E27FC236}">
              <a16:creationId xmlns:a16="http://schemas.microsoft.com/office/drawing/2014/main" id="{01311EE8-4D9F-5B11-3383-658B07899C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004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2284</xdr:row>
      <xdr:rowOff>0</xdr:rowOff>
    </xdr:from>
    <xdr:to>
      <xdr:col>13</xdr:col>
      <xdr:colOff>299085</xdr:colOff>
      <xdr:row>2285</xdr:row>
      <xdr:rowOff>114300</xdr:rowOff>
    </xdr:to>
    <xdr:pic>
      <xdr:nvPicPr>
        <xdr:cNvPr id="2606" name="Imagen 2605">
          <a:hlinkClick xmlns:r="http://schemas.openxmlformats.org/officeDocument/2006/relationships" r:id="rId2547" tooltip="Quitar este incidente de la liquidación"/>
          <a:extLst>
            <a:ext uri="{FF2B5EF4-FFF2-40B4-BE49-F238E27FC236}">
              <a16:creationId xmlns:a16="http://schemas.microsoft.com/office/drawing/2014/main" id="{91F0421A-5DEB-0F55-28A7-E0B338807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004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2285</xdr:row>
      <xdr:rowOff>0</xdr:rowOff>
    </xdr:from>
    <xdr:to>
      <xdr:col>13</xdr:col>
      <xdr:colOff>0</xdr:colOff>
      <xdr:row>2286</xdr:row>
      <xdr:rowOff>114300</xdr:rowOff>
    </xdr:to>
    <xdr:pic>
      <xdr:nvPicPr>
        <xdr:cNvPr id="2607" name="Imagen 2606" descr="Ver detalle">
          <a:hlinkClick xmlns:r="http://schemas.openxmlformats.org/officeDocument/2006/relationships" r:id="rId2548" tooltip="Ver detalle"/>
          <a:extLst>
            <a:ext uri="{FF2B5EF4-FFF2-40B4-BE49-F238E27FC236}">
              <a16:creationId xmlns:a16="http://schemas.microsoft.com/office/drawing/2014/main" id="{5904D4F0-72EC-FA06-C258-0CBF9E550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0288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2285</xdr:row>
      <xdr:rowOff>0</xdr:rowOff>
    </xdr:from>
    <xdr:to>
      <xdr:col>13</xdr:col>
      <xdr:colOff>299085</xdr:colOff>
      <xdr:row>2286</xdr:row>
      <xdr:rowOff>114300</xdr:rowOff>
    </xdr:to>
    <xdr:pic>
      <xdr:nvPicPr>
        <xdr:cNvPr id="2608" name="Imagen 2607">
          <a:hlinkClick xmlns:r="http://schemas.openxmlformats.org/officeDocument/2006/relationships" r:id="rId2549" tooltip="Quitar este incidente de la liquidación"/>
          <a:extLst>
            <a:ext uri="{FF2B5EF4-FFF2-40B4-BE49-F238E27FC236}">
              <a16:creationId xmlns:a16="http://schemas.microsoft.com/office/drawing/2014/main" id="{C2C972F1-E9F9-C6B5-609C-371F4542A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0288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2301</xdr:row>
      <xdr:rowOff>0</xdr:rowOff>
    </xdr:from>
    <xdr:to>
      <xdr:col>13</xdr:col>
      <xdr:colOff>0</xdr:colOff>
      <xdr:row>2302</xdr:row>
      <xdr:rowOff>114300</xdr:rowOff>
    </xdr:to>
    <xdr:pic>
      <xdr:nvPicPr>
        <xdr:cNvPr id="2609" name="Imagen 2608" descr="Ver detalle">
          <a:hlinkClick xmlns:r="http://schemas.openxmlformats.org/officeDocument/2006/relationships" r:id="rId2550" tooltip="Ver detalle"/>
          <a:extLst>
            <a:ext uri="{FF2B5EF4-FFF2-40B4-BE49-F238E27FC236}">
              <a16:creationId xmlns:a16="http://schemas.microsoft.com/office/drawing/2014/main" id="{88570E0E-6B31-6FDB-56F2-88DDF9750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0418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2301</xdr:row>
      <xdr:rowOff>0</xdr:rowOff>
    </xdr:from>
    <xdr:to>
      <xdr:col>13</xdr:col>
      <xdr:colOff>299085</xdr:colOff>
      <xdr:row>2302</xdr:row>
      <xdr:rowOff>114300</xdr:rowOff>
    </xdr:to>
    <xdr:pic>
      <xdr:nvPicPr>
        <xdr:cNvPr id="2610" name="Imagen 2609">
          <a:hlinkClick xmlns:r="http://schemas.openxmlformats.org/officeDocument/2006/relationships" r:id="rId2551" tooltip="Quitar este incidente de la liquidación"/>
          <a:extLst>
            <a:ext uri="{FF2B5EF4-FFF2-40B4-BE49-F238E27FC236}">
              <a16:creationId xmlns:a16="http://schemas.microsoft.com/office/drawing/2014/main" id="{AEBE1625-78F1-A4EF-C4C0-D2EF3BC9E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0418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2295</xdr:row>
      <xdr:rowOff>0</xdr:rowOff>
    </xdr:from>
    <xdr:to>
      <xdr:col>13</xdr:col>
      <xdr:colOff>0</xdr:colOff>
      <xdr:row>2296</xdr:row>
      <xdr:rowOff>114300</xdr:rowOff>
    </xdr:to>
    <xdr:pic>
      <xdr:nvPicPr>
        <xdr:cNvPr id="2611" name="Imagen 2610" descr="Ver detalle">
          <a:hlinkClick xmlns:r="http://schemas.openxmlformats.org/officeDocument/2006/relationships" r:id="rId2552" tooltip="Ver detalle"/>
          <a:extLst>
            <a:ext uri="{FF2B5EF4-FFF2-40B4-BE49-F238E27FC236}">
              <a16:creationId xmlns:a16="http://schemas.microsoft.com/office/drawing/2014/main" id="{A3559797-24E9-4CF8-B9FE-2FEECDB22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0662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2295</xdr:row>
      <xdr:rowOff>0</xdr:rowOff>
    </xdr:from>
    <xdr:to>
      <xdr:col>13</xdr:col>
      <xdr:colOff>299085</xdr:colOff>
      <xdr:row>2296</xdr:row>
      <xdr:rowOff>114300</xdr:rowOff>
    </xdr:to>
    <xdr:pic>
      <xdr:nvPicPr>
        <xdr:cNvPr id="2612" name="Imagen 2611">
          <a:hlinkClick xmlns:r="http://schemas.openxmlformats.org/officeDocument/2006/relationships" r:id="rId2553" tooltip="Quitar este incidente de la liquidación"/>
          <a:extLst>
            <a:ext uri="{FF2B5EF4-FFF2-40B4-BE49-F238E27FC236}">
              <a16:creationId xmlns:a16="http://schemas.microsoft.com/office/drawing/2014/main" id="{D30A60E5-60A8-8FF8-91AB-FA3C9EACD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0662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2286</xdr:row>
      <xdr:rowOff>0</xdr:rowOff>
    </xdr:from>
    <xdr:to>
      <xdr:col>13</xdr:col>
      <xdr:colOff>0</xdr:colOff>
      <xdr:row>2287</xdr:row>
      <xdr:rowOff>114300</xdr:rowOff>
    </xdr:to>
    <xdr:pic>
      <xdr:nvPicPr>
        <xdr:cNvPr id="2613" name="Imagen 2612" descr="Ver detalle">
          <a:hlinkClick xmlns:r="http://schemas.openxmlformats.org/officeDocument/2006/relationships" r:id="rId2554" tooltip="Ver detalle"/>
          <a:extLst>
            <a:ext uri="{FF2B5EF4-FFF2-40B4-BE49-F238E27FC236}">
              <a16:creationId xmlns:a16="http://schemas.microsoft.com/office/drawing/2014/main" id="{5DBF7066-EC11-C317-85CD-E47D5235C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0906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2286</xdr:row>
      <xdr:rowOff>0</xdr:rowOff>
    </xdr:from>
    <xdr:to>
      <xdr:col>13</xdr:col>
      <xdr:colOff>299085</xdr:colOff>
      <xdr:row>2287</xdr:row>
      <xdr:rowOff>114300</xdr:rowOff>
    </xdr:to>
    <xdr:pic>
      <xdr:nvPicPr>
        <xdr:cNvPr id="2614" name="Imagen 2613">
          <a:hlinkClick xmlns:r="http://schemas.openxmlformats.org/officeDocument/2006/relationships" r:id="rId2555" tooltip="Quitar este incidente de la liquidación"/>
          <a:extLst>
            <a:ext uri="{FF2B5EF4-FFF2-40B4-BE49-F238E27FC236}">
              <a16:creationId xmlns:a16="http://schemas.microsoft.com/office/drawing/2014/main" id="{5CA976BE-F3F8-82A3-E7AD-CE33C391D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0906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2304</xdr:row>
      <xdr:rowOff>0</xdr:rowOff>
    </xdr:from>
    <xdr:to>
      <xdr:col>13</xdr:col>
      <xdr:colOff>0</xdr:colOff>
      <xdr:row>2305</xdr:row>
      <xdr:rowOff>114300</xdr:rowOff>
    </xdr:to>
    <xdr:pic>
      <xdr:nvPicPr>
        <xdr:cNvPr id="2615" name="Imagen 2614" descr="Ver detalle">
          <a:hlinkClick xmlns:r="http://schemas.openxmlformats.org/officeDocument/2006/relationships" r:id="rId2556" tooltip="Ver detalle"/>
          <a:extLst>
            <a:ext uri="{FF2B5EF4-FFF2-40B4-BE49-F238E27FC236}">
              <a16:creationId xmlns:a16="http://schemas.microsoft.com/office/drawing/2014/main" id="{DCA93B7D-D61C-77E6-2B75-909F90623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1069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2304</xdr:row>
      <xdr:rowOff>0</xdr:rowOff>
    </xdr:from>
    <xdr:to>
      <xdr:col>13</xdr:col>
      <xdr:colOff>299085</xdr:colOff>
      <xdr:row>2305</xdr:row>
      <xdr:rowOff>114300</xdr:rowOff>
    </xdr:to>
    <xdr:pic>
      <xdr:nvPicPr>
        <xdr:cNvPr id="2616" name="Imagen 2615">
          <a:hlinkClick xmlns:r="http://schemas.openxmlformats.org/officeDocument/2006/relationships" r:id="rId2557" tooltip="Quitar este incidente de la liquidación"/>
          <a:extLst>
            <a:ext uri="{FF2B5EF4-FFF2-40B4-BE49-F238E27FC236}">
              <a16:creationId xmlns:a16="http://schemas.microsoft.com/office/drawing/2014/main" id="{E1D6770F-42F5-F911-4FDC-C9E65D2A3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1069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2296</xdr:row>
      <xdr:rowOff>0</xdr:rowOff>
    </xdr:from>
    <xdr:to>
      <xdr:col>13</xdr:col>
      <xdr:colOff>0</xdr:colOff>
      <xdr:row>2297</xdr:row>
      <xdr:rowOff>114300</xdr:rowOff>
    </xdr:to>
    <xdr:pic>
      <xdr:nvPicPr>
        <xdr:cNvPr id="2617" name="Imagen 2616" descr="Ver detalle">
          <a:hlinkClick xmlns:r="http://schemas.openxmlformats.org/officeDocument/2006/relationships" r:id="rId2558" tooltip="Ver detalle"/>
          <a:extLst>
            <a:ext uri="{FF2B5EF4-FFF2-40B4-BE49-F238E27FC236}">
              <a16:creationId xmlns:a16="http://schemas.microsoft.com/office/drawing/2014/main" id="{EBD70ECB-F530-B395-1A4F-48E54B336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1183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2296</xdr:row>
      <xdr:rowOff>0</xdr:rowOff>
    </xdr:from>
    <xdr:to>
      <xdr:col>13</xdr:col>
      <xdr:colOff>299085</xdr:colOff>
      <xdr:row>2297</xdr:row>
      <xdr:rowOff>114300</xdr:rowOff>
    </xdr:to>
    <xdr:pic>
      <xdr:nvPicPr>
        <xdr:cNvPr id="2618" name="Imagen 2617">
          <a:hlinkClick xmlns:r="http://schemas.openxmlformats.org/officeDocument/2006/relationships" r:id="rId2559" tooltip="Quitar este incidente de la liquidación"/>
          <a:extLst>
            <a:ext uri="{FF2B5EF4-FFF2-40B4-BE49-F238E27FC236}">
              <a16:creationId xmlns:a16="http://schemas.microsoft.com/office/drawing/2014/main" id="{4A01AAA9-C2CC-B58B-3D9B-F805BB902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1183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2289</xdr:row>
      <xdr:rowOff>0</xdr:rowOff>
    </xdr:from>
    <xdr:to>
      <xdr:col>13</xdr:col>
      <xdr:colOff>0</xdr:colOff>
      <xdr:row>2290</xdr:row>
      <xdr:rowOff>114300</xdr:rowOff>
    </xdr:to>
    <xdr:pic>
      <xdr:nvPicPr>
        <xdr:cNvPr id="2619" name="Imagen 2618" descr="Ver detalle">
          <a:hlinkClick xmlns:r="http://schemas.openxmlformats.org/officeDocument/2006/relationships" r:id="rId2560" tooltip="Ver detalle"/>
          <a:extLst>
            <a:ext uri="{FF2B5EF4-FFF2-40B4-BE49-F238E27FC236}">
              <a16:creationId xmlns:a16="http://schemas.microsoft.com/office/drawing/2014/main" id="{DFD47F7D-173B-3018-4DE9-D7AB832A5E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1314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2289</xdr:row>
      <xdr:rowOff>0</xdr:rowOff>
    </xdr:from>
    <xdr:to>
      <xdr:col>13</xdr:col>
      <xdr:colOff>299085</xdr:colOff>
      <xdr:row>2290</xdr:row>
      <xdr:rowOff>114300</xdr:rowOff>
    </xdr:to>
    <xdr:pic>
      <xdr:nvPicPr>
        <xdr:cNvPr id="2620" name="Imagen 2619">
          <a:hlinkClick xmlns:r="http://schemas.openxmlformats.org/officeDocument/2006/relationships" r:id="rId2561" tooltip="Quitar este incidente de la liquidación"/>
          <a:extLst>
            <a:ext uri="{FF2B5EF4-FFF2-40B4-BE49-F238E27FC236}">
              <a16:creationId xmlns:a16="http://schemas.microsoft.com/office/drawing/2014/main" id="{4067F848-C20F-D320-44B4-8C4E878E2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1314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2279</xdr:row>
      <xdr:rowOff>0</xdr:rowOff>
    </xdr:from>
    <xdr:to>
      <xdr:col>13</xdr:col>
      <xdr:colOff>0</xdr:colOff>
      <xdr:row>2280</xdr:row>
      <xdr:rowOff>114300</xdr:rowOff>
    </xdr:to>
    <xdr:pic>
      <xdr:nvPicPr>
        <xdr:cNvPr id="2621" name="Imagen 2620" descr="Ver detalle">
          <a:hlinkClick xmlns:r="http://schemas.openxmlformats.org/officeDocument/2006/relationships" r:id="rId2562" tooltip="Ver detalle"/>
          <a:extLst>
            <a:ext uri="{FF2B5EF4-FFF2-40B4-BE49-F238E27FC236}">
              <a16:creationId xmlns:a16="http://schemas.microsoft.com/office/drawing/2014/main" id="{B7AABF82-3677-5E70-D1E3-8B9CABD6C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1557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2279</xdr:row>
      <xdr:rowOff>0</xdr:rowOff>
    </xdr:from>
    <xdr:to>
      <xdr:col>13</xdr:col>
      <xdr:colOff>299085</xdr:colOff>
      <xdr:row>2280</xdr:row>
      <xdr:rowOff>114300</xdr:rowOff>
    </xdr:to>
    <xdr:pic>
      <xdr:nvPicPr>
        <xdr:cNvPr id="2622" name="Imagen 2621">
          <a:hlinkClick xmlns:r="http://schemas.openxmlformats.org/officeDocument/2006/relationships" r:id="rId2563" tooltip="Quitar este incidente de la liquidación"/>
          <a:extLst>
            <a:ext uri="{FF2B5EF4-FFF2-40B4-BE49-F238E27FC236}">
              <a16:creationId xmlns:a16="http://schemas.microsoft.com/office/drawing/2014/main" id="{D3CA2315-D8C4-707A-83FE-26031E68BB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1557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2281</xdr:row>
      <xdr:rowOff>0</xdr:rowOff>
    </xdr:from>
    <xdr:to>
      <xdr:col>13</xdr:col>
      <xdr:colOff>0</xdr:colOff>
      <xdr:row>2282</xdr:row>
      <xdr:rowOff>114300</xdr:rowOff>
    </xdr:to>
    <xdr:pic>
      <xdr:nvPicPr>
        <xdr:cNvPr id="2623" name="Imagen 2622" descr="Ver detalle">
          <a:hlinkClick xmlns:r="http://schemas.openxmlformats.org/officeDocument/2006/relationships" r:id="rId2564" tooltip="Ver detalle"/>
          <a:extLst>
            <a:ext uri="{FF2B5EF4-FFF2-40B4-BE49-F238E27FC236}">
              <a16:creationId xmlns:a16="http://schemas.microsoft.com/office/drawing/2014/main" id="{BE6578E9-9DEB-5E56-9427-87B92C199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1801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2281</xdr:row>
      <xdr:rowOff>0</xdr:rowOff>
    </xdr:from>
    <xdr:to>
      <xdr:col>13</xdr:col>
      <xdr:colOff>299085</xdr:colOff>
      <xdr:row>2282</xdr:row>
      <xdr:rowOff>114300</xdr:rowOff>
    </xdr:to>
    <xdr:pic>
      <xdr:nvPicPr>
        <xdr:cNvPr id="2624" name="Imagen 2623">
          <a:hlinkClick xmlns:r="http://schemas.openxmlformats.org/officeDocument/2006/relationships" r:id="rId2565" tooltip="Quitar este incidente de la liquidación"/>
          <a:extLst>
            <a:ext uri="{FF2B5EF4-FFF2-40B4-BE49-F238E27FC236}">
              <a16:creationId xmlns:a16="http://schemas.microsoft.com/office/drawing/2014/main" id="{CB187A87-552D-91A0-EF22-92D2B20F9E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1801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2280</xdr:row>
      <xdr:rowOff>0</xdr:rowOff>
    </xdr:from>
    <xdr:to>
      <xdr:col>13</xdr:col>
      <xdr:colOff>0</xdr:colOff>
      <xdr:row>2281</xdr:row>
      <xdr:rowOff>114300</xdr:rowOff>
    </xdr:to>
    <xdr:pic>
      <xdr:nvPicPr>
        <xdr:cNvPr id="2625" name="Imagen 2624" descr="Ver detalle">
          <a:hlinkClick xmlns:r="http://schemas.openxmlformats.org/officeDocument/2006/relationships" r:id="rId2566" tooltip="Ver detalle"/>
          <a:extLst>
            <a:ext uri="{FF2B5EF4-FFF2-40B4-BE49-F238E27FC236}">
              <a16:creationId xmlns:a16="http://schemas.microsoft.com/office/drawing/2014/main" id="{B27DC8E9-AE61-1984-6ED3-5C8B3337D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1916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2280</xdr:row>
      <xdr:rowOff>0</xdr:rowOff>
    </xdr:from>
    <xdr:to>
      <xdr:col>13</xdr:col>
      <xdr:colOff>299085</xdr:colOff>
      <xdr:row>2281</xdr:row>
      <xdr:rowOff>114300</xdr:rowOff>
    </xdr:to>
    <xdr:pic>
      <xdr:nvPicPr>
        <xdr:cNvPr id="2626" name="Imagen 2625">
          <a:hlinkClick xmlns:r="http://schemas.openxmlformats.org/officeDocument/2006/relationships" r:id="rId2567" tooltip="Quitar este incidente de la liquidación"/>
          <a:extLst>
            <a:ext uri="{FF2B5EF4-FFF2-40B4-BE49-F238E27FC236}">
              <a16:creationId xmlns:a16="http://schemas.microsoft.com/office/drawing/2014/main" id="{3C313A48-5FDD-9519-EEE6-2EE043FEE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1916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2278</xdr:row>
      <xdr:rowOff>0</xdr:rowOff>
    </xdr:from>
    <xdr:to>
      <xdr:col>13</xdr:col>
      <xdr:colOff>0</xdr:colOff>
      <xdr:row>2279</xdr:row>
      <xdr:rowOff>114300</xdr:rowOff>
    </xdr:to>
    <xdr:pic>
      <xdr:nvPicPr>
        <xdr:cNvPr id="2627" name="Imagen 2626" descr="Ver detalle">
          <a:hlinkClick xmlns:r="http://schemas.openxmlformats.org/officeDocument/2006/relationships" r:id="rId2568" tooltip="Ver detalle"/>
          <a:extLst>
            <a:ext uri="{FF2B5EF4-FFF2-40B4-BE49-F238E27FC236}">
              <a16:creationId xmlns:a16="http://schemas.microsoft.com/office/drawing/2014/main" id="{7F4A12BE-2B9D-1195-F6B8-C4AEB418C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2030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2278</xdr:row>
      <xdr:rowOff>0</xdr:rowOff>
    </xdr:from>
    <xdr:to>
      <xdr:col>13</xdr:col>
      <xdr:colOff>299085</xdr:colOff>
      <xdr:row>2279</xdr:row>
      <xdr:rowOff>114300</xdr:rowOff>
    </xdr:to>
    <xdr:pic>
      <xdr:nvPicPr>
        <xdr:cNvPr id="2628" name="Imagen 2627">
          <a:hlinkClick xmlns:r="http://schemas.openxmlformats.org/officeDocument/2006/relationships" r:id="rId2569" tooltip="Quitar este incidente de la liquidación"/>
          <a:extLst>
            <a:ext uri="{FF2B5EF4-FFF2-40B4-BE49-F238E27FC236}">
              <a16:creationId xmlns:a16="http://schemas.microsoft.com/office/drawing/2014/main" id="{859EA70B-CDE1-DAE1-26FA-4784FBA8C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2030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2282</xdr:row>
      <xdr:rowOff>0</xdr:rowOff>
    </xdr:from>
    <xdr:to>
      <xdr:col>13</xdr:col>
      <xdr:colOff>0</xdr:colOff>
      <xdr:row>2283</xdr:row>
      <xdr:rowOff>114300</xdr:rowOff>
    </xdr:to>
    <xdr:pic>
      <xdr:nvPicPr>
        <xdr:cNvPr id="2629" name="Imagen 2628" descr="Ver detalle">
          <a:hlinkClick xmlns:r="http://schemas.openxmlformats.org/officeDocument/2006/relationships" r:id="rId2570" tooltip="Ver detalle"/>
          <a:extLst>
            <a:ext uri="{FF2B5EF4-FFF2-40B4-BE49-F238E27FC236}">
              <a16:creationId xmlns:a16="http://schemas.microsoft.com/office/drawing/2014/main" id="{A8A9FD06-1F0E-B64C-7C97-D0963C0C7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2274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2282</xdr:row>
      <xdr:rowOff>0</xdr:rowOff>
    </xdr:from>
    <xdr:to>
      <xdr:col>13</xdr:col>
      <xdr:colOff>299085</xdr:colOff>
      <xdr:row>2283</xdr:row>
      <xdr:rowOff>114300</xdr:rowOff>
    </xdr:to>
    <xdr:pic>
      <xdr:nvPicPr>
        <xdr:cNvPr id="2630" name="Imagen 2629">
          <a:hlinkClick xmlns:r="http://schemas.openxmlformats.org/officeDocument/2006/relationships" r:id="rId2571" tooltip="Quitar este incidente de la liquidación"/>
          <a:extLst>
            <a:ext uri="{FF2B5EF4-FFF2-40B4-BE49-F238E27FC236}">
              <a16:creationId xmlns:a16="http://schemas.microsoft.com/office/drawing/2014/main" id="{4AA1C53D-2016-49D1-606B-DC84BD22C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2274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2275</xdr:row>
      <xdr:rowOff>0</xdr:rowOff>
    </xdr:from>
    <xdr:to>
      <xdr:col>13</xdr:col>
      <xdr:colOff>0</xdr:colOff>
      <xdr:row>2276</xdr:row>
      <xdr:rowOff>114300</xdr:rowOff>
    </xdr:to>
    <xdr:pic>
      <xdr:nvPicPr>
        <xdr:cNvPr id="2631" name="Imagen 2630" descr="Ver detalle">
          <a:hlinkClick xmlns:r="http://schemas.openxmlformats.org/officeDocument/2006/relationships" r:id="rId2572" tooltip="Ver detalle"/>
          <a:extLst>
            <a:ext uri="{FF2B5EF4-FFF2-40B4-BE49-F238E27FC236}">
              <a16:creationId xmlns:a16="http://schemas.microsoft.com/office/drawing/2014/main" id="{B46208E0-9DB1-D151-1696-E26B5A42E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2517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2275</xdr:row>
      <xdr:rowOff>0</xdr:rowOff>
    </xdr:from>
    <xdr:to>
      <xdr:col>13</xdr:col>
      <xdr:colOff>299085</xdr:colOff>
      <xdr:row>2276</xdr:row>
      <xdr:rowOff>114300</xdr:rowOff>
    </xdr:to>
    <xdr:pic>
      <xdr:nvPicPr>
        <xdr:cNvPr id="2632" name="Imagen 2631">
          <a:hlinkClick xmlns:r="http://schemas.openxmlformats.org/officeDocument/2006/relationships" r:id="rId2573" tooltip="Quitar este incidente de la liquidación"/>
          <a:extLst>
            <a:ext uri="{FF2B5EF4-FFF2-40B4-BE49-F238E27FC236}">
              <a16:creationId xmlns:a16="http://schemas.microsoft.com/office/drawing/2014/main" id="{CA6E2016-745A-9B4C-3810-B08E3EBAB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2517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2276</xdr:row>
      <xdr:rowOff>0</xdr:rowOff>
    </xdr:from>
    <xdr:to>
      <xdr:col>13</xdr:col>
      <xdr:colOff>0</xdr:colOff>
      <xdr:row>2277</xdr:row>
      <xdr:rowOff>114300</xdr:rowOff>
    </xdr:to>
    <xdr:pic>
      <xdr:nvPicPr>
        <xdr:cNvPr id="2633" name="Imagen 2632" descr="Ver detalle">
          <a:hlinkClick xmlns:r="http://schemas.openxmlformats.org/officeDocument/2006/relationships" r:id="rId2574" tooltip="Ver detalle"/>
          <a:extLst>
            <a:ext uri="{FF2B5EF4-FFF2-40B4-BE49-F238E27FC236}">
              <a16:creationId xmlns:a16="http://schemas.microsoft.com/office/drawing/2014/main" id="{F3112AB3-012D-ACD5-7411-B935D00A6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2761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2276</xdr:row>
      <xdr:rowOff>0</xdr:rowOff>
    </xdr:from>
    <xdr:to>
      <xdr:col>13</xdr:col>
      <xdr:colOff>299085</xdr:colOff>
      <xdr:row>2277</xdr:row>
      <xdr:rowOff>114300</xdr:rowOff>
    </xdr:to>
    <xdr:pic>
      <xdr:nvPicPr>
        <xdr:cNvPr id="2634" name="Imagen 2633">
          <a:hlinkClick xmlns:r="http://schemas.openxmlformats.org/officeDocument/2006/relationships" r:id="rId2575" tooltip="Quitar este incidente de la liquidación"/>
          <a:extLst>
            <a:ext uri="{FF2B5EF4-FFF2-40B4-BE49-F238E27FC236}">
              <a16:creationId xmlns:a16="http://schemas.microsoft.com/office/drawing/2014/main" id="{61C6AC2B-1924-568A-3B43-FBA4DDA55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2761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2277</xdr:row>
      <xdr:rowOff>0</xdr:rowOff>
    </xdr:from>
    <xdr:to>
      <xdr:col>13</xdr:col>
      <xdr:colOff>0</xdr:colOff>
      <xdr:row>2278</xdr:row>
      <xdr:rowOff>114300</xdr:rowOff>
    </xdr:to>
    <xdr:pic>
      <xdr:nvPicPr>
        <xdr:cNvPr id="2635" name="Imagen 2634" descr="Ver detalle">
          <a:hlinkClick xmlns:r="http://schemas.openxmlformats.org/officeDocument/2006/relationships" r:id="rId2576" tooltip="Ver detalle"/>
          <a:extLst>
            <a:ext uri="{FF2B5EF4-FFF2-40B4-BE49-F238E27FC236}">
              <a16:creationId xmlns:a16="http://schemas.microsoft.com/office/drawing/2014/main" id="{49B7F209-882F-5B4A-EAEB-F9A202B7E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3005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2277</xdr:row>
      <xdr:rowOff>0</xdr:rowOff>
    </xdr:from>
    <xdr:to>
      <xdr:col>13</xdr:col>
      <xdr:colOff>299085</xdr:colOff>
      <xdr:row>2278</xdr:row>
      <xdr:rowOff>114300</xdr:rowOff>
    </xdr:to>
    <xdr:pic>
      <xdr:nvPicPr>
        <xdr:cNvPr id="2636" name="Imagen 2635">
          <a:hlinkClick xmlns:r="http://schemas.openxmlformats.org/officeDocument/2006/relationships" r:id="rId2577" tooltip="Quitar este incidente de la liquidación"/>
          <a:extLst>
            <a:ext uri="{FF2B5EF4-FFF2-40B4-BE49-F238E27FC236}">
              <a16:creationId xmlns:a16="http://schemas.microsoft.com/office/drawing/2014/main" id="{5D0A56F4-859A-3722-BA02-D18F4C8B4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3005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2317</xdr:row>
      <xdr:rowOff>0</xdr:rowOff>
    </xdr:from>
    <xdr:to>
      <xdr:col>13</xdr:col>
      <xdr:colOff>0</xdr:colOff>
      <xdr:row>2318</xdr:row>
      <xdr:rowOff>114300</xdr:rowOff>
    </xdr:to>
    <xdr:pic>
      <xdr:nvPicPr>
        <xdr:cNvPr id="2637" name="Imagen 2636" descr="Ver detalle">
          <a:hlinkClick xmlns:r="http://schemas.openxmlformats.org/officeDocument/2006/relationships" r:id="rId2578" tooltip="Ver detalle"/>
          <a:extLst>
            <a:ext uri="{FF2B5EF4-FFF2-40B4-BE49-F238E27FC236}">
              <a16:creationId xmlns:a16="http://schemas.microsoft.com/office/drawing/2014/main" id="{2776948F-0966-03B6-C3FA-A2BB73B13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3249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2317</xdr:row>
      <xdr:rowOff>0</xdr:rowOff>
    </xdr:from>
    <xdr:to>
      <xdr:col>13</xdr:col>
      <xdr:colOff>299085</xdr:colOff>
      <xdr:row>2318</xdr:row>
      <xdr:rowOff>114300</xdr:rowOff>
    </xdr:to>
    <xdr:pic>
      <xdr:nvPicPr>
        <xdr:cNvPr id="2638" name="Imagen 2637">
          <a:hlinkClick xmlns:r="http://schemas.openxmlformats.org/officeDocument/2006/relationships" r:id="rId2579" tooltip="Quitar este incidente de la liquidación"/>
          <a:extLst>
            <a:ext uri="{FF2B5EF4-FFF2-40B4-BE49-F238E27FC236}">
              <a16:creationId xmlns:a16="http://schemas.microsoft.com/office/drawing/2014/main" id="{C247DDEF-B807-A093-07C2-3F8B01AC1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3249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2318</xdr:row>
      <xdr:rowOff>0</xdr:rowOff>
    </xdr:from>
    <xdr:to>
      <xdr:col>13</xdr:col>
      <xdr:colOff>0</xdr:colOff>
      <xdr:row>2319</xdr:row>
      <xdr:rowOff>114300</xdr:rowOff>
    </xdr:to>
    <xdr:pic>
      <xdr:nvPicPr>
        <xdr:cNvPr id="2639" name="Imagen 2638" descr="Ver detalle">
          <a:hlinkClick xmlns:r="http://schemas.openxmlformats.org/officeDocument/2006/relationships" r:id="rId2580" tooltip="Ver detalle"/>
          <a:extLst>
            <a:ext uri="{FF2B5EF4-FFF2-40B4-BE49-F238E27FC236}">
              <a16:creationId xmlns:a16="http://schemas.microsoft.com/office/drawing/2014/main" id="{D5334530-A691-1D34-A0C8-36749BFD2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3493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2318</xdr:row>
      <xdr:rowOff>0</xdr:rowOff>
    </xdr:from>
    <xdr:to>
      <xdr:col>13</xdr:col>
      <xdr:colOff>299085</xdr:colOff>
      <xdr:row>2319</xdr:row>
      <xdr:rowOff>114300</xdr:rowOff>
    </xdr:to>
    <xdr:pic>
      <xdr:nvPicPr>
        <xdr:cNvPr id="2640" name="Imagen 2639">
          <a:hlinkClick xmlns:r="http://schemas.openxmlformats.org/officeDocument/2006/relationships" r:id="rId2581" tooltip="Quitar este incidente de la liquidación"/>
          <a:extLst>
            <a:ext uri="{FF2B5EF4-FFF2-40B4-BE49-F238E27FC236}">
              <a16:creationId xmlns:a16="http://schemas.microsoft.com/office/drawing/2014/main" id="{919ACE73-528E-2D73-5100-DB807303A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3493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2319</xdr:row>
      <xdr:rowOff>0</xdr:rowOff>
    </xdr:from>
    <xdr:to>
      <xdr:col>13</xdr:col>
      <xdr:colOff>0</xdr:colOff>
      <xdr:row>2320</xdr:row>
      <xdr:rowOff>114300</xdr:rowOff>
    </xdr:to>
    <xdr:pic>
      <xdr:nvPicPr>
        <xdr:cNvPr id="2641" name="Imagen 2640" descr="Ver detalle">
          <a:hlinkClick xmlns:r="http://schemas.openxmlformats.org/officeDocument/2006/relationships" r:id="rId2582" tooltip="Ver detalle"/>
          <a:extLst>
            <a:ext uri="{FF2B5EF4-FFF2-40B4-BE49-F238E27FC236}">
              <a16:creationId xmlns:a16="http://schemas.microsoft.com/office/drawing/2014/main" id="{FE049690-C55B-A7D0-170A-96DDBF252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3737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2319</xdr:row>
      <xdr:rowOff>0</xdr:rowOff>
    </xdr:from>
    <xdr:to>
      <xdr:col>13</xdr:col>
      <xdr:colOff>299085</xdr:colOff>
      <xdr:row>2320</xdr:row>
      <xdr:rowOff>114300</xdr:rowOff>
    </xdr:to>
    <xdr:pic>
      <xdr:nvPicPr>
        <xdr:cNvPr id="2642" name="Imagen 2641">
          <a:hlinkClick xmlns:r="http://schemas.openxmlformats.org/officeDocument/2006/relationships" r:id="rId2583" tooltip="Quitar este incidente de la liquidación"/>
          <a:extLst>
            <a:ext uri="{FF2B5EF4-FFF2-40B4-BE49-F238E27FC236}">
              <a16:creationId xmlns:a16="http://schemas.microsoft.com/office/drawing/2014/main" id="{7B485D8E-E8F3-F10A-6844-460A409EF1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3737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2287</xdr:row>
      <xdr:rowOff>0</xdr:rowOff>
    </xdr:from>
    <xdr:to>
      <xdr:col>13</xdr:col>
      <xdr:colOff>0</xdr:colOff>
      <xdr:row>2288</xdr:row>
      <xdr:rowOff>114300</xdr:rowOff>
    </xdr:to>
    <xdr:pic>
      <xdr:nvPicPr>
        <xdr:cNvPr id="2643" name="Imagen 2642" descr="Ver detalle">
          <a:hlinkClick xmlns:r="http://schemas.openxmlformats.org/officeDocument/2006/relationships" r:id="rId2584" tooltip="Ver detalle"/>
          <a:extLst>
            <a:ext uri="{FF2B5EF4-FFF2-40B4-BE49-F238E27FC236}">
              <a16:creationId xmlns:a16="http://schemas.microsoft.com/office/drawing/2014/main" id="{50DF1995-157E-5DED-63AE-FF5A223019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3900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2287</xdr:row>
      <xdr:rowOff>0</xdr:rowOff>
    </xdr:from>
    <xdr:to>
      <xdr:col>13</xdr:col>
      <xdr:colOff>299085</xdr:colOff>
      <xdr:row>2288</xdr:row>
      <xdr:rowOff>114300</xdr:rowOff>
    </xdr:to>
    <xdr:pic>
      <xdr:nvPicPr>
        <xdr:cNvPr id="2644" name="Imagen 2643">
          <a:hlinkClick xmlns:r="http://schemas.openxmlformats.org/officeDocument/2006/relationships" r:id="rId2585" tooltip="Quitar este incidente de la liquidación"/>
          <a:extLst>
            <a:ext uri="{FF2B5EF4-FFF2-40B4-BE49-F238E27FC236}">
              <a16:creationId xmlns:a16="http://schemas.microsoft.com/office/drawing/2014/main" id="{F537C393-6836-088A-F59C-B7967BA61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3900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2273</xdr:row>
      <xdr:rowOff>0</xdr:rowOff>
    </xdr:from>
    <xdr:to>
      <xdr:col>13</xdr:col>
      <xdr:colOff>0</xdr:colOff>
      <xdr:row>2274</xdr:row>
      <xdr:rowOff>114300</xdr:rowOff>
    </xdr:to>
    <xdr:pic>
      <xdr:nvPicPr>
        <xdr:cNvPr id="2645" name="Imagen 2644" descr="Ver detalle">
          <a:hlinkClick xmlns:r="http://schemas.openxmlformats.org/officeDocument/2006/relationships" r:id="rId2586" tooltip="Ver detalle"/>
          <a:extLst>
            <a:ext uri="{FF2B5EF4-FFF2-40B4-BE49-F238E27FC236}">
              <a16:creationId xmlns:a16="http://schemas.microsoft.com/office/drawing/2014/main" id="{9E49DE60-5BD0-CD7E-7BB4-641752750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4014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2273</xdr:row>
      <xdr:rowOff>0</xdr:rowOff>
    </xdr:from>
    <xdr:to>
      <xdr:col>13</xdr:col>
      <xdr:colOff>299085</xdr:colOff>
      <xdr:row>2274</xdr:row>
      <xdr:rowOff>114300</xdr:rowOff>
    </xdr:to>
    <xdr:pic>
      <xdr:nvPicPr>
        <xdr:cNvPr id="2646" name="Imagen 2645">
          <a:hlinkClick xmlns:r="http://schemas.openxmlformats.org/officeDocument/2006/relationships" r:id="rId2587" tooltip="Quitar este incidente de la liquidación"/>
          <a:extLst>
            <a:ext uri="{FF2B5EF4-FFF2-40B4-BE49-F238E27FC236}">
              <a16:creationId xmlns:a16="http://schemas.microsoft.com/office/drawing/2014/main" id="{00F10F7B-1713-3BFE-D234-0F85FA634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4014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2326</xdr:row>
      <xdr:rowOff>0</xdr:rowOff>
    </xdr:from>
    <xdr:to>
      <xdr:col>13</xdr:col>
      <xdr:colOff>0</xdr:colOff>
      <xdr:row>2327</xdr:row>
      <xdr:rowOff>114300</xdr:rowOff>
    </xdr:to>
    <xdr:pic>
      <xdr:nvPicPr>
        <xdr:cNvPr id="2647" name="Imagen 2646" descr="Ver detalle">
          <a:hlinkClick xmlns:r="http://schemas.openxmlformats.org/officeDocument/2006/relationships" r:id="rId2588" tooltip="Ver detalle"/>
          <a:extLst>
            <a:ext uri="{FF2B5EF4-FFF2-40B4-BE49-F238E27FC236}">
              <a16:creationId xmlns:a16="http://schemas.microsoft.com/office/drawing/2014/main" id="{8B7B2560-F0B9-FB49-CC65-DD11085E2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4502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2326</xdr:row>
      <xdr:rowOff>0</xdr:rowOff>
    </xdr:from>
    <xdr:to>
      <xdr:col>13</xdr:col>
      <xdr:colOff>299085</xdr:colOff>
      <xdr:row>2327</xdr:row>
      <xdr:rowOff>114300</xdr:rowOff>
    </xdr:to>
    <xdr:pic>
      <xdr:nvPicPr>
        <xdr:cNvPr id="2648" name="Imagen 2647">
          <a:hlinkClick xmlns:r="http://schemas.openxmlformats.org/officeDocument/2006/relationships" r:id="rId2589" tooltip="Quitar este incidente de la liquidación"/>
          <a:extLst>
            <a:ext uri="{FF2B5EF4-FFF2-40B4-BE49-F238E27FC236}">
              <a16:creationId xmlns:a16="http://schemas.microsoft.com/office/drawing/2014/main" id="{7268D7CD-D96B-8CDF-2C22-2B48F4C79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4502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2327</xdr:row>
      <xdr:rowOff>0</xdr:rowOff>
    </xdr:from>
    <xdr:to>
      <xdr:col>13</xdr:col>
      <xdr:colOff>0</xdr:colOff>
      <xdr:row>2328</xdr:row>
      <xdr:rowOff>114300</xdr:rowOff>
    </xdr:to>
    <xdr:pic>
      <xdr:nvPicPr>
        <xdr:cNvPr id="2649" name="Imagen 2648" descr="Ver detalle">
          <a:hlinkClick xmlns:r="http://schemas.openxmlformats.org/officeDocument/2006/relationships" r:id="rId2590" tooltip="Ver detalle"/>
          <a:extLst>
            <a:ext uri="{FF2B5EF4-FFF2-40B4-BE49-F238E27FC236}">
              <a16:creationId xmlns:a16="http://schemas.microsoft.com/office/drawing/2014/main" id="{AEC0EA38-2684-DF71-D2F1-BA3765A59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4664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2327</xdr:row>
      <xdr:rowOff>0</xdr:rowOff>
    </xdr:from>
    <xdr:to>
      <xdr:col>13</xdr:col>
      <xdr:colOff>299085</xdr:colOff>
      <xdr:row>2328</xdr:row>
      <xdr:rowOff>114300</xdr:rowOff>
    </xdr:to>
    <xdr:pic>
      <xdr:nvPicPr>
        <xdr:cNvPr id="2650" name="Imagen 2649">
          <a:hlinkClick xmlns:r="http://schemas.openxmlformats.org/officeDocument/2006/relationships" r:id="rId2591" tooltip="Quitar este incidente de la liquidación"/>
          <a:extLst>
            <a:ext uri="{FF2B5EF4-FFF2-40B4-BE49-F238E27FC236}">
              <a16:creationId xmlns:a16="http://schemas.microsoft.com/office/drawing/2014/main" id="{56FADB97-4859-9276-1577-1B43FC65B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4664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2328</xdr:row>
      <xdr:rowOff>0</xdr:rowOff>
    </xdr:from>
    <xdr:to>
      <xdr:col>13</xdr:col>
      <xdr:colOff>0</xdr:colOff>
      <xdr:row>2329</xdr:row>
      <xdr:rowOff>110490</xdr:rowOff>
    </xdr:to>
    <xdr:pic>
      <xdr:nvPicPr>
        <xdr:cNvPr id="2651" name="Imagen 2650" descr="Ver detalle">
          <a:hlinkClick xmlns:r="http://schemas.openxmlformats.org/officeDocument/2006/relationships" r:id="rId2592" tooltip="Ver detalle"/>
          <a:extLst>
            <a:ext uri="{FF2B5EF4-FFF2-40B4-BE49-F238E27FC236}">
              <a16:creationId xmlns:a16="http://schemas.microsoft.com/office/drawing/2014/main" id="{4F26BA51-2001-F3B1-F4D9-CC9B4B990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482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2328</xdr:row>
      <xdr:rowOff>0</xdr:rowOff>
    </xdr:from>
    <xdr:to>
      <xdr:col>13</xdr:col>
      <xdr:colOff>299085</xdr:colOff>
      <xdr:row>2329</xdr:row>
      <xdr:rowOff>110490</xdr:rowOff>
    </xdr:to>
    <xdr:pic>
      <xdr:nvPicPr>
        <xdr:cNvPr id="2652" name="Imagen 2651">
          <a:hlinkClick xmlns:r="http://schemas.openxmlformats.org/officeDocument/2006/relationships" r:id="rId2593" tooltip="Quitar este incidente de la liquidación"/>
          <a:extLst>
            <a:ext uri="{FF2B5EF4-FFF2-40B4-BE49-F238E27FC236}">
              <a16:creationId xmlns:a16="http://schemas.microsoft.com/office/drawing/2014/main" id="{1AB169A3-B816-8436-C15B-63F36553F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482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2274</xdr:row>
      <xdr:rowOff>0</xdr:rowOff>
    </xdr:from>
    <xdr:to>
      <xdr:col>13</xdr:col>
      <xdr:colOff>0</xdr:colOff>
      <xdr:row>2275</xdr:row>
      <xdr:rowOff>114300</xdr:rowOff>
    </xdr:to>
    <xdr:pic>
      <xdr:nvPicPr>
        <xdr:cNvPr id="2653" name="Imagen 2652" descr="Ver detalle">
          <a:hlinkClick xmlns:r="http://schemas.openxmlformats.org/officeDocument/2006/relationships" r:id="rId2594" tooltip="Ver detalle"/>
          <a:extLst>
            <a:ext uri="{FF2B5EF4-FFF2-40B4-BE49-F238E27FC236}">
              <a16:creationId xmlns:a16="http://schemas.microsoft.com/office/drawing/2014/main" id="{621DB3BF-5D82-03D2-E608-8E14F38A7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5071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2274</xdr:row>
      <xdr:rowOff>0</xdr:rowOff>
    </xdr:from>
    <xdr:to>
      <xdr:col>13</xdr:col>
      <xdr:colOff>299085</xdr:colOff>
      <xdr:row>2275</xdr:row>
      <xdr:rowOff>114300</xdr:rowOff>
    </xdr:to>
    <xdr:pic>
      <xdr:nvPicPr>
        <xdr:cNvPr id="2654" name="Imagen 2653">
          <a:hlinkClick xmlns:r="http://schemas.openxmlformats.org/officeDocument/2006/relationships" r:id="rId2595" tooltip="Quitar este incidente de la liquidación"/>
          <a:extLst>
            <a:ext uri="{FF2B5EF4-FFF2-40B4-BE49-F238E27FC236}">
              <a16:creationId xmlns:a16="http://schemas.microsoft.com/office/drawing/2014/main" id="{8175A498-95BC-7C48-0AEF-6FA391E31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5071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2362</xdr:row>
      <xdr:rowOff>0</xdr:rowOff>
    </xdr:from>
    <xdr:to>
      <xdr:col>13</xdr:col>
      <xdr:colOff>0</xdr:colOff>
      <xdr:row>2363</xdr:row>
      <xdr:rowOff>114300</xdr:rowOff>
    </xdr:to>
    <xdr:pic>
      <xdr:nvPicPr>
        <xdr:cNvPr id="2655" name="Imagen 2654" descr="Ver detalle">
          <a:hlinkClick xmlns:r="http://schemas.openxmlformats.org/officeDocument/2006/relationships" r:id="rId2596" tooltip="Ver detalle"/>
          <a:extLst>
            <a:ext uri="{FF2B5EF4-FFF2-40B4-BE49-F238E27FC236}">
              <a16:creationId xmlns:a16="http://schemas.microsoft.com/office/drawing/2014/main" id="{492E983E-0042-23AA-DA23-FD766332A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4703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2363</xdr:row>
      <xdr:rowOff>0</xdr:rowOff>
    </xdr:from>
    <xdr:to>
      <xdr:col>13</xdr:col>
      <xdr:colOff>0</xdr:colOff>
      <xdr:row>2364</xdr:row>
      <xdr:rowOff>114300</xdr:rowOff>
    </xdr:to>
    <xdr:pic>
      <xdr:nvPicPr>
        <xdr:cNvPr id="2656" name="Imagen 2655" descr="Ver detalle">
          <a:hlinkClick xmlns:r="http://schemas.openxmlformats.org/officeDocument/2006/relationships" r:id="rId2597" tooltip="Ver detalle"/>
          <a:extLst>
            <a:ext uri="{FF2B5EF4-FFF2-40B4-BE49-F238E27FC236}">
              <a16:creationId xmlns:a16="http://schemas.microsoft.com/office/drawing/2014/main" id="{D5EBC799-B060-7A64-22D2-CBDA7961F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4947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2364</xdr:row>
      <xdr:rowOff>0</xdr:rowOff>
    </xdr:from>
    <xdr:to>
      <xdr:col>13</xdr:col>
      <xdr:colOff>0</xdr:colOff>
      <xdr:row>2365</xdr:row>
      <xdr:rowOff>114300</xdr:rowOff>
    </xdr:to>
    <xdr:pic>
      <xdr:nvPicPr>
        <xdr:cNvPr id="2657" name="Imagen 2656" descr="Ver detalle">
          <a:hlinkClick xmlns:r="http://schemas.openxmlformats.org/officeDocument/2006/relationships" r:id="rId2598" tooltip="Ver detalle"/>
          <a:extLst>
            <a:ext uri="{FF2B5EF4-FFF2-40B4-BE49-F238E27FC236}">
              <a16:creationId xmlns:a16="http://schemas.microsoft.com/office/drawing/2014/main" id="{FFC96E38-6EEA-B7B2-4792-2C8EE9638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5191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2365</xdr:row>
      <xdr:rowOff>0</xdr:rowOff>
    </xdr:from>
    <xdr:to>
      <xdr:col>13</xdr:col>
      <xdr:colOff>0</xdr:colOff>
      <xdr:row>2366</xdr:row>
      <xdr:rowOff>114300</xdr:rowOff>
    </xdr:to>
    <xdr:pic>
      <xdr:nvPicPr>
        <xdr:cNvPr id="2658" name="Imagen 2657" descr="Ver detalle">
          <a:hlinkClick xmlns:r="http://schemas.openxmlformats.org/officeDocument/2006/relationships" r:id="rId2599" tooltip="Ver detalle"/>
          <a:extLst>
            <a:ext uri="{FF2B5EF4-FFF2-40B4-BE49-F238E27FC236}">
              <a16:creationId xmlns:a16="http://schemas.microsoft.com/office/drawing/2014/main" id="{43FFD67A-1750-D4F6-7C1C-658383C3A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5435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2366</xdr:row>
      <xdr:rowOff>0</xdr:rowOff>
    </xdr:from>
    <xdr:to>
      <xdr:col>13</xdr:col>
      <xdr:colOff>0</xdr:colOff>
      <xdr:row>2367</xdr:row>
      <xdr:rowOff>114300</xdr:rowOff>
    </xdr:to>
    <xdr:pic>
      <xdr:nvPicPr>
        <xdr:cNvPr id="2659" name="Imagen 2658" descr="Ver detalle">
          <a:hlinkClick xmlns:r="http://schemas.openxmlformats.org/officeDocument/2006/relationships" r:id="rId2600" tooltip="Ver detalle"/>
          <a:extLst>
            <a:ext uri="{FF2B5EF4-FFF2-40B4-BE49-F238E27FC236}">
              <a16:creationId xmlns:a16="http://schemas.microsoft.com/office/drawing/2014/main" id="{7FDB67CD-6D81-E753-F3AE-ACB153FD8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5549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2367</xdr:row>
      <xdr:rowOff>0</xdr:rowOff>
    </xdr:from>
    <xdr:to>
      <xdr:col>13</xdr:col>
      <xdr:colOff>0</xdr:colOff>
      <xdr:row>2368</xdr:row>
      <xdr:rowOff>110490</xdr:rowOff>
    </xdr:to>
    <xdr:pic>
      <xdr:nvPicPr>
        <xdr:cNvPr id="2660" name="Imagen 2659" descr="Ver detalle">
          <a:hlinkClick xmlns:r="http://schemas.openxmlformats.org/officeDocument/2006/relationships" r:id="rId2601" tooltip="Ver detalle"/>
          <a:extLst>
            <a:ext uri="{FF2B5EF4-FFF2-40B4-BE49-F238E27FC236}">
              <a16:creationId xmlns:a16="http://schemas.microsoft.com/office/drawing/2014/main" id="{DC4C9BC7-CA50-8C37-3B14-BBB287F246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5793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2355</xdr:row>
      <xdr:rowOff>0</xdr:rowOff>
    </xdr:from>
    <xdr:to>
      <xdr:col>13</xdr:col>
      <xdr:colOff>0</xdr:colOff>
      <xdr:row>2356</xdr:row>
      <xdr:rowOff>114300</xdr:rowOff>
    </xdr:to>
    <xdr:pic>
      <xdr:nvPicPr>
        <xdr:cNvPr id="2661" name="Imagen 2660" descr="Ver detalle">
          <a:hlinkClick xmlns:r="http://schemas.openxmlformats.org/officeDocument/2006/relationships" r:id="rId2602" tooltip="Ver detalle"/>
          <a:extLst>
            <a:ext uri="{FF2B5EF4-FFF2-40B4-BE49-F238E27FC236}">
              <a16:creationId xmlns:a16="http://schemas.microsoft.com/office/drawing/2014/main" id="{DA8EB36A-C178-FEF2-D3CE-065869822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5907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2356</xdr:row>
      <xdr:rowOff>0</xdr:rowOff>
    </xdr:from>
    <xdr:to>
      <xdr:col>13</xdr:col>
      <xdr:colOff>0</xdr:colOff>
      <xdr:row>2357</xdr:row>
      <xdr:rowOff>114300</xdr:rowOff>
    </xdr:to>
    <xdr:pic>
      <xdr:nvPicPr>
        <xdr:cNvPr id="2662" name="Imagen 2661" descr="Ver detalle">
          <a:hlinkClick xmlns:r="http://schemas.openxmlformats.org/officeDocument/2006/relationships" r:id="rId2603" tooltip="Ver detalle"/>
          <a:extLst>
            <a:ext uri="{FF2B5EF4-FFF2-40B4-BE49-F238E27FC236}">
              <a16:creationId xmlns:a16="http://schemas.microsoft.com/office/drawing/2014/main" id="{E7FFA527-938F-0FB7-8032-3724A1DB4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6151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2361</xdr:row>
      <xdr:rowOff>0</xdr:rowOff>
    </xdr:from>
    <xdr:to>
      <xdr:col>13</xdr:col>
      <xdr:colOff>0</xdr:colOff>
      <xdr:row>2362</xdr:row>
      <xdr:rowOff>114300</xdr:rowOff>
    </xdr:to>
    <xdr:pic>
      <xdr:nvPicPr>
        <xdr:cNvPr id="2663" name="Imagen 2662" descr="Ver detalle">
          <a:hlinkClick xmlns:r="http://schemas.openxmlformats.org/officeDocument/2006/relationships" r:id="rId2604" tooltip="Ver detalle"/>
          <a:extLst>
            <a:ext uri="{FF2B5EF4-FFF2-40B4-BE49-F238E27FC236}">
              <a16:creationId xmlns:a16="http://schemas.microsoft.com/office/drawing/2014/main" id="{860010B6-BA5D-1E26-94DE-213192F12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6395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2357</xdr:row>
      <xdr:rowOff>0</xdr:rowOff>
    </xdr:from>
    <xdr:to>
      <xdr:col>13</xdr:col>
      <xdr:colOff>0</xdr:colOff>
      <xdr:row>2358</xdr:row>
      <xdr:rowOff>114300</xdr:rowOff>
    </xdr:to>
    <xdr:pic>
      <xdr:nvPicPr>
        <xdr:cNvPr id="2664" name="Imagen 2663" descr="Ver detalle">
          <a:hlinkClick xmlns:r="http://schemas.openxmlformats.org/officeDocument/2006/relationships" r:id="rId2605" tooltip="Ver detalle"/>
          <a:extLst>
            <a:ext uri="{FF2B5EF4-FFF2-40B4-BE49-F238E27FC236}">
              <a16:creationId xmlns:a16="http://schemas.microsoft.com/office/drawing/2014/main" id="{140F193D-DD48-4062-5767-DF0D19AA3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6639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2359</xdr:row>
      <xdr:rowOff>0</xdr:rowOff>
    </xdr:from>
    <xdr:to>
      <xdr:col>13</xdr:col>
      <xdr:colOff>0</xdr:colOff>
      <xdr:row>2360</xdr:row>
      <xdr:rowOff>114300</xdr:rowOff>
    </xdr:to>
    <xdr:pic>
      <xdr:nvPicPr>
        <xdr:cNvPr id="2665" name="Imagen 2664" descr="Ver detalle">
          <a:hlinkClick xmlns:r="http://schemas.openxmlformats.org/officeDocument/2006/relationships" r:id="rId2606" tooltip="Ver detalle"/>
          <a:extLst>
            <a:ext uri="{FF2B5EF4-FFF2-40B4-BE49-F238E27FC236}">
              <a16:creationId xmlns:a16="http://schemas.microsoft.com/office/drawing/2014/main" id="{66C769F0-A34D-E732-00F3-31990BB767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6883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2360</xdr:row>
      <xdr:rowOff>0</xdr:rowOff>
    </xdr:from>
    <xdr:to>
      <xdr:col>13</xdr:col>
      <xdr:colOff>0</xdr:colOff>
      <xdr:row>2361</xdr:row>
      <xdr:rowOff>114300</xdr:rowOff>
    </xdr:to>
    <xdr:pic>
      <xdr:nvPicPr>
        <xdr:cNvPr id="2666" name="Imagen 2665" descr="Ver detalle">
          <a:hlinkClick xmlns:r="http://schemas.openxmlformats.org/officeDocument/2006/relationships" r:id="rId2607" tooltip="Ver detalle"/>
          <a:extLst>
            <a:ext uri="{FF2B5EF4-FFF2-40B4-BE49-F238E27FC236}">
              <a16:creationId xmlns:a16="http://schemas.microsoft.com/office/drawing/2014/main" id="{1B1EB811-0F2E-7B6C-6E0C-EC1A0788F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7126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2358</xdr:row>
      <xdr:rowOff>0</xdr:rowOff>
    </xdr:from>
    <xdr:to>
      <xdr:col>13</xdr:col>
      <xdr:colOff>0</xdr:colOff>
      <xdr:row>2359</xdr:row>
      <xdr:rowOff>114300</xdr:rowOff>
    </xdr:to>
    <xdr:pic>
      <xdr:nvPicPr>
        <xdr:cNvPr id="2667" name="Imagen 2666" descr="Ver detalle">
          <a:hlinkClick xmlns:r="http://schemas.openxmlformats.org/officeDocument/2006/relationships" r:id="rId2608" tooltip="Ver detalle"/>
          <a:extLst>
            <a:ext uri="{FF2B5EF4-FFF2-40B4-BE49-F238E27FC236}">
              <a16:creationId xmlns:a16="http://schemas.microsoft.com/office/drawing/2014/main" id="{A5C52D88-5780-3C40-B097-26A9715EF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7370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2353</xdr:row>
      <xdr:rowOff>0</xdr:rowOff>
    </xdr:from>
    <xdr:to>
      <xdr:col>13</xdr:col>
      <xdr:colOff>0</xdr:colOff>
      <xdr:row>2354</xdr:row>
      <xdr:rowOff>114300</xdr:rowOff>
    </xdr:to>
    <xdr:pic>
      <xdr:nvPicPr>
        <xdr:cNvPr id="2668" name="Imagen 2667" descr="Ver detalle">
          <a:hlinkClick xmlns:r="http://schemas.openxmlformats.org/officeDocument/2006/relationships" r:id="rId2609" tooltip="Ver detalle"/>
          <a:extLst>
            <a:ext uri="{FF2B5EF4-FFF2-40B4-BE49-F238E27FC236}">
              <a16:creationId xmlns:a16="http://schemas.microsoft.com/office/drawing/2014/main" id="{CED56D47-CB97-4143-23F8-1896EAB41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7614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2352</xdr:row>
      <xdr:rowOff>0</xdr:rowOff>
    </xdr:from>
    <xdr:to>
      <xdr:col>13</xdr:col>
      <xdr:colOff>0</xdr:colOff>
      <xdr:row>2353</xdr:row>
      <xdr:rowOff>114300</xdr:rowOff>
    </xdr:to>
    <xdr:pic>
      <xdr:nvPicPr>
        <xdr:cNvPr id="2669" name="Imagen 2668" descr="Ver detalle">
          <a:hlinkClick xmlns:r="http://schemas.openxmlformats.org/officeDocument/2006/relationships" r:id="rId2610" tooltip="Ver detalle"/>
          <a:extLst>
            <a:ext uri="{FF2B5EF4-FFF2-40B4-BE49-F238E27FC236}">
              <a16:creationId xmlns:a16="http://schemas.microsoft.com/office/drawing/2014/main" id="{B994DA01-5CC3-54C6-2532-E5D6F5119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7858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2348</xdr:row>
      <xdr:rowOff>0</xdr:rowOff>
    </xdr:from>
    <xdr:to>
      <xdr:col>13</xdr:col>
      <xdr:colOff>0</xdr:colOff>
      <xdr:row>2349</xdr:row>
      <xdr:rowOff>114300</xdr:rowOff>
    </xdr:to>
    <xdr:pic>
      <xdr:nvPicPr>
        <xdr:cNvPr id="2670" name="Imagen 2669" descr="Ver detalle">
          <a:hlinkClick xmlns:r="http://schemas.openxmlformats.org/officeDocument/2006/relationships" r:id="rId2611" tooltip="Ver detalle"/>
          <a:extLst>
            <a:ext uri="{FF2B5EF4-FFF2-40B4-BE49-F238E27FC236}">
              <a16:creationId xmlns:a16="http://schemas.microsoft.com/office/drawing/2014/main" id="{91876FF6-01EC-2E35-889E-8D68C0A04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8102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2347</xdr:row>
      <xdr:rowOff>0</xdr:rowOff>
    </xdr:from>
    <xdr:to>
      <xdr:col>13</xdr:col>
      <xdr:colOff>0</xdr:colOff>
      <xdr:row>2348</xdr:row>
      <xdr:rowOff>114300</xdr:rowOff>
    </xdr:to>
    <xdr:pic>
      <xdr:nvPicPr>
        <xdr:cNvPr id="2671" name="Imagen 2670" descr="Ver detalle">
          <a:hlinkClick xmlns:r="http://schemas.openxmlformats.org/officeDocument/2006/relationships" r:id="rId2612" tooltip="Ver detalle"/>
          <a:extLst>
            <a:ext uri="{FF2B5EF4-FFF2-40B4-BE49-F238E27FC236}">
              <a16:creationId xmlns:a16="http://schemas.microsoft.com/office/drawing/2014/main" id="{A624AAD4-2923-37C4-FC33-034F6E848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8216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2354</xdr:row>
      <xdr:rowOff>0</xdr:rowOff>
    </xdr:from>
    <xdr:to>
      <xdr:col>13</xdr:col>
      <xdr:colOff>0</xdr:colOff>
      <xdr:row>2355</xdr:row>
      <xdr:rowOff>114300</xdr:rowOff>
    </xdr:to>
    <xdr:pic>
      <xdr:nvPicPr>
        <xdr:cNvPr id="2672" name="Imagen 2671" descr="Ver detalle">
          <a:hlinkClick xmlns:r="http://schemas.openxmlformats.org/officeDocument/2006/relationships" r:id="rId2613" tooltip="Ver detalle"/>
          <a:extLst>
            <a:ext uri="{FF2B5EF4-FFF2-40B4-BE49-F238E27FC236}">
              <a16:creationId xmlns:a16="http://schemas.microsoft.com/office/drawing/2014/main" id="{A8BCB4FE-EC03-8CE6-F8E3-BD42B20CA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8379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2350</xdr:row>
      <xdr:rowOff>0</xdr:rowOff>
    </xdr:from>
    <xdr:to>
      <xdr:col>13</xdr:col>
      <xdr:colOff>0</xdr:colOff>
      <xdr:row>2351</xdr:row>
      <xdr:rowOff>114300</xdr:rowOff>
    </xdr:to>
    <xdr:pic>
      <xdr:nvPicPr>
        <xdr:cNvPr id="2673" name="Imagen 2672" descr="Ver detalle">
          <a:hlinkClick xmlns:r="http://schemas.openxmlformats.org/officeDocument/2006/relationships" r:id="rId2614" tooltip="Ver detalle"/>
          <a:extLst>
            <a:ext uri="{FF2B5EF4-FFF2-40B4-BE49-F238E27FC236}">
              <a16:creationId xmlns:a16="http://schemas.microsoft.com/office/drawing/2014/main" id="{FAC6B1F1-0E0B-3ACD-B196-DA12985BC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8623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2346</xdr:row>
      <xdr:rowOff>0</xdr:rowOff>
    </xdr:from>
    <xdr:to>
      <xdr:col>13</xdr:col>
      <xdr:colOff>0</xdr:colOff>
      <xdr:row>2347</xdr:row>
      <xdr:rowOff>114300</xdr:rowOff>
    </xdr:to>
    <xdr:pic>
      <xdr:nvPicPr>
        <xdr:cNvPr id="2674" name="Imagen 2673" descr="Ver detalle">
          <a:hlinkClick xmlns:r="http://schemas.openxmlformats.org/officeDocument/2006/relationships" r:id="rId2615" tooltip="Ver detalle"/>
          <a:extLst>
            <a:ext uri="{FF2B5EF4-FFF2-40B4-BE49-F238E27FC236}">
              <a16:creationId xmlns:a16="http://schemas.microsoft.com/office/drawing/2014/main" id="{2D5022F2-6625-DB80-52AB-E70BED34D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8867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2343</xdr:row>
      <xdr:rowOff>0</xdr:rowOff>
    </xdr:from>
    <xdr:to>
      <xdr:col>13</xdr:col>
      <xdr:colOff>0</xdr:colOff>
      <xdr:row>2344</xdr:row>
      <xdr:rowOff>114300</xdr:rowOff>
    </xdr:to>
    <xdr:pic>
      <xdr:nvPicPr>
        <xdr:cNvPr id="2675" name="Imagen 2674" descr="Ver detalle">
          <a:hlinkClick xmlns:r="http://schemas.openxmlformats.org/officeDocument/2006/relationships" r:id="rId2616" tooltip="Ver detalle"/>
          <a:extLst>
            <a:ext uri="{FF2B5EF4-FFF2-40B4-BE49-F238E27FC236}">
              <a16:creationId xmlns:a16="http://schemas.microsoft.com/office/drawing/2014/main" id="{AC9A27DD-3ECC-9703-5BAE-66A118FCF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8981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2351</xdr:row>
      <xdr:rowOff>0</xdr:rowOff>
    </xdr:from>
    <xdr:to>
      <xdr:col>13</xdr:col>
      <xdr:colOff>0</xdr:colOff>
      <xdr:row>2352</xdr:row>
      <xdr:rowOff>114300</xdr:rowOff>
    </xdr:to>
    <xdr:pic>
      <xdr:nvPicPr>
        <xdr:cNvPr id="2676" name="Imagen 2675" descr="Ver detalle">
          <a:hlinkClick xmlns:r="http://schemas.openxmlformats.org/officeDocument/2006/relationships" r:id="rId2617" tooltip="Ver detalle"/>
          <a:extLst>
            <a:ext uri="{FF2B5EF4-FFF2-40B4-BE49-F238E27FC236}">
              <a16:creationId xmlns:a16="http://schemas.microsoft.com/office/drawing/2014/main" id="{ADCF3327-D9F1-64B6-0440-218514A3F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9225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2341</xdr:row>
      <xdr:rowOff>0</xdr:rowOff>
    </xdr:from>
    <xdr:to>
      <xdr:col>13</xdr:col>
      <xdr:colOff>0</xdr:colOff>
      <xdr:row>2342</xdr:row>
      <xdr:rowOff>114300</xdr:rowOff>
    </xdr:to>
    <xdr:pic>
      <xdr:nvPicPr>
        <xdr:cNvPr id="2677" name="Imagen 2676" descr="Ver detalle">
          <a:hlinkClick xmlns:r="http://schemas.openxmlformats.org/officeDocument/2006/relationships" r:id="rId2618" tooltip="Ver detalle"/>
          <a:extLst>
            <a:ext uri="{FF2B5EF4-FFF2-40B4-BE49-F238E27FC236}">
              <a16:creationId xmlns:a16="http://schemas.microsoft.com/office/drawing/2014/main" id="{88155218-F924-9E7E-0EE5-BBDD556AE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9469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2338</xdr:row>
      <xdr:rowOff>0</xdr:rowOff>
    </xdr:from>
    <xdr:to>
      <xdr:col>13</xdr:col>
      <xdr:colOff>0</xdr:colOff>
      <xdr:row>2339</xdr:row>
      <xdr:rowOff>114300</xdr:rowOff>
    </xdr:to>
    <xdr:pic>
      <xdr:nvPicPr>
        <xdr:cNvPr id="2678" name="Imagen 2677" descr="Ver detalle">
          <a:hlinkClick xmlns:r="http://schemas.openxmlformats.org/officeDocument/2006/relationships" r:id="rId2619" tooltip="Ver detalle"/>
          <a:extLst>
            <a:ext uri="{FF2B5EF4-FFF2-40B4-BE49-F238E27FC236}">
              <a16:creationId xmlns:a16="http://schemas.microsoft.com/office/drawing/2014/main" id="{0A46D641-B7C4-C322-7667-68F6719A2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971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2333</xdr:row>
      <xdr:rowOff>0</xdr:rowOff>
    </xdr:from>
    <xdr:to>
      <xdr:col>13</xdr:col>
      <xdr:colOff>0</xdr:colOff>
      <xdr:row>2334</xdr:row>
      <xdr:rowOff>114300</xdr:rowOff>
    </xdr:to>
    <xdr:pic>
      <xdr:nvPicPr>
        <xdr:cNvPr id="2679" name="Imagen 2678" descr="Ver detalle">
          <a:hlinkClick xmlns:r="http://schemas.openxmlformats.org/officeDocument/2006/relationships" r:id="rId2620" tooltip="Ver detalle"/>
          <a:extLst>
            <a:ext uri="{FF2B5EF4-FFF2-40B4-BE49-F238E27FC236}">
              <a16:creationId xmlns:a16="http://schemas.microsoft.com/office/drawing/2014/main" id="{5FDFCCFA-5982-32F3-690B-1E1EFF21A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0200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2334</xdr:row>
      <xdr:rowOff>0</xdr:rowOff>
    </xdr:from>
    <xdr:to>
      <xdr:col>13</xdr:col>
      <xdr:colOff>0</xdr:colOff>
      <xdr:row>2335</xdr:row>
      <xdr:rowOff>114300</xdr:rowOff>
    </xdr:to>
    <xdr:pic>
      <xdr:nvPicPr>
        <xdr:cNvPr id="2680" name="Imagen 2679" descr="Ver detalle">
          <a:hlinkClick xmlns:r="http://schemas.openxmlformats.org/officeDocument/2006/relationships" r:id="rId2621" tooltip="Ver detalle"/>
          <a:extLst>
            <a:ext uri="{FF2B5EF4-FFF2-40B4-BE49-F238E27FC236}">
              <a16:creationId xmlns:a16="http://schemas.microsoft.com/office/drawing/2014/main" id="{4EE49821-5005-BEDE-FE16-0A60D9639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044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2335</xdr:row>
      <xdr:rowOff>0</xdr:rowOff>
    </xdr:from>
    <xdr:to>
      <xdr:col>13</xdr:col>
      <xdr:colOff>0</xdr:colOff>
      <xdr:row>2336</xdr:row>
      <xdr:rowOff>114300</xdr:rowOff>
    </xdr:to>
    <xdr:pic>
      <xdr:nvPicPr>
        <xdr:cNvPr id="2681" name="Imagen 2680" descr="Ver detalle">
          <a:hlinkClick xmlns:r="http://schemas.openxmlformats.org/officeDocument/2006/relationships" r:id="rId2622" tooltip="Ver detalle"/>
          <a:extLst>
            <a:ext uri="{FF2B5EF4-FFF2-40B4-BE49-F238E27FC236}">
              <a16:creationId xmlns:a16="http://schemas.microsoft.com/office/drawing/2014/main" id="{B1D97ECD-464A-E7D5-21AC-75C53B180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0607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2336</xdr:row>
      <xdr:rowOff>0</xdr:rowOff>
    </xdr:from>
    <xdr:to>
      <xdr:col>13</xdr:col>
      <xdr:colOff>0</xdr:colOff>
      <xdr:row>2337</xdr:row>
      <xdr:rowOff>114300</xdr:rowOff>
    </xdr:to>
    <xdr:pic>
      <xdr:nvPicPr>
        <xdr:cNvPr id="2682" name="Imagen 2681" descr="Ver detalle">
          <a:hlinkClick xmlns:r="http://schemas.openxmlformats.org/officeDocument/2006/relationships" r:id="rId2623" tooltip="Ver detalle"/>
          <a:extLst>
            <a:ext uri="{FF2B5EF4-FFF2-40B4-BE49-F238E27FC236}">
              <a16:creationId xmlns:a16="http://schemas.microsoft.com/office/drawing/2014/main" id="{C5F4B24A-9795-5857-5730-98DFD3D63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0770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2337</xdr:row>
      <xdr:rowOff>0</xdr:rowOff>
    </xdr:from>
    <xdr:to>
      <xdr:col>13</xdr:col>
      <xdr:colOff>0</xdr:colOff>
      <xdr:row>2338</xdr:row>
      <xdr:rowOff>114300</xdr:rowOff>
    </xdr:to>
    <xdr:pic>
      <xdr:nvPicPr>
        <xdr:cNvPr id="2683" name="Imagen 2682" descr="Ver detalle">
          <a:hlinkClick xmlns:r="http://schemas.openxmlformats.org/officeDocument/2006/relationships" r:id="rId2624" tooltip="Ver detalle"/>
          <a:extLst>
            <a:ext uri="{FF2B5EF4-FFF2-40B4-BE49-F238E27FC236}">
              <a16:creationId xmlns:a16="http://schemas.microsoft.com/office/drawing/2014/main" id="{03F34219-43D7-39F6-0963-3A281A29C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1013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2339</xdr:row>
      <xdr:rowOff>0</xdr:rowOff>
    </xdr:from>
    <xdr:to>
      <xdr:col>13</xdr:col>
      <xdr:colOff>0</xdr:colOff>
      <xdr:row>2340</xdr:row>
      <xdr:rowOff>114300</xdr:rowOff>
    </xdr:to>
    <xdr:pic>
      <xdr:nvPicPr>
        <xdr:cNvPr id="2684" name="Imagen 2683" descr="Ver detalle">
          <a:hlinkClick xmlns:r="http://schemas.openxmlformats.org/officeDocument/2006/relationships" r:id="rId2625" tooltip="Ver detalle"/>
          <a:extLst>
            <a:ext uri="{FF2B5EF4-FFF2-40B4-BE49-F238E27FC236}">
              <a16:creationId xmlns:a16="http://schemas.microsoft.com/office/drawing/2014/main" id="{386A403D-6258-92AA-3007-533D68442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1257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2344</xdr:row>
      <xdr:rowOff>0</xdr:rowOff>
    </xdr:from>
    <xdr:to>
      <xdr:col>13</xdr:col>
      <xdr:colOff>0</xdr:colOff>
      <xdr:row>2345</xdr:row>
      <xdr:rowOff>114300</xdr:rowOff>
    </xdr:to>
    <xdr:pic>
      <xdr:nvPicPr>
        <xdr:cNvPr id="2685" name="Imagen 2684" descr="Ver detalle">
          <a:hlinkClick xmlns:r="http://schemas.openxmlformats.org/officeDocument/2006/relationships" r:id="rId2626" tooltip="Ver detalle"/>
          <a:extLst>
            <a:ext uri="{FF2B5EF4-FFF2-40B4-BE49-F238E27FC236}">
              <a16:creationId xmlns:a16="http://schemas.microsoft.com/office/drawing/2014/main" id="{AC58A908-EE1F-77BC-246D-E8236E968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1501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2345</xdr:row>
      <xdr:rowOff>0</xdr:rowOff>
    </xdr:from>
    <xdr:to>
      <xdr:col>13</xdr:col>
      <xdr:colOff>0</xdr:colOff>
      <xdr:row>2346</xdr:row>
      <xdr:rowOff>114300</xdr:rowOff>
    </xdr:to>
    <xdr:pic>
      <xdr:nvPicPr>
        <xdr:cNvPr id="2686" name="Imagen 2685" descr="Ver detalle">
          <a:hlinkClick xmlns:r="http://schemas.openxmlformats.org/officeDocument/2006/relationships" r:id="rId2627" tooltip="Ver detalle"/>
          <a:extLst>
            <a:ext uri="{FF2B5EF4-FFF2-40B4-BE49-F238E27FC236}">
              <a16:creationId xmlns:a16="http://schemas.microsoft.com/office/drawing/2014/main" id="{39915A8F-362C-3C35-831F-32956033C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1664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2340</xdr:row>
      <xdr:rowOff>0</xdr:rowOff>
    </xdr:from>
    <xdr:to>
      <xdr:col>13</xdr:col>
      <xdr:colOff>0</xdr:colOff>
      <xdr:row>2341</xdr:row>
      <xdr:rowOff>114300</xdr:rowOff>
    </xdr:to>
    <xdr:pic>
      <xdr:nvPicPr>
        <xdr:cNvPr id="2687" name="Imagen 2686" descr="Ver detalle">
          <a:hlinkClick xmlns:r="http://schemas.openxmlformats.org/officeDocument/2006/relationships" r:id="rId2628" tooltip="Ver detalle"/>
          <a:extLst>
            <a:ext uri="{FF2B5EF4-FFF2-40B4-BE49-F238E27FC236}">
              <a16:creationId xmlns:a16="http://schemas.microsoft.com/office/drawing/2014/main" id="{EC0FFD60-D9A8-D23B-81C8-E3729D3BF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1827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2397</xdr:row>
      <xdr:rowOff>0</xdr:rowOff>
    </xdr:from>
    <xdr:to>
      <xdr:col>13</xdr:col>
      <xdr:colOff>0</xdr:colOff>
      <xdr:row>2398</xdr:row>
      <xdr:rowOff>114300</xdr:rowOff>
    </xdr:to>
    <xdr:pic>
      <xdr:nvPicPr>
        <xdr:cNvPr id="2688" name="Imagen 2687" descr="Ver detalle">
          <a:hlinkClick xmlns:r="http://schemas.openxmlformats.org/officeDocument/2006/relationships" r:id="rId2629" tooltip="Ver detalle"/>
          <a:extLst>
            <a:ext uri="{FF2B5EF4-FFF2-40B4-BE49-F238E27FC236}">
              <a16:creationId xmlns:a16="http://schemas.microsoft.com/office/drawing/2014/main" id="{98B1DA94-46A0-2A3D-EA5B-09FE031557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5473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2400</xdr:row>
      <xdr:rowOff>0</xdr:rowOff>
    </xdr:from>
    <xdr:to>
      <xdr:col>13</xdr:col>
      <xdr:colOff>0</xdr:colOff>
      <xdr:row>2401</xdr:row>
      <xdr:rowOff>114300</xdr:rowOff>
    </xdr:to>
    <xdr:pic>
      <xdr:nvPicPr>
        <xdr:cNvPr id="2689" name="Imagen 2688" descr="Ver detalle">
          <a:hlinkClick xmlns:r="http://schemas.openxmlformats.org/officeDocument/2006/relationships" r:id="rId2630" tooltip="Ver detalle"/>
          <a:extLst>
            <a:ext uri="{FF2B5EF4-FFF2-40B4-BE49-F238E27FC236}">
              <a16:creationId xmlns:a16="http://schemas.microsoft.com/office/drawing/2014/main" id="{EA5139DF-9BF1-4C8F-2B24-031ECFF18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576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2398</xdr:row>
      <xdr:rowOff>0</xdr:rowOff>
    </xdr:from>
    <xdr:to>
      <xdr:col>13</xdr:col>
      <xdr:colOff>0</xdr:colOff>
      <xdr:row>2399</xdr:row>
      <xdr:rowOff>114300</xdr:rowOff>
    </xdr:to>
    <xdr:pic>
      <xdr:nvPicPr>
        <xdr:cNvPr id="2690" name="Imagen 2689" descr="Ver detalle">
          <a:hlinkClick xmlns:r="http://schemas.openxmlformats.org/officeDocument/2006/relationships" r:id="rId2631" tooltip="Ver detalle"/>
          <a:extLst>
            <a:ext uri="{FF2B5EF4-FFF2-40B4-BE49-F238E27FC236}">
              <a16:creationId xmlns:a16="http://schemas.microsoft.com/office/drawing/2014/main" id="{D1F27586-840E-B32F-5ED4-F5A7CB57F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6046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2401</xdr:row>
      <xdr:rowOff>0</xdr:rowOff>
    </xdr:from>
    <xdr:to>
      <xdr:col>13</xdr:col>
      <xdr:colOff>0</xdr:colOff>
      <xdr:row>2402</xdr:row>
      <xdr:rowOff>114300</xdr:rowOff>
    </xdr:to>
    <xdr:pic>
      <xdr:nvPicPr>
        <xdr:cNvPr id="2691" name="Imagen 2690" descr="Ver detalle">
          <a:hlinkClick xmlns:r="http://schemas.openxmlformats.org/officeDocument/2006/relationships" r:id="rId2632" tooltip="Ver detalle"/>
          <a:extLst>
            <a:ext uri="{FF2B5EF4-FFF2-40B4-BE49-F238E27FC236}">
              <a16:creationId xmlns:a16="http://schemas.microsoft.com/office/drawing/2014/main" id="{E20ECE11-DA77-5C82-B40F-930E1C337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6333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2399</xdr:row>
      <xdr:rowOff>0</xdr:rowOff>
    </xdr:from>
    <xdr:to>
      <xdr:col>13</xdr:col>
      <xdr:colOff>0</xdr:colOff>
      <xdr:row>2400</xdr:row>
      <xdr:rowOff>114300</xdr:rowOff>
    </xdr:to>
    <xdr:pic>
      <xdr:nvPicPr>
        <xdr:cNvPr id="2692" name="Imagen 2691" descr="Ver detalle">
          <a:hlinkClick xmlns:r="http://schemas.openxmlformats.org/officeDocument/2006/relationships" r:id="rId2633" tooltip="Ver detalle"/>
          <a:extLst>
            <a:ext uri="{FF2B5EF4-FFF2-40B4-BE49-F238E27FC236}">
              <a16:creationId xmlns:a16="http://schemas.microsoft.com/office/drawing/2014/main" id="{226D3CE1-761D-D854-9334-DF740E879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6620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2394</xdr:row>
      <xdr:rowOff>0</xdr:rowOff>
    </xdr:from>
    <xdr:to>
      <xdr:col>13</xdr:col>
      <xdr:colOff>0</xdr:colOff>
      <xdr:row>2395</xdr:row>
      <xdr:rowOff>114300</xdr:rowOff>
    </xdr:to>
    <xdr:pic>
      <xdr:nvPicPr>
        <xdr:cNvPr id="2693" name="Imagen 2692" descr="Ver detalle">
          <a:hlinkClick xmlns:r="http://schemas.openxmlformats.org/officeDocument/2006/relationships" r:id="rId2634" tooltip="Ver detalle"/>
          <a:extLst>
            <a:ext uri="{FF2B5EF4-FFF2-40B4-BE49-F238E27FC236}">
              <a16:creationId xmlns:a16="http://schemas.microsoft.com/office/drawing/2014/main" id="{161CA284-7756-2A9C-2337-6294E77B6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6754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2395</xdr:row>
      <xdr:rowOff>0</xdr:rowOff>
    </xdr:from>
    <xdr:to>
      <xdr:col>13</xdr:col>
      <xdr:colOff>0</xdr:colOff>
      <xdr:row>2396</xdr:row>
      <xdr:rowOff>114300</xdr:rowOff>
    </xdr:to>
    <xdr:pic>
      <xdr:nvPicPr>
        <xdr:cNvPr id="2694" name="Imagen 2693" descr="Ver detalle">
          <a:hlinkClick xmlns:r="http://schemas.openxmlformats.org/officeDocument/2006/relationships" r:id="rId2635" tooltip="Ver detalle"/>
          <a:extLst>
            <a:ext uri="{FF2B5EF4-FFF2-40B4-BE49-F238E27FC236}">
              <a16:creationId xmlns:a16="http://schemas.microsoft.com/office/drawing/2014/main" id="{D5E827EE-8CE1-7ED7-64BF-AFC46FB4A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704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2390</xdr:row>
      <xdr:rowOff>0</xdr:rowOff>
    </xdr:from>
    <xdr:to>
      <xdr:col>13</xdr:col>
      <xdr:colOff>0</xdr:colOff>
      <xdr:row>2391</xdr:row>
      <xdr:rowOff>114300</xdr:rowOff>
    </xdr:to>
    <xdr:pic>
      <xdr:nvPicPr>
        <xdr:cNvPr id="2695" name="Imagen 2694" descr="Ver detalle">
          <a:hlinkClick xmlns:r="http://schemas.openxmlformats.org/officeDocument/2006/relationships" r:id="rId2636" tooltip="Ver detalle"/>
          <a:extLst>
            <a:ext uri="{FF2B5EF4-FFF2-40B4-BE49-F238E27FC236}">
              <a16:creationId xmlns:a16="http://schemas.microsoft.com/office/drawing/2014/main" id="{88784CF2-1D82-E9EA-A177-C97EF12A2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7327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2391</xdr:row>
      <xdr:rowOff>0</xdr:rowOff>
    </xdr:from>
    <xdr:to>
      <xdr:col>13</xdr:col>
      <xdr:colOff>0</xdr:colOff>
      <xdr:row>2392</xdr:row>
      <xdr:rowOff>114300</xdr:rowOff>
    </xdr:to>
    <xdr:pic>
      <xdr:nvPicPr>
        <xdr:cNvPr id="2696" name="Imagen 2695" descr="Ver detalle">
          <a:hlinkClick xmlns:r="http://schemas.openxmlformats.org/officeDocument/2006/relationships" r:id="rId2637" tooltip="Ver detalle"/>
          <a:extLst>
            <a:ext uri="{FF2B5EF4-FFF2-40B4-BE49-F238E27FC236}">
              <a16:creationId xmlns:a16="http://schemas.microsoft.com/office/drawing/2014/main" id="{C5E44F02-E194-A3DF-B6BF-B37DE1053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7614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2392</xdr:row>
      <xdr:rowOff>0</xdr:rowOff>
    </xdr:from>
    <xdr:to>
      <xdr:col>13</xdr:col>
      <xdr:colOff>0</xdr:colOff>
      <xdr:row>2393</xdr:row>
      <xdr:rowOff>114300</xdr:rowOff>
    </xdr:to>
    <xdr:pic>
      <xdr:nvPicPr>
        <xdr:cNvPr id="2697" name="Imagen 2696" descr="Ver detalle">
          <a:hlinkClick xmlns:r="http://schemas.openxmlformats.org/officeDocument/2006/relationships" r:id="rId2638" tooltip="Ver detalle"/>
          <a:extLst>
            <a:ext uri="{FF2B5EF4-FFF2-40B4-BE49-F238E27FC236}">
              <a16:creationId xmlns:a16="http://schemas.microsoft.com/office/drawing/2014/main" id="{8F2DD9C6-02B7-0BA5-E7BE-F79634C94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7748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2403</xdr:row>
      <xdr:rowOff>0</xdr:rowOff>
    </xdr:from>
    <xdr:to>
      <xdr:col>13</xdr:col>
      <xdr:colOff>0</xdr:colOff>
      <xdr:row>2404</xdr:row>
      <xdr:rowOff>110490</xdr:rowOff>
    </xdr:to>
    <xdr:pic>
      <xdr:nvPicPr>
        <xdr:cNvPr id="2698" name="Imagen 2697" descr="Ver detalle">
          <a:hlinkClick xmlns:r="http://schemas.openxmlformats.org/officeDocument/2006/relationships" r:id="rId2639" tooltip="Ver detalle"/>
          <a:extLst>
            <a:ext uri="{FF2B5EF4-FFF2-40B4-BE49-F238E27FC236}">
              <a16:creationId xmlns:a16="http://schemas.microsoft.com/office/drawing/2014/main" id="{90D88C4B-4F34-E8FB-2606-C339D5BBB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7883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2396</xdr:row>
      <xdr:rowOff>0</xdr:rowOff>
    </xdr:from>
    <xdr:to>
      <xdr:col>13</xdr:col>
      <xdr:colOff>0</xdr:colOff>
      <xdr:row>2397</xdr:row>
      <xdr:rowOff>114300</xdr:rowOff>
    </xdr:to>
    <xdr:pic>
      <xdr:nvPicPr>
        <xdr:cNvPr id="2699" name="Imagen 2698" descr="Ver detalle">
          <a:hlinkClick xmlns:r="http://schemas.openxmlformats.org/officeDocument/2006/relationships" r:id="rId2640" tooltip="Ver detalle"/>
          <a:extLst>
            <a:ext uri="{FF2B5EF4-FFF2-40B4-BE49-F238E27FC236}">
              <a16:creationId xmlns:a16="http://schemas.microsoft.com/office/drawing/2014/main" id="{DA194C0E-B7D8-9C34-CD1F-5113CDD78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8169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2384</xdr:row>
      <xdr:rowOff>0</xdr:rowOff>
    </xdr:from>
    <xdr:to>
      <xdr:col>13</xdr:col>
      <xdr:colOff>0</xdr:colOff>
      <xdr:row>2385</xdr:row>
      <xdr:rowOff>114300</xdr:rowOff>
    </xdr:to>
    <xdr:pic>
      <xdr:nvPicPr>
        <xdr:cNvPr id="2700" name="Imagen 2699" descr="Ver detalle">
          <a:hlinkClick xmlns:r="http://schemas.openxmlformats.org/officeDocument/2006/relationships" r:id="rId2641" tooltip="Ver detalle"/>
          <a:extLst>
            <a:ext uri="{FF2B5EF4-FFF2-40B4-BE49-F238E27FC236}">
              <a16:creationId xmlns:a16="http://schemas.microsoft.com/office/drawing/2014/main" id="{21D1EE4A-7F96-10C4-7984-441F4E1EF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8456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2385</xdr:row>
      <xdr:rowOff>0</xdr:rowOff>
    </xdr:from>
    <xdr:to>
      <xdr:col>13</xdr:col>
      <xdr:colOff>0</xdr:colOff>
      <xdr:row>2386</xdr:row>
      <xdr:rowOff>114300</xdr:rowOff>
    </xdr:to>
    <xdr:pic>
      <xdr:nvPicPr>
        <xdr:cNvPr id="2701" name="Imagen 2700" descr="Ver detalle">
          <a:hlinkClick xmlns:r="http://schemas.openxmlformats.org/officeDocument/2006/relationships" r:id="rId2642" tooltip="Ver detalle"/>
          <a:extLst>
            <a:ext uri="{FF2B5EF4-FFF2-40B4-BE49-F238E27FC236}">
              <a16:creationId xmlns:a16="http://schemas.microsoft.com/office/drawing/2014/main" id="{32AC2241-8593-D9F9-06A5-0B0AD5AC7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8743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2405</xdr:row>
      <xdr:rowOff>0</xdr:rowOff>
    </xdr:from>
    <xdr:to>
      <xdr:col>13</xdr:col>
      <xdr:colOff>0</xdr:colOff>
      <xdr:row>2406</xdr:row>
      <xdr:rowOff>114300</xdr:rowOff>
    </xdr:to>
    <xdr:pic>
      <xdr:nvPicPr>
        <xdr:cNvPr id="2702" name="Imagen 2701" descr="Ver detalle">
          <a:hlinkClick xmlns:r="http://schemas.openxmlformats.org/officeDocument/2006/relationships" r:id="rId2643" tooltip="Ver detalle"/>
          <a:extLst>
            <a:ext uri="{FF2B5EF4-FFF2-40B4-BE49-F238E27FC236}">
              <a16:creationId xmlns:a16="http://schemas.microsoft.com/office/drawing/2014/main" id="{C4CBA6DE-062D-291D-0A23-3789BA65EA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9029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2406</xdr:row>
      <xdr:rowOff>0</xdr:rowOff>
    </xdr:from>
    <xdr:to>
      <xdr:col>13</xdr:col>
      <xdr:colOff>0</xdr:colOff>
      <xdr:row>2407</xdr:row>
      <xdr:rowOff>114300</xdr:rowOff>
    </xdr:to>
    <xdr:pic>
      <xdr:nvPicPr>
        <xdr:cNvPr id="2703" name="Imagen 2702" descr="Ver detalle">
          <a:hlinkClick xmlns:r="http://schemas.openxmlformats.org/officeDocument/2006/relationships" r:id="rId2644" tooltip="Ver detalle"/>
          <a:extLst>
            <a:ext uri="{FF2B5EF4-FFF2-40B4-BE49-F238E27FC236}">
              <a16:creationId xmlns:a16="http://schemas.microsoft.com/office/drawing/2014/main" id="{DBF8E224-6363-9182-044C-6379CE83F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9316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2407</xdr:row>
      <xdr:rowOff>0</xdr:rowOff>
    </xdr:from>
    <xdr:to>
      <xdr:col>13</xdr:col>
      <xdr:colOff>0</xdr:colOff>
      <xdr:row>2408</xdr:row>
      <xdr:rowOff>114300</xdr:rowOff>
    </xdr:to>
    <xdr:pic>
      <xdr:nvPicPr>
        <xdr:cNvPr id="2704" name="Imagen 2703" descr="Ver detalle">
          <a:hlinkClick xmlns:r="http://schemas.openxmlformats.org/officeDocument/2006/relationships" r:id="rId2645" tooltip="Ver detalle"/>
          <a:extLst>
            <a:ext uri="{FF2B5EF4-FFF2-40B4-BE49-F238E27FC236}">
              <a16:creationId xmlns:a16="http://schemas.microsoft.com/office/drawing/2014/main" id="{01ED616F-B048-1534-FD6D-DDADC6AA1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9603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2408</xdr:row>
      <xdr:rowOff>0</xdr:rowOff>
    </xdr:from>
    <xdr:to>
      <xdr:col>13</xdr:col>
      <xdr:colOff>0</xdr:colOff>
      <xdr:row>2409</xdr:row>
      <xdr:rowOff>110490</xdr:rowOff>
    </xdr:to>
    <xdr:pic>
      <xdr:nvPicPr>
        <xdr:cNvPr id="2705" name="Imagen 2704" descr="Ver detalle">
          <a:hlinkClick xmlns:r="http://schemas.openxmlformats.org/officeDocument/2006/relationships" r:id="rId2646" tooltip="Ver detalle"/>
          <a:extLst>
            <a:ext uri="{FF2B5EF4-FFF2-40B4-BE49-F238E27FC236}">
              <a16:creationId xmlns:a16="http://schemas.microsoft.com/office/drawing/2014/main" id="{F710C86B-E63E-D5E0-88C8-CECDD1200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9890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2389</xdr:row>
      <xdr:rowOff>0</xdr:rowOff>
    </xdr:from>
    <xdr:to>
      <xdr:col>13</xdr:col>
      <xdr:colOff>0</xdr:colOff>
      <xdr:row>2390</xdr:row>
      <xdr:rowOff>114300</xdr:rowOff>
    </xdr:to>
    <xdr:pic>
      <xdr:nvPicPr>
        <xdr:cNvPr id="2706" name="Imagen 2705" descr="Ver detalle">
          <a:hlinkClick xmlns:r="http://schemas.openxmlformats.org/officeDocument/2006/relationships" r:id="rId2647" tooltip="Ver detalle"/>
          <a:extLst>
            <a:ext uri="{FF2B5EF4-FFF2-40B4-BE49-F238E27FC236}">
              <a16:creationId xmlns:a16="http://schemas.microsoft.com/office/drawing/2014/main" id="{F9B0844C-5765-9352-3797-5D6C6451F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0176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2388</xdr:row>
      <xdr:rowOff>0</xdr:rowOff>
    </xdr:from>
    <xdr:to>
      <xdr:col>13</xdr:col>
      <xdr:colOff>0</xdr:colOff>
      <xdr:row>2389</xdr:row>
      <xdr:rowOff>114300</xdr:rowOff>
    </xdr:to>
    <xdr:pic>
      <xdr:nvPicPr>
        <xdr:cNvPr id="2707" name="Imagen 2706" descr="Ver detalle">
          <a:hlinkClick xmlns:r="http://schemas.openxmlformats.org/officeDocument/2006/relationships" r:id="rId2648" tooltip="Ver detalle"/>
          <a:extLst>
            <a:ext uri="{FF2B5EF4-FFF2-40B4-BE49-F238E27FC236}">
              <a16:creationId xmlns:a16="http://schemas.microsoft.com/office/drawing/2014/main" id="{B2753473-9D62-A7B2-A3AC-8C1ED5E19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046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2386</xdr:row>
      <xdr:rowOff>0</xdr:rowOff>
    </xdr:from>
    <xdr:to>
      <xdr:col>13</xdr:col>
      <xdr:colOff>0</xdr:colOff>
      <xdr:row>2387</xdr:row>
      <xdr:rowOff>114300</xdr:rowOff>
    </xdr:to>
    <xdr:pic>
      <xdr:nvPicPr>
        <xdr:cNvPr id="2708" name="Imagen 2707" descr="Ver detalle">
          <a:hlinkClick xmlns:r="http://schemas.openxmlformats.org/officeDocument/2006/relationships" r:id="rId2649" tooltip="Ver detalle"/>
          <a:extLst>
            <a:ext uri="{FF2B5EF4-FFF2-40B4-BE49-F238E27FC236}">
              <a16:creationId xmlns:a16="http://schemas.microsoft.com/office/drawing/2014/main" id="{A94E0A84-E09E-C4CA-1EED-D13FC5606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0750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2379</xdr:row>
      <xdr:rowOff>0</xdr:rowOff>
    </xdr:from>
    <xdr:to>
      <xdr:col>13</xdr:col>
      <xdr:colOff>0</xdr:colOff>
      <xdr:row>2380</xdr:row>
      <xdr:rowOff>114300</xdr:rowOff>
    </xdr:to>
    <xdr:pic>
      <xdr:nvPicPr>
        <xdr:cNvPr id="2709" name="Imagen 2708" descr="Ver detalle">
          <a:hlinkClick xmlns:r="http://schemas.openxmlformats.org/officeDocument/2006/relationships" r:id="rId2650" tooltip="Ver detalle"/>
          <a:extLst>
            <a:ext uri="{FF2B5EF4-FFF2-40B4-BE49-F238E27FC236}">
              <a16:creationId xmlns:a16="http://schemas.microsoft.com/office/drawing/2014/main" id="{5D0908D6-861B-C2B2-8038-D97F7A240C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1036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2387</xdr:row>
      <xdr:rowOff>0</xdr:rowOff>
    </xdr:from>
    <xdr:to>
      <xdr:col>13</xdr:col>
      <xdr:colOff>0</xdr:colOff>
      <xdr:row>2388</xdr:row>
      <xdr:rowOff>114300</xdr:rowOff>
    </xdr:to>
    <xdr:pic>
      <xdr:nvPicPr>
        <xdr:cNvPr id="2710" name="Imagen 2709" descr="Ver detalle">
          <a:hlinkClick xmlns:r="http://schemas.openxmlformats.org/officeDocument/2006/relationships" r:id="rId2651" tooltip="Ver detalle"/>
          <a:extLst>
            <a:ext uri="{FF2B5EF4-FFF2-40B4-BE49-F238E27FC236}">
              <a16:creationId xmlns:a16="http://schemas.microsoft.com/office/drawing/2014/main" id="{8334655F-8B9C-C23D-A5B3-790C32F08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1323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2393</xdr:row>
      <xdr:rowOff>0</xdr:rowOff>
    </xdr:from>
    <xdr:to>
      <xdr:col>13</xdr:col>
      <xdr:colOff>0</xdr:colOff>
      <xdr:row>2394</xdr:row>
      <xdr:rowOff>114300</xdr:rowOff>
    </xdr:to>
    <xdr:pic>
      <xdr:nvPicPr>
        <xdr:cNvPr id="2711" name="Imagen 2710" descr="Ver detalle">
          <a:hlinkClick xmlns:r="http://schemas.openxmlformats.org/officeDocument/2006/relationships" r:id="rId2652" tooltip="Ver detalle"/>
          <a:extLst>
            <a:ext uri="{FF2B5EF4-FFF2-40B4-BE49-F238E27FC236}">
              <a16:creationId xmlns:a16="http://schemas.microsoft.com/office/drawing/2014/main" id="{12198F44-E009-465A-CA1E-A25953319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1457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2381</xdr:row>
      <xdr:rowOff>0</xdr:rowOff>
    </xdr:from>
    <xdr:to>
      <xdr:col>13</xdr:col>
      <xdr:colOff>0</xdr:colOff>
      <xdr:row>2382</xdr:row>
      <xdr:rowOff>114300</xdr:rowOff>
    </xdr:to>
    <xdr:pic>
      <xdr:nvPicPr>
        <xdr:cNvPr id="2712" name="Imagen 2711" descr="Ver detalle">
          <a:hlinkClick xmlns:r="http://schemas.openxmlformats.org/officeDocument/2006/relationships" r:id="rId2653" tooltip="Ver detalle"/>
          <a:extLst>
            <a:ext uri="{FF2B5EF4-FFF2-40B4-BE49-F238E27FC236}">
              <a16:creationId xmlns:a16="http://schemas.microsoft.com/office/drawing/2014/main" id="{8075A1E2-8597-DB97-0E39-3F08E4C936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1836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2382</xdr:row>
      <xdr:rowOff>0</xdr:rowOff>
    </xdr:from>
    <xdr:to>
      <xdr:col>13</xdr:col>
      <xdr:colOff>0</xdr:colOff>
      <xdr:row>2383</xdr:row>
      <xdr:rowOff>114300</xdr:rowOff>
    </xdr:to>
    <xdr:pic>
      <xdr:nvPicPr>
        <xdr:cNvPr id="2713" name="Imagen 2712" descr="Ver detalle">
          <a:hlinkClick xmlns:r="http://schemas.openxmlformats.org/officeDocument/2006/relationships" r:id="rId2654" tooltip="Ver detalle"/>
          <a:extLst>
            <a:ext uri="{FF2B5EF4-FFF2-40B4-BE49-F238E27FC236}">
              <a16:creationId xmlns:a16="http://schemas.microsoft.com/office/drawing/2014/main" id="{B18D7B5F-5563-060E-3B24-FCB7B915D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2079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2380</xdr:row>
      <xdr:rowOff>0</xdr:rowOff>
    </xdr:from>
    <xdr:to>
      <xdr:col>13</xdr:col>
      <xdr:colOff>0</xdr:colOff>
      <xdr:row>2381</xdr:row>
      <xdr:rowOff>114300</xdr:rowOff>
    </xdr:to>
    <xdr:pic>
      <xdr:nvPicPr>
        <xdr:cNvPr id="2714" name="Imagen 2713" descr="Ver detalle">
          <a:hlinkClick xmlns:r="http://schemas.openxmlformats.org/officeDocument/2006/relationships" r:id="rId2655" tooltip="Ver detalle"/>
          <a:extLst>
            <a:ext uri="{FF2B5EF4-FFF2-40B4-BE49-F238E27FC236}">
              <a16:creationId xmlns:a16="http://schemas.microsoft.com/office/drawing/2014/main" id="{96752466-3ABA-FC69-FAA0-353EBC16C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2323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2383</xdr:row>
      <xdr:rowOff>0</xdr:rowOff>
    </xdr:from>
    <xdr:to>
      <xdr:col>13</xdr:col>
      <xdr:colOff>0</xdr:colOff>
      <xdr:row>2384</xdr:row>
      <xdr:rowOff>114300</xdr:rowOff>
    </xdr:to>
    <xdr:pic>
      <xdr:nvPicPr>
        <xdr:cNvPr id="2715" name="Imagen 2714" descr="Ver detalle">
          <a:hlinkClick xmlns:r="http://schemas.openxmlformats.org/officeDocument/2006/relationships" r:id="rId2656" tooltip="Ver detalle"/>
          <a:extLst>
            <a:ext uri="{FF2B5EF4-FFF2-40B4-BE49-F238E27FC236}">
              <a16:creationId xmlns:a16="http://schemas.microsoft.com/office/drawing/2014/main" id="{954D12E0-E760-D498-F716-DB06EFE27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2437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2378</xdr:row>
      <xdr:rowOff>0</xdr:rowOff>
    </xdr:from>
    <xdr:to>
      <xdr:col>13</xdr:col>
      <xdr:colOff>0</xdr:colOff>
      <xdr:row>2379</xdr:row>
      <xdr:rowOff>114300</xdr:rowOff>
    </xdr:to>
    <xdr:pic>
      <xdr:nvPicPr>
        <xdr:cNvPr id="2716" name="Imagen 2715" descr="Ver detalle">
          <a:hlinkClick xmlns:r="http://schemas.openxmlformats.org/officeDocument/2006/relationships" r:id="rId2657" tooltip="Ver detalle"/>
          <a:extLst>
            <a:ext uri="{FF2B5EF4-FFF2-40B4-BE49-F238E27FC236}">
              <a16:creationId xmlns:a16="http://schemas.microsoft.com/office/drawing/2014/main" id="{274CB22E-0871-98EA-6D85-39CA7066E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2600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2402</xdr:row>
      <xdr:rowOff>0</xdr:rowOff>
    </xdr:from>
    <xdr:to>
      <xdr:col>13</xdr:col>
      <xdr:colOff>0</xdr:colOff>
      <xdr:row>2403</xdr:row>
      <xdr:rowOff>114300</xdr:rowOff>
    </xdr:to>
    <xdr:pic>
      <xdr:nvPicPr>
        <xdr:cNvPr id="2717" name="Imagen 2716" descr="Ver detalle">
          <a:hlinkClick xmlns:r="http://schemas.openxmlformats.org/officeDocument/2006/relationships" r:id="rId2658" tooltip="Ver detalle"/>
          <a:extLst>
            <a:ext uri="{FF2B5EF4-FFF2-40B4-BE49-F238E27FC236}">
              <a16:creationId xmlns:a16="http://schemas.microsoft.com/office/drawing/2014/main" id="{5D948D81-C45E-DBE0-13D1-F46707C47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2763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2376</xdr:row>
      <xdr:rowOff>0</xdr:rowOff>
    </xdr:from>
    <xdr:to>
      <xdr:col>13</xdr:col>
      <xdr:colOff>0</xdr:colOff>
      <xdr:row>2377</xdr:row>
      <xdr:rowOff>114300</xdr:rowOff>
    </xdr:to>
    <xdr:pic>
      <xdr:nvPicPr>
        <xdr:cNvPr id="2718" name="Imagen 2717" descr="Ver detalle">
          <a:hlinkClick xmlns:r="http://schemas.openxmlformats.org/officeDocument/2006/relationships" r:id="rId2659" tooltip="Ver detalle"/>
          <a:extLst>
            <a:ext uri="{FF2B5EF4-FFF2-40B4-BE49-F238E27FC236}">
              <a16:creationId xmlns:a16="http://schemas.microsoft.com/office/drawing/2014/main" id="{C92A667E-D893-5AFB-D611-C0FD08EAD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3007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2372</xdr:row>
      <xdr:rowOff>0</xdr:rowOff>
    </xdr:from>
    <xdr:to>
      <xdr:col>13</xdr:col>
      <xdr:colOff>0</xdr:colOff>
      <xdr:row>2373</xdr:row>
      <xdr:rowOff>114300</xdr:rowOff>
    </xdr:to>
    <xdr:pic>
      <xdr:nvPicPr>
        <xdr:cNvPr id="2719" name="Imagen 2718" descr="Ver detalle">
          <a:hlinkClick xmlns:r="http://schemas.openxmlformats.org/officeDocument/2006/relationships" r:id="rId2660" tooltip="Ver detalle"/>
          <a:extLst>
            <a:ext uri="{FF2B5EF4-FFF2-40B4-BE49-F238E27FC236}">
              <a16:creationId xmlns:a16="http://schemas.microsoft.com/office/drawing/2014/main" id="{4E82FC0A-F5EA-F8C6-717C-34A33D517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3251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2373</xdr:row>
      <xdr:rowOff>0</xdr:rowOff>
    </xdr:from>
    <xdr:to>
      <xdr:col>13</xdr:col>
      <xdr:colOff>0</xdr:colOff>
      <xdr:row>2374</xdr:row>
      <xdr:rowOff>114300</xdr:rowOff>
    </xdr:to>
    <xdr:pic>
      <xdr:nvPicPr>
        <xdr:cNvPr id="2720" name="Imagen 2719" descr="Ver detalle">
          <a:hlinkClick xmlns:r="http://schemas.openxmlformats.org/officeDocument/2006/relationships" r:id="rId2661" tooltip="Ver detalle"/>
          <a:extLst>
            <a:ext uri="{FF2B5EF4-FFF2-40B4-BE49-F238E27FC236}">
              <a16:creationId xmlns:a16="http://schemas.microsoft.com/office/drawing/2014/main" id="{090EC1F7-F0BA-DA07-4E84-6F5567A00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336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2374</xdr:row>
      <xdr:rowOff>0</xdr:rowOff>
    </xdr:from>
    <xdr:to>
      <xdr:col>13</xdr:col>
      <xdr:colOff>0</xdr:colOff>
      <xdr:row>2375</xdr:row>
      <xdr:rowOff>114300</xdr:rowOff>
    </xdr:to>
    <xdr:pic>
      <xdr:nvPicPr>
        <xdr:cNvPr id="2721" name="Imagen 2720" descr="Ver detalle">
          <a:hlinkClick xmlns:r="http://schemas.openxmlformats.org/officeDocument/2006/relationships" r:id="rId2662" tooltip="Ver detalle"/>
          <a:extLst>
            <a:ext uri="{FF2B5EF4-FFF2-40B4-BE49-F238E27FC236}">
              <a16:creationId xmlns:a16="http://schemas.microsoft.com/office/drawing/2014/main" id="{EED9BFF2-C511-BA85-8A21-DFED1F7B8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3609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2460</xdr:row>
      <xdr:rowOff>0</xdr:rowOff>
    </xdr:from>
    <xdr:to>
      <xdr:col>13</xdr:col>
      <xdr:colOff>0</xdr:colOff>
      <xdr:row>2461</xdr:row>
      <xdr:rowOff>114300</xdr:rowOff>
    </xdr:to>
    <xdr:pic>
      <xdr:nvPicPr>
        <xdr:cNvPr id="2722" name="Imagen 2721" descr="Ver detalle">
          <a:hlinkClick xmlns:r="http://schemas.openxmlformats.org/officeDocument/2006/relationships" r:id="rId2663" tooltip="Ver detalle"/>
          <a:extLst>
            <a:ext uri="{FF2B5EF4-FFF2-40B4-BE49-F238E27FC236}">
              <a16:creationId xmlns:a16="http://schemas.microsoft.com/office/drawing/2014/main" id="{40A3ADEC-C1EA-0CBB-9773-F0522BCF4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6211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2456</xdr:row>
      <xdr:rowOff>0</xdr:rowOff>
    </xdr:from>
    <xdr:to>
      <xdr:col>13</xdr:col>
      <xdr:colOff>0</xdr:colOff>
      <xdr:row>2457</xdr:row>
      <xdr:rowOff>114300</xdr:rowOff>
    </xdr:to>
    <xdr:pic>
      <xdr:nvPicPr>
        <xdr:cNvPr id="2723" name="Imagen 2722" descr="Ver detalle">
          <a:hlinkClick xmlns:r="http://schemas.openxmlformats.org/officeDocument/2006/relationships" r:id="rId2664" tooltip="Ver detalle"/>
          <a:extLst>
            <a:ext uri="{FF2B5EF4-FFF2-40B4-BE49-F238E27FC236}">
              <a16:creationId xmlns:a16="http://schemas.microsoft.com/office/drawing/2014/main" id="{E6BC33E0-DAE0-F099-9463-B88EA60B1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6455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2464</xdr:row>
      <xdr:rowOff>0</xdr:rowOff>
    </xdr:from>
    <xdr:to>
      <xdr:col>13</xdr:col>
      <xdr:colOff>0</xdr:colOff>
      <xdr:row>2465</xdr:row>
      <xdr:rowOff>114300</xdr:rowOff>
    </xdr:to>
    <xdr:pic>
      <xdr:nvPicPr>
        <xdr:cNvPr id="2724" name="Imagen 2723" descr="Ver detalle">
          <a:hlinkClick xmlns:r="http://schemas.openxmlformats.org/officeDocument/2006/relationships" r:id="rId2665" tooltip="Ver detalle"/>
          <a:extLst>
            <a:ext uri="{FF2B5EF4-FFF2-40B4-BE49-F238E27FC236}">
              <a16:creationId xmlns:a16="http://schemas.microsoft.com/office/drawing/2014/main" id="{0CC41476-BA70-5EDC-7AEB-4E70E4F25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6699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2461</xdr:row>
      <xdr:rowOff>0</xdr:rowOff>
    </xdr:from>
    <xdr:to>
      <xdr:col>13</xdr:col>
      <xdr:colOff>0</xdr:colOff>
      <xdr:row>2462</xdr:row>
      <xdr:rowOff>114300</xdr:rowOff>
    </xdr:to>
    <xdr:pic>
      <xdr:nvPicPr>
        <xdr:cNvPr id="2725" name="Imagen 2724" descr="Ver detalle">
          <a:hlinkClick xmlns:r="http://schemas.openxmlformats.org/officeDocument/2006/relationships" r:id="rId2666" tooltip="Ver detalle"/>
          <a:extLst>
            <a:ext uri="{FF2B5EF4-FFF2-40B4-BE49-F238E27FC236}">
              <a16:creationId xmlns:a16="http://schemas.microsoft.com/office/drawing/2014/main" id="{F00BC6CC-AE5C-4CE7-1CE3-78EA78D91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6943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2462</xdr:row>
      <xdr:rowOff>0</xdr:rowOff>
    </xdr:from>
    <xdr:to>
      <xdr:col>13</xdr:col>
      <xdr:colOff>0</xdr:colOff>
      <xdr:row>2463</xdr:row>
      <xdr:rowOff>114300</xdr:rowOff>
    </xdr:to>
    <xdr:pic>
      <xdr:nvPicPr>
        <xdr:cNvPr id="2726" name="Imagen 2725" descr="Ver detalle">
          <a:hlinkClick xmlns:r="http://schemas.openxmlformats.org/officeDocument/2006/relationships" r:id="rId2667" tooltip="Ver detalle"/>
          <a:extLst>
            <a:ext uri="{FF2B5EF4-FFF2-40B4-BE49-F238E27FC236}">
              <a16:creationId xmlns:a16="http://schemas.microsoft.com/office/drawing/2014/main" id="{A062DFB0-6C30-B597-5FC6-F21404327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7186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2442</xdr:row>
      <xdr:rowOff>0</xdr:rowOff>
    </xdr:from>
    <xdr:to>
      <xdr:col>13</xdr:col>
      <xdr:colOff>0</xdr:colOff>
      <xdr:row>2443</xdr:row>
      <xdr:rowOff>114300</xdr:rowOff>
    </xdr:to>
    <xdr:pic>
      <xdr:nvPicPr>
        <xdr:cNvPr id="2727" name="Imagen 2726" descr="Ver detalle">
          <a:hlinkClick xmlns:r="http://schemas.openxmlformats.org/officeDocument/2006/relationships" r:id="rId2668" tooltip="Ver detalle"/>
          <a:extLst>
            <a:ext uri="{FF2B5EF4-FFF2-40B4-BE49-F238E27FC236}">
              <a16:creationId xmlns:a16="http://schemas.microsoft.com/office/drawing/2014/main" id="{F8E138A2-5FB2-9B94-BB4A-7468A4A2B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7430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2443</xdr:row>
      <xdr:rowOff>0</xdr:rowOff>
    </xdr:from>
    <xdr:to>
      <xdr:col>13</xdr:col>
      <xdr:colOff>0</xdr:colOff>
      <xdr:row>2444</xdr:row>
      <xdr:rowOff>114300</xdr:rowOff>
    </xdr:to>
    <xdr:pic>
      <xdr:nvPicPr>
        <xdr:cNvPr id="2728" name="Imagen 2727" descr="Ver detalle">
          <a:hlinkClick xmlns:r="http://schemas.openxmlformats.org/officeDocument/2006/relationships" r:id="rId2669" tooltip="Ver detalle"/>
          <a:extLst>
            <a:ext uri="{FF2B5EF4-FFF2-40B4-BE49-F238E27FC236}">
              <a16:creationId xmlns:a16="http://schemas.microsoft.com/office/drawing/2014/main" id="{D4150FA0-353A-1FD5-38AC-3EBFFCC21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7674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2457</xdr:row>
      <xdr:rowOff>0</xdr:rowOff>
    </xdr:from>
    <xdr:to>
      <xdr:col>13</xdr:col>
      <xdr:colOff>0</xdr:colOff>
      <xdr:row>2458</xdr:row>
      <xdr:rowOff>114300</xdr:rowOff>
    </xdr:to>
    <xdr:pic>
      <xdr:nvPicPr>
        <xdr:cNvPr id="2729" name="Imagen 2728" descr="Ver detalle">
          <a:hlinkClick xmlns:r="http://schemas.openxmlformats.org/officeDocument/2006/relationships" r:id="rId2670" tooltip="Ver detalle"/>
          <a:extLst>
            <a:ext uri="{FF2B5EF4-FFF2-40B4-BE49-F238E27FC236}">
              <a16:creationId xmlns:a16="http://schemas.microsoft.com/office/drawing/2014/main" id="{601ECA2F-6E9F-A0D8-C037-1A1C4E95F7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7918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2440</xdr:row>
      <xdr:rowOff>0</xdr:rowOff>
    </xdr:from>
    <xdr:to>
      <xdr:col>13</xdr:col>
      <xdr:colOff>0</xdr:colOff>
      <xdr:row>2441</xdr:row>
      <xdr:rowOff>114300</xdr:rowOff>
    </xdr:to>
    <xdr:pic>
      <xdr:nvPicPr>
        <xdr:cNvPr id="2730" name="Imagen 2729" descr="Ver detalle">
          <a:hlinkClick xmlns:r="http://schemas.openxmlformats.org/officeDocument/2006/relationships" r:id="rId2671" tooltip="Ver detalle"/>
          <a:extLst>
            <a:ext uri="{FF2B5EF4-FFF2-40B4-BE49-F238E27FC236}">
              <a16:creationId xmlns:a16="http://schemas.microsoft.com/office/drawing/2014/main" id="{85F93FA1-5114-F902-745A-CF68E795CC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8162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2444</xdr:row>
      <xdr:rowOff>0</xdr:rowOff>
    </xdr:from>
    <xdr:to>
      <xdr:col>13</xdr:col>
      <xdr:colOff>0</xdr:colOff>
      <xdr:row>2445</xdr:row>
      <xdr:rowOff>114300</xdr:rowOff>
    </xdr:to>
    <xdr:pic>
      <xdr:nvPicPr>
        <xdr:cNvPr id="2731" name="Imagen 2730" descr="Ver detalle">
          <a:hlinkClick xmlns:r="http://schemas.openxmlformats.org/officeDocument/2006/relationships" r:id="rId2672" tooltip="Ver detalle"/>
          <a:extLst>
            <a:ext uri="{FF2B5EF4-FFF2-40B4-BE49-F238E27FC236}">
              <a16:creationId xmlns:a16="http://schemas.microsoft.com/office/drawing/2014/main" id="{6FEC49D7-AC6C-52A9-1E7D-00C60854F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8406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2452</xdr:row>
      <xdr:rowOff>0</xdr:rowOff>
    </xdr:from>
    <xdr:to>
      <xdr:col>13</xdr:col>
      <xdr:colOff>0</xdr:colOff>
      <xdr:row>2453</xdr:row>
      <xdr:rowOff>114300</xdr:rowOff>
    </xdr:to>
    <xdr:pic>
      <xdr:nvPicPr>
        <xdr:cNvPr id="2732" name="Imagen 2731" descr="Ver detalle">
          <a:hlinkClick xmlns:r="http://schemas.openxmlformats.org/officeDocument/2006/relationships" r:id="rId2673" tooltip="Ver detalle"/>
          <a:extLst>
            <a:ext uri="{FF2B5EF4-FFF2-40B4-BE49-F238E27FC236}">
              <a16:creationId xmlns:a16="http://schemas.microsoft.com/office/drawing/2014/main" id="{EA47B792-52CD-90BC-ADC0-6811E9AA1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8649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2465</xdr:row>
      <xdr:rowOff>0</xdr:rowOff>
    </xdr:from>
    <xdr:to>
      <xdr:col>13</xdr:col>
      <xdr:colOff>0</xdr:colOff>
      <xdr:row>2466</xdr:row>
      <xdr:rowOff>110490</xdr:rowOff>
    </xdr:to>
    <xdr:pic>
      <xdr:nvPicPr>
        <xdr:cNvPr id="2733" name="Imagen 2732" descr="Ver detalle">
          <a:hlinkClick xmlns:r="http://schemas.openxmlformats.org/officeDocument/2006/relationships" r:id="rId2674" tooltip="Ver detalle"/>
          <a:extLst>
            <a:ext uri="{FF2B5EF4-FFF2-40B4-BE49-F238E27FC236}">
              <a16:creationId xmlns:a16="http://schemas.microsoft.com/office/drawing/2014/main" id="{BBC7850C-8D28-C565-BF35-8FC6F6CC1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8893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2453</xdr:row>
      <xdr:rowOff>0</xdr:rowOff>
    </xdr:from>
    <xdr:to>
      <xdr:col>13</xdr:col>
      <xdr:colOff>0</xdr:colOff>
      <xdr:row>2454</xdr:row>
      <xdr:rowOff>114300</xdr:rowOff>
    </xdr:to>
    <xdr:pic>
      <xdr:nvPicPr>
        <xdr:cNvPr id="2734" name="Imagen 2733" descr="Ver detalle">
          <a:hlinkClick xmlns:r="http://schemas.openxmlformats.org/officeDocument/2006/relationships" r:id="rId2675" tooltip="Ver detalle"/>
          <a:extLst>
            <a:ext uri="{FF2B5EF4-FFF2-40B4-BE49-F238E27FC236}">
              <a16:creationId xmlns:a16="http://schemas.microsoft.com/office/drawing/2014/main" id="{B9A3CB07-5861-AEF3-59D4-D708681E2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9137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2454</xdr:row>
      <xdr:rowOff>0</xdr:rowOff>
    </xdr:from>
    <xdr:to>
      <xdr:col>13</xdr:col>
      <xdr:colOff>0</xdr:colOff>
      <xdr:row>2455</xdr:row>
      <xdr:rowOff>114300</xdr:rowOff>
    </xdr:to>
    <xdr:pic>
      <xdr:nvPicPr>
        <xdr:cNvPr id="2735" name="Imagen 2734" descr="Ver detalle">
          <a:hlinkClick xmlns:r="http://schemas.openxmlformats.org/officeDocument/2006/relationships" r:id="rId2676" tooltip="Ver detalle"/>
          <a:extLst>
            <a:ext uri="{FF2B5EF4-FFF2-40B4-BE49-F238E27FC236}">
              <a16:creationId xmlns:a16="http://schemas.microsoft.com/office/drawing/2014/main" id="{70F56112-E28F-9101-ADA2-1C9FD6B98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9251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2441</xdr:row>
      <xdr:rowOff>0</xdr:rowOff>
    </xdr:from>
    <xdr:to>
      <xdr:col>13</xdr:col>
      <xdr:colOff>0</xdr:colOff>
      <xdr:row>2442</xdr:row>
      <xdr:rowOff>114300</xdr:rowOff>
    </xdr:to>
    <xdr:pic>
      <xdr:nvPicPr>
        <xdr:cNvPr id="2736" name="Imagen 2735" descr="Ver detalle">
          <a:hlinkClick xmlns:r="http://schemas.openxmlformats.org/officeDocument/2006/relationships" r:id="rId2677" tooltip="Ver detalle"/>
          <a:extLst>
            <a:ext uri="{FF2B5EF4-FFF2-40B4-BE49-F238E27FC236}">
              <a16:creationId xmlns:a16="http://schemas.microsoft.com/office/drawing/2014/main" id="{2C06B7C4-0A2F-69D9-9214-330E3FC26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9495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2434</xdr:row>
      <xdr:rowOff>0</xdr:rowOff>
    </xdr:from>
    <xdr:to>
      <xdr:col>13</xdr:col>
      <xdr:colOff>0</xdr:colOff>
      <xdr:row>2435</xdr:row>
      <xdr:rowOff>114300</xdr:rowOff>
    </xdr:to>
    <xdr:pic>
      <xdr:nvPicPr>
        <xdr:cNvPr id="2737" name="Imagen 2736" descr="Ver detalle">
          <a:hlinkClick xmlns:r="http://schemas.openxmlformats.org/officeDocument/2006/relationships" r:id="rId2678" tooltip="Ver detalle"/>
          <a:extLst>
            <a:ext uri="{FF2B5EF4-FFF2-40B4-BE49-F238E27FC236}">
              <a16:creationId xmlns:a16="http://schemas.microsoft.com/office/drawing/2014/main" id="{E48DE2D0-86DE-F139-9C31-40AB0A061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9610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2435</xdr:row>
      <xdr:rowOff>0</xdr:rowOff>
    </xdr:from>
    <xdr:to>
      <xdr:col>13</xdr:col>
      <xdr:colOff>0</xdr:colOff>
      <xdr:row>2436</xdr:row>
      <xdr:rowOff>114300</xdr:rowOff>
    </xdr:to>
    <xdr:pic>
      <xdr:nvPicPr>
        <xdr:cNvPr id="2738" name="Imagen 2737" descr="Ver detalle">
          <a:hlinkClick xmlns:r="http://schemas.openxmlformats.org/officeDocument/2006/relationships" r:id="rId2679" tooltip="Ver detalle"/>
          <a:extLst>
            <a:ext uri="{FF2B5EF4-FFF2-40B4-BE49-F238E27FC236}">
              <a16:creationId xmlns:a16="http://schemas.microsoft.com/office/drawing/2014/main" id="{88F63AF9-E8E1-5959-5AD2-941DC2E7E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985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2445</xdr:row>
      <xdr:rowOff>0</xdr:rowOff>
    </xdr:from>
    <xdr:to>
      <xdr:col>13</xdr:col>
      <xdr:colOff>0</xdr:colOff>
      <xdr:row>2446</xdr:row>
      <xdr:rowOff>114300</xdr:rowOff>
    </xdr:to>
    <xdr:pic>
      <xdr:nvPicPr>
        <xdr:cNvPr id="2739" name="Imagen 2738" descr="Ver detalle">
          <a:hlinkClick xmlns:r="http://schemas.openxmlformats.org/officeDocument/2006/relationships" r:id="rId2680" tooltip="Ver detalle"/>
          <a:extLst>
            <a:ext uri="{FF2B5EF4-FFF2-40B4-BE49-F238E27FC236}">
              <a16:creationId xmlns:a16="http://schemas.microsoft.com/office/drawing/2014/main" id="{95F0672B-9ADA-5B19-6476-DE3A8E3CC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0097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2455</xdr:row>
      <xdr:rowOff>0</xdr:rowOff>
    </xdr:from>
    <xdr:to>
      <xdr:col>13</xdr:col>
      <xdr:colOff>0</xdr:colOff>
      <xdr:row>2456</xdr:row>
      <xdr:rowOff>114300</xdr:rowOff>
    </xdr:to>
    <xdr:pic>
      <xdr:nvPicPr>
        <xdr:cNvPr id="2740" name="Imagen 2739" descr="Ver detalle">
          <a:hlinkClick xmlns:r="http://schemas.openxmlformats.org/officeDocument/2006/relationships" r:id="rId2681" tooltip="Ver detalle"/>
          <a:extLst>
            <a:ext uri="{FF2B5EF4-FFF2-40B4-BE49-F238E27FC236}">
              <a16:creationId xmlns:a16="http://schemas.microsoft.com/office/drawing/2014/main" id="{BDE42B2D-F651-8790-54AB-2EF82E8BF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0211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2437</xdr:row>
      <xdr:rowOff>0</xdr:rowOff>
    </xdr:from>
    <xdr:to>
      <xdr:col>13</xdr:col>
      <xdr:colOff>0</xdr:colOff>
      <xdr:row>2438</xdr:row>
      <xdr:rowOff>114300</xdr:rowOff>
    </xdr:to>
    <xdr:pic>
      <xdr:nvPicPr>
        <xdr:cNvPr id="2741" name="Imagen 2740" descr="Ver detalle">
          <a:hlinkClick xmlns:r="http://schemas.openxmlformats.org/officeDocument/2006/relationships" r:id="rId2682" tooltip="Ver detalle"/>
          <a:extLst>
            <a:ext uri="{FF2B5EF4-FFF2-40B4-BE49-F238E27FC236}">
              <a16:creationId xmlns:a16="http://schemas.microsoft.com/office/drawing/2014/main" id="{DEE705CE-AED5-F36E-F15F-8437B7F80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0326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2458</xdr:row>
      <xdr:rowOff>0</xdr:rowOff>
    </xdr:from>
    <xdr:to>
      <xdr:col>13</xdr:col>
      <xdr:colOff>0</xdr:colOff>
      <xdr:row>2459</xdr:row>
      <xdr:rowOff>114300</xdr:rowOff>
    </xdr:to>
    <xdr:pic>
      <xdr:nvPicPr>
        <xdr:cNvPr id="2742" name="Imagen 2741" descr="Ver detalle">
          <a:hlinkClick xmlns:r="http://schemas.openxmlformats.org/officeDocument/2006/relationships" r:id="rId2683" tooltip="Ver detalle"/>
          <a:extLst>
            <a:ext uri="{FF2B5EF4-FFF2-40B4-BE49-F238E27FC236}">
              <a16:creationId xmlns:a16="http://schemas.microsoft.com/office/drawing/2014/main" id="{50EA3205-AC21-3BE8-4868-F95EA429F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0570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2446</xdr:row>
      <xdr:rowOff>0</xdr:rowOff>
    </xdr:from>
    <xdr:to>
      <xdr:col>13</xdr:col>
      <xdr:colOff>0</xdr:colOff>
      <xdr:row>2447</xdr:row>
      <xdr:rowOff>114300</xdr:rowOff>
    </xdr:to>
    <xdr:pic>
      <xdr:nvPicPr>
        <xdr:cNvPr id="2743" name="Imagen 2742" descr="Ver detalle">
          <a:hlinkClick xmlns:r="http://schemas.openxmlformats.org/officeDocument/2006/relationships" r:id="rId2684" tooltip="Ver detalle"/>
          <a:extLst>
            <a:ext uri="{FF2B5EF4-FFF2-40B4-BE49-F238E27FC236}">
              <a16:creationId xmlns:a16="http://schemas.microsoft.com/office/drawing/2014/main" id="{71124424-E928-4089-B557-F8ED974DC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0684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2447</xdr:row>
      <xdr:rowOff>0</xdr:rowOff>
    </xdr:from>
    <xdr:to>
      <xdr:col>13</xdr:col>
      <xdr:colOff>0</xdr:colOff>
      <xdr:row>2448</xdr:row>
      <xdr:rowOff>114300</xdr:rowOff>
    </xdr:to>
    <xdr:pic>
      <xdr:nvPicPr>
        <xdr:cNvPr id="2744" name="Imagen 2743" descr="Ver detalle">
          <a:hlinkClick xmlns:r="http://schemas.openxmlformats.org/officeDocument/2006/relationships" r:id="rId2685" tooltip="Ver detalle"/>
          <a:extLst>
            <a:ext uri="{FF2B5EF4-FFF2-40B4-BE49-F238E27FC236}">
              <a16:creationId xmlns:a16="http://schemas.microsoft.com/office/drawing/2014/main" id="{424D9D1F-8F90-F33B-9BEE-E9101EB0A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0928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2448</xdr:row>
      <xdr:rowOff>0</xdr:rowOff>
    </xdr:from>
    <xdr:to>
      <xdr:col>13</xdr:col>
      <xdr:colOff>0</xdr:colOff>
      <xdr:row>2449</xdr:row>
      <xdr:rowOff>114300</xdr:rowOff>
    </xdr:to>
    <xdr:pic>
      <xdr:nvPicPr>
        <xdr:cNvPr id="2745" name="Imagen 2744" descr="Ver detalle">
          <a:hlinkClick xmlns:r="http://schemas.openxmlformats.org/officeDocument/2006/relationships" r:id="rId2686" tooltip="Ver detalle"/>
          <a:extLst>
            <a:ext uri="{FF2B5EF4-FFF2-40B4-BE49-F238E27FC236}">
              <a16:creationId xmlns:a16="http://schemas.microsoft.com/office/drawing/2014/main" id="{76884678-9387-6F31-EE92-D4ECAA012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1172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2436</xdr:row>
      <xdr:rowOff>0</xdr:rowOff>
    </xdr:from>
    <xdr:to>
      <xdr:col>13</xdr:col>
      <xdr:colOff>0</xdr:colOff>
      <xdr:row>2437</xdr:row>
      <xdr:rowOff>114300</xdr:rowOff>
    </xdr:to>
    <xdr:pic>
      <xdr:nvPicPr>
        <xdr:cNvPr id="2746" name="Imagen 2745" descr="Ver detalle">
          <a:hlinkClick xmlns:r="http://schemas.openxmlformats.org/officeDocument/2006/relationships" r:id="rId2687" tooltip="Ver detalle"/>
          <a:extLst>
            <a:ext uri="{FF2B5EF4-FFF2-40B4-BE49-F238E27FC236}">
              <a16:creationId xmlns:a16="http://schemas.microsoft.com/office/drawing/2014/main" id="{A42B09CD-0156-CFF0-92B6-8EA91B5A5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141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2432</xdr:row>
      <xdr:rowOff>0</xdr:rowOff>
    </xdr:from>
    <xdr:to>
      <xdr:col>13</xdr:col>
      <xdr:colOff>0</xdr:colOff>
      <xdr:row>2433</xdr:row>
      <xdr:rowOff>114300</xdr:rowOff>
    </xdr:to>
    <xdr:pic>
      <xdr:nvPicPr>
        <xdr:cNvPr id="2747" name="Imagen 2746" descr="Ver detalle">
          <a:hlinkClick xmlns:r="http://schemas.openxmlformats.org/officeDocument/2006/relationships" r:id="rId2688" tooltip="Ver detalle"/>
          <a:extLst>
            <a:ext uri="{FF2B5EF4-FFF2-40B4-BE49-F238E27FC236}">
              <a16:creationId xmlns:a16="http://schemas.microsoft.com/office/drawing/2014/main" id="{8FDCEFDD-0C92-38D0-7DB3-16B29384B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1659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2459</xdr:row>
      <xdr:rowOff>0</xdr:rowOff>
    </xdr:from>
    <xdr:to>
      <xdr:col>13</xdr:col>
      <xdr:colOff>0</xdr:colOff>
      <xdr:row>2460</xdr:row>
      <xdr:rowOff>114300</xdr:rowOff>
    </xdr:to>
    <xdr:pic>
      <xdr:nvPicPr>
        <xdr:cNvPr id="2748" name="Imagen 2747" descr="Ver detalle">
          <a:hlinkClick xmlns:r="http://schemas.openxmlformats.org/officeDocument/2006/relationships" r:id="rId2689" tooltip="Ver detalle"/>
          <a:extLst>
            <a:ext uri="{FF2B5EF4-FFF2-40B4-BE49-F238E27FC236}">
              <a16:creationId xmlns:a16="http://schemas.microsoft.com/office/drawing/2014/main" id="{8C9441E0-1A44-5DF6-F259-BCA0089AA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1903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2438</xdr:row>
      <xdr:rowOff>0</xdr:rowOff>
    </xdr:from>
    <xdr:to>
      <xdr:col>13</xdr:col>
      <xdr:colOff>0</xdr:colOff>
      <xdr:row>2439</xdr:row>
      <xdr:rowOff>114300</xdr:rowOff>
    </xdr:to>
    <xdr:pic>
      <xdr:nvPicPr>
        <xdr:cNvPr id="2749" name="Imagen 2748" descr="Ver detalle">
          <a:hlinkClick xmlns:r="http://schemas.openxmlformats.org/officeDocument/2006/relationships" r:id="rId2690" tooltip="Ver detalle"/>
          <a:extLst>
            <a:ext uri="{FF2B5EF4-FFF2-40B4-BE49-F238E27FC236}">
              <a16:creationId xmlns:a16="http://schemas.microsoft.com/office/drawing/2014/main" id="{1513E11F-02F4-9DD6-22A4-27BEE0C47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2017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2423</xdr:row>
      <xdr:rowOff>0</xdr:rowOff>
    </xdr:from>
    <xdr:to>
      <xdr:col>13</xdr:col>
      <xdr:colOff>0</xdr:colOff>
      <xdr:row>2424</xdr:row>
      <xdr:rowOff>114300</xdr:rowOff>
    </xdr:to>
    <xdr:pic>
      <xdr:nvPicPr>
        <xdr:cNvPr id="2750" name="Imagen 2749" descr="Ver detalle">
          <a:hlinkClick xmlns:r="http://schemas.openxmlformats.org/officeDocument/2006/relationships" r:id="rId2691" tooltip="Ver detalle"/>
          <a:extLst>
            <a:ext uri="{FF2B5EF4-FFF2-40B4-BE49-F238E27FC236}">
              <a16:creationId xmlns:a16="http://schemas.microsoft.com/office/drawing/2014/main" id="{D19E210A-4A82-62BA-DEF4-98F011148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2261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2433</xdr:row>
      <xdr:rowOff>0</xdr:rowOff>
    </xdr:from>
    <xdr:to>
      <xdr:col>13</xdr:col>
      <xdr:colOff>0</xdr:colOff>
      <xdr:row>2434</xdr:row>
      <xdr:rowOff>114300</xdr:rowOff>
    </xdr:to>
    <xdr:pic>
      <xdr:nvPicPr>
        <xdr:cNvPr id="2751" name="Imagen 2750" descr="Ver detalle">
          <a:hlinkClick xmlns:r="http://schemas.openxmlformats.org/officeDocument/2006/relationships" r:id="rId2692" tooltip="Ver detalle"/>
          <a:extLst>
            <a:ext uri="{FF2B5EF4-FFF2-40B4-BE49-F238E27FC236}">
              <a16:creationId xmlns:a16="http://schemas.microsoft.com/office/drawing/2014/main" id="{E7641B7A-E05D-4F99-C124-8C879593F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2505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2424</xdr:row>
      <xdr:rowOff>0</xdr:rowOff>
    </xdr:from>
    <xdr:to>
      <xdr:col>13</xdr:col>
      <xdr:colOff>0</xdr:colOff>
      <xdr:row>2425</xdr:row>
      <xdr:rowOff>114300</xdr:rowOff>
    </xdr:to>
    <xdr:pic>
      <xdr:nvPicPr>
        <xdr:cNvPr id="2752" name="Imagen 2751" descr="Ver detalle">
          <a:hlinkClick xmlns:r="http://schemas.openxmlformats.org/officeDocument/2006/relationships" r:id="rId2693" tooltip="Ver detalle"/>
          <a:extLst>
            <a:ext uri="{FF2B5EF4-FFF2-40B4-BE49-F238E27FC236}">
              <a16:creationId xmlns:a16="http://schemas.microsoft.com/office/drawing/2014/main" id="{564A6A97-83A9-1FFA-3156-897013937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2749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2425</xdr:row>
      <xdr:rowOff>0</xdr:rowOff>
    </xdr:from>
    <xdr:to>
      <xdr:col>13</xdr:col>
      <xdr:colOff>0</xdr:colOff>
      <xdr:row>2426</xdr:row>
      <xdr:rowOff>114300</xdr:rowOff>
    </xdr:to>
    <xdr:pic>
      <xdr:nvPicPr>
        <xdr:cNvPr id="2753" name="Imagen 2752" descr="Ver detalle">
          <a:hlinkClick xmlns:r="http://schemas.openxmlformats.org/officeDocument/2006/relationships" r:id="rId2694" tooltip="Ver detalle"/>
          <a:extLst>
            <a:ext uri="{FF2B5EF4-FFF2-40B4-BE49-F238E27FC236}">
              <a16:creationId xmlns:a16="http://schemas.microsoft.com/office/drawing/2014/main" id="{7BBF3119-8A5D-814F-7821-53C5BEC61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2993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2426</xdr:row>
      <xdr:rowOff>0</xdr:rowOff>
    </xdr:from>
    <xdr:to>
      <xdr:col>13</xdr:col>
      <xdr:colOff>0</xdr:colOff>
      <xdr:row>2427</xdr:row>
      <xdr:rowOff>114300</xdr:rowOff>
    </xdr:to>
    <xdr:pic>
      <xdr:nvPicPr>
        <xdr:cNvPr id="2754" name="Imagen 2753" descr="Ver detalle">
          <a:hlinkClick xmlns:r="http://schemas.openxmlformats.org/officeDocument/2006/relationships" r:id="rId2695" tooltip="Ver detalle"/>
          <a:extLst>
            <a:ext uri="{FF2B5EF4-FFF2-40B4-BE49-F238E27FC236}">
              <a16:creationId xmlns:a16="http://schemas.microsoft.com/office/drawing/2014/main" id="{DBAF3BB9-E3AD-2BE0-92FC-B265DB078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3237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2449</xdr:row>
      <xdr:rowOff>0</xdr:rowOff>
    </xdr:from>
    <xdr:to>
      <xdr:col>13</xdr:col>
      <xdr:colOff>0</xdr:colOff>
      <xdr:row>2450</xdr:row>
      <xdr:rowOff>114300</xdr:rowOff>
    </xdr:to>
    <xdr:pic>
      <xdr:nvPicPr>
        <xdr:cNvPr id="2755" name="Imagen 2754" descr="Ver detalle">
          <a:hlinkClick xmlns:r="http://schemas.openxmlformats.org/officeDocument/2006/relationships" r:id="rId2696" tooltip="Ver detalle"/>
          <a:extLst>
            <a:ext uri="{FF2B5EF4-FFF2-40B4-BE49-F238E27FC236}">
              <a16:creationId xmlns:a16="http://schemas.microsoft.com/office/drawing/2014/main" id="{B1B29970-C3AD-5EB2-78A2-8103A6E2F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3480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2427</xdr:row>
      <xdr:rowOff>0</xdr:rowOff>
    </xdr:from>
    <xdr:to>
      <xdr:col>13</xdr:col>
      <xdr:colOff>0</xdr:colOff>
      <xdr:row>2428</xdr:row>
      <xdr:rowOff>114300</xdr:rowOff>
    </xdr:to>
    <xdr:pic>
      <xdr:nvPicPr>
        <xdr:cNvPr id="2756" name="Imagen 2755" descr="Ver detalle">
          <a:hlinkClick xmlns:r="http://schemas.openxmlformats.org/officeDocument/2006/relationships" r:id="rId2697" tooltip="Ver detalle"/>
          <a:extLst>
            <a:ext uri="{FF2B5EF4-FFF2-40B4-BE49-F238E27FC236}">
              <a16:creationId xmlns:a16="http://schemas.microsoft.com/office/drawing/2014/main" id="{51867298-38D0-FD6D-8751-37A6ED13F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3643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2428</xdr:row>
      <xdr:rowOff>0</xdr:rowOff>
    </xdr:from>
    <xdr:to>
      <xdr:col>13</xdr:col>
      <xdr:colOff>0</xdr:colOff>
      <xdr:row>2429</xdr:row>
      <xdr:rowOff>114300</xdr:rowOff>
    </xdr:to>
    <xdr:pic>
      <xdr:nvPicPr>
        <xdr:cNvPr id="2757" name="Imagen 2756" descr="Ver detalle">
          <a:hlinkClick xmlns:r="http://schemas.openxmlformats.org/officeDocument/2006/relationships" r:id="rId2698" tooltip="Ver detalle"/>
          <a:extLst>
            <a:ext uri="{FF2B5EF4-FFF2-40B4-BE49-F238E27FC236}">
              <a16:creationId xmlns:a16="http://schemas.microsoft.com/office/drawing/2014/main" id="{BC21D2A9-4C58-F6B5-C012-16953FDE5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3887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2429</xdr:row>
      <xdr:rowOff>0</xdr:rowOff>
    </xdr:from>
    <xdr:to>
      <xdr:col>13</xdr:col>
      <xdr:colOff>0</xdr:colOff>
      <xdr:row>2430</xdr:row>
      <xdr:rowOff>114300</xdr:rowOff>
    </xdr:to>
    <xdr:pic>
      <xdr:nvPicPr>
        <xdr:cNvPr id="2758" name="Imagen 2757" descr="Ver detalle">
          <a:hlinkClick xmlns:r="http://schemas.openxmlformats.org/officeDocument/2006/relationships" r:id="rId2699" tooltip="Ver detalle"/>
          <a:extLst>
            <a:ext uri="{FF2B5EF4-FFF2-40B4-BE49-F238E27FC236}">
              <a16:creationId xmlns:a16="http://schemas.microsoft.com/office/drawing/2014/main" id="{6B012AE6-F6CB-D3C6-1E7F-E430086A5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4131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2450</xdr:row>
      <xdr:rowOff>0</xdr:rowOff>
    </xdr:from>
    <xdr:to>
      <xdr:col>13</xdr:col>
      <xdr:colOff>0</xdr:colOff>
      <xdr:row>2451</xdr:row>
      <xdr:rowOff>114300</xdr:rowOff>
    </xdr:to>
    <xdr:pic>
      <xdr:nvPicPr>
        <xdr:cNvPr id="2759" name="Imagen 2758" descr="Ver detalle">
          <a:hlinkClick xmlns:r="http://schemas.openxmlformats.org/officeDocument/2006/relationships" r:id="rId2700" tooltip="Ver detalle"/>
          <a:extLst>
            <a:ext uri="{FF2B5EF4-FFF2-40B4-BE49-F238E27FC236}">
              <a16:creationId xmlns:a16="http://schemas.microsoft.com/office/drawing/2014/main" id="{058FE28A-EDFE-0F42-A2A7-A1B1DF3F8C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437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2430</xdr:row>
      <xdr:rowOff>0</xdr:rowOff>
    </xdr:from>
    <xdr:to>
      <xdr:col>13</xdr:col>
      <xdr:colOff>0</xdr:colOff>
      <xdr:row>2431</xdr:row>
      <xdr:rowOff>114300</xdr:rowOff>
    </xdr:to>
    <xdr:pic>
      <xdr:nvPicPr>
        <xdr:cNvPr id="2760" name="Imagen 2759" descr="Ver detalle">
          <a:hlinkClick xmlns:r="http://schemas.openxmlformats.org/officeDocument/2006/relationships" r:id="rId2701" tooltip="Ver detalle"/>
          <a:extLst>
            <a:ext uri="{FF2B5EF4-FFF2-40B4-BE49-F238E27FC236}">
              <a16:creationId xmlns:a16="http://schemas.microsoft.com/office/drawing/2014/main" id="{A875A1F8-F122-4843-7936-C6C672CDF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4619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2419</xdr:row>
      <xdr:rowOff>0</xdr:rowOff>
    </xdr:from>
    <xdr:to>
      <xdr:col>13</xdr:col>
      <xdr:colOff>0</xdr:colOff>
      <xdr:row>2420</xdr:row>
      <xdr:rowOff>114300</xdr:rowOff>
    </xdr:to>
    <xdr:pic>
      <xdr:nvPicPr>
        <xdr:cNvPr id="2761" name="Imagen 2760" descr="Ver detalle">
          <a:hlinkClick xmlns:r="http://schemas.openxmlformats.org/officeDocument/2006/relationships" r:id="rId2702" tooltip="Ver detalle"/>
          <a:extLst>
            <a:ext uri="{FF2B5EF4-FFF2-40B4-BE49-F238E27FC236}">
              <a16:creationId xmlns:a16="http://schemas.microsoft.com/office/drawing/2014/main" id="{4BFFB309-ED98-99DA-9E25-DE3227E19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4863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2431</xdr:row>
      <xdr:rowOff>0</xdr:rowOff>
    </xdr:from>
    <xdr:to>
      <xdr:col>13</xdr:col>
      <xdr:colOff>0</xdr:colOff>
      <xdr:row>2432</xdr:row>
      <xdr:rowOff>114300</xdr:rowOff>
    </xdr:to>
    <xdr:pic>
      <xdr:nvPicPr>
        <xdr:cNvPr id="2762" name="Imagen 2761" descr="Ver detalle">
          <a:hlinkClick xmlns:r="http://schemas.openxmlformats.org/officeDocument/2006/relationships" r:id="rId2703" tooltip="Ver detalle"/>
          <a:extLst>
            <a:ext uri="{FF2B5EF4-FFF2-40B4-BE49-F238E27FC236}">
              <a16:creationId xmlns:a16="http://schemas.microsoft.com/office/drawing/2014/main" id="{33517C73-533A-0A58-EE73-EBD2B3C88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5106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2422</xdr:row>
      <xdr:rowOff>0</xdr:rowOff>
    </xdr:from>
    <xdr:to>
      <xdr:col>13</xdr:col>
      <xdr:colOff>0</xdr:colOff>
      <xdr:row>2423</xdr:row>
      <xdr:rowOff>114300</xdr:rowOff>
    </xdr:to>
    <xdr:pic>
      <xdr:nvPicPr>
        <xdr:cNvPr id="2763" name="Imagen 2762" descr="Ver detalle">
          <a:hlinkClick xmlns:r="http://schemas.openxmlformats.org/officeDocument/2006/relationships" r:id="rId2704" tooltip="Ver detalle"/>
          <a:extLst>
            <a:ext uri="{FF2B5EF4-FFF2-40B4-BE49-F238E27FC236}">
              <a16:creationId xmlns:a16="http://schemas.microsoft.com/office/drawing/2014/main" id="{2EB980A9-0DA6-9755-8067-73E8AFB21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5221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2451</xdr:row>
      <xdr:rowOff>0</xdr:rowOff>
    </xdr:from>
    <xdr:to>
      <xdr:col>13</xdr:col>
      <xdr:colOff>0</xdr:colOff>
      <xdr:row>2452</xdr:row>
      <xdr:rowOff>114300</xdr:rowOff>
    </xdr:to>
    <xdr:pic>
      <xdr:nvPicPr>
        <xdr:cNvPr id="2764" name="Imagen 2763" descr="Ver detalle">
          <a:hlinkClick xmlns:r="http://schemas.openxmlformats.org/officeDocument/2006/relationships" r:id="rId2705" tooltip="Ver detalle"/>
          <a:extLst>
            <a:ext uri="{FF2B5EF4-FFF2-40B4-BE49-F238E27FC236}">
              <a16:creationId xmlns:a16="http://schemas.microsoft.com/office/drawing/2014/main" id="{0BE4BEA6-06CD-92E1-6C2A-25762C6E2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5465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2418</xdr:row>
      <xdr:rowOff>0</xdr:rowOff>
    </xdr:from>
    <xdr:to>
      <xdr:col>13</xdr:col>
      <xdr:colOff>0</xdr:colOff>
      <xdr:row>2419</xdr:row>
      <xdr:rowOff>114300</xdr:rowOff>
    </xdr:to>
    <xdr:pic>
      <xdr:nvPicPr>
        <xdr:cNvPr id="2765" name="Imagen 2764" descr="Ver detalle">
          <a:hlinkClick xmlns:r="http://schemas.openxmlformats.org/officeDocument/2006/relationships" r:id="rId2706" tooltip="Ver detalle"/>
          <a:extLst>
            <a:ext uri="{FF2B5EF4-FFF2-40B4-BE49-F238E27FC236}">
              <a16:creationId xmlns:a16="http://schemas.microsoft.com/office/drawing/2014/main" id="{3783054F-A37A-D9B3-51B7-EE9F23344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5708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2417</xdr:row>
      <xdr:rowOff>0</xdr:rowOff>
    </xdr:from>
    <xdr:to>
      <xdr:col>13</xdr:col>
      <xdr:colOff>0</xdr:colOff>
      <xdr:row>2418</xdr:row>
      <xdr:rowOff>114300</xdr:rowOff>
    </xdr:to>
    <xdr:pic>
      <xdr:nvPicPr>
        <xdr:cNvPr id="2766" name="Imagen 2765" descr="Ver detalle">
          <a:hlinkClick xmlns:r="http://schemas.openxmlformats.org/officeDocument/2006/relationships" r:id="rId2707" tooltip="Ver detalle"/>
          <a:extLst>
            <a:ext uri="{FF2B5EF4-FFF2-40B4-BE49-F238E27FC236}">
              <a16:creationId xmlns:a16="http://schemas.microsoft.com/office/drawing/2014/main" id="{E9DCF265-605F-06E7-564A-4685FCEA8A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5952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2420</xdr:row>
      <xdr:rowOff>0</xdr:rowOff>
    </xdr:from>
    <xdr:to>
      <xdr:col>13</xdr:col>
      <xdr:colOff>0</xdr:colOff>
      <xdr:row>2421</xdr:row>
      <xdr:rowOff>114300</xdr:rowOff>
    </xdr:to>
    <xdr:pic>
      <xdr:nvPicPr>
        <xdr:cNvPr id="2767" name="Imagen 2766" descr="Ver detalle">
          <a:hlinkClick xmlns:r="http://schemas.openxmlformats.org/officeDocument/2006/relationships" r:id="rId2708" tooltip="Ver detalle"/>
          <a:extLst>
            <a:ext uri="{FF2B5EF4-FFF2-40B4-BE49-F238E27FC236}">
              <a16:creationId xmlns:a16="http://schemas.microsoft.com/office/drawing/2014/main" id="{450EB0B7-F268-81B3-3E96-483E5CEEF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6196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2415</xdr:row>
      <xdr:rowOff>0</xdr:rowOff>
    </xdr:from>
    <xdr:to>
      <xdr:col>13</xdr:col>
      <xdr:colOff>0</xdr:colOff>
      <xdr:row>2416</xdr:row>
      <xdr:rowOff>114300</xdr:rowOff>
    </xdr:to>
    <xdr:pic>
      <xdr:nvPicPr>
        <xdr:cNvPr id="2768" name="Imagen 2767" descr="Ver detalle">
          <a:hlinkClick xmlns:r="http://schemas.openxmlformats.org/officeDocument/2006/relationships" r:id="rId2709" tooltip="Ver detalle"/>
          <a:extLst>
            <a:ext uri="{FF2B5EF4-FFF2-40B4-BE49-F238E27FC236}">
              <a16:creationId xmlns:a16="http://schemas.microsoft.com/office/drawing/2014/main" id="{ED32B605-C29C-6182-D828-A8BB2D535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6310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2421</xdr:row>
      <xdr:rowOff>0</xdr:rowOff>
    </xdr:from>
    <xdr:to>
      <xdr:col>13</xdr:col>
      <xdr:colOff>0</xdr:colOff>
      <xdr:row>2422</xdr:row>
      <xdr:rowOff>114300</xdr:rowOff>
    </xdr:to>
    <xdr:pic>
      <xdr:nvPicPr>
        <xdr:cNvPr id="2769" name="Imagen 2768" descr="Ver detalle">
          <a:hlinkClick xmlns:r="http://schemas.openxmlformats.org/officeDocument/2006/relationships" r:id="rId2710" tooltip="Ver detalle"/>
          <a:extLst>
            <a:ext uri="{FF2B5EF4-FFF2-40B4-BE49-F238E27FC236}">
              <a16:creationId xmlns:a16="http://schemas.microsoft.com/office/drawing/2014/main" id="{77DE22F9-300A-5F13-A44C-8BF718C48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6554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2463</xdr:row>
      <xdr:rowOff>0</xdr:rowOff>
    </xdr:from>
    <xdr:to>
      <xdr:col>13</xdr:col>
      <xdr:colOff>0</xdr:colOff>
      <xdr:row>2464</xdr:row>
      <xdr:rowOff>114300</xdr:rowOff>
    </xdr:to>
    <xdr:pic>
      <xdr:nvPicPr>
        <xdr:cNvPr id="2770" name="Imagen 2769" descr="Ver detalle">
          <a:hlinkClick xmlns:r="http://schemas.openxmlformats.org/officeDocument/2006/relationships" r:id="rId2711" tooltip="Ver detalle"/>
          <a:extLst>
            <a:ext uri="{FF2B5EF4-FFF2-40B4-BE49-F238E27FC236}">
              <a16:creationId xmlns:a16="http://schemas.microsoft.com/office/drawing/2014/main" id="{DE85F6BF-2FE1-F418-00C4-1F8601B44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6798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2439</xdr:row>
      <xdr:rowOff>0</xdr:rowOff>
    </xdr:from>
    <xdr:to>
      <xdr:col>13</xdr:col>
      <xdr:colOff>0</xdr:colOff>
      <xdr:row>2440</xdr:row>
      <xdr:rowOff>114300</xdr:rowOff>
    </xdr:to>
    <xdr:pic>
      <xdr:nvPicPr>
        <xdr:cNvPr id="2771" name="Imagen 2770" descr="Ver detalle">
          <a:hlinkClick xmlns:r="http://schemas.openxmlformats.org/officeDocument/2006/relationships" r:id="rId2712" tooltip="Ver detalle"/>
          <a:extLst>
            <a:ext uri="{FF2B5EF4-FFF2-40B4-BE49-F238E27FC236}">
              <a16:creationId xmlns:a16="http://schemas.microsoft.com/office/drawing/2014/main" id="{FCDB8FDA-67DD-0D85-D75B-7026ADCA6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7156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2413</xdr:row>
      <xdr:rowOff>0</xdr:rowOff>
    </xdr:from>
    <xdr:to>
      <xdr:col>13</xdr:col>
      <xdr:colOff>0</xdr:colOff>
      <xdr:row>2414</xdr:row>
      <xdr:rowOff>114300</xdr:rowOff>
    </xdr:to>
    <xdr:pic>
      <xdr:nvPicPr>
        <xdr:cNvPr id="2772" name="Imagen 2771" descr="Ver detalle">
          <a:hlinkClick xmlns:r="http://schemas.openxmlformats.org/officeDocument/2006/relationships" r:id="rId2713" tooltip="Ver detalle"/>
          <a:extLst>
            <a:ext uri="{FF2B5EF4-FFF2-40B4-BE49-F238E27FC236}">
              <a16:creationId xmlns:a16="http://schemas.microsoft.com/office/drawing/2014/main" id="{42A6B271-0491-52FC-BF15-74D8436F0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7319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2414</xdr:row>
      <xdr:rowOff>0</xdr:rowOff>
    </xdr:from>
    <xdr:to>
      <xdr:col>13</xdr:col>
      <xdr:colOff>0</xdr:colOff>
      <xdr:row>2415</xdr:row>
      <xdr:rowOff>114300</xdr:rowOff>
    </xdr:to>
    <xdr:pic>
      <xdr:nvPicPr>
        <xdr:cNvPr id="2773" name="Imagen 2772" descr="Ver detalle">
          <a:hlinkClick xmlns:r="http://schemas.openxmlformats.org/officeDocument/2006/relationships" r:id="rId2714" tooltip="Ver detalle"/>
          <a:extLst>
            <a:ext uri="{FF2B5EF4-FFF2-40B4-BE49-F238E27FC236}">
              <a16:creationId xmlns:a16="http://schemas.microsoft.com/office/drawing/2014/main" id="{A8885996-4570-D394-EC84-A2BFFD7C9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7563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2416</xdr:row>
      <xdr:rowOff>0</xdr:rowOff>
    </xdr:from>
    <xdr:to>
      <xdr:col>13</xdr:col>
      <xdr:colOff>0</xdr:colOff>
      <xdr:row>2417</xdr:row>
      <xdr:rowOff>114300</xdr:rowOff>
    </xdr:to>
    <xdr:pic>
      <xdr:nvPicPr>
        <xdr:cNvPr id="2774" name="Imagen 2773" descr="Ver detalle">
          <a:hlinkClick xmlns:r="http://schemas.openxmlformats.org/officeDocument/2006/relationships" r:id="rId2715" tooltip="Ver detalle"/>
          <a:extLst>
            <a:ext uri="{FF2B5EF4-FFF2-40B4-BE49-F238E27FC236}">
              <a16:creationId xmlns:a16="http://schemas.microsoft.com/office/drawing/2014/main" id="{67371602-8011-C3C7-D8FC-46AAA7B79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7807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2509</xdr:row>
      <xdr:rowOff>0</xdr:rowOff>
    </xdr:from>
    <xdr:to>
      <xdr:col>13</xdr:col>
      <xdr:colOff>0</xdr:colOff>
      <xdr:row>2510</xdr:row>
      <xdr:rowOff>114300</xdr:rowOff>
    </xdr:to>
    <xdr:pic>
      <xdr:nvPicPr>
        <xdr:cNvPr id="2775" name="Imagen 2774" descr="Ver detalle">
          <a:hlinkClick xmlns:r="http://schemas.openxmlformats.org/officeDocument/2006/relationships" r:id="rId2716" tooltip="Ver detalle"/>
          <a:extLst>
            <a:ext uri="{FF2B5EF4-FFF2-40B4-BE49-F238E27FC236}">
              <a16:creationId xmlns:a16="http://schemas.microsoft.com/office/drawing/2014/main" id="{142188AA-B137-3FD5-02E4-2106E480D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7340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2510</xdr:row>
      <xdr:rowOff>0</xdr:rowOff>
    </xdr:from>
    <xdr:to>
      <xdr:col>13</xdr:col>
      <xdr:colOff>0</xdr:colOff>
      <xdr:row>2511</xdr:row>
      <xdr:rowOff>110490</xdr:rowOff>
    </xdr:to>
    <xdr:pic>
      <xdr:nvPicPr>
        <xdr:cNvPr id="2776" name="Imagen 2775" descr="Ver detalle">
          <a:hlinkClick xmlns:r="http://schemas.openxmlformats.org/officeDocument/2006/relationships" r:id="rId2717" tooltip="Ver detalle"/>
          <a:extLst>
            <a:ext uri="{FF2B5EF4-FFF2-40B4-BE49-F238E27FC236}">
              <a16:creationId xmlns:a16="http://schemas.microsoft.com/office/drawing/2014/main" id="{68AE0659-04AC-3F7B-3031-DDBBEB1CA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7584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2520</xdr:row>
      <xdr:rowOff>0</xdr:rowOff>
    </xdr:from>
    <xdr:to>
      <xdr:col>13</xdr:col>
      <xdr:colOff>0</xdr:colOff>
      <xdr:row>2521</xdr:row>
      <xdr:rowOff>114300</xdr:rowOff>
    </xdr:to>
    <xdr:pic>
      <xdr:nvPicPr>
        <xdr:cNvPr id="2777" name="Imagen 2776" descr="Ver detalle">
          <a:hlinkClick xmlns:r="http://schemas.openxmlformats.org/officeDocument/2006/relationships" r:id="rId2718" tooltip="Ver detalle"/>
          <a:extLst>
            <a:ext uri="{FF2B5EF4-FFF2-40B4-BE49-F238E27FC236}">
              <a16:creationId xmlns:a16="http://schemas.microsoft.com/office/drawing/2014/main" id="{420B4D85-443D-6BA6-984C-438743B64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7827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2521</xdr:row>
      <xdr:rowOff>0</xdr:rowOff>
    </xdr:from>
    <xdr:to>
      <xdr:col>13</xdr:col>
      <xdr:colOff>0</xdr:colOff>
      <xdr:row>2522</xdr:row>
      <xdr:rowOff>114300</xdr:rowOff>
    </xdr:to>
    <xdr:pic>
      <xdr:nvPicPr>
        <xdr:cNvPr id="2778" name="Imagen 2777" descr="Ver detalle">
          <a:hlinkClick xmlns:r="http://schemas.openxmlformats.org/officeDocument/2006/relationships" r:id="rId2719" tooltip="Ver detalle"/>
          <a:extLst>
            <a:ext uri="{FF2B5EF4-FFF2-40B4-BE49-F238E27FC236}">
              <a16:creationId xmlns:a16="http://schemas.microsoft.com/office/drawing/2014/main" id="{3C79C3C2-AD75-A615-2B55-0860712A2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8071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2522</xdr:row>
      <xdr:rowOff>0</xdr:rowOff>
    </xdr:from>
    <xdr:to>
      <xdr:col>13</xdr:col>
      <xdr:colOff>0</xdr:colOff>
      <xdr:row>2523</xdr:row>
      <xdr:rowOff>114300</xdr:rowOff>
    </xdr:to>
    <xdr:pic>
      <xdr:nvPicPr>
        <xdr:cNvPr id="2779" name="Imagen 2778" descr="Ver detalle">
          <a:hlinkClick xmlns:r="http://schemas.openxmlformats.org/officeDocument/2006/relationships" r:id="rId2720" tooltip="Ver detalle"/>
          <a:extLst>
            <a:ext uri="{FF2B5EF4-FFF2-40B4-BE49-F238E27FC236}">
              <a16:creationId xmlns:a16="http://schemas.microsoft.com/office/drawing/2014/main" id="{FAAD7030-616E-D100-872A-13FFB11C9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8315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2523</xdr:row>
      <xdr:rowOff>0</xdr:rowOff>
    </xdr:from>
    <xdr:to>
      <xdr:col>13</xdr:col>
      <xdr:colOff>0</xdr:colOff>
      <xdr:row>2524</xdr:row>
      <xdr:rowOff>114300</xdr:rowOff>
    </xdr:to>
    <xdr:pic>
      <xdr:nvPicPr>
        <xdr:cNvPr id="2780" name="Imagen 2779" descr="Ver detalle">
          <a:hlinkClick xmlns:r="http://schemas.openxmlformats.org/officeDocument/2006/relationships" r:id="rId2721" tooltip="Ver detalle"/>
          <a:extLst>
            <a:ext uri="{FF2B5EF4-FFF2-40B4-BE49-F238E27FC236}">
              <a16:creationId xmlns:a16="http://schemas.microsoft.com/office/drawing/2014/main" id="{2F223A17-B345-7B6D-B6CE-4D73646F11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8559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2524</xdr:row>
      <xdr:rowOff>0</xdr:rowOff>
    </xdr:from>
    <xdr:to>
      <xdr:col>13</xdr:col>
      <xdr:colOff>0</xdr:colOff>
      <xdr:row>2525</xdr:row>
      <xdr:rowOff>114300</xdr:rowOff>
    </xdr:to>
    <xdr:pic>
      <xdr:nvPicPr>
        <xdr:cNvPr id="2781" name="Imagen 2780" descr="Ver detalle">
          <a:hlinkClick xmlns:r="http://schemas.openxmlformats.org/officeDocument/2006/relationships" r:id="rId2722" tooltip="Ver detalle"/>
          <a:extLst>
            <a:ext uri="{FF2B5EF4-FFF2-40B4-BE49-F238E27FC236}">
              <a16:creationId xmlns:a16="http://schemas.microsoft.com/office/drawing/2014/main" id="{83E20D92-EF9B-E80C-EB83-FA39D59BF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8673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2525</xdr:row>
      <xdr:rowOff>0</xdr:rowOff>
    </xdr:from>
    <xdr:to>
      <xdr:col>13</xdr:col>
      <xdr:colOff>0</xdr:colOff>
      <xdr:row>2526</xdr:row>
      <xdr:rowOff>114300</xdr:rowOff>
    </xdr:to>
    <xdr:pic>
      <xdr:nvPicPr>
        <xdr:cNvPr id="2782" name="Imagen 2781" descr="Ver detalle">
          <a:hlinkClick xmlns:r="http://schemas.openxmlformats.org/officeDocument/2006/relationships" r:id="rId2723" tooltip="Ver detalle"/>
          <a:extLst>
            <a:ext uri="{FF2B5EF4-FFF2-40B4-BE49-F238E27FC236}">
              <a16:creationId xmlns:a16="http://schemas.microsoft.com/office/drawing/2014/main" id="{0D5841FF-DC79-907F-215A-60357D25E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8788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2526</xdr:row>
      <xdr:rowOff>0</xdr:rowOff>
    </xdr:from>
    <xdr:to>
      <xdr:col>13</xdr:col>
      <xdr:colOff>0</xdr:colOff>
      <xdr:row>2527</xdr:row>
      <xdr:rowOff>114300</xdr:rowOff>
    </xdr:to>
    <xdr:pic>
      <xdr:nvPicPr>
        <xdr:cNvPr id="2783" name="Imagen 2782" descr="Ver detalle">
          <a:hlinkClick xmlns:r="http://schemas.openxmlformats.org/officeDocument/2006/relationships" r:id="rId2724" tooltip="Ver detalle"/>
          <a:extLst>
            <a:ext uri="{FF2B5EF4-FFF2-40B4-BE49-F238E27FC236}">
              <a16:creationId xmlns:a16="http://schemas.microsoft.com/office/drawing/2014/main" id="{C8FE1763-75C1-9C3A-7FB7-FA5AD10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8902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2527</xdr:row>
      <xdr:rowOff>0</xdr:rowOff>
    </xdr:from>
    <xdr:to>
      <xdr:col>13</xdr:col>
      <xdr:colOff>0</xdr:colOff>
      <xdr:row>2528</xdr:row>
      <xdr:rowOff>110490</xdr:rowOff>
    </xdr:to>
    <xdr:pic>
      <xdr:nvPicPr>
        <xdr:cNvPr id="2784" name="Imagen 2783" descr="Ver detalle">
          <a:hlinkClick xmlns:r="http://schemas.openxmlformats.org/officeDocument/2006/relationships" r:id="rId2725" tooltip="Ver detalle"/>
          <a:extLst>
            <a:ext uri="{FF2B5EF4-FFF2-40B4-BE49-F238E27FC236}">
              <a16:creationId xmlns:a16="http://schemas.microsoft.com/office/drawing/2014/main" id="{A8DE5CDE-2CBA-80A5-7FE0-2B6B1DF37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9016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2505</xdr:row>
      <xdr:rowOff>0</xdr:rowOff>
    </xdr:from>
    <xdr:to>
      <xdr:col>13</xdr:col>
      <xdr:colOff>0</xdr:colOff>
      <xdr:row>2506</xdr:row>
      <xdr:rowOff>114300</xdr:rowOff>
    </xdr:to>
    <xdr:pic>
      <xdr:nvPicPr>
        <xdr:cNvPr id="2785" name="Imagen 2784" descr="Ver detalle">
          <a:hlinkClick xmlns:r="http://schemas.openxmlformats.org/officeDocument/2006/relationships" r:id="rId2726" tooltip="Ver detalle"/>
          <a:extLst>
            <a:ext uri="{FF2B5EF4-FFF2-40B4-BE49-F238E27FC236}">
              <a16:creationId xmlns:a16="http://schemas.microsoft.com/office/drawing/2014/main" id="{40040BE7-7394-C2A2-E3C7-B18D354F4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9130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2506</xdr:row>
      <xdr:rowOff>0</xdr:rowOff>
    </xdr:from>
    <xdr:to>
      <xdr:col>13</xdr:col>
      <xdr:colOff>0</xdr:colOff>
      <xdr:row>2507</xdr:row>
      <xdr:rowOff>114300</xdr:rowOff>
    </xdr:to>
    <xdr:pic>
      <xdr:nvPicPr>
        <xdr:cNvPr id="2786" name="Imagen 2785" descr="Ver detalle">
          <a:hlinkClick xmlns:r="http://schemas.openxmlformats.org/officeDocument/2006/relationships" r:id="rId2727" tooltip="Ver detalle"/>
          <a:extLst>
            <a:ext uri="{FF2B5EF4-FFF2-40B4-BE49-F238E27FC236}">
              <a16:creationId xmlns:a16="http://schemas.microsoft.com/office/drawing/2014/main" id="{165B90D4-4838-7C62-341E-CF7DB5C6C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9374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2508</xdr:row>
      <xdr:rowOff>0</xdr:rowOff>
    </xdr:from>
    <xdr:to>
      <xdr:col>13</xdr:col>
      <xdr:colOff>0</xdr:colOff>
      <xdr:row>2509</xdr:row>
      <xdr:rowOff>114300</xdr:rowOff>
    </xdr:to>
    <xdr:pic>
      <xdr:nvPicPr>
        <xdr:cNvPr id="2787" name="Imagen 2786" descr="Ver detalle">
          <a:hlinkClick xmlns:r="http://schemas.openxmlformats.org/officeDocument/2006/relationships" r:id="rId2728" tooltip="Ver detalle"/>
          <a:extLst>
            <a:ext uri="{FF2B5EF4-FFF2-40B4-BE49-F238E27FC236}">
              <a16:creationId xmlns:a16="http://schemas.microsoft.com/office/drawing/2014/main" id="{6624A446-A713-92F1-0F74-9BDF2D358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9618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2507</xdr:row>
      <xdr:rowOff>0</xdr:rowOff>
    </xdr:from>
    <xdr:to>
      <xdr:col>13</xdr:col>
      <xdr:colOff>0</xdr:colOff>
      <xdr:row>2508</xdr:row>
      <xdr:rowOff>114300</xdr:rowOff>
    </xdr:to>
    <xdr:pic>
      <xdr:nvPicPr>
        <xdr:cNvPr id="2788" name="Imagen 2787" descr="Ver detalle">
          <a:hlinkClick xmlns:r="http://schemas.openxmlformats.org/officeDocument/2006/relationships" r:id="rId2729" tooltip="Ver detalle"/>
          <a:extLst>
            <a:ext uri="{FF2B5EF4-FFF2-40B4-BE49-F238E27FC236}">
              <a16:creationId xmlns:a16="http://schemas.microsoft.com/office/drawing/2014/main" id="{9F693D60-CD57-1077-2F91-FDDCE42A6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9732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2502</xdr:row>
      <xdr:rowOff>0</xdr:rowOff>
    </xdr:from>
    <xdr:to>
      <xdr:col>13</xdr:col>
      <xdr:colOff>0</xdr:colOff>
      <xdr:row>2503</xdr:row>
      <xdr:rowOff>114300</xdr:rowOff>
    </xdr:to>
    <xdr:pic>
      <xdr:nvPicPr>
        <xdr:cNvPr id="2789" name="Imagen 2788" descr="Ver detalle">
          <a:hlinkClick xmlns:r="http://schemas.openxmlformats.org/officeDocument/2006/relationships" r:id="rId2730" tooltip="Ver detalle"/>
          <a:extLst>
            <a:ext uri="{FF2B5EF4-FFF2-40B4-BE49-F238E27FC236}">
              <a16:creationId xmlns:a16="http://schemas.microsoft.com/office/drawing/2014/main" id="{AA56B701-071E-A9A8-4EB8-B4265075E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9847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2498</xdr:row>
      <xdr:rowOff>0</xdr:rowOff>
    </xdr:from>
    <xdr:to>
      <xdr:col>13</xdr:col>
      <xdr:colOff>0</xdr:colOff>
      <xdr:row>2499</xdr:row>
      <xdr:rowOff>114300</xdr:rowOff>
    </xdr:to>
    <xdr:pic>
      <xdr:nvPicPr>
        <xdr:cNvPr id="2790" name="Imagen 2789" descr="Ver detalle">
          <a:hlinkClick xmlns:r="http://schemas.openxmlformats.org/officeDocument/2006/relationships" r:id="rId2731" tooltip="Ver detalle"/>
          <a:extLst>
            <a:ext uri="{FF2B5EF4-FFF2-40B4-BE49-F238E27FC236}">
              <a16:creationId xmlns:a16="http://schemas.microsoft.com/office/drawing/2014/main" id="{13D840AE-FA6A-D799-E786-0CF3EFE57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0091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2504</xdr:row>
      <xdr:rowOff>0</xdr:rowOff>
    </xdr:from>
    <xdr:to>
      <xdr:col>13</xdr:col>
      <xdr:colOff>0</xdr:colOff>
      <xdr:row>2505</xdr:row>
      <xdr:rowOff>114300</xdr:rowOff>
    </xdr:to>
    <xdr:pic>
      <xdr:nvPicPr>
        <xdr:cNvPr id="2791" name="Imagen 2790" descr="Ver detalle">
          <a:hlinkClick xmlns:r="http://schemas.openxmlformats.org/officeDocument/2006/relationships" r:id="rId2732" tooltip="Ver detalle"/>
          <a:extLst>
            <a:ext uri="{FF2B5EF4-FFF2-40B4-BE49-F238E27FC236}">
              <a16:creationId xmlns:a16="http://schemas.microsoft.com/office/drawing/2014/main" id="{F42C5C9C-DA02-325C-A44D-595C0C6FF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0334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2499</xdr:row>
      <xdr:rowOff>0</xdr:rowOff>
    </xdr:from>
    <xdr:to>
      <xdr:col>13</xdr:col>
      <xdr:colOff>0</xdr:colOff>
      <xdr:row>2500</xdr:row>
      <xdr:rowOff>114300</xdr:rowOff>
    </xdr:to>
    <xdr:pic>
      <xdr:nvPicPr>
        <xdr:cNvPr id="2792" name="Imagen 2791" descr="Ver detalle">
          <a:hlinkClick xmlns:r="http://schemas.openxmlformats.org/officeDocument/2006/relationships" r:id="rId2733" tooltip="Ver detalle"/>
          <a:extLst>
            <a:ext uri="{FF2B5EF4-FFF2-40B4-BE49-F238E27FC236}">
              <a16:creationId xmlns:a16="http://schemas.microsoft.com/office/drawing/2014/main" id="{D3DFD45C-5006-5907-9846-C559CD541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0578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2492</xdr:row>
      <xdr:rowOff>0</xdr:rowOff>
    </xdr:from>
    <xdr:to>
      <xdr:col>13</xdr:col>
      <xdr:colOff>0</xdr:colOff>
      <xdr:row>2493</xdr:row>
      <xdr:rowOff>114300</xdr:rowOff>
    </xdr:to>
    <xdr:pic>
      <xdr:nvPicPr>
        <xdr:cNvPr id="2793" name="Imagen 2792" descr="Ver detalle">
          <a:hlinkClick xmlns:r="http://schemas.openxmlformats.org/officeDocument/2006/relationships" r:id="rId2734" tooltip="Ver detalle"/>
          <a:extLst>
            <a:ext uri="{FF2B5EF4-FFF2-40B4-BE49-F238E27FC236}">
              <a16:creationId xmlns:a16="http://schemas.microsoft.com/office/drawing/2014/main" id="{9403637F-B113-CE11-9A20-387178C11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0822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2503</xdr:row>
      <xdr:rowOff>0</xdr:rowOff>
    </xdr:from>
    <xdr:to>
      <xdr:col>13</xdr:col>
      <xdr:colOff>0</xdr:colOff>
      <xdr:row>2504</xdr:row>
      <xdr:rowOff>114300</xdr:rowOff>
    </xdr:to>
    <xdr:pic>
      <xdr:nvPicPr>
        <xdr:cNvPr id="2794" name="Imagen 2793" descr="Ver detalle">
          <a:hlinkClick xmlns:r="http://schemas.openxmlformats.org/officeDocument/2006/relationships" r:id="rId2735" tooltip="Ver detalle"/>
          <a:extLst>
            <a:ext uri="{FF2B5EF4-FFF2-40B4-BE49-F238E27FC236}">
              <a16:creationId xmlns:a16="http://schemas.microsoft.com/office/drawing/2014/main" id="{910E3B5F-7AB6-5D19-3030-7BBE362B8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0936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2495</xdr:row>
      <xdr:rowOff>0</xdr:rowOff>
    </xdr:from>
    <xdr:to>
      <xdr:col>13</xdr:col>
      <xdr:colOff>0</xdr:colOff>
      <xdr:row>2496</xdr:row>
      <xdr:rowOff>114300</xdr:rowOff>
    </xdr:to>
    <xdr:pic>
      <xdr:nvPicPr>
        <xdr:cNvPr id="2795" name="Imagen 2794" descr="Ver detalle">
          <a:hlinkClick xmlns:r="http://schemas.openxmlformats.org/officeDocument/2006/relationships" r:id="rId2736" tooltip="Ver detalle"/>
          <a:extLst>
            <a:ext uri="{FF2B5EF4-FFF2-40B4-BE49-F238E27FC236}">
              <a16:creationId xmlns:a16="http://schemas.microsoft.com/office/drawing/2014/main" id="{DE612DD4-5E21-7D3B-F04C-14D03D766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1180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2496</xdr:row>
      <xdr:rowOff>0</xdr:rowOff>
    </xdr:from>
    <xdr:to>
      <xdr:col>13</xdr:col>
      <xdr:colOff>0</xdr:colOff>
      <xdr:row>2497</xdr:row>
      <xdr:rowOff>114300</xdr:rowOff>
    </xdr:to>
    <xdr:pic>
      <xdr:nvPicPr>
        <xdr:cNvPr id="2796" name="Imagen 2795" descr="Ver detalle">
          <a:hlinkClick xmlns:r="http://schemas.openxmlformats.org/officeDocument/2006/relationships" r:id="rId2737" tooltip="Ver detalle"/>
          <a:extLst>
            <a:ext uri="{FF2B5EF4-FFF2-40B4-BE49-F238E27FC236}">
              <a16:creationId xmlns:a16="http://schemas.microsoft.com/office/drawing/2014/main" id="{40A272F0-7850-E95B-74EF-074325F81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1424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2500</xdr:row>
      <xdr:rowOff>0</xdr:rowOff>
    </xdr:from>
    <xdr:to>
      <xdr:col>13</xdr:col>
      <xdr:colOff>0</xdr:colOff>
      <xdr:row>2501</xdr:row>
      <xdr:rowOff>114300</xdr:rowOff>
    </xdr:to>
    <xdr:pic>
      <xdr:nvPicPr>
        <xdr:cNvPr id="2797" name="Imagen 2796" descr="Ver detalle">
          <a:hlinkClick xmlns:r="http://schemas.openxmlformats.org/officeDocument/2006/relationships" r:id="rId2738" tooltip="Ver detalle"/>
          <a:extLst>
            <a:ext uri="{FF2B5EF4-FFF2-40B4-BE49-F238E27FC236}">
              <a16:creationId xmlns:a16="http://schemas.microsoft.com/office/drawing/2014/main" id="{09043A2A-A64F-8165-6C5A-091E4F52A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1668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2501</xdr:row>
      <xdr:rowOff>0</xdr:rowOff>
    </xdr:from>
    <xdr:to>
      <xdr:col>13</xdr:col>
      <xdr:colOff>0</xdr:colOff>
      <xdr:row>2502</xdr:row>
      <xdr:rowOff>114300</xdr:rowOff>
    </xdr:to>
    <xdr:pic>
      <xdr:nvPicPr>
        <xdr:cNvPr id="2798" name="Imagen 2797" descr="Ver detalle">
          <a:hlinkClick xmlns:r="http://schemas.openxmlformats.org/officeDocument/2006/relationships" r:id="rId2739" tooltip="Ver detalle"/>
          <a:extLst>
            <a:ext uri="{FF2B5EF4-FFF2-40B4-BE49-F238E27FC236}">
              <a16:creationId xmlns:a16="http://schemas.microsoft.com/office/drawing/2014/main" id="{B8E48E5E-75B1-0706-3965-FD0E516BC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1912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2491</xdr:row>
      <xdr:rowOff>0</xdr:rowOff>
    </xdr:from>
    <xdr:to>
      <xdr:col>13</xdr:col>
      <xdr:colOff>0</xdr:colOff>
      <xdr:row>2492</xdr:row>
      <xdr:rowOff>114300</xdr:rowOff>
    </xdr:to>
    <xdr:pic>
      <xdr:nvPicPr>
        <xdr:cNvPr id="2799" name="Imagen 2798" descr="Ver detalle">
          <a:hlinkClick xmlns:r="http://schemas.openxmlformats.org/officeDocument/2006/relationships" r:id="rId2740" tooltip="Ver detalle"/>
          <a:extLst>
            <a:ext uri="{FF2B5EF4-FFF2-40B4-BE49-F238E27FC236}">
              <a16:creationId xmlns:a16="http://schemas.microsoft.com/office/drawing/2014/main" id="{CAF86B29-FEE8-2804-EC6A-4236B530CA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2399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2494</xdr:row>
      <xdr:rowOff>0</xdr:rowOff>
    </xdr:from>
    <xdr:to>
      <xdr:col>13</xdr:col>
      <xdr:colOff>0</xdr:colOff>
      <xdr:row>2495</xdr:row>
      <xdr:rowOff>114300</xdr:rowOff>
    </xdr:to>
    <xdr:pic>
      <xdr:nvPicPr>
        <xdr:cNvPr id="2800" name="Imagen 2799" descr="Ver detalle">
          <a:hlinkClick xmlns:r="http://schemas.openxmlformats.org/officeDocument/2006/relationships" r:id="rId2741" tooltip="Ver detalle"/>
          <a:extLst>
            <a:ext uri="{FF2B5EF4-FFF2-40B4-BE49-F238E27FC236}">
              <a16:creationId xmlns:a16="http://schemas.microsoft.com/office/drawing/2014/main" id="{43508C5E-8829-A0A8-35B4-0F3A2721E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2643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2488</xdr:row>
      <xdr:rowOff>0</xdr:rowOff>
    </xdr:from>
    <xdr:to>
      <xdr:col>13</xdr:col>
      <xdr:colOff>0</xdr:colOff>
      <xdr:row>2489</xdr:row>
      <xdr:rowOff>114300</xdr:rowOff>
    </xdr:to>
    <xdr:pic>
      <xdr:nvPicPr>
        <xdr:cNvPr id="2801" name="Imagen 2800" descr="Ver detalle">
          <a:hlinkClick xmlns:r="http://schemas.openxmlformats.org/officeDocument/2006/relationships" r:id="rId2742" tooltip="Ver detalle"/>
          <a:extLst>
            <a:ext uri="{FF2B5EF4-FFF2-40B4-BE49-F238E27FC236}">
              <a16:creationId xmlns:a16="http://schemas.microsoft.com/office/drawing/2014/main" id="{5CB0EC3C-BE62-376D-DDFC-DA9FB7C5A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2758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2489</xdr:row>
      <xdr:rowOff>0</xdr:rowOff>
    </xdr:from>
    <xdr:to>
      <xdr:col>13</xdr:col>
      <xdr:colOff>0</xdr:colOff>
      <xdr:row>2490</xdr:row>
      <xdr:rowOff>114300</xdr:rowOff>
    </xdr:to>
    <xdr:pic>
      <xdr:nvPicPr>
        <xdr:cNvPr id="2802" name="Imagen 2801" descr="Ver detalle">
          <a:hlinkClick xmlns:r="http://schemas.openxmlformats.org/officeDocument/2006/relationships" r:id="rId2743" tooltip="Ver detalle"/>
          <a:extLst>
            <a:ext uri="{FF2B5EF4-FFF2-40B4-BE49-F238E27FC236}">
              <a16:creationId xmlns:a16="http://schemas.microsoft.com/office/drawing/2014/main" id="{F1C94C96-5849-3E0A-FD19-B153E5C54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3001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2493</xdr:row>
      <xdr:rowOff>0</xdr:rowOff>
    </xdr:from>
    <xdr:to>
      <xdr:col>13</xdr:col>
      <xdr:colOff>0</xdr:colOff>
      <xdr:row>2494</xdr:row>
      <xdr:rowOff>114300</xdr:rowOff>
    </xdr:to>
    <xdr:pic>
      <xdr:nvPicPr>
        <xdr:cNvPr id="2803" name="Imagen 2802" descr="Ver detalle">
          <a:hlinkClick xmlns:r="http://schemas.openxmlformats.org/officeDocument/2006/relationships" r:id="rId2744" tooltip="Ver detalle"/>
          <a:extLst>
            <a:ext uri="{FF2B5EF4-FFF2-40B4-BE49-F238E27FC236}">
              <a16:creationId xmlns:a16="http://schemas.microsoft.com/office/drawing/2014/main" id="{ADB80773-9839-F519-062D-DBF6E4E4B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3245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2513</xdr:row>
      <xdr:rowOff>0</xdr:rowOff>
    </xdr:from>
    <xdr:to>
      <xdr:col>13</xdr:col>
      <xdr:colOff>0</xdr:colOff>
      <xdr:row>2514</xdr:row>
      <xdr:rowOff>114300</xdr:rowOff>
    </xdr:to>
    <xdr:pic>
      <xdr:nvPicPr>
        <xdr:cNvPr id="2804" name="Imagen 2803" descr="Ver detalle">
          <a:hlinkClick xmlns:r="http://schemas.openxmlformats.org/officeDocument/2006/relationships" r:id="rId2745" tooltip="Ver detalle"/>
          <a:extLst>
            <a:ext uri="{FF2B5EF4-FFF2-40B4-BE49-F238E27FC236}">
              <a16:creationId xmlns:a16="http://schemas.microsoft.com/office/drawing/2014/main" id="{6C4B358E-48A6-1AD8-60BD-85D3B89AF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3360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2514</xdr:row>
      <xdr:rowOff>0</xdr:rowOff>
    </xdr:from>
    <xdr:to>
      <xdr:col>13</xdr:col>
      <xdr:colOff>0</xdr:colOff>
      <xdr:row>2515</xdr:row>
      <xdr:rowOff>114300</xdr:rowOff>
    </xdr:to>
    <xdr:pic>
      <xdr:nvPicPr>
        <xdr:cNvPr id="2805" name="Imagen 2804" descr="Ver detalle">
          <a:hlinkClick xmlns:r="http://schemas.openxmlformats.org/officeDocument/2006/relationships" r:id="rId2746" tooltip="Ver detalle"/>
          <a:extLst>
            <a:ext uri="{FF2B5EF4-FFF2-40B4-BE49-F238E27FC236}">
              <a16:creationId xmlns:a16="http://schemas.microsoft.com/office/drawing/2014/main" id="{6777844F-32A5-3B4A-B5C0-21BD20156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3603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2515</xdr:row>
      <xdr:rowOff>0</xdr:rowOff>
    </xdr:from>
    <xdr:to>
      <xdr:col>13</xdr:col>
      <xdr:colOff>0</xdr:colOff>
      <xdr:row>2516</xdr:row>
      <xdr:rowOff>114300</xdr:rowOff>
    </xdr:to>
    <xdr:pic>
      <xdr:nvPicPr>
        <xdr:cNvPr id="2806" name="Imagen 2805" descr="Ver detalle">
          <a:hlinkClick xmlns:r="http://schemas.openxmlformats.org/officeDocument/2006/relationships" r:id="rId2747" tooltip="Ver detalle"/>
          <a:extLst>
            <a:ext uri="{FF2B5EF4-FFF2-40B4-BE49-F238E27FC236}">
              <a16:creationId xmlns:a16="http://schemas.microsoft.com/office/drawing/2014/main" id="{928CFEC1-0C29-7214-571B-F2C6708F7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3847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2516</xdr:row>
      <xdr:rowOff>0</xdr:rowOff>
    </xdr:from>
    <xdr:to>
      <xdr:col>13</xdr:col>
      <xdr:colOff>0</xdr:colOff>
      <xdr:row>2517</xdr:row>
      <xdr:rowOff>114300</xdr:rowOff>
    </xdr:to>
    <xdr:pic>
      <xdr:nvPicPr>
        <xdr:cNvPr id="2807" name="Imagen 2806" descr="Ver detalle">
          <a:hlinkClick xmlns:r="http://schemas.openxmlformats.org/officeDocument/2006/relationships" r:id="rId2748" tooltip="Ver detalle"/>
          <a:extLst>
            <a:ext uri="{FF2B5EF4-FFF2-40B4-BE49-F238E27FC236}">
              <a16:creationId xmlns:a16="http://schemas.microsoft.com/office/drawing/2014/main" id="{B1EE3D69-7EC4-E220-27DF-A92C3E87A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4010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2490</xdr:row>
      <xdr:rowOff>0</xdr:rowOff>
    </xdr:from>
    <xdr:to>
      <xdr:col>13</xdr:col>
      <xdr:colOff>0</xdr:colOff>
      <xdr:row>2491</xdr:row>
      <xdr:rowOff>114300</xdr:rowOff>
    </xdr:to>
    <xdr:pic>
      <xdr:nvPicPr>
        <xdr:cNvPr id="2808" name="Imagen 2807" descr="Ver detalle">
          <a:hlinkClick xmlns:r="http://schemas.openxmlformats.org/officeDocument/2006/relationships" r:id="rId2749" tooltip="Ver detalle"/>
          <a:extLst>
            <a:ext uri="{FF2B5EF4-FFF2-40B4-BE49-F238E27FC236}">
              <a16:creationId xmlns:a16="http://schemas.microsoft.com/office/drawing/2014/main" id="{36E486CA-F183-A7E1-B6EB-DCB19F905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425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2483</xdr:row>
      <xdr:rowOff>0</xdr:rowOff>
    </xdr:from>
    <xdr:to>
      <xdr:col>13</xdr:col>
      <xdr:colOff>0</xdr:colOff>
      <xdr:row>2484</xdr:row>
      <xdr:rowOff>114300</xdr:rowOff>
    </xdr:to>
    <xdr:pic>
      <xdr:nvPicPr>
        <xdr:cNvPr id="2809" name="Imagen 2808" descr="Ver detalle">
          <a:hlinkClick xmlns:r="http://schemas.openxmlformats.org/officeDocument/2006/relationships" r:id="rId2750" tooltip="Ver detalle"/>
          <a:extLst>
            <a:ext uri="{FF2B5EF4-FFF2-40B4-BE49-F238E27FC236}">
              <a16:creationId xmlns:a16="http://schemas.microsoft.com/office/drawing/2014/main" id="{B05AD27E-CFE2-C718-7CCD-F4312F75B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4498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2486</xdr:row>
      <xdr:rowOff>0</xdr:rowOff>
    </xdr:from>
    <xdr:to>
      <xdr:col>13</xdr:col>
      <xdr:colOff>0</xdr:colOff>
      <xdr:row>2487</xdr:row>
      <xdr:rowOff>114300</xdr:rowOff>
    </xdr:to>
    <xdr:pic>
      <xdr:nvPicPr>
        <xdr:cNvPr id="2810" name="Imagen 2809" descr="Ver detalle">
          <a:hlinkClick xmlns:r="http://schemas.openxmlformats.org/officeDocument/2006/relationships" r:id="rId2751" tooltip="Ver detalle"/>
          <a:extLst>
            <a:ext uri="{FF2B5EF4-FFF2-40B4-BE49-F238E27FC236}">
              <a16:creationId xmlns:a16="http://schemas.microsoft.com/office/drawing/2014/main" id="{F6B92539-941C-229D-64D0-62A3B6F06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4742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2475</xdr:row>
      <xdr:rowOff>0</xdr:rowOff>
    </xdr:from>
    <xdr:to>
      <xdr:col>13</xdr:col>
      <xdr:colOff>0</xdr:colOff>
      <xdr:row>2476</xdr:row>
      <xdr:rowOff>114300</xdr:rowOff>
    </xdr:to>
    <xdr:pic>
      <xdr:nvPicPr>
        <xdr:cNvPr id="2811" name="Imagen 2810" descr="Ver detalle">
          <a:hlinkClick xmlns:r="http://schemas.openxmlformats.org/officeDocument/2006/relationships" r:id="rId2752" tooltip="Ver detalle"/>
          <a:extLst>
            <a:ext uri="{FF2B5EF4-FFF2-40B4-BE49-F238E27FC236}">
              <a16:creationId xmlns:a16="http://schemas.microsoft.com/office/drawing/2014/main" id="{9E8D8BBC-B94A-92AC-8C7A-7954604FD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4985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2480</xdr:row>
      <xdr:rowOff>0</xdr:rowOff>
    </xdr:from>
    <xdr:to>
      <xdr:col>13</xdr:col>
      <xdr:colOff>0</xdr:colOff>
      <xdr:row>2481</xdr:row>
      <xdr:rowOff>114300</xdr:rowOff>
    </xdr:to>
    <xdr:pic>
      <xdr:nvPicPr>
        <xdr:cNvPr id="2812" name="Imagen 2811" descr="Ver detalle">
          <a:hlinkClick xmlns:r="http://schemas.openxmlformats.org/officeDocument/2006/relationships" r:id="rId2753" tooltip="Ver detalle"/>
          <a:extLst>
            <a:ext uri="{FF2B5EF4-FFF2-40B4-BE49-F238E27FC236}">
              <a16:creationId xmlns:a16="http://schemas.microsoft.com/office/drawing/2014/main" id="{CFFB322D-AC51-9725-7DBB-1C8A23468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5229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2481</xdr:row>
      <xdr:rowOff>0</xdr:rowOff>
    </xdr:from>
    <xdr:to>
      <xdr:col>13</xdr:col>
      <xdr:colOff>0</xdr:colOff>
      <xdr:row>2482</xdr:row>
      <xdr:rowOff>114300</xdr:rowOff>
    </xdr:to>
    <xdr:pic>
      <xdr:nvPicPr>
        <xdr:cNvPr id="2813" name="Imagen 2812" descr="Ver detalle">
          <a:hlinkClick xmlns:r="http://schemas.openxmlformats.org/officeDocument/2006/relationships" r:id="rId2754" tooltip="Ver detalle"/>
          <a:extLst>
            <a:ext uri="{FF2B5EF4-FFF2-40B4-BE49-F238E27FC236}">
              <a16:creationId xmlns:a16="http://schemas.microsoft.com/office/drawing/2014/main" id="{AC0E33F9-AABC-0D59-1753-F1DA675F6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547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2476</xdr:row>
      <xdr:rowOff>0</xdr:rowOff>
    </xdr:from>
    <xdr:to>
      <xdr:col>13</xdr:col>
      <xdr:colOff>0</xdr:colOff>
      <xdr:row>2477</xdr:row>
      <xdr:rowOff>114300</xdr:rowOff>
    </xdr:to>
    <xdr:pic>
      <xdr:nvPicPr>
        <xdr:cNvPr id="2814" name="Imagen 2813" descr="Ver detalle">
          <a:hlinkClick xmlns:r="http://schemas.openxmlformats.org/officeDocument/2006/relationships" r:id="rId2755" tooltip="Ver detalle"/>
          <a:extLst>
            <a:ext uri="{FF2B5EF4-FFF2-40B4-BE49-F238E27FC236}">
              <a16:creationId xmlns:a16="http://schemas.microsoft.com/office/drawing/2014/main" id="{82CE47B0-0DFD-2DDE-6759-36D4CE57B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5717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2482</xdr:row>
      <xdr:rowOff>0</xdr:rowOff>
    </xdr:from>
    <xdr:to>
      <xdr:col>13</xdr:col>
      <xdr:colOff>0</xdr:colOff>
      <xdr:row>2483</xdr:row>
      <xdr:rowOff>114300</xdr:rowOff>
    </xdr:to>
    <xdr:pic>
      <xdr:nvPicPr>
        <xdr:cNvPr id="2815" name="Imagen 2814" descr="Ver detalle">
          <a:hlinkClick xmlns:r="http://schemas.openxmlformats.org/officeDocument/2006/relationships" r:id="rId2756" tooltip="Ver detalle"/>
          <a:extLst>
            <a:ext uri="{FF2B5EF4-FFF2-40B4-BE49-F238E27FC236}">
              <a16:creationId xmlns:a16="http://schemas.microsoft.com/office/drawing/2014/main" id="{CF361E89-4575-6E19-47FD-785F09357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5831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2484</xdr:row>
      <xdr:rowOff>0</xdr:rowOff>
    </xdr:from>
    <xdr:to>
      <xdr:col>13</xdr:col>
      <xdr:colOff>0</xdr:colOff>
      <xdr:row>2485</xdr:row>
      <xdr:rowOff>114300</xdr:rowOff>
    </xdr:to>
    <xdr:pic>
      <xdr:nvPicPr>
        <xdr:cNvPr id="2816" name="Imagen 2815" descr="Ver detalle">
          <a:hlinkClick xmlns:r="http://schemas.openxmlformats.org/officeDocument/2006/relationships" r:id="rId2757" tooltip="Ver detalle"/>
          <a:extLst>
            <a:ext uri="{FF2B5EF4-FFF2-40B4-BE49-F238E27FC236}">
              <a16:creationId xmlns:a16="http://schemas.microsoft.com/office/drawing/2014/main" id="{0C2ACF82-6BA3-1D5D-0EA4-670EC5433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6075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2485</xdr:row>
      <xdr:rowOff>0</xdr:rowOff>
    </xdr:from>
    <xdr:to>
      <xdr:col>13</xdr:col>
      <xdr:colOff>0</xdr:colOff>
      <xdr:row>2486</xdr:row>
      <xdr:rowOff>114300</xdr:rowOff>
    </xdr:to>
    <xdr:pic>
      <xdr:nvPicPr>
        <xdr:cNvPr id="2817" name="Imagen 2816" descr="Ver detalle">
          <a:hlinkClick xmlns:r="http://schemas.openxmlformats.org/officeDocument/2006/relationships" r:id="rId2758" tooltip="Ver detalle"/>
          <a:extLst>
            <a:ext uri="{FF2B5EF4-FFF2-40B4-BE49-F238E27FC236}">
              <a16:creationId xmlns:a16="http://schemas.microsoft.com/office/drawing/2014/main" id="{6ED7F31B-9E60-A3F6-4AE1-0002CABD3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6189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2477</xdr:row>
      <xdr:rowOff>0</xdr:rowOff>
    </xdr:from>
    <xdr:to>
      <xdr:col>13</xdr:col>
      <xdr:colOff>0</xdr:colOff>
      <xdr:row>2478</xdr:row>
      <xdr:rowOff>114300</xdr:rowOff>
    </xdr:to>
    <xdr:pic>
      <xdr:nvPicPr>
        <xdr:cNvPr id="2818" name="Imagen 2817" descr="Ver detalle">
          <a:hlinkClick xmlns:r="http://schemas.openxmlformats.org/officeDocument/2006/relationships" r:id="rId2759" tooltip="Ver detalle"/>
          <a:extLst>
            <a:ext uri="{FF2B5EF4-FFF2-40B4-BE49-F238E27FC236}">
              <a16:creationId xmlns:a16="http://schemas.microsoft.com/office/drawing/2014/main" id="{8E60E681-285D-FE2A-5C6A-C8A797FFA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6433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2487</xdr:row>
      <xdr:rowOff>0</xdr:rowOff>
    </xdr:from>
    <xdr:to>
      <xdr:col>13</xdr:col>
      <xdr:colOff>0</xdr:colOff>
      <xdr:row>2488</xdr:row>
      <xdr:rowOff>114300</xdr:rowOff>
    </xdr:to>
    <xdr:pic>
      <xdr:nvPicPr>
        <xdr:cNvPr id="2819" name="Imagen 2818" descr="Ver detalle">
          <a:hlinkClick xmlns:r="http://schemas.openxmlformats.org/officeDocument/2006/relationships" r:id="rId2760" tooltip="Ver detalle"/>
          <a:extLst>
            <a:ext uri="{FF2B5EF4-FFF2-40B4-BE49-F238E27FC236}">
              <a16:creationId xmlns:a16="http://schemas.microsoft.com/office/drawing/2014/main" id="{1C3F4139-289C-9117-3508-B31EADDD2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6677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2473</xdr:row>
      <xdr:rowOff>0</xdr:rowOff>
    </xdr:from>
    <xdr:to>
      <xdr:col>13</xdr:col>
      <xdr:colOff>0</xdr:colOff>
      <xdr:row>2474</xdr:row>
      <xdr:rowOff>114300</xdr:rowOff>
    </xdr:to>
    <xdr:pic>
      <xdr:nvPicPr>
        <xdr:cNvPr id="2820" name="Imagen 2819" descr="Ver detalle">
          <a:hlinkClick xmlns:r="http://schemas.openxmlformats.org/officeDocument/2006/relationships" r:id="rId2761" tooltip="Ver detalle"/>
          <a:extLst>
            <a:ext uri="{FF2B5EF4-FFF2-40B4-BE49-F238E27FC236}">
              <a16:creationId xmlns:a16="http://schemas.microsoft.com/office/drawing/2014/main" id="{91EE56EC-536D-3AB4-8BBC-6CCF9744B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6921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2478</xdr:row>
      <xdr:rowOff>0</xdr:rowOff>
    </xdr:from>
    <xdr:to>
      <xdr:col>13</xdr:col>
      <xdr:colOff>0</xdr:colOff>
      <xdr:row>2479</xdr:row>
      <xdr:rowOff>114300</xdr:rowOff>
    </xdr:to>
    <xdr:pic>
      <xdr:nvPicPr>
        <xdr:cNvPr id="2821" name="Imagen 2820" descr="Ver detalle">
          <a:hlinkClick xmlns:r="http://schemas.openxmlformats.org/officeDocument/2006/relationships" r:id="rId2762" tooltip="Ver detalle"/>
          <a:extLst>
            <a:ext uri="{FF2B5EF4-FFF2-40B4-BE49-F238E27FC236}">
              <a16:creationId xmlns:a16="http://schemas.microsoft.com/office/drawing/2014/main" id="{2DE955E3-5E5E-E63A-235F-EAFE9A153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7035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2474</xdr:row>
      <xdr:rowOff>0</xdr:rowOff>
    </xdr:from>
    <xdr:to>
      <xdr:col>13</xdr:col>
      <xdr:colOff>0</xdr:colOff>
      <xdr:row>2475</xdr:row>
      <xdr:rowOff>114300</xdr:rowOff>
    </xdr:to>
    <xdr:pic>
      <xdr:nvPicPr>
        <xdr:cNvPr id="2822" name="Imagen 2821" descr="Ver detalle">
          <a:hlinkClick xmlns:r="http://schemas.openxmlformats.org/officeDocument/2006/relationships" r:id="rId2763" tooltip="Ver detalle"/>
          <a:extLst>
            <a:ext uri="{FF2B5EF4-FFF2-40B4-BE49-F238E27FC236}">
              <a16:creationId xmlns:a16="http://schemas.microsoft.com/office/drawing/2014/main" id="{4DD4EF07-928C-50CF-4E18-5BD675B24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7150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2479</xdr:row>
      <xdr:rowOff>0</xdr:rowOff>
    </xdr:from>
    <xdr:to>
      <xdr:col>13</xdr:col>
      <xdr:colOff>0</xdr:colOff>
      <xdr:row>2480</xdr:row>
      <xdr:rowOff>114300</xdr:rowOff>
    </xdr:to>
    <xdr:pic>
      <xdr:nvPicPr>
        <xdr:cNvPr id="2823" name="Imagen 2822" descr="Ver detalle">
          <a:hlinkClick xmlns:r="http://schemas.openxmlformats.org/officeDocument/2006/relationships" r:id="rId2764" tooltip="Ver detalle"/>
          <a:extLst>
            <a:ext uri="{FF2B5EF4-FFF2-40B4-BE49-F238E27FC236}">
              <a16:creationId xmlns:a16="http://schemas.microsoft.com/office/drawing/2014/main" id="{FA367CE5-D78F-0229-90D6-212B0ED7A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755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2472</xdr:row>
      <xdr:rowOff>0</xdr:rowOff>
    </xdr:from>
    <xdr:to>
      <xdr:col>13</xdr:col>
      <xdr:colOff>0</xdr:colOff>
      <xdr:row>2473</xdr:row>
      <xdr:rowOff>114300</xdr:rowOff>
    </xdr:to>
    <xdr:pic>
      <xdr:nvPicPr>
        <xdr:cNvPr id="2824" name="Imagen 2823" descr="Ver detalle">
          <a:hlinkClick xmlns:r="http://schemas.openxmlformats.org/officeDocument/2006/relationships" r:id="rId2765" tooltip="Ver detalle"/>
          <a:extLst>
            <a:ext uri="{FF2B5EF4-FFF2-40B4-BE49-F238E27FC236}">
              <a16:creationId xmlns:a16="http://schemas.microsoft.com/office/drawing/2014/main" id="{4E9CDF4A-075E-766D-5FE4-273FAEED4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767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2517</xdr:row>
      <xdr:rowOff>0</xdr:rowOff>
    </xdr:from>
    <xdr:to>
      <xdr:col>13</xdr:col>
      <xdr:colOff>0</xdr:colOff>
      <xdr:row>2518</xdr:row>
      <xdr:rowOff>114300</xdr:rowOff>
    </xdr:to>
    <xdr:pic>
      <xdr:nvPicPr>
        <xdr:cNvPr id="2825" name="Imagen 2824" descr="Ver detalle">
          <a:hlinkClick xmlns:r="http://schemas.openxmlformats.org/officeDocument/2006/relationships" r:id="rId2766" tooltip="Ver detalle"/>
          <a:extLst>
            <a:ext uri="{FF2B5EF4-FFF2-40B4-BE49-F238E27FC236}">
              <a16:creationId xmlns:a16="http://schemas.microsoft.com/office/drawing/2014/main" id="{5D1F70B9-F21C-D018-8BAD-623AA880C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778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2518</xdr:row>
      <xdr:rowOff>0</xdr:rowOff>
    </xdr:from>
    <xdr:to>
      <xdr:col>13</xdr:col>
      <xdr:colOff>0</xdr:colOff>
      <xdr:row>2519</xdr:row>
      <xdr:rowOff>114300</xdr:rowOff>
    </xdr:to>
    <xdr:pic>
      <xdr:nvPicPr>
        <xdr:cNvPr id="2826" name="Imagen 2825" descr="Ver detalle">
          <a:hlinkClick xmlns:r="http://schemas.openxmlformats.org/officeDocument/2006/relationships" r:id="rId2767" tooltip="Ver detalle"/>
          <a:extLst>
            <a:ext uri="{FF2B5EF4-FFF2-40B4-BE49-F238E27FC236}">
              <a16:creationId xmlns:a16="http://schemas.microsoft.com/office/drawing/2014/main" id="{C9099ADD-B8D7-8C30-24E6-4F68998E0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8029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2563</xdr:row>
      <xdr:rowOff>0</xdr:rowOff>
    </xdr:from>
    <xdr:to>
      <xdr:col>13</xdr:col>
      <xdr:colOff>0</xdr:colOff>
      <xdr:row>2564</xdr:row>
      <xdr:rowOff>114300</xdr:rowOff>
    </xdr:to>
    <xdr:pic>
      <xdr:nvPicPr>
        <xdr:cNvPr id="2827" name="Imagen 2826" descr="Ver detalle">
          <a:hlinkClick xmlns:r="http://schemas.openxmlformats.org/officeDocument/2006/relationships" r:id="rId2768" tooltip="Ver detalle"/>
          <a:extLst>
            <a:ext uri="{FF2B5EF4-FFF2-40B4-BE49-F238E27FC236}">
              <a16:creationId xmlns:a16="http://schemas.microsoft.com/office/drawing/2014/main" id="{214F4000-E8E4-D759-0376-236806D02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8549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2567</xdr:row>
      <xdr:rowOff>0</xdr:rowOff>
    </xdr:from>
    <xdr:to>
      <xdr:col>13</xdr:col>
      <xdr:colOff>0</xdr:colOff>
      <xdr:row>2568</xdr:row>
      <xdr:rowOff>114300</xdr:rowOff>
    </xdr:to>
    <xdr:pic>
      <xdr:nvPicPr>
        <xdr:cNvPr id="2828" name="Imagen 2827" descr="Ver detalle">
          <a:hlinkClick xmlns:r="http://schemas.openxmlformats.org/officeDocument/2006/relationships" r:id="rId2769" tooltip="Ver detalle"/>
          <a:extLst>
            <a:ext uri="{FF2B5EF4-FFF2-40B4-BE49-F238E27FC236}">
              <a16:creationId xmlns:a16="http://schemas.microsoft.com/office/drawing/2014/main" id="{141F1778-39DF-F69D-4859-EF47C34BB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883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2564</xdr:row>
      <xdr:rowOff>0</xdr:rowOff>
    </xdr:from>
    <xdr:to>
      <xdr:col>13</xdr:col>
      <xdr:colOff>0</xdr:colOff>
      <xdr:row>2565</xdr:row>
      <xdr:rowOff>114300</xdr:rowOff>
    </xdr:to>
    <xdr:pic>
      <xdr:nvPicPr>
        <xdr:cNvPr id="2829" name="Imagen 2828" descr="Ver detalle">
          <a:hlinkClick xmlns:r="http://schemas.openxmlformats.org/officeDocument/2006/relationships" r:id="rId2770" tooltip="Ver detalle"/>
          <a:extLst>
            <a:ext uri="{FF2B5EF4-FFF2-40B4-BE49-F238E27FC236}">
              <a16:creationId xmlns:a16="http://schemas.microsoft.com/office/drawing/2014/main" id="{88AFE4B0-8928-452C-B32B-D6B89CE61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9123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2565</xdr:row>
      <xdr:rowOff>0</xdr:rowOff>
    </xdr:from>
    <xdr:to>
      <xdr:col>13</xdr:col>
      <xdr:colOff>0</xdr:colOff>
      <xdr:row>2566</xdr:row>
      <xdr:rowOff>114300</xdr:rowOff>
    </xdr:to>
    <xdr:pic>
      <xdr:nvPicPr>
        <xdr:cNvPr id="2830" name="Imagen 2829" descr="Ver detalle">
          <a:hlinkClick xmlns:r="http://schemas.openxmlformats.org/officeDocument/2006/relationships" r:id="rId2771" tooltip="Ver detalle"/>
          <a:extLst>
            <a:ext uri="{FF2B5EF4-FFF2-40B4-BE49-F238E27FC236}">
              <a16:creationId xmlns:a16="http://schemas.microsoft.com/office/drawing/2014/main" id="{F19F3D4A-BAD5-4085-6B9D-72084671F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9409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2568</xdr:row>
      <xdr:rowOff>0</xdr:rowOff>
    </xdr:from>
    <xdr:to>
      <xdr:col>13</xdr:col>
      <xdr:colOff>0</xdr:colOff>
      <xdr:row>2569</xdr:row>
      <xdr:rowOff>110490</xdr:rowOff>
    </xdr:to>
    <xdr:pic>
      <xdr:nvPicPr>
        <xdr:cNvPr id="2831" name="Imagen 2830" descr="Ver detalle">
          <a:hlinkClick xmlns:r="http://schemas.openxmlformats.org/officeDocument/2006/relationships" r:id="rId2772" tooltip="Ver detalle"/>
          <a:extLst>
            <a:ext uri="{FF2B5EF4-FFF2-40B4-BE49-F238E27FC236}">
              <a16:creationId xmlns:a16="http://schemas.microsoft.com/office/drawing/2014/main" id="{A1719EFC-0FFB-C423-DD2A-25848EE79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9696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2561</xdr:row>
      <xdr:rowOff>0</xdr:rowOff>
    </xdr:from>
    <xdr:to>
      <xdr:col>13</xdr:col>
      <xdr:colOff>0</xdr:colOff>
      <xdr:row>2562</xdr:row>
      <xdr:rowOff>114300</xdr:rowOff>
    </xdr:to>
    <xdr:pic>
      <xdr:nvPicPr>
        <xdr:cNvPr id="2832" name="Imagen 2831" descr="Ver detalle">
          <a:hlinkClick xmlns:r="http://schemas.openxmlformats.org/officeDocument/2006/relationships" r:id="rId2773" tooltip="Ver detalle"/>
          <a:extLst>
            <a:ext uri="{FF2B5EF4-FFF2-40B4-BE49-F238E27FC236}">
              <a16:creationId xmlns:a16="http://schemas.microsoft.com/office/drawing/2014/main" id="{33C44DA0-E6E3-26E4-7B37-9506B5D0D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9983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2558</xdr:row>
      <xdr:rowOff>0</xdr:rowOff>
    </xdr:from>
    <xdr:to>
      <xdr:col>13</xdr:col>
      <xdr:colOff>0</xdr:colOff>
      <xdr:row>2559</xdr:row>
      <xdr:rowOff>114300</xdr:rowOff>
    </xdr:to>
    <xdr:pic>
      <xdr:nvPicPr>
        <xdr:cNvPr id="2833" name="Imagen 2832" descr="Ver detalle">
          <a:hlinkClick xmlns:r="http://schemas.openxmlformats.org/officeDocument/2006/relationships" r:id="rId2774" tooltip="Ver detalle"/>
          <a:extLst>
            <a:ext uri="{FF2B5EF4-FFF2-40B4-BE49-F238E27FC236}">
              <a16:creationId xmlns:a16="http://schemas.microsoft.com/office/drawing/2014/main" id="{9224A275-D28D-8D16-8547-29096A4BA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0270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2562</xdr:row>
      <xdr:rowOff>0</xdr:rowOff>
    </xdr:from>
    <xdr:to>
      <xdr:col>13</xdr:col>
      <xdr:colOff>0</xdr:colOff>
      <xdr:row>2563</xdr:row>
      <xdr:rowOff>114300</xdr:rowOff>
    </xdr:to>
    <xdr:pic>
      <xdr:nvPicPr>
        <xdr:cNvPr id="2834" name="Imagen 2833" descr="Ver detalle">
          <a:hlinkClick xmlns:r="http://schemas.openxmlformats.org/officeDocument/2006/relationships" r:id="rId2775" tooltip="Ver detalle"/>
          <a:extLst>
            <a:ext uri="{FF2B5EF4-FFF2-40B4-BE49-F238E27FC236}">
              <a16:creationId xmlns:a16="http://schemas.microsoft.com/office/drawing/2014/main" id="{FAB36C30-9E89-E210-DB16-56B3BE6DC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0556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2556</xdr:row>
      <xdr:rowOff>0</xdr:rowOff>
    </xdr:from>
    <xdr:to>
      <xdr:col>13</xdr:col>
      <xdr:colOff>0</xdr:colOff>
      <xdr:row>2557</xdr:row>
      <xdr:rowOff>114300</xdr:rowOff>
    </xdr:to>
    <xdr:pic>
      <xdr:nvPicPr>
        <xdr:cNvPr id="2835" name="Imagen 2834" descr="Ver detalle">
          <a:hlinkClick xmlns:r="http://schemas.openxmlformats.org/officeDocument/2006/relationships" r:id="rId2776" tooltip="Ver detalle"/>
          <a:extLst>
            <a:ext uri="{FF2B5EF4-FFF2-40B4-BE49-F238E27FC236}">
              <a16:creationId xmlns:a16="http://schemas.microsoft.com/office/drawing/2014/main" id="{A06381EF-B981-3584-63A1-E343625B42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0691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2559</xdr:row>
      <xdr:rowOff>0</xdr:rowOff>
    </xdr:from>
    <xdr:to>
      <xdr:col>13</xdr:col>
      <xdr:colOff>0</xdr:colOff>
      <xdr:row>2560</xdr:row>
      <xdr:rowOff>114300</xdr:rowOff>
    </xdr:to>
    <xdr:pic>
      <xdr:nvPicPr>
        <xdr:cNvPr id="2836" name="Imagen 2835" descr="Ver detalle">
          <a:hlinkClick xmlns:r="http://schemas.openxmlformats.org/officeDocument/2006/relationships" r:id="rId2777" tooltip="Ver detalle"/>
          <a:extLst>
            <a:ext uri="{FF2B5EF4-FFF2-40B4-BE49-F238E27FC236}">
              <a16:creationId xmlns:a16="http://schemas.microsoft.com/office/drawing/2014/main" id="{6731F0DA-82B3-43D9-66BB-B472498E93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0882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2553</xdr:row>
      <xdr:rowOff>0</xdr:rowOff>
    </xdr:from>
    <xdr:to>
      <xdr:col>13</xdr:col>
      <xdr:colOff>0</xdr:colOff>
      <xdr:row>2554</xdr:row>
      <xdr:rowOff>114300</xdr:rowOff>
    </xdr:to>
    <xdr:pic>
      <xdr:nvPicPr>
        <xdr:cNvPr id="2837" name="Imagen 2836" descr="Ver detalle">
          <a:hlinkClick xmlns:r="http://schemas.openxmlformats.org/officeDocument/2006/relationships" r:id="rId2778" tooltip="Ver detalle"/>
          <a:extLst>
            <a:ext uri="{FF2B5EF4-FFF2-40B4-BE49-F238E27FC236}">
              <a16:creationId xmlns:a16="http://schemas.microsoft.com/office/drawing/2014/main" id="{5C99DBD8-46DB-B4BE-5CEC-996CE344F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1169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2554</xdr:row>
      <xdr:rowOff>0</xdr:rowOff>
    </xdr:from>
    <xdr:to>
      <xdr:col>13</xdr:col>
      <xdr:colOff>0</xdr:colOff>
      <xdr:row>2555</xdr:row>
      <xdr:rowOff>114300</xdr:rowOff>
    </xdr:to>
    <xdr:pic>
      <xdr:nvPicPr>
        <xdr:cNvPr id="2838" name="Imagen 2837" descr="Ver detalle">
          <a:hlinkClick xmlns:r="http://schemas.openxmlformats.org/officeDocument/2006/relationships" r:id="rId2779" tooltip="Ver detalle"/>
          <a:extLst>
            <a:ext uri="{FF2B5EF4-FFF2-40B4-BE49-F238E27FC236}">
              <a16:creationId xmlns:a16="http://schemas.microsoft.com/office/drawing/2014/main" id="{5AA45CA4-3A67-6BCE-9C71-721D5D378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1360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2566</xdr:row>
      <xdr:rowOff>0</xdr:rowOff>
    </xdr:from>
    <xdr:to>
      <xdr:col>13</xdr:col>
      <xdr:colOff>0</xdr:colOff>
      <xdr:row>2567</xdr:row>
      <xdr:rowOff>114300</xdr:rowOff>
    </xdr:to>
    <xdr:pic>
      <xdr:nvPicPr>
        <xdr:cNvPr id="2839" name="Imagen 2838" descr="Ver detalle">
          <a:hlinkClick xmlns:r="http://schemas.openxmlformats.org/officeDocument/2006/relationships" r:id="rId2780" tooltip="Ver detalle"/>
          <a:extLst>
            <a:ext uri="{FF2B5EF4-FFF2-40B4-BE49-F238E27FC236}">
              <a16:creationId xmlns:a16="http://schemas.microsoft.com/office/drawing/2014/main" id="{8B608027-F2B4-2F82-CD3F-F1E41DA4E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1552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2552</xdr:row>
      <xdr:rowOff>0</xdr:rowOff>
    </xdr:from>
    <xdr:to>
      <xdr:col>13</xdr:col>
      <xdr:colOff>0</xdr:colOff>
      <xdr:row>2553</xdr:row>
      <xdr:rowOff>114300</xdr:rowOff>
    </xdr:to>
    <xdr:pic>
      <xdr:nvPicPr>
        <xdr:cNvPr id="2840" name="Imagen 2839" descr="Ver detalle">
          <a:hlinkClick xmlns:r="http://schemas.openxmlformats.org/officeDocument/2006/relationships" r:id="rId2781" tooltip="Ver detalle"/>
          <a:extLst>
            <a:ext uri="{FF2B5EF4-FFF2-40B4-BE49-F238E27FC236}">
              <a16:creationId xmlns:a16="http://schemas.microsoft.com/office/drawing/2014/main" id="{B8232521-7611-D295-BE9F-0D63929E9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1838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2555</xdr:row>
      <xdr:rowOff>0</xdr:rowOff>
    </xdr:from>
    <xdr:to>
      <xdr:col>13</xdr:col>
      <xdr:colOff>0</xdr:colOff>
      <xdr:row>2556</xdr:row>
      <xdr:rowOff>114300</xdr:rowOff>
    </xdr:to>
    <xdr:pic>
      <xdr:nvPicPr>
        <xdr:cNvPr id="2841" name="Imagen 2840" descr="Ver detalle">
          <a:hlinkClick xmlns:r="http://schemas.openxmlformats.org/officeDocument/2006/relationships" r:id="rId2782" tooltip="Ver detalle"/>
          <a:extLst>
            <a:ext uri="{FF2B5EF4-FFF2-40B4-BE49-F238E27FC236}">
              <a16:creationId xmlns:a16="http://schemas.microsoft.com/office/drawing/2014/main" id="{60DFEF1A-36E7-E210-4F49-25DC09529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2125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2547</xdr:row>
      <xdr:rowOff>0</xdr:rowOff>
    </xdr:from>
    <xdr:to>
      <xdr:col>13</xdr:col>
      <xdr:colOff>0</xdr:colOff>
      <xdr:row>2548</xdr:row>
      <xdr:rowOff>114300</xdr:rowOff>
    </xdr:to>
    <xdr:pic>
      <xdr:nvPicPr>
        <xdr:cNvPr id="2842" name="Imagen 2841" descr="Ver detalle">
          <a:hlinkClick xmlns:r="http://schemas.openxmlformats.org/officeDocument/2006/relationships" r:id="rId2783" tooltip="Ver detalle"/>
          <a:extLst>
            <a:ext uri="{FF2B5EF4-FFF2-40B4-BE49-F238E27FC236}">
              <a16:creationId xmlns:a16="http://schemas.microsoft.com/office/drawing/2014/main" id="{564DBAFF-0592-0C0A-8E24-8787133D8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2412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2548</xdr:row>
      <xdr:rowOff>0</xdr:rowOff>
    </xdr:from>
    <xdr:to>
      <xdr:col>13</xdr:col>
      <xdr:colOff>0</xdr:colOff>
      <xdr:row>2549</xdr:row>
      <xdr:rowOff>114300</xdr:rowOff>
    </xdr:to>
    <xdr:pic>
      <xdr:nvPicPr>
        <xdr:cNvPr id="2843" name="Imagen 2842" descr="Ver detalle">
          <a:hlinkClick xmlns:r="http://schemas.openxmlformats.org/officeDocument/2006/relationships" r:id="rId2784" tooltip="Ver detalle"/>
          <a:extLst>
            <a:ext uri="{FF2B5EF4-FFF2-40B4-BE49-F238E27FC236}">
              <a16:creationId xmlns:a16="http://schemas.microsoft.com/office/drawing/2014/main" id="{F2FF60A4-D3B5-CA00-8F72-9CDDEB6F1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2698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2560</xdr:row>
      <xdr:rowOff>0</xdr:rowOff>
    </xdr:from>
    <xdr:to>
      <xdr:col>13</xdr:col>
      <xdr:colOff>0</xdr:colOff>
      <xdr:row>2561</xdr:row>
      <xdr:rowOff>114300</xdr:rowOff>
    </xdr:to>
    <xdr:pic>
      <xdr:nvPicPr>
        <xdr:cNvPr id="2844" name="Imagen 2843" descr="Ver detalle">
          <a:hlinkClick xmlns:r="http://schemas.openxmlformats.org/officeDocument/2006/relationships" r:id="rId2785" tooltip="Ver detalle"/>
          <a:extLst>
            <a:ext uri="{FF2B5EF4-FFF2-40B4-BE49-F238E27FC236}">
              <a16:creationId xmlns:a16="http://schemas.microsoft.com/office/drawing/2014/main" id="{E3B8B29B-F384-65E3-CB22-FA1964D5E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2985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2557</xdr:row>
      <xdr:rowOff>0</xdr:rowOff>
    </xdr:from>
    <xdr:to>
      <xdr:col>13</xdr:col>
      <xdr:colOff>0</xdr:colOff>
      <xdr:row>2558</xdr:row>
      <xdr:rowOff>114300</xdr:rowOff>
    </xdr:to>
    <xdr:pic>
      <xdr:nvPicPr>
        <xdr:cNvPr id="2845" name="Imagen 2844" descr="Ver detalle">
          <a:hlinkClick xmlns:r="http://schemas.openxmlformats.org/officeDocument/2006/relationships" r:id="rId2786" tooltip="Ver detalle"/>
          <a:extLst>
            <a:ext uri="{FF2B5EF4-FFF2-40B4-BE49-F238E27FC236}">
              <a16:creationId xmlns:a16="http://schemas.microsoft.com/office/drawing/2014/main" id="{7EAE80B1-E59C-42B3-48AE-76FC2D194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3272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2549</xdr:row>
      <xdr:rowOff>0</xdr:rowOff>
    </xdr:from>
    <xdr:to>
      <xdr:col>13</xdr:col>
      <xdr:colOff>0</xdr:colOff>
      <xdr:row>2550</xdr:row>
      <xdr:rowOff>114300</xdr:rowOff>
    </xdr:to>
    <xdr:pic>
      <xdr:nvPicPr>
        <xdr:cNvPr id="2846" name="Imagen 2845" descr="Ver detalle">
          <a:hlinkClick xmlns:r="http://schemas.openxmlformats.org/officeDocument/2006/relationships" r:id="rId2787" tooltip="Ver detalle"/>
          <a:extLst>
            <a:ext uri="{FF2B5EF4-FFF2-40B4-BE49-F238E27FC236}">
              <a16:creationId xmlns:a16="http://schemas.microsoft.com/office/drawing/2014/main" id="{C689EEF0-44C4-4288-E21A-CC12B46A9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3406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2542</xdr:row>
      <xdr:rowOff>0</xdr:rowOff>
    </xdr:from>
    <xdr:to>
      <xdr:col>13</xdr:col>
      <xdr:colOff>0</xdr:colOff>
      <xdr:row>2543</xdr:row>
      <xdr:rowOff>114300</xdr:rowOff>
    </xdr:to>
    <xdr:pic>
      <xdr:nvPicPr>
        <xdr:cNvPr id="2847" name="Imagen 2846" descr="Ver detalle">
          <a:hlinkClick xmlns:r="http://schemas.openxmlformats.org/officeDocument/2006/relationships" r:id="rId2788" tooltip="Ver detalle"/>
          <a:extLst>
            <a:ext uri="{FF2B5EF4-FFF2-40B4-BE49-F238E27FC236}">
              <a16:creationId xmlns:a16="http://schemas.microsoft.com/office/drawing/2014/main" id="{0B526884-73AB-CB1F-AF6D-0BAE08686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3540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2543</xdr:row>
      <xdr:rowOff>0</xdr:rowOff>
    </xdr:from>
    <xdr:to>
      <xdr:col>13</xdr:col>
      <xdr:colOff>0</xdr:colOff>
      <xdr:row>2544</xdr:row>
      <xdr:rowOff>114300</xdr:rowOff>
    </xdr:to>
    <xdr:pic>
      <xdr:nvPicPr>
        <xdr:cNvPr id="2848" name="Imagen 2847" descr="Ver detalle">
          <a:hlinkClick xmlns:r="http://schemas.openxmlformats.org/officeDocument/2006/relationships" r:id="rId2789" tooltip="Ver detalle"/>
          <a:extLst>
            <a:ext uri="{FF2B5EF4-FFF2-40B4-BE49-F238E27FC236}">
              <a16:creationId xmlns:a16="http://schemas.microsoft.com/office/drawing/2014/main" id="{9170C6A8-ED2D-4340-8DBF-DD03DDB5F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3827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2544</xdr:row>
      <xdr:rowOff>0</xdr:rowOff>
    </xdr:from>
    <xdr:to>
      <xdr:col>13</xdr:col>
      <xdr:colOff>0</xdr:colOff>
      <xdr:row>2545</xdr:row>
      <xdr:rowOff>114300</xdr:rowOff>
    </xdr:to>
    <xdr:pic>
      <xdr:nvPicPr>
        <xdr:cNvPr id="2849" name="Imagen 2848" descr="Ver detalle">
          <a:hlinkClick xmlns:r="http://schemas.openxmlformats.org/officeDocument/2006/relationships" r:id="rId2790" tooltip="Ver detalle"/>
          <a:extLst>
            <a:ext uri="{FF2B5EF4-FFF2-40B4-BE49-F238E27FC236}">
              <a16:creationId xmlns:a16="http://schemas.microsoft.com/office/drawing/2014/main" id="{FFEE8392-9BB5-007A-DE49-D3A126EA2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4114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2545</xdr:row>
      <xdr:rowOff>0</xdr:rowOff>
    </xdr:from>
    <xdr:to>
      <xdr:col>13</xdr:col>
      <xdr:colOff>0</xdr:colOff>
      <xdr:row>2546</xdr:row>
      <xdr:rowOff>114300</xdr:rowOff>
    </xdr:to>
    <xdr:pic>
      <xdr:nvPicPr>
        <xdr:cNvPr id="2850" name="Imagen 2849" descr="Ver detalle">
          <a:hlinkClick xmlns:r="http://schemas.openxmlformats.org/officeDocument/2006/relationships" r:id="rId2791" tooltip="Ver detalle"/>
          <a:extLst>
            <a:ext uri="{FF2B5EF4-FFF2-40B4-BE49-F238E27FC236}">
              <a16:creationId xmlns:a16="http://schemas.microsoft.com/office/drawing/2014/main" id="{5F56E525-9D5F-A7A0-03C2-0488CA73B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4401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2541</xdr:row>
      <xdr:rowOff>0</xdr:rowOff>
    </xdr:from>
    <xdr:to>
      <xdr:col>13</xdr:col>
      <xdr:colOff>0</xdr:colOff>
      <xdr:row>2542</xdr:row>
      <xdr:rowOff>114300</xdr:rowOff>
    </xdr:to>
    <xdr:pic>
      <xdr:nvPicPr>
        <xdr:cNvPr id="2851" name="Imagen 2850" descr="Ver detalle">
          <a:hlinkClick xmlns:r="http://schemas.openxmlformats.org/officeDocument/2006/relationships" r:id="rId2792" tooltip="Ver detalle"/>
          <a:extLst>
            <a:ext uri="{FF2B5EF4-FFF2-40B4-BE49-F238E27FC236}">
              <a16:creationId xmlns:a16="http://schemas.microsoft.com/office/drawing/2014/main" id="{37C55A29-6D6F-6C78-5BF4-564FAC1F3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4779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2538</xdr:row>
      <xdr:rowOff>0</xdr:rowOff>
    </xdr:from>
    <xdr:to>
      <xdr:col>13</xdr:col>
      <xdr:colOff>0</xdr:colOff>
      <xdr:row>2539</xdr:row>
      <xdr:rowOff>114300</xdr:rowOff>
    </xdr:to>
    <xdr:pic>
      <xdr:nvPicPr>
        <xdr:cNvPr id="2852" name="Imagen 2851" descr="Ver detalle">
          <a:hlinkClick xmlns:r="http://schemas.openxmlformats.org/officeDocument/2006/relationships" r:id="rId2793" tooltip="Ver detalle"/>
          <a:extLst>
            <a:ext uri="{FF2B5EF4-FFF2-40B4-BE49-F238E27FC236}">
              <a16:creationId xmlns:a16="http://schemas.microsoft.com/office/drawing/2014/main" id="{E7AFF246-F350-DA8C-2725-FE414D105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5023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2539</xdr:row>
      <xdr:rowOff>0</xdr:rowOff>
    </xdr:from>
    <xdr:to>
      <xdr:col>13</xdr:col>
      <xdr:colOff>0</xdr:colOff>
      <xdr:row>2540</xdr:row>
      <xdr:rowOff>114300</xdr:rowOff>
    </xdr:to>
    <xdr:pic>
      <xdr:nvPicPr>
        <xdr:cNvPr id="2853" name="Imagen 2852" descr="Ver detalle">
          <a:hlinkClick xmlns:r="http://schemas.openxmlformats.org/officeDocument/2006/relationships" r:id="rId2794" tooltip="Ver detalle"/>
          <a:extLst>
            <a:ext uri="{FF2B5EF4-FFF2-40B4-BE49-F238E27FC236}">
              <a16:creationId xmlns:a16="http://schemas.microsoft.com/office/drawing/2014/main" id="{7C068988-C481-16CD-6864-0412F755F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5266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2551</xdr:row>
      <xdr:rowOff>0</xdr:rowOff>
    </xdr:from>
    <xdr:to>
      <xdr:col>13</xdr:col>
      <xdr:colOff>0</xdr:colOff>
      <xdr:row>2552</xdr:row>
      <xdr:rowOff>114300</xdr:rowOff>
    </xdr:to>
    <xdr:pic>
      <xdr:nvPicPr>
        <xdr:cNvPr id="2854" name="Imagen 2853" descr="Ver detalle">
          <a:hlinkClick xmlns:r="http://schemas.openxmlformats.org/officeDocument/2006/relationships" r:id="rId2795" tooltip="Ver detalle"/>
          <a:extLst>
            <a:ext uri="{FF2B5EF4-FFF2-40B4-BE49-F238E27FC236}">
              <a16:creationId xmlns:a16="http://schemas.microsoft.com/office/drawing/2014/main" id="{4C0C0B6D-1D6A-3798-C555-522ECBE2A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5510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2535</xdr:row>
      <xdr:rowOff>0</xdr:rowOff>
    </xdr:from>
    <xdr:to>
      <xdr:col>13</xdr:col>
      <xdr:colOff>0</xdr:colOff>
      <xdr:row>2536</xdr:row>
      <xdr:rowOff>114300</xdr:rowOff>
    </xdr:to>
    <xdr:pic>
      <xdr:nvPicPr>
        <xdr:cNvPr id="2855" name="Imagen 2854" descr="Ver detalle">
          <a:hlinkClick xmlns:r="http://schemas.openxmlformats.org/officeDocument/2006/relationships" r:id="rId2796" tooltip="Ver detalle"/>
          <a:extLst>
            <a:ext uri="{FF2B5EF4-FFF2-40B4-BE49-F238E27FC236}">
              <a16:creationId xmlns:a16="http://schemas.microsoft.com/office/drawing/2014/main" id="{2ED5EA68-AC58-59EC-C31F-8B7C895B1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5673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2533</xdr:row>
      <xdr:rowOff>0</xdr:rowOff>
    </xdr:from>
    <xdr:to>
      <xdr:col>13</xdr:col>
      <xdr:colOff>0</xdr:colOff>
      <xdr:row>2534</xdr:row>
      <xdr:rowOff>114300</xdr:rowOff>
    </xdr:to>
    <xdr:pic>
      <xdr:nvPicPr>
        <xdr:cNvPr id="2856" name="Imagen 2855" descr="Ver detalle">
          <a:hlinkClick xmlns:r="http://schemas.openxmlformats.org/officeDocument/2006/relationships" r:id="rId2797" tooltip="Ver detalle"/>
          <a:extLst>
            <a:ext uri="{FF2B5EF4-FFF2-40B4-BE49-F238E27FC236}">
              <a16:creationId xmlns:a16="http://schemas.microsoft.com/office/drawing/2014/main" id="{CA275450-0130-89A2-E0C6-B2682DC4F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5917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2537</xdr:row>
      <xdr:rowOff>0</xdr:rowOff>
    </xdr:from>
    <xdr:to>
      <xdr:col>13</xdr:col>
      <xdr:colOff>0</xdr:colOff>
      <xdr:row>2538</xdr:row>
      <xdr:rowOff>114300</xdr:rowOff>
    </xdr:to>
    <xdr:pic>
      <xdr:nvPicPr>
        <xdr:cNvPr id="2857" name="Imagen 2856" descr="Ver detalle">
          <a:hlinkClick xmlns:r="http://schemas.openxmlformats.org/officeDocument/2006/relationships" r:id="rId2798" tooltip="Ver detalle"/>
          <a:extLst>
            <a:ext uri="{FF2B5EF4-FFF2-40B4-BE49-F238E27FC236}">
              <a16:creationId xmlns:a16="http://schemas.microsoft.com/office/drawing/2014/main" id="{9818C00C-F727-B45A-AE1C-576FD602C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6161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2534</xdr:row>
      <xdr:rowOff>0</xdr:rowOff>
    </xdr:from>
    <xdr:to>
      <xdr:col>13</xdr:col>
      <xdr:colOff>0</xdr:colOff>
      <xdr:row>2535</xdr:row>
      <xdr:rowOff>114300</xdr:rowOff>
    </xdr:to>
    <xdr:pic>
      <xdr:nvPicPr>
        <xdr:cNvPr id="2858" name="Imagen 2857" descr="Ver detalle">
          <a:hlinkClick xmlns:r="http://schemas.openxmlformats.org/officeDocument/2006/relationships" r:id="rId2799" tooltip="Ver detalle"/>
          <a:extLst>
            <a:ext uri="{FF2B5EF4-FFF2-40B4-BE49-F238E27FC236}">
              <a16:creationId xmlns:a16="http://schemas.microsoft.com/office/drawing/2014/main" id="{009D06D7-E4F9-488F-8D59-48993F929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6291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2536</xdr:row>
      <xdr:rowOff>0</xdr:rowOff>
    </xdr:from>
    <xdr:to>
      <xdr:col>13</xdr:col>
      <xdr:colOff>0</xdr:colOff>
      <xdr:row>2537</xdr:row>
      <xdr:rowOff>114300</xdr:rowOff>
    </xdr:to>
    <xdr:pic>
      <xdr:nvPicPr>
        <xdr:cNvPr id="2859" name="Imagen 2858" descr="Ver detalle">
          <a:hlinkClick xmlns:r="http://schemas.openxmlformats.org/officeDocument/2006/relationships" r:id="rId2800" tooltip="Ver detalle"/>
          <a:extLst>
            <a:ext uri="{FF2B5EF4-FFF2-40B4-BE49-F238E27FC236}">
              <a16:creationId xmlns:a16="http://schemas.microsoft.com/office/drawing/2014/main" id="{CB403A5D-83CC-B909-C20B-DD634FBED5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6535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2546</xdr:row>
      <xdr:rowOff>0</xdr:rowOff>
    </xdr:from>
    <xdr:to>
      <xdr:col>13</xdr:col>
      <xdr:colOff>0</xdr:colOff>
      <xdr:row>2547</xdr:row>
      <xdr:rowOff>114300</xdr:rowOff>
    </xdr:to>
    <xdr:pic>
      <xdr:nvPicPr>
        <xdr:cNvPr id="2860" name="Imagen 2859" descr="Ver detalle">
          <a:hlinkClick xmlns:r="http://schemas.openxmlformats.org/officeDocument/2006/relationships" r:id="rId2801" tooltip="Ver detalle"/>
          <a:extLst>
            <a:ext uri="{FF2B5EF4-FFF2-40B4-BE49-F238E27FC236}">
              <a16:creationId xmlns:a16="http://schemas.microsoft.com/office/drawing/2014/main" id="{FA71E451-6B98-80BB-C37D-EA64E28D4B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6779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2671</xdr:row>
      <xdr:rowOff>0</xdr:rowOff>
    </xdr:from>
    <xdr:to>
      <xdr:col>13</xdr:col>
      <xdr:colOff>0</xdr:colOff>
      <xdr:row>2672</xdr:row>
      <xdr:rowOff>118110</xdr:rowOff>
    </xdr:to>
    <xdr:pic>
      <xdr:nvPicPr>
        <xdr:cNvPr id="2861" name="Imagen 2860" descr="Ver detalle">
          <a:hlinkClick xmlns:r="http://schemas.openxmlformats.org/officeDocument/2006/relationships" r:id="rId2802" tooltip="Ver detalle"/>
          <a:extLst>
            <a:ext uri="{FF2B5EF4-FFF2-40B4-BE49-F238E27FC236}">
              <a16:creationId xmlns:a16="http://schemas.microsoft.com/office/drawing/2014/main" id="{32B9C026-AA74-381A-DE9E-951DE97E2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9324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2672</xdr:row>
      <xdr:rowOff>0</xdr:rowOff>
    </xdr:from>
    <xdr:to>
      <xdr:col>13</xdr:col>
      <xdr:colOff>0</xdr:colOff>
      <xdr:row>2673</xdr:row>
      <xdr:rowOff>118110</xdr:rowOff>
    </xdr:to>
    <xdr:pic>
      <xdr:nvPicPr>
        <xdr:cNvPr id="2862" name="Imagen 2861" descr="Ver detalle">
          <a:hlinkClick xmlns:r="http://schemas.openxmlformats.org/officeDocument/2006/relationships" r:id="rId2803" tooltip="Ver detalle"/>
          <a:extLst>
            <a:ext uri="{FF2B5EF4-FFF2-40B4-BE49-F238E27FC236}">
              <a16:creationId xmlns:a16="http://schemas.microsoft.com/office/drawing/2014/main" id="{B4AC433F-FA10-BA3D-D2F0-17B6E04F3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956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2673</xdr:row>
      <xdr:rowOff>0</xdr:rowOff>
    </xdr:from>
    <xdr:to>
      <xdr:col>13</xdr:col>
      <xdr:colOff>0</xdr:colOff>
      <xdr:row>2674</xdr:row>
      <xdr:rowOff>118110</xdr:rowOff>
    </xdr:to>
    <xdr:pic>
      <xdr:nvPicPr>
        <xdr:cNvPr id="2863" name="Imagen 2862" descr="Ver detalle">
          <a:hlinkClick xmlns:r="http://schemas.openxmlformats.org/officeDocument/2006/relationships" r:id="rId2804" tooltip="Ver detalle"/>
          <a:extLst>
            <a:ext uri="{FF2B5EF4-FFF2-40B4-BE49-F238E27FC236}">
              <a16:creationId xmlns:a16="http://schemas.microsoft.com/office/drawing/2014/main" id="{8B73633A-065E-C685-B7F1-B411A3C44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9811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2674</xdr:row>
      <xdr:rowOff>0</xdr:rowOff>
    </xdr:from>
    <xdr:to>
      <xdr:col>13</xdr:col>
      <xdr:colOff>0</xdr:colOff>
      <xdr:row>2675</xdr:row>
      <xdr:rowOff>118110</xdr:rowOff>
    </xdr:to>
    <xdr:pic>
      <xdr:nvPicPr>
        <xdr:cNvPr id="2864" name="Imagen 2863" descr="Ver detalle">
          <a:hlinkClick xmlns:r="http://schemas.openxmlformats.org/officeDocument/2006/relationships" r:id="rId2805" tooltip="Ver detalle"/>
          <a:extLst>
            <a:ext uri="{FF2B5EF4-FFF2-40B4-BE49-F238E27FC236}">
              <a16:creationId xmlns:a16="http://schemas.microsoft.com/office/drawing/2014/main" id="{4CA71298-5E9F-325D-2B0C-25511D024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0055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2675</xdr:row>
      <xdr:rowOff>0</xdr:rowOff>
    </xdr:from>
    <xdr:to>
      <xdr:col>13</xdr:col>
      <xdr:colOff>0</xdr:colOff>
      <xdr:row>2676</xdr:row>
      <xdr:rowOff>118110</xdr:rowOff>
    </xdr:to>
    <xdr:pic>
      <xdr:nvPicPr>
        <xdr:cNvPr id="2865" name="Imagen 2864" descr="Ver detalle">
          <a:hlinkClick xmlns:r="http://schemas.openxmlformats.org/officeDocument/2006/relationships" r:id="rId2806" tooltip="Ver detalle"/>
          <a:extLst>
            <a:ext uri="{FF2B5EF4-FFF2-40B4-BE49-F238E27FC236}">
              <a16:creationId xmlns:a16="http://schemas.microsoft.com/office/drawing/2014/main" id="{4517738C-5792-0012-4AF7-EC3B3296A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0170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2676</xdr:row>
      <xdr:rowOff>0</xdr:rowOff>
    </xdr:from>
    <xdr:to>
      <xdr:col>13</xdr:col>
      <xdr:colOff>0</xdr:colOff>
      <xdr:row>2677</xdr:row>
      <xdr:rowOff>118110</xdr:rowOff>
    </xdr:to>
    <xdr:pic>
      <xdr:nvPicPr>
        <xdr:cNvPr id="2866" name="Imagen 2865" descr="Ver detalle">
          <a:hlinkClick xmlns:r="http://schemas.openxmlformats.org/officeDocument/2006/relationships" r:id="rId2807" tooltip="Ver detalle"/>
          <a:extLst>
            <a:ext uri="{FF2B5EF4-FFF2-40B4-BE49-F238E27FC236}">
              <a16:creationId xmlns:a16="http://schemas.microsoft.com/office/drawing/2014/main" id="{3E387151-B79C-8925-BCC1-9379F9A18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0413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2613</xdr:row>
      <xdr:rowOff>0</xdr:rowOff>
    </xdr:from>
    <xdr:to>
      <xdr:col>13</xdr:col>
      <xdr:colOff>0</xdr:colOff>
      <xdr:row>2614</xdr:row>
      <xdr:rowOff>118110</xdr:rowOff>
    </xdr:to>
    <xdr:pic>
      <xdr:nvPicPr>
        <xdr:cNvPr id="2867" name="Imagen 2866" descr="Ver detalle">
          <a:hlinkClick xmlns:r="http://schemas.openxmlformats.org/officeDocument/2006/relationships" r:id="rId2808" tooltip="Ver detalle"/>
          <a:extLst>
            <a:ext uri="{FF2B5EF4-FFF2-40B4-BE49-F238E27FC236}">
              <a16:creationId xmlns:a16="http://schemas.microsoft.com/office/drawing/2014/main" id="{5D7D4C26-D07A-2690-8C00-A40C5E6D9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0528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2614</xdr:row>
      <xdr:rowOff>0</xdr:rowOff>
    </xdr:from>
    <xdr:to>
      <xdr:col>13</xdr:col>
      <xdr:colOff>0</xdr:colOff>
      <xdr:row>2615</xdr:row>
      <xdr:rowOff>110490</xdr:rowOff>
    </xdr:to>
    <xdr:pic>
      <xdr:nvPicPr>
        <xdr:cNvPr id="2868" name="Imagen 2867" descr="Ver detalle">
          <a:hlinkClick xmlns:r="http://schemas.openxmlformats.org/officeDocument/2006/relationships" r:id="rId2809" tooltip="Ver detalle"/>
          <a:extLst>
            <a:ext uri="{FF2B5EF4-FFF2-40B4-BE49-F238E27FC236}">
              <a16:creationId xmlns:a16="http://schemas.microsoft.com/office/drawing/2014/main" id="{FD83811B-412F-CDF5-60FA-5A62E34DB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0772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2670</xdr:row>
      <xdr:rowOff>0</xdr:rowOff>
    </xdr:from>
    <xdr:to>
      <xdr:col>13</xdr:col>
      <xdr:colOff>0</xdr:colOff>
      <xdr:row>2671</xdr:row>
      <xdr:rowOff>118110</xdr:rowOff>
    </xdr:to>
    <xdr:pic>
      <xdr:nvPicPr>
        <xdr:cNvPr id="2869" name="Imagen 2868" descr="Ver detalle">
          <a:hlinkClick xmlns:r="http://schemas.openxmlformats.org/officeDocument/2006/relationships" r:id="rId2810" tooltip="Ver detalle"/>
          <a:extLst>
            <a:ext uri="{FF2B5EF4-FFF2-40B4-BE49-F238E27FC236}">
              <a16:creationId xmlns:a16="http://schemas.microsoft.com/office/drawing/2014/main" id="{F1F5E8DC-9E9F-484F-4ECF-61ACB0074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088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2677</xdr:row>
      <xdr:rowOff>0</xdr:rowOff>
    </xdr:from>
    <xdr:to>
      <xdr:col>13</xdr:col>
      <xdr:colOff>0</xdr:colOff>
      <xdr:row>2678</xdr:row>
      <xdr:rowOff>118110</xdr:rowOff>
    </xdr:to>
    <xdr:pic>
      <xdr:nvPicPr>
        <xdr:cNvPr id="2870" name="Imagen 2869" descr="Ver detalle">
          <a:hlinkClick xmlns:r="http://schemas.openxmlformats.org/officeDocument/2006/relationships" r:id="rId2811" tooltip="Ver detalle"/>
          <a:extLst>
            <a:ext uri="{FF2B5EF4-FFF2-40B4-BE49-F238E27FC236}">
              <a16:creationId xmlns:a16="http://schemas.microsoft.com/office/drawing/2014/main" id="{37996097-9A8F-F028-F8A5-1BE0E736A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113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2678</xdr:row>
      <xdr:rowOff>0</xdr:rowOff>
    </xdr:from>
    <xdr:to>
      <xdr:col>13</xdr:col>
      <xdr:colOff>0</xdr:colOff>
      <xdr:row>2679</xdr:row>
      <xdr:rowOff>118110</xdr:rowOff>
    </xdr:to>
    <xdr:pic>
      <xdr:nvPicPr>
        <xdr:cNvPr id="2871" name="Imagen 2870" descr="Ver detalle">
          <a:hlinkClick xmlns:r="http://schemas.openxmlformats.org/officeDocument/2006/relationships" r:id="rId2812" tooltip="Ver detalle"/>
          <a:extLst>
            <a:ext uri="{FF2B5EF4-FFF2-40B4-BE49-F238E27FC236}">
              <a16:creationId xmlns:a16="http://schemas.microsoft.com/office/drawing/2014/main" id="{C05108F5-BC13-4699-332A-FBFEB6974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1374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2679</xdr:row>
      <xdr:rowOff>0</xdr:rowOff>
    </xdr:from>
    <xdr:to>
      <xdr:col>13</xdr:col>
      <xdr:colOff>0</xdr:colOff>
      <xdr:row>2680</xdr:row>
      <xdr:rowOff>118110</xdr:rowOff>
    </xdr:to>
    <xdr:pic>
      <xdr:nvPicPr>
        <xdr:cNvPr id="2872" name="Imagen 2871" descr="Ver detalle">
          <a:hlinkClick xmlns:r="http://schemas.openxmlformats.org/officeDocument/2006/relationships" r:id="rId2813" tooltip="Ver detalle"/>
          <a:extLst>
            <a:ext uri="{FF2B5EF4-FFF2-40B4-BE49-F238E27FC236}">
              <a16:creationId xmlns:a16="http://schemas.microsoft.com/office/drawing/2014/main" id="{1CB42C8A-C7F7-617F-20E2-7F58393F7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1617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2680</xdr:row>
      <xdr:rowOff>0</xdr:rowOff>
    </xdr:from>
    <xdr:to>
      <xdr:col>13</xdr:col>
      <xdr:colOff>0</xdr:colOff>
      <xdr:row>2681</xdr:row>
      <xdr:rowOff>110490</xdr:rowOff>
    </xdr:to>
    <xdr:pic>
      <xdr:nvPicPr>
        <xdr:cNvPr id="2873" name="Imagen 2872" descr="Ver detalle">
          <a:hlinkClick xmlns:r="http://schemas.openxmlformats.org/officeDocument/2006/relationships" r:id="rId2814" tooltip="Ver detalle"/>
          <a:extLst>
            <a:ext uri="{FF2B5EF4-FFF2-40B4-BE49-F238E27FC236}">
              <a16:creationId xmlns:a16="http://schemas.microsoft.com/office/drawing/2014/main" id="{C845BAD1-8EA7-28B2-DEA7-1995879E3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186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2663</xdr:row>
      <xdr:rowOff>0</xdr:rowOff>
    </xdr:from>
    <xdr:to>
      <xdr:col>13</xdr:col>
      <xdr:colOff>0</xdr:colOff>
      <xdr:row>2664</xdr:row>
      <xdr:rowOff>114300</xdr:rowOff>
    </xdr:to>
    <xdr:pic>
      <xdr:nvPicPr>
        <xdr:cNvPr id="2874" name="Imagen 2873" descr="Ver detalle">
          <a:hlinkClick xmlns:r="http://schemas.openxmlformats.org/officeDocument/2006/relationships" r:id="rId2815" tooltip="Ver detalle"/>
          <a:extLst>
            <a:ext uri="{FF2B5EF4-FFF2-40B4-BE49-F238E27FC236}">
              <a16:creationId xmlns:a16="http://schemas.microsoft.com/office/drawing/2014/main" id="{010C201E-F963-E9CA-6AD4-9CB0A061A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1976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2664</xdr:row>
      <xdr:rowOff>0</xdr:rowOff>
    </xdr:from>
    <xdr:to>
      <xdr:col>13</xdr:col>
      <xdr:colOff>0</xdr:colOff>
      <xdr:row>2665</xdr:row>
      <xdr:rowOff>118110</xdr:rowOff>
    </xdr:to>
    <xdr:pic>
      <xdr:nvPicPr>
        <xdr:cNvPr id="2875" name="Imagen 2874" descr="Ver detalle">
          <a:hlinkClick xmlns:r="http://schemas.openxmlformats.org/officeDocument/2006/relationships" r:id="rId2816" tooltip="Ver detalle"/>
          <a:extLst>
            <a:ext uri="{FF2B5EF4-FFF2-40B4-BE49-F238E27FC236}">
              <a16:creationId xmlns:a16="http://schemas.microsoft.com/office/drawing/2014/main" id="{220D1E82-07B2-A9C5-B285-57033CAFE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2138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2665</xdr:row>
      <xdr:rowOff>0</xdr:rowOff>
    </xdr:from>
    <xdr:to>
      <xdr:col>13</xdr:col>
      <xdr:colOff>0</xdr:colOff>
      <xdr:row>2666</xdr:row>
      <xdr:rowOff>118110</xdr:rowOff>
    </xdr:to>
    <xdr:pic>
      <xdr:nvPicPr>
        <xdr:cNvPr id="2876" name="Imagen 2875" descr="Ver detalle">
          <a:hlinkClick xmlns:r="http://schemas.openxmlformats.org/officeDocument/2006/relationships" r:id="rId2817" tooltip="Ver detalle"/>
          <a:extLst>
            <a:ext uri="{FF2B5EF4-FFF2-40B4-BE49-F238E27FC236}">
              <a16:creationId xmlns:a16="http://schemas.microsoft.com/office/drawing/2014/main" id="{7BC95FF0-A564-C2F4-DE3A-94367339E8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2382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2666</xdr:row>
      <xdr:rowOff>0</xdr:rowOff>
    </xdr:from>
    <xdr:to>
      <xdr:col>13</xdr:col>
      <xdr:colOff>0</xdr:colOff>
      <xdr:row>2667</xdr:row>
      <xdr:rowOff>118110</xdr:rowOff>
    </xdr:to>
    <xdr:pic>
      <xdr:nvPicPr>
        <xdr:cNvPr id="2877" name="Imagen 2876" descr="Ver detalle">
          <a:hlinkClick xmlns:r="http://schemas.openxmlformats.org/officeDocument/2006/relationships" r:id="rId2818" tooltip="Ver detalle"/>
          <a:extLst>
            <a:ext uri="{FF2B5EF4-FFF2-40B4-BE49-F238E27FC236}">
              <a16:creationId xmlns:a16="http://schemas.microsoft.com/office/drawing/2014/main" id="{A58BCE8A-58E8-1BFF-98D1-350D4E733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2626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2667</xdr:row>
      <xdr:rowOff>0</xdr:rowOff>
    </xdr:from>
    <xdr:to>
      <xdr:col>13</xdr:col>
      <xdr:colOff>0</xdr:colOff>
      <xdr:row>2668</xdr:row>
      <xdr:rowOff>118110</xdr:rowOff>
    </xdr:to>
    <xdr:pic>
      <xdr:nvPicPr>
        <xdr:cNvPr id="2878" name="Imagen 2877" descr="Ver detalle">
          <a:hlinkClick xmlns:r="http://schemas.openxmlformats.org/officeDocument/2006/relationships" r:id="rId2819" tooltip="Ver detalle"/>
          <a:extLst>
            <a:ext uri="{FF2B5EF4-FFF2-40B4-BE49-F238E27FC236}">
              <a16:creationId xmlns:a16="http://schemas.microsoft.com/office/drawing/2014/main" id="{DE75C363-76F8-6FBB-15B1-8536C937D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2870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2668</xdr:row>
      <xdr:rowOff>0</xdr:rowOff>
    </xdr:from>
    <xdr:to>
      <xdr:col>13</xdr:col>
      <xdr:colOff>0</xdr:colOff>
      <xdr:row>2669</xdr:row>
      <xdr:rowOff>118110</xdr:rowOff>
    </xdr:to>
    <xdr:pic>
      <xdr:nvPicPr>
        <xdr:cNvPr id="2879" name="Imagen 2878" descr="Ver detalle">
          <a:hlinkClick xmlns:r="http://schemas.openxmlformats.org/officeDocument/2006/relationships" r:id="rId2820" tooltip="Ver detalle"/>
          <a:extLst>
            <a:ext uri="{FF2B5EF4-FFF2-40B4-BE49-F238E27FC236}">
              <a16:creationId xmlns:a16="http://schemas.microsoft.com/office/drawing/2014/main" id="{5ED831FE-3750-6FB0-A0B5-DB8D9BC12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3114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2658</xdr:row>
      <xdr:rowOff>0</xdr:rowOff>
    </xdr:from>
    <xdr:to>
      <xdr:col>13</xdr:col>
      <xdr:colOff>0</xdr:colOff>
      <xdr:row>2659</xdr:row>
      <xdr:rowOff>118110</xdr:rowOff>
    </xdr:to>
    <xdr:pic>
      <xdr:nvPicPr>
        <xdr:cNvPr id="2880" name="Imagen 2879" descr="Ver detalle">
          <a:hlinkClick xmlns:r="http://schemas.openxmlformats.org/officeDocument/2006/relationships" r:id="rId2821" tooltip="Ver detalle"/>
          <a:extLst>
            <a:ext uri="{FF2B5EF4-FFF2-40B4-BE49-F238E27FC236}">
              <a16:creationId xmlns:a16="http://schemas.microsoft.com/office/drawing/2014/main" id="{8A9C49FF-2937-7905-6040-0D3C9701D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3277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2669</xdr:row>
      <xdr:rowOff>0</xdr:rowOff>
    </xdr:from>
    <xdr:to>
      <xdr:col>13</xdr:col>
      <xdr:colOff>0</xdr:colOff>
      <xdr:row>2670</xdr:row>
      <xdr:rowOff>118110</xdr:rowOff>
    </xdr:to>
    <xdr:pic>
      <xdr:nvPicPr>
        <xdr:cNvPr id="2881" name="Imagen 2880" descr="Ver detalle">
          <a:hlinkClick xmlns:r="http://schemas.openxmlformats.org/officeDocument/2006/relationships" r:id="rId2822" tooltip="Ver detalle"/>
          <a:extLst>
            <a:ext uri="{FF2B5EF4-FFF2-40B4-BE49-F238E27FC236}">
              <a16:creationId xmlns:a16="http://schemas.microsoft.com/office/drawing/2014/main" id="{DE9B3073-E3DE-2593-8DB3-85EC70A08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3520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2659</xdr:row>
      <xdr:rowOff>0</xdr:rowOff>
    </xdr:from>
    <xdr:to>
      <xdr:col>13</xdr:col>
      <xdr:colOff>0</xdr:colOff>
      <xdr:row>2660</xdr:row>
      <xdr:rowOff>118110</xdr:rowOff>
    </xdr:to>
    <xdr:pic>
      <xdr:nvPicPr>
        <xdr:cNvPr id="2882" name="Imagen 2881" descr="Ver detalle">
          <a:hlinkClick xmlns:r="http://schemas.openxmlformats.org/officeDocument/2006/relationships" r:id="rId2823" tooltip="Ver detalle"/>
          <a:extLst>
            <a:ext uri="{FF2B5EF4-FFF2-40B4-BE49-F238E27FC236}">
              <a16:creationId xmlns:a16="http://schemas.microsoft.com/office/drawing/2014/main" id="{BD8749A7-0D92-88F4-E2F5-259A1B49A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3683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2660</xdr:row>
      <xdr:rowOff>0</xdr:rowOff>
    </xdr:from>
    <xdr:to>
      <xdr:col>13</xdr:col>
      <xdr:colOff>0</xdr:colOff>
      <xdr:row>2661</xdr:row>
      <xdr:rowOff>118110</xdr:rowOff>
    </xdr:to>
    <xdr:pic>
      <xdr:nvPicPr>
        <xdr:cNvPr id="2883" name="Imagen 2882" descr="Ver detalle">
          <a:hlinkClick xmlns:r="http://schemas.openxmlformats.org/officeDocument/2006/relationships" r:id="rId2824" tooltip="Ver detalle"/>
          <a:extLst>
            <a:ext uri="{FF2B5EF4-FFF2-40B4-BE49-F238E27FC236}">
              <a16:creationId xmlns:a16="http://schemas.microsoft.com/office/drawing/2014/main" id="{6FCB0DD4-CFBF-FBC4-98AC-B379983C8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3846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2661</xdr:row>
      <xdr:rowOff>0</xdr:rowOff>
    </xdr:from>
    <xdr:to>
      <xdr:col>13</xdr:col>
      <xdr:colOff>0</xdr:colOff>
      <xdr:row>2662</xdr:row>
      <xdr:rowOff>118110</xdr:rowOff>
    </xdr:to>
    <xdr:pic>
      <xdr:nvPicPr>
        <xdr:cNvPr id="2884" name="Imagen 2883" descr="Ver detalle">
          <a:hlinkClick xmlns:r="http://schemas.openxmlformats.org/officeDocument/2006/relationships" r:id="rId2825" tooltip="Ver detalle"/>
          <a:extLst>
            <a:ext uri="{FF2B5EF4-FFF2-40B4-BE49-F238E27FC236}">
              <a16:creationId xmlns:a16="http://schemas.microsoft.com/office/drawing/2014/main" id="{ADDDBF08-D567-44AA-56A5-044CBA089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4009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2649</xdr:row>
      <xdr:rowOff>0</xdr:rowOff>
    </xdr:from>
    <xdr:to>
      <xdr:col>13</xdr:col>
      <xdr:colOff>0</xdr:colOff>
      <xdr:row>2650</xdr:row>
      <xdr:rowOff>118110</xdr:rowOff>
    </xdr:to>
    <xdr:pic>
      <xdr:nvPicPr>
        <xdr:cNvPr id="2885" name="Imagen 2884" descr="Ver detalle">
          <a:hlinkClick xmlns:r="http://schemas.openxmlformats.org/officeDocument/2006/relationships" r:id="rId2826" tooltip="Ver detalle"/>
          <a:extLst>
            <a:ext uri="{FF2B5EF4-FFF2-40B4-BE49-F238E27FC236}">
              <a16:creationId xmlns:a16="http://schemas.microsoft.com/office/drawing/2014/main" id="{761D1B4A-D263-68AC-C731-2047ADDE9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4416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2639</xdr:row>
      <xdr:rowOff>0</xdr:rowOff>
    </xdr:from>
    <xdr:to>
      <xdr:col>13</xdr:col>
      <xdr:colOff>0</xdr:colOff>
      <xdr:row>2640</xdr:row>
      <xdr:rowOff>118110</xdr:rowOff>
    </xdr:to>
    <xdr:pic>
      <xdr:nvPicPr>
        <xdr:cNvPr id="2886" name="Imagen 2885" descr="Ver detalle">
          <a:hlinkClick xmlns:r="http://schemas.openxmlformats.org/officeDocument/2006/relationships" r:id="rId2827" tooltip="Ver detalle"/>
          <a:extLst>
            <a:ext uri="{FF2B5EF4-FFF2-40B4-BE49-F238E27FC236}">
              <a16:creationId xmlns:a16="http://schemas.microsoft.com/office/drawing/2014/main" id="{E0C5FEC6-A285-2E0F-643D-B149E17E1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4579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2640</xdr:row>
      <xdr:rowOff>0</xdr:rowOff>
    </xdr:from>
    <xdr:to>
      <xdr:col>13</xdr:col>
      <xdr:colOff>0</xdr:colOff>
      <xdr:row>2641</xdr:row>
      <xdr:rowOff>114300</xdr:rowOff>
    </xdr:to>
    <xdr:pic>
      <xdr:nvPicPr>
        <xdr:cNvPr id="2887" name="Imagen 2886" descr="Ver detalle">
          <a:hlinkClick xmlns:r="http://schemas.openxmlformats.org/officeDocument/2006/relationships" r:id="rId2828" tooltip="Ver detalle"/>
          <a:extLst>
            <a:ext uri="{FF2B5EF4-FFF2-40B4-BE49-F238E27FC236}">
              <a16:creationId xmlns:a16="http://schemas.microsoft.com/office/drawing/2014/main" id="{5D4A80E4-8797-C71C-5993-392D0AF01C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4823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2641</xdr:row>
      <xdr:rowOff>0</xdr:rowOff>
    </xdr:from>
    <xdr:to>
      <xdr:col>13</xdr:col>
      <xdr:colOff>0</xdr:colOff>
      <xdr:row>2642</xdr:row>
      <xdr:rowOff>118110</xdr:rowOff>
    </xdr:to>
    <xdr:pic>
      <xdr:nvPicPr>
        <xdr:cNvPr id="2888" name="Imagen 2887" descr="Ver detalle">
          <a:hlinkClick xmlns:r="http://schemas.openxmlformats.org/officeDocument/2006/relationships" r:id="rId2829" tooltip="Ver detalle"/>
          <a:extLst>
            <a:ext uri="{FF2B5EF4-FFF2-40B4-BE49-F238E27FC236}">
              <a16:creationId xmlns:a16="http://schemas.microsoft.com/office/drawing/2014/main" id="{47D895E4-25A7-C377-9FA7-558CE4037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5066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2642</xdr:row>
      <xdr:rowOff>0</xdr:rowOff>
    </xdr:from>
    <xdr:to>
      <xdr:col>13</xdr:col>
      <xdr:colOff>0</xdr:colOff>
      <xdr:row>2643</xdr:row>
      <xdr:rowOff>118110</xdr:rowOff>
    </xdr:to>
    <xdr:pic>
      <xdr:nvPicPr>
        <xdr:cNvPr id="2889" name="Imagen 2888" descr="Ver detalle">
          <a:hlinkClick xmlns:r="http://schemas.openxmlformats.org/officeDocument/2006/relationships" r:id="rId2830" tooltip="Ver detalle"/>
          <a:extLst>
            <a:ext uri="{FF2B5EF4-FFF2-40B4-BE49-F238E27FC236}">
              <a16:creationId xmlns:a16="http://schemas.microsoft.com/office/drawing/2014/main" id="{C10B5DEF-C41E-2546-2426-7F724653F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5310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2643</xdr:row>
      <xdr:rowOff>0</xdr:rowOff>
    </xdr:from>
    <xdr:to>
      <xdr:col>13</xdr:col>
      <xdr:colOff>0</xdr:colOff>
      <xdr:row>2644</xdr:row>
      <xdr:rowOff>114300</xdr:rowOff>
    </xdr:to>
    <xdr:pic>
      <xdr:nvPicPr>
        <xdr:cNvPr id="2890" name="Imagen 2889" descr="Ver detalle">
          <a:hlinkClick xmlns:r="http://schemas.openxmlformats.org/officeDocument/2006/relationships" r:id="rId2831" tooltip="Ver detalle"/>
          <a:extLst>
            <a:ext uri="{FF2B5EF4-FFF2-40B4-BE49-F238E27FC236}">
              <a16:creationId xmlns:a16="http://schemas.microsoft.com/office/drawing/2014/main" id="{158707BE-C0FC-4E11-4756-68FFEE3DD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5554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2644</xdr:row>
      <xdr:rowOff>0</xdr:rowOff>
    </xdr:from>
    <xdr:to>
      <xdr:col>13</xdr:col>
      <xdr:colOff>0</xdr:colOff>
      <xdr:row>2645</xdr:row>
      <xdr:rowOff>114300</xdr:rowOff>
    </xdr:to>
    <xdr:pic>
      <xdr:nvPicPr>
        <xdr:cNvPr id="2891" name="Imagen 2890" descr="Ver detalle">
          <a:hlinkClick xmlns:r="http://schemas.openxmlformats.org/officeDocument/2006/relationships" r:id="rId2832" tooltip="Ver detalle"/>
          <a:extLst>
            <a:ext uri="{FF2B5EF4-FFF2-40B4-BE49-F238E27FC236}">
              <a16:creationId xmlns:a16="http://schemas.microsoft.com/office/drawing/2014/main" id="{AC127172-6DD7-26F0-BFC5-82443A547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5798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2645</xdr:row>
      <xdr:rowOff>0</xdr:rowOff>
    </xdr:from>
    <xdr:to>
      <xdr:col>13</xdr:col>
      <xdr:colOff>0</xdr:colOff>
      <xdr:row>2646</xdr:row>
      <xdr:rowOff>114300</xdr:rowOff>
    </xdr:to>
    <xdr:pic>
      <xdr:nvPicPr>
        <xdr:cNvPr id="2892" name="Imagen 2891" descr="Ver detalle">
          <a:hlinkClick xmlns:r="http://schemas.openxmlformats.org/officeDocument/2006/relationships" r:id="rId2833" tooltip="Ver detalle"/>
          <a:extLst>
            <a:ext uri="{FF2B5EF4-FFF2-40B4-BE49-F238E27FC236}">
              <a16:creationId xmlns:a16="http://schemas.microsoft.com/office/drawing/2014/main" id="{AC3AAD09-7B47-F67A-056E-69589AC31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6042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2646</xdr:row>
      <xdr:rowOff>0</xdr:rowOff>
    </xdr:from>
    <xdr:to>
      <xdr:col>13</xdr:col>
      <xdr:colOff>0</xdr:colOff>
      <xdr:row>2647</xdr:row>
      <xdr:rowOff>118110</xdr:rowOff>
    </xdr:to>
    <xdr:pic>
      <xdr:nvPicPr>
        <xdr:cNvPr id="2893" name="Imagen 2892" descr="Ver detalle">
          <a:hlinkClick xmlns:r="http://schemas.openxmlformats.org/officeDocument/2006/relationships" r:id="rId2834" tooltip="Ver detalle"/>
          <a:extLst>
            <a:ext uri="{FF2B5EF4-FFF2-40B4-BE49-F238E27FC236}">
              <a16:creationId xmlns:a16="http://schemas.microsoft.com/office/drawing/2014/main" id="{3D0266C2-5DB7-5C0A-87F0-E5C8C81B3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6286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2647</xdr:row>
      <xdr:rowOff>0</xdr:rowOff>
    </xdr:from>
    <xdr:to>
      <xdr:col>13</xdr:col>
      <xdr:colOff>0</xdr:colOff>
      <xdr:row>2648</xdr:row>
      <xdr:rowOff>114300</xdr:rowOff>
    </xdr:to>
    <xdr:pic>
      <xdr:nvPicPr>
        <xdr:cNvPr id="2894" name="Imagen 2893" descr="Ver detalle">
          <a:hlinkClick xmlns:r="http://schemas.openxmlformats.org/officeDocument/2006/relationships" r:id="rId2835" tooltip="Ver detalle"/>
          <a:extLst>
            <a:ext uri="{FF2B5EF4-FFF2-40B4-BE49-F238E27FC236}">
              <a16:creationId xmlns:a16="http://schemas.microsoft.com/office/drawing/2014/main" id="{E568A8B2-7E5C-33CD-16DF-64C338EE3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6529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2648</xdr:row>
      <xdr:rowOff>0</xdr:rowOff>
    </xdr:from>
    <xdr:to>
      <xdr:col>13</xdr:col>
      <xdr:colOff>0</xdr:colOff>
      <xdr:row>2649</xdr:row>
      <xdr:rowOff>114300</xdr:rowOff>
    </xdr:to>
    <xdr:pic>
      <xdr:nvPicPr>
        <xdr:cNvPr id="2895" name="Imagen 2894" descr="Ver detalle">
          <a:hlinkClick xmlns:r="http://schemas.openxmlformats.org/officeDocument/2006/relationships" r:id="rId2836" tooltip="Ver detalle"/>
          <a:extLst>
            <a:ext uri="{FF2B5EF4-FFF2-40B4-BE49-F238E27FC236}">
              <a16:creationId xmlns:a16="http://schemas.microsoft.com/office/drawing/2014/main" id="{98C9548A-7599-313D-42D5-258BD3A1E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6773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2609</xdr:row>
      <xdr:rowOff>0</xdr:rowOff>
    </xdr:from>
    <xdr:to>
      <xdr:col>13</xdr:col>
      <xdr:colOff>0</xdr:colOff>
      <xdr:row>2610</xdr:row>
      <xdr:rowOff>118110</xdr:rowOff>
    </xdr:to>
    <xdr:pic>
      <xdr:nvPicPr>
        <xdr:cNvPr id="2896" name="Imagen 2895" descr="Ver detalle">
          <a:hlinkClick xmlns:r="http://schemas.openxmlformats.org/officeDocument/2006/relationships" r:id="rId2837" tooltip="Ver detalle"/>
          <a:extLst>
            <a:ext uri="{FF2B5EF4-FFF2-40B4-BE49-F238E27FC236}">
              <a16:creationId xmlns:a16="http://schemas.microsoft.com/office/drawing/2014/main" id="{77A6D498-635B-D3DB-3086-D284D8B3E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7017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2610</xdr:row>
      <xdr:rowOff>0</xdr:rowOff>
    </xdr:from>
    <xdr:to>
      <xdr:col>13</xdr:col>
      <xdr:colOff>0</xdr:colOff>
      <xdr:row>2611</xdr:row>
      <xdr:rowOff>118110</xdr:rowOff>
    </xdr:to>
    <xdr:pic>
      <xdr:nvPicPr>
        <xdr:cNvPr id="2897" name="Imagen 2896" descr="Ver detalle">
          <a:hlinkClick xmlns:r="http://schemas.openxmlformats.org/officeDocument/2006/relationships" r:id="rId2838" tooltip="Ver detalle"/>
          <a:extLst>
            <a:ext uri="{FF2B5EF4-FFF2-40B4-BE49-F238E27FC236}">
              <a16:creationId xmlns:a16="http://schemas.microsoft.com/office/drawing/2014/main" id="{456A5411-EC3A-6182-6B39-A5DBAD9B1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7180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2608</xdr:row>
      <xdr:rowOff>0</xdr:rowOff>
    </xdr:from>
    <xdr:to>
      <xdr:col>13</xdr:col>
      <xdr:colOff>0</xdr:colOff>
      <xdr:row>2609</xdr:row>
      <xdr:rowOff>118110</xdr:rowOff>
    </xdr:to>
    <xdr:pic>
      <xdr:nvPicPr>
        <xdr:cNvPr id="2898" name="Imagen 2897" descr="Ver detalle">
          <a:hlinkClick xmlns:r="http://schemas.openxmlformats.org/officeDocument/2006/relationships" r:id="rId2839" tooltip="Ver detalle"/>
          <a:extLst>
            <a:ext uri="{FF2B5EF4-FFF2-40B4-BE49-F238E27FC236}">
              <a16:creationId xmlns:a16="http://schemas.microsoft.com/office/drawing/2014/main" id="{9F0118AE-577B-B968-3630-88D9E10AD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73433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2602</xdr:row>
      <xdr:rowOff>0</xdr:rowOff>
    </xdr:from>
    <xdr:to>
      <xdr:col>13</xdr:col>
      <xdr:colOff>0</xdr:colOff>
      <xdr:row>2603</xdr:row>
      <xdr:rowOff>118110</xdr:rowOff>
    </xdr:to>
    <xdr:pic>
      <xdr:nvPicPr>
        <xdr:cNvPr id="2899" name="Imagen 2898" descr="Ver detalle">
          <a:hlinkClick xmlns:r="http://schemas.openxmlformats.org/officeDocument/2006/relationships" r:id="rId2840" tooltip="Ver detalle"/>
          <a:extLst>
            <a:ext uri="{FF2B5EF4-FFF2-40B4-BE49-F238E27FC236}">
              <a16:creationId xmlns:a16="http://schemas.microsoft.com/office/drawing/2014/main" id="{2F17E4D2-7CD8-8252-7F75-6A92AC173A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7587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2603</xdr:row>
      <xdr:rowOff>0</xdr:rowOff>
    </xdr:from>
    <xdr:to>
      <xdr:col>13</xdr:col>
      <xdr:colOff>0</xdr:colOff>
      <xdr:row>2604</xdr:row>
      <xdr:rowOff>118110</xdr:rowOff>
    </xdr:to>
    <xdr:pic>
      <xdr:nvPicPr>
        <xdr:cNvPr id="2900" name="Imagen 2899" descr="Ver detalle">
          <a:hlinkClick xmlns:r="http://schemas.openxmlformats.org/officeDocument/2006/relationships" r:id="rId2841" tooltip="Ver detalle"/>
          <a:extLst>
            <a:ext uri="{FF2B5EF4-FFF2-40B4-BE49-F238E27FC236}">
              <a16:creationId xmlns:a16="http://schemas.microsoft.com/office/drawing/2014/main" id="{71A5B8A3-0A03-F64C-15A0-E9D2E4C1B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770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2625</xdr:row>
      <xdr:rowOff>0</xdr:rowOff>
    </xdr:from>
    <xdr:to>
      <xdr:col>13</xdr:col>
      <xdr:colOff>0</xdr:colOff>
      <xdr:row>2626</xdr:row>
      <xdr:rowOff>118110</xdr:rowOff>
    </xdr:to>
    <xdr:pic>
      <xdr:nvPicPr>
        <xdr:cNvPr id="2901" name="Imagen 2900" descr="Ver detalle">
          <a:hlinkClick xmlns:r="http://schemas.openxmlformats.org/officeDocument/2006/relationships" r:id="rId2842" tooltip="Ver detalle"/>
          <a:extLst>
            <a:ext uri="{FF2B5EF4-FFF2-40B4-BE49-F238E27FC236}">
              <a16:creationId xmlns:a16="http://schemas.microsoft.com/office/drawing/2014/main" id="{ADA5D6B2-CB80-500D-D12A-D001BC201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7815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2626</xdr:row>
      <xdr:rowOff>0</xdr:rowOff>
    </xdr:from>
    <xdr:to>
      <xdr:col>13</xdr:col>
      <xdr:colOff>0</xdr:colOff>
      <xdr:row>2627</xdr:row>
      <xdr:rowOff>118110</xdr:rowOff>
    </xdr:to>
    <xdr:pic>
      <xdr:nvPicPr>
        <xdr:cNvPr id="2902" name="Imagen 2901" descr="Ver detalle">
          <a:hlinkClick xmlns:r="http://schemas.openxmlformats.org/officeDocument/2006/relationships" r:id="rId2843" tooltip="Ver detalle"/>
          <a:extLst>
            <a:ext uri="{FF2B5EF4-FFF2-40B4-BE49-F238E27FC236}">
              <a16:creationId xmlns:a16="http://schemas.microsoft.com/office/drawing/2014/main" id="{8F459B78-99EB-D8D1-D735-18B98581A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8059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2627</xdr:row>
      <xdr:rowOff>0</xdr:rowOff>
    </xdr:from>
    <xdr:to>
      <xdr:col>13</xdr:col>
      <xdr:colOff>0</xdr:colOff>
      <xdr:row>2628</xdr:row>
      <xdr:rowOff>118110</xdr:rowOff>
    </xdr:to>
    <xdr:pic>
      <xdr:nvPicPr>
        <xdr:cNvPr id="2903" name="Imagen 2902" descr="Ver detalle">
          <a:hlinkClick xmlns:r="http://schemas.openxmlformats.org/officeDocument/2006/relationships" r:id="rId2844" tooltip="Ver detalle"/>
          <a:extLst>
            <a:ext uri="{FF2B5EF4-FFF2-40B4-BE49-F238E27FC236}">
              <a16:creationId xmlns:a16="http://schemas.microsoft.com/office/drawing/2014/main" id="{5F48BC05-1075-EF4A-5B94-EC30E114F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8303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2628</xdr:row>
      <xdr:rowOff>0</xdr:rowOff>
    </xdr:from>
    <xdr:to>
      <xdr:col>13</xdr:col>
      <xdr:colOff>0</xdr:colOff>
      <xdr:row>2629</xdr:row>
      <xdr:rowOff>118110</xdr:rowOff>
    </xdr:to>
    <xdr:pic>
      <xdr:nvPicPr>
        <xdr:cNvPr id="2904" name="Imagen 2903" descr="Ver detalle">
          <a:hlinkClick xmlns:r="http://schemas.openxmlformats.org/officeDocument/2006/relationships" r:id="rId2845" tooltip="Ver detalle"/>
          <a:extLst>
            <a:ext uri="{FF2B5EF4-FFF2-40B4-BE49-F238E27FC236}">
              <a16:creationId xmlns:a16="http://schemas.microsoft.com/office/drawing/2014/main" id="{B7D14CBA-FD78-88C3-B6BE-D0E12D03F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8417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2650</xdr:row>
      <xdr:rowOff>0</xdr:rowOff>
    </xdr:from>
    <xdr:to>
      <xdr:col>13</xdr:col>
      <xdr:colOff>0</xdr:colOff>
      <xdr:row>2651</xdr:row>
      <xdr:rowOff>118110</xdr:rowOff>
    </xdr:to>
    <xdr:pic>
      <xdr:nvPicPr>
        <xdr:cNvPr id="2905" name="Imagen 2904" descr="Ver detalle">
          <a:hlinkClick xmlns:r="http://schemas.openxmlformats.org/officeDocument/2006/relationships" r:id="rId2846" tooltip="Ver detalle"/>
          <a:extLst>
            <a:ext uri="{FF2B5EF4-FFF2-40B4-BE49-F238E27FC236}">
              <a16:creationId xmlns:a16="http://schemas.microsoft.com/office/drawing/2014/main" id="{CA5FC30D-AE56-BA60-F4F2-D038408001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866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2629</xdr:row>
      <xdr:rowOff>0</xdr:rowOff>
    </xdr:from>
    <xdr:to>
      <xdr:col>13</xdr:col>
      <xdr:colOff>0</xdr:colOff>
      <xdr:row>2630</xdr:row>
      <xdr:rowOff>118110</xdr:rowOff>
    </xdr:to>
    <xdr:pic>
      <xdr:nvPicPr>
        <xdr:cNvPr id="2906" name="Imagen 2905" descr="Ver detalle">
          <a:hlinkClick xmlns:r="http://schemas.openxmlformats.org/officeDocument/2006/relationships" r:id="rId2847" tooltip="Ver detalle"/>
          <a:extLst>
            <a:ext uri="{FF2B5EF4-FFF2-40B4-BE49-F238E27FC236}">
              <a16:creationId xmlns:a16="http://schemas.microsoft.com/office/drawing/2014/main" id="{D26CB740-78BD-FD07-3885-483CCF130A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8905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2651</xdr:row>
      <xdr:rowOff>0</xdr:rowOff>
    </xdr:from>
    <xdr:to>
      <xdr:col>13</xdr:col>
      <xdr:colOff>0</xdr:colOff>
      <xdr:row>2652</xdr:row>
      <xdr:rowOff>118110</xdr:rowOff>
    </xdr:to>
    <xdr:pic>
      <xdr:nvPicPr>
        <xdr:cNvPr id="2907" name="Imagen 2906" descr="Ver detalle">
          <a:hlinkClick xmlns:r="http://schemas.openxmlformats.org/officeDocument/2006/relationships" r:id="rId2848" tooltip="Ver detalle"/>
          <a:extLst>
            <a:ext uri="{FF2B5EF4-FFF2-40B4-BE49-F238E27FC236}">
              <a16:creationId xmlns:a16="http://schemas.microsoft.com/office/drawing/2014/main" id="{73E0A6DA-BCA6-272E-8709-000257DEC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9019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2652</xdr:row>
      <xdr:rowOff>0</xdr:rowOff>
    </xdr:from>
    <xdr:to>
      <xdr:col>13</xdr:col>
      <xdr:colOff>0</xdr:colOff>
      <xdr:row>2653</xdr:row>
      <xdr:rowOff>118110</xdr:rowOff>
    </xdr:to>
    <xdr:pic>
      <xdr:nvPicPr>
        <xdr:cNvPr id="2908" name="Imagen 2907" descr="Ver detalle">
          <a:hlinkClick xmlns:r="http://schemas.openxmlformats.org/officeDocument/2006/relationships" r:id="rId2849" tooltip="Ver detalle"/>
          <a:extLst>
            <a:ext uri="{FF2B5EF4-FFF2-40B4-BE49-F238E27FC236}">
              <a16:creationId xmlns:a16="http://schemas.microsoft.com/office/drawing/2014/main" id="{C377E00D-3FBF-DCFC-FA09-C234F0598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9182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2654</xdr:row>
      <xdr:rowOff>0</xdr:rowOff>
    </xdr:from>
    <xdr:to>
      <xdr:col>13</xdr:col>
      <xdr:colOff>0</xdr:colOff>
      <xdr:row>2655</xdr:row>
      <xdr:rowOff>118110</xdr:rowOff>
    </xdr:to>
    <xdr:pic>
      <xdr:nvPicPr>
        <xdr:cNvPr id="2909" name="Imagen 2908" descr="Ver detalle">
          <a:hlinkClick xmlns:r="http://schemas.openxmlformats.org/officeDocument/2006/relationships" r:id="rId2850" tooltip="Ver detalle"/>
          <a:extLst>
            <a:ext uri="{FF2B5EF4-FFF2-40B4-BE49-F238E27FC236}">
              <a16:creationId xmlns:a16="http://schemas.microsoft.com/office/drawing/2014/main" id="{AD6C9CFC-AF1B-34EB-8567-962E1DCCD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9589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2655</xdr:row>
      <xdr:rowOff>0</xdr:rowOff>
    </xdr:from>
    <xdr:to>
      <xdr:col>13</xdr:col>
      <xdr:colOff>0</xdr:colOff>
      <xdr:row>2656</xdr:row>
      <xdr:rowOff>118110</xdr:rowOff>
    </xdr:to>
    <xdr:pic>
      <xdr:nvPicPr>
        <xdr:cNvPr id="2910" name="Imagen 2909" descr="Ver detalle">
          <a:hlinkClick xmlns:r="http://schemas.openxmlformats.org/officeDocument/2006/relationships" r:id="rId2851" tooltip="Ver detalle"/>
          <a:extLst>
            <a:ext uri="{FF2B5EF4-FFF2-40B4-BE49-F238E27FC236}">
              <a16:creationId xmlns:a16="http://schemas.microsoft.com/office/drawing/2014/main" id="{48881502-B91F-71BD-FBF1-BFAA9D065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9752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2656</xdr:row>
      <xdr:rowOff>0</xdr:rowOff>
    </xdr:from>
    <xdr:to>
      <xdr:col>13</xdr:col>
      <xdr:colOff>0</xdr:colOff>
      <xdr:row>2657</xdr:row>
      <xdr:rowOff>118110</xdr:rowOff>
    </xdr:to>
    <xdr:pic>
      <xdr:nvPicPr>
        <xdr:cNvPr id="2911" name="Imagen 2910" descr="Ver detalle">
          <a:hlinkClick xmlns:r="http://schemas.openxmlformats.org/officeDocument/2006/relationships" r:id="rId2852" tooltip="Ver detalle"/>
          <a:extLst>
            <a:ext uri="{FF2B5EF4-FFF2-40B4-BE49-F238E27FC236}">
              <a16:creationId xmlns:a16="http://schemas.microsoft.com/office/drawing/2014/main" id="{ADF75D00-1940-2AD6-A814-90D1CC62D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9996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2657</xdr:row>
      <xdr:rowOff>0</xdr:rowOff>
    </xdr:from>
    <xdr:to>
      <xdr:col>13</xdr:col>
      <xdr:colOff>0</xdr:colOff>
      <xdr:row>2658</xdr:row>
      <xdr:rowOff>118110</xdr:rowOff>
    </xdr:to>
    <xdr:pic>
      <xdr:nvPicPr>
        <xdr:cNvPr id="2912" name="Imagen 2911" descr="Ver detalle">
          <a:hlinkClick xmlns:r="http://schemas.openxmlformats.org/officeDocument/2006/relationships" r:id="rId2853" tooltip="Ver detalle"/>
          <a:extLst>
            <a:ext uri="{FF2B5EF4-FFF2-40B4-BE49-F238E27FC236}">
              <a16:creationId xmlns:a16="http://schemas.microsoft.com/office/drawing/2014/main" id="{73C3BD2F-AA34-72D1-7A12-ADF5BECE0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0239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2630</xdr:row>
      <xdr:rowOff>0</xdr:rowOff>
    </xdr:from>
    <xdr:to>
      <xdr:col>13</xdr:col>
      <xdr:colOff>0</xdr:colOff>
      <xdr:row>2631</xdr:row>
      <xdr:rowOff>118110</xdr:rowOff>
    </xdr:to>
    <xdr:pic>
      <xdr:nvPicPr>
        <xdr:cNvPr id="2913" name="Imagen 2912" descr="Ver detalle">
          <a:hlinkClick xmlns:r="http://schemas.openxmlformats.org/officeDocument/2006/relationships" r:id="rId2854" tooltip="Ver detalle"/>
          <a:extLst>
            <a:ext uri="{FF2B5EF4-FFF2-40B4-BE49-F238E27FC236}">
              <a16:creationId xmlns:a16="http://schemas.microsoft.com/office/drawing/2014/main" id="{283CDEB1-08A9-BD21-19A5-3B9665EFB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048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2631</xdr:row>
      <xdr:rowOff>0</xdr:rowOff>
    </xdr:from>
    <xdr:to>
      <xdr:col>13</xdr:col>
      <xdr:colOff>0</xdr:colOff>
      <xdr:row>2632</xdr:row>
      <xdr:rowOff>118110</xdr:rowOff>
    </xdr:to>
    <xdr:pic>
      <xdr:nvPicPr>
        <xdr:cNvPr id="2914" name="Imagen 2913" descr="Ver detalle">
          <a:hlinkClick xmlns:r="http://schemas.openxmlformats.org/officeDocument/2006/relationships" r:id="rId2855" tooltip="Ver detalle"/>
          <a:extLst>
            <a:ext uri="{FF2B5EF4-FFF2-40B4-BE49-F238E27FC236}">
              <a16:creationId xmlns:a16="http://schemas.microsoft.com/office/drawing/2014/main" id="{17341644-DDA6-677B-07E5-369F399C2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0727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2632</xdr:row>
      <xdr:rowOff>0</xdr:rowOff>
    </xdr:from>
    <xdr:to>
      <xdr:col>13</xdr:col>
      <xdr:colOff>0</xdr:colOff>
      <xdr:row>2633</xdr:row>
      <xdr:rowOff>118110</xdr:rowOff>
    </xdr:to>
    <xdr:pic>
      <xdr:nvPicPr>
        <xdr:cNvPr id="2915" name="Imagen 2914" descr="Ver detalle">
          <a:hlinkClick xmlns:r="http://schemas.openxmlformats.org/officeDocument/2006/relationships" r:id="rId2856" tooltip="Ver detalle"/>
          <a:extLst>
            <a:ext uri="{FF2B5EF4-FFF2-40B4-BE49-F238E27FC236}">
              <a16:creationId xmlns:a16="http://schemas.microsoft.com/office/drawing/2014/main" id="{6F8A0BC6-5DB3-66E2-2B7D-CAA4113C4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0971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2633</xdr:row>
      <xdr:rowOff>0</xdr:rowOff>
    </xdr:from>
    <xdr:to>
      <xdr:col>13</xdr:col>
      <xdr:colOff>0</xdr:colOff>
      <xdr:row>2634</xdr:row>
      <xdr:rowOff>118110</xdr:rowOff>
    </xdr:to>
    <xdr:pic>
      <xdr:nvPicPr>
        <xdr:cNvPr id="2916" name="Imagen 2915" descr="Ver detalle">
          <a:hlinkClick xmlns:r="http://schemas.openxmlformats.org/officeDocument/2006/relationships" r:id="rId2857" tooltip="Ver detalle"/>
          <a:extLst>
            <a:ext uri="{FF2B5EF4-FFF2-40B4-BE49-F238E27FC236}">
              <a16:creationId xmlns:a16="http://schemas.microsoft.com/office/drawing/2014/main" id="{6D5FD4A0-48E3-9E6E-FFF6-FE3FD7BE6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1215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2634</xdr:row>
      <xdr:rowOff>0</xdr:rowOff>
    </xdr:from>
    <xdr:to>
      <xdr:col>13</xdr:col>
      <xdr:colOff>0</xdr:colOff>
      <xdr:row>2635</xdr:row>
      <xdr:rowOff>118110</xdr:rowOff>
    </xdr:to>
    <xdr:pic>
      <xdr:nvPicPr>
        <xdr:cNvPr id="2917" name="Imagen 2916" descr="Ver detalle">
          <a:hlinkClick xmlns:r="http://schemas.openxmlformats.org/officeDocument/2006/relationships" r:id="rId2858" tooltip="Ver detalle"/>
          <a:extLst>
            <a:ext uri="{FF2B5EF4-FFF2-40B4-BE49-F238E27FC236}">
              <a16:creationId xmlns:a16="http://schemas.microsoft.com/office/drawing/2014/main" id="{91EA3EED-67AB-EEF6-2561-904AC63B3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1459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2635</xdr:row>
      <xdr:rowOff>0</xdr:rowOff>
    </xdr:from>
    <xdr:to>
      <xdr:col>13</xdr:col>
      <xdr:colOff>0</xdr:colOff>
      <xdr:row>2636</xdr:row>
      <xdr:rowOff>118110</xdr:rowOff>
    </xdr:to>
    <xdr:pic>
      <xdr:nvPicPr>
        <xdr:cNvPr id="2918" name="Imagen 2917" descr="Ver detalle">
          <a:hlinkClick xmlns:r="http://schemas.openxmlformats.org/officeDocument/2006/relationships" r:id="rId2859" tooltip="Ver detalle"/>
          <a:extLst>
            <a:ext uri="{FF2B5EF4-FFF2-40B4-BE49-F238E27FC236}">
              <a16:creationId xmlns:a16="http://schemas.microsoft.com/office/drawing/2014/main" id="{CF551F90-C019-8D34-7EA0-B8753A3C0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170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2636</xdr:row>
      <xdr:rowOff>0</xdr:rowOff>
    </xdr:from>
    <xdr:to>
      <xdr:col>13</xdr:col>
      <xdr:colOff>0</xdr:colOff>
      <xdr:row>2637</xdr:row>
      <xdr:rowOff>114300</xdr:rowOff>
    </xdr:to>
    <xdr:pic>
      <xdr:nvPicPr>
        <xdr:cNvPr id="2919" name="Imagen 2918" descr="Ver detalle">
          <a:hlinkClick xmlns:r="http://schemas.openxmlformats.org/officeDocument/2006/relationships" r:id="rId2860" tooltip="Ver detalle"/>
          <a:extLst>
            <a:ext uri="{FF2B5EF4-FFF2-40B4-BE49-F238E27FC236}">
              <a16:creationId xmlns:a16="http://schemas.microsoft.com/office/drawing/2014/main" id="{0EC43C13-8409-EE42-60CE-5D668572E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1946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2637</xdr:row>
      <xdr:rowOff>0</xdr:rowOff>
    </xdr:from>
    <xdr:to>
      <xdr:col>13</xdr:col>
      <xdr:colOff>0</xdr:colOff>
      <xdr:row>2638</xdr:row>
      <xdr:rowOff>114300</xdr:rowOff>
    </xdr:to>
    <xdr:pic>
      <xdr:nvPicPr>
        <xdr:cNvPr id="2920" name="Imagen 2919" descr="Ver detalle">
          <a:hlinkClick xmlns:r="http://schemas.openxmlformats.org/officeDocument/2006/relationships" r:id="rId2861" tooltip="Ver detalle"/>
          <a:extLst>
            <a:ext uri="{FF2B5EF4-FFF2-40B4-BE49-F238E27FC236}">
              <a16:creationId xmlns:a16="http://schemas.microsoft.com/office/drawing/2014/main" id="{C94076F2-0034-B072-7E49-F4A4F21C9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2190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2638</xdr:row>
      <xdr:rowOff>0</xdr:rowOff>
    </xdr:from>
    <xdr:to>
      <xdr:col>13</xdr:col>
      <xdr:colOff>0</xdr:colOff>
      <xdr:row>2639</xdr:row>
      <xdr:rowOff>118110</xdr:rowOff>
    </xdr:to>
    <xdr:pic>
      <xdr:nvPicPr>
        <xdr:cNvPr id="2921" name="Imagen 2920" descr="Ver detalle">
          <a:hlinkClick xmlns:r="http://schemas.openxmlformats.org/officeDocument/2006/relationships" r:id="rId2862" tooltip="Ver detalle"/>
          <a:extLst>
            <a:ext uri="{FF2B5EF4-FFF2-40B4-BE49-F238E27FC236}">
              <a16:creationId xmlns:a16="http://schemas.microsoft.com/office/drawing/2014/main" id="{398E4C4E-E904-3A03-0155-322225841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2434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2604</xdr:row>
      <xdr:rowOff>0</xdr:rowOff>
    </xdr:from>
    <xdr:to>
      <xdr:col>13</xdr:col>
      <xdr:colOff>0</xdr:colOff>
      <xdr:row>2605</xdr:row>
      <xdr:rowOff>118110</xdr:rowOff>
    </xdr:to>
    <xdr:pic>
      <xdr:nvPicPr>
        <xdr:cNvPr id="2922" name="Imagen 2921" descr="Ver detalle">
          <a:hlinkClick xmlns:r="http://schemas.openxmlformats.org/officeDocument/2006/relationships" r:id="rId2863" tooltip="Ver detalle"/>
          <a:extLst>
            <a:ext uri="{FF2B5EF4-FFF2-40B4-BE49-F238E27FC236}">
              <a16:creationId xmlns:a16="http://schemas.microsoft.com/office/drawing/2014/main" id="{F8AB3BCA-7A6A-F73B-4B7D-BE1D317F8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2548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2605</xdr:row>
      <xdr:rowOff>0</xdr:rowOff>
    </xdr:from>
    <xdr:to>
      <xdr:col>13</xdr:col>
      <xdr:colOff>0</xdr:colOff>
      <xdr:row>2606</xdr:row>
      <xdr:rowOff>118110</xdr:rowOff>
    </xdr:to>
    <xdr:pic>
      <xdr:nvPicPr>
        <xdr:cNvPr id="2923" name="Imagen 2922" descr="Ver detalle">
          <a:hlinkClick xmlns:r="http://schemas.openxmlformats.org/officeDocument/2006/relationships" r:id="rId2864" tooltip="Ver detalle"/>
          <a:extLst>
            <a:ext uri="{FF2B5EF4-FFF2-40B4-BE49-F238E27FC236}">
              <a16:creationId xmlns:a16="http://schemas.microsoft.com/office/drawing/2014/main" id="{512A5130-87C1-49C1-E7BE-577207AC0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2663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2599</xdr:row>
      <xdr:rowOff>0</xdr:rowOff>
    </xdr:from>
    <xdr:to>
      <xdr:col>13</xdr:col>
      <xdr:colOff>0</xdr:colOff>
      <xdr:row>2600</xdr:row>
      <xdr:rowOff>114300</xdr:rowOff>
    </xdr:to>
    <xdr:pic>
      <xdr:nvPicPr>
        <xdr:cNvPr id="2924" name="Imagen 2923" descr="Ver detalle">
          <a:hlinkClick xmlns:r="http://schemas.openxmlformats.org/officeDocument/2006/relationships" r:id="rId2865" tooltip="Ver detalle"/>
          <a:extLst>
            <a:ext uri="{FF2B5EF4-FFF2-40B4-BE49-F238E27FC236}">
              <a16:creationId xmlns:a16="http://schemas.microsoft.com/office/drawing/2014/main" id="{A034CB81-87EF-223B-56EF-FA98385DA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2825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2601</xdr:row>
      <xdr:rowOff>0</xdr:rowOff>
    </xdr:from>
    <xdr:to>
      <xdr:col>13</xdr:col>
      <xdr:colOff>0</xdr:colOff>
      <xdr:row>2602</xdr:row>
      <xdr:rowOff>118110</xdr:rowOff>
    </xdr:to>
    <xdr:pic>
      <xdr:nvPicPr>
        <xdr:cNvPr id="2925" name="Imagen 2924" descr="Ver detalle">
          <a:hlinkClick xmlns:r="http://schemas.openxmlformats.org/officeDocument/2006/relationships" r:id="rId2866" tooltip="Ver detalle"/>
          <a:extLst>
            <a:ext uri="{FF2B5EF4-FFF2-40B4-BE49-F238E27FC236}">
              <a16:creationId xmlns:a16="http://schemas.microsoft.com/office/drawing/2014/main" id="{EB0E6EFA-BFB8-69B8-7C85-218B20D83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3005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2617</xdr:row>
      <xdr:rowOff>0</xdr:rowOff>
    </xdr:from>
    <xdr:to>
      <xdr:col>13</xdr:col>
      <xdr:colOff>0</xdr:colOff>
      <xdr:row>2618</xdr:row>
      <xdr:rowOff>118110</xdr:rowOff>
    </xdr:to>
    <xdr:pic>
      <xdr:nvPicPr>
        <xdr:cNvPr id="2926" name="Imagen 2925" descr="Ver detalle">
          <a:hlinkClick xmlns:r="http://schemas.openxmlformats.org/officeDocument/2006/relationships" r:id="rId2867" tooltip="Ver detalle"/>
          <a:extLst>
            <a:ext uri="{FF2B5EF4-FFF2-40B4-BE49-F238E27FC236}">
              <a16:creationId xmlns:a16="http://schemas.microsoft.com/office/drawing/2014/main" id="{1BD1608A-466F-D2C2-20A2-0DF0EA455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3167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2618</xdr:row>
      <xdr:rowOff>0</xdr:rowOff>
    </xdr:from>
    <xdr:to>
      <xdr:col>13</xdr:col>
      <xdr:colOff>0</xdr:colOff>
      <xdr:row>2619</xdr:row>
      <xdr:rowOff>118110</xdr:rowOff>
    </xdr:to>
    <xdr:pic>
      <xdr:nvPicPr>
        <xdr:cNvPr id="2927" name="Imagen 2926" descr="Ver detalle">
          <a:hlinkClick xmlns:r="http://schemas.openxmlformats.org/officeDocument/2006/relationships" r:id="rId2868" tooltip="Ver detalle"/>
          <a:extLst>
            <a:ext uri="{FF2B5EF4-FFF2-40B4-BE49-F238E27FC236}">
              <a16:creationId xmlns:a16="http://schemas.microsoft.com/office/drawing/2014/main" id="{95CF3158-F689-7CAD-7954-FA17BC334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3411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2619</xdr:row>
      <xdr:rowOff>0</xdr:rowOff>
    </xdr:from>
    <xdr:to>
      <xdr:col>13</xdr:col>
      <xdr:colOff>0</xdr:colOff>
      <xdr:row>2620</xdr:row>
      <xdr:rowOff>118110</xdr:rowOff>
    </xdr:to>
    <xdr:pic>
      <xdr:nvPicPr>
        <xdr:cNvPr id="2928" name="Imagen 2927" descr="Ver detalle">
          <a:hlinkClick xmlns:r="http://schemas.openxmlformats.org/officeDocument/2006/relationships" r:id="rId2869" tooltip="Ver detalle"/>
          <a:extLst>
            <a:ext uri="{FF2B5EF4-FFF2-40B4-BE49-F238E27FC236}">
              <a16:creationId xmlns:a16="http://schemas.microsoft.com/office/drawing/2014/main" id="{9CD6DD6A-F673-46A0-ED42-A74589983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3655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2620</xdr:row>
      <xdr:rowOff>0</xdr:rowOff>
    </xdr:from>
    <xdr:to>
      <xdr:col>13</xdr:col>
      <xdr:colOff>0</xdr:colOff>
      <xdr:row>2621</xdr:row>
      <xdr:rowOff>118110</xdr:rowOff>
    </xdr:to>
    <xdr:pic>
      <xdr:nvPicPr>
        <xdr:cNvPr id="2929" name="Imagen 2928" descr="Ver detalle">
          <a:hlinkClick xmlns:r="http://schemas.openxmlformats.org/officeDocument/2006/relationships" r:id="rId2870" tooltip="Ver detalle"/>
          <a:extLst>
            <a:ext uri="{FF2B5EF4-FFF2-40B4-BE49-F238E27FC236}">
              <a16:creationId xmlns:a16="http://schemas.microsoft.com/office/drawing/2014/main" id="{6E9415EC-F73C-A3B0-7AB4-579557A6C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3899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2621</xdr:row>
      <xdr:rowOff>0</xdr:rowOff>
    </xdr:from>
    <xdr:to>
      <xdr:col>13</xdr:col>
      <xdr:colOff>0</xdr:colOff>
      <xdr:row>2622</xdr:row>
      <xdr:rowOff>118110</xdr:rowOff>
    </xdr:to>
    <xdr:pic>
      <xdr:nvPicPr>
        <xdr:cNvPr id="2930" name="Imagen 2929" descr="Ver detalle">
          <a:hlinkClick xmlns:r="http://schemas.openxmlformats.org/officeDocument/2006/relationships" r:id="rId2871" tooltip="Ver detalle"/>
          <a:extLst>
            <a:ext uri="{FF2B5EF4-FFF2-40B4-BE49-F238E27FC236}">
              <a16:creationId xmlns:a16="http://schemas.microsoft.com/office/drawing/2014/main" id="{E6FD8C2C-AB0D-485B-EE74-A7F721D7B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4013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2622</xdr:row>
      <xdr:rowOff>0</xdr:rowOff>
    </xdr:from>
    <xdr:to>
      <xdr:col>13</xdr:col>
      <xdr:colOff>0</xdr:colOff>
      <xdr:row>2623</xdr:row>
      <xdr:rowOff>118110</xdr:rowOff>
    </xdr:to>
    <xdr:pic>
      <xdr:nvPicPr>
        <xdr:cNvPr id="2931" name="Imagen 2930" descr="Ver detalle">
          <a:hlinkClick xmlns:r="http://schemas.openxmlformats.org/officeDocument/2006/relationships" r:id="rId2872" tooltip="Ver detalle"/>
          <a:extLst>
            <a:ext uri="{FF2B5EF4-FFF2-40B4-BE49-F238E27FC236}">
              <a16:creationId xmlns:a16="http://schemas.microsoft.com/office/drawing/2014/main" id="{A79F59C1-1896-05DF-8ECE-F081C689A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412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2623</xdr:row>
      <xdr:rowOff>0</xdr:rowOff>
    </xdr:from>
    <xdr:to>
      <xdr:col>13</xdr:col>
      <xdr:colOff>0</xdr:colOff>
      <xdr:row>2624</xdr:row>
      <xdr:rowOff>118110</xdr:rowOff>
    </xdr:to>
    <xdr:pic>
      <xdr:nvPicPr>
        <xdr:cNvPr id="2932" name="Imagen 2931" descr="Ver detalle">
          <a:hlinkClick xmlns:r="http://schemas.openxmlformats.org/officeDocument/2006/relationships" r:id="rId2873" tooltip="Ver detalle"/>
          <a:extLst>
            <a:ext uri="{FF2B5EF4-FFF2-40B4-BE49-F238E27FC236}">
              <a16:creationId xmlns:a16="http://schemas.microsoft.com/office/drawing/2014/main" id="{90E71E1E-C7C7-5D54-2636-EA60305BE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4242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2598</xdr:row>
      <xdr:rowOff>0</xdr:rowOff>
    </xdr:from>
    <xdr:to>
      <xdr:col>13</xdr:col>
      <xdr:colOff>0</xdr:colOff>
      <xdr:row>2599</xdr:row>
      <xdr:rowOff>114300</xdr:rowOff>
    </xdr:to>
    <xdr:pic>
      <xdr:nvPicPr>
        <xdr:cNvPr id="2933" name="Imagen 2932" descr="Ver detalle">
          <a:hlinkClick xmlns:r="http://schemas.openxmlformats.org/officeDocument/2006/relationships" r:id="rId2874" tooltip="Ver detalle"/>
          <a:extLst>
            <a:ext uri="{FF2B5EF4-FFF2-40B4-BE49-F238E27FC236}">
              <a16:creationId xmlns:a16="http://schemas.microsoft.com/office/drawing/2014/main" id="{AC382399-F67E-CE38-9098-B4A5CCEE28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4600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2606</xdr:row>
      <xdr:rowOff>0</xdr:rowOff>
    </xdr:from>
    <xdr:to>
      <xdr:col>13</xdr:col>
      <xdr:colOff>0</xdr:colOff>
      <xdr:row>2607</xdr:row>
      <xdr:rowOff>114300</xdr:rowOff>
    </xdr:to>
    <xdr:pic>
      <xdr:nvPicPr>
        <xdr:cNvPr id="2934" name="Imagen 2933" descr="Ver detalle">
          <a:hlinkClick xmlns:r="http://schemas.openxmlformats.org/officeDocument/2006/relationships" r:id="rId2875" tooltip="Ver detalle"/>
          <a:extLst>
            <a:ext uri="{FF2B5EF4-FFF2-40B4-BE49-F238E27FC236}">
              <a16:creationId xmlns:a16="http://schemas.microsoft.com/office/drawing/2014/main" id="{E6F99021-0D33-7707-0A33-868D5715B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4714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2611</xdr:row>
      <xdr:rowOff>0</xdr:rowOff>
    </xdr:from>
    <xdr:to>
      <xdr:col>13</xdr:col>
      <xdr:colOff>0</xdr:colOff>
      <xdr:row>2612</xdr:row>
      <xdr:rowOff>118110</xdr:rowOff>
    </xdr:to>
    <xdr:pic>
      <xdr:nvPicPr>
        <xdr:cNvPr id="2935" name="Imagen 2934" descr="Ver detalle">
          <a:hlinkClick xmlns:r="http://schemas.openxmlformats.org/officeDocument/2006/relationships" r:id="rId2876" tooltip="Ver detalle"/>
          <a:extLst>
            <a:ext uri="{FF2B5EF4-FFF2-40B4-BE49-F238E27FC236}">
              <a16:creationId xmlns:a16="http://schemas.microsoft.com/office/drawing/2014/main" id="{B4A61CF2-FD9E-3203-0CB0-F486AC2CB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4958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2594</xdr:row>
      <xdr:rowOff>0</xdr:rowOff>
    </xdr:from>
    <xdr:to>
      <xdr:col>13</xdr:col>
      <xdr:colOff>0</xdr:colOff>
      <xdr:row>2595</xdr:row>
      <xdr:rowOff>118110</xdr:rowOff>
    </xdr:to>
    <xdr:pic>
      <xdr:nvPicPr>
        <xdr:cNvPr id="2936" name="Imagen 2935" descr="Ver detalle">
          <a:hlinkClick xmlns:r="http://schemas.openxmlformats.org/officeDocument/2006/relationships" r:id="rId2877" tooltip="Ver detalle"/>
          <a:extLst>
            <a:ext uri="{FF2B5EF4-FFF2-40B4-BE49-F238E27FC236}">
              <a16:creationId xmlns:a16="http://schemas.microsoft.com/office/drawing/2014/main" id="{0364886B-43C9-BD58-2081-235F08DDD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5202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2597</xdr:row>
      <xdr:rowOff>0</xdr:rowOff>
    </xdr:from>
    <xdr:to>
      <xdr:col>13</xdr:col>
      <xdr:colOff>0</xdr:colOff>
      <xdr:row>2598</xdr:row>
      <xdr:rowOff>118110</xdr:rowOff>
    </xdr:to>
    <xdr:pic>
      <xdr:nvPicPr>
        <xdr:cNvPr id="2937" name="Imagen 2936" descr="Ver detalle">
          <a:hlinkClick xmlns:r="http://schemas.openxmlformats.org/officeDocument/2006/relationships" r:id="rId2878" tooltip="Ver detalle"/>
          <a:extLst>
            <a:ext uri="{FF2B5EF4-FFF2-40B4-BE49-F238E27FC236}">
              <a16:creationId xmlns:a16="http://schemas.microsoft.com/office/drawing/2014/main" id="{93012F0D-8016-88D2-E1B7-828F7B553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5316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2595</xdr:row>
      <xdr:rowOff>0</xdr:rowOff>
    </xdr:from>
    <xdr:to>
      <xdr:col>13</xdr:col>
      <xdr:colOff>0</xdr:colOff>
      <xdr:row>2596</xdr:row>
      <xdr:rowOff>118110</xdr:rowOff>
    </xdr:to>
    <xdr:pic>
      <xdr:nvPicPr>
        <xdr:cNvPr id="2938" name="Imagen 2937" descr="Ver detalle">
          <a:hlinkClick xmlns:r="http://schemas.openxmlformats.org/officeDocument/2006/relationships" r:id="rId2879" tooltip="Ver detalle"/>
          <a:extLst>
            <a:ext uri="{FF2B5EF4-FFF2-40B4-BE49-F238E27FC236}">
              <a16:creationId xmlns:a16="http://schemas.microsoft.com/office/drawing/2014/main" id="{45544C62-49E5-67D3-733C-1DD8605C2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5431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2596</xdr:row>
      <xdr:rowOff>0</xdr:rowOff>
    </xdr:from>
    <xdr:to>
      <xdr:col>13</xdr:col>
      <xdr:colOff>0</xdr:colOff>
      <xdr:row>2597</xdr:row>
      <xdr:rowOff>118110</xdr:rowOff>
    </xdr:to>
    <xdr:pic>
      <xdr:nvPicPr>
        <xdr:cNvPr id="2939" name="Imagen 2938" descr="Ver detalle">
          <a:hlinkClick xmlns:r="http://schemas.openxmlformats.org/officeDocument/2006/relationships" r:id="rId2880" tooltip="Ver detalle"/>
          <a:extLst>
            <a:ext uri="{FF2B5EF4-FFF2-40B4-BE49-F238E27FC236}">
              <a16:creationId xmlns:a16="http://schemas.microsoft.com/office/drawing/2014/main" id="{89A5F952-36F9-E445-DC8E-2D59978DD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5674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2592</xdr:row>
      <xdr:rowOff>0</xdr:rowOff>
    </xdr:from>
    <xdr:to>
      <xdr:col>13</xdr:col>
      <xdr:colOff>0</xdr:colOff>
      <xdr:row>2593</xdr:row>
      <xdr:rowOff>118110</xdr:rowOff>
    </xdr:to>
    <xdr:pic>
      <xdr:nvPicPr>
        <xdr:cNvPr id="2940" name="Imagen 2939" descr="Ver detalle">
          <a:hlinkClick xmlns:r="http://schemas.openxmlformats.org/officeDocument/2006/relationships" r:id="rId2881" tooltip="Ver detalle"/>
          <a:extLst>
            <a:ext uri="{FF2B5EF4-FFF2-40B4-BE49-F238E27FC236}">
              <a16:creationId xmlns:a16="http://schemas.microsoft.com/office/drawing/2014/main" id="{7D5372CF-0433-39BD-55F9-DCE754ADF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5918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2591</xdr:row>
      <xdr:rowOff>0</xdr:rowOff>
    </xdr:from>
    <xdr:to>
      <xdr:col>13</xdr:col>
      <xdr:colOff>0</xdr:colOff>
      <xdr:row>2592</xdr:row>
      <xdr:rowOff>118110</xdr:rowOff>
    </xdr:to>
    <xdr:pic>
      <xdr:nvPicPr>
        <xdr:cNvPr id="2941" name="Imagen 2940" descr="Ver detalle">
          <a:hlinkClick xmlns:r="http://schemas.openxmlformats.org/officeDocument/2006/relationships" r:id="rId2882" tooltip="Ver detalle"/>
          <a:extLst>
            <a:ext uri="{FF2B5EF4-FFF2-40B4-BE49-F238E27FC236}">
              <a16:creationId xmlns:a16="http://schemas.microsoft.com/office/drawing/2014/main" id="{B4A5FD89-15B2-E972-2A68-C7E522042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6162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2588</xdr:row>
      <xdr:rowOff>0</xdr:rowOff>
    </xdr:from>
    <xdr:to>
      <xdr:col>13</xdr:col>
      <xdr:colOff>0</xdr:colOff>
      <xdr:row>2589</xdr:row>
      <xdr:rowOff>118110</xdr:rowOff>
    </xdr:to>
    <xdr:pic>
      <xdr:nvPicPr>
        <xdr:cNvPr id="2942" name="Imagen 2941" descr="Ver detalle">
          <a:hlinkClick xmlns:r="http://schemas.openxmlformats.org/officeDocument/2006/relationships" r:id="rId2883" tooltip="Ver detalle"/>
          <a:extLst>
            <a:ext uri="{FF2B5EF4-FFF2-40B4-BE49-F238E27FC236}">
              <a16:creationId xmlns:a16="http://schemas.microsoft.com/office/drawing/2014/main" id="{F583B951-22F1-09A7-E409-652ABCF60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6276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2590</xdr:row>
      <xdr:rowOff>0</xdr:rowOff>
    </xdr:from>
    <xdr:to>
      <xdr:col>13</xdr:col>
      <xdr:colOff>0</xdr:colOff>
      <xdr:row>2591</xdr:row>
      <xdr:rowOff>118110</xdr:rowOff>
    </xdr:to>
    <xdr:pic>
      <xdr:nvPicPr>
        <xdr:cNvPr id="2943" name="Imagen 2942" descr="Ver detalle">
          <a:hlinkClick xmlns:r="http://schemas.openxmlformats.org/officeDocument/2006/relationships" r:id="rId2884" tooltip="Ver detalle"/>
          <a:extLst>
            <a:ext uri="{FF2B5EF4-FFF2-40B4-BE49-F238E27FC236}">
              <a16:creationId xmlns:a16="http://schemas.microsoft.com/office/drawing/2014/main" id="{C63B6026-B1EB-3E83-0422-9A2715F5D3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6520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2607</xdr:row>
      <xdr:rowOff>0</xdr:rowOff>
    </xdr:from>
    <xdr:to>
      <xdr:col>13</xdr:col>
      <xdr:colOff>0</xdr:colOff>
      <xdr:row>2608</xdr:row>
      <xdr:rowOff>114300</xdr:rowOff>
    </xdr:to>
    <xdr:pic>
      <xdr:nvPicPr>
        <xdr:cNvPr id="2944" name="Imagen 2943" descr="Ver detalle">
          <a:hlinkClick xmlns:r="http://schemas.openxmlformats.org/officeDocument/2006/relationships" r:id="rId2885" tooltip="Ver detalle"/>
          <a:extLst>
            <a:ext uri="{FF2B5EF4-FFF2-40B4-BE49-F238E27FC236}">
              <a16:creationId xmlns:a16="http://schemas.microsoft.com/office/drawing/2014/main" id="{FDBDE635-6049-B433-44BE-899EC33BF4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6634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2600</xdr:row>
      <xdr:rowOff>0</xdr:rowOff>
    </xdr:from>
    <xdr:to>
      <xdr:col>13</xdr:col>
      <xdr:colOff>0</xdr:colOff>
      <xdr:row>2601</xdr:row>
      <xdr:rowOff>114300</xdr:rowOff>
    </xdr:to>
    <xdr:pic>
      <xdr:nvPicPr>
        <xdr:cNvPr id="2945" name="Imagen 2944" descr="Ver detalle">
          <a:hlinkClick xmlns:r="http://schemas.openxmlformats.org/officeDocument/2006/relationships" r:id="rId2886" tooltip="Ver detalle"/>
          <a:extLst>
            <a:ext uri="{FF2B5EF4-FFF2-40B4-BE49-F238E27FC236}">
              <a16:creationId xmlns:a16="http://schemas.microsoft.com/office/drawing/2014/main" id="{46382F81-C3D9-1B51-FE70-C6D45A09E5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6797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2589</xdr:row>
      <xdr:rowOff>0</xdr:rowOff>
    </xdr:from>
    <xdr:to>
      <xdr:col>13</xdr:col>
      <xdr:colOff>0</xdr:colOff>
      <xdr:row>2590</xdr:row>
      <xdr:rowOff>118110</xdr:rowOff>
    </xdr:to>
    <xdr:pic>
      <xdr:nvPicPr>
        <xdr:cNvPr id="2946" name="Imagen 2945" descr="Ver detalle">
          <a:hlinkClick xmlns:r="http://schemas.openxmlformats.org/officeDocument/2006/relationships" r:id="rId2887" tooltip="Ver detalle"/>
          <a:extLst>
            <a:ext uri="{FF2B5EF4-FFF2-40B4-BE49-F238E27FC236}">
              <a16:creationId xmlns:a16="http://schemas.microsoft.com/office/drawing/2014/main" id="{70C9B8BC-A22B-C85C-34D1-868BCC318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6960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2582</xdr:row>
      <xdr:rowOff>0</xdr:rowOff>
    </xdr:from>
    <xdr:to>
      <xdr:col>13</xdr:col>
      <xdr:colOff>0</xdr:colOff>
      <xdr:row>2583</xdr:row>
      <xdr:rowOff>114300</xdr:rowOff>
    </xdr:to>
    <xdr:pic>
      <xdr:nvPicPr>
        <xdr:cNvPr id="2947" name="Imagen 2946" descr="Ver detalle">
          <a:hlinkClick xmlns:r="http://schemas.openxmlformats.org/officeDocument/2006/relationships" r:id="rId2888" tooltip="Ver detalle"/>
          <a:extLst>
            <a:ext uri="{FF2B5EF4-FFF2-40B4-BE49-F238E27FC236}">
              <a16:creationId xmlns:a16="http://schemas.microsoft.com/office/drawing/2014/main" id="{CBC7E651-D647-804C-4F8D-8BA8EF87C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720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2583</xdr:row>
      <xdr:rowOff>0</xdr:rowOff>
    </xdr:from>
    <xdr:to>
      <xdr:col>13</xdr:col>
      <xdr:colOff>0</xdr:colOff>
      <xdr:row>2584</xdr:row>
      <xdr:rowOff>114300</xdr:rowOff>
    </xdr:to>
    <xdr:pic>
      <xdr:nvPicPr>
        <xdr:cNvPr id="2948" name="Imagen 2947" descr="Ver detalle">
          <a:hlinkClick xmlns:r="http://schemas.openxmlformats.org/officeDocument/2006/relationships" r:id="rId2889" tooltip="Ver detalle"/>
          <a:extLst>
            <a:ext uri="{FF2B5EF4-FFF2-40B4-BE49-F238E27FC236}">
              <a16:creationId xmlns:a16="http://schemas.microsoft.com/office/drawing/2014/main" id="{AFC31941-7ADB-9581-5DEB-E39A4C6E0D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7367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2584</xdr:row>
      <xdr:rowOff>0</xdr:rowOff>
    </xdr:from>
    <xdr:to>
      <xdr:col>13</xdr:col>
      <xdr:colOff>0</xdr:colOff>
      <xdr:row>2585</xdr:row>
      <xdr:rowOff>114300</xdr:rowOff>
    </xdr:to>
    <xdr:pic>
      <xdr:nvPicPr>
        <xdr:cNvPr id="2949" name="Imagen 2948" descr="Ver detalle">
          <a:hlinkClick xmlns:r="http://schemas.openxmlformats.org/officeDocument/2006/relationships" r:id="rId2890" tooltip="Ver detalle"/>
          <a:extLst>
            <a:ext uri="{FF2B5EF4-FFF2-40B4-BE49-F238E27FC236}">
              <a16:creationId xmlns:a16="http://schemas.microsoft.com/office/drawing/2014/main" id="{ADEADC70-BC24-A540-9926-642687A66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7530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2585</xdr:row>
      <xdr:rowOff>0</xdr:rowOff>
    </xdr:from>
    <xdr:to>
      <xdr:col>13</xdr:col>
      <xdr:colOff>0</xdr:colOff>
      <xdr:row>2586</xdr:row>
      <xdr:rowOff>114300</xdr:rowOff>
    </xdr:to>
    <xdr:pic>
      <xdr:nvPicPr>
        <xdr:cNvPr id="2950" name="Imagen 2949" descr="Ver detalle">
          <a:hlinkClick xmlns:r="http://schemas.openxmlformats.org/officeDocument/2006/relationships" r:id="rId2891" tooltip="Ver detalle"/>
          <a:extLst>
            <a:ext uri="{FF2B5EF4-FFF2-40B4-BE49-F238E27FC236}">
              <a16:creationId xmlns:a16="http://schemas.microsoft.com/office/drawing/2014/main" id="{FEECF6C2-8B47-60FE-C35A-76E7DD1E8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7693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2586</xdr:row>
      <xdr:rowOff>0</xdr:rowOff>
    </xdr:from>
    <xdr:to>
      <xdr:col>13</xdr:col>
      <xdr:colOff>0</xdr:colOff>
      <xdr:row>2587</xdr:row>
      <xdr:rowOff>114300</xdr:rowOff>
    </xdr:to>
    <xdr:pic>
      <xdr:nvPicPr>
        <xdr:cNvPr id="2951" name="Imagen 2950" descr="Ver detalle">
          <a:hlinkClick xmlns:r="http://schemas.openxmlformats.org/officeDocument/2006/relationships" r:id="rId2892" tooltip="Ver detalle"/>
          <a:extLst>
            <a:ext uri="{FF2B5EF4-FFF2-40B4-BE49-F238E27FC236}">
              <a16:creationId xmlns:a16="http://schemas.microsoft.com/office/drawing/2014/main" id="{A06B9A73-1ED8-55A0-66D8-688488A8F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7937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2587</xdr:row>
      <xdr:rowOff>0</xdr:rowOff>
    </xdr:from>
    <xdr:to>
      <xdr:col>13</xdr:col>
      <xdr:colOff>0</xdr:colOff>
      <xdr:row>2588</xdr:row>
      <xdr:rowOff>114300</xdr:rowOff>
    </xdr:to>
    <xdr:pic>
      <xdr:nvPicPr>
        <xdr:cNvPr id="2952" name="Imagen 2951" descr="Ver detalle">
          <a:hlinkClick xmlns:r="http://schemas.openxmlformats.org/officeDocument/2006/relationships" r:id="rId2893" tooltip="Ver detalle"/>
          <a:extLst>
            <a:ext uri="{FF2B5EF4-FFF2-40B4-BE49-F238E27FC236}">
              <a16:creationId xmlns:a16="http://schemas.microsoft.com/office/drawing/2014/main" id="{64E88B11-71E7-5161-DCE7-749A43183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8180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2579</xdr:row>
      <xdr:rowOff>0</xdr:rowOff>
    </xdr:from>
    <xdr:to>
      <xdr:col>13</xdr:col>
      <xdr:colOff>0</xdr:colOff>
      <xdr:row>2580</xdr:row>
      <xdr:rowOff>118110</xdr:rowOff>
    </xdr:to>
    <xdr:pic>
      <xdr:nvPicPr>
        <xdr:cNvPr id="2953" name="Imagen 2952" descr="Ver detalle">
          <a:hlinkClick xmlns:r="http://schemas.openxmlformats.org/officeDocument/2006/relationships" r:id="rId2894" tooltip="Ver detalle"/>
          <a:extLst>
            <a:ext uri="{FF2B5EF4-FFF2-40B4-BE49-F238E27FC236}">
              <a16:creationId xmlns:a16="http://schemas.microsoft.com/office/drawing/2014/main" id="{AE52F1FF-FCEE-DDFB-6163-CFDF0EC18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8424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2580</xdr:row>
      <xdr:rowOff>0</xdr:rowOff>
    </xdr:from>
    <xdr:to>
      <xdr:col>13</xdr:col>
      <xdr:colOff>0</xdr:colOff>
      <xdr:row>2581</xdr:row>
      <xdr:rowOff>118110</xdr:rowOff>
    </xdr:to>
    <xdr:pic>
      <xdr:nvPicPr>
        <xdr:cNvPr id="2954" name="Imagen 2953" descr="Ver detalle">
          <a:hlinkClick xmlns:r="http://schemas.openxmlformats.org/officeDocument/2006/relationships" r:id="rId2895" tooltip="Ver detalle"/>
          <a:extLst>
            <a:ext uri="{FF2B5EF4-FFF2-40B4-BE49-F238E27FC236}">
              <a16:creationId xmlns:a16="http://schemas.microsoft.com/office/drawing/2014/main" id="{EFE5D979-5EB1-F0AF-7A14-433DCCB71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8668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2581</xdr:row>
      <xdr:rowOff>0</xdr:rowOff>
    </xdr:from>
    <xdr:to>
      <xdr:col>13</xdr:col>
      <xdr:colOff>0</xdr:colOff>
      <xdr:row>2582</xdr:row>
      <xdr:rowOff>118110</xdr:rowOff>
    </xdr:to>
    <xdr:pic>
      <xdr:nvPicPr>
        <xdr:cNvPr id="2955" name="Imagen 2954" descr="Ver detalle">
          <a:hlinkClick xmlns:r="http://schemas.openxmlformats.org/officeDocument/2006/relationships" r:id="rId2896" tooltip="Ver detalle"/>
          <a:extLst>
            <a:ext uri="{FF2B5EF4-FFF2-40B4-BE49-F238E27FC236}">
              <a16:creationId xmlns:a16="http://schemas.microsoft.com/office/drawing/2014/main" id="{19249E97-D873-3DD1-6288-80D2C8D93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8912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2575</xdr:row>
      <xdr:rowOff>0</xdr:rowOff>
    </xdr:from>
    <xdr:to>
      <xdr:col>13</xdr:col>
      <xdr:colOff>0</xdr:colOff>
      <xdr:row>2576</xdr:row>
      <xdr:rowOff>118110</xdr:rowOff>
    </xdr:to>
    <xdr:pic>
      <xdr:nvPicPr>
        <xdr:cNvPr id="2956" name="Imagen 2955" descr="Ver detalle">
          <a:hlinkClick xmlns:r="http://schemas.openxmlformats.org/officeDocument/2006/relationships" r:id="rId2897" tooltip="Ver detalle"/>
          <a:extLst>
            <a:ext uri="{FF2B5EF4-FFF2-40B4-BE49-F238E27FC236}">
              <a16:creationId xmlns:a16="http://schemas.microsoft.com/office/drawing/2014/main" id="{BD92ABCB-5C00-56B0-AEE5-AD4F25A6D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9026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2574</xdr:row>
      <xdr:rowOff>0</xdr:rowOff>
    </xdr:from>
    <xdr:to>
      <xdr:col>13</xdr:col>
      <xdr:colOff>0</xdr:colOff>
      <xdr:row>2575</xdr:row>
      <xdr:rowOff>118110</xdr:rowOff>
    </xdr:to>
    <xdr:pic>
      <xdr:nvPicPr>
        <xdr:cNvPr id="2957" name="Imagen 2956" descr="Ver detalle">
          <a:hlinkClick xmlns:r="http://schemas.openxmlformats.org/officeDocument/2006/relationships" r:id="rId2898" tooltip="Ver detalle"/>
          <a:extLst>
            <a:ext uri="{FF2B5EF4-FFF2-40B4-BE49-F238E27FC236}">
              <a16:creationId xmlns:a16="http://schemas.microsoft.com/office/drawing/2014/main" id="{02577638-DED1-568F-BB22-38CBC212C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9514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2576</xdr:row>
      <xdr:rowOff>0</xdr:rowOff>
    </xdr:from>
    <xdr:to>
      <xdr:col>13</xdr:col>
      <xdr:colOff>0</xdr:colOff>
      <xdr:row>2577</xdr:row>
      <xdr:rowOff>118110</xdr:rowOff>
    </xdr:to>
    <xdr:pic>
      <xdr:nvPicPr>
        <xdr:cNvPr id="2958" name="Imagen 2957" descr="Ver detalle">
          <a:hlinkClick xmlns:r="http://schemas.openxmlformats.org/officeDocument/2006/relationships" r:id="rId2899" tooltip="Ver detalle"/>
          <a:extLst>
            <a:ext uri="{FF2B5EF4-FFF2-40B4-BE49-F238E27FC236}">
              <a16:creationId xmlns:a16="http://schemas.microsoft.com/office/drawing/2014/main" id="{6594C342-8643-FB17-C23C-BAD7F1480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9677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2612</xdr:row>
      <xdr:rowOff>0</xdr:rowOff>
    </xdr:from>
    <xdr:to>
      <xdr:col>13</xdr:col>
      <xdr:colOff>0</xdr:colOff>
      <xdr:row>2613</xdr:row>
      <xdr:rowOff>114300</xdr:rowOff>
    </xdr:to>
    <xdr:pic>
      <xdr:nvPicPr>
        <xdr:cNvPr id="2959" name="Imagen 2958" descr="Ver detalle">
          <a:hlinkClick xmlns:r="http://schemas.openxmlformats.org/officeDocument/2006/relationships" r:id="rId2900" tooltip="Ver detalle"/>
          <a:extLst>
            <a:ext uri="{FF2B5EF4-FFF2-40B4-BE49-F238E27FC236}">
              <a16:creationId xmlns:a16="http://schemas.microsoft.com/office/drawing/2014/main" id="{C81FF1E4-8A04-564D-6192-4FEA0DCEB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9791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2577</xdr:row>
      <xdr:rowOff>0</xdr:rowOff>
    </xdr:from>
    <xdr:to>
      <xdr:col>13</xdr:col>
      <xdr:colOff>0</xdr:colOff>
      <xdr:row>2578</xdr:row>
      <xdr:rowOff>118110</xdr:rowOff>
    </xdr:to>
    <xdr:pic>
      <xdr:nvPicPr>
        <xdr:cNvPr id="2960" name="Imagen 2959" descr="Ver detalle">
          <a:hlinkClick xmlns:r="http://schemas.openxmlformats.org/officeDocument/2006/relationships" r:id="rId2901" tooltip="Ver detalle"/>
          <a:extLst>
            <a:ext uri="{FF2B5EF4-FFF2-40B4-BE49-F238E27FC236}">
              <a16:creationId xmlns:a16="http://schemas.microsoft.com/office/drawing/2014/main" id="{A97ACFC3-FAAE-E451-3E3F-4E913F48C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9954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2749</xdr:row>
      <xdr:rowOff>0</xdr:rowOff>
    </xdr:from>
    <xdr:to>
      <xdr:col>13</xdr:col>
      <xdr:colOff>0</xdr:colOff>
      <xdr:row>2750</xdr:row>
      <xdr:rowOff>114300</xdr:rowOff>
    </xdr:to>
    <xdr:pic>
      <xdr:nvPicPr>
        <xdr:cNvPr id="2961" name="Imagen 2960" descr="Ver detalle">
          <a:hlinkClick xmlns:r="http://schemas.openxmlformats.org/officeDocument/2006/relationships" r:id="rId2902" tooltip="Ver detalle"/>
          <a:extLst>
            <a:ext uri="{FF2B5EF4-FFF2-40B4-BE49-F238E27FC236}">
              <a16:creationId xmlns:a16="http://schemas.microsoft.com/office/drawing/2014/main" id="{5DDCA814-3C03-F782-7C64-651BBCF10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1426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2750</xdr:row>
      <xdr:rowOff>0</xdr:rowOff>
    </xdr:from>
    <xdr:to>
      <xdr:col>13</xdr:col>
      <xdr:colOff>0</xdr:colOff>
      <xdr:row>2751</xdr:row>
      <xdr:rowOff>114300</xdr:rowOff>
    </xdr:to>
    <xdr:pic>
      <xdr:nvPicPr>
        <xdr:cNvPr id="2962" name="Imagen 2961" descr="Ver detalle">
          <a:hlinkClick xmlns:r="http://schemas.openxmlformats.org/officeDocument/2006/relationships" r:id="rId2903" tooltip="Ver detalle"/>
          <a:extLst>
            <a:ext uri="{FF2B5EF4-FFF2-40B4-BE49-F238E27FC236}">
              <a16:creationId xmlns:a16="http://schemas.microsoft.com/office/drawing/2014/main" id="{793B3755-7BD3-6934-43CB-F6F6E62FC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1540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2751</xdr:row>
      <xdr:rowOff>0</xdr:rowOff>
    </xdr:from>
    <xdr:to>
      <xdr:col>13</xdr:col>
      <xdr:colOff>0</xdr:colOff>
      <xdr:row>2752</xdr:row>
      <xdr:rowOff>114300</xdr:rowOff>
    </xdr:to>
    <xdr:pic>
      <xdr:nvPicPr>
        <xdr:cNvPr id="2963" name="Imagen 2962" descr="Ver detalle">
          <a:hlinkClick xmlns:r="http://schemas.openxmlformats.org/officeDocument/2006/relationships" r:id="rId2904" tooltip="Ver detalle"/>
          <a:extLst>
            <a:ext uri="{FF2B5EF4-FFF2-40B4-BE49-F238E27FC236}">
              <a16:creationId xmlns:a16="http://schemas.microsoft.com/office/drawing/2014/main" id="{2646EB21-4D50-5259-8F79-9450F014A0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1784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2752</xdr:row>
      <xdr:rowOff>0</xdr:rowOff>
    </xdr:from>
    <xdr:to>
      <xdr:col>13</xdr:col>
      <xdr:colOff>0</xdr:colOff>
      <xdr:row>2753</xdr:row>
      <xdr:rowOff>114300</xdr:rowOff>
    </xdr:to>
    <xdr:pic>
      <xdr:nvPicPr>
        <xdr:cNvPr id="2964" name="Imagen 2963" descr="Ver detalle">
          <a:hlinkClick xmlns:r="http://schemas.openxmlformats.org/officeDocument/2006/relationships" r:id="rId2905" tooltip="Ver detalle"/>
          <a:extLst>
            <a:ext uri="{FF2B5EF4-FFF2-40B4-BE49-F238E27FC236}">
              <a16:creationId xmlns:a16="http://schemas.microsoft.com/office/drawing/2014/main" id="{8104E0BE-ED9D-3321-168A-244B7DAEE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2028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2753</xdr:row>
      <xdr:rowOff>0</xdr:rowOff>
    </xdr:from>
    <xdr:to>
      <xdr:col>13</xdr:col>
      <xdr:colOff>0</xdr:colOff>
      <xdr:row>2754</xdr:row>
      <xdr:rowOff>114300</xdr:rowOff>
    </xdr:to>
    <xdr:pic>
      <xdr:nvPicPr>
        <xdr:cNvPr id="2965" name="Imagen 2964" descr="Ver detalle">
          <a:hlinkClick xmlns:r="http://schemas.openxmlformats.org/officeDocument/2006/relationships" r:id="rId2906" tooltip="Ver detalle"/>
          <a:extLst>
            <a:ext uri="{FF2B5EF4-FFF2-40B4-BE49-F238E27FC236}">
              <a16:creationId xmlns:a16="http://schemas.microsoft.com/office/drawing/2014/main" id="{FBD1A8AB-C90C-EC8E-79AE-5D64FA8D5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2272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2754</xdr:row>
      <xdr:rowOff>0</xdr:rowOff>
    </xdr:from>
    <xdr:to>
      <xdr:col>13</xdr:col>
      <xdr:colOff>0</xdr:colOff>
      <xdr:row>2755</xdr:row>
      <xdr:rowOff>114300</xdr:rowOff>
    </xdr:to>
    <xdr:pic>
      <xdr:nvPicPr>
        <xdr:cNvPr id="2966" name="Imagen 2965" descr="Ver detalle">
          <a:hlinkClick xmlns:r="http://schemas.openxmlformats.org/officeDocument/2006/relationships" r:id="rId2907" tooltip="Ver detalle"/>
          <a:extLst>
            <a:ext uri="{FF2B5EF4-FFF2-40B4-BE49-F238E27FC236}">
              <a16:creationId xmlns:a16="http://schemas.microsoft.com/office/drawing/2014/main" id="{0D61560F-C283-C189-2A00-07390FE78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2516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2755</xdr:row>
      <xdr:rowOff>0</xdr:rowOff>
    </xdr:from>
    <xdr:to>
      <xdr:col>13</xdr:col>
      <xdr:colOff>0</xdr:colOff>
      <xdr:row>2756</xdr:row>
      <xdr:rowOff>114300</xdr:rowOff>
    </xdr:to>
    <xdr:pic>
      <xdr:nvPicPr>
        <xdr:cNvPr id="2967" name="Imagen 2966" descr="Ver detalle">
          <a:hlinkClick xmlns:r="http://schemas.openxmlformats.org/officeDocument/2006/relationships" r:id="rId2908" tooltip="Ver detalle"/>
          <a:extLst>
            <a:ext uri="{FF2B5EF4-FFF2-40B4-BE49-F238E27FC236}">
              <a16:creationId xmlns:a16="http://schemas.microsoft.com/office/drawing/2014/main" id="{512218F6-425F-6A4F-9A32-1E8BBE600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2759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2756</xdr:row>
      <xdr:rowOff>0</xdr:rowOff>
    </xdr:from>
    <xdr:to>
      <xdr:col>13</xdr:col>
      <xdr:colOff>0</xdr:colOff>
      <xdr:row>2757</xdr:row>
      <xdr:rowOff>114300</xdr:rowOff>
    </xdr:to>
    <xdr:pic>
      <xdr:nvPicPr>
        <xdr:cNvPr id="2968" name="Imagen 2967" descr="Ver detalle">
          <a:hlinkClick xmlns:r="http://schemas.openxmlformats.org/officeDocument/2006/relationships" r:id="rId2909" tooltip="Ver detalle"/>
          <a:extLst>
            <a:ext uri="{FF2B5EF4-FFF2-40B4-BE49-F238E27FC236}">
              <a16:creationId xmlns:a16="http://schemas.microsoft.com/office/drawing/2014/main" id="{621B6A50-4D87-BEEF-177D-7B87AC3AA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3003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2757</xdr:row>
      <xdr:rowOff>0</xdr:rowOff>
    </xdr:from>
    <xdr:to>
      <xdr:col>13</xdr:col>
      <xdr:colOff>0</xdr:colOff>
      <xdr:row>2758</xdr:row>
      <xdr:rowOff>114300</xdr:rowOff>
    </xdr:to>
    <xdr:pic>
      <xdr:nvPicPr>
        <xdr:cNvPr id="2969" name="Imagen 2968" descr="Ver detalle">
          <a:hlinkClick xmlns:r="http://schemas.openxmlformats.org/officeDocument/2006/relationships" r:id="rId2910" tooltip="Ver detalle"/>
          <a:extLst>
            <a:ext uri="{FF2B5EF4-FFF2-40B4-BE49-F238E27FC236}">
              <a16:creationId xmlns:a16="http://schemas.microsoft.com/office/drawing/2014/main" id="{8F4B7CCA-1AA2-BF79-AE35-187E2F507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3247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2758</xdr:row>
      <xdr:rowOff>0</xdr:rowOff>
    </xdr:from>
    <xdr:to>
      <xdr:col>13</xdr:col>
      <xdr:colOff>0</xdr:colOff>
      <xdr:row>2759</xdr:row>
      <xdr:rowOff>114300</xdr:rowOff>
    </xdr:to>
    <xdr:pic>
      <xdr:nvPicPr>
        <xdr:cNvPr id="2970" name="Imagen 2969" descr="Ver detalle">
          <a:hlinkClick xmlns:r="http://schemas.openxmlformats.org/officeDocument/2006/relationships" r:id="rId2911" tooltip="Ver detalle"/>
          <a:extLst>
            <a:ext uri="{FF2B5EF4-FFF2-40B4-BE49-F238E27FC236}">
              <a16:creationId xmlns:a16="http://schemas.microsoft.com/office/drawing/2014/main" id="{7FDD163B-26D3-81E9-5C59-7C5E93E1D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3491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2759</xdr:row>
      <xdr:rowOff>0</xdr:rowOff>
    </xdr:from>
    <xdr:to>
      <xdr:col>13</xdr:col>
      <xdr:colOff>0</xdr:colOff>
      <xdr:row>2760</xdr:row>
      <xdr:rowOff>114300</xdr:rowOff>
    </xdr:to>
    <xdr:pic>
      <xdr:nvPicPr>
        <xdr:cNvPr id="2971" name="Imagen 2970" descr="Ver detalle">
          <a:hlinkClick xmlns:r="http://schemas.openxmlformats.org/officeDocument/2006/relationships" r:id="rId2912" tooltip="Ver detalle"/>
          <a:extLst>
            <a:ext uri="{FF2B5EF4-FFF2-40B4-BE49-F238E27FC236}">
              <a16:creationId xmlns:a16="http://schemas.microsoft.com/office/drawing/2014/main" id="{D21354F4-1DF5-E20C-E7FE-4E29217D0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3735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2760</xdr:row>
      <xdr:rowOff>0</xdr:rowOff>
    </xdr:from>
    <xdr:to>
      <xdr:col>13</xdr:col>
      <xdr:colOff>0</xdr:colOff>
      <xdr:row>2761</xdr:row>
      <xdr:rowOff>114300</xdr:rowOff>
    </xdr:to>
    <xdr:pic>
      <xdr:nvPicPr>
        <xdr:cNvPr id="2972" name="Imagen 2971" descr="Ver detalle">
          <a:hlinkClick xmlns:r="http://schemas.openxmlformats.org/officeDocument/2006/relationships" r:id="rId2913" tooltip="Ver detalle"/>
          <a:extLst>
            <a:ext uri="{FF2B5EF4-FFF2-40B4-BE49-F238E27FC236}">
              <a16:creationId xmlns:a16="http://schemas.microsoft.com/office/drawing/2014/main" id="{F67D466F-1063-7435-A487-15C1EA850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3849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2761</xdr:row>
      <xdr:rowOff>0</xdr:rowOff>
    </xdr:from>
    <xdr:to>
      <xdr:col>13</xdr:col>
      <xdr:colOff>0</xdr:colOff>
      <xdr:row>2762</xdr:row>
      <xdr:rowOff>114300</xdr:rowOff>
    </xdr:to>
    <xdr:pic>
      <xdr:nvPicPr>
        <xdr:cNvPr id="2973" name="Imagen 2972" descr="Ver detalle">
          <a:hlinkClick xmlns:r="http://schemas.openxmlformats.org/officeDocument/2006/relationships" r:id="rId2914" tooltip="Ver detalle"/>
          <a:extLst>
            <a:ext uri="{FF2B5EF4-FFF2-40B4-BE49-F238E27FC236}">
              <a16:creationId xmlns:a16="http://schemas.microsoft.com/office/drawing/2014/main" id="{EE503604-ADDA-9706-F766-422493D8B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3963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2762</xdr:row>
      <xdr:rowOff>0</xdr:rowOff>
    </xdr:from>
    <xdr:to>
      <xdr:col>13</xdr:col>
      <xdr:colOff>0</xdr:colOff>
      <xdr:row>2763</xdr:row>
      <xdr:rowOff>114300</xdr:rowOff>
    </xdr:to>
    <xdr:pic>
      <xdr:nvPicPr>
        <xdr:cNvPr id="2974" name="Imagen 2973" descr="Ver detalle">
          <a:hlinkClick xmlns:r="http://schemas.openxmlformats.org/officeDocument/2006/relationships" r:id="rId2915" tooltip="Ver detalle"/>
          <a:extLst>
            <a:ext uri="{FF2B5EF4-FFF2-40B4-BE49-F238E27FC236}">
              <a16:creationId xmlns:a16="http://schemas.microsoft.com/office/drawing/2014/main" id="{257C4568-5BA6-CF53-CF26-85A822728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4078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2763</xdr:row>
      <xdr:rowOff>0</xdr:rowOff>
    </xdr:from>
    <xdr:to>
      <xdr:col>13</xdr:col>
      <xdr:colOff>0</xdr:colOff>
      <xdr:row>2764</xdr:row>
      <xdr:rowOff>114300</xdr:rowOff>
    </xdr:to>
    <xdr:pic>
      <xdr:nvPicPr>
        <xdr:cNvPr id="2975" name="Imagen 2974" descr="Ver detalle">
          <a:hlinkClick xmlns:r="http://schemas.openxmlformats.org/officeDocument/2006/relationships" r:id="rId2916" tooltip="Ver detalle"/>
          <a:extLst>
            <a:ext uri="{FF2B5EF4-FFF2-40B4-BE49-F238E27FC236}">
              <a16:creationId xmlns:a16="http://schemas.microsoft.com/office/drawing/2014/main" id="{D6AF24E2-C4C8-562C-D667-E98AF409D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4192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2764</xdr:row>
      <xdr:rowOff>0</xdr:rowOff>
    </xdr:from>
    <xdr:to>
      <xdr:col>13</xdr:col>
      <xdr:colOff>0</xdr:colOff>
      <xdr:row>2765</xdr:row>
      <xdr:rowOff>114300</xdr:rowOff>
    </xdr:to>
    <xdr:pic>
      <xdr:nvPicPr>
        <xdr:cNvPr id="2976" name="Imagen 2975" descr="Ver detalle">
          <a:hlinkClick xmlns:r="http://schemas.openxmlformats.org/officeDocument/2006/relationships" r:id="rId2917" tooltip="Ver detalle"/>
          <a:extLst>
            <a:ext uri="{FF2B5EF4-FFF2-40B4-BE49-F238E27FC236}">
              <a16:creationId xmlns:a16="http://schemas.microsoft.com/office/drawing/2014/main" id="{16098BA3-9602-93DD-D1DF-90AC41687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4306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2765</xdr:row>
      <xdr:rowOff>0</xdr:rowOff>
    </xdr:from>
    <xdr:to>
      <xdr:col>13</xdr:col>
      <xdr:colOff>0</xdr:colOff>
      <xdr:row>2766</xdr:row>
      <xdr:rowOff>114300</xdr:rowOff>
    </xdr:to>
    <xdr:pic>
      <xdr:nvPicPr>
        <xdr:cNvPr id="2977" name="Imagen 2976" descr="Ver detalle">
          <a:hlinkClick xmlns:r="http://schemas.openxmlformats.org/officeDocument/2006/relationships" r:id="rId2918" tooltip="Ver detalle"/>
          <a:extLst>
            <a:ext uri="{FF2B5EF4-FFF2-40B4-BE49-F238E27FC236}">
              <a16:creationId xmlns:a16="http://schemas.microsoft.com/office/drawing/2014/main" id="{58E8A17A-061B-C670-6343-10CDB5FFF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4421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2766</xdr:row>
      <xdr:rowOff>0</xdr:rowOff>
    </xdr:from>
    <xdr:to>
      <xdr:col>13</xdr:col>
      <xdr:colOff>0</xdr:colOff>
      <xdr:row>2767</xdr:row>
      <xdr:rowOff>114300</xdr:rowOff>
    </xdr:to>
    <xdr:pic>
      <xdr:nvPicPr>
        <xdr:cNvPr id="2978" name="Imagen 2977" descr="Ver detalle">
          <a:hlinkClick xmlns:r="http://schemas.openxmlformats.org/officeDocument/2006/relationships" r:id="rId2919" tooltip="Ver detalle"/>
          <a:extLst>
            <a:ext uri="{FF2B5EF4-FFF2-40B4-BE49-F238E27FC236}">
              <a16:creationId xmlns:a16="http://schemas.microsoft.com/office/drawing/2014/main" id="{FDC8F1A5-CB8F-6545-1337-7B9F22C2C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4535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2767</xdr:row>
      <xdr:rowOff>0</xdr:rowOff>
    </xdr:from>
    <xdr:to>
      <xdr:col>13</xdr:col>
      <xdr:colOff>0</xdr:colOff>
      <xdr:row>2768</xdr:row>
      <xdr:rowOff>114300</xdr:rowOff>
    </xdr:to>
    <xdr:pic>
      <xdr:nvPicPr>
        <xdr:cNvPr id="2979" name="Imagen 2978" descr="Ver detalle">
          <a:hlinkClick xmlns:r="http://schemas.openxmlformats.org/officeDocument/2006/relationships" r:id="rId2920" tooltip="Ver detalle"/>
          <a:extLst>
            <a:ext uri="{FF2B5EF4-FFF2-40B4-BE49-F238E27FC236}">
              <a16:creationId xmlns:a16="http://schemas.microsoft.com/office/drawing/2014/main" id="{6781955B-1CAC-F41A-73A8-A20F8ECC0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4649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2768</xdr:row>
      <xdr:rowOff>0</xdr:rowOff>
    </xdr:from>
    <xdr:to>
      <xdr:col>13</xdr:col>
      <xdr:colOff>0</xdr:colOff>
      <xdr:row>2769</xdr:row>
      <xdr:rowOff>114300</xdr:rowOff>
    </xdr:to>
    <xdr:pic>
      <xdr:nvPicPr>
        <xdr:cNvPr id="2980" name="Imagen 2979" descr="Ver detalle">
          <a:hlinkClick xmlns:r="http://schemas.openxmlformats.org/officeDocument/2006/relationships" r:id="rId2921" tooltip="Ver detalle"/>
          <a:extLst>
            <a:ext uri="{FF2B5EF4-FFF2-40B4-BE49-F238E27FC236}">
              <a16:creationId xmlns:a16="http://schemas.microsoft.com/office/drawing/2014/main" id="{8AB66A74-AF77-A690-A1EC-925B7A344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4763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2769</xdr:row>
      <xdr:rowOff>0</xdr:rowOff>
    </xdr:from>
    <xdr:to>
      <xdr:col>13</xdr:col>
      <xdr:colOff>0</xdr:colOff>
      <xdr:row>2770</xdr:row>
      <xdr:rowOff>104775</xdr:rowOff>
    </xdr:to>
    <xdr:pic>
      <xdr:nvPicPr>
        <xdr:cNvPr id="2981" name="Imagen 2980" descr="Ver detalle">
          <a:hlinkClick xmlns:r="http://schemas.openxmlformats.org/officeDocument/2006/relationships" r:id="rId2922" tooltip="Ver detalle"/>
          <a:extLst>
            <a:ext uri="{FF2B5EF4-FFF2-40B4-BE49-F238E27FC236}">
              <a16:creationId xmlns:a16="http://schemas.microsoft.com/office/drawing/2014/main" id="{0841E6B3-AE8E-E97D-6A93-260D1EFD5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5007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2710</xdr:row>
      <xdr:rowOff>0</xdr:rowOff>
    </xdr:from>
    <xdr:to>
      <xdr:col>13</xdr:col>
      <xdr:colOff>0</xdr:colOff>
      <xdr:row>2711</xdr:row>
      <xdr:rowOff>104775</xdr:rowOff>
    </xdr:to>
    <xdr:pic>
      <xdr:nvPicPr>
        <xdr:cNvPr id="2982" name="Imagen 2981" descr="Ver detalle">
          <a:hlinkClick xmlns:r="http://schemas.openxmlformats.org/officeDocument/2006/relationships" r:id="rId2923" tooltip="Ver detalle"/>
          <a:extLst>
            <a:ext uri="{FF2B5EF4-FFF2-40B4-BE49-F238E27FC236}">
              <a16:creationId xmlns:a16="http://schemas.microsoft.com/office/drawing/2014/main" id="{395CBB4B-E25C-7CEB-136A-D0C273E95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5251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2707</xdr:row>
      <xdr:rowOff>0</xdr:rowOff>
    </xdr:from>
    <xdr:to>
      <xdr:col>13</xdr:col>
      <xdr:colOff>0</xdr:colOff>
      <xdr:row>2708</xdr:row>
      <xdr:rowOff>114300</xdr:rowOff>
    </xdr:to>
    <xdr:pic>
      <xdr:nvPicPr>
        <xdr:cNvPr id="2983" name="Imagen 2982" descr="Ver detalle">
          <a:hlinkClick xmlns:r="http://schemas.openxmlformats.org/officeDocument/2006/relationships" r:id="rId2924" tooltip="Ver detalle"/>
          <a:extLst>
            <a:ext uri="{FF2B5EF4-FFF2-40B4-BE49-F238E27FC236}">
              <a16:creationId xmlns:a16="http://schemas.microsoft.com/office/drawing/2014/main" id="{2CCC4804-AE86-F79D-6F37-1A8680860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5495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2708</xdr:row>
      <xdr:rowOff>0</xdr:rowOff>
    </xdr:from>
    <xdr:to>
      <xdr:col>13</xdr:col>
      <xdr:colOff>0</xdr:colOff>
      <xdr:row>2709</xdr:row>
      <xdr:rowOff>114300</xdr:rowOff>
    </xdr:to>
    <xdr:pic>
      <xdr:nvPicPr>
        <xdr:cNvPr id="2984" name="Imagen 2983" descr="Ver detalle">
          <a:hlinkClick xmlns:r="http://schemas.openxmlformats.org/officeDocument/2006/relationships" r:id="rId2925" tooltip="Ver detalle"/>
          <a:extLst>
            <a:ext uri="{FF2B5EF4-FFF2-40B4-BE49-F238E27FC236}">
              <a16:creationId xmlns:a16="http://schemas.microsoft.com/office/drawing/2014/main" id="{BD99348B-D8C9-5C7C-66D8-7FCD6A4BE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5739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2706</xdr:row>
      <xdr:rowOff>0</xdr:rowOff>
    </xdr:from>
    <xdr:to>
      <xdr:col>13</xdr:col>
      <xdr:colOff>0</xdr:colOff>
      <xdr:row>2707</xdr:row>
      <xdr:rowOff>114300</xdr:rowOff>
    </xdr:to>
    <xdr:pic>
      <xdr:nvPicPr>
        <xdr:cNvPr id="2985" name="Imagen 2984" descr="Ver detalle">
          <a:hlinkClick xmlns:r="http://schemas.openxmlformats.org/officeDocument/2006/relationships" r:id="rId2926" tooltip="Ver detalle"/>
          <a:extLst>
            <a:ext uri="{FF2B5EF4-FFF2-40B4-BE49-F238E27FC236}">
              <a16:creationId xmlns:a16="http://schemas.microsoft.com/office/drawing/2014/main" id="{03A61DFE-4001-BA5A-FEC4-C87A0F3DB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5983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2703</xdr:row>
      <xdr:rowOff>0</xdr:rowOff>
    </xdr:from>
    <xdr:to>
      <xdr:col>13</xdr:col>
      <xdr:colOff>0</xdr:colOff>
      <xdr:row>2704</xdr:row>
      <xdr:rowOff>114300</xdr:rowOff>
    </xdr:to>
    <xdr:pic>
      <xdr:nvPicPr>
        <xdr:cNvPr id="2986" name="Imagen 2985" descr="Ver detalle">
          <a:hlinkClick xmlns:r="http://schemas.openxmlformats.org/officeDocument/2006/relationships" r:id="rId2927" tooltip="Ver detalle"/>
          <a:extLst>
            <a:ext uri="{FF2B5EF4-FFF2-40B4-BE49-F238E27FC236}">
              <a16:creationId xmlns:a16="http://schemas.microsoft.com/office/drawing/2014/main" id="{2A21BAA4-ADFD-3BB9-7D97-5343D5F72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6227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2704</xdr:row>
      <xdr:rowOff>0</xdr:rowOff>
    </xdr:from>
    <xdr:to>
      <xdr:col>13</xdr:col>
      <xdr:colOff>0</xdr:colOff>
      <xdr:row>2705</xdr:row>
      <xdr:rowOff>114300</xdr:rowOff>
    </xdr:to>
    <xdr:pic>
      <xdr:nvPicPr>
        <xdr:cNvPr id="2987" name="Imagen 2986" descr="Ver detalle">
          <a:hlinkClick xmlns:r="http://schemas.openxmlformats.org/officeDocument/2006/relationships" r:id="rId2928" tooltip="Ver detalle"/>
          <a:extLst>
            <a:ext uri="{FF2B5EF4-FFF2-40B4-BE49-F238E27FC236}">
              <a16:creationId xmlns:a16="http://schemas.microsoft.com/office/drawing/2014/main" id="{EDC330FE-D60F-A2F6-35F9-28BAAE8B0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6389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2709</xdr:row>
      <xdr:rowOff>0</xdr:rowOff>
    </xdr:from>
    <xdr:to>
      <xdr:col>13</xdr:col>
      <xdr:colOff>0</xdr:colOff>
      <xdr:row>2710</xdr:row>
      <xdr:rowOff>114300</xdr:rowOff>
    </xdr:to>
    <xdr:pic>
      <xdr:nvPicPr>
        <xdr:cNvPr id="2988" name="Imagen 2987" descr="Ver detalle">
          <a:hlinkClick xmlns:r="http://schemas.openxmlformats.org/officeDocument/2006/relationships" r:id="rId2929" tooltip="Ver detalle"/>
          <a:extLst>
            <a:ext uri="{FF2B5EF4-FFF2-40B4-BE49-F238E27FC236}">
              <a16:creationId xmlns:a16="http://schemas.microsoft.com/office/drawing/2014/main" id="{88F3D682-FF26-58DE-9902-63BA1405D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6552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2735</xdr:row>
      <xdr:rowOff>0</xdr:rowOff>
    </xdr:from>
    <xdr:to>
      <xdr:col>13</xdr:col>
      <xdr:colOff>0</xdr:colOff>
      <xdr:row>2736</xdr:row>
      <xdr:rowOff>114300</xdr:rowOff>
    </xdr:to>
    <xdr:pic>
      <xdr:nvPicPr>
        <xdr:cNvPr id="2989" name="Imagen 2988" descr="Ver detalle">
          <a:hlinkClick xmlns:r="http://schemas.openxmlformats.org/officeDocument/2006/relationships" r:id="rId2930" tooltip="Ver detalle"/>
          <a:extLst>
            <a:ext uri="{FF2B5EF4-FFF2-40B4-BE49-F238E27FC236}">
              <a16:creationId xmlns:a16="http://schemas.microsoft.com/office/drawing/2014/main" id="{A28E2C8E-3EFF-6CDC-E878-4BEBC9CC6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6796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2736</xdr:row>
      <xdr:rowOff>0</xdr:rowOff>
    </xdr:from>
    <xdr:to>
      <xdr:col>13</xdr:col>
      <xdr:colOff>0</xdr:colOff>
      <xdr:row>2737</xdr:row>
      <xdr:rowOff>114300</xdr:rowOff>
    </xdr:to>
    <xdr:pic>
      <xdr:nvPicPr>
        <xdr:cNvPr id="2990" name="Imagen 2989" descr="Ver detalle">
          <a:hlinkClick xmlns:r="http://schemas.openxmlformats.org/officeDocument/2006/relationships" r:id="rId2931" tooltip="Ver detalle"/>
          <a:extLst>
            <a:ext uri="{FF2B5EF4-FFF2-40B4-BE49-F238E27FC236}">
              <a16:creationId xmlns:a16="http://schemas.microsoft.com/office/drawing/2014/main" id="{256D25C5-730A-F40B-E3E1-195927B64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7040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2737</xdr:row>
      <xdr:rowOff>0</xdr:rowOff>
    </xdr:from>
    <xdr:to>
      <xdr:col>13</xdr:col>
      <xdr:colOff>0</xdr:colOff>
      <xdr:row>2738</xdr:row>
      <xdr:rowOff>114300</xdr:rowOff>
    </xdr:to>
    <xdr:pic>
      <xdr:nvPicPr>
        <xdr:cNvPr id="2991" name="Imagen 2990" descr="Ver detalle">
          <a:hlinkClick xmlns:r="http://schemas.openxmlformats.org/officeDocument/2006/relationships" r:id="rId2932" tooltip="Ver detalle"/>
          <a:extLst>
            <a:ext uri="{FF2B5EF4-FFF2-40B4-BE49-F238E27FC236}">
              <a16:creationId xmlns:a16="http://schemas.microsoft.com/office/drawing/2014/main" id="{1463019B-0027-8E5F-5838-44A220750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7284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2738</xdr:row>
      <xdr:rowOff>0</xdr:rowOff>
    </xdr:from>
    <xdr:to>
      <xdr:col>13</xdr:col>
      <xdr:colOff>0</xdr:colOff>
      <xdr:row>2739</xdr:row>
      <xdr:rowOff>114300</xdr:rowOff>
    </xdr:to>
    <xdr:pic>
      <xdr:nvPicPr>
        <xdr:cNvPr id="2992" name="Imagen 2991" descr="Ver detalle">
          <a:hlinkClick xmlns:r="http://schemas.openxmlformats.org/officeDocument/2006/relationships" r:id="rId2933" tooltip="Ver detalle"/>
          <a:extLst>
            <a:ext uri="{FF2B5EF4-FFF2-40B4-BE49-F238E27FC236}">
              <a16:creationId xmlns:a16="http://schemas.microsoft.com/office/drawing/2014/main" id="{D27A9FE8-3D79-5C81-F96F-0EA30AE7D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7528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2739</xdr:row>
      <xdr:rowOff>0</xdr:rowOff>
    </xdr:from>
    <xdr:to>
      <xdr:col>13</xdr:col>
      <xdr:colOff>0</xdr:colOff>
      <xdr:row>2740</xdr:row>
      <xdr:rowOff>114300</xdr:rowOff>
    </xdr:to>
    <xdr:pic>
      <xdr:nvPicPr>
        <xdr:cNvPr id="2993" name="Imagen 2992" descr="Ver detalle">
          <a:hlinkClick xmlns:r="http://schemas.openxmlformats.org/officeDocument/2006/relationships" r:id="rId2934" tooltip="Ver detalle"/>
          <a:extLst>
            <a:ext uri="{FF2B5EF4-FFF2-40B4-BE49-F238E27FC236}">
              <a16:creationId xmlns:a16="http://schemas.microsoft.com/office/drawing/2014/main" id="{4DFBF8EF-42FD-5F00-6711-4F5824658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7771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2740</xdr:row>
      <xdr:rowOff>0</xdr:rowOff>
    </xdr:from>
    <xdr:to>
      <xdr:col>13</xdr:col>
      <xdr:colOff>0</xdr:colOff>
      <xdr:row>2741</xdr:row>
      <xdr:rowOff>114300</xdr:rowOff>
    </xdr:to>
    <xdr:pic>
      <xdr:nvPicPr>
        <xdr:cNvPr id="2994" name="Imagen 2993" descr="Ver detalle">
          <a:hlinkClick xmlns:r="http://schemas.openxmlformats.org/officeDocument/2006/relationships" r:id="rId2935" tooltip="Ver detalle"/>
          <a:extLst>
            <a:ext uri="{FF2B5EF4-FFF2-40B4-BE49-F238E27FC236}">
              <a16:creationId xmlns:a16="http://schemas.microsoft.com/office/drawing/2014/main" id="{9F1B13B3-D406-4BF2-B156-38BEC1696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8015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2741</xdr:row>
      <xdr:rowOff>0</xdr:rowOff>
    </xdr:from>
    <xdr:to>
      <xdr:col>13</xdr:col>
      <xdr:colOff>0</xdr:colOff>
      <xdr:row>2742</xdr:row>
      <xdr:rowOff>114300</xdr:rowOff>
    </xdr:to>
    <xdr:pic>
      <xdr:nvPicPr>
        <xdr:cNvPr id="2995" name="Imagen 2994" descr="Ver detalle">
          <a:hlinkClick xmlns:r="http://schemas.openxmlformats.org/officeDocument/2006/relationships" r:id="rId2936" tooltip="Ver detalle"/>
          <a:extLst>
            <a:ext uri="{FF2B5EF4-FFF2-40B4-BE49-F238E27FC236}">
              <a16:creationId xmlns:a16="http://schemas.microsoft.com/office/drawing/2014/main" id="{A22355D9-AFC9-D7FC-8C49-A76594053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8259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2742</xdr:row>
      <xdr:rowOff>0</xdr:rowOff>
    </xdr:from>
    <xdr:to>
      <xdr:col>13</xdr:col>
      <xdr:colOff>0</xdr:colOff>
      <xdr:row>2743</xdr:row>
      <xdr:rowOff>114300</xdr:rowOff>
    </xdr:to>
    <xdr:pic>
      <xdr:nvPicPr>
        <xdr:cNvPr id="2996" name="Imagen 2995" descr="Ver detalle">
          <a:hlinkClick xmlns:r="http://schemas.openxmlformats.org/officeDocument/2006/relationships" r:id="rId2937" tooltip="Ver detalle"/>
          <a:extLst>
            <a:ext uri="{FF2B5EF4-FFF2-40B4-BE49-F238E27FC236}">
              <a16:creationId xmlns:a16="http://schemas.microsoft.com/office/drawing/2014/main" id="{407BA90A-8DC2-E2A6-D34B-832981F637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8503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2743</xdr:row>
      <xdr:rowOff>0</xdr:rowOff>
    </xdr:from>
    <xdr:to>
      <xdr:col>13</xdr:col>
      <xdr:colOff>0</xdr:colOff>
      <xdr:row>2744</xdr:row>
      <xdr:rowOff>114300</xdr:rowOff>
    </xdr:to>
    <xdr:pic>
      <xdr:nvPicPr>
        <xdr:cNvPr id="2997" name="Imagen 2996" descr="Ver detalle">
          <a:hlinkClick xmlns:r="http://schemas.openxmlformats.org/officeDocument/2006/relationships" r:id="rId2938" tooltip="Ver detalle"/>
          <a:extLst>
            <a:ext uri="{FF2B5EF4-FFF2-40B4-BE49-F238E27FC236}">
              <a16:creationId xmlns:a16="http://schemas.microsoft.com/office/drawing/2014/main" id="{36395AB2-96D9-6B46-7945-3957B3894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8747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2705</xdr:row>
      <xdr:rowOff>0</xdr:rowOff>
    </xdr:from>
    <xdr:to>
      <xdr:col>13</xdr:col>
      <xdr:colOff>0</xdr:colOff>
      <xdr:row>2706</xdr:row>
      <xdr:rowOff>114300</xdr:rowOff>
    </xdr:to>
    <xdr:pic>
      <xdr:nvPicPr>
        <xdr:cNvPr id="2998" name="Imagen 2997" descr="Ver detalle">
          <a:hlinkClick xmlns:r="http://schemas.openxmlformats.org/officeDocument/2006/relationships" r:id="rId2939" tooltip="Ver detalle"/>
          <a:extLst>
            <a:ext uri="{FF2B5EF4-FFF2-40B4-BE49-F238E27FC236}">
              <a16:creationId xmlns:a16="http://schemas.microsoft.com/office/drawing/2014/main" id="{B124BC2C-91E0-BF42-8200-59DD010A60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8991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2744</xdr:row>
      <xdr:rowOff>0</xdr:rowOff>
    </xdr:from>
    <xdr:to>
      <xdr:col>13</xdr:col>
      <xdr:colOff>0</xdr:colOff>
      <xdr:row>2745</xdr:row>
      <xdr:rowOff>114300</xdr:rowOff>
    </xdr:to>
    <xdr:pic>
      <xdr:nvPicPr>
        <xdr:cNvPr id="2999" name="Imagen 2998" descr="Ver detalle">
          <a:hlinkClick xmlns:r="http://schemas.openxmlformats.org/officeDocument/2006/relationships" r:id="rId2940" tooltip="Ver detalle"/>
          <a:extLst>
            <a:ext uri="{FF2B5EF4-FFF2-40B4-BE49-F238E27FC236}">
              <a16:creationId xmlns:a16="http://schemas.microsoft.com/office/drawing/2014/main" id="{52C98377-E8E2-1303-BD5E-2615BCA30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9235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2745</xdr:row>
      <xdr:rowOff>0</xdr:rowOff>
    </xdr:from>
    <xdr:to>
      <xdr:col>13</xdr:col>
      <xdr:colOff>0</xdr:colOff>
      <xdr:row>2746</xdr:row>
      <xdr:rowOff>114300</xdr:rowOff>
    </xdr:to>
    <xdr:pic>
      <xdr:nvPicPr>
        <xdr:cNvPr id="3000" name="Imagen 2999" descr="Ver detalle">
          <a:hlinkClick xmlns:r="http://schemas.openxmlformats.org/officeDocument/2006/relationships" r:id="rId2941" tooltip="Ver detalle"/>
          <a:extLst>
            <a:ext uri="{FF2B5EF4-FFF2-40B4-BE49-F238E27FC236}">
              <a16:creationId xmlns:a16="http://schemas.microsoft.com/office/drawing/2014/main" id="{CE507222-941A-E7CA-3A6A-CA05D3C914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9478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2730</xdr:row>
      <xdr:rowOff>0</xdr:rowOff>
    </xdr:from>
    <xdr:to>
      <xdr:col>13</xdr:col>
      <xdr:colOff>0</xdr:colOff>
      <xdr:row>2731</xdr:row>
      <xdr:rowOff>114300</xdr:rowOff>
    </xdr:to>
    <xdr:pic>
      <xdr:nvPicPr>
        <xdr:cNvPr id="3001" name="Imagen 3000" descr="Ver detalle">
          <a:hlinkClick xmlns:r="http://schemas.openxmlformats.org/officeDocument/2006/relationships" r:id="rId2942" tooltip="Ver detalle"/>
          <a:extLst>
            <a:ext uri="{FF2B5EF4-FFF2-40B4-BE49-F238E27FC236}">
              <a16:creationId xmlns:a16="http://schemas.microsoft.com/office/drawing/2014/main" id="{F1B35E3F-2CC5-039A-5D94-500E99694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9722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2731</xdr:row>
      <xdr:rowOff>0</xdr:rowOff>
    </xdr:from>
    <xdr:to>
      <xdr:col>13</xdr:col>
      <xdr:colOff>0</xdr:colOff>
      <xdr:row>2732</xdr:row>
      <xdr:rowOff>114300</xdr:rowOff>
    </xdr:to>
    <xdr:pic>
      <xdr:nvPicPr>
        <xdr:cNvPr id="3002" name="Imagen 3001" descr="Ver detalle">
          <a:hlinkClick xmlns:r="http://schemas.openxmlformats.org/officeDocument/2006/relationships" r:id="rId2943" tooltip="Ver detalle"/>
          <a:extLst>
            <a:ext uri="{FF2B5EF4-FFF2-40B4-BE49-F238E27FC236}">
              <a16:creationId xmlns:a16="http://schemas.microsoft.com/office/drawing/2014/main" id="{31077C1B-F6DF-6EAE-3D62-C81245872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9966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2732</xdr:row>
      <xdr:rowOff>0</xdr:rowOff>
    </xdr:from>
    <xdr:to>
      <xdr:col>13</xdr:col>
      <xdr:colOff>0</xdr:colOff>
      <xdr:row>2733</xdr:row>
      <xdr:rowOff>114300</xdr:rowOff>
    </xdr:to>
    <xdr:pic>
      <xdr:nvPicPr>
        <xdr:cNvPr id="3003" name="Imagen 3002" descr="Ver detalle">
          <a:hlinkClick xmlns:r="http://schemas.openxmlformats.org/officeDocument/2006/relationships" r:id="rId2944" tooltip="Ver detalle"/>
          <a:extLst>
            <a:ext uri="{FF2B5EF4-FFF2-40B4-BE49-F238E27FC236}">
              <a16:creationId xmlns:a16="http://schemas.microsoft.com/office/drawing/2014/main" id="{A3C16EDB-7D65-86EF-6063-34CA56F5B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0210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2733</xdr:row>
      <xdr:rowOff>0</xdr:rowOff>
    </xdr:from>
    <xdr:to>
      <xdr:col>13</xdr:col>
      <xdr:colOff>0</xdr:colOff>
      <xdr:row>2734</xdr:row>
      <xdr:rowOff>114300</xdr:rowOff>
    </xdr:to>
    <xdr:pic>
      <xdr:nvPicPr>
        <xdr:cNvPr id="3004" name="Imagen 3003" descr="Ver detalle">
          <a:hlinkClick xmlns:r="http://schemas.openxmlformats.org/officeDocument/2006/relationships" r:id="rId2945" tooltip="Ver detalle"/>
          <a:extLst>
            <a:ext uri="{FF2B5EF4-FFF2-40B4-BE49-F238E27FC236}">
              <a16:creationId xmlns:a16="http://schemas.microsoft.com/office/drawing/2014/main" id="{DAAADDF1-6D21-B2B4-36D0-20B8DF39B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0454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2734</xdr:row>
      <xdr:rowOff>0</xdr:rowOff>
    </xdr:from>
    <xdr:to>
      <xdr:col>13</xdr:col>
      <xdr:colOff>0</xdr:colOff>
      <xdr:row>2735</xdr:row>
      <xdr:rowOff>114300</xdr:rowOff>
    </xdr:to>
    <xdr:pic>
      <xdr:nvPicPr>
        <xdr:cNvPr id="3005" name="Imagen 3004" descr="Ver detalle">
          <a:hlinkClick xmlns:r="http://schemas.openxmlformats.org/officeDocument/2006/relationships" r:id="rId2946" tooltip="Ver detalle"/>
          <a:extLst>
            <a:ext uri="{FF2B5EF4-FFF2-40B4-BE49-F238E27FC236}">
              <a16:creationId xmlns:a16="http://schemas.microsoft.com/office/drawing/2014/main" id="{2C6B3930-1466-A853-5112-3CB5C55C1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0617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2746</xdr:row>
      <xdr:rowOff>0</xdr:rowOff>
    </xdr:from>
    <xdr:to>
      <xdr:col>13</xdr:col>
      <xdr:colOff>0</xdr:colOff>
      <xdr:row>2747</xdr:row>
      <xdr:rowOff>114300</xdr:rowOff>
    </xdr:to>
    <xdr:pic>
      <xdr:nvPicPr>
        <xdr:cNvPr id="3006" name="Imagen 3005" descr="Ver detalle">
          <a:hlinkClick xmlns:r="http://schemas.openxmlformats.org/officeDocument/2006/relationships" r:id="rId2947" tooltip="Ver detalle"/>
          <a:extLst>
            <a:ext uri="{FF2B5EF4-FFF2-40B4-BE49-F238E27FC236}">
              <a16:creationId xmlns:a16="http://schemas.microsoft.com/office/drawing/2014/main" id="{3C960CC0-285E-0FD2-D5F5-48BFD121A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0779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2747</xdr:row>
      <xdr:rowOff>0</xdr:rowOff>
    </xdr:from>
    <xdr:to>
      <xdr:col>13</xdr:col>
      <xdr:colOff>0</xdr:colOff>
      <xdr:row>2748</xdr:row>
      <xdr:rowOff>114300</xdr:rowOff>
    </xdr:to>
    <xdr:pic>
      <xdr:nvPicPr>
        <xdr:cNvPr id="3007" name="Imagen 3006" descr="Ver detalle">
          <a:hlinkClick xmlns:r="http://schemas.openxmlformats.org/officeDocument/2006/relationships" r:id="rId2948" tooltip="Ver detalle"/>
          <a:extLst>
            <a:ext uri="{FF2B5EF4-FFF2-40B4-BE49-F238E27FC236}">
              <a16:creationId xmlns:a16="http://schemas.microsoft.com/office/drawing/2014/main" id="{3330AA3F-AF1D-6FF8-9E58-3752844F7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1023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2748</xdr:row>
      <xdr:rowOff>0</xdr:rowOff>
    </xdr:from>
    <xdr:to>
      <xdr:col>13</xdr:col>
      <xdr:colOff>0</xdr:colOff>
      <xdr:row>2749</xdr:row>
      <xdr:rowOff>114300</xdr:rowOff>
    </xdr:to>
    <xdr:pic>
      <xdr:nvPicPr>
        <xdr:cNvPr id="3008" name="Imagen 3007" descr="Ver detalle">
          <a:hlinkClick xmlns:r="http://schemas.openxmlformats.org/officeDocument/2006/relationships" r:id="rId2949" tooltip="Ver detalle"/>
          <a:extLst>
            <a:ext uri="{FF2B5EF4-FFF2-40B4-BE49-F238E27FC236}">
              <a16:creationId xmlns:a16="http://schemas.microsoft.com/office/drawing/2014/main" id="{24037A1B-883D-584C-9CFF-C4594A02A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1267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2701</xdr:row>
      <xdr:rowOff>0</xdr:rowOff>
    </xdr:from>
    <xdr:to>
      <xdr:col>13</xdr:col>
      <xdr:colOff>0</xdr:colOff>
      <xdr:row>2702</xdr:row>
      <xdr:rowOff>114300</xdr:rowOff>
    </xdr:to>
    <xdr:pic>
      <xdr:nvPicPr>
        <xdr:cNvPr id="3009" name="Imagen 3008" descr="Ver detalle">
          <a:hlinkClick xmlns:r="http://schemas.openxmlformats.org/officeDocument/2006/relationships" r:id="rId2950" tooltip="Ver detalle"/>
          <a:extLst>
            <a:ext uri="{FF2B5EF4-FFF2-40B4-BE49-F238E27FC236}">
              <a16:creationId xmlns:a16="http://schemas.microsoft.com/office/drawing/2014/main" id="{03DC871F-B573-32DB-31B8-1BE3CE963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13819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2699</xdr:row>
      <xdr:rowOff>0</xdr:rowOff>
    </xdr:from>
    <xdr:to>
      <xdr:col>13</xdr:col>
      <xdr:colOff>0</xdr:colOff>
      <xdr:row>2700</xdr:row>
      <xdr:rowOff>114300</xdr:rowOff>
    </xdr:to>
    <xdr:pic>
      <xdr:nvPicPr>
        <xdr:cNvPr id="3010" name="Imagen 3009" descr="Ver detalle">
          <a:hlinkClick xmlns:r="http://schemas.openxmlformats.org/officeDocument/2006/relationships" r:id="rId2951" tooltip="Ver detalle"/>
          <a:extLst>
            <a:ext uri="{FF2B5EF4-FFF2-40B4-BE49-F238E27FC236}">
              <a16:creationId xmlns:a16="http://schemas.microsoft.com/office/drawing/2014/main" id="{73BB0D26-60F6-A581-5F60-D42796567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1788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2702</xdr:row>
      <xdr:rowOff>0</xdr:rowOff>
    </xdr:from>
    <xdr:to>
      <xdr:col>13</xdr:col>
      <xdr:colOff>0</xdr:colOff>
      <xdr:row>2703</xdr:row>
      <xdr:rowOff>114300</xdr:rowOff>
    </xdr:to>
    <xdr:pic>
      <xdr:nvPicPr>
        <xdr:cNvPr id="3011" name="Imagen 3010" descr="Ver detalle">
          <a:hlinkClick xmlns:r="http://schemas.openxmlformats.org/officeDocument/2006/relationships" r:id="rId2952" tooltip="Ver detalle"/>
          <a:extLst>
            <a:ext uri="{FF2B5EF4-FFF2-40B4-BE49-F238E27FC236}">
              <a16:creationId xmlns:a16="http://schemas.microsoft.com/office/drawing/2014/main" id="{983DDAAB-3C25-F454-1BE9-B9AB02B2F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2032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2723</xdr:row>
      <xdr:rowOff>0</xdr:rowOff>
    </xdr:from>
    <xdr:to>
      <xdr:col>13</xdr:col>
      <xdr:colOff>0</xdr:colOff>
      <xdr:row>2724</xdr:row>
      <xdr:rowOff>114300</xdr:rowOff>
    </xdr:to>
    <xdr:pic>
      <xdr:nvPicPr>
        <xdr:cNvPr id="3012" name="Imagen 3011" descr="Ver detalle">
          <a:hlinkClick xmlns:r="http://schemas.openxmlformats.org/officeDocument/2006/relationships" r:id="rId2953" tooltip="Ver detalle"/>
          <a:extLst>
            <a:ext uri="{FF2B5EF4-FFF2-40B4-BE49-F238E27FC236}">
              <a16:creationId xmlns:a16="http://schemas.microsoft.com/office/drawing/2014/main" id="{31C2E045-AF68-6BD4-4542-BCFDAD649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2276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2724</xdr:row>
      <xdr:rowOff>0</xdr:rowOff>
    </xdr:from>
    <xdr:to>
      <xdr:col>13</xdr:col>
      <xdr:colOff>0</xdr:colOff>
      <xdr:row>2725</xdr:row>
      <xdr:rowOff>114300</xdr:rowOff>
    </xdr:to>
    <xdr:pic>
      <xdr:nvPicPr>
        <xdr:cNvPr id="3013" name="Imagen 3012" descr="Ver detalle">
          <a:hlinkClick xmlns:r="http://schemas.openxmlformats.org/officeDocument/2006/relationships" r:id="rId2954" tooltip="Ver detalle"/>
          <a:extLst>
            <a:ext uri="{FF2B5EF4-FFF2-40B4-BE49-F238E27FC236}">
              <a16:creationId xmlns:a16="http://schemas.microsoft.com/office/drawing/2014/main" id="{31A79F81-3EB6-3AC5-988A-E01B546E0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2520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2725</xdr:row>
      <xdr:rowOff>0</xdr:rowOff>
    </xdr:from>
    <xdr:to>
      <xdr:col>13</xdr:col>
      <xdr:colOff>0</xdr:colOff>
      <xdr:row>2726</xdr:row>
      <xdr:rowOff>114300</xdr:rowOff>
    </xdr:to>
    <xdr:pic>
      <xdr:nvPicPr>
        <xdr:cNvPr id="3014" name="Imagen 3013" descr="Ver detalle">
          <a:hlinkClick xmlns:r="http://schemas.openxmlformats.org/officeDocument/2006/relationships" r:id="rId2955" tooltip="Ver detalle"/>
          <a:extLst>
            <a:ext uri="{FF2B5EF4-FFF2-40B4-BE49-F238E27FC236}">
              <a16:creationId xmlns:a16="http://schemas.microsoft.com/office/drawing/2014/main" id="{931A990B-154D-D33E-5976-6A73A04B7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2764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2726</xdr:row>
      <xdr:rowOff>0</xdr:rowOff>
    </xdr:from>
    <xdr:to>
      <xdr:col>13</xdr:col>
      <xdr:colOff>0</xdr:colOff>
      <xdr:row>2727</xdr:row>
      <xdr:rowOff>114300</xdr:rowOff>
    </xdr:to>
    <xdr:pic>
      <xdr:nvPicPr>
        <xdr:cNvPr id="3015" name="Imagen 3014" descr="Ver detalle">
          <a:hlinkClick xmlns:r="http://schemas.openxmlformats.org/officeDocument/2006/relationships" r:id="rId2956" tooltip="Ver detalle"/>
          <a:extLst>
            <a:ext uri="{FF2B5EF4-FFF2-40B4-BE49-F238E27FC236}">
              <a16:creationId xmlns:a16="http://schemas.microsoft.com/office/drawing/2014/main" id="{0306ED35-1999-DB0D-F82F-5FB143942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3007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2727</xdr:row>
      <xdr:rowOff>0</xdr:rowOff>
    </xdr:from>
    <xdr:to>
      <xdr:col>13</xdr:col>
      <xdr:colOff>0</xdr:colOff>
      <xdr:row>2728</xdr:row>
      <xdr:rowOff>114300</xdr:rowOff>
    </xdr:to>
    <xdr:pic>
      <xdr:nvPicPr>
        <xdr:cNvPr id="3016" name="Imagen 3015" descr="Ver detalle">
          <a:hlinkClick xmlns:r="http://schemas.openxmlformats.org/officeDocument/2006/relationships" r:id="rId2957" tooltip="Ver detalle"/>
          <a:extLst>
            <a:ext uri="{FF2B5EF4-FFF2-40B4-BE49-F238E27FC236}">
              <a16:creationId xmlns:a16="http://schemas.microsoft.com/office/drawing/2014/main" id="{AD279D70-D041-93A0-1C96-B8E6B3BAC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3251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2728</xdr:row>
      <xdr:rowOff>0</xdr:rowOff>
    </xdr:from>
    <xdr:to>
      <xdr:col>13</xdr:col>
      <xdr:colOff>0</xdr:colOff>
      <xdr:row>2729</xdr:row>
      <xdr:rowOff>114300</xdr:rowOff>
    </xdr:to>
    <xdr:pic>
      <xdr:nvPicPr>
        <xdr:cNvPr id="3017" name="Imagen 3016" descr="Ver detalle">
          <a:hlinkClick xmlns:r="http://schemas.openxmlformats.org/officeDocument/2006/relationships" r:id="rId2958" tooltip="Ver detalle"/>
          <a:extLst>
            <a:ext uri="{FF2B5EF4-FFF2-40B4-BE49-F238E27FC236}">
              <a16:creationId xmlns:a16="http://schemas.microsoft.com/office/drawing/2014/main" id="{394D7199-4D38-7FC6-4193-A14C131A3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3495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2729</xdr:row>
      <xdr:rowOff>0</xdr:rowOff>
    </xdr:from>
    <xdr:to>
      <xdr:col>13</xdr:col>
      <xdr:colOff>0</xdr:colOff>
      <xdr:row>2730</xdr:row>
      <xdr:rowOff>114300</xdr:rowOff>
    </xdr:to>
    <xdr:pic>
      <xdr:nvPicPr>
        <xdr:cNvPr id="3018" name="Imagen 3017" descr="Ver detalle">
          <a:hlinkClick xmlns:r="http://schemas.openxmlformats.org/officeDocument/2006/relationships" r:id="rId2959" tooltip="Ver detalle"/>
          <a:extLst>
            <a:ext uri="{FF2B5EF4-FFF2-40B4-BE49-F238E27FC236}">
              <a16:creationId xmlns:a16="http://schemas.microsoft.com/office/drawing/2014/main" id="{E6BE7E2C-D842-CC5A-1843-EEBFC3D71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3739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2697</xdr:row>
      <xdr:rowOff>0</xdr:rowOff>
    </xdr:from>
    <xdr:to>
      <xdr:col>13</xdr:col>
      <xdr:colOff>0</xdr:colOff>
      <xdr:row>2698</xdr:row>
      <xdr:rowOff>114300</xdr:rowOff>
    </xdr:to>
    <xdr:pic>
      <xdr:nvPicPr>
        <xdr:cNvPr id="3019" name="Imagen 3018" descr="Ver detalle">
          <a:hlinkClick xmlns:r="http://schemas.openxmlformats.org/officeDocument/2006/relationships" r:id="rId2960" tooltip="Ver detalle"/>
          <a:extLst>
            <a:ext uri="{FF2B5EF4-FFF2-40B4-BE49-F238E27FC236}">
              <a16:creationId xmlns:a16="http://schemas.microsoft.com/office/drawing/2014/main" id="{9BB338D1-9C81-B349-C322-EF32D5F22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3983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2722</xdr:row>
      <xdr:rowOff>0</xdr:rowOff>
    </xdr:from>
    <xdr:to>
      <xdr:col>13</xdr:col>
      <xdr:colOff>0</xdr:colOff>
      <xdr:row>2723</xdr:row>
      <xdr:rowOff>114300</xdr:rowOff>
    </xdr:to>
    <xdr:pic>
      <xdr:nvPicPr>
        <xdr:cNvPr id="3020" name="Imagen 3019" descr="Ver detalle">
          <a:hlinkClick xmlns:r="http://schemas.openxmlformats.org/officeDocument/2006/relationships" r:id="rId2961" tooltip="Ver detalle"/>
          <a:extLst>
            <a:ext uri="{FF2B5EF4-FFF2-40B4-BE49-F238E27FC236}">
              <a16:creationId xmlns:a16="http://schemas.microsoft.com/office/drawing/2014/main" id="{24962770-5F21-98A8-3315-8F6E21661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4227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2695</xdr:row>
      <xdr:rowOff>0</xdr:rowOff>
    </xdr:from>
    <xdr:to>
      <xdr:col>13</xdr:col>
      <xdr:colOff>0</xdr:colOff>
      <xdr:row>2696</xdr:row>
      <xdr:rowOff>114300</xdr:rowOff>
    </xdr:to>
    <xdr:pic>
      <xdr:nvPicPr>
        <xdr:cNvPr id="3021" name="Imagen 3020" descr="Ver detalle">
          <a:hlinkClick xmlns:r="http://schemas.openxmlformats.org/officeDocument/2006/relationships" r:id="rId2962" tooltip="Ver detalle"/>
          <a:extLst>
            <a:ext uri="{FF2B5EF4-FFF2-40B4-BE49-F238E27FC236}">
              <a16:creationId xmlns:a16="http://schemas.microsoft.com/office/drawing/2014/main" id="{C7FE3E35-3D45-2BDD-8F90-C5218DA35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4470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2696</xdr:row>
      <xdr:rowOff>0</xdr:rowOff>
    </xdr:from>
    <xdr:to>
      <xdr:col>13</xdr:col>
      <xdr:colOff>0</xdr:colOff>
      <xdr:row>2697</xdr:row>
      <xdr:rowOff>114300</xdr:rowOff>
    </xdr:to>
    <xdr:pic>
      <xdr:nvPicPr>
        <xdr:cNvPr id="3022" name="Imagen 3021" descr="Ver detalle">
          <a:hlinkClick xmlns:r="http://schemas.openxmlformats.org/officeDocument/2006/relationships" r:id="rId2963" tooltip="Ver detalle"/>
          <a:extLst>
            <a:ext uri="{FF2B5EF4-FFF2-40B4-BE49-F238E27FC236}">
              <a16:creationId xmlns:a16="http://schemas.microsoft.com/office/drawing/2014/main" id="{E0CCF078-5AE3-AB41-CC3D-B46BD7E85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4714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2714</xdr:row>
      <xdr:rowOff>0</xdr:rowOff>
    </xdr:from>
    <xdr:to>
      <xdr:col>13</xdr:col>
      <xdr:colOff>0</xdr:colOff>
      <xdr:row>2715</xdr:row>
      <xdr:rowOff>114300</xdr:rowOff>
    </xdr:to>
    <xdr:pic>
      <xdr:nvPicPr>
        <xdr:cNvPr id="3023" name="Imagen 3022" descr="Ver detalle">
          <a:hlinkClick xmlns:r="http://schemas.openxmlformats.org/officeDocument/2006/relationships" r:id="rId2964" tooltip="Ver detalle"/>
          <a:extLst>
            <a:ext uri="{FF2B5EF4-FFF2-40B4-BE49-F238E27FC236}">
              <a16:creationId xmlns:a16="http://schemas.microsoft.com/office/drawing/2014/main" id="{BA68BA28-88C3-3147-FA63-D5CE38536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4958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2715</xdr:row>
      <xdr:rowOff>0</xdr:rowOff>
    </xdr:from>
    <xdr:to>
      <xdr:col>13</xdr:col>
      <xdr:colOff>0</xdr:colOff>
      <xdr:row>2716</xdr:row>
      <xdr:rowOff>114300</xdr:rowOff>
    </xdr:to>
    <xdr:pic>
      <xdr:nvPicPr>
        <xdr:cNvPr id="3024" name="Imagen 3023" descr="Ver detalle">
          <a:hlinkClick xmlns:r="http://schemas.openxmlformats.org/officeDocument/2006/relationships" r:id="rId2965" tooltip="Ver detalle"/>
          <a:extLst>
            <a:ext uri="{FF2B5EF4-FFF2-40B4-BE49-F238E27FC236}">
              <a16:creationId xmlns:a16="http://schemas.microsoft.com/office/drawing/2014/main" id="{DBD9378E-F8CB-5A35-D68F-CB573C6EA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5202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2716</xdr:row>
      <xdr:rowOff>0</xdr:rowOff>
    </xdr:from>
    <xdr:to>
      <xdr:col>13</xdr:col>
      <xdr:colOff>0</xdr:colOff>
      <xdr:row>2717</xdr:row>
      <xdr:rowOff>114300</xdr:rowOff>
    </xdr:to>
    <xdr:pic>
      <xdr:nvPicPr>
        <xdr:cNvPr id="3025" name="Imagen 3024" descr="Ver detalle">
          <a:hlinkClick xmlns:r="http://schemas.openxmlformats.org/officeDocument/2006/relationships" r:id="rId2966" tooltip="Ver detalle"/>
          <a:extLst>
            <a:ext uri="{FF2B5EF4-FFF2-40B4-BE49-F238E27FC236}">
              <a16:creationId xmlns:a16="http://schemas.microsoft.com/office/drawing/2014/main" id="{7F7F6C34-E86F-85EA-0044-4CCAFB5DF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5446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2693</xdr:row>
      <xdr:rowOff>0</xdr:rowOff>
    </xdr:from>
    <xdr:to>
      <xdr:col>13</xdr:col>
      <xdr:colOff>0</xdr:colOff>
      <xdr:row>2694</xdr:row>
      <xdr:rowOff>114300</xdr:rowOff>
    </xdr:to>
    <xdr:pic>
      <xdr:nvPicPr>
        <xdr:cNvPr id="3026" name="Imagen 3025" descr="Ver detalle">
          <a:hlinkClick xmlns:r="http://schemas.openxmlformats.org/officeDocument/2006/relationships" r:id="rId2967" tooltip="Ver detalle"/>
          <a:extLst>
            <a:ext uri="{FF2B5EF4-FFF2-40B4-BE49-F238E27FC236}">
              <a16:creationId xmlns:a16="http://schemas.microsoft.com/office/drawing/2014/main" id="{B39B1DA7-636C-CE37-38F9-A8C538BF6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5560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2687</xdr:row>
      <xdr:rowOff>0</xdr:rowOff>
    </xdr:from>
    <xdr:to>
      <xdr:col>13</xdr:col>
      <xdr:colOff>0</xdr:colOff>
      <xdr:row>2688</xdr:row>
      <xdr:rowOff>114300</xdr:rowOff>
    </xdr:to>
    <xdr:pic>
      <xdr:nvPicPr>
        <xdr:cNvPr id="3027" name="Imagen 3026" descr="Ver detalle">
          <a:hlinkClick xmlns:r="http://schemas.openxmlformats.org/officeDocument/2006/relationships" r:id="rId2968" tooltip="Ver detalle"/>
          <a:extLst>
            <a:ext uri="{FF2B5EF4-FFF2-40B4-BE49-F238E27FC236}">
              <a16:creationId xmlns:a16="http://schemas.microsoft.com/office/drawing/2014/main" id="{12BE2F27-0C47-95B4-B282-8766CACED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5804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2694</xdr:row>
      <xdr:rowOff>0</xdr:rowOff>
    </xdr:from>
    <xdr:to>
      <xdr:col>13</xdr:col>
      <xdr:colOff>0</xdr:colOff>
      <xdr:row>2695</xdr:row>
      <xdr:rowOff>114300</xdr:rowOff>
    </xdr:to>
    <xdr:pic>
      <xdr:nvPicPr>
        <xdr:cNvPr id="3028" name="Imagen 3027" descr="Ver detalle">
          <a:hlinkClick xmlns:r="http://schemas.openxmlformats.org/officeDocument/2006/relationships" r:id="rId2969" tooltip="Ver detalle"/>
          <a:extLst>
            <a:ext uri="{FF2B5EF4-FFF2-40B4-BE49-F238E27FC236}">
              <a16:creationId xmlns:a16="http://schemas.microsoft.com/office/drawing/2014/main" id="{A5D25CEA-FCE2-5A58-CE01-726C1DA32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6048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2689</xdr:row>
      <xdr:rowOff>0</xdr:rowOff>
    </xdr:from>
    <xdr:to>
      <xdr:col>13</xdr:col>
      <xdr:colOff>0</xdr:colOff>
      <xdr:row>2690</xdr:row>
      <xdr:rowOff>114300</xdr:rowOff>
    </xdr:to>
    <xdr:pic>
      <xdr:nvPicPr>
        <xdr:cNvPr id="3029" name="Imagen 3028" descr="Ver detalle">
          <a:hlinkClick xmlns:r="http://schemas.openxmlformats.org/officeDocument/2006/relationships" r:id="rId2970" tooltip="Ver detalle"/>
          <a:extLst>
            <a:ext uri="{FF2B5EF4-FFF2-40B4-BE49-F238E27FC236}">
              <a16:creationId xmlns:a16="http://schemas.microsoft.com/office/drawing/2014/main" id="{E20D55C4-C31E-7300-43B1-0B2B783BF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6292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2690</xdr:row>
      <xdr:rowOff>0</xdr:rowOff>
    </xdr:from>
    <xdr:to>
      <xdr:col>13</xdr:col>
      <xdr:colOff>0</xdr:colOff>
      <xdr:row>2691</xdr:row>
      <xdr:rowOff>114300</xdr:rowOff>
    </xdr:to>
    <xdr:pic>
      <xdr:nvPicPr>
        <xdr:cNvPr id="3030" name="Imagen 3029" descr="Ver detalle">
          <a:hlinkClick xmlns:r="http://schemas.openxmlformats.org/officeDocument/2006/relationships" r:id="rId2971" tooltip="Ver detalle"/>
          <a:extLst>
            <a:ext uri="{FF2B5EF4-FFF2-40B4-BE49-F238E27FC236}">
              <a16:creationId xmlns:a16="http://schemas.microsoft.com/office/drawing/2014/main" id="{DD8DB1BE-139B-ADD4-8F63-0BF51BBCD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6406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2691</xdr:row>
      <xdr:rowOff>0</xdr:rowOff>
    </xdr:from>
    <xdr:to>
      <xdr:col>13</xdr:col>
      <xdr:colOff>0</xdr:colOff>
      <xdr:row>2692</xdr:row>
      <xdr:rowOff>114300</xdr:rowOff>
    </xdr:to>
    <xdr:pic>
      <xdr:nvPicPr>
        <xdr:cNvPr id="3031" name="Imagen 3030" descr="Ver detalle">
          <a:hlinkClick xmlns:r="http://schemas.openxmlformats.org/officeDocument/2006/relationships" r:id="rId2972" tooltip="Ver detalle"/>
          <a:extLst>
            <a:ext uri="{FF2B5EF4-FFF2-40B4-BE49-F238E27FC236}">
              <a16:creationId xmlns:a16="http://schemas.microsoft.com/office/drawing/2014/main" id="{4726F690-0D6D-1251-F4FD-BDCC43D01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6650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2717</xdr:row>
      <xdr:rowOff>0</xdr:rowOff>
    </xdr:from>
    <xdr:to>
      <xdr:col>13</xdr:col>
      <xdr:colOff>0</xdr:colOff>
      <xdr:row>2718</xdr:row>
      <xdr:rowOff>114300</xdr:rowOff>
    </xdr:to>
    <xdr:pic>
      <xdr:nvPicPr>
        <xdr:cNvPr id="3032" name="Imagen 3031" descr="Ver detalle">
          <a:hlinkClick xmlns:r="http://schemas.openxmlformats.org/officeDocument/2006/relationships" r:id="rId2973" tooltip="Ver detalle"/>
          <a:extLst>
            <a:ext uri="{FF2B5EF4-FFF2-40B4-BE49-F238E27FC236}">
              <a16:creationId xmlns:a16="http://schemas.microsoft.com/office/drawing/2014/main" id="{1C61FB22-E2BF-C0BA-530D-6B1400AD4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6894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2718</xdr:row>
      <xdr:rowOff>0</xdr:rowOff>
    </xdr:from>
    <xdr:to>
      <xdr:col>13</xdr:col>
      <xdr:colOff>0</xdr:colOff>
      <xdr:row>2719</xdr:row>
      <xdr:rowOff>114300</xdr:rowOff>
    </xdr:to>
    <xdr:pic>
      <xdr:nvPicPr>
        <xdr:cNvPr id="3033" name="Imagen 3032" descr="Ver detalle">
          <a:hlinkClick xmlns:r="http://schemas.openxmlformats.org/officeDocument/2006/relationships" r:id="rId2974" tooltip="Ver detalle"/>
          <a:extLst>
            <a:ext uri="{FF2B5EF4-FFF2-40B4-BE49-F238E27FC236}">
              <a16:creationId xmlns:a16="http://schemas.microsoft.com/office/drawing/2014/main" id="{C77CA645-01C1-8298-2103-B5BC2D5FF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7137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2720</xdr:row>
      <xdr:rowOff>0</xdr:rowOff>
    </xdr:from>
    <xdr:to>
      <xdr:col>13</xdr:col>
      <xdr:colOff>0</xdr:colOff>
      <xdr:row>2721</xdr:row>
      <xdr:rowOff>114300</xdr:rowOff>
    </xdr:to>
    <xdr:pic>
      <xdr:nvPicPr>
        <xdr:cNvPr id="3034" name="Imagen 3033" descr="Ver detalle">
          <a:hlinkClick xmlns:r="http://schemas.openxmlformats.org/officeDocument/2006/relationships" r:id="rId2975" tooltip="Ver detalle"/>
          <a:extLst>
            <a:ext uri="{FF2B5EF4-FFF2-40B4-BE49-F238E27FC236}">
              <a16:creationId xmlns:a16="http://schemas.microsoft.com/office/drawing/2014/main" id="{1443A3DF-1CCC-1EF0-1C79-D306C985A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7496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2721</xdr:row>
      <xdr:rowOff>0</xdr:rowOff>
    </xdr:from>
    <xdr:to>
      <xdr:col>13</xdr:col>
      <xdr:colOff>0</xdr:colOff>
      <xdr:row>2722</xdr:row>
      <xdr:rowOff>114300</xdr:rowOff>
    </xdr:to>
    <xdr:pic>
      <xdr:nvPicPr>
        <xdr:cNvPr id="3035" name="Imagen 3034" descr="Ver detalle">
          <a:hlinkClick xmlns:r="http://schemas.openxmlformats.org/officeDocument/2006/relationships" r:id="rId2976" tooltip="Ver detalle"/>
          <a:extLst>
            <a:ext uri="{FF2B5EF4-FFF2-40B4-BE49-F238E27FC236}">
              <a16:creationId xmlns:a16="http://schemas.microsoft.com/office/drawing/2014/main" id="{BD2C11C3-66A2-EAA1-F0F3-34E5D9C54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7610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2686</xdr:row>
      <xdr:rowOff>0</xdr:rowOff>
    </xdr:from>
    <xdr:to>
      <xdr:col>13</xdr:col>
      <xdr:colOff>0</xdr:colOff>
      <xdr:row>2687</xdr:row>
      <xdr:rowOff>114300</xdr:rowOff>
    </xdr:to>
    <xdr:pic>
      <xdr:nvPicPr>
        <xdr:cNvPr id="3036" name="Imagen 3035" descr="Ver detalle">
          <a:hlinkClick xmlns:r="http://schemas.openxmlformats.org/officeDocument/2006/relationships" r:id="rId2977" tooltip="Ver detalle"/>
          <a:extLst>
            <a:ext uri="{FF2B5EF4-FFF2-40B4-BE49-F238E27FC236}">
              <a16:creationId xmlns:a16="http://schemas.microsoft.com/office/drawing/2014/main" id="{109DE944-1E52-CA19-E4E2-002F8E1772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7724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2688</xdr:row>
      <xdr:rowOff>0</xdr:rowOff>
    </xdr:from>
    <xdr:to>
      <xdr:col>13</xdr:col>
      <xdr:colOff>0</xdr:colOff>
      <xdr:row>2689</xdr:row>
      <xdr:rowOff>114300</xdr:rowOff>
    </xdr:to>
    <xdr:pic>
      <xdr:nvPicPr>
        <xdr:cNvPr id="3037" name="Imagen 3036" descr="Ver detalle">
          <a:hlinkClick xmlns:r="http://schemas.openxmlformats.org/officeDocument/2006/relationships" r:id="rId2978" tooltip="Ver detalle"/>
          <a:extLst>
            <a:ext uri="{FF2B5EF4-FFF2-40B4-BE49-F238E27FC236}">
              <a16:creationId xmlns:a16="http://schemas.microsoft.com/office/drawing/2014/main" id="{3B3CA561-8AD1-1913-BD4F-6DE82FDE7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7968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2700</xdr:row>
      <xdr:rowOff>0</xdr:rowOff>
    </xdr:from>
    <xdr:to>
      <xdr:col>13</xdr:col>
      <xdr:colOff>0</xdr:colOff>
      <xdr:row>2701</xdr:row>
      <xdr:rowOff>114300</xdr:rowOff>
    </xdr:to>
    <xdr:pic>
      <xdr:nvPicPr>
        <xdr:cNvPr id="3038" name="Imagen 3037" descr="Ver detalle">
          <a:hlinkClick xmlns:r="http://schemas.openxmlformats.org/officeDocument/2006/relationships" r:id="rId2979" tooltip="Ver detalle"/>
          <a:extLst>
            <a:ext uri="{FF2B5EF4-FFF2-40B4-BE49-F238E27FC236}">
              <a16:creationId xmlns:a16="http://schemas.microsoft.com/office/drawing/2014/main" id="{E7445EC9-E7D5-FDF7-B5C3-60714809C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8212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2692</xdr:row>
      <xdr:rowOff>0</xdr:rowOff>
    </xdr:from>
    <xdr:to>
      <xdr:col>13</xdr:col>
      <xdr:colOff>0</xdr:colOff>
      <xdr:row>2693</xdr:row>
      <xdr:rowOff>114300</xdr:rowOff>
    </xdr:to>
    <xdr:pic>
      <xdr:nvPicPr>
        <xdr:cNvPr id="3039" name="Imagen 3038" descr="Ver detalle">
          <a:hlinkClick xmlns:r="http://schemas.openxmlformats.org/officeDocument/2006/relationships" r:id="rId2980" tooltip="Ver detalle"/>
          <a:extLst>
            <a:ext uri="{FF2B5EF4-FFF2-40B4-BE49-F238E27FC236}">
              <a16:creationId xmlns:a16="http://schemas.microsoft.com/office/drawing/2014/main" id="{D1CE0FFE-7BB2-E26C-0E2C-BE29708E1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8375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2713</xdr:row>
      <xdr:rowOff>0</xdr:rowOff>
    </xdr:from>
    <xdr:to>
      <xdr:col>13</xdr:col>
      <xdr:colOff>0</xdr:colOff>
      <xdr:row>2714</xdr:row>
      <xdr:rowOff>114300</xdr:rowOff>
    </xdr:to>
    <xdr:pic>
      <xdr:nvPicPr>
        <xdr:cNvPr id="3040" name="Imagen 3039" descr="Ver detalle">
          <a:hlinkClick xmlns:r="http://schemas.openxmlformats.org/officeDocument/2006/relationships" r:id="rId2981" tooltip="Ver detalle"/>
          <a:extLst>
            <a:ext uri="{FF2B5EF4-FFF2-40B4-BE49-F238E27FC236}">
              <a16:creationId xmlns:a16="http://schemas.microsoft.com/office/drawing/2014/main" id="{37415DE9-3D5C-9B99-5C81-AB444ACCC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8619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2827</xdr:row>
      <xdr:rowOff>0</xdr:rowOff>
    </xdr:from>
    <xdr:to>
      <xdr:col>13</xdr:col>
      <xdr:colOff>0</xdr:colOff>
      <xdr:row>2828</xdr:row>
      <xdr:rowOff>114300</xdr:rowOff>
    </xdr:to>
    <xdr:pic>
      <xdr:nvPicPr>
        <xdr:cNvPr id="3041" name="Imagen 3040" descr="Ver detalle">
          <a:hlinkClick xmlns:r="http://schemas.openxmlformats.org/officeDocument/2006/relationships" r:id="rId2982" tooltip="Ver detalle"/>
          <a:extLst>
            <a:ext uri="{FF2B5EF4-FFF2-40B4-BE49-F238E27FC236}">
              <a16:creationId xmlns:a16="http://schemas.microsoft.com/office/drawing/2014/main" id="{85494830-E45B-5CB2-9E1C-2B0C21770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3125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2828</xdr:row>
      <xdr:rowOff>0</xdr:rowOff>
    </xdr:from>
    <xdr:to>
      <xdr:col>13</xdr:col>
      <xdr:colOff>0</xdr:colOff>
      <xdr:row>2829</xdr:row>
      <xdr:rowOff>114300</xdr:rowOff>
    </xdr:to>
    <xdr:pic>
      <xdr:nvPicPr>
        <xdr:cNvPr id="3042" name="Imagen 3041" descr="Ver detalle">
          <a:hlinkClick xmlns:r="http://schemas.openxmlformats.org/officeDocument/2006/relationships" r:id="rId2983" tooltip="Ver detalle"/>
          <a:extLst>
            <a:ext uri="{FF2B5EF4-FFF2-40B4-BE49-F238E27FC236}">
              <a16:creationId xmlns:a16="http://schemas.microsoft.com/office/drawing/2014/main" id="{BF457060-7837-E505-A7DB-4DCA5BBC9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3369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2829</xdr:row>
      <xdr:rowOff>0</xdr:rowOff>
    </xdr:from>
    <xdr:to>
      <xdr:col>13</xdr:col>
      <xdr:colOff>0</xdr:colOff>
      <xdr:row>2830</xdr:row>
      <xdr:rowOff>114300</xdr:rowOff>
    </xdr:to>
    <xdr:pic>
      <xdr:nvPicPr>
        <xdr:cNvPr id="3043" name="Imagen 3042" descr="Ver detalle">
          <a:hlinkClick xmlns:r="http://schemas.openxmlformats.org/officeDocument/2006/relationships" r:id="rId2984" tooltip="Ver detalle"/>
          <a:extLst>
            <a:ext uri="{FF2B5EF4-FFF2-40B4-BE49-F238E27FC236}">
              <a16:creationId xmlns:a16="http://schemas.microsoft.com/office/drawing/2014/main" id="{CF828C17-E430-6D96-197D-7799E788F2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361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2830</xdr:row>
      <xdr:rowOff>0</xdr:rowOff>
    </xdr:from>
    <xdr:to>
      <xdr:col>13</xdr:col>
      <xdr:colOff>0</xdr:colOff>
      <xdr:row>2831</xdr:row>
      <xdr:rowOff>114300</xdr:rowOff>
    </xdr:to>
    <xdr:pic>
      <xdr:nvPicPr>
        <xdr:cNvPr id="3044" name="Imagen 3043" descr="Ver detalle">
          <a:hlinkClick xmlns:r="http://schemas.openxmlformats.org/officeDocument/2006/relationships" r:id="rId2985" tooltip="Ver detalle"/>
          <a:extLst>
            <a:ext uri="{FF2B5EF4-FFF2-40B4-BE49-F238E27FC236}">
              <a16:creationId xmlns:a16="http://schemas.microsoft.com/office/drawing/2014/main" id="{5261F640-6EDF-C8FB-FBBE-E3B418FFF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3857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2831</xdr:row>
      <xdr:rowOff>0</xdr:rowOff>
    </xdr:from>
    <xdr:to>
      <xdr:col>13</xdr:col>
      <xdr:colOff>0</xdr:colOff>
      <xdr:row>2832</xdr:row>
      <xdr:rowOff>104775</xdr:rowOff>
    </xdr:to>
    <xdr:pic>
      <xdr:nvPicPr>
        <xdr:cNvPr id="3045" name="Imagen 3044" descr="Ver detalle">
          <a:hlinkClick xmlns:r="http://schemas.openxmlformats.org/officeDocument/2006/relationships" r:id="rId2986" tooltip="Ver detalle"/>
          <a:extLst>
            <a:ext uri="{FF2B5EF4-FFF2-40B4-BE49-F238E27FC236}">
              <a16:creationId xmlns:a16="http://schemas.microsoft.com/office/drawing/2014/main" id="{2E595F01-BC6E-CBEC-13F5-0C326C65F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4101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2800</xdr:row>
      <xdr:rowOff>0</xdr:rowOff>
    </xdr:from>
    <xdr:to>
      <xdr:col>13</xdr:col>
      <xdr:colOff>0</xdr:colOff>
      <xdr:row>2801</xdr:row>
      <xdr:rowOff>114300</xdr:rowOff>
    </xdr:to>
    <xdr:pic>
      <xdr:nvPicPr>
        <xdr:cNvPr id="3046" name="Imagen 3045" descr="Ver detalle">
          <a:hlinkClick xmlns:r="http://schemas.openxmlformats.org/officeDocument/2006/relationships" r:id="rId2987" tooltip="Ver detalle"/>
          <a:extLst>
            <a:ext uri="{FF2B5EF4-FFF2-40B4-BE49-F238E27FC236}">
              <a16:creationId xmlns:a16="http://schemas.microsoft.com/office/drawing/2014/main" id="{6B747D93-0709-639C-5797-C92172431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4344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2799</xdr:row>
      <xdr:rowOff>0</xdr:rowOff>
    </xdr:from>
    <xdr:to>
      <xdr:col>13</xdr:col>
      <xdr:colOff>0</xdr:colOff>
      <xdr:row>2800</xdr:row>
      <xdr:rowOff>114300</xdr:rowOff>
    </xdr:to>
    <xdr:pic>
      <xdr:nvPicPr>
        <xdr:cNvPr id="3047" name="Imagen 3046" descr="Ver detalle">
          <a:hlinkClick xmlns:r="http://schemas.openxmlformats.org/officeDocument/2006/relationships" r:id="rId2988" tooltip="Ver detalle"/>
          <a:extLst>
            <a:ext uri="{FF2B5EF4-FFF2-40B4-BE49-F238E27FC236}">
              <a16:creationId xmlns:a16="http://schemas.microsoft.com/office/drawing/2014/main" id="{395400EB-4A64-DFC3-A1E5-DE1D37A4F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4459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2796</xdr:row>
      <xdr:rowOff>0</xdr:rowOff>
    </xdr:from>
    <xdr:to>
      <xdr:col>13</xdr:col>
      <xdr:colOff>0</xdr:colOff>
      <xdr:row>2797</xdr:row>
      <xdr:rowOff>114300</xdr:rowOff>
    </xdr:to>
    <xdr:pic>
      <xdr:nvPicPr>
        <xdr:cNvPr id="3048" name="Imagen 3047" descr="Ver detalle">
          <a:hlinkClick xmlns:r="http://schemas.openxmlformats.org/officeDocument/2006/relationships" r:id="rId2989" tooltip="Ver detalle"/>
          <a:extLst>
            <a:ext uri="{FF2B5EF4-FFF2-40B4-BE49-F238E27FC236}">
              <a16:creationId xmlns:a16="http://schemas.microsoft.com/office/drawing/2014/main" id="{F0A76FC7-E3D8-F852-91D0-1BAF2C8E0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4703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2795</xdr:row>
      <xdr:rowOff>0</xdr:rowOff>
    </xdr:from>
    <xdr:to>
      <xdr:col>13</xdr:col>
      <xdr:colOff>0</xdr:colOff>
      <xdr:row>2796</xdr:row>
      <xdr:rowOff>114300</xdr:rowOff>
    </xdr:to>
    <xdr:pic>
      <xdr:nvPicPr>
        <xdr:cNvPr id="3049" name="Imagen 3048" descr="Ver detalle">
          <a:hlinkClick xmlns:r="http://schemas.openxmlformats.org/officeDocument/2006/relationships" r:id="rId2990" tooltip="Ver detalle"/>
          <a:extLst>
            <a:ext uri="{FF2B5EF4-FFF2-40B4-BE49-F238E27FC236}">
              <a16:creationId xmlns:a16="http://schemas.microsoft.com/office/drawing/2014/main" id="{69D42CB6-4C33-763F-4496-CEB0B6592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483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2797</xdr:row>
      <xdr:rowOff>0</xdr:rowOff>
    </xdr:from>
    <xdr:to>
      <xdr:col>13</xdr:col>
      <xdr:colOff>0</xdr:colOff>
      <xdr:row>2798</xdr:row>
      <xdr:rowOff>114300</xdr:rowOff>
    </xdr:to>
    <xdr:pic>
      <xdr:nvPicPr>
        <xdr:cNvPr id="3050" name="Imagen 3049" descr="Ver detalle">
          <a:hlinkClick xmlns:r="http://schemas.openxmlformats.org/officeDocument/2006/relationships" r:id="rId2991" tooltip="Ver detalle"/>
          <a:extLst>
            <a:ext uri="{FF2B5EF4-FFF2-40B4-BE49-F238E27FC236}">
              <a16:creationId xmlns:a16="http://schemas.microsoft.com/office/drawing/2014/main" id="{4CB447BF-B964-1F53-4786-EC491A7E2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4964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2798</xdr:row>
      <xdr:rowOff>0</xdr:rowOff>
    </xdr:from>
    <xdr:to>
      <xdr:col>13</xdr:col>
      <xdr:colOff>0</xdr:colOff>
      <xdr:row>2799</xdr:row>
      <xdr:rowOff>114300</xdr:rowOff>
    </xdr:to>
    <xdr:pic>
      <xdr:nvPicPr>
        <xdr:cNvPr id="3051" name="Imagen 3050" descr="Ver detalle">
          <a:hlinkClick xmlns:r="http://schemas.openxmlformats.org/officeDocument/2006/relationships" r:id="rId2992" tooltip="Ver detalle"/>
          <a:extLst>
            <a:ext uri="{FF2B5EF4-FFF2-40B4-BE49-F238E27FC236}">
              <a16:creationId xmlns:a16="http://schemas.microsoft.com/office/drawing/2014/main" id="{8B9BA67C-C7A5-C468-BEFF-50F656C49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5094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2793</xdr:row>
      <xdr:rowOff>0</xdr:rowOff>
    </xdr:from>
    <xdr:to>
      <xdr:col>13</xdr:col>
      <xdr:colOff>0</xdr:colOff>
      <xdr:row>2794</xdr:row>
      <xdr:rowOff>114300</xdr:rowOff>
    </xdr:to>
    <xdr:pic>
      <xdr:nvPicPr>
        <xdr:cNvPr id="3052" name="Imagen 3051" descr="Ver detalle">
          <a:hlinkClick xmlns:r="http://schemas.openxmlformats.org/officeDocument/2006/relationships" r:id="rId2993" tooltip="Ver detalle"/>
          <a:extLst>
            <a:ext uri="{FF2B5EF4-FFF2-40B4-BE49-F238E27FC236}">
              <a16:creationId xmlns:a16="http://schemas.microsoft.com/office/drawing/2014/main" id="{AD23A8B9-BAED-DE85-9D38-67A7EB7F7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5224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2792</xdr:row>
      <xdr:rowOff>0</xdr:rowOff>
    </xdr:from>
    <xdr:to>
      <xdr:col>13</xdr:col>
      <xdr:colOff>0</xdr:colOff>
      <xdr:row>2793</xdr:row>
      <xdr:rowOff>114300</xdr:rowOff>
    </xdr:to>
    <xdr:pic>
      <xdr:nvPicPr>
        <xdr:cNvPr id="3053" name="Imagen 3052" descr="Ver detalle">
          <a:hlinkClick xmlns:r="http://schemas.openxmlformats.org/officeDocument/2006/relationships" r:id="rId2994" tooltip="Ver detalle"/>
          <a:extLst>
            <a:ext uri="{FF2B5EF4-FFF2-40B4-BE49-F238E27FC236}">
              <a16:creationId xmlns:a16="http://schemas.microsoft.com/office/drawing/2014/main" id="{A8636868-CFCA-A5B3-CC6B-E7E085E28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5468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2790</xdr:row>
      <xdr:rowOff>0</xdr:rowOff>
    </xdr:from>
    <xdr:to>
      <xdr:col>13</xdr:col>
      <xdr:colOff>0</xdr:colOff>
      <xdr:row>2791</xdr:row>
      <xdr:rowOff>114300</xdr:rowOff>
    </xdr:to>
    <xdr:pic>
      <xdr:nvPicPr>
        <xdr:cNvPr id="3054" name="Imagen 3053" descr="Ver detalle">
          <a:hlinkClick xmlns:r="http://schemas.openxmlformats.org/officeDocument/2006/relationships" r:id="rId2995" tooltip="Ver detalle"/>
          <a:extLst>
            <a:ext uri="{FF2B5EF4-FFF2-40B4-BE49-F238E27FC236}">
              <a16:creationId xmlns:a16="http://schemas.microsoft.com/office/drawing/2014/main" id="{857B4BF8-BACC-E684-85DC-1ADB2B509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5583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2794</xdr:row>
      <xdr:rowOff>0</xdr:rowOff>
    </xdr:from>
    <xdr:to>
      <xdr:col>13</xdr:col>
      <xdr:colOff>0</xdr:colOff>
      <xdr:row>2795</xdr:row>
      <xdr:rowOff>114300</xdr:rowOff>
    </xdr:to>
    <xdr:pic>
      <xdr:nvPicPr>
        <xdr:cNvPr id="3055" name="Imagen 3054" descr="Ver detalle">
          <a:hlinkClick xmlns:r="http://schemas.openxmlformats.org/officeDocument/2006/relationships" r:id="rId2996" tooltip="Ver detalle"/>
          <a:extLst>
            <a:ext uri="{FF2B5EF4-FFF2-40B4-BE49-F238E27FC236}">
              <a16:creationId xmlns:a16="http://schemas.microsoft.com/office/drawing/2014/main" id="{9C5EC3AF-DA24-15E8-0824-D162BCC35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5697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2791</xdr:row>
      <xdr:rowOff>0</xdr:rowOff>
    </xdr:from>
    <xdr:to>
      <xdr:col>13</xdr:col>
      <xdr:colOff>0</xdr:colOff>
      <xdr:row>2792</xdr:row>
      <xdr:rowOff>114300</xdr:rowOff>
    </xdr:to>
    <xdr:pic>
      <xdr:nvPicPr>
        <xdr:cNvPr id="3056" name="Imagen 3055" descr="Ver detalle">
          <a:hlinkClick xmlns:r="http://schemas.openxmlformats.org/officeDocument/2006/relationships" r:id="rId2997" tooltip="Ver detalle"/>
          <a:extLst>
            <a:ext uri="{FF2B5EF4-FFF2-40B4-BE49-F238E27FC236}">
              <a16:creationId xmlns:a16="http://schemas.microsoft.com/office/drawing/2014/main" id="{D68867CA-D90F-9A1E-B73B-25BAEA632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5941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2789</xdr:row>
      <xdr:rowOff>0</xdr:rowOff>
    </xdr:from>
    <xdr:to>
      <xdr:col>13</xdr:col>
      <xdr:colOff>0</xdr:colOff>
      <xdr:row>2790</xdr:row>
      <xdr:rowOff>114300</xdr:rowOff>
    </xdr:to>
    <xdr:pic>
      <xdr:nvPicPr>
        <xdr:cNvPr id="3057" name="Imagen 3056" descr="Ver detalle">
          <a:hlinkClick xmlns:r="http://schemas.openxmlformats.org/officeDocument/2006/relationships" r:id="rId2998" tooltip="Ver detalle"/>
          <a:extLst>
            <a:ext uri="{FF2B5EF4-FFF2-40B4-BE49-F238E27FC236}">
              <a16:creationId xmlns:a16="http://schemas.microsoft.com/office/drawing/2014/main" id="{20828FAE-775B-041D-93E4-82B21D8E7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6104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2785</xdr:row>
      <xdr:rowOff>0</xdr:rowOff>
    </xdr:from>
    <xdr:to>
      <xdr:col>13</xdr:col>
      <xdr:colOff>0</xdr:colOff>
      <xdr:row>2786</xdr:row>
      <xdr:rowOff>114300</xdr:rowOff>
    </xdr:to>
    <xdr:pic>
      <xdr:nvPicPr>
        <xdr:cNvPr id="3058" name="Imagen 3057" descr="Ver detalle">
          <a:hlinkClick xmlns:r="http://schemas.openxmlformats.org/officeDocument/2006/relationships" r:id="rId2999" tooltip="Ver detalle"/>
          <a:extLst>
            <a:ext uri="{FF2B5EF4-FFF2-40B4-BE49-F238E27FC236}">
              <a16:creationId xmlns:a16="http://schemas.microsoft.com/office/drawing/2014/main" id="{0A9BDACA-D601-8555-24C8-A668195F8D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6347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2786</xdr:row>
      <xdr:rowOff>0</xdr:rowOff>
    </xdr:from>
    <xdr:to>
      <xdr:col>13</xdr:col>
      <xdr:colOff>0</xdr:colOff>
      <xdr:row>2787</xdr:row>
      <xdr:rowOff>114300</xdr:rowOff>
    </xdr:to>
    <xdr:pic>
      <xdr:nvPicPr>
        <xdr:cNvPr id="3059" name="Imagen 3058" descr="Ver detalle">
          <a:hlinkClick xmlns:r="http://schemas.openxmlformats.org/officeDocument/2006/relationships" r:id="rId3000" tooltip="Ver detalle"/>
          <a:extLst>
            <a:ext uri="{FF2B5EF4-FFF2-40B4-BE49-F238E27FC236}">
              <a16:creationId xmlns:a16="http://schemas.microsoft.com/office/drawing/2014/main" id="{98F6DEAE-48EC-E4E9-F9AD-D2A4274DC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6591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2787</xdr:row>
      <xdr:rowOff>0</xdr:rowOff>
    </xdr:from>
    <xdr:to>
      <xdr:col>13</xdr:col>
      <xdr:colOff>0</xdr:colOff>
      <xdr:row>2788</xdr:row>
      <xdr:rowOff>114300</xdr:rowOff>
    </xdr:to>
    <xdr:pic>
      <xdr:nvPicPr>
        <xdr:cNvPr id="3060" name="Imagen 3059" descr="Ver detalle">
          <a:hlinkClick xmlns:r="http://schemas.openxmlformats.org/officeDocument/2006/relationships" r:id="rId3001" tooltip="Ver detalle"/>
          <a:extLst>
            <a:ext uri="{FF2B5EF4-FFF2-40B4-BE49-F238E27FC236}">
              <a16:creationId xmlns:a16="http://schemas.microsoft.com/office/drawing/2014/main" id="{F8895D22-D2FC-03C4-9CF4-5A4D5E935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6835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2783</xdr:row>
      <xdr:rowOff>0</xdr:rowOff>
    </xdr:from>
    <xdr:to>
      <xdr:col>13</xdr:col>
      <xdr:colOff>0</xdr:colOff>
      <xdr:row>2784</xdr:row>
      <xdr:rowOff>114300</xdr:rowOff>
    </xdr:to>
    <xdr:pic>
      <xdr:nvPicPr>
        <xdr:cNvPr id="3061" name="Imagen 3060" descr="Ver detalle">
          <a:hlinkClick xmlns:r="http://schemas.openxmlformats.org/officeDocument/2006/relationships" r:id="rId3002" tooltip="Ver detalle"/>
          <a:extLst>
            <a:ext uri="{FF2B5EF4-FFF2-40B4-BE49-F238E27FC236}">
              <a16:creationId xmlns:a16="http://schemas.microsoft.com/office/drawing/2014/main" id="{B8E0EEF8-B20C-3D90-9F2C-17373E930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7079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2788</xdr:row>
      <xdr:rowOff>0</xdr:rowOff>
    </xdr:from>
    <xdr:to>
      <xdr:col>13</xdr:col>
      <xdr:colOff>0</xdr:colOff>
      <xdr:row>2789</xdr:row>
      <xdr:rowOff>114300</xdr:rowOff>
    </xdr:to>
    <xdr:pic>
      <xdr:nvPicPr>
        <xdr:cNvPr id="3062" name="Imagen 3061" descr="Ver detalle">
          <a:hlinkClick xmlns:r="http://schemas.openxmlformats.org/officeDocument/2006/relationships" r:id="rId3003" tooltip="Ver detalle"/>
          <a:extLst>
            <a:ext uri="{FF2B5EF4-FFF2-40B4-BE49-F238E27FC236}">
              <a16:creationId xmlns:a16="http://schemas.microsoft.com/office/drawing/2014/main" id="{7F69B85B-A647-4FBC-CAC8-4863C95598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7323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2782</xdr:row>
      <xdr:rowOff>0</xdr:rowOff>
    </xdr:from>
    <xdr:to>
      <xdr:col>13</xdr:col>
      <xdr:colOff>0</xdr:colOff>
      <xdr:row>2783</xdr:row>
      <xdr:rowOff>114300</xdr:rowOff>
    </xdr:to>
    <xdr:pic>
      <xdr:nvPicPr>
        <xdr:cNvPr id="3063" name="Imagen 3062" descr="Ver detalle">
          <a:hlinkClick xmlns:r="http://schemas.openxmlformats.org/officeDocument/2006/relationships" r:id="rId3004" tooltip="Ver detalle"/>
          <a:extLst>
            <a:ext uri="{FF2B5EF4-FFF2-40B4-BE49-F238E27FC236}">
              <a16:creationId xmlns:a16="http://schemas.microsoft.com/office/drawing/2014/main" id="{6747E80D-72BA-9199-3091-C07E3A634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7567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2784</xdr:row>
      <xdr:rowOff>0</xdr:rowOff>
    </xdr:from>
    <xdr:to>
      <xdr:col>13</xdr:col>
      <xdr:colOff>0</xdr:colOff>
      <xdr:row>2785</xdr:row>
      <xdr:rowOff>114300</xdr:rowOff>
    </xdr:to>
    <xdr:pic>
      <xdr:nvPicPr>
        <xdr:cNvPr id="3064" name="Imagen 3063" descr="Ver detalle">
          <a:hlinkClick xmlns:r="http://schemas.openxmlformats.org/officeDocument/2006/relationships" r:id="rId3005" tooltip="Ver detalle"/>
          <a:extLst>
            <a:ext uri="{FF2B5EF4-FFF2-40B4-BE49-F238E27FC236}">
              <a16:creationId xmlns:a16="http://schemas.microsoft.com/office/drawing/2014/main" id="{02756260-FEE9-2C26-DE33-AD923F7BF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7811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2780</xdr:row>
      <xdr:rowOff>0</xdr:rowOff>
    </xdr:from>
    <xdr:to>
      <xdr:col>13</xdr:col>
      <xdr:colOff>0</xdr:colOff>
      <xdr:row>2781</xdr:row>
      <xdr:rowOff>114300</xdr:rowOff>
    </xdr:to>
    <xdr:pic>
      <xdr:nvPicPr>
        <xdr:cNvPr id="3065" name="Imagen 3064" descr="Ver detalle">
          <a:hlinkClick xmlns:r="http://schemas.openxmlformats.org/officeDocument/2006/relationships" r:id="rId3006" tooltip="Ver detalle"/>
          <a:extLst>
            <a:ext uri="{FF2B5EF4-FFF2-40B4-BE49-F238E27FC236}">
              <a16:creationId xmlns:a16="http://schemas.microsoft.com/office/drawing/2014/main" id="{2C31C56B-682C-F7C5-24A4-F91E6C178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8169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2809</xdr:row>
      <xdr:rowOff>0</xdr:rowOff>
    </xdr:from>
    <xdr:to>
      <xdr:col>13</xdr:col>
      <xdr:colOff>0</xdr:colOff>
      <xdr:row>2810</xdr:row>
      <xdr:rowOff>114300</xdr:rowOff>
    </xdr:to>
    <xdr:pic>
      <xdr:nvPicPr>
        <xdr:cNvPr id="3066" name="Imagen 3065" descr="Ver detalle">
          <a:hlinkClick xmlns:r="http://schemas.openxmlformats.org/officeDocument/2006/relationships" r:id="rId3007" tooltip="Ver detalle"/>
          <a:extLst>
            <a:ext uri="{FF2B5EF4-FFF2-40B4-BE49-F238E27FC236}">
              <a16:creationId xmlns:a16="http://schemas.microsoft.com/office/drawing/2014/main" id="{385613B4-F3B0-7407-2865-7148A1AC2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8413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2810</xdr:row>
      <xdr:rowOff>0</xdr:rowOff>
    </xdr:from>
    <xdr:to>
      <xdr:col>13</xdr:col>
      <xdr:colOff>0</xdr:colOff>
      <xdr:row>2811</xdr:row>
      <xdr:rowOff>114300</xdr:rowOff>
    </xdr:to>
    <xdr:pic>
      <xdr:nvPicPr>
        <xdr:cNvPr id="3067" name="Imagen 3066" descr="Ver detalle">
          <a:hlinkClick xmlns:r="http://schemas.openxmlformats.org/officeDocument/2006/relationships" r:id="rId3008" tooltip="Ver detalle"/>
          <a:extLst>
            <a:ext uri="{FF2B5EF4-FFF2-40B4-BE49-F238E27FC236}">
              <a16:creationId xmlns:a16="http://schemas.microsoft.com/office/drawing/2014/main" id="{D1DD182B-CCA2-1EC3-7660-2E26B0DCB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8656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2824</xdr:row>
      <xdr:rowOff>0</xdr:rowOff>
    </xdr:from>
    <xdr:to>
      <xdr:col>13</xdr:col>
      <xdr:colOff>0</xdr:colOff>
      <xdr:row>2825</xdr:row>
      <xdr:rowOff>114300</xdr:rowOff>
    </xdr:to>
    <xdr:pic>
      <xdr:nvPicPr>
        <xdr:cNvPr id="3068" name="Imagen 3067" descr="Ver detalle">
          <a:hlinkClick xmlns:r="http://schemas.openxmlformats.org/officeDocument/2006/relationships" r:id="rId3009" tooltip="Ver detalle"/>
          <a:extLst>
            <a:ext uri="{FF2B5EF4-FFF2-40B4-BE49-F238E27FC236}">
              <a16:creationId xmlns:a16="http://schemas.microsoft.com/office/drawing/2014/main" id="{02492E26-B503-EE7E-087C-864116721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8900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2811</xdr:row>
      <xdr:rowOff>0</xdr:rowOff>
    </xdr:from>
    <xdr:to>
      <xdr:col>13</xdr:col>
      <xdr:colOff>0</xdr:colOff>
      <xdr:row>2812</xdr:row>
      <xdr:rowOff>114300</xdr:rowOff>
    </xdr:to>
    <xdr:pic>
      <xdr:nvPicPr>
        <xdr:cNvPr id="3069" name="Imagen 3068" descr="Ver detalle">
          <a:hlinkClick xmlns:r="http://schemas.openxmlformats.org/officeDocument/2006/relationships" r:id="rId3010" tooltip="Ver detalle"/>
          <a:extLst>
            <a:ext uri="{FF2B5EF4-FFF2-40B4-BE49-F238E27FC236}">
              <a16:creationId xmlns:a16="http://schemas.microsoft.com/office/drawing/2014/main" id="{B45970F1-4456-9252-4B02-FDD79A845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9014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2812</xdr:row>
      <xdr:rowOff>0</xdr:rowOff>
    </xdr:from>
    <xdr:to>
      <xdr:col>13</xdr:col>
      <xdr:colOff>0</xdr:colOff>
      <xdr:row>2813</xdr:row>
      <xdr:rowOff>114300</xdr:rowOff>
    </xdr:to>
    <xdr:pic>
      <xdr:nvPicPr>
        <xdr:cNvPr id="3070" name="Imagen 3069" descr="Ver detalle">
          <a:hlinkClick xmlns:r="http://schemas.openxmlformats.org/officeDocument/2006/relationships" r:id="rId3011" tooltip="Ver detalle"/>
          <a:extLst>
            <a:ext uri="{FF2B5EF4-FFF2-40B4-BE49-F238E27FC236}">
              <a16:creationId xmlns:a16="http://schemas.microsoft.com/office/drawing/2014/main" id="{AAF1DFFE-B0DE-81FC-ECEE-D2C76F1CB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925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2813</xdr:row>
      <xdr:rowOff>0</xdr:rowOff>
    </xdr:from>
    <xdr:to>
      <xdr:col>13</xdr:col>
      <xdr:colOff>0</xdr:colOff>
      <xdr:row>2814</xdr:row>
      <xdr:rowOff>114300</xdr:rowOff>
    </xdr:to>
    <xdr:pic>
      <xdr:nvPicPr>
        <xdr:cNvPr id="3071" name="Imagen 3070" descr="Ver detalle">
          <a:hlinkClick xmlns:r="http://schemas.openxmlformats.org/officeDocument/2006/relationships" r:id="rId3012" tooltip="Ver detalle"/>
          <a:extLst>
            <a:ext uri="{FF2B5EF4-FFF2-40B4-BE49-F238E27FC236}">
              <a16:creationId xmlns:a16="http://schemas.microsoft.com/office/drawing/2014/main" id="{DD21EE19-4917-3481-1767-DBAA9D734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9502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2814</xdr:row>
      <xdr:rowOff>0</xdr:rowOff>
    </xdr:from>
    <xdr:to>
      <xdr:col>13</xdr:col>
      <xdr:colOff>0</xdr:colOff>
      <xdr:row>2815</xdr:row>
      <xdr:rowOff>114300</xdr:rowOff>
    </xdr:to>
    <xdr:pic>
      <xdr:nvPicPr>
        <xdr:cNvPr id="3072" name="Imagen 3071" descr="Ver detalle">
          <a:hlinkClick xmlns:r="http://schemas.openxmlformats.org/officeDocument/2006/relationships" r:id="rId3013" tooltip="Ver detalle"/>
          <a:extLst>
            <a:ext uri="{FF2B5EF4-FFF2-40B4-BE49-F238E27FC236}">
              <a16:creationId xmlns:a16="http://schemas.microsoft.com/office/drawing/2014/main" id="{B4A8D347-4007-68BB-A313-918156BBA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9746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2815</xdr:row>
      <xdr:rowOff>0</xdr:rowOff>
    </xdr:from>
    <xdr:to>
      <xdr:col>13</xdr:col>
      <xdr:colOff>0</xdr:colOff>
      <xdr:row>2816</xdr:row>
      <xdr:rowOff>114300</xdr:rowOff>
    </xdr:to>
    <xdr:pic>
      <xdr:nvPicPr>
        <xdr:cNvPr id="3073" name="Imagen 3072" descr="Ver detalle">
          <a:hlinkClick xmlns:r="http://schemas.openxmlformats.org/officeDocument/2006/relationships" r:id="rId3014" tooltip="Ver detalle"/>
          <a:extLst>
            <a:ext uri="{FF2B5EF4-FFF2-40B4-BE49-F238E27FC236}">
              <a16:creationId xmlns:a16="http://schemas.microsoft.com/office/drawing/2014/main" id="{D13BB502-80B6-E379-1358-DD7ECFEDE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9990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2816</xdr:row>
      <xdr:rowOff>0</xdr:rowOff>
    </xdr:from>
    <xdr:to>
      <xdr:col>13</xdr:col>
      <xdr:colOff>0</xdr:colOff>
      <xdr:row>2817</xdr:row>
      <xdr:rowOff>114300</xdr:rowOff>
    </xdr:to>
    <xdr:pic>
      <xdr:nvPicPr>
        <xdr:cNvPr id="3074" name="Imagen 3073" descr="Ver detalle">
          <a:hlinkClick xmlns:r="http://schemas.openxmlformats.org/officeDocument/2006/relationships" r:id="rId3015" tooltip="Ver detalle"/>
          <a:extLst>
            <a:ext uri="{FF2B5EF4-FFF2-40B4-BE49-F238E27FC236}">
              <a16:creationId xmlns:a16="http://schemas.microsoft.com/office/drawing/2014/main" id="{75F361D4-293B-06C5-C744-CB0572B69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0234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2817</xdr:row>
      <xdr:rowOff>0</xdr:rowOff>
    </xdr:from>
    <xdr:to>
      <xdr:col>13</xdr:col>
      <xdr:colOff>0</xdr:colOff>
      <xdr:row>2818</xdr:row>
      <xdr:rowOff>114300</xdr:rowOff>
    </xdr:to>
    <xdr:pic>
      <xdr:nvPicPr>
        <xdr:cNvPr id="3075" name="Imagen 3074" descr="Ver detalle">
          <a:hlinkClick xmlns:r="http://schemas.openxmlformats.org/officeDocument/2006/relationships" r:id="rId3016" tooltip="Ver detalle"/>
          <a:extLst>
            <a:ext uri="{FF2B5EF4-FFF2-40B4-BE49-F238E27FC236}">
              <a16:creationId xmlns:a16="http://schemas.microsoft.com/office/drawing/2014/main" id="{5E396DB1-9502-557C-AF66-077521CE5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0478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2818</xdr:row>
      <xdr:rowOff>0</xdr:rowOff>
    </xdr:from>
    <xdr:to>
      <xdr:col>13</xdr:col>
      <xdr:colOff>0</xdr:colOff>
      <xdr:row>2819</xdr:row>
      <xdr:rowOff>114300</xdr:rowOff>
    </xdr:to>
    <xdr:pic>
      <xdr:nvPicPr>
        <xdr:cNvPr id="3076" name="Imagen 3075" descr="Ver detalle">
          <a:hlinkClick xmlns:r="http://schemas.openxmlformats.org/officeDocument/2006/relationships" r:id="rId3017" tooltip="Ver detalle"/>
          <a:extLst>
            <a:ext uri="{FF2B5EF4-FFF2-40B4-BE49-F238E27FC236}">
              <a16:creationId xmlns:a16="http://schemas.microsoft.com/office/drawing/2014/main" id="{580F255B-5445-0E54-33EF-D0D3E9871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0657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2819</xdr:row>
      <xdr:rowOff>0</xdr:rowOff>
    </xdr:from>
    <xdr:to>
      <xdr:col>13</xdr:col>
      <xdr:colOff>0</xdr:colOff>
      <xdr:row>2820</xdr:row>
      <xdr:rowOff>114300</xdr:rowOff>
    </xdr:to>
    <xdr:pic>
      <xdr:nvPicPr>
        <xdr:cNvPr id="3077" name="Imagen 3076" descr="Ver detalle">
          <a:hlinkClick xmlns:r="http://schemas.openxmlformats.org/officeDocument/2006/relationships" r:id="rId3018" tooltip="Ver detalle"/>
          <a:extLst>
            <a:ext uri="{FF2B5EF4-FFF2-40B4-BE49-F238E27FC236}">
              <a16:creationId xmlns:a16="http://schemas.microsoft.com/office/drawing/2014/main" id="{EF2755CA-CF90-A399-BD3A-496DBCB04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0819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2820</xdr:row>
      <xdr:rowOff>0</xdr:rowOff>
    </xdr:from>
    <xdr:to>
      <xdr:col>13</xdr:col>
      <xdr:colOff>0</xdr:colOff>
      <xdr:row>2821</xdr:row>
      <xdr:rowOff>114300</xdr:rowOff>
    </xdr:to>
    <xdr:pic>
      <xdr:nvPicPr>
        <xdr:cNvPr id="3078" name="Imagen 3077" descr="Ver detalle">
          <a:hlinkClick xmlns:r="http://schemas.openxmlformats.org/officeDocument/2006/relationships" r:id="rId3019" tooltip="Ver detalle"/>
          <a:extLst>
            <a:ext uri="{FF2B5EF4-FFF2-40B4-BE49-F238E27FC236}">
              <a16:creationId xmlns:a16="http://schemas.microsoft.com/office/drawing/2014/main" id="{93BAEA6F-E714-1E85-1877-CCD346165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098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2821</xdr:row>
      <xdr:rowOff>0</xdr:rowOff>
    </xdr:from>
    <xdr:to>
      <xdr:col>13</xdr:col>
      <xdr:colOff>0</xdr:colOff>
      <xdr:row>2822</xdr:row>
      <xdr:rowOff>114300</xdr:rowOff>
    </xdr:to>
    <xdr:pic>
      <xdr:nvPicPr>
        <xdr:cNvPr id="3079" name="Imagen 3078" descr="Ver detalle">
          <a:hlinkClick xmlns:r="http://schemas.openxmlformats.org/officeDocument/2006/relationships" r:id="rId3020" tooltip="Ver detalle"/>
          <a:extLst>
            <a:ext uri="{FF2B5EF4-FFF2-40B4-BE49-F238E27FC236}">
              <a16:creationId xmlns:a16="http://schemas.microsoft.com/office/drawing/2014/main" id="{3096E685-D1E9-4AFA-7C4B-E9745F347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1145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2822</xdr:row>
      <xdr:rowOff>0</xdr:rowOff>
    </xdr:from>
    <xdr:to>
      <xdr:col>13</xdr:col>
      <xdr:colOff>0</xdr:colOff>
      <xdr:row>2823</xdr:row>
      <xdr:rowOff>114300</xdr:rowOff>
    </xdr:to>
    <xdr:pic>
      <xdr:nvPicPr>
        <xdr:cNvPr id="3080" name="Imagen 3079" descr="Ver detalle">
          <a:hlinkClick xmlns:r="http://schemas.openxmlformats.org/officeDocument/2006/relationships" r:id="rId3021" tooltip="Ver detalle"/>
          <a:extLst>
            <a:ext uri="{FF2B5EF4-FFF2-40B4-BE49-F238E27FC236}">
              <a16:creationId xmlns:a16="http://schemas.microsoft.com/office/drawing/2014/main" id="{A7D5C08B-F7D6-AE42-A8BA-DAF80E348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1308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2823</xdr:row>
      <xdr:rowOff>0</xdr:rowOff>
    </xdr:from>
    <xdr:to>
      <xdr:col>13</xdr:col>
      <xdr:colOff>0</xdr:colOff>
      <xdr:row>2824</xdr:row>
      <xdr:rowOff>114300</xdr:rowOff>
    </xdr:to>
    <xdr:pic>
      <xdr:nvPicPr>
        <xdr:cNvPr id="3081" name="Imagen 3080" descr="Ver detalle">
          <a:hlinkClick xmlns:r="http://schemas.openxmlformats.org/officeDocument/2006/relationships" r:id="rId3022" tooltip="Ver detalle"/>
          <a:extLst>
            <a:ext uri="{FF2B5EF4-FFF2-40B4-BE49-F238E27FC236}">
              <a16:creationId xmlns:a16="http://schemas.microsoft.com/office/drawing/2014/main" id="{0153333D-4490-090D-11C8-6FD403543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1552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2779</xdr:row>
      <xdr:rowOff>0</xdr:rowOff>
    </xdr:from>
    <xdr:to>
      <xdr:col>13</xdr:col>
      <xdr:colOff>0</xdr:colOff>
      <xdr:row>2780</xdr:row>
      <xdr:rowOff>114300</xdr:rowOff>
    </xdr:to>
    <xdr:pic>
      <xdr:nvPicPr>
        <xdr:cNvPr id="3082" name="Imagen 3081" descr="Ver detalle">
          <a:hlinkClick xmlns:r="http://schemas.openxmlformats.org/officeDocument/2006/relationships" r:id="rId3023" tooltip="Ver detalle"/>
          <a:extLst>
            <a:ext uri="{FF2B5EF4-FFF2-40B4-BE49-F238E27FC236}">
              <a16:creationId xmlns:a16="http://schemas.microsoft.com/office/drawing/2014/main" id="{2F24AB71-68C6-76D1-6344-75A90CFC8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1796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2805</xdr:row>
      <xdr:rowOff>0</xdr:rowOff>
    </xdr:from>
    <xdr:to>
      <xdr:col>13</xdr:col>
      <xdr:colOff>0</xdr:colOff>
      <xdr:row>2806</xdr:row>
      <xdr:rowOff>114300</xdr:rowOff>
    </xdr:to>
    <xdr:pic>
      <xdr:nvPicPr>
        <xdr:cNvPr id="3083" name="Imagen 3082" descr="Ver detalle">
          <a:hlinkClick xmlns:r="http://schemas.openxmlformats.org/officeDocument/2006/relationships" r:id="rId3024" tooltip="Ver detalle"/>
          <a:extLst>
            <a:ext uri="{FF2B5EF4-FFF2-40B4-BE49-F238E27FC236}">
              <a16:creationId xmlns:a16="http://schemas.microsoft.com/office/drawing/2014/main" id="{116A9B38-ABD3-E37B-4E99-52D7201C3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2040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2806</xdr:row>
      <xdr:rowOff>0</xdr:rowOff>
    </xdr:from>
    <xdr:to>
      <xdr:col>13</xdr:col>
      <xdr:colOff>0</xdr:colOff>
      <xdr:row>2807</xdr:row>
      <xdr:rowOff>114300</xdr:rowOff>
    </xdr:to>
    <xdr:pic>
      <xdr:nvPicPr>
        <xdr:cNvPr id="3084" name="Imagen 3083" descr="Ver detalle">
          <a:hlinkClick xmlns:r="http://schemas.openxmlformats.org/officeDocument/2006/relationships" r:id="rId3025" tooltip="Ver detalle"/>
          <a:extLst>
            <a:ext uri="{FF2B5EF4-FFF2-40B4-BE49-F238E27FC236}">
              <a16:creationId xmlns:a16="http://schemas.microsoft.com/office/drawing/2014/main" id="{BF437B9C-2C84-3DF9-04DD-90D1B70E5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2283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2775</xdr:row>
      <xdr:rowOff>0</xdr:rowOff>
    </xdr:from>
    <xdr:to>
      <xdr:col>13</xdr:col>
      <xdr:colOff>0</xdr:colOff>
      <xdr:row>2776</xdr:row>
      <xdr:rowOff>114300</xdr:rowOff>
    </xdr:to>
    <xdr:pic>
      <xdr:nvPicPr>
        <xdr:cNvPr id="3085" name="Imagen 3084" descr="Ver detalle">
          <a:hlinkClick xmlns:r="http://schemas.openxmlformats.org/officeDocument/2006/relationships" r:id="rId3026" tooltip="Ver detalle"/>
          <a:extLst>
            <a:ext uri="{FF2B5EF4-FFF2-40B4-BE49-F238E27FC236}">
              <a16:creationId xmlns:a16="http://schemas.microsoft.com/office/drawing/2014/main" id="{C4BF5EDF-EECF-FA0F-ADB0-2754C1EB0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2527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2804</xdr:row>
      <xdr:rowOff>0</xdr:rowOff>
    </xdr:from>
    <xdr:to>
      <xdr:col>13</xdr:col>
      <xdr:colOff>0</xdr:colOff>
      <xdr:row>2805</xdr:row>
      <xdr:rowOff>114300</xdr:rowOff>
    </xdr:to>
    <xdr:pic>
      <xdr:nvPicPr>
        <xdr:cNvPr id="3086" name="Imagen 3085" descr="Ver detalle">
          <a:hlinkClick xmlns:r="http://schemas.openxmlformats.org/officeDocument/2006/relationships" r:id="rId3027" tooltip="Ver detalle"/>
          <a:extLst>
            <a:ext uri="{FF2B5EF4-FFF2-40B4-BE49-F238E27FC236}">
              <a16:creationId xmlns:a16="http://schemas.microsoft.com/office/drawing/2014/main" id="{EE9185CE-2915-C26C-89B4-690603803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2771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2807</xdr:row>
      <xdr:rowOff>0</xdr:rowOff>
    </xdr:from>
    <xdr:to>
      <xdr:col>13</xdr:col>
      <xdr:colOff>0</xdr:colOff>
      <xdr:row>2808</xdr:row>
      <xdr:rowOff>114300</xdr:rowOff>
    </xdr:to>
    <xdr:pic>
      <xdr:nvPicPr>
        <xdr:cNvPr id="3087" name="Imagen 3086" descr="Ver detalle">
          <a:hlinkClick xmlns:r="http://schemas.openxmlformats.org/officeDocument/2006/relationships" r:id="rId3028" tooltip="Ver detalle"/>
          <a:extLst>
            <a:ext uri="{FF2B5EF4-FFF2-40B4-BE49-F238E27FC236}">
              <a16:creationId xmlns:a16="http://schemas.microsoft.com/office/drawing/2014/main" id="{241A7C14-2AAE-E15B-B6AF-CB5430B3EA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2885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2808</xdr:row>
      <xdr:rowOff>0</xdr:rowOff>
    </xdr:from>
    <xdr:to>
      <xdr:col>13</xdr:col>
      <xdr:colOff>0</xdr:colOff>
      <xdr:row>2809</xdr:row>
      <xdr:rowOff>114300</xdr:rowOff>
    </xdr:to>
    <xdr:pic>
      <xdr:nvPicPr>
        <xdr:cNvPr id="3088" name="Imagen 3087" descr="Ver detalle">
          <a:hlinkClick xmlns:r="http://schemas.openxmlformats.org/officeDocument/2006/relationships" r:id="rId3029" tooltip="Ver detalle"/>
          <a:extLst>
            <a:ext uri="{FF2B5EF4-FFF2-40B4-BE49-F238E27FC236}">
              <a16:creationId xmlns:a16="http://schemas.microsoft.com/office/drawing/2014/main" id="{24AC8A2D-E5E2-A673-DB65-5CD968D56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3129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2776</xdr:row>
      <xdr:rowOff>0</xdr:rowOff>
    </xdr:from>
    <xdr:to>
      <xdr:col>13</xdr:col>
      <xdr:colOff>0</xdr:colOff>
      <xdr:row>2777</xdr:row>
      <xdr:rowOff>114300</xdr:rowOff>
    </xdr:to>
    <xdr:pic>
      <xdr:nvPicPr>
        <xdr:cNvPr id="3089" name="Imagen 3088" descr="Ver detalle">
          <a:hlinkClick xmlns:r="http://schemas.openxmlformats.org/officeDocument/2006/relationships" r:id="rId3030" tooltip="Ver detalle"/>
          <a:extLst>
            <a:ext uri="{FF2B5EF4-FFF2-40B4-BE49-F238E27FC236}">
              <a16:creationId xmlns:a16="http://schemas.microsoft.com/office/drawing/2014/main" id="{5C3A65B1-6B71-6C86-2560-D2E0307E0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3536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2777</xdr:row>
      <xdr:rowOff>0</xdr:rowOff>
    </xdr:from>
    <xdr:to>
      <xdr:col>13</xdr:col>
      <xdr:colOff>0</xdr:colOff>
      <xdr:row>2778</xdr:row>
      <xdr:rowOff>114300</xdr:rowOff>
    </xdr:to>
    <xdr:pic>
      <xdr:nvPicPr>
        <xdr:cNvPr id="3090" name="Imagen 3089" descr="Ver detalle">
          <a:hlinkClick xmlns:r="http://schemas.openxmlformats.org/officeDocument/2006/relationships" r:id="rId3031" tooltip="Ver detalle"/>
          <a:extLst>
            <a:ext uri="{FF2B5EF4-FFF2-40B4-BE49-F238E27FC236}">
              <a16:creationId xmlns:a16="http://schemas.microsoft.com/office/drawing/2014/main" id="{9960EC8D-D7BB-8E1E-B962-84DD446578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3780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2778</xdr:row>
      <xdr:rowOff>0</xdr:rowOff>
    </xdr:from>
    <xdr:to>
      <xdr:col>13</xdr:col>
      <xdr:colOff>0</xdr:colOff>
      <xdr:row>2779</xdr:row>
      <xdr:rowOff>114300</xdr:rowOff>
    </xdr:to>
    <xdr:pic>
      <xdr:nvPicPr>
        <xdr:cNvPr id="3091" name="Imagen 3090" descr="Ver detalle">
          <a:hlinkClick xmlns:r="http://schemas.openxmlformats.org/officeDocument/2006/relationships" r:id="rId3032" tooltip="Ver detalle"/>
          <a:extLst>
            <a:ext uri="{FF2B5EF4-FFF2-40B4-BE49-F238E27FC236}">
              <a16:creationId xmlns:a16="http://schemas.microsoft.com/office/drawing/2014/main" id="{C761168A-D381-368A-3A3E-43DCC16930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4024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2774</xdr:row>
      <xdr:rowOff>0</xdr:rowOff>
    </xdr:from>
    <xdr:to>
      <xdr:col>13</xdr:col>
      <xdr:colOff>0</xdr:colOff>
      <xdr:row>2775</xdr:row>
      <xdr:rowOff>114300</xdr:rowOff>
    </xdr:to>
    <xdr:pic>
      <xdr:nvPicPr>
        <xdr:cNvPr id="3092" name="Imagen 3091" descr="Ver detalle">
          <a:hlinkClick xmlns:r="http://schemas.openxmlformats.org/officeDocument/2006/relationships" r:id="rId3033" tooltip="Ver detalle"/>
          <a:extLst>
            <a:ext uri="{FF2B5EF4-FFF2-40B4-BE49-F238E27FC236}">
              <a16:creationId xmlns:a16="http://schemas.microsoft.com/office/drawing/2014/main" id="{1027B3D8-69BA-BB32-6AC4-E3C403C6AD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41384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2801</xdr:row>
      <xdr:rowOff>0</xdr:rowOff>
    </xdr:from>
    <xdr:to>
      <xdr:col>13</xdr:col>
      <xdr:colOff>0</xdr:colOff>
      <xdr:row>2802</xdr:row>
      <xdr:rowOff>104775</xdr:rowOff>
    </xdr:to>
    <xdr:pic>
      <xdr:nvPicPr>
        <xdr:cNvPr id="3093" name="Imagen 3092" descr="Ver detalle">
          <a:hlinkClick xmlns:r="http://schemas.openxmlformats.org/officeDocument/2006/relationships" r:id="rId3034" tooltip="Ver detalle"/>
          <a:extLst>
            <a:ext uri="{FF2B5EF4-FFF2-40B4-BE49-F238E27FC236}">
              <a16:creationId xmlns:a16="http://schemas.microsoft.com/office/drawing/2014/main" id="{B2B306A8-358A-4BB3-9DDD-90861D0EB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4301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2872</xdr:row>
      <xdr:rowOff>0</xdr:rowOff>
    </xdr:from>
    <xdr:to>
      <xdr:col>13</xdr:col>
      <xdr:colOff>0</xdr:colOff>
      <xdr:row>2873</xdr:row>
      <xdr:rowOff>104775</xdr:rowOff>
    </xdr:to>
    <xdr:pic>
      <xdr:nvPicPr>
        <xdr:cNvPr id="3094" name="Imagen 3093" descr="Ver detalle">
          <a:hlinkClick xmlns:r="http://schemas.openxmlformats.org/officeDocument/2006/relationships" r:id="rId3035" tooltip="Ver detalle"/>
          <a:extLst>
            <a:ext uri="{FF2B5EF4-FFF2-40B4-BE49-F238E27FC236}">
              <a16:creationId xmlns:a16="http://schemas.microsoft.com/office/drawing/2014/main" id="{D4D9D30C-0222-BE31-CFEF-D5D1561B3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4291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2871</xdr:row>
      <xdr:rowOff>0</xdr:rowOff>
    </xdr:from>
    <xdr:to>
      <xdr:col>13</xdr:col>
      <xdr:colOff>0</xdr:colOff>
      <xdr:row>2872</xdr:row>
      <xdr:rowOff>114300</xdr:rowOff>
    </xdr:to>
    <xdr:pic>
      <xdr:nvPicPr>
        <xdr:cNvPr id="3095" name="Imagen 3094" descr="Ver detalle">
          <a:hlinkClick xmlns:r="http://schemas.openxmlformats.org/officeDocument/2006/relationships" r:id="rId3036" tooltip="Ver detalle"/>
          <a:extLst>
            <a:ext uri="{FF2B5EF4-FFF2-40B4-BE49-F238E27FC236}">
              <a16:creationId xmlns:a16="http://schemas.microsoft.com/office/drawing/2014/main" id="{46FDF9C5-D727-A640-57C7-B056E0337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4535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2888</xdr:row>
      <xdr:rowOff>0</xdr:rowOff>
    </xdr:from>
    <xdr:to>
      <xdr:col>13</xdr:col>
      <xdr:colOff>0</xdr:colOff>
      <xdr:row>2889</xdr:row>
      <xdr:rowOff>114300</xdr:rowOff>
    </xdr:to>
    <xdr:pic>
      <xdr:nvPicPr>
        <xdr:cNvPr id="3096" name="Imagen 3095" descr="Ver detalle">
          <a:hlinkClick xmlns:r="http://schemas.openxmlformats.org/officeDocument/2006/relationships" r:id="rId3037" tooltip="Ver detalle"/>
          <a:extLst>
            <a:ext uri="{FF2B5EF4-FFF2-40B4-BE49-F238E27FC236}">
              <a16:creationId xmlns:a16="http://schemas.microsoft.com/office/drawing/2014/main" id="{AB71EBAD-BD3F-2392-37FA-D934BB0D7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4779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2889</xdr:row>
      <xdr:rowOff>0</xdr:rowOff>
    </xdr:from>
    <xdr:to>
      <xdr:col>13</xdr:col>
      <xdr:colOff>0</xdr:colOff>
      <xdr:row>2890</xdr:row>
      <xdr:rowOff>114300</xdr:rowOff>
    </xdr:to>
    <xdr:pic>
      <xdr:nvPicPr>
        <xdr:cNvPr id="3097" name="Imagen 3096" descr="Ver detalle">
          <a:hlinkClick xmlns:r="http://schemas.openxmlformats.org/officeDocument/2006/relationships" r:id="rId3038" tooltip="Ver detalle"/>
          <a:extLst>
            <a:ext uri="{FF2B5EF4-FFF2-40B4-BE49-F238E27FC236}">
              <a16:creationId xmlns:a16="http://schemas.microsoft.com/office/drawing/2014/main" id="{1FECE923-8435-1130-0163-F1CA400F8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5023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2890</xdr:row>
      <xdr:rowOff>0</xdr:rowOff>
    </xdr:from>
    <xdr:to>
      <xdr:col>13</xdr:col>
      <xdr:colOff>0</xdr:colOff>
      <xdr:row>2891</xdr:row>
      <xdr:rowOff>104775</xdr:rowOff>
    </xdr:to>
    <xdr:pic>
      <xdr:nvPicPr>
        <xdr:cNvPr id="3098" name="Imagen 3097" descr="Ver detalle">
          <a:hlinkClick xmlns:r="http://schemas.openxmlformats.org/officeDocument/2006/relationships" r:id="rId3039" tooltip="Ver detalle"/>
          <a:extLst>
            <a:ext uri="{FF2B5EF4-FFF2-40B4-BE49-F238E27FC236}">
              <a16:creationId xmlns:a16="http://schemas.microsoft.com/office/drawing/2014/main" id="{077A1BC6-90A5-9DC7-82F7-A8275EABF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5266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2875</xdr:row>
      <xdr:rowOff>0</xdr:rowOff>
    </xdr:from>
    <xdr:to>
      <xdr:col>13</xdr:col>
      <xdr:colOff>0</xdr:colOff>
      <xdr:row>2876</xdr:row>
      <xdr:rowOff>114300</xdr:rowOff>
    </xdr:to>
    <xdr:pic>
      <xdr:nvPicPr>
        <xdr:cNvPr id="3099" name="Imagen 3098" descr="Ver detalle">
          <a:hlinkClick xmlns:r="http://schemas.openxmlformats.org/officeDocument/2006/relationships" r:id="rId3040" tooltip="Ver detalle"/>
          <a:extLst>
            <a:ext uri="{FF2B5EF4-FFF2-40B4-BE49-F238E27FC236}">
              <a16:creationId xmlns:a16="http://schemas.microsoft.com/office/drawing/2014/main" id="{6BF2882B-D62E-2FFF-3D86-46E478883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5381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2876</xdr:row>
      <xdr:rowOff>0</xdr:rowOff>
    </xdr:from>
    <xdr:to>
      <xdr:col>13</xdr:col>
      <xdr:colOff>0</xdr:colOff>
      <xdr:row>2877</xdr:row>
      <xdr:rowOff>114300</xdr:rowOff>
    </xdr:to>
    <xdr:pic>
      <xdr:nvPicPr>
        <xdr:cNvPr id="3100" name="Imagen 3099" descr="Ver detalle">
          <a:hlinkClick xmlns:r="http://schemas.openxmlformats.org/officeDocument/2006/relationships" r:id="rId3041" tooltip="Ver detalle"/>
          <a:extLst>
            <a:ext uri="{FF2B5EF4-FFF2-40B4-BE49-F238E27FC236}">
              <a16:creationId xmlns:a16="http://schemas.microsoft.com/office/drawing/2014/main" id="{18174BB2-394C-5396-B373-BE5228449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5625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2877</xdr:row>
      <xdr:rowOff>0</xdr:rowOff>
    </xdr:from>
    <xdr:to>
      <xdr:col>13</xdr:col>
      <xdr:colOff>0</xdr:colOff>
      <xdr:row>2878</xdr:row>
      <xdr:rowOff>114300</xdr:rowOff>
    </xdr:to>
    <xdr:pic>
      <xdr:nvPicPr>
        <xdr:cNvPr id="3101" name="Imagen 3100" descr="Ver detalle">
          <a:hlinkClick xmlns:r="http://schemas.openxmlformats.org/officeDocument/2006/relationships" r:id="rId3042" tooltip="Ver detalle"/>
          <a:extLst>
            <a:ext uri="{FF2B5EF4-FFF2-40B4-BE49-F238E27FC236}">
              <a16:creationId xmlns:a16="http://schemas.microsoft.com/office/drawing/2014/main" id="{36DB2789-B6D5-E6F5-8375-4555D5845F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5868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2878</xdr:row>
      <xdr:rowOff>0</xdr:rowOff>
    </xdr:from>
    <xdr:to>
      <xdr:col>13</xdr:col>
      <xdr:colOff>0</xdr:colOff>
      <xdr:row>2879</xdr:row>
      <xdr:rowOff>114300</xdr:rowOff>
    </xdr:to>
    <xdr:pic>
      <xdr:nvPicPr>
        <xdr:cNvPr id="3102" name="Imagen 3101" descr="Ver detalle">
          <a:hlinkClick xmlns:r="http://schemas.openxmlformats.org/officeDocument/2006/relationships" r:id="rId3043" tooltip="Ver detalle"/>
          <a:extLst>
            <a:ext uri="{FF2B5EF4-FFF2-40B4-BE49-F238E27FC236}">
              <a16:creationId xmlns:a16="http://schemas.microsoft.com/office/drawing/2014/main" id="{3CE4B3D3-2201-93E6-7F2D-EBBE35413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6112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2879</xdr:row>
      <xdr:rowOff>0</xdr:rowOff>
    </xdr:from>
    <xdr:to>
      <xdr:col>13</xdr:col>
      <xdr:colOff>0</xdr:colOff>
      <xdr:row>2880</xdr:row>
      <xdr:rowOff>114300</xdr:rowOff>
    </xdr:to>
    <xdr:pic>
      <xdr:nvPicPr>
        <xdr:cNvPr id="3103" name="Imagen 3102" descr="Ver detalle">
          <a:hlinkClick xmlns:r="http://schemas.openxmlformats.org/officeDocument/2006/relationships" r:id="rId3044" tooltip="Ver detalle"/>
          <a:extLst>
            <a:ext uri="{FF2B5EF4-FFF2-40B4-BE49-F238E27FC236}">
              <a16:creationId xmlns:a16="http://schemas.microsoft.com/office/drawing/2014/main" id="{AEE74E50-33EE-0406-26AE-C1E4DB6F6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6356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2880</xdr:row>
      <xdr:rowOff>0</xdr:rowOff>
    </xdr:from>
    <xdr:to>
      <xdr:col>13</xdr:col>
      <xdr:colOff>0</xdr:colOff>
      <xdr:row>2881</xdr:row>
      <xdr:rowOff>114300</xdr:rowOff>
    </xdr:to>
    <xdr:pic>
      <xdr:nvPicPr>
        <xdr:cNvPr id="3104" name="Imagen 3103" descr="Ver detalle">
          <a:hlinkClick xmlns:r="http://schemas.openxmlformats.org/officeDocument/2006/relationships" r:id="rId3045" tooltip="Ver detalle"/>
          <a:extLst>
            <a:ext uri="{FF2B5EF4-FFF2-40B4-BE49-F238E27FC236}">
              <a16:creationId xmlns:a16="http://schemas.microsoft.com/office/drawing/2014/main" id="{5FA6A9E3-46D5-D364-1BB2-AEF0B3B43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6470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2881</xdr:row>
      <xdr:rowOff>0</xdr:rowOff>
    </xdr:from>
    <xdr:to>
      <xdr:col>13</xdr:col>
      <xdr:colOff>0</xdr:colOff>
      <xdr:row>2882</xdr:row>
      <xdr:rowOff>114300</xdr:rowOff>
    </xdr:to>
    <xdr:pic>
      <xdr:nvPicPr>
        <xdr:cNvPr id="3105" name="Imagen 3104" descr="Ver detalle">
          <a:hlinkClick xmlns:r="http://schemas.openxmlformats.org/officeDocument/2006/relationships" r:id="rId3046" tooltip="Ver detalle"/>
          <a:extLst>
            <a:ext uri="{FF2B5EF4-FFF2-40B4-BE49-F238E27FC236}">
              <a16:creationId xmlns:a16="http://schemas.microsoft.com/office/drawing/2014/main" id="{10647A3C-9D0D-7B73-C61E-2C78658F5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6714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2882</xdr:row>
      <xdr:rowOff>0</xdr:rowOff>
    </xdr:from>
    <xdr:to>
      <xdr:col>13</xdr:col>
      <xdr:colOff>0</xdr:colOff>
      <xdr:row>2883</xdr:row>
      <xdr:rowOff>114300</xdr:rowOff>
    </xdr:to>
    <xdr:pic>
      <xdr:nvPicPr>
        <xdr:cNvPr id="3106" name="Imagen 3105" descr="Ver detalle">
          <a:hlinkClick xmlns:r="http://schemas.openxmlformats.org/officeDocument/2006/relationships" r:id="rId3047" tooltip="Ver detalle"/>
          <a:extLst>
            <a:ext uri="{FF2B5EF4-FFF2-40B4-BE49-F238E27FC236}">
              <a16:creationId xmlns:a16="http://schemas.microsoft.com/office/drawing/2014/main" id="{46DD545D-B176-2DF7-B9B5-A6E5BE9C8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6958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2883</xdr:row>
      <xdr:rowOff>0</xdr:rowOff>
    </xdr:from>
    <xdr:to>
      <xdr:col>13</xdr:col>
      <xdr:colOff>0</xdr:colOff>
      <xdr:row>2884</xdr:row>
      <xdr:rowOff>114300</xdr:rowOff>
    </xdr:to>
    <xdr:pic>
      <xdr:nvPicPr>
        <xdr:cNvPr id="3107" name="Imagen 3106" descr="Ver detalle">
          <a:hlinkClick xmlns:r="http://schemas.openxmlformats.org/officeDocument/2006/relationships" r:id="rId3048" tooltip="Ver detalle"/>
          <a:extLst>
            <a:ext uri="{FF2B5EF4-FFF2-40B4-BE49-F238E27FC236}">
              <a16:creationId xmlns:a16="http://schemas.microsoft.com/office/drawing/2014/main" id="{1FDC1BC1-2908-D2A4-2D01-8E2D765FB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202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2884</xdr:row>
      <xdr:rowOff>0</xdr:rowOff>
    </xdr:from>
    <xdr:to>
      <xdr:col>13</xdr:col>
      <xdr:colOff>0</xdr:colOff>
      <xdr:row>2885</xdr:row>
      <xdr:rowOff>114300</xdr:rowOff>
    </xdr:to>
    <xdr:pic>
      <xdr:nvPicPr>
        <xdr:cNvPr id="3108" name="Imagen 3107" descr="Ver detalle">
          <a:hlinkClick xmlns:r="http://schemas.openxmlformats.org/officeDocument/2006/relationships" r:id="rId3049" tooltip="Ver detalle"/>
          <a:extLst>
            <a:ext uri="{FF2B5EF4-FFF2-40B4-BE49-F238E27FC236}">
              <a16:creationId xmlns:a16="http://schemas.microsoft.com/office/drawing/2014/main" id="{7D087BB8-42DD-24C2-F6BC-4620830B5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316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2885</xdr:row>
      <xdr:rowOff>0</xdr:rowOff>
    </xdr:from>
    <xdr:to>
      <xdr:col>13</xdr:col>
      <xdr:colOff>0</xdr:colOff>
      <xdr:row>2886</xdr:row>
      <xdr:rowOff>114300</xdr:rowOff>
    </xdr:to>
    <xdr:pic>
      <xdr:nvPicPr>
        <xdr:cNvPr id="3109" name="Imagen 3108" descr="Ver detalle">
          <a:hlinkClick xmlns:r="http://schemas.openxmlformats.org/officeDocument/2006/relationships" r:id="rId3050" tooltip="Ver detalle"/>
          <a:extLst>
            <a:ext uri="{FF2B5EF4-FFF2-40B4-BE49-F238E27FC236}">
              <a16:creationId xmlns:a16="http://schemas.microsoft.com/office/drawing/2014/main" id="{336BAA70-E024-E508-DC3B-732D1836A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430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2886</xdr:row>
      <xdr:rowOff>0</xdr:rowOff>
    </xdr:from>
    <xdr:to>
      <xdr:col>13</xdr:col>
      <xdr:colOff>0</xdr:colOff>
      <xdr:row>2887</xdr:row>
      <xdr:rowOff>114300</xdr:rowOff>
    </xdr:to>
    <xdr:pic>
      <xdr:nvPicPr>
        <xdr:cNvPr id="3110" name="Imagen 3109" descr="Ver detalle">
          <a:hlinkClick xmlns:r="http://schemas.openxmlformats.org/officeDocument/2006/relationships" r:id="rId3051" tooltip="Ver detalle"/>
          <a:extLst>
            <a:ext uri="{FF2B5EF4-FFF2-40B4-BE49-F238E27FC236}">
              <a16:creationId xmlns:a16="http://schemas.microsoft.com/office/drawing/2014/main" id="{AC060C24-310E-0082-42E0-5F5F3C023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545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2887</xdr:row>
      <xdr:rowOff>0</xdr:rowOff>
    </xdr:from>
    <xdr:to>
      <xdr:col>13</xdr:col>
      <xdr:colOff>0</xdr:colOff>
      <xdr:row>2888</xdr:row>
      <xdr:rowOff>114300</xdr:rowOff>
    </xdr:to>
    <xdr:pic>
      <xdr:nvPicPr>
        <xdr:cNvPr id="3111" name="Imagen 3110" descr="Ver detalle">
          <a:hlinkClick xmlns:r="http://schemas.openxmlformats.org/officeDocument/2006/relationships" r:id="rId3052" tooltip="Ver detalle"/>
          <a:extLst>
            <a:ext uri="{FF2B5EF4-FFF2-40B4-BE49-F238E27FC236}">
              <a16:creationId xmlns:a16="http://schemas.microsoft.com/office/drawing/2014/main" id="{FD2ACDA0-C341-40F0-AEBE-6FF6381CD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659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2870</xdr:row>
      <xdr:rowOff>0</xdr:rowOff>
    </xdr:from>
    <xdr:to>
      <xdr:col>13</xdr:col>
      <xdr:colOff>0</xdr:colOff>
      <xdr:row>2871</xdr:row>
      <xdr:rowOff>114300</xdr:rowOff>
    </xdr:to>
    <xdr:pic>
      <xdr:nvPicPr>
        <xdr:cNvPr id="3112" name="Imagen 3111" descr="Ver detalle">
          <a:hlinkClick xmlns:r="http://schemas.openxmlformats.org/officeDocument/2006/relationships" r:id="rId3053" tooltip="Ver detalle"/>
          <a:extLst>
            <a:ext uri="{FF2B5EF4-FFF2-40B4-BE49-F238E27FC236}">
              <a16:creationId xmlns:a16="http://schemas.microsoft.com/office/drawing/2014/main" id="{240EF6ED-0F72-2A44-6695-1387F0F5D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773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2867</xdr:row>
      <xdr:rowOff>0</xdr:rowOff>
    </xdr:from>
    <xdr:to>
      <xdr:col>13</xdr:col>
      <xdr:colOff>0</xdr:colOff>
      <xdr:row>2868</xdr:row>
      <xdr:rowOff>114300</xdr:rowOff>
    </xdr:to>
    <xdr:pic>
      <xdr:nvPicPr>
        <xdr:cNvPr id="3113" name="Imagen 3112" descr="Ver detalle">
          <a:hlinkClick xmlns:r="http://schemas.openxmlformats.org/officeDocument/2006/relationships" r:id="rId3054" tooltip="Ver detalle"/>
          <a:extLst>
            <a:ext uri="{FF2B5EF4-FFF2-40B4-BE49-F238E27FC236}">
              <a16:creationId xmlns:a16="http://schemas.microsoft.com/office/drawing/2014/main" id="{7D68CA5A-4BBD-785F-2871-5EE5DF5FD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017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2868</xdr:row>
      <xdr:rowOff>0</xdr:rowOff>
    </xdr:from>
    <xdr:to>
      <xdr:col>13</xdr:col>
      <xdr:colOff>0</xdr:colOff>
      <xdr:row>2869</xdr:row>
      <xdr:rowOff>114300</xdr:rowOff>
    </xdr:to>
    <xdr:pic>
      <xdr:nvPicPr>
        <xdr:cNvPr id="3114" name="Imagen 3113" descr="Ver detalle">
          <a:hlinkClick xmlns:r="http://schemas.openxmlformats.org/officeDocument/2006/relationships" r:id="rId3055" tooltip="Ver detalle"/>
          <a:extLst>
            <a:ext uri="{FF2B5EF4-FFF2-40B4-BE49-F238E27FC236}">
              <a16:creationId xmlns:a16="http://schemas.microsoft.com/office/drawing/2014/main" id="{0665E3F4-33DB-1644-4044-CF27E6E35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180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2863</xdr:row>
      <xdr:rowOff>0</xdr:rowOff>
    </xdr:from>
    <xdr:to>
      <xdr:col>13</xdr:col>
      <xdr:colOff>0</xdr:colOff>
      <xdr:row>2864</xdr:row>
      <xdr:rowOff>114300</xdr:rowOff>
    </xdr:to>
    <xdr:pic>
      <xdr:nvPicPr>
        <xdr:cNvPr id="3115" name="Imagen 3114" descr="Ver detalle">
          <a:hlinkClick xmlns:r="http://schemas.openxmlformats.org/officeDocument/2006/relationships" r:id="rId3056" tooltip="Ver detalle"/>
          <a:extLst>
            <a:ext uri="{FF2B5EF4-FFF2-40B4-BE49-F238E27FC236}">
              <a16:creationId xmlns:a16="http://schemas.microsoft.com/office/drawing/2014/main" id="{164479E7-0F98-B265-EA96-DF4BF776A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343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2864</xdr:row>
      <xdr:rowOff>0</xdr:rowOff>
    </xdr:from>
    <xdr:to>
      <xdr:col>13</xdr:col>
      <xdr:colOff>0</xdr:colOff>
      <xdr:row>2865</xdr:row>
      <xdr:rowOff>114300</xdr:rowOff>
    </xdr:to>
    <xdr:pic>
      <xdr:nvPicPr>
        <xdr:cNvPr id="3116" name="Imagen 3115" descr="Ver detalle">
          <a:hlinkClick xmlns:r="http://schemas.openxmlformats.org/officeDocument/2006/relationships" r:id="rId3057" tooltip="Ver detalle"/>
          <a:extLst>
            <a:ext uri="{FF2B5EF4-FFF2-40B4-BE49-F238E27FC236}">
              <a16:creationId xmlns:a16="http://schemas.microsoft.com/office/drawing/2014/main" id="{90346114-440A-0B59-98A1-BD7236B7A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587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2865</xdr:row>
      <xdr:rowOff>0</xdr:rowOff>
    </xdr:from>
    <xdr:to>
      <xdr:col>13</xdr:col>
      <xdr:colOff>0</xdr:colOff>
      <xdr:row>2866</xdr:row>
      <xdr:rowOff>114300</xdr:rowOff>
    </xdr:to>
    <xdr:pic>
      <xdr:nvPicPr>
        <xdr:cNvPr id="3117" name="Imagen 3116" descr="Ver detalle">
          <a:hlinkClick xmlns:r="http://schemas.openxmlformats.org/officeDocument/2006/relationships" r:id="rId3058" tooltip="Ver detalle"/>
          <a:extLst>
            <a:ext uri="{FF2B5EF4-FFF2-40B4-BE49-F238E27FC236}">
              <a16:creationId xmlns:a16="http://schemas.microsoft.com/office/drawing/2014/main" id="{6347590C-D1BB-3CC6-ED90-E077871FD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831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2866</xdr:row>
      <xdr:rowOff>0</xdr:rowOff>
    </xdr:from>
    <xdr:to>
      <xdr:col>13</xdr:col>
      <xdr:colOff>0</xdr:colOff>
      <xdr:row>2867</xdr:row>
      <xdr:rowOff>114300</xdr:rowOff>
    </xdr:to>
    <xdr:pic>
      <xdr:nvPicPr>
        <xdr:cNvPr id="3118" name="Imagen 3117" descr="Ver detalle">
          <a:hlinkClick xmlns:r="http://schemas.openxmlformats.org/officeDocument/2006/relationships" r:id="rId3059" tooltip="Ver detalle"/>
          <a:extLst>
            <a:ext uri="{FF2B5EF4-FFF2-40B4-BE49-F238E27FC236}">
              <a16:creationId xmlns:a16="http://schemas.microsoft.com/office/drawing/2014/main" id="{92DA6072-09D3-1317-26D5-811800A05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075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2861</xdr:row>
      <xdr:rowOff>0</xdr:rowOff>
    </xdr:from>
    <xdr:to>
      <xdr:col>13</xdr:col>
      <xdr:colOff>0</xdr:colOff>
      <xdr:row>2862</xdr:row>
      <xdr:rowOff>114300</xdr:rowOff>
    </xdr:to>
    <xdr:pic>
      <xdr:nvPicPr>
        <xdr:cNvPr id="3119" name="Imagen 3118" descr="Ver detalle">
          <a:hlinkClick xmlns:r="http://schemas.openxmlformats.org/officeDocument/2006/relationships" r:id="rId3060" tooltip="Ver detalle"/>
          <a:extLst>
            <a:ext uri="{FF2B5EF4-FFF2-40B4-BE49-F238E27FC236}">
              <a16:creationId xmlns:a16="http://schemas.microsoft.com/office/drawing/2014/main" id="{F150002C-7E0B-2CB8-F495-A7EC8D962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189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2853</xdr:row>
      <xdr:rowOff>0</xdr:rowOff>
    </xdr:from>
    <xdr:to>
      <xdr:col>13</xdr:col>
      <xdr:colOff>0</xdr:colOff>
      <xdr:row>2854</xdr:row>
      <xdr:rowOff>114300</xdr:rowOff>
    </xdr:to>
    <xdr:pic>
      <xdr:nvPicPr>
        <xdr:cNvPr id="3120" name="Imagen 3119" descr="Ver detalle">
          <a:hlinkClick xmlns:r="http://schemas.openxmlformats.org/officeDocument/2006/relationships" r:id="rId3061" tooltip="Ver detalle"/>
          <a:extLst>
            <a:ext uri="{FF2B5EF4-FFF2-40B4-BE49-F238E27FC236}">
              <a16:creationId xmlns:a16="http://schemas.microsoft.com/office/drawing/2014/main" id="{C18BF02A-DB16-3067-17FA-4590E398E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433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2854</xdr:row>
      <xdr:rowOff>0</xdr:rowOff>
    </xdr:from>
    <xdr:to>
      <xdr:col>13</xdr:col>
      <xdr:colOff>0</xdr:colOff>
      <xdr:row>2855</xdr:row>
      <xdr:rowOff>114300</xdr:rowOff>
    </xdr:to>
    <xdr:pic>
      <xdr:nvPicPr>
        <xdr:cNvPr id="3121" name="Imagen 3120" descr="Ver detalle">
          <a:hlinkClick xmlns:r="http://schemas.openxmlformats.org/officeDocument/2006/relationships" r:id="rId3062" tooltip="Ver detalle"/>
          <a:extLst>
            <a:ext uri="{FF2B5EF4-FFF2-40B4-BE49-F238E27FC236}">
              <a16:creationId xmlns:a16="http://schemas.microsoft.com/office/drawing/2014/main" id="{4D8F7F28-E89B-55A9-F6F3-3B0D8877D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676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2857</xdr:row>
      <xdr:rowOff>0</xdr:rowOff>
    </xdr:from>
    <xdr:to>
      <xdr:col>13</xdr:col>
      <xdr:colOff>0</xdr:colOff>
      <xdr:row>2858</xdr:row>
      <xdr:rowOff>114300</xdr:rowOff>
    </xdr:to>
    <xdr:pic>
      <xdr:nvPicPr>
        <xdr:cNvPr id="3122" name="Imagen 3121" descr="Ver detalle">
          <a:hlinkClick xmlns:r="http://schemas.openxmlformats.org/officeDocument/2006/relationships" r:id="rId3063" tooltip="Ver detalle"/>
          <a:extLst>
            <a:ext uri="{FF2B5EF4-FFF2-40B4-BE49-F238E27FC236}">
              <a16:creationId xmlns:a16="http://schemas.microsoft.com/office/drawing/2014/main" id="{A7B186C1-8310-BF7B-C279-C8503D552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920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2869</xdr:row>
      <xdr:rowOff>0</xdr:rowOff>
    </xdr:from>
    <xdr:to>
      <xdr:col>13</xdr:col>
      <xdr:colOff>0</xdr:colOff>
      <xdr:row>2870</xdr:row>
      <xdr:rowOff>114300</xdr:rowOff>
    </xdr:to>
    <xdr:pic>
      <xdr:nvPicPr>
        <xdr:cNvPr id="3123" name="Imagen 3122" descr="Ver detalle">
          <a:hlinkClick xmlns:r="http://schemas.openxmlformats.org/officeDocument/2006/relationships" r:id="rId3064" tooltip="Ver detalle"/>
          <a:extLst>
            <a:ext uri="{FF2B5EF4-FFF2-40B4-BE49-F238E27FC236}">
              <a16:creationId xmlns:a16="http://schemas.microsoft.com/office/drawing/2014/main" id="{064A8B23-DC3E-AB2A-D459-CC13DB3E9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164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2847</xdr:row>
      <xdr:rowOff>0</xdr:rowOff>
    </xdr:from>
    <xdr:to>
      <xdr:col>13</xdr:col>
      <xdr:colOff>0</xdr:colOff>
      <xdr:row>2848</xdr:row>
      <xdr:rowOff>114300</xdr:rowOff>
    </xdr:to>
    <xdr:pic>
      <xdr:nvPicPr>
        <xdr:cNvPr id="3124" name="Imagen 3123" descr="Ver detalle">
          <a:hlinkClick xmlns:r="http://schemas.openxmlformats.org/officeDocument/2006/relationships" r:id="rId3065" tooltip="Ver detalle"/>
          <a:extLst>
            <a:ext uri="{FF2B5EF4-FFF2-40B4-BE49-F238E27FC236}">
              <a16:creationId xmlns:a16="http://schemas.microsoft.com/office/drawing/2014/main" id="{0C5BE4FA-9FAB-EE83-D213-86DA35DDF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278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2856</xdr:row>
      <xdr:rowOff>0</xdr:rowOff>
    </xdr:from>
    <xdr:to>
      <xdr:col>13</xdr:col>
      <xdr:colOff>0</xdr:colOff>
      <xdr:row>2857</xdr:row>
      <xdr:rowOff>114300</xdr:rowOff>
    </xdr:to>
    <xdr:pic>
      <xdr:nvPicPr>
        <xdr:cNvPr id="3125" name="Imagen 3124" descr="Ver detalle">
          <a:hlinkClick xmlns:r="http://schemas.openxmlformats.org/officeDocument/2006/relationships" r:id="rId3066" tooltip="Ver detalle"/>
          <a:extLst>
            <a:ext uri="{FF2B5EF4-FFF2-40B4-BE49-F238E27FC236}">
              <a16:creationId xmlns:a16="http://schemas.microsoft.com/office/drawing/2014/main" id="{7187F79D-0846-926B-1F12-F8FA2415A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522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2858</xdr:row>
      <xdr:rowOff>0</xdr:rowOff>
    </xdr:from>
    <xdr:to>
      <xdr:col>13</xdr:col>
      <xdr:colOff>0</xdr:colOff>
      <xdr:row>2859</xdr:row>
      <xdr:rowOff>114300</xdr:rowOff>
    </xdr:to>
    <xdr:pic>
      <xdr:nvPicPr>
        <xdr:cNvPr id="3126" name="Imagen 3125" descr="Ver detalle">
          <a:hlinkClick xmlns:r="http://schemas.openxmlformats.org/officeDocument/2006/relationships" r:id="rId3067" tooltip="Ver detalle"/>
          <a:extLst>
            <a:ext uri="{FF2B5EF4-FFF2-40B4-BE49-F238E27FC236}">
              <a16:creationId xmlns:a16="http://schemas.microsoft.com/office/drawing/2014/main" id="{FECF5E3A-E4CD-0C19-B3C7-3A9959617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637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2851</xdr:row>
      <xdr:rowOff>0</xdr:rowOff>
    </xdr:from>
    <xdr:to>
      <xdr:col>13</xdr:col>
      <xdr:colOff>0</xdr:colOff>
      <xdr:row>2852</xdr:row>
      <xdr:rowOff>114300</xdr:rowOff>
    </xdr:to>
    <xdr:pic>
      <xdr:nvPicPr>
        <xdr:cNvPr id="3127" name="Imagen 3126" descr="Ver detalle">
          <a:hlinkClick xmlns:r="http://schemas.openxmlformats.org/officeDocument/2006/relationships" r:id="rId3068" tooltip="Ver detalle"/>
          <a:extLst>
            <a:ext uri="{FF2B5EF4-FFF2-40B4-BE49-F238E27FC236}">
              <a16:creationId xmlns:a16="http://schemas.microsoft.com/office/drawing/2014/main" id="{86B6BDA9-ADD7-6279-B2D0-1BF8D3E80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751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2859</xdr:row>
      <xdr:rowOff>0</xdr:rowOff>
    </xdr:from>
    <xdr:to>
      <xdr:col>13</xdr:col>
      <xdr:colOff>0</xdr:colOff>
      <xdr:row>2860</xdr:row>
      <xdr:rowOff>114300</xdr:rowOff>
    </xdr:to>
    <xdr:pic>
      <xdr:nvPicPr>
        <xdr:cNvPr id="3128" name="Imagen 3127" descr="Ver detalle">
          <a:hlinkClick xmlns:r="http://schemas.openxmlformats.org/officeDocument/2006/relationships" r:id="rId3069" tooltip="Ver detalle"/>
          <a:extLst>
            <a:ext uri="{FF2B5EF4-FFF2-40B4-BE49-F238E27FC236}">
              <a16:creationId xmlns:a16="http://schemas.microsoft.com/office/drawing/2014/main" id="{6BE13C69-4752-00B4-82CF-BA64CB64D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995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2860</xdr:row>
      <xdr:rowOff>0</xdr:rowOff>
    </xdr:from>
    <xdr:to>
      <xdr:col>13</xdr:col>
      <xdr:colOff>0</xdr:colOff>
      <xdr:row>2861</xdr:row>
      <xdr:rowOff>114300</xdr:rowOff>
    </xdr:to>
    <xdr:pic>
      <xdr:nvPicPr>
        <xdr:cNvPr id="3129" name="Imagen 3128" descr="Ver detalle">
          <a:hlinkClick xmlns:r="http://schemas.openxmlformats.org/officeDocument/2006/relationships" r:id="rId3070" tooltip="Ver detalle"/>
          <a:extLst>
            <a:ext uri="{FF2B5EF4-FFF2-40B4-BE49-F238E27FC236}">
              <a16:creationId xmlns:a16="http://schemas.microsoft.com/office/drawing/2014/main" id="{277A4B7B-FD60-133A-0C22-035667EAC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109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2874</xdr:row>
      <xdr:rowOff>0</xdr:rowOff>
    </xdr:from>
    <xdr:to>
      <xdr:col>13</xdr:col>
      <xdr:colOff>0</xdr:colOff>
      <xdr:row>2875</xdr:row>
      <xdr:rowOff>114300</xdr:rowOff>
    </xdr:to>
    <xdr:pic>
      <xdr:nvPicPr>
        <xdr:cNvPr id="3130" name="Imagen 3129" descr="Ver detalle">
          <a:hlinkClick xmlns:r="http://schemas.openxmlformats.org/officeDocument/2006/relationships" r:id="rId3071" tooltip="Ver detalle"/>
          <a:extLst>
            <a:ext uri="{FF2B5EF4-FFF2-40B4-BE49-F238E27FC236}">
              <a16:creationId xmlns:a16="http://schemas.microsoft.com/office/drawing/2014/main" id="{C8647D40-8ED2-D988-1C6E-691834794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353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2849</xdr:row>
      <xdr:rowOff>0</xdr:rowOff>
    </xdr:from>
    <xdr:to>
      <xdr:col>13</xdr:col>
      <xdr:colOff>0</xdr:colOff>
      <xdr:row>2850</xdr:row>
      <xdr:rowOff>114300</xdr:rowOff>
    </xdr:to>
    <xdr:pic>
      <xdr:nvPicPr>
        <xdr:cNvPr id="3131" name="Imagen 3130" descr="Ver detalle">
          <a:hlinkClick xmlns:r="http://schemas.openxmlformats.org/officeDocument/2006/relationships" r:id="rId3072" tooltip="Ver detalle"/>
          <a:extLst>
            <a:ext uri="{FF2B5EF4-FFF2-40B4-BE49-F238E27FC236}">
              <a16:creationId xmlns:a16="http://schemas.microsoft.com/office/drawing/2014/main" id="{01D62773-DA00-8862-92FB-FBC87FF88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597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2845</xdr:row>
      <xdr:rowOff>0</xdr:rowOff>
    </xdr:from>
    <xdr:to>
      <xdr:col>13</xdr:col>
      <xdr:colOff>0</xdr:colOff>
      <xdr:row>2846</xdr:row>
      <xdr:rowOff>114300</xdr:rowOff>
    </xdr:to>
    <xdr:pic>
      <xdr:nvPicPr>
        <xdr:cNvPr id="3132" name="Imagen 3131" descr="Ver detalle">
          <a:hlinkClick xmlns:r="http://schemas.openxmlformats.org/officeDocument/2006/relationships" r:id="rId3073" tooltip="Ver detalle"/>
          <a:extLst>
            <a:ext uri="{FF2B5EF4-FFF2-40B4-BE49-F238E27FC236}">
              <a16:creationId xmlns:a16="http://schemas.microsoft.com/office/drawing/2014/main" id="{7715DD09-BA12-ED40-C302-B1622C0C7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711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2852</xdr:row>
      <xdr:rowOff>0</xdr:rowOff>
    </xdr:from>
    <xdr:to>
      <xdr:col>13</xdr:col>
      <xdr:colOff>0</xdr:colOff>
      <xdr:row>2853</xdr:row>
      <xdr:rowOff>114300</xdr:rowOff>
    </xdr:to>
    <xdr:pic>
      <xdr:nvPicPr>
        <xdr:cNvPr id="3133" name="Imagen 3132" descr="Ver detalle">
          <a:hlinkClick xmlns:r="http://schemas.openxmlformats.org/officeDocument/2006/relationships" r:id="rId3074" tooltip="Ver detalle"/>
          <a:extLst>
            <a:ext uri="{FF2B5EF4-FFF2-40B4-BE49-F238E27FC236}">
              <a16:creationId xmlns:a16="http://schemas.microsoft.com/office/drawing/2014/main" id="{F2051513-08CC-0D6C-89FC-C23B158C4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825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2843</xdr:row>
      <xdr:rowOff>0</xdr:rowOff>
    </xdr:from>
    <xdr:to>
      <xdr:col>13</xdr:col>
      <xdr:colOff>0</xdr:colOff>
      <xdr:row>2844</xdr:row>
      <xdr:rowOff>114300</xdr:rowOff>
    </xdr:to>
    <xdr:pic>
      <xdr:nvPicPr>
        <xdr:cNvPr id="3134" name="Imagen 3133" descr="Ver detalle">
          <a:hlinkClick xmlns:r="http://schemas.openxmlformats.org/officeDocument/2006/relationships" r:id="rId3075" tooltip="Ver detalle"/>
          <a:extLst>
            <a:ext uri="{FF2B5EF4-FFF2-40B4-BE49-F238E27FC236}">
              <a16:creationId xmlns:a16="http://schemas.microsoft.com/office/drawing/2014/main" id="{8D73350D-C09D-5802-4764-72B41ED10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069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2840</xdr:row>
      <xdr:rowOff>0</xdr:rowOff>
    </xdr:from>
    <xdr:to>
      <xdr:col>13</xdr:col>
      <xdr:colOff>0</xdr:colOff>
      <xdr:row>2841</xdr:row>
      <xdr:rowOff>114300</xdr:rowOff>
    </xdr:to>
    <xdr:pic>
      <xdr:nvPicPr>
        <xdr:cNvPr id="3135" name="Imagen 3134" descr="Ver detalle">
          <a:hlinkClick xmlns:r="http://schemas.openxmlformats.org/officeDocument/2006/relationships" r:id="rId3076" tooltip="Ver detalle"/>
          <a:extLst>
            <a:ext uri="{FF2B5EF4-FFF2-40B4-BE49-F238E27FC236}">
              <a16:creationId xmlns:a16="http://schemas.microsoft.com/office/drawing/2014/main" id="{E98DBB8D-A6BE-9675-8C0C-F39E0D81F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313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2855</xdr:row>
      <xdr:rowOff>0</xdr:rowOff>
    </xdr:from>
    <xdr:to>
      <xdr:col>13</xdr:col>
      <xdr:colOff>0</xdr:colOff>
      <xdr:row>2856</xdr:row>
      <xdr:rowOff>114300</xdr:rowOff>
    </xdr:to>
    <xdr:pic>
      <xdr:nvPicPr>
        <xdr:cNvPr id="3136" name="Imagen 3135" descr="Ver detalle">
          <a:hlinkClick xmlns:r="http://schemas.openxmlformats.org/officeDocument/2006/relationships" r:id="rId3077" tooltip="Ver detalle"/>
          <a:extLst>
            <a:ext uri="{FF2B5EF4-FFF2-40B4-BE49-F238E27FC236}">
              <a16:creationId xmlns:a16="http://schemas.microsoft.com/office/drawing/2014/main" id="{7FC41EAB-7E02-C52D-2594-5BFD53BD1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557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2850</xdr:row>
      <xdr:rowOff>0</xdr:rowOff>
    </xdr:from>
    <xdr:to>
      <xdr:col>13</xdr:col>
      <xdr:colOff>0</xdr:colOff>
      <xdr:row>2851</xdr:row>
      <xdr:rowOff>114300</xdr:rowOff>
    </xdr:to>
    <xdr:pic>
      <xdr:nvPicPr>
        <xdr:cNvPr id="3137" name="Imagen 3136" descr="Ver detalle">
          <a:hlinkClick xmlns:r="http://schemas.openxmlformats.org/officeDocument/2006/relationships" r:id="rId3078" tooltip="Ver detalle"/>
          <a:extLst>
            <a:ext uri="{FF2B5EF4-FFF2-40B4-BE49-F238E27FC236}">
              <a16:creationId xmlns:a16="http://schemas.microsoft.com/office/drawing/2014/main" id="{0750D65F-87F0-57E4-9BC2-26C4E8EB3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801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2837</xdr:row>
      <xdr:rowOff>0</xdr:rowOff>
    </xdr:from>
    <xdr:to>
      <xdr:col>13</xdr:col>
      <xdr:colOff>0</xdr:colOff>
      <xdr:row>2838</xdr:row>
      <xdr:rowOff>114300</xdr:rowOff>
    </xdr:to>
    <xdr:pic>
      <xdr:nvPicPr>
        <xdr:cNvPr id="3138" name="Imagen 3137" descr="Ver detalle">
          <a:hlinkClick xmlns:r="http://schemas.openxmlformats.org/officeDocument/2006/relationships" r:id="rId3079" tooltip="Ver detalle"/>
          <a:extLst>
            <a:ext uri="{FF2B5EF4-FFF2-40B4-BE49-F238E27FC236}">
              <a16:creationId xmlns:a16="http://schemas.microsoft.com/office/drawing/2014/main" id="{76157DEB-8453-F8C3-E51F-3C279A41C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980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2846</xdr:row>
      <xdr:rowOff>0</xdr:rowOff>
    </xdr:from>
    <xdr:to>
      <xdr:col>13</xdr:col>
      <xdr:colOff>0</xdr:colOff>
      <xdr:row>2847</xdr:row>
      <xdr:rowOff>114300</xdr:rowOff>
    </xdr:to>
    <xdr:pic>
      <xdr:nvPicPr>
        <xdr:cNvPr id="3139" name="Imagen 3138" descr="Ver detalle">
          <a:hlinkClick xmlns:r="http://schemas.openxmlformats.org/officeDocument/2006/relationships" r:id="rId3080" tooltip="Ver detalle"/>
          <a:extLst>
            <a:ext uri="{FF2B5EF4-FFF2-40B4-BE49-F238E27FC236}">
              <a16:creationId xmlns:a16="http://schemas.microsoft.com/office/drawing/2014/main" id="{90A6EFF9-42AA-9DF4-AA05-7D9271E11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224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2839</xdr:row>
      <xdr:rowOff>0</xdr:rowOff>
    </xdr:from>
    <xdr:to>
      <xdr:col>13</xdr:col>
      <xdr:colOff>0</xdr:colOff>
      <xdr:row>2840</xdr:row>
      <xdr:rowOff>114300</xdr:rowOff>
    </xdr:to>
    <xdr:pic>
      <xdr:nvPicPr>
        <xdr:cNvPr id="3140" name="Imagen 3139" descr="Ver detalle">
          <a:hlinkClick xmlns:r="http://schemas.openxmlformats.org/officeDocument/2006/relationships" r:id="rId3081" tooltip="Ver detalle"/>
          <a:extLst>
            <a:ext uri="{FF2B5EF4-FFF2-40B4-BE49-F238E27FC236}">
              <a16:creationId xmlns:a16="http://schemas.microsoft.com/office/drawing/2014/main" id="{66C12F43-75F1-349E-9FF2-381204384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467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2842</xdr:row>
      <xdr:rowOff>0</xdr:rowOff>
    </xdr:from>
    <xdr:to>
      <xdr:col>13</xdr:col>
      <xdr:colOff>0</xdr:colOff>
      <xdr:row>2843</xdr:row>
      <xdr:rowOff>114300</xdr:rowOff>
    </xdr:to>
    <xdr:pic>
      <xdr:nvPicPr>
        <xdr:cNvPr id="3141" name="Imagen 3140" descr="Ver detalle">
          <a:hlinkClick xmlns:r="http://schemas.openxmlformats.org/officeDocument/2006/relationships" r:id="rId3082" tooltip="Ver detalle"/>
          <a:extLst>
            <a:ext uri="{FF2B5EF4-FFF2-40B4-BE49-F238E27FC236}">
              <a16:creationId xmlns:a16="http://schemas.microsoft.com/office/drawing/2014/main" id="{FD3D2D34-B2D4-1676-CC5A-ED568A80C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711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2838</xdr:row>
      <xdr:rowOff>0</xdr:rowOff>
    </xdr:from>
    <xdr:to>
      <xdr:col>13</xdr:col>
      <xdr:colOff>0</xdr:colOff>
      <xdr:row>2839</xdr:row>
      <xdr:rowOff>114300</xdr:rowOff>
    </xdr:to>
    <xdr:pic>
      <xdr:nvPicPr>
        <xdr:cNvPr id="3142" name="Imagen 3141" descr="Ver detalle">
          <a:hlinkClick xmlns:r="http://schemas.openxmlformats.org/officeDocument/2006/relationships" r:id="rId3083" tooltip="Ver detalle"/>
          <a:extLst>
            <a:ext uri="{FF2B5EF4-FFF2-40B4-BE49-F238E27FC236}">
              <a16:creationId xmlns:a16="http://schemas.microsoft.com/office/drawing/2014/main" id="{F5F22ACD-536E-CDB8-CDC3-7C9E63B60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955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2848</xdr:row>
      <xdr:rowOff>0</xdr:rowOff>
    </xdr:from>
    <xdr:to>
      <xdr:col>13</xdr:col>
      <xdr:colOff>0</xdr:colOff>
      <xdr:row>2849</xdr:row>
      <xdr:rowOff>114300</xdr:rowOff>
    </xdr:to>
    <xdr:pic>
      <xdr:nvPicPr>
        <xdr:cNvPr id="3143" name="Imagen 3142" descr="Ver detalle">
          <a:hlinkClick xmlns:r="http://schemas.openxmlformats.org/officeDocument/2006/relationships" r:id="rId3084" tooltip="Ver detalle"/>
          <a:extLst>
            <a:ext uri="{FF2B5EF4-FFF2-40B4-BE49-F238E27FC236}">
              <a16:creationId xmlns:a16="http://schemas.microsoft.com/office/drawing/2014/main" id="{53036870-F403-909C-3DB4-9E9002C3D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443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2841</xdr:row>
      <xdr:rowOff>0</xdr:rowOff>
    </xdr:from>
    <xdr:to>
      <xdr:col>13</xdr:col>
      <xdr:colOff>0</xdr:colOff>
      <xdr:row>2842</xdr:row>
      <xdr:rowOff>114300</xdr:rowOff>
    </xdr:to>
    <xdr:pic>
      <xdr:nvPicPr>
        <xdr:cNvPr id="3144" name="Imagen 3143" descr="Ver detalle">
          <a:hlinkClick xmlns:r="http://schemas.openxmlformats.org/officeDocument/2006/relationships" r:id="rId3085" tooltip="Ver detalle"/>
          <a:extLst>
            <a:ext uri="{FF2B5EF4-FFF2-40B4-BE49-F238E27FC236}">
              <a16:creationId xmlns:a16="http://schemas.microsoft.com/office/drawing/2014/main" id="{579FBADC-F4CC-D7FE-3744-7403EC09B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687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2836</xdr:row>
      <xdr:rowOff>0</xdr:rowOff>
    </xdr:from>
    <xdr:to>
      <xdr:col>13</xdr:col>
      <xdr:colOff>0</xdr:colOff>
      <xdr:row>2837</xdr:row>
      <xdr:rowOff>114300</xdr:rowOff>
    </xdr:to>
    <xdr:pic>
      <xdr:nvPicPr>
        <xdr:cNvPr id="3145" name="Imagen 3144" descr="Ver detalle">
          <a:hlinkClick xmlns:r="http://schemas.openxmlformats.org/officeDocument/2006/relationships" r:id="rId3086" tooltip="Ver detalle"/>
          <a:extLst>
            <a:ext uri="{FF2B5EF4-FFF2-40B4-BE49-F238E27FC236}">
              <a16:creationId xmlns:a16="http://schemas.microsoft.com/office/drawing/2014/main" id="{51C14D9B-5D12-1F42-F524-40708836E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801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2862</xdr:row>
      <xdr:rowOff>0</xdr:rowOff>
    </xdr:from>
    <xdr:to>
      <xdr:col>13</xdr:col>
      <xdr:colOff>0</xdr:colOff>
      <xdr:row>2863</xdr:row>
      <xdr:rowOff>114300</xdr:rowOff>
    </xdr:to>
    <xdr:pic>
      <xdr:nvPicPr>
        <xdr:cNvPr id="3146" name="Imagen 3145" descr="Ver detalle">
          <a:hlinkClick xmlns:r="http://schemas.openxmlformats.org/officeDocument/2006/relationships" r:id="rId3087" tooltip="Ver detalle"/>
          <a:extLst>
            <a:ext uri="{FF2B5EF4-FFF2-40B4-BE49-F238E27FC236}">
              <a16:creationId xmlns:a16="http://schemas.microsoft.com/office/drawing/2014/main" id="{E12823A1-118B-5B58-3DB6-8FB063B6A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915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2949</xdr:row>
      <xdr:rowOff>0</xdr:rowOff>
    </xdr:from>
    <xdr:to>
      <xdr:col>13</xdr:col>
      <xdr:colOff>0</xdr:colOff>
      <xdr:row>2950</xdr:row>
      <xdr:rowOff>114300</xdr:rowOff>
    </xdr:to>
    <xdr:pic>
      <xdr:nvPicPr>
        <xdr:cNvPr id="3147" name="Picture 3146" descr="Ver detalle">
          <a:hlinkClick xmlns:r="http://schemas.openxmlformats.org/officeDocument/2006/relationships" r:id="rId3088" tooltip="Ver detalle"/>
          <a:extLst>
            <a:ext uri="{FF2B5EF4-FFF2-40B4-BE49-F238E27FC236}">
              <a16:creationId xmlns:a16="http://schemas.microsoft.com/office/drawing/2014/main" id="{28E464A3-0F95-2AF8-CB20-2CAEA666E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5476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2950</xdr:row>
      <xdr:rowOff>0</xdr:rowOff>
    </xdr:from>
    <xdr:to>
      <xdr:col>13</xdr:col>
      <xdr:colOff>0</xdr:colOff>
      <xdr:row>2951</xdr:row>
      <xdr:rowOff>114300</xdr:rowOff>
    </xdr:to>
    <xdr:pic>
      <xdr:nvPicPr>
        <xdr:cNvPr id="3148" name="Picture 3147" descr="Ver detalle">
          <a:hlinkClick xmlns:r="http://schemas.openxmlformats.org/officeDocument/2006/relationships" r:id="rId3089" tooltip="Ver detalle"/>
          <a:extLst>
            <a:ext uri="{FF2B5EF4-FFF2-40B4-BE49-F238E27FC236}">
              <a16:creationId xmlns:a16="http://schemas.microsoft.com/office/drawing/2014/main" id="{A262E5AC-387B-6D7E-841B-288982657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5720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2951</xdr:row>
      <xdr:rowOff>0</xdr:rowOff>
    </xdr:from>
    <xdr:to>
      <xdr:col>13</xdr:col>
      <xdr:colOff>0</xdr:colOff>
      <xdr:row>2952</xdr:row>
      <xdr:rowOff>114300</xdr:rowOff>
    </xdr:to>
    <xdr:pic>
      <xdr:nvPicPr>
        <xdr:cNvPr id="3149" name="Picture 3148" descr="Ver detalle">
          <a:hlinkClick xmlns:r="http://schemas.openxmlformats.org/officeDocument/2006/relationships" r:id="rId3090" tooltip="Ver detalle"/>
          <a:extLst>
            <a:ext uri="{FF2B5EF4-FFF2-40B4-BE49-F238E27FC236}">
              <a16:creationId xmlns:a16="http://schemas.microsoft.com/office/drawing/2014/main" id="{E646F56B-ADE2-177F-5148-DA7A49AA7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5964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2952</xdr:row>
      <xdr:rowOff>0</xdr:rowOff>
    </xdr:from>
    <xdr:to>
      <xdr:col>13</xdr:col>
      <xdr:colOff>0</xdr:colOff>
      <xdr:row>2953</xdr:row>
      <xdr:rowOff>114300</xdr:rowOff>
    </xdr:to>
    <xdr:pic>
      <xdr:nvPicPr>
        <xdr:cNvPr id="3150" name="Picture 3149" descr="Ver detalle">
          <a:hlinkClick xmlns:r="http://schemas.openxmlformats.org/officeDocument/2006/relationships" r:id="rId3091" tooltip="Ver detalle"/>
          <a:extLst>
            <a:ext uri="{FF2B5EF4-FFF2-40B4-BE49-F238E27FC236}">
              <a16:creationId xmlns:a16="http://schemas.microsoft.com/office/drawing/2014/main" id="{15088CAF-A2CE-6278-8766-8713E3949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6207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2953</xdr:row>
      <xdr:rowOff>0</xdr:rowOff>
    </xdr:from>
    <xdr:to>
      <xdr:col>13</xdr:col>
      <xdr:colOff>0</xdr:colOff>
      <xdr:row>2954</xdr:row>
      <xdr:rowOff>114300</xdr:rowOff>
    </xdr:to>
    <xdr:pic>
      <xdr:nvPicPr>
        <xdr:cNvPr id="3151" name="Picture 3150" descr="Ver detalle">
          <a:hlinkClick xmlns:r="http://schemas.openxmlformats.org/officeDocument/2006/relationships" r:id="rId3092" tooltip="Ver detalle"/>
          <a:extLst>
            <a:ext uri="{FF2B5EF4-FFF2-40B4-BE49-F238E27FC236}">
              <a16:creationId xmlns:a16="http://schemas.microsoft.com/office/drawing/2014/main" id="{D219B80B-C39B-9D23-A64F-5C2A4BCC8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6451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2954</xdr:row>
      <xdr:rowOff>0</xdr:rowOff>
    </xdr:from>
    <xdr:to>
      <xdr:col>13</xdr:col>
      <xdr:colOff>0</xdr:colOff>
      <xdr:row>2955</xdr:row>
      <xdr:rowOff>114300</xdr:rowOff>
    </xdr:to>
    <xdr:pic>
      <xdr:nvPicPr>
        <xdr:cNvPr id="3152" name="Picture 3151" descr="Ver detalle">
          <a:hlinkClick xmlns:r="http://schemas.openxmlformats.org/officeDocument/2006/relationships" r:id="rId3093" tooltip="Ver detalle"/>
          <a:extLst>
            <a:ext uri="{FF2B5EF4-FFF2-40B4-BE49-F238E27FC236}">
              <a16:creationId xmlns:a16="http://schemas.microsoft.com/office/drawing/2014/main" id="{BFD91E75-8D47-A5BD-3515-FD64DA06B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6695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2955</xdr:row>
      <xdr:rowOff>0</xdr:rowOff>
    </xdr:from>
    <xdr:to>
      <xdr:col>13</xdr:col>
      <xdr:colOff>0</xdr:colOff>
      <xdr:row>2956</xdr:row>
      <xdr:rowOff>104775</xdr:rowOff>
    </xdr:to>
    <xdr:pic>
      <xdr:nvPicPr>
        <xdr:cNvPr id="3153" name="Picture 3152" descr="Ver detalle">
          <a:hlinkClick xmlns:r="http://schemas.openxmlformats.org/officeDocument/2006/relationships" r:id="rId3094" tooltip="Ver detalle"/>
          <a:extLst>
            <a:ext uri="{FF2B5EF4-FFF2-40B4-BE49-F238E27FC236}">
              <a16:creationId xmlns:a16="http://schemas.microsoft.com/office/drawing/2014/main" id="{5CB3208A-BBBD-8453-CA11-53D34B4A1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6939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2922</xdr:row>
      <xdr:rowOff>0</xdr:rowOff>
    </xdr:from>
    <xdr:to>
      <xdr:col>13</xdr:col>
      <xdr:colOff>0</xdr:colOff>
      <xdr:row>2923</xdr:row>
      <xdr:rowOff>104775</xdr:rowOff>
    </xdr:to>
    <xdr:pic>
      <xdr:nvPicPr>
        <xdr:cNvPr id="3154" name="Picture 3153" descr="Ver detalle">
          <a:hlinkClick xmlns:r="http://schemas.openxmlformats.org/officeDocument/2006/relationships" r:id="rId3095" tooltip="Ver detalle"/>
          <a:extLst>
            <a:ext uri="{FF2B5EF4-FFF2-40B4-BE49-F238E27FC236}">
              <a16:creationId xmlns:a16="http://schemas.microsoft.com/office/drawing/2014/main" id="{985CC28E-F338-0889-706C-C03C87B17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183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2921</xdr:row>
      <xdr:rowOff>0</xdr:rowOff>
    </xdr:from>
    <xdr:to>
      <xdr:col>13</xdr:col>
      <xdr:colOff>0</xdr:colOff>
      <xdr:row>2922</xdr:row>
      <xdr:rowOff>114300</xdr:rowOff>
    </xdr:to>
    <xdr:pic>
      <xdr:nvPicPr>
        <xdr:cNvPr id="3155" name="Picture 3154" descr="Ver detalle">
          <a:hlinkClick xmlns:r="http://schemas.openxmlformats.org/officeDocument/2006/relationships" r:id="rId3096" tooltip="Ver detalle"/>
          <a:extLst>
            <a:ext uri="{FF2B5EF4-FFF2-40B4-BE49-F238E27FC236}">
              <a16:creationId xmlns:a16="http://schemas.microsoft.com/office/drawing/2014/main" id="{84F8F5F1-2597-8A7B-9DB0-4743C0D09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427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2913</xdr:row>
      <xdr:rowOff>0</xdr:rowOff>
    </xdr:from>
    <xdr:to>
      <xdr:col>13</xdr:col>
      <xdr:colOff>0</xdr:colOff>
      <xdr:row>2914</xdr:row>
      <xdr:rowOff>114300</xdr:rowOff>
    </xdr:to>
    <xdr:pic>
      <xdr:nvPicPr>
        <xdr:cNvPr id="3156" name="Picture 3155" descr="Ver detalle">
          <a:hlinkClick xmlns:r="http://schemas.openxmlformats.org/officeDocument/2006/relationships" r:id="rId3097" tooltip="Ver detalle"/>
          <a:extLst>
            <a:ext uri="{FF2B5EF4-FFF2-40B4-BE49-F238E27FC236}">
              <a16:creationId xmlns:a16="http://schemas.microsoft.com/office/drawing/2014/main" id="{66FFF0DD-6BCA-1E44-AFCF-54C675977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67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2918</xdr:row>
      <xdr:rowOff>0</xdr:rowOff>
    </xdr:from>
    <xdr:to>
      <xdr:col>13</xdr:col>
      <xdr:colOff>0</xdr:colOff>
      <xdr:row>2919</xdr:row>
      <xdr:rowOff>114300</xdr:rowOff>
    </xdr:to>
    <xdr:pic>
      <xdr:nvPicPr>
        <xdr:cNvPr id="3157" name="Picture 3156" descr="Ver detalle">
          <a:hlinkClick xmlns:r="http://schemas.openxmlformats.org/officeDocument/2006/relationships" r:id="rId3098" tooltip="Ver detalle"/>
          <a:extLst>
            <a:ext uri="{FF2B5EF4-FFF2-40B4-BE49-F238E27FC236}">
              <a16:creationId xmlns:a16="http://schemas.microsoft.com/office/drawing/2014/main" id="{6F1EBF70-8D58-B23E-377E-A5E278094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78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2919</xdr:row>
      <xdr:rowOff>0</xdr:rowOff>
    </xdr:from>
    <xdr:to>
      <xdr:col>13</xdr:col>
      <xdr:colOff>0</xdr:colOff>
      <xdr:row>2920</xdr:row>
      <xdr:rowOff>114300</xdr:rowOff>
    </xdr:to>
    <xdr:pic>
      <xdr:nvPicPr>
        <xdr:cNvPr id="3158" name="Picture 3157" descr="Ver detalle">
          <a:hlinkClick xmlns:r="http://schemas.openxmlformats.org/officeDocument/2006/relationships" r:id="rId3099" tooltip="Ver detalle"/>
          <a:extLst>
            <a:ext uri="{FF2B5EF4-FFF2-40B4-BE49-F238E27FC236}">
              <a16:creationId xmlns:a16="http://schemas.microsoft.com/office/drawing/2014/main" id="{C5E41F35-0D7E-A3E8-4F67-3E758F590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029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2914</xdr:row>
      <xdr:rowOff>0</xdr:rowOff>
    </xdr:from>
    <xdr:to>
      <xdr:col>13</xdr:col>
      <xdr:colOff>0</xdr:colOff>
      <xdr:row>2915</xdr:row>
      <xdr:rowOff>114300</xdr:rowOff>
    </xdr:to>
    <xdr:pic>
      <xdr:nvPicPr>
        <xdr:cNvPr id="3159" name="Picture 3158" descr="Ver detalle">
          <a:hlinkClick xmlns:r="http://schemas.openxmlformats.org/officeDocument/2006/relationships" r:id="rId3100" tooltip="Ver detalle"/>
          <a:extLst>
            <a:ext uri="{FF2B5EF4-FFF2-40B4-BE49-F238E27FC236}">
              <a16:creationId xmlns:a16="http://schemas.microsoft.com/office/drawing/2014/main" id="{FEA4D8B9-0C0A-C4DF-0657-BAF135701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192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2925</xdr:row>
      <xdr:rowOff>0</xdr:rowOff>
    </xdr:from>
    <xdr:to>
      <xdr:col>13</xdr:col>
      <xdr:colOff>0</xdr:colOff>
      <xdr:row>2926</xdr:row>
      <xdr:rowOff>114300</xdr:rowOff>
    </xdr:to>
    <xdr:pic>
      <xdr:nvPicPr>
        <xdr:cNvPr id="3160" name="Picture 3159" descr="Ver detalle">
          <a:hlinkClick xmlns:r="http://schemas.openxmlformats.org/officeDocument/2006/relationships" r:id="rId3101" tooltip="Ver detalle"/>
          <a:extLst>
            <a:ext uri="{FF2B5EF4-FFF2-40B4-BE49-F238E27FC236}">
              <a16:creationId xmlns:a16="http://schemas.microsoft.com/office/drawing/2014/main" id="{B0845EF2-B146-A524-9A44-90042F729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306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2926</xdr:row>
      <xdr:rowOff>0</xdr:rowOff>
    </xdr:from>
    <xdr:to>
      <xdr:col>13</xdr:col>
      <xdr:colOff>0</xdr:colOff>
      <xdr:row>2927</xdr:row>
      <xdr:rowOff>114300</xdr:rowOff>
    </xdr:to>
    <xdr:pic>
      <xdr:nvPicPr>
        <xdr:cNvPr id="3161" name="Picture 3160" descr="Ver detalle">
          <a:hlinkClick xmlns:r="http://schemas.openxmlformats.org/officeDocument/2006/relationships" r:id="rId3102" tooltip="Ver detalle"/>
          <a:extLst>
            <a:ext uri="{FF2B5EF4-FFF2-40B4-BE49-F238E27FC236}">
              <a16:creationId xmlns:a16="http://schemas.microsoft.com/office/drawing/2014/main" id="{96F15AB2-D694-F6A6-1DE8-7012CC2EF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550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2927</xdr:row>
      <xdr:rowOff>0</xdr:rowOff>
    </xdr:from>
    <xdr:to>
      <xdr:col>13</xdr:col>
      <xdr:colOff>0</xdr:colOff>
      <xdr:row>2928</xdr:row>
      <xdr:rowOff>114300</xdr:rowOff>
    </xdr:to>
    <xdr:pic>
      <xdr:nvPicPr>
        <xdr:cNvPr id="3162" name="Picture 3161" descr="Ver detalle">
          <a:hlinkClick xmlns:r="http://schemas.openxmlformats.org/officeDocument/2006/relationships" r:id="rId3103" tooltip="Ver detalle"/>
          <a:extLst>
            <a:ext uri="{FF2B5EF4-FFF2-40B4-BE49-F238E27FC236}">
              <a16:creationId xmlns:a16="http://schemas.microsoft.com/office/drawing/2014/main" id="{41B61D50-80C3-6264-1E74-BB78FF154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794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2928</xdr:row>
      <xdr:rowOff>0</xdr:rowOff>
    </xdr:from>
    <xdr:to>
      <xdr:col>13</xdr:col>
      <xdr:colOff>0</xdr:colOff>
      <xdr:row>2929</xdr:row>
      <xdr:rowOff>114300</xdr:rowOff>
    </xdr:to>
    <xdr:pic>
      <xdr:nvPicPr>
        <xdr:cNvPr id="3163" name="Picture 3162" descr="Ver detalle">
          <a:hlinkClick xmlns:r="http://schemas.openxmlformats.org/officeDocument/2006/relationships" r:id="rId3104" tooltip="Ver detalle"/>
          <a:extLst>
            <a:ext uri="{FF2B5EF4-FFF2-40B4-BE49-F238E27FC236}">
              <a16:creationId xmlns:a16="http://schemas.microsoft.com/office/drawing/2014/main" id="{DECC89B3-4D05-553D-456E-9A5692933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037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2929</xdr:row>
      <xdr:rowOff>0</xdr:rowOff>
    </xdr:from>
    <xdr:to>
      <xdr:col>13</xdr:col>
      <xdr:colOff>0</xdr:colOff>
      <xdr:row>2930</xdr:row>
      <xdr:rowOff>114300</xdr:rowOff>
    </xdr:to>
    <xdr:pic>
      <xdr:nvPicPr>
        <xdr:cNvPr id="3164" name="Picture 3163" descr="Ver detalle">
          <a:hlinkClick xmlns:r="http://schemas.openxmlformats.org/officeDocument/2006/relationships" r:id="rId3105" tooltip="Ver detalle"/>
          <a:extLst>
            <a:ext uri="{FF2B5EF4-FFF2-40B4-BE49-F238E27FC236}">
              <a16:creationId xmlns:a16="http://schemas.microsoft.com/office/drawing/2014/main" id="{91B4FEDA-10B8-7437-5F22-A2E2771E6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281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2930</xdr:row>
      <xdr:rowOff>0</xdr:rowOff>
    </xdr:from>
    <xdr:to>
      <xdr:col>13</xdr:col>
      <xdr:colOff>0</xdr:colOff>
      <xdr:row>2931</xdr:row>
      <xdr:rowOff>114300</xdr:rowOff>
    </xdr:to>
    <xdr:pic>
      <xdr:nvPicPr>
        <xdr:cNvPr id="3165" name="Picture 3164" descr="Ver detalle">
          <a:hlinkClick xmlns:r="http://schemas.openxmlformats.org/officeDocument/2006/relationships" r:id="rId3106" tooltip="Ver detalle"/>
          <a:extLst>
            <a:ext uri="{FF2B5EF4-FFF2-40B4-BE49-F238E27FC236}">
              <a16:creationId xmlns:a16="http://schemas.microsoft.com/office/drawing/2014/main" id="{6EBBD50B-8377-9E61-23D0-743BD814C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525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2931</xdr:row>
      <xdr:rowOff>0</xdr:rowOff>
    </xdr:from>
    <xdr:to>
      <xdr:col>13</xdr:col>
      <xdr:colOff>0</xdr:colOff>
      <xdr:row>2932</xdr:row>
      <xdr:rowOff>114300</xdr:rowOff>
    </xdr:to>
    <xdr:pic>
      <xdr:nvPicPr>
        <xdr:cNvPr id="3166" name="Picture 3165" descr="Ver detalle">
          <a:hlinkClick xmlns:r="http://schemas.openxmlformats.org/officeDocument/2006/relationships" r:id="rId3107" tooltip="Ver detalle"/>
          <a:extLst>
            <a:ext uri="{FF2B5EF4-FFF2-40B4-BE49-F238E27FC236}">
              <a16:creationId xmlns:a16="http://schemas.microsoft.com/office/drawing/2014/main" id="{C2F3A34D-A82D-ED17-8BCC-39830875B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769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2932</xdr:row>
      <xdr:rowOff>0</xdr:rowOff>
    </xdr:from>
    <xdr:to>
      <xdr:col>13</xdr:col>
      <xdr:colOff>0</xdr:colOff>
      <xdr:row>2933</xdr:row>
      <xdr:rowOff>114300</xdr:rowOff>
    </xdr:to>
    <xdr:pic>
      <xdr:nvPicPr>
        <xdr:cNvPr id="3167" name="Picture 3166" descr="Ver detalle">
          <a:hlinkClick xmlns:r="http://schemas.openxmlformats.org/officeDocument/2006/relationships" r:id="rId3108" tooltip="Ver detalle"/>
          <a:extLst>
            <a:ext uri="{FF2B5EF4-FFF2-40B4-BE49-F238E27FC236}">
              <a16:creationId xmlns:a16="http://schemas.microsoft.com/office/drawing/2014/main" id="{DE67C81C-9491-3124-7220-776C845E8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013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2933</xdr:row>
      <xdr:rowOff>0</xdr:rowOff>
    </xdr:from>
    <xdr:to>
      <xdr:col>13</xdr:col>
      <xdr:colOff>0</xdr:colOff>
      <xdr:row>2934</xdr:row>
      <xdr:rowOff>114300</xdr:rowOff>
    </xdr:to>
    <xdr:pic>
      <xdr:nvPicPr>
        <xdr:cNvPr id="3168" name="Picture 3167" descr="Ver detalle">
          <a:hlinkClick xmlns:r="http://schemas.openxmlformats.org/officeDocument/2006/relationships" r:id="rId3109" tooltip="Ver detalle"/>
          <a:extLst>
            <a:ext uri="{FF2B5EF4-FFF2-40B4-BE49-F238E27FC236}">
              <a16:creationId xmlns:a16="http://schemas.microsoft.com/office/drawing/2014/main" id="{B31284B5-0D33-D372-CE64-2DFA2047E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257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2934</xdr:row>
      <xdr:rowOff>0</xdr:rowOff>
    </xdr:from>
    <xdr:to>
      <xdr:col>13</xdr:col>
      <xdr:colOff>0</xdr:colOff>
      <xdr:row>2935</xdr:row>
      <xdr:rowOff>114300</xdr:rowOff>
    </xdr:to>
    <xdr:pic>
      <xdr:nvPicPr>
        <xdr:cNvPr id="3169" name="Picture 3168" descr="Ver detalle">
          <a:hlinkClick xmlns:r="http://schemas.openxmlformats.org/officeDocument/2006/relationships" r:id="rId3110" tooltip="Ver detalle"/>
          <a:extLst>
            <a:ext uri="{FF2B5EF4-FFF2-40B4-BE49-F238E27FC236}">
              <a16:creationId xmlns:a16="http://schemas.microsoft.com/office/drawing/2014/main" id="{45D2FBA8-A7B8-DA25-2EBD-E2A222EF2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500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2935</xdr:row>
      <xdr:rowOff>0</xdr:rowOff>
    </xdr:from>
    <xdr:to>
      <xdr:col>13</xdr:col>
      <xdr:colOff>0</xdr:colOff>
      <xdr:row>2936</xdr:row>
      <xdr:rowOff>114300</xdr:rowOff>
    </xdr:to>
    <xdr:pic>
      <xdr:nvPicPr>
        <xdr:cNvPr id="3170" name="Picture 3169" descr="Ver detalle">
          <a:hlinkClick xmlns:r="http://schemas.openxmlformats.org/officeDocument/2006/relationships" r:id="rId3111" tooltip="Ver detalle"/>
          <a:extLst>
            <a:ext uri="{FF2B5EF4-FFF2-40B4-BE49-F238E27FC236}">
              <a16:creationId xmlns:a16="http://schemas.microsoft.com/office/drawing/2014/main" id="{DD73170A-95E8-4E9A-E694-99FB0C75B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744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2937</xdr:row>
      <xdr:rowOff>0</xdr:rowOff>
    </xdr:from>
    <xdr:to>
      <xdr:col>13</xdr:col>
      <xdr:colOff>0</xdr:colOff>
      <xdr:row>2938</xdr:row>
      <xdr:rowOff>114300</xdr:rowOff>
    </xdr:to>
    <xdr:pic>
      <xdr:nvPicPr>
        <xdr:cNvPr id="3171" name="Picture 3170" descr="Ver detalle">
          <a:hlinkClick xmlns:r="http://schemas.openxmlformats.org/officeDocument/2006/relationships" r:id="rId3112" tooltip="Ver detalle"/>
          <a:extLst>
            <a:ext uri="{FF2B5EF4-FFF2-40B4-BE49-F238E27FC236}">
              <a16:creationId xmlns:a16="http://schemas.microsoft.com/office/drawing/2014/main" id="{1794D49B-411D-8735-1195-DD781F482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232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2938</xdr:row>
      <xdr:rowOff>0</xdr:rowOff>
    </xdr:from>
    <xdr:to>
      <xdr:col>13</xdr:col>
      <xdr:colOff>0</xdr:colOff>
      <xdr:row>2939</xdr:row>
      <xdr:rowOff>114300</xdr:rowOff>
    </xdr:to>
    <xdr:pic>
      <xdr:nvPicPr>
        <xdr:cNvPr id="3172" name="Picture 3171" descr="Ver detalle">
          <a:hlinkClick xmlns:r="http://schemas.openxmlformats.org/officeDocument/2006/relationships" r:id="rId3113" tooltip="Ver detalle"/>
          <a:extLst>
            <a:ext uri="{FF2B5EF4-FFF2-40B4-BE49-F238E27FC236}">
              <a16:creationId xmlns:a16="http://schemas.microsoft.com/office/drawing/2014/main" id="{F68B819B-73C3-686E-3A87-09890AB5B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476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2939</xdr:row>
      <xdr:rowOff>0</xdr:rowOff>
    </xdr:from>
    <xdr:to>
      <xdr:col>13</xdr:col>
      <xdr:colOff>0</xdr:colOff>
      <xdr:row>2940</xdr:row>
      <xdr:rowOff>114300</xdr:rowOff>
    </xdr:to>
    <xdr:pic>
      <xdr:nvPicPr>
        <xdr:cNvPr id="3173" name="Picture 3172" descr="Ver detalle">
          <a:hlinkClick xmlns:r="http://schemas.openxmlformats.org/officeDocument/2006/relationships" r:id="rId3114" tooltip="Ver detalle"/>
          <a:extLst>
            <a:ext uri="{FF2B5EF4-FFF2-40B4-BE49-F238E27FC236}">
              <a16:creationId xmlns:a16="http://schemas.microsoft.com/office/drawing/2014/main" id="{8E414F03-BFF2-FF7B-349A-83E083BCF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720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2940</xdr:row>
      <xdr:rowOff>0</xdr:rowOff>
    </xdr:from>
    <xdr:to>
      <xdr:col>13</xdr:col>
      <xdr:colOff>0</xdr:colOff>
      <xdr:row>2941</xdr:row>
      <xdr:rowOff>114300</xdr:rowOff>
    </xdr:to>
    <xdr:pic>
      <xdr:nvPicPr>
        <xdr:cNvPr id="3174" name="Picture 3173" descr="Ver detalle">
          <a:hlinkClick xmlns:r="http://schemas.openxmlformats.org/officeDocument/2006/relationships" r:id="rId3115" tooltip="Ver detalle"/>
          <a:extLst>
            <a:ext uri="{FF2B5EF4-FFF2-40B4-BE49-F238E27FC236}">
              <a16:creationId xmlns:a16="http://schemas.microsoft.com/office/drawing/2014/main" id="{DC3AE1F2-C469-51F1-D319-43838D40B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963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2941</xdr:row>
      <xdr:rowOff>0</xdr:rowOff>
    </xdr:from>
    <xdr:to>
      <xdr:col>13</xdr:col>
      <xdr:colOff>0</xdr:colOff>
      <xdr:row>2942</xdr:row>
      <xdr:rowOff>114300</xdr:rowOff>
    </xdr:to>
    <xdr:pic>
      <xdr:nvPicPr>
        <xdr:cNvPr id="3175" name="Picture 3174" descr="Ver detalle">
          <a:hlinkClick xmlns:r="http://schemas.openxmlformats.org/officeDocument/2006/relationships" r:id="rId3116" tooltip="Ver detalle"/>
          <a:extLst>
            <a:ext uri="{FF2B5EF4-FFF2-40B4-BE49-F238E27FC236}">
              <a16:creationId xmlns:a16="http://schemas.microsoft.com/office/drawing/2014/main" id="{20C0755B-2A8F-7466-6AB8-70CD5AF81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207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2942</xdr:row>
      <xdr:rowOff>0</xdr:rowOff>
    </xdr:from>
    <xdr:to>
      <xdr:col>13</xdr:col>
      <xdr:colOff>0</xdr:colOff>
      <xdr:row>2943</xdr:row>
      <xdr:rowOff>114300</xdr:rowOff>
    </xdr:to>
    <xdr:pic>
      <xdr:nvPicPr>
        <xdr:cNvPr id="3176" name="Picture 3175" descr="Ver detalle">
          <a:hlinkClick xmlns:r="http://schemas.openxmlformats.org/officeDocument/2006/relationships" r:id="rId3117" tooltip="Ver detalle"/>
          <a:extLst>
            <a:ext uri="{FF2B5EF4-FFF2-40B4-BE49-F238E27FC236}">
              <a16:creationId xmlns:a16="http://schemas.microsoft.com/office/drawing/2014/main" id="{6F209ED0-90F2-4DFA-DC93-1C34043F0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451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2943</xdr:row>
      <xdr:rowOff>0</xdr:rowOff>
    </xdr:from>
    <xdr:to>
      <xdr:col>13</xdr:col>
      <xdr:colOff>0</xdr:colOff>
      <xdr:row>2944</xdr:row>
      <xdr:rowOff>114300</xdr:rowOff>
    </xdr:to>
    <xdr:pic>
      <xdr:nvPicPr>
        <xdr:cNvPr id="3177" name="Picture 3176" descr="Ver detalle">
          <a:hlinkClick xmlns:r="http://schemas.openxmlformats.org/officeDocument/2006/relationships" r:id="rId3118" tooltip="Ver detalle"/>
          <a:extLst>
            <a:ext uri="{FF2B5EF4-FFF2-40B4-BE49-F238E27FC236}">
              <a16:creationId xmlns:a16="http://schemas.microsoft.com/office/drawing/2014/main" id="{082A6B47-F151-0DAD-6B39-3AF1442AA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695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2944</xdr:row>
      <xdr:rowOff>0</xdr:rowOff>
    </xdr:from>
    <xdr:to>
      <xdr:col>13</xdr:col>
      <xdr:colOff>0</xdr:colOff>
      <xdr:row>2945</xdr:row>
      <xdr:rowOff>114300</xdr:rowOff>
    </xdr:to>
    <xdr:pic>
      <xdr:nvPicPr>
        <xdr:cNvPr id="3178" name="Picture 3177" descr="Ver detalle">
          <a:hlinkClick xmlns:r="http://schemas.openxmlformats.org/officeDocument/2006/relationships" r:id="rId3119" tooltip="Ver detalle"/>
          <a:extLst>
            <a:ext uri="{FF2B5EF4-FFF2-40B4-BE49-F238E27FC236}">
              <a16:creationId xmlns:a16="http://schemas.microsoft.com/office/drawing/2014/main" id="{5DF43F9F-25EA-2AB4-08F2-0AA673CF1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939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2945</xdr:row>
      <xdr:rowOff>0</xdr:rowOff>
    </xdr:from>
    <xdr:to>
      <xdr:col>13</xdr:col>
      <xdr:colOff>0</xdr:colOff>
      <xdr:row>2946</xdr:row>
      <xdr:rowOff>114300</xdr:rowOff>
    </xdr:to>
    <xdr:pic>
      <xdr:nvPicPr>
        <xdr:cNvPr id="3179" name="Picture 3178" descr="Ver detalle">
          <a:hlinkClick xmlns:r="http://schemas.openxmlformats.org/officeDocument/2006/relationships" r:id="rId3120" tooltip="Ver detalle"/>
          <a:extLst>
            <a:ext uri="{FF2B5EF4-FFF2-40B4-BE49-F238E27FC236}">
              <a16:creationId xmlns:a16="http://schemas.microsoft.com/office/drawing/2014/main" id="{78B06CE8-586E-00F9-5B78-2C1787318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183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2946</xdr:row>
      <xdr:rowOff>0</xdr:rowOff>
    </xdr:from>
    <xdr:to>
      <xdr:col>13</xdr:col>
      <xdr:colOff>0</xdr:colOff>
      <xdr:row>2947</xdr:row>
      <xdr:rowOff>114300</xdr:rowOff>
    </xdr:to>
    <xdr:pic>
      <xdr:nvPicPr>
        <xdr:cNvPr id="3180" name="Picture 3179" descr="Ver detalle">
          <a:hlinkClick xmlns:r="http://schemas.openxmlformats.org/officeDocument/2006/relationships" r:id="rId3121" tooltip="Ver detalle"/>
          <a:extLst>
            <a:ext uri="{FF2B5EF4-FFF2-40B4-BE49-F238E27FC236}">
              <a16:creationId xmlns:a16="http://schemas.microsoft.com/office/drawing/2014/main" id="{AFFFF8F8-8359-F5FD-6FB0-F3A0BB041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426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2947</xdr:row>
      <xdr:rowOff>0</xdr:rowOff>
    </xdr:from>
    <xdr:to>
      <xdr:col>13</xdr:col>
      <xdr:colOff>0</xdr:colOff>
      <xdr:row>2948</xdr:row>
      <xdr:rowOff>114300</xdr:rowOff>
    </xdr:to>
    <xdr:pic>
      <xdr:nvPicPr>
        <xdr:cNvPr id="3181" name="Picture 3180" descr="Ver detalle">
          <a:hlinkClick xmlns:r="http://schemas.openxmlformats.org/officeDocument/2006/relationships" r:id="rId3122" tooltip="Ver detalle"/>
          <a:extLst>
            <a:ext uri="{FF2B5EF4-FFF2-40B4-BE49-F238E27FC236}">
              <a16:creationId xmlns:a16="http://schemas.microsoft.com/office/drawing/2014/main" id="{CD7BAD61-32B6-8C30-98B3-FD213F754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589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2920</xdr:row>
      <xdr:rowOff>0</xdr:rowOff>
    </xdr:from>
    <xdr:to>
      <xdr:col>13</xdr:col>
      <xdr:colOff>0</xdr:colOff>
      <xdr:row>2921</xdr:row>
      <xdr:rowOff>114300</xdr:rowOff>
    </xdr:to>
    <xdr:pic>
      <xdr:nvPicPr>
        <xdr:cNvPr id="3182" name="Picture 3181" descr="Ver detalle">
          <a:hlinkClick xmlns:r="http://schemas.openxmlformats.org/officeDocument/2006/relationships" r:id="rId3123" tooltip="Ver detalle"/>
          <a:extLst>
            <a:ext uri="{FF2B5EF4-FFF2-40B4-BE49-F238E27FC236}">
              <a16:creationId xmlns:a16="http://schemas.microsoft.com/office/drawing/2014/main" id="{F9CB92DC-747B-2BB3-4429-7D1B06624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833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2906</xdr:row>
      <xdr:rowOff>0</xdr:rowOff>
    </xdr:from>
    <xdr:to>
      <xdr:col>13</xdr:col>
      <xdr:colOff>0</xdr:colOff>
      <xdr:row>2907</xdr:row>
      <xdr:rowOff>114300</xdr:rowOff>
    </xdr:to>
    <xdr:pic>
      <xdr:nvPicPr>
        <xdr:cNvPr id="3183" name="Picture 3182" descr="Ver detalle">
          <a:hlinkClick xmlns:r="http://schemas.openxmlformats.org/officeDocument/2006/relationships" r:id="rId3124" tooltip="Ver detalle"/>
          <a:extLst>
            <a:ext uri="{FF2B5EF4-FFF2-40B4-BE49-F238E27FC236}">
              <a16:creationId xmlns:a16="http://schemas.microsoft.com/office/drawing/2014/main" id="{7D5DD9F5-F161-DEA9-E24C-457662E47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947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2907</xdr:row>
      <xdr:rowOff>0</xdr:rowOff>
    </xdr:from>
    <xdr:to>
      <xdr:col>13</xdr:col>
      <xdr:colOff>0</xdr:colOff>
      <xdr:row>2908</xdr:row>
      <xdr:rowOff>114300</xdr:rowOff>
    </xdr:to>
    <xdr:pic>
      <xdr:nvPicPr>
        <xdr:cNvPr id="3184" name="Picture 3183" descr="Ver detalle">
          <a:hlinkClick xmlns:r="http://schemas.openxmlformats.org/officeDocument/2006/relationships" r:id="rId3125" tooltip="Ver detalle"/>
          <a:extLst>
            <a:ext uri="{FF2B5EF4-FFF2-40B4-BE49-F238E27FC236}">
              <a16:creationId xmlns:a16="http://schemas.microsoft.com/office/drawing/2014/main" id="{BEB9D4B5-15A6-404C-42FF-E0A1E0B86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191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2917</xdr:row>
      <xdr:rowOff>0</xdr:rowOff>
    </xdr:from>
    <xdr:to>
      <xdr:col>13</xdr:col>
      <xdr:colOff>0</xdr:colOff>
      <xdr:row>2918</xdr:row>
      <xdr:rowOff>114300</xdr:rowOff>
    </xdr:to>
    <xdr:pic>
      <xdr:nvPicPr>
        <xdr:cNvPr id="3185" name="Picture 3184" descr="Ver detalle">
          <a:hlinkClick xmlns:r="http://schemas.openxmlformats.org/officeDocument/2006/relationships" r:id="rId3126" tooltip="Ver detalle"/>
          <a:extLst>
            <a:ext uri="{FF2B5EF4-FFF2-40B4-BE49-F238E27FC236}">
              <a16:creationId xmlns:a16="http://schemas.microsoft.com/office/drawing/2014/main" id="{EAA9D586-43D4-12F8-6CB9-0A30C228F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435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2910</xdr:row>
      <xdr:rowOff>0</xdr:rowOff>
    </xdr:from>
    <xdr:to>
      <xdr:col>13</xdr:col>
      <xdr:colOff>0</xdr:colOff>
      <xdr:row>2911</xdr:row>
      <xdr:rowOff>114300</xdr:rowOff>
    </xdr:to>
    <xdr:pic>
      <xdr:nvPicPr>
        <xdr:cNvPr id="3186" name="Picture 3185" descr="Ver detalle">
          <a:hlinkClick xmlns:r="http://schemas.openxmlformats.org/officeDocument/2006/relationships" r:id="rId3127" tooltip="Ver detalle"/>
          <a:extLst>
            <a:ext uri="{FF2B5EF4-FFF2-40B4-BE49-F238E27FC236}">
              <a16:creationId xmlns:a16="http://schemas.microsoft.com/office/drawing/2014/main" id="{4F2D2A8B-0EF1-2029-1CC9-9136F7EA8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598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2911</xdr:row>
      <xdr:rowOff>0</xdr:rowOff>
    </xdr:from>
    <xdr:to>
      <xdr:col>13</xdr:col>
      <xdr:colOff>0</xdr:colOff>
      <xdr:row>2912</xdr:row>
      <xdr:rowOff>114300</xdr:rowOff>
    </xdr:to>
    <xdr:pic>
      <xdr:nvPicPr>
        <xdr:cNvPr id="3187" name="Picture 3186" descr="Ver detalle">
          <a:hlinkClick xmlns:r="http://schemas.openxmlformats.org/officeDocument/2006/relationships" r:id="rId3128" tooltip="Ver detalle"/>
          <a:extLst>
            <a:ext uri="{FF2B5EF4-FFF2-40B4-BE49-F238E27FC236}">
              <a16:creationId xmlns:a16="http://schemas.microsoft.com/office/drawing/2014/main" id="{1DA56FD6-0FFD-33F8-74AD-9FCFEA061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842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2915</xdr:row>
      <xdr:rowOff>0</xdr:rowOff>
    </xdr:from>
    <xdr:to>
      <xdr:col>13</xdr:col>
      <xdr:colOff>0</xdr:colOff>
      <xdr:row>2916</xdr:row>
      <xdr:rowOff>114300</xdr:rowOff>
    </xdr:to>
    <xdr:pic>
      <xdr:nvPicPr>
        <xdr:cNvPr id="3188" name="Picture 3187" descr="Ver detalle">
          <a:hlinkClick xmlns:r="http://schemas.openxmlformats.org/officeDocument/2006/relationships" r:id="rId3129" tooltip="Ver detalle"/>
          <a:extLst>
            <a:ext uri="{FF2B5EF4-FFF2-40B4-BE49-F238E27FC236}">
              <a16:creationId xmlns:a16="http://schemas.microsoft.com/office/drawing/2014/main" id="{6DC521E8-7494-607C-D1A5-6D4CB06023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086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2916</xdr:row>
      <xdr:rowOff>0</xdr:rowOff>
    </xdr:from>
    <xdr:to>
      <xdr:col>13</xdr:col>
      <xdr:colOff>0</xdr:colOff>
      <xdr:row>2917</xdr:row>
      <xdr:rowOff>114300</xdr:rowOff>
    </xdr:to>
    <xdr:pic>
      <xdr:nvPicPr>
        <xdr:cNvPr id="3189" name="Picture 3188" descr="Ver detalle">
          <a:hlinkClick xmlns:r="http://schemas.openxmlformats.org/officeDocument/2006/relationships" r:id="rId3130" tooltip="Ver detalle"/>
          <a:extLst>
            <a:ext uri="{FF2B5EF4-FFF2-40B4-BE49-F238E27FC236}">
              <a16:creationId xmlns:a16="http://schemas.microsoft.com/office/drawing/2014/main" id="{0BAA2F8B-3D2F-5731-EA78-47D4AFAE4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200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2904</xdr:row>
      <xdr:rowOff>0</xdr:rowOff>
    </xdr:from>
    <xdr:to>
      <xdr:col>13</xdr:col>
      <xdr:colOff>0</xdr:colOff>
      <xdr:row>2905</xdr:row>
      <xdr:rowOff>114300</xdr:rowOff>
    </xdr:to>
    <xdr:pic>
      <xdr:nvPicPr>
        <xdr:cNvPr id="3190" name="Picture 3189" descr="Ver detalle">
          <a:hlinkClick xmlns:r="http://schemas.openxmlformats.org/officeDocument/2006/relationships" r:id="rId3131" tooltip="Ver detalle"/>
          <a:extLst>
            <a:ext uri="{FF2B5EF4-FFF2-40B4-BE49-F238E27FC236}">
              <a16:creationId xmlns:a16="http://schemas.microsoft.com/office/drawing/2014/main" id="{C4443326-1FB5-D320-24AD-01DEE3516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314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2900</xdr:row>
      <xdr:rowOff>0</xdr:rowOff>
    </xdr:from>
    <xdr:to>
      <xdr:col>13</xdr:col>
      <xdr:colOff>0</xdr:colOff>
      <xdr:row>2901</xdr:row>
      <xdr:rowOff>114300</xdr:rowOff>
    </xdr:to>
    <xdr:pic>
      <xdr:nvPicPr>
        <xdr:cNvPr id="3191" name="Picture 3190" descr="Ver detalle">
          <a:hlinkClick xmlns:r="http://schemas.openxmlformats.org/officeDocument/2006/relationships" r:id="rId3132" tooltip="Ver detalle"/>
          <a:extLst>
            <a:ext uri="{FF2B5EF4-FFF2-40B4-BE49-F238E27FC236}">
              <a16:creationId xmlns:a16="http://schemas.microsoft.com/office/drawing/2014/main" id="{6B562D31-5B35-0278-230D-895DEC862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558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2905</xdr:row>
      <xdr:rowOff>0</xdr:rowOff>
    </xdr:from>
    <xdr:to>
      <xdr:col>13</xdr:col>
      <xdr:colOff>0</xdr:colOff>
      <xdr:row>2906</xdr:row>
      <xdr:rowOff>114300</xdr:rowOff>
    </xdr:to>
    <xdr:pic>
      <xdr:nvPicPr>
        <xdr:cNvPr id="3192" name="Picture 3191" descr="Ver detalle">
          <a:hlinkClick xmlns:r="http://schemas.openxmlformats.org/officeDocument/2006/relationships" r:id="rId3133" tooltip="Ver detalle"/>
          <a:extLst>
            <a:ext uri="{FF2B5EF4-FFF2-40B4-BE49-F238E27FC236}">
              <a16:creationId xmlns:a16="http://schemas.microsoft.com/office/drawing/2014/main" id="{BF026DB8-A2E7-AA5F-A179-6BFE166F1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672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2903</xdr:row>
      <xdr:rowOff>0</xdr:rowOff>
    </xdr:from>
    <xdr:to>
      <xdr:col>13</xdr:col>
      <xdr:colOff>0</xdr:colOff>
      <xdr:row>2904</xdr:row>
      <xdr:rowOff>114300</xdr:rowOff>
    </xdr:to>
    <xdr:pic>
      <xdr:nvPicPr>
        <xdr:cNvPr id="3193" name="Picture 3192" descr="Ver detalle">
          <a:hlinkClick xmlns:r="http://schemas.openxmlformats.org/officeDocument/2006/relationships" r:id="rId3134" tooltip="Ver detalle"/>
          <a:extLst>
            <a:ext uri="{FF2B5EF4-FFF2-40B4-BE49-F238E27FC236}">
              <a16:creationId xmlns:a16="http://schemas.microsoft.com/office/drawing/2014/main" id="{08DCB4C9-59A8-98BE-4B09-F3977A2E9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916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2899</xdr:row>
      <xdr:rowOff>0</xdr:rowOff>
    </xdr:from>
    <xdr:to>
      <xdr:col>13</xdr:col>
      <xdr:colOff>0</xdr:colOff>
      <xdr:row>2900</xdr:row>
      <xdr:rowOff>114300</xdr:rowOff>
    </xdr:to>
    <xdr:pic>
      <xdr:nvPicPr>
        <xdr:cNvPr id="3194" name="Picture 3193" descr="Ver detalle">
          <a:hlinkClick xmlns:r="http://schemas.openxmlformats.org/officeDocument/2006/relationships" r:id="rId3135" tooltip="Ver detalle"/>
          <a:extLst>
            <a:ext uri="{FF2B5EF4-FFF2-40B4-BE49-F238E27FC236}">
              <a16:creationId xmlns:a16="http://schemas.microsoft.com/office/drawing/2014/main" id="{1A12DBEA-E13B-5AE8-70C0-3B99CE6054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079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2902</xdr:row>
      <xdr:rowOff>0</xdr:rowOff>
    </xdr:from>
    <xdr:to>
      <xdr:col>13</xdr:col>
      <xdr:colOff>0</xdr:colOff>
      <xdr:row>2903</xdr:row>
      <xdr:rowOff>114300</xdr:rowOff>
    </xdr:to>
    <xdr:pic>
      <xdr:nvPicPr>
        <xdr:cNvPr id="3195" name="Picture 3194" descr="Ver detalle">
          <a:hlinkClick xmlns:r="http://schemas.openxmlformats.org/officeDocument/2006/relationships" r:id="rId3136" tooltip="Ver detalle"/>
          <a:extLst>
            <a:ext uri="{FF2B5EF4-FFF2-40B4-BE49-F238E27FC236}">
              <a16:creationId xmlns:a16="http://schemas.microsoft.com/office/drawing/2014/main" id="{1AC62125-41FF-1CCD-A275-F86006011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437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2908</xdr:row>
      <xdr:rowOff>0</xdr:rowOff>
    </xdr:from>
    <xdr:to>
      <xdr:col>13</xdr:col>
      <xdr:colOff>0</xdr:colOff>
      <xdr:row>2909</xdr:row>
      <xdr:rowOff>114300</xdr:rowOff>
    </xdr:to>
    <xdr:pic>
      <xdr:nvPicPr>
        <xdr:cNvPr id="3196" name="Picture 3195" descr="Ver detalle">
          <a:hlinkClick xmlns:r="http://schemas.openxmlformats.org/officeDocument/2006/relationships" r:id="rId3137" tooltip="Ver detalle"/>
          <a:extLst>
            <a:ext uri="{FF2B5EF4-FFF2-40B4-BE49-F238E27FC236}">
              <a16:creationId xmlns:a16="http://schemas.microsoft.com/office/drawing/2014/main" id="{8C919207-2C42-DD54-230E-62D4FBEC9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600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2909</xdr:row>
      <xdr:rowOff>0</xdr:rowOff>
    </xdr:from>
    <xdr:to>
      <xdr:col>13</xdr:col>
      <xdr:colOff>0</xdr:colOff>
      <xdr:row>2910</xdr:row>
      <xdr:rowOff>114300</xdr:rowOff>
    </xdr:to>
    <xdr:pic>
      <xdr:nvPicPr>
        <xdr:cNvPr id="3197" name="Picture 3196" descr="Ver detalle">
          <a:hlinkClick xmlns:r="http://schemas.openxmlformats.org/officeDocument/2006/relationships" r:id="rId3138" tooltip="Ver detalle"/>
          <a:extLst>
            <a:ext uri="{FF2B5EF4-FFF2-40B4-BE49-F238E27FC236}">
              <a16:creationId xmlns:a16="http://schemas.microsoft.com/office/drawing/2014/main" id="{A84C4ADB-B440-F722-2137-ACBA1E3D6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844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2898</xdr:row>
      <xdr:rowOff>0</xdr:rowOff>
    </xdr:from>
    <xdr:to>
      <xdr:col>13</xdr:col>
      <xdr:colOff>0</xdr:colOff>
      <xdr:row>2899</xdr:row>
      <xdr:rowOff>114300</xdr:rowOff>
    </xdr:to>
    <xdr:pic>
      <xdr:nvPicPr>
        <xdr:cNvPr id="3198" name="Picture 3197" descr="Ver detalle">
          <a:hlinkClick xmlns:r="http://schemas.openxmlformats.org/officeDocument/2006/relationships" r:id="rId3139" tooltip="Ver detalle"/>
          <a:extLst>
            <a:ext uri="{FF2B5EF4-FFF2-40B4-BE49-F238E27FC236}">
              <a16:creationId xmlns:a16="http://schemas.microsoft.com/office/drawing/2014/main" id="{4B7A0386-D0FA-D2E7-89E0-AEED9B7C3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088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2897</xdr:row>
      <xdr:rowOff>0</xdr:rowOff>
    </xdr:from>
    <xdr:to>
      <xdr:col>13</xdr:col>
      <xdr:colOff>0</xdr:colOff>
      <xdr:row>2898</xdr:row>
      <xdr:rowOff>114300</xdr:rowOff>
    </xdr:to>
    <xdr:pic>
      <xdr:nvPicPr>
        <xdr:cNvPr id="3199" name="Picture 3198" descr="Ver detalle">
          <a:hlinkClick xmlns:r="http://schemas.openxmlformats.org/officeDocument/2006/relationships" r:id="rId3140" tooltip="Ver detalle"/>
          <a:extLst>
            <a:ext uri="{FF2B5EF4-FFF2-40B4-BE49-F238E27FC236}">
              <a16:creationId xmlns:a16="http://schemas.microsoft.com/office/drawing/2014/main" id="{553333D2-8065-B80F-9FE3-A7B97062B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202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2912</xdr:row>
      <xdr:rowOff>0</xdr:rowOff>
    </xdr:from>
    <xdr:to>
      <xdr:col>13</xdr:col>
      <xdr:colOff>0</xdr:colOff>
      <xdr:row>2913</xdr:row>
      <xdr:rowOff>114300</xdr:rowOff>
    </xdr:to>
    <xdr:pic>
      <xdr:nvPicPr>
        <xdr:cNvPr id="3200" name="Picture 3199" descr="Ver detalle">
          <a:hlinkClick xmlns:r="http://schemas.openxmlformats.org/officeDocument/2006/relationships" r:id="rId3141" tooltip="Ver detalle"/>
          <a:extLst>
            <a:ext uri="{FF2B5EF4-FFF2-40B4-BE49-F238E27FC236}">
              <a16:creationId xmlns:a16="http://schemas.microsoft.com/office/drawing/2014/main" id="{0ACC5B6B-8812-1B72-52BD-ADBB4AA97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446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01" name="Imagen 3200" descr="Ver detalle">
          <a:hlinkClick xmlns:r="http://schemas.openxmlformats.org/officeDocument/2006/relationships" r:id="rId3142" tooltip="Ver detalle"/>
          <a:extLst>
            <a:ext uri="{FF2B5EF4-FFF2-40B4-BE49-F238E27FC236}">
              <a16:creationId xmlns:a16="http://schemas.microsoft.com/office/drawing/2014/main" id="{32BE9915-68DD-74D2-374B-9B07D356D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6661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02" name="Imagen 3201" descr="Ver detalle">
          <a:hlinkClick xmlns:r="http://schemas.openxmlformats.org/officeDocument/2006/relationships" r:id="rId3143" tooltip="Ver detalle"/>
          <a:extLst>
            <a:ext uri="{FF2B5EF4-FFF2-40B4-BE49-F238E27FC236}">
              <a16:creationId xmlns:a16="http://schemas.microsoft.com/office/drawing/2014/main" id="{CDBF59DE-6CAE-AF2C-B593-1463C06B0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6905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03" name="Imagen 3202" descr="Ver detalle">
          <a:hlinkClick xmlns:r="http://schemas.openxmlformats.org/officeDocument/2006/relationships" r:id="rId3144" tooltip="Ver detalle"/>
          <a:extLst>
            <a:ext uri="{FF2B5EF4-FFF2-40B4-BE49-F238E27FC236}">
              <a16:creationId xmlns:a16="http://schemas.microsoft.com/office/drawing/2014/main" id="{53F0C3B9-A27E-3C26-D377-D97F6F731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068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04" name="Imagen 3203" descr="Ver detalle">
          <a:hlinkClick xmlns:r="http://schemas.openxmlformats.org/officeDocument/2006/relationships" r:id="rId3145" tooltip="Ver detalle"/>
          <a:extLst>
            <a:ext uri="{FF2B5EF4-FFF2-40B4-BE49-F238E27FC236}">
              <a16:creationId xmlns:a16="http://schemas.microsoft.com/office/drawing/2014/main" id="{62F248A6-18A0-9F3A-DA45-EBEFB80F0E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311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05" name="Imagen 3204" descr="Ver detalle">
          <a:hlinkClick xmlns:r="http://schemas.openxmlformats.org/officeDocument/2006/relationships" r:id="rId3146" tooltip="Ver detalle"/>
          <a:extLst>
            <a:ext uri="{FF2B5EF4-FFF2-40B4-BE49-F238E27FC236}">
              <a16:creationId xmlns:a16="http://schemas.microsoft.com/office/drawing/2014/main" id="{0F1892C3-F1A0-06CA-DBA7-B7853846A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555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06" name="Imagen 3205" descr="Ver detalle">
          <a:hlinkClick xmlns:r="http://schemas.openxmlformats.org/officeDocument/2006/relationships" r:id="rId3147" tooltip="Ver detalle"/>
          <a:extLst>
            <a:ext uri="{FF2B5EF4-FFF2-40B4-BE49-F238E27FC236}">
              <a16:creationId xmlns:a16="http://schemas.microsoft.com/office/drawing/2014/main" id="{0D733D02-7254-4247-3FCA-BBD594F6E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799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07" name="Imagen 3206" descr="Ver detalle">
          <a:hlinkClick xmlns:r="http://schemas.openxmlformats.org/officeDocument/2006/relationships" r:id="rId3148" tooltip="Ver detalle"/>
          <a:extLst>
            <a:ext uri="{FF2B5EF4-FFF2-40B4-BE49-F238E27FC236}">
              <a16:creationId xmlns:a16="http://schemas.microsoft.com/office/drawing/2014/main" id="{CC070F02-96A6-7287-0902-E33F4DB32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043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08" name="Imagen 3207" descr="Ver detalle">
          <a:hlinkClick xmlns:r="http://schemas.openxmlformats.org/officeDocument/2006/relationships" r:id="rId3149" tooltip="Ver detalle"/>
          <a:extLst>
            <a:ext uri="{FF2B5EF4-FFF2-40B4-BE49-F238E27FC236}">
              <a16:creationId xmlns:a16="http://schemas.microsoft.com/office/drawing/2014/main" id="{F4A9B41B-1748-6050-0530-B5CFA50A5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287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09" name="Imagen 3208" descr="Ver detalle">
          <a:hlinkClick xmlns:r="http://schemas.openxmlformats.org/officeDocument/2006/relationships" r:id="rId3150" tooltip="Ver detalle"/>
          <a:extLst>
            <a:ext uri="{FF2B5EF4-FFF2-40B4-BE49-F238E27FC236}">
              <a16:creationId xmlns:a16="http://schemas.microsoft.com/office/drawing/2014/main" id="{40AC2651-58CC-EDBB-5D15-12737AD74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531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10" name="Imagen 3209" descr="Ver detalle">
          <a:hlinkClick xmlns:r="http://schemas.openxmlformats.org/officeDocument/2006/relationships" r:id="rId3151" tooltip="Ver detalle"/>
          <a:extLst>
            <a:ext uri="{FF2B5EF4-FFF2-40B4-BE49-F238E27FC236}">
              <a16:creationId xmlns:a16="http://schemas.microsoft.com/office/drawing/2014/main" id="{DCB0EBE9-979F-E7EB-8281-6537FF060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77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11" name="Imagen 3210" descr="Ver detalle">
          <a:hlinkClick xmlns:r="http://schemas.openxmlformats.org/officeDocument/2006/relationships" r:id="rId3152" tooltip="Ver detalle"/>
          <a:extLst>
            <a:ext uri="{FF2B5EF4-FFF2-40B4-BE49-F238E27FC236}">
              <a16:creationId xmlns:a16="http://schemas.microsoft.com/office/drawing/2014/main" id="{4C775145-6BAD-6464-605E-0B5842890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018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12" name="Imagen 3211" descr="Ver detalle">
          <a:hlinkClick xmlns:r="http://schemas.openxmlformats.org/officeDocument/2006/relationships" r:id="rId3153" tooltip="Ver detalle"/>
          <a:extLst>
            <a:ext uri="{FF2B5EF4-FFF2-40B4-BE49-F238E27FC236}">
              <a16:creationId xmlns:a16="http://schemas.microsoft.com/office/drawing/2014/main" id="{20907FC4-0658-4750-84BF-1310B9EEF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262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13" name="Imagen 3212" descr="Ver detalle">
          <a:hlinkClick xmlns:r="http://schemas.openxmlformats.org/officeDocument/2006/relationships" r:id="rId3154" tooltip="Ver detalle"/>
          <a:extLst>
            <a:ext uri="{FF2B5EF4-FFF2-40B4-BE49-F238E27FC236}">
              <a16:creationId xmlns:a16="http://schemas.microsoft.com/office/drawing/2014/main" id="{35FA454C-4B77-A964-7B0C-857657652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506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14" name="Imagen 3213" descr="Ver detalle">
          <a:hlinkClick xmlns:r="http://schemas.openxmlformats.org/officeDocument/2006/relationships" r:id="rId3155" tooltip="Ver detalle"/>
          <a:extLst>
            <a:ext uri="{FF2B5EF4-FFF2-40B4-BE49-F238E27FC236}">
              <a16:creationId xmlns:a16="http://schemas.microsoft.com/office/drawing/2014/main" id="{BC5DA155-C8CB-148A-7AD5-B1E41A0DD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750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15" name="Imagen 3214" descr="Ver detalle">
          <a:hlinkClick xmlns:r="http://schemas.openxmlformats.org/officeDocument/2006/relationships" r:id="rId3156" tooltip="Ver detalle"/>
          <a:extLst>
            <a:ext uri="{FF2B5EF4-FFF2-40B4-BE49-F238E27FC236}">
              <a16:creationId xmlns:a16="http://schemas.microsoft.com/office/drawing/2014/main" id="{22573F8D-7482-F6A9-2C59-8784E7D7A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994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16" name="Imagen 3215" descr="Ver detalle">
          <a:hlinkClick xmlns:r="http://schemas.openxmlformats.org/officeDocument/2006/relationships" r:id="rId3157" tooltip="Ver detalle"/>
          <a:extLst>
            <a:ext uri="{FF2B5EF4-FFF2-40B4-BE49-F238E27FC236}">
              <a16:creationId xmlns:a16="http://schemas.microsoft.com/office/drawing/2014/main" id="{1D0C5493-6883-137E-9396-2B1C73B2E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238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17" name="Imagen 3216" descr="Ver detalle">
          <a:hlinkClick xmlns:r="http://schemas.openxmlformats.org/officeDocument/2006/relationships" r:id="rId3158" tooltip="Ver detalle"/>
          <a:extLst>
            <a:ext uri="{FF2B5EF4-FFF2-40B4-BE49-F238E27FC236}">
              <a16:creationId xmlns:a16="http://schemas.microsoft.com/office/drawing/2014/main" id="{01E306CB-3D21-CADF-9895-1A1900DA9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400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18" name="Imagen 3217" descr="Ver detalle">
          <a:hlinkClick xmlns:r="http://schemas.openxmlformats.org/officeDocument/2006/relationships" r:id="rId3159" tooltip="Ver detalle"/>
          <a:extLst>
            <a:ext uri="{FF2B5EF4-FFF2-40B4-BE49-F238E27FC236}">
              <a16:creationId xmlns:a16="http://schemas.microsoft.com/office/drawing/2014/main" id="{25D37688-DC7C-BB19-CA14-07E00AC95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563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19" name="Imagen 3218" descr="Ver detalle">
          <a:hlinkClick xmlns:r="http://schemas.openxmlformats.org/officeDocument/2006/relationships" r:id="rId3160" tooltip="Ver detalle"/>
          <a:extLst>
            <a:ext uri="{FF2B5EF4-FFF2-40B4-BE49-F238E27FC236}">
              <a16:creationId xmlns:a16="http://schemas.microsoft.com/office/drawing/2014/main" id="{2504EB54-F8E2-4DB2-BD18-ABEC97E32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726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20" name="Imagen 3219" descr="Ver detalle">
          <a:hlinkClick xmlns:r="http://schemas.openxmlformats.org/officeDocument/2006/relationships" r:id="rId3161" tooltip="Ver detalle"/>
          <a:extLst>
            <a:ext uri="{FF2B5EF4-FFF2-40B4-BE49-F238E27FC236}">
              <a16:creationId xmlns:a16="http://schemas.microsoft.com/office/drawing/2014/main" id="{A5780EAF-3082-49C0-3758-2F04E2BDB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970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21" name="Imagen 3220" descr="Ver detalle">
          <a:hlinkClick xmlns:r="http://schemas.openxmlformats.org/officeDocument/2006/relationships" r:id="rId3162" tooltip="Ver detalle"/>
          <a:extLst>
            <a:ext uri="{FF2B5EF4-FFF2-40B4-BE49-F238E27FC236}">
              <a16:creationId xmlns:a16="http://schemas.microsoft.com/office/drawing/2014/main" id="{9BF52DAF-EDEA-701D-0B5C-92E2C9CDD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21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22" name="Imagen 3221" descr="Ver detalle">
          <a:hlinkClick xmlns:r="http://schemas.openxmlformats.org/officeDocument/2006/relationships" r:id="rId3163" tooltip="Ver detalle"/>
          <a:extLst>
            <a:ext uri="{FF2B5EF4-FFF2-40B4-BE49-F238E27FC236}">
              <a16:creationId xmlns:a16="http://schemas.microsoft.com/office/drawing/2014/main" id="{B7045E39-42FF-A34A-64A1-74A2FD87D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458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23" name="Imagen 3222" descr="Ver detalle">
          <a:hlinkClick xmlns:r="http://schemas.openxmlformats.org/officeDocument/2006/relationships" r:id="rId3164" tooltip="Ver detalle"/>
          <a:extLst>
            <a:ext uri="{FF2B5EF4-FFF2-40B4-BE49-F238E27FC236}">
              <a16:creationId xmlns:a16="http://schemas.microsoft.com/office/drawing/2014/main" id="{753B117F-F549-2122-3DC6-D0B468272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621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24" name="Imagen 3223" descr="Ver detalle">
          <a:hlinkClick xmlns:r="http://schemas.openxmlformats.org/officeDocument/2006/relationships" r:id="rId3165" tooltip="Ver detalle"/>
          <a:extLst>
            <a:ext uri="{FF2B5EF4-FFF2-40B4-BE49-F238E27FC236}">
              <a16:creationId xmlns:a16="http://schemas.microsoft.com/office/drawing/2014/main" id="{EEC7E205-05F7-E28D-1920-DAD291E7C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864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25" name="Imagen 3224" descr="Ver detalle">
          <a:hlinkClick xmlns:r="http://schemas.openxmlformats.org/officeDocument/2006/relationships" r:id="rId3166" tooltip="Ver detalle"/>
          <a:extLst>
            <a:ext uri="{FF2B5EF4-FFF2-40B4-BE49-F238E27FC236}">
              <a16:creationId xmlns:a16="http://schemas.microsoft.com/office/drawing/2014/main" id="{6076C6DD-4B0B-86D4-F79A-9094961AD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352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26" name="Imagen 3225" descr="Ver detalle">
          <a:hlinkClick xmlns:r="http://schemas.openxmlformats.org/officeDocument/2006/relationships" r:id="rId3167" tooltip="Ver detalle"/>
          <a:extLst>
            <a:ext uri="{FF2B5EF4-FFF2-40B4-BE49-F238E27FC236}">
              <a16:creationId xmlns:a16="http://schemas.microsoft.com/office/drawing/2014/main" id="{1EA52BCB-9D01-E763-4440-687E0AD77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596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27" name="Imagen 3226" descr="Ver detalle">
          <a:hlinkClick xmlns:r="http://schemas.openxmlformats.org/officeDocument/2006/relationships" r:id="rId3168" tooltip="Ver detalle"/>
          <a:extLst>
            <a:ext uri="{FF2B5EF4-FFF2-40B4-BE49-F238E27FC236}">
              <a16:creationId xmlns:a16="http://schemas.microsoft.com/office/drawing/2014/main" id="{DB386029-7199-1104-4F24-E6712DEE3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840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28" name="Imagen 3227" descr="Ver detalle">
          <a:hlinkClick xmlns:r="http://schemas.openxmlformats.org/officeDocument/2006/relationships" r:id="rId3169" tooltip="Ver detalle"/>
          <a:extLst>
            <a:ext uri="{FF2B5EF4-FFF2-40B4-BE49-F238E27FC236}">
              <a16:creationId xmlns:a16="http://schemas.microsoft.com/office/drawing/2014/main" id="{56CA70CB-A1A6-DE5D-7B6A-EAB9527F2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084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29" name="Imagen 3228" descr="Ver detalle">
          <a:hlinkClick xmlns:r="http://schemas.openxmlformats.org/officeDocument/2006/relationships" r:id="rId3170" tooltip="Ver detalle"/>
          <a:extLst>
            <a:ext uri="{FF2B5EF4-FFF2-40B4-BE49-F238E27FC236}">
              <a16:creationId xmlns:a16="http://schemas.microsoft.com/office/drawing/2014/main" id="{189638CA-0FC0-DFAF-A97D-14536C522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327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30" name="Imagen 3229" descr="Ver detalle">
          <a:hlinkClick xmlns:r="http://schemas.openxmlformats.org/officeDocument/2006/relationships" r:id="rId3171" tooltip="Ver detalle"/>
          <a:extLst>
            <a:ext uri="{FF2B5EF4-FFF2-40B4-BE49-F238E27FC236}">
              <a16:creationId xmlns:a16="http://schemas.microsoft.com/office/drawing/2014/main" id="{55AE8024-6E89-C593-CF2A-A55E6C7BF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571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31" name="Imagen 3230" descr="Ver detalle">
          <a:hlinkClick xmlns:r="http://schemas.openxmlformats.org/officeDocument/2006/relationships" r:id="rId3172" tooltip="Ver detalle"/>
          <a:extLst>
            <a:ext uri="{FF2B5EF4-FFF2-40B4-BE49-F238E27FC236}">
              <a16:creationId xmlns:a16="http://schemas.microsoft.com/office/drawing/2014/main" id="{461ED2CD-AD83-F1B0-2DE1-FF2252DFE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686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32" name="Imagen 3231" descr="Ver detalle">
          <a:hlinkClick xmlns:r="http://schemas.openxmlformats.org/officeDocument/2006/relationships" r:id="rId3173" tooltip="Ver detalle"/>
          <a:extLst>
            <a:ext uri="{FF2B5EF4-FFF2-40B4-BE49-F238E27FC236}">
              <a16:creationId xmlns:a16="http://schemas.microsoft.com/office/drawing/2014/main" id="{3BD384BB-B9A4-DC85-D48D-6F9B9B2BE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929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33" name="Imagen 3232" descr="Ver detalle">
          <a:hlinkClick xmlns:r="http://schemas.openxmlformats.org/officeDocument/2006/relationships" r:id="rId3174" tooltip="Ver detalle"/>
          <a:extLst>
            <a:ext uri="{FF2B5EF4-FFF2-40B4-BE49-F238E27FC236}">
              <a16:creationId xmlns:a16="http://schemas.microsoft.com/office/drawing/2014/main" id="{61291824-B161-F765-2E0C-CFCD52733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173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34" name="Imagen 3233" descr="Ver detalle">
          <a:hlinkClick xmlns:r="http://schemas.openxmlformats.org/officeDocument/2006/relationships" r:id="rId3175" tooltip="Ver detalle"/>
          <a:extLst>
            <a:ext uri="{FF2B5EF4-FFF2-40B4-BE49-F238E27FC236}">
              <a16:creationId xmlns:a16="http://schemas.microsoft.com/office/drawing/2014/main" id="{10DE5DBE-4D27-967F-D709-061A2531F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417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35" name="Imagen 3234" descr="Ver detalle">
          <a:hlinkClick xmlns:r="http://schemas.openxmlformats.org/officeDocument/2006/relationships" r:id="rId3176" tooltip="Ver detalle"/>
          <a:extLst>
            <a:ext uri="{FF2B5EF4-FFF2-40B4-BE49-F238E27FC236}">
              <a16:creationId xmlns:a16="http://schemas.microsoft.com/office/drawing/2014/main" id="{162B273F-7721-AA5F-EA87-C2592C286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661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36" name="Imagen 3235" descr="Ver detalle">
          <a:hlinkClick xmlns:r="http://schemas.openxmlformats.org/officeDocument/2006/relationships" r:id="rId3177" tooltip="Ver detalle"/>
          <a:extLst>
            <a:ext uri="{FF2B5EF4-FFF2-40B4-BE49-F238E27FC236}">
              <a16:creationId xmlns:a16="http://schemas.microsoft.com/office/drawing/2014/main" id="{07EBCA35-9B08-39D6-57D3-B853D33E66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905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37" name="Imagen 3236" descr="Ver detalle">
          <a:hlinkClick xmlns:r="http://schemas.openxmlformats.org/officeDocument/2006/relationships" r:id="rId3178" tooltip="Ver detalle"/>
          <a:extLst>
            <a:ext uri="{FF2B5EF4-FFF2-40B4-BE49-F238E27FC236}">
              <a16:creationId xmlns:a16="http://schemas.microsoft.com/office/drawing/2014/main" id="{7CCC2314-A185-BF93-D55B-B76007D5B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149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38" name="Imagen 3237" descr="Ver detalle">
          <a:hlinkClick xmlns:r="http://schemas.openxmlformats.org/officeDocument/2006/relationships" r:id="rId3179" tooltip="Ver detalle"/>
          <a:extLst>
            <a:ext uri="{FF2B5EF4-FFF2-40B4-BE49-F238E27FC236}">
              <a16:creationId xmlns:a16="http://schemas.microsoft.com/office/drawing/2014/main" id="{9AA333AC-7AD6-79B3-6D4B-83EA00511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392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39" name="Imagen 3238" descr="Ver detalle">
          <a:hlinkClick xmlns:r="http://schemas.openxmlformats.org/officeDocument/2006/relationships" r:id="rId3180" tooltip="Ver detalle"/>
          <a:extLst>
            <a:ext uri="{FF2B5EF4-FFF2-40B4-BE49-F238E27FC236}">
              <a16:creationId xmlns:a16="http://schemas.microsoft.com/office/drawing/2014/main" id="{1384E7A6-7883-F7FD-6722-62F8CFD97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636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40" name="Imagen 3239" descr="Ver detalle">
          <a:hlinkClick xmlns:r="http://schemas.openxmlformats.org/officeDocument/2006/relationships" r:id="rId3181" tooltip="Ver detalle"/>
          <a:extLst>
            <a:ext uri="{FF2B5EF4-FFF2-40B4-BE49-F238E27FC236}">
              <a16:creationId xmlns:a16="http://schemas.microsoft.com/office/drawing/2014/main" id="{8959E98D-4D68-FD1D-C276-D45F73782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880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41" name="Imagen 3240" descr="Ver detalle">
          <a:hlinkClick xmlns:r="http://schemas.openxmlformats.org/officeDocument/2006/relationships" r:id="rId3182" tooltip="Ver detalle"/>
          <a:extLst>
            <a:ext uri="{FF2B5EF4-FFF2-40B4-BE49-F238E27FC236}">
              <a16:creationId xmlns:a16="http://schemas.microsoft.com/office/drawing/2014/main" id="{DE4D4C35-4105-4B9B-BCDD-85D28B452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12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42" name="Imagen 3241" descr="Ver detalle">
          <a:hlinkClick xmlns:r="http://schemas.openxmlformats.org/officeDocument/2006/relationships" r:id="rId3183" tooltip="Ver detalle"/>
          <a:extLst>
            <a:ext uri="{FF2B5EF4-FFF2-40B4-BE49-F238E27FC236}">
              <a16:creationId xmlns:a16="http://schemas.microsoft.com/office/drawing/2014/main" id="{3F1852A3-CC10-9967-DC0F-24D30EF26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368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43" name="Imagen 3242" descr="Ver detalle">
          <a:hlinkClick xmlns:r="http://schemas.openxmlformats.org/officeDocument/2006/relationships" r:id="rId3184" tooltip="Ver detalle"/>
          <a:extLst>
            <a:ext uri="{FF2B5EF4-FFF2-40B4-BE49-F238E27FC236}">
              <a16:creationId xmlns:a16="http://schemas.microsoft.com/office/drawing/2014/main" id="{4862744C-C405-3EDD-0013-C0EC75DC4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612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44" name="Imagen 3243" descr="Ver detalle">
          <a:hlinkClick xmlns:r="http://schemas.openxmlformats.org/officeDocument/2006/relationships" r:id="rId3185" tooltip="Ver detalle"/>
          <a:extLst>
            <a:ext uri="{FF2B5EF4-FFF2-40B4-BE49-F238E27FC236}">
              <a16:creationId xmlns:a16="http://schemas.microsoft.com/office/drawing/2014/main" id="{55596439-0B48-9B20-C5F7-800E82810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855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45" name="Imagen 3244" descr="Ver detalle">
          <a:hlinkClick xmlns:r="http://schemas.openxmlformats.org/officeDocument/2006/relationships" r:id="rId3186" tooltip="Ver detalle"/>
          <a:extLst>
            <a:ext uri="{FF2B5EF4-FFF2-40B4-BE49-F238E27FC236}">
              <a16:creationId xmlns:a16="http://schemas.microsoft.com/office/drawing/2014/main" id="{A52249C3-5026-93AE-5A69-92286F20C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099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46" name="Imagen 3245" descr="Ver detalle">
          <a:hlinkClick xmlns:r="http://schemas.openxmlformats.org/officeDocument/2006/relationships" r:id="rId3187" tooltip="Ver detalle"/>
          <a:extLst>
            <a:ext uri="{FF2B5EF4-FFF2-40B4-BE49-F238E27FC236}">
              <a16:creationId xmlns:a16="http://schemas.microsoft.com/office/drawing/2014/main" id="{95C95B7B-3A1F-5FC5-A092-E644B72AE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214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47" name="Imagen 3246" descr="Ver detalle">
          <a:hlinkClick xmlns:r="http://schemas.openxmlformats.org/officeDocument/2006/relationships" r:id="rId3188" tooltip="Ver detalle"/>
          <a:extLst>
            <a:ext uri="{FF2B5EF4-FFF2-40B4-BE49-F238E27FC236}">
              <a16:creationId xmlns:a16="http://schemas.microsoft.com/office/drawing/2014/main" id="{C92AC7BF-B8D2-DB62-D569-2659BBA8E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328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48" name="Imagen 3247" descr="Ver detalle">
          <a:hlinkClick xmlns:r="http://schemas.openxmlformats.org/officeDocument/2006/relationships" r:id="rId3189" tooltip="Ver detalle"/>
          <a:extLst>
            <a:ext uri="{FF2B5EF4-FFF2-40B4-BE49-F238E27FC236}">
              <a16:creationId xmlns:a16="http://schemas.microsoft.com/office/drawing/2014/main" id="{4EA003FC-51C7-8D2B-A3C7-27D448D30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491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49" name="Imagen 3248" descr="Ver detalle">
          <a:hlinkClick xmlns:r="http://schemas.openxmlformats.org/officeDocument/2006/relationships" r:id="rId3190" tooltip="Ver detalle"/>
          <a:extLst>
            <a:ext uri="{FF2B5EF4-FFF2-40B4-BE49-F238E27FC236}">
              <a16:creationId xmlns:a16="http://schemas.microsoft.com/office/drawing/2014/main" id="{F7DDB7B2-5004-A5AE-39FE-32E4B645D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898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50" name="Imagen 3249" descr="Ver detalle">
          <a:hlinkClick xmlns:r="http://schemas.openxmlformats.org/officeDocument/2006/relationships" r:id="rId3191" tooltip="Ver detalle"/>
          <a:extLst>
            <a:ext uri="{FF2B5EF4-FFF2-40B4-BE49-F238E27FC236}">
              <a16:creationId xmlns:a16="http://schemas.microsoft.com/office/drawing/2014/main" id="{A60E3AA1-6BFD-0650-860C-1D6732005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012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51" name="Imagen 3250" descr="Ver detalle">
          <a:hlinkClick xmlns:r="http://schemas.openxmlformats.org/officeDocument/2006/relationships" r:id="rId3192" tooltip="Ver detalle"/>
          <a:extLst>
            <a:ext uri="{FF2B5EF4-FFF2-40B4-BE49-F238E27FC236}">
              <a16:creationId xmlns:a16="http://schemas.microsoft.com/office/drawing/2014/main" id="{C0DD64ED-FF16-F429-CD4E-AD965EE31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126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52" name="Imagen 3251" descr="Ver detalle">
          <a:hlinkClick xmlns:r="http://schemas.openxmlformats.org/officeDocument/2006/relationships" r:id="rId3193" tooltip="Ver detalle"/>
          <a:extLst>
            <a:ext uri="{FF2B5EF4-FFF2-40B4-BE49-F238E27FC236}">
              <a16:creationId xmlns:a16="http://schemas.microsoft.com/office/drawing/2014/main" id="{CBDF5D9E-AF19-F56C-CFA4-B5278FD35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289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53" name="Imagen 3252" descr="Ver detalle">
          <a:hlinkClick xmlns:r="http://schemas.openxmlformats.org/officeDocument/2006/relationships" r:id="rId3194" tooltip="Ver detalle"/>
          <a:extLst>
            <a:ext uri="{FF2B5EF4-FFF2-40B4-BE49-F238E27FC236}">
              <a16:creationId xmlns:a16="http://schemas.microsoft.com/office/drawing/2014/main" id="{006B3522-E54C-9A1C-CE37-4AF7287DE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452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54" name="Imagen 3253" descr="Ver detalle">
          <a:hlinkClick xmlns:r="http://schemas.openxmlformats.org/officeDocument/2006/relationships" r:id="rId3195" tooltip="Ver detalle"/>
          <a:extLst>
            <a:ext uri="{FF2B5EF4-FFF2-40B4-BE49-F238E27FC236}">
              <a16:creationId xmlns:a16="http://schemas.microsoft.com/office/drawing/2014/main" id="{603029FB-C77A-E2A6-FB64-4F433B572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615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55" name="Imagen 3254" descr="Ver detalle">
          <a:hlinkClick xmlns:r="http://schemas.openxmlformats.org/officeDocument/2006/relationships" r:id="rId3196" tooltip="Ver detalle"/>
          <a:extLst>
            <a:ext uri="{FF2B5EF4-FFF2-40B4-BE49-F238E27FC236}">
              <a16:creationId xmlns:a16="http://schemas.microsoft.com/office/drawing/2014/main" id="{41C8FF57-5528-EF50-F783-1550A81C6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859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56" name="Imagen 3255" descr="Ver detalle">
          <a:hlinkClick xmlns:r="http://schemas.openxmlformats.org/officeDocument/2006/relationships" r:id="rId3197" tooltip="Ver detalle"/>
          <a:extLst>
            <a:ext uri="{FF2B5EF4-FFF2-40B4-BE49-F238E27FC236}">
              <a16:creationId xmlns:a16="http://schemas.microsoft.com/office/drawing/2014/main" id="{3480C698-FCAC-CCFF-0714-D916510AE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9102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57" name="Imagen 3256" descr="Ver detalle">
          <a:hlinkClick xmlns:r="http://schemas.openxmlformats.org/officeDocument/2006/relationships" r:id="rId3198" tooltip="Ver detalle"/>
          <a:extLst>
            <a:ext uri="{FF2B5EF4-FFF2-40B4-BE49-F238E27FC236}">
              <a16:creationId xmlns:a16="http://schemas.microsoft.com/office/drawing/2014/main" id="{61372AAA-A156-BAC9-22BB-C21852350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9346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58" name="Imagen 3257" descr="Ver detalle">
          <a:hlinkClick xmlns:r="http://schemas.openxmlformats.org/officeDocument/2006/relationships" r:id="rId3199" tooltip="Ver detalle"/>
          <a:extLst>
            <a:ext uri="{FF2B5EF4-FFF2-40B4-BE49-F238E27FC236}">
              <a16:creationId xmlns:a16="http://schemas.microsoft.com/office/drawing/2014/main" id="{9B3E2937-0A8C-DC18-FF23-340623B4B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9590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59" name="Imagen 3258" descr="Ver detalle">
          <a:hlinkClick xmlns:r="http://schemas.openxmlformats.org/officeDocument/2006/relationships" r:id="rId3200" tooltip="Ver detalle"/>
          <a:extLst>
            <a:ext uri="{FF2B5EF4-FFF2-40B4-BE49-F238E27FC236}">
              <a16:creationId xmlns:a16="http://schemas.microsoft.com/office/drawing/2014/main" id="{0F00B4D8-2AA6-37E2-4121-E34E0BCBE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9834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60" name="Imagen 3259" descr="Ver detalle">
          <a:hlinkClick xmlns:r="http://schemas.openxmlformats.org/officeDocument/2006/relationships" r:id="rId3201" tooltip="Ver detalle"/>
          <a:extLst>
            <a:ext uri="{FF2B5EF4-FFF2-40B4-BE49-F238E27FC236}">
              <a16:creationId xmlns:a16="http://schemas.microsoft.com/office/drawing/2014/main" id="{5DC8F17E-A4A8-8791-4B1C-B595B46BD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0078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61" name="Imagen 3260" descr="Ver detalle">
          <a:hlinkClick xmlns:r="http://schemas.openxmlformats.org/officeDocument/2006/relationships" r:id="rId3202" tooltip="Ver detalle"/>
          <a:extLst>
            <a:ext uri="{FF2B5EF4-FFF2-40B4-BE49-F238E27FC236}">
              <a16:creationId xmlns:a16="http://schemas.microsoft.com/office/drawing/2014/main" id="{21F9C200-9D39-B81B-47EA-83293DF1F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0322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62" name="Imagen 3261" descr="Ver detalle">
          <a:hlinkClick xmlns:r="http://schemas.openxmlformats.org/officeDocument/2006/relationships" r:id="rId3203" tooltip="Ver detalle"/>
          <a:extLst>
            <a:ext uri="{FF2B5EF4-FFF2-40B4-BE49-F238E27FC236}">
              <a16:creationId xmlns:a16="http://schemas.microsoft.com/office/drawing/2014/main" id="{26E9B016-4E00-7EA7-AD15-4CE272AEE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0565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63" name="Imagen 3262" descr="Ver detalle">
          <a:hlinkClick xmlns:r="http://schemas.openxmlformats.org/officeDocument/2006/relationships" r:id="rId3204" tooltip="Ver detalle"/>
          <a:extLst>
            <a:ext uri="{FF2B5EF4-FFF2-40B4-BE49-F238E27FC236}">
              <a16:creationId xmlns:a16="http://schemas.microsoft.com/office/drawing/2014/main" id="{CD081675-C04B-AE53-A470-A3D41B4AD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0809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64" name="Imagen 3263" descr="Ver detalle">
          <a:hlinkClick xmlns:r="http://schemas.openxmlformats.org/officeDocument/2006/relationships" r:id="rId3205" tooltip="Ver detalle"/>
          <a:extLst>
            <a:ext uri="{FF2B5EF4-FFF2-40B4-BE49-F238E27FC236}">
              <a16:creationId xmlns:a16="http://schemas.microsoft.com/office/drawing/2014/main" id="{0FA2E402-A619-4982-0EE1-89C1EB6607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053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65" name="Imagen 3264" descr="Ver detalle">
          <a:hlinkClick xmlns:r="http://schemas.openxmlformats.org/officeDocument/2006/relationships" r:id="rId3206" tooltip="Ver detalle"/>
          <a:extLst>
            <a:ext uri="{FF2B5EF4-FFF2-40B4-BE49-F238E27FC236}">
              <a16:creationId xmlns:a16="http://schemas.microsoft.com/office/drawing/2014/main" id="{D28CBB82-3D4F-7464-6033-03F3AA7C8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297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66" name="Imagen 3265" descr="Ver detalle">
          <a:hlinkClick xmlns:r="http://schemas.openxmlformats.org/officeDocument/2006/relationships" r:id="rId3207" tooltip="Ver detalle"/>
          <a:extLst>
            <a:ext uri="{FF2B5EF4-FFF2-40B4-BE49-F238E27FC236}">
              <a16:creationId xmlns:a16="http://schemas.microsoft.com/office/drawing/2014/main" id="{80860817-C2EC-63D0-94AE-29D96AF3B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541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67" name="Imagen 3266" descr="Ver detalle">
          <a:hlinkClick xmlns:r="http://schemas.openxmlformats.org/officeDocument/2006/relationships" r:id="rId3208" tooltip="Ver detalle"/>
          <a:extLst>
            <a:ext uri="{FF2B5EF4-FFF2-40B4-BE49-F238E27FC236}">
              <a16:creationId xmlns:a16="http://schemas.microsoft.com/office/drawing/2014/main" id="{66E3C3DC-E032-E81D-DB8B-44016EC60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785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68" name="Imagen 3267" descr="Ver detalle">
          <a:hlinkClick xmlns:r="http://schemas.openxmlformats.org/officeDocument/2006/relationships" r:id="rId3209" tooltip="Ver detalle"/>
          <a:extLst>
            <a:ext uri="{FF2B5EF4-FFF2-40B4-BE49-F238E27FC236}">
              <a16:creationId xmlns:a16="http://schemas.microsoft.com/office/drawing/2014/main" id="{D73AD30C-E8B8-9A7E-6C24-D6AB05093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029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69" name="Imagen 3268" descr="Ver detalle">
          <a:hlinkClick xmlns:r="http://schemas.openxmlformats.org/officeDocument/2006/relationships" r:id="rId3210" tooltip="Ver detalle"/>
          <a:extLst>
            <a:ext uri="{FF2B5EF4-FFF2-40B4-BE49-F238E27FC236}">
              <a16:creationId xmlns:a16="http://schemas.microsoft.com/office/drawing/2014/main" id="{3E210D07-AF3A-D7A8-5649-1E7B5068E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272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70" name="Imagen 3269" descr="Ver detalle">
          <a:hlinkClick xmlns:r="http://schemas.openxmlformats.org/officeDocument/2006/relationships" r:id="rId3211" tooltip="Ver detalle"/>
          <a:extLst>
            <a:ext uri="{FF2B5EF4-FFF2-40B4-BE49-F238E27FC236}">
              <a16:creationId xmlns:a16="http://schemas.microsoft.com/office/drawing/2014/main" id="{5A9BCFEB-B7A9-5481-33D4-D91F42A07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516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71" name="Imagen 3270" descr="Ver detalle">
          <a:hlinkClick xmlns:r="http://schemas.openxmlformats.org/officeDocument/2006/relationships" r:id="rId3212" tooltip="Ver detalle"/>
          <a:extLst>
            <a:ext uri="{FF2B5EF4-FFF2-40B4-BE49-F238E27FC236}">
              <a16:creationId xmlns:a16="http://schemas.microsoft.com/office/drawing/2014/main" id="{0E737C93-7E92-5258-EB36-739B9FF4C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760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72" name="Imagen 3271" descr="Ver detalle">
          <a:hlinkClick xmlns:r="http://schemas.openxmlformats.org/officeDocument/2006/relationships" r:id="rId3213" tooltip="Ver detalle"/>
          <a:extLst>
            <a:ext uri="{FF2B5EF4-FFF2-40B4-BE49-F238E27FC236}">
              <a16:creationId xmlns:a16="http://schemas.microsoft.com/office/drawing/2014/main" id="{42E9D970-814E-921B-665A-25B8A70E4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92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73" name="Imagen 3272" descr="Ver detalle">
          <a:hlinkClick xmlns:r="http://schemas.openxmlformats.org/officeDocument/2006/relationships" r:id="rId3214" tooltip="Ver detalle"/>
          <a:extLst>
            <a:ext uri="{FF2B5EF4-FFF2-40B4-BE49-F238E27FC236}">
              <a16:creationId xmlns:a16="http://schemas.microsoft.com/office/drawing/2014/main" id="{23630D59-0EAF-909A-8273-44E5D63BB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3200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74" name="Imagen 3273" descr="Ver detalle">
          <a:hlinkClick xmlns:r="http://schemas.openxmlformats.org/officeDocument/2006/relationships" r:id="rId3215" tooltip="Ver detalle"/>
          <a:extLst>
            <a:ext uri="{FF2B5EF4-FFF2-40B4-BE49-F238E27FC236}">
              <a16:creationId xmlns:a16="http://schemas.microsoft.com/office/drawing/2014/main" id="{37E34707-719B-D8C1-9A8B-097D07437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344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75" name="Imagen 3274" descr="Ver detalle">
          <a:hlinkClick xmlns:r="http://schemas.openxmlformats.org/officeDocument/2006/relationships" r:id="rId3216" tooltip="Ver detalle"/>
          <a:extLst>
            <a:ext uri="{FF2B5EF4-FFF2-40B4-BE49-F238E27FC236}">
              <a16:creationId xmlns:a16="http://schemas.microsoft.com/office/drawing/2014/main" id="{0EC187EE-6D16-00A6-3AC5-42AC187DB1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3688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76" name="Imagen 3275" descr="Ver detalle">
          <a:hlinkClick xmlns:r="http://schemas.openxmlformats.org/officeDocument/2006/relationships" r:id="rId3217" tooltip="Ver detalle"/>
          <a:extLst>
            <a:ext uri="{FF2B5EF4-FFF2-40B4-BE49-F238E27FC236}">
              <a16:creationId xmlns:a16="http://schemas.microsoft.com/office/drawing/2014/main" id="{6912F46A-6378-2299-83AB-A302CAA1F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3802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77" name="Imagen 3276" descr="Ver detalle">
          <a:hlinkClick xmlns:r="http://schemas.openxmlformats.org/officeDocument/2006/relationships" r:id="rId3218" tooltip="Ver detalle"/>
          <a:extLst>
            <a:ext uri="{FF2B5EF4-FFF2-40B4-BE49-F238E27FC236}">
              <a16:creationId xmlns:a16="http://schemas.microsoft.com/office/drawing/2014/main" id="{4A817C46-EAA8-4944-3054-AD862271D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046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78" name="Imagen 3277" descr="Ver detalle">
          <a:hlinkClick xmlns:r="http://schemas.openxmlformats.org/officeDocument/2006/relationships" r:id="rId3219" tooltip="Ver detalle"/>
          <a:extLst>
            <a:ext uri="{FF2B5EF4-FFF2-40B4-BE49-F238E27FC236}">
              <a16:creationId xmlns:a16="http://schemas.microsoft.com/office/drawing/2014/main" id="{0EB9A655-F30A-D028-D966-4FFB7FB85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290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79" name="Imagen 3278" descr="Ver detalle">
          <a:hlinkClick xmlns:r="http://schemas.openxmlformats.org/officeDocument/2006/relationships" r:id="rId3220" tooltip="Ver detalle"/>
          <a:extLst>
            <a:ext uri="{FF2B5EF4-FFF2-40B4-BE49-F238E27FC236}">
              <a16:creationId xmlns:a16="http://schemas.microsoft.com/office/drawing/2014/main" id="{FA41F32B-5B0C-6C25-7D86-56DD9E2BD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534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80" name="Imagen 3279" descr="Ver detalle">
          <a:hlinkClick xmlns:r="http://schemas.openxmlformats.org/officeDocument/2006/relationships" r:id="rId3221" tooltip="Ver detalle"/>
          <a:extLst>
            <a:ext uri="{FF2B5EF4-FFF2-40B4-BE49-F238E27FC236}">
              <a16:creationId xmlns:a16="http://schemas.microsoft.com/office/drawing/2014/main" id="{9CA03995-0F5A-22D6-AC43-828993A8C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777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81" name="Imagen 3280" descr="Ver detalle">
          <a:hlinkClick xmlns:r="http://schemas.openxmlformats.org/officeDocument/2006/relationships" r:id="rId3222" tooltip="Ver detalle"/>
          <a:extLst>
            <a:ext uri="{FF2B5EF4-FFF2-40B4-BE49-F238E27FC236}">
              <a16:creationId xmlns:a16="http://schemas.microsoft.com/office/drawing/2014/main" id="{95F42687-7147-D74C-ECF2-365B5B831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021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82" name="Imagen 3281" descr="Ver detalle">
          <a:hlinkClick xmlns:r="http://schemas.openxmlformats.org/officeDocument/2006/relationships" r:id="rId3223" tooltip="Ver detalle"/>
          <a:extLst>
            <a:ext uri="{FF2B5EF4-FFF2-40B4-BE49-F238E27FC236}">
              <a16:creationId xmlns:a16="http://schemas.microsoft.com/office/drawing/2014/main" id="{5538C374-FEB1-B8C5-A458-B20E64FBF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184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83" name="Imagen 3282" descr="Ver detalle">
          <a:hlinkClick xmlns:r="http://schemas.openxmlformats.org/officeDocument/2006/relationships" r:id="rId3224" tooltip="Ver detalle"/>
          <a:extLst>
            <a:ext uri="{FF2B5EF4-FFF2-40B4-BE49-F238E27FC236}">
              <a16:creationId xmlns:a16="http://schemas.microsoft.com/office/drawing/2014/main" id="{0A40B1AD-A35E-1D7D-02FB-40A6974BF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347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84" name="Imagen 3283" descr="Ver detalle">
          <a:hlinkClick xmlns:r="http://schemas.openxmlformats.org/officeDocument/2006/relationships" r:id="rId3225" tooltip="Ver detalle"/>
          <a:extLst>
            <a:ext uri="{FF2B5EF4-FFF2-40B4-BE49-F238E27FC236}">
              <a16:creationId xmlns:a16="http://schemas.microsoft.com/office/drawing/2014/main" id="{C72ED590-3E5F-7946-6D77-DF043701E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510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85" name="Imagen 3284" descr="Ver detalle">
          <a:hlinkClick xmlns:r="http://schemas.openxmlformats.org/officeDocument/2006/relationships" r:id="rId3226" tooltip="Ver detalle"/>
          <a:extLst>
            <a:ext uri="{FF2B5EF4-FFF2-40B4-BE49-F238E27FC236}">
              <a16:creationId xmlns:a16="http://schemas.microsoft.com/office/drawing/2014/main" id="{79F071B1-63CF-B2AC-9697-388CC60A9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673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86" name="Imagen 3285" descr="Ver detalle">
          <a:hlinkClick xmlns:r="http://schemas.openxmlformats.org/officeDocument/2006/relationships" r:id="rId3227" tooltip="Ver detalle"/>
          <a:extLst>
            <a:ext uri="{FF2B5EF4-FFF2-40B4-BE49-F238E27FC236}">
              <a16:creationId xmlns:a16="http://schemas.microsoft.com/office/drawing/2014/main" id="{D4E60411-8FAC-9CE5-8AF0-36285A671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836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87" name="Imagen 3286" descr="Ver detalle">
          <a:hlinkClick xmlns:r="http://schemas.openxmlformats.org/officeDocument/2006/relationships" r:id="rId3228" tooltip="Ver detalle"/>
          <a:extLst>
            <a:ext uri="{FF2B5EF4-FFF2-40B4-BE49-F238E27FC236}">
              <a16:creationId xmlns:a16="http://schemas.microsoft.com/office/drawing/2014/main" id="{948F4D99-688C-3D0A-ADCC-5B107BC0A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079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88" name="Imagen 3287" descr="Ver detalle">
          <a:hlinkClick xmlns:r="http://schemas.openxmlformats.org/officeDocument/2006/relationships" r:id="rId3229" tooltip="Ver detalle"/>
          <a:extLst>
            <a:ext uri="{FF2B5EF4-FFF2-40B4-BE49-F238E27FC236}">
              <a16:creationId xmlns:a16="http://schemas.microsoft.com/office/drawing/2014/main" id="{9D62D9DB-25B7-BC08-CC8D-087F8F7A3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194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89" name="Imagen 3288" descr="Ver detalle">
          <a:hlinkClick xmlns:r="http://schemas.openxmlformats.org/officeDocument/2006/relationships" r:id="rId3230" tooltip="Ver detalle"/>
          <a:extLst>
            <a:ext uri="{FF2B5EF4-FFF2-40B4-BE49-F238E27FC236}">
              <a16:creationId xmlns:a16="http://schemas.microsoft.com/office/drawing/2014/main" id="{D70C5707-B879-5492-5A65-0C299EB62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438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90" name="Imagen 3289" descr="Ver detalle">
          <a:hlinkClick xmlns:r="http://schemas.openxmlformats.org/officeDocument/2006/relationships" r:id="rId3231" tooltip="Ver detalle"/>
          <a:extLst>
            <a:ext uri="{FF2B5EF4-FFF2-40B4-BE49-F238E27FC236}">
              <a16:creationId xmlns:a16="http://schemas.microsoft.com/office/drawing/2014/main" id="{7A3AAC36-C0A5-C77A-E9EE-24565D8BA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681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91" name="Imagen 3290" descr="Ver detalle">
          <a:hlinkClick xmlns:r="http://schemas.openxmlformats.org/officeDocument/2006/relationships" r:id="rId3232" tooltip="Ver detalle"/>
          <a:extLst>
            <a:ext uri="{FF2B5EF4-FFF2-40B4-BE49-F238E27FC236}">
              <a16:creationId xmlns:a16="http://schemas.microsoft.com/office/drawing/2014/main" id="{856383F0-997F-9D1D-3518-5C7B3DF05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925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92" name="Imagen 3291" descr="Ver detalle">
          <a:hlinkClick xmlns:r="http://schemas.openxmlformats.org/officeDocument/2006/relationships" r:id="rId3233" tooltip="Ver detalle"/>
          <a:extLst>
            <a:ext uri="{FF2B5EF4-FFF2-40B4-BE49-F238E27FC236}">
              <a16:creationId xmlns:a16="http://schemas.microsoft.com/office/drawing/2014/main" id="{4F4D1425-EA5C-D8DD-E765-43110D73C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7169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93" name="Imagen 3292" descr="Ver detalle">
          <a:hlinkClick xmlns:r="http://schemas.openxmlformats.org/officeDocument/2006/relationships" r:id="rId3234" tooltip="Ver detalle"/>
          <a:extLst>
            <a:ext uri="{FF2B5EF4-FFF2-40B4-BE49-F238E27FC236}">
              <a16:creationId xmlns:a16="http://schemas.microsoft.com/office/drawing/2014/main" id="{FC62ADE1-D403-9624-A96A-33536440E5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7413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94" name="Imagen 3293" descr="Ver detalle">
          <a:hlinkClick xmlns:r="http://schemas.openxmlformats.org/officeDocument/2006/relationships" r:id="rId3235" tooltip="Ver detalle"/>
          <a:extLst>
            <a:ext uri="{FF2B5EF4-FFF2-40B4-BE49-F238E27FC236}">
              <a16:creationId xmlns:a16="http://schemas.microsoft.com/office/drawing/2014/main" id="{57634925-B8AE-6056-2964-D383B57F7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7657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95" name="Imagen 3294" descr="Ver detalle">
          <a:hlinkClick xmlns:r="http://schemas.openxmlformats.org/officeDocument/2006/relationships" r:id="rId3236" tooltip="Ver detalle"/>
          <a:extLst>
            <a:ext uri="{FF2B5EF4-FFF2-40B4-BE49-F238E27FC236}">
              <a16:creationId xmlns:a16="http://schemas.microsoft.com/office/drawing/2014/main" id="{D8812D29-7688-DA7F-698D-41D46F2CC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7901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96" name="Imagen 3295" descr="Ver detalle">
          <a:hlinkClick xmlns:r="http://schemas.openxmlformats.org/officeDocument/2006/relationships" r:id="rId3237" tooltip="Ver detalle"/>
          <a:extLst>
            <a:ext uri="{FF2B5EF4-FFF2-40B4-BE49-F238E27FC236}">
              <a16:creationId xmlns:a16="http://schemas.microsoft.com/office/drawing/2014/main" id="{2ADCBE9D-3BAA-7024-33A4-D18102A8C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8145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97" name="Imagen 3296" descr="Ver detalle">
          <a:hlinkClick xmlns:r="http://schemas.openxmlformats.org/officeDocument/2006/relationships" r:id="rId3238" tooltip="Ver detalle"/>
          <a:extLst>
            <a:ext uri="{FF2B5EF4-FFF2-40B4-BE49-F238E27FC236}">
              <a16:creationId xmlns:a16="http://schemas.microsoft.com/office/drawing/2014/main" id="{50DFD46C-EE6F-4905-717C-1317452DB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8632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98" name="Imagen 3297" descr="Ver detalle">
          <a:hlinkClick xmlns:r="http://schemas.openxmlformats.org/officeDocument/2006/relationships" r:id="rId3239" tooltip="Ver detalle"/>
          <a:extLst>
            <a:ext uri="{FF2B5EF4-FFF2-40B4-BE49-F238E27FC236}">
              <a16:creationId xmlns:a16="http://schemas.microsoft.com/office/drawing/2014/main" id="{31C65561-2905-03E7-6EED-F3CABF98B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8876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99" name="Imagen 3298" descr="Ver detalle">
          <a:hlinkClick xmlns:r="http://schemas.openxmlformats.org/officeDocument/2006/relationships" r:id="rId3240" tooltip="Ver detalle"/>
          <a:extLst>
            <a:ext uri="{FF2B5EF4-FFF2-40B4-BE49-F238E27FC236}">
              <a16:creationId xmlns:a16="http://schemas.microsoft.com/office/drawing/2014/main" id="{CAE9ECA4-F97C-5026-931D-2C9685249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9039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300" name="Imagen 3299" descr="Ver detalle">
          <a:hlinkClick xmlns:r="http://schemas.openxmlformats.org/officeDocument/2006/relationships" r:id="rId3241" tooltip="Ver detalle"/>
          <a:extLst>
            <a:ext uri="{FF2B5EF4-FFF2-40B4-BE49-F238E27FC236}">
              <a16:creationId xmlns:a16="http://schemas.microsoft.com/office/drawing/2014/main" id="{D2699E0F-E6A0-5A45-A306-C9F9D2200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9283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301" name="Imagen 3300" descr="Ver detalle">
          <a:hlinkClick xmlns:r="http://schemas.openxmlformats.org/officeDocument/2006/relationships" r:id="rId3242" tooltip="Ver detalle"/>
          <a:extLst>
            <a:ext uri="{FF2B5EF4-FFF2-40B4-BE49-F238E27FC236}">
              <a16:creationId xmlns:a16="http://schemas.microsoft.com/office/drawing/2014/main" id="{D5B6CB5B-BB57-7BAC-B51E-3E1DEFAE3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9527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302" name="Imagen 3301" descr="Ver detalle">
          <a:hlinkClick xmlns:r="http://schemas.openxmlformats.org/officeDocument/2006/relationships" r:id="rId3243" tooltip="Ver detalle"/>
          <a:extLst>
            <a:ext uri="{FF2B5EF4-FFF2-40B4-BE49-F238E27FC236}">
              <a16:creationId xmlns:a16="http://schemas.microsoft.com/office/drawing/2014/main" id="{AD4CE32C-9D9F-8316-51EB-075A86E38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9770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303" name="Imagen 3302" descr="Ver detalle">
          <a:hlinkClick xmlns:r="http://schemas.openxmlformats.org/officeDocument/2006/relationships" r:id="rId3244" tooltip="Ver detalle"/>
          <a:extLst>
            <a:ext uri="{FF2B5EF4-FFF2-40B4-BE49-F238E27FC236}">
              <a16:creationId xmlns:a16="http://schemas.microsoft.com/office/drawing/2014/main" id="{006C3B61-D05D-1F71-5011-C7319FED88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0014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304" name="Imagen 3303" descr="Ver detalle">
          <a:hlinkClick xmlns:r="http://schemas.openxmlformats.org/officeDocument/2006/relationships" r:id="rId3245" tooltip="Ver detalle"/>
          <a:extLst>
            <a:ext uri="{FF2B5EF4-FFF2-40B4-BE49-F238E27FC236}">
              <a16:creationId xmlns:a16="http://schemas.microsoft.com/office/drawing/2014/main" id="{7D994B8A-E8B9-7BDA-4D42-6A51C5B43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0258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305" name="Imagen 3304" descr="Ver detalle">
          <a:hlinkClick xmlns:r="http://schemas.openxmlformats.org/officeDocument/2006/relationships" r:id="rId3246" tooltip="Ver detalle"/>
          <a:extLst>
            <a:ext uri="{FF2B5EF4-FFF2-40B4-BE49-F238E27FC236}">
              <a16:creationId xmlns:a16="http://schemas.microsoft.com/office/drawing/2014/main" id="{94B4114C-AF1C-0817-C83D-238992F2F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0502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306" name="Imagen 3305" descr="Ver detalle">
          <a:hlinkClick xmlns:r="http://schemas.openxmlformats.org/officeDocument/2006/relationships" r:id="rId3247" tooltip="Ver detalle"/>
          <a:extLst>
            <a:ext uri="{FF2B5EF4-FFF2-40B4-BE49-F238E27FC236}">
              <a16:creationId xmlns:a16="http://schemas.microsoft.com/office/drawing/2014/main" id="{A92F40BE-7600-6174-4426-7B679DBE1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0746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307" name="Imagen 3306" descr="Ver detalle">
          <a:hlinkClick xmlns:r="http://schemas.openxmlformats.org/officeDocument/2006/relationships" r:id="rId3248" tooltip="Ver detalle"/>
          <a:extLst>
            <a:ext uri="{FF2B5EF4-FFF2-40B4-BE49-F238E27FC236}">
              <a16:creationId xmlns:a16="http://schemas.microsoft.com/office/drawing/2014/main" id="{13078003-1733-C4AE-6D20-DF873F7DE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0909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3012</xdr:row>
      <xdr:rowOff>0</xdr:rowOff>
    </xdr:from>
    <xdr:to>
      <xdr:col>13</xdr:col>
      <xdr:colOff>0</xdr:colOff>
      <xdr:row>3013</xdr:row>
      <xdr:rowOff>114300</xdr:rowOff>
    </xdr:to>
    <xdr:pic>
      <xdr:nvPicPr>
        <xdr:cNvPr id="3308" name="Imagen 3307" descr="Ver detalle">
          <a:hlinkClick xmlns:r="http://schemas.openxmlformats.org/officeDocument/2006/relationships" r:id="rId3249" tooltip="Ver detalle"/>
          <a:extLst>
            <a:ext uri="{FF2B5EF4-FFF2-40B4-BE49-F238E27FC236}">
              <a16:creationId xmlns:a16="http://schemas.microsoft.com/office/drawing/2014/main" id="{C83CC368-706F-316C-1BCB-800D228CD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6661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3011</xdr:row>
      <xdr:rowOff>0</xdr:rowOff>
    </xdr:from>
    <xdr:to>
      <xdr:col>13</xdr:col>
      <xdr:colOff>0</xdr:colOff>
      <xdr:row>3012</xdr:row>
      <xdr:rowOff>114300</xdr:rowOff>
    </xdr:to>
    <xdr:pic>
      <xdr:nvPicPr>
        <xdr:cNvPr id="3309" name="Imagen 3308" descr="Ver detalle">
          <a:hlinkClick xmlns:r="http://schemas.openxmlformats.org/officeDocument/2006/relationships" r:id="rId3250" tooltip="Ver detalle"/>
          <a:extLst>
            <a:ext uri="{FF2B5EF4-FFF2-40B4-BE49-F238E27FC236}">
              <a16:creationId xmlns:a16="http://schemas.microsoft.com/office/drawing/2014/main" id="{EEE1EAE2-4704-DB72-1B60-09498FED3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6905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3010</xdr:row>
      <xdr:rowOff>0</xdr:rowOff>
    </xdr:from>
    <xdr:to>
      <xdr:col>13</xdr:col>
      <xdr:colOff>0</xdr:colOff>
      <xdr:row>3011</xdr:row>
      <xdr:rowOff>114300</xdr:rowOff>
    </xdr:to>
    <xdr:pic>
      <xdr:nvPicPr>
        <xdr:cNvPr id="3310" name="Imagen 3309" descr="Ver detalle">
          <a:hlinkClick xmlns:r="http://schemas.openxmlformats.org/officeDocument/2006/relationships" r:id="rId3251" tooltip="Ver detalle"/>
          <a:extLst>
            <a:ext uri="{FF2B5EF4-FFF2-40B4-BE49-F238E27FC236}">
              <a16:creationId xmlns:a16="http://schemas.microsoft.com/office/drawing/2014/main" id="{0A7D1BE2-DB3E-96FA-EDDB-7A96FDBBD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149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3009</xdr:row>
      <xdr:rowOff>0</xdr:rowOff>
    </xdr:from>
    <xdr:to>
      <xdr:col>13</xdr:col>
      <xdr:colOff>0</xdr:colOff>
      <xdr:row>3010</xdr:row>
      <xdr:rowOff>104775</xdr:rowOff>
    </xdr:to>
    <xdr:pic>
      <xdr:nvPicPr>
        <xdr:cNvPr id="3311" name="Imagen 3310" descr="Ver detalle">
          <a:hlinkClick xmlns:r="http://schemas.openxmlformats.org/officeDocument/2006/relationships" r:id="rId3252" tooltip="Ver detalle"/>
          <a:extLst>
            <a:ext uri="{FF2B5EF4-FFF2-40B4-BE49-F238E27FC236}">
              <a16:creationId xmlns:a16="http://schemas.microsoft.com/office/drawing/2014/main" id="{DC343F11-DE56-5869-A6DD-C39A09B06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392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3008</xdr:row>
      <xdr:rowOff>0</xdr:rowOff>
    </xdr:from>
    <xdr:to>
      <xdr:col>13</xdr:col>
      <xdr:colOff>0</xdr:colOff>
      <xdr:row>3009</xdr:row>
      <xdr:rowOff>114300</xdr:rowOff>
    </xdr:to>
    <xdr:pic>
      <xdr:nvPicPr>
        <xdr:cNvPr id="3312" name="Imagen 3311" descr="Ver detalle">
          <a:hlinkClick xmlns:r="http://schemas.openxmlformats.org/officeDocument/2006/relationships" r:id="rId3253" tooltip="Ver detalle"/>
          <a:extLst>
            <a:ext uri="{FF2B5EF4-FFF2-40B4-BE49-F238E27FC236}">
              <a16:creationId xmlns:a16="http://schemas.microsoft.com/office/drawing/2014/main" id="{CD5306DD-C087-6FCA-E0C4-828F3A677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507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3007</xdr:row>
      <xdr:rowOff>0</xdr:rowOff>
    </xdr:from>
    <xdr:to>
      <xdr:col>13</xdr:col>
      <xdr:colOff>0</xdr:colOff>
      <xdr:row>3008</xdr:row>
      <xdr:rowOff>104775</xdr:rowOff>
    </xdr:to>
    <xdr:pic>
      <xdr:nvPicPr>
        <xdr:cNvPr id="3313" name="Imagen 3312" descr="Ver detalle">
          <a:hlinkClick xmlns:r="http://schemas.openxmlformats.org/officeDocument/2006/relationships" r:id="rId3254" tooltip="Ver detalle"/>
          <a:extLst>
            <a:ext uri="{FF2B5EF4-FFF2-40B4-BE49-F238E27FC236}">
              <a16:creationId xmlns:a16="http://schemas.microsoft.com/office/drawing/2014/main" id="{DC742A53-CCA5-BE1A-9700-60A7A95C3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621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3006</xdr:row>
      <xdr:rowOff>0</xdr:rowOff>
    </xdr:from>
    <xdr:to>
      <xdr:col>13</xdr:col>
      <xdr:colOff>0</xdr:colOff>
      <xdr:row>3007</xdr:row>
      <xdr:rowOff>114300</xdr:rowOff>
    </xdr:to>
    <xdr:pic>
      <xdr:nvPicPr>
        <xdr:cNvPr id="3314" name="Imagen 3313" descr="Ver detalle">
          <a:hlinkClick xmlns:r="http://schemas.openxmlformats.org/officeDocument/2006/relationships" r:id="rId3255" tooltip="Ver detalle"/>
          <a:extLst>
            <a:ext uri="{FF2B5EF4-FFF2-40B4-BE49-F238E27FC236}">
              <a16:creationId xmlns:a16="http://schemas.microsoft.com/office/drawing/2014/main" id="{A0047F21-36BC-187C-00D9-23287651A9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735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3005</xdr:row>
      <xdr:rowOff>0</xdr:rowOff>
    </xdr:from>
    <xdr:to>
      <xdr:col>13</xdr:col>
      <xdr:colOff>0</xdr:colOff>
      <xdr:row>3006</xdr:row>
      <xdr:rowOff>114300</xdr:rowOff>
    </xdr:to>
    <xdr:pic>
      <xdr:nvPicPr>
        <xdr:cNvPr id="3315" name="Imagen 3314" descr="Ver detalle">
          <a:hlinkClick xmlns:r="http://schemas.openxmlformats.org/officeDocument/2006/relationships" r:id="rId3256" tooltip="Ver detalle"/>
          <a:extLst>
            <a:ext uri="{FF2B5EF4-FFF2-40B4-BE49-F238E27FC236}">
              <a16:creationId xmlns:a16="http://schemas.microsoft.com/office/drawing/2014/main" id="{DA275CEA-69CA-4816-54E2-B2D716BFE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850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3004</xdr:row>
      <xdr:rowOff>0</xdr:rowOff>
    </xdr:from>
    <xdr:to>
      <xdr:col>13</xdr:col>
      <xdr:colOff>0</xdr:colOff>
      <xdr:row>3005</xdr:row>
      <xdr:rowOff>114300</xdr:rowOff>
    </xdr:to>
    <xdr:pic>
      <xdr:nvPicPr>
        <xdr:cNvPr id="3316" name="Imagen 3315" descr="Ver detalle">
          <a:hlinkClick xmlns:r="http://schemas.openxmlformats.org/officeDocument/2006/relationships" r:id="rId3257" tooltip="Ver detalle"/>
          <a:extLst>
            <a:ext uri="{FF2B5EF4-FFF2-40B4-BE49-F238E27FC236}">
              <a16:creationId xmlns:a16="http://schemas.microsoft.com/office/drawing/2014/main" id="{76032A6D-AF35-7414-67DF-12701BA73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964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2982</xdr:row>
      <xdr:rowOff>0</xdr:rowOff>
    </xdr:from>
    <xdr:to>
      <xdr:col>13</xdr:col>
      <xdr:colOff>0</xdr:colOff>
      <xdr:row>2983</xdr:row>
      <xdr:rowOff>104775</xdr:rowOff>
    </xdr:to>
    <xdr:pic>
      <xdr:nvPicPr>
        <xdr:cNvPr id="3317" name="Imagen 3316" descr="Ver detalle">
          <a:hlinkClick xmlns:r="http://schemas.openxmlformats.org/officeDocument/2006/relationships" r:id="rId3258" tooltip="Ver detalle"/>
          <a:extLst>
            <a:ext uri="{FF2B5EF4-FFF2-40B4-BE49-F238E27FC236}">
              <a16:creationId xmlns:a16="http://schemas.microsoft.com/office/drawing/2014/main" id="{A4D8419A-4127-FFE3-7740-6EE918E1E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078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2979</xdr:row>
      <xdr:rowOff>0</xdr:rowOff>
    </xdr:from>
    <xdr:to>
      <xdr:col>13</xdr:col>
      <xdr:colOff>0</xdr:colOff>
      <xdr:row>2980</xdr:row>
      <xdr:rowOff>114300</xdr:rowOff>
    </xdr:to>
    <xdr:pic>
      <xdr:nvPicPr>
        <xdr:cNvPr id="3318" name="Imagen 3317" descr="Ver detalle">
          <a:hlinkClick xmlns:r="http://schemas.openxmlformats.org/officeDocument/2006/relationships" r:id="rId3259" tooltip="Ver detalle"/>
          <a:extLst>
            <a:ext uri="{FF2B5EF4-FFF2-40B4-BE49-F238E27FC236}">
              <a16:creationId xmlns:a16="http://schemas.microsoft.com/office/drawing/2014/main" id="{EDD4EF85-DE72-14D8-C4D7-EE5C85045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306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2980</xdr:row>
      <xdr:rowOff>0</xdr:rowOff>
    </xdr:from>
    <xdr:to>
      <xdr:col>13</xdr:col>
      <xdr:colOff>0</xdr:colOff>
      <xdr:row>2981</xdr:row>
      <xdr:rowOff>114300</xdr:rowOff>
    </xdr:to>
    <xdr:pic>
      <xdr:nvPicPr>
        <xdr:cNvPr id="3319" name="Imagen 3318" descr="Ver detalle">
          <a:hlinkClick xmlns:r="http://schemas.openxmlformats.org/officeDocument/2006/relationships" r:id="rId3260" tooltip="Ver detalle"/>
          <a:extLst>
            <a:ext uri="{FF2B5EF4-FFF2-40B4-BE49-F238E27FC236}">
              <a16:creationId xmlns:a16="http://schemas.microsoft.com/office/drawing/2014/main" id="{BA13D126-2BC0-8F11-2E15-A43FC97E36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550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3003</xdr:row>
      <xdr:rowOff>0</xdr:rowOff>
    </xdr:from>
    <xdr:to>
      <xdr:col>13</xdr:col>
      <xdr:colOff>0</xdr:colOff>
      <xdr:row>3004</xdr:row>
      <xdr:rowOff>114300</xdr:rowOff>
    </xdr:to>
    <xdr:pic>
      <xdr:nvPicPr>
        <xdr:cNvPr id="3320" name="Imagen 3319" descr="Ver detalle">
          <a:hlinkClick xmlns:r="http://schemas.openxmlformats.org/officeDocument/2006/relationships" r:id="rId3261" tooltip="Ver detalle"/>
          <a:extLst>
            <a:ext uri="{FF2B5EF4-FFF2-40B4-BE49-F238E27FC236}">
              <a16:creationId xmlns:a16="http://schemas.microsoft.com/office/drawing/2014/main" id="{61AB203F-5DD4-F50C-47DA-C64CE8707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794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3002</xdr:row>
      <xdr:rowOff>0</xdr:rowOff>
    </xdr:from>
    <xdr:to>
      <xdr:col>13</xdr:col>
      <xdr:colOff>0</xdr:colOff>
      <xdr:row>3003</xdr:row>
      <xdr:rowOff>114300</xdr:rowOff>
    </xdr:to>
    <xdr:pic>
      <xdr:nvPicPr>
        <xdr:cNvPr id="3321" name="Imagen 3320" descr="Ver detalle">
          <a:hlinkClick xmlns:r="http://schemas.openxmlformats.org/officeDocument/2006/relationships" r:id="rId3262" tooltip="Ver detalle"/>
          <a:extLst>
            <a:ext uri="{FF2B5EF4-FFF2-40B4-BE49-F238E27FC236}">
              <a16:creationId xmlns:a16="http://schemas.microsoft.com/office/drawing/2014/main" id="{B2C74B9A-F5D9-3D7A-9E9D-C29C53016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037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3001</xdr:row>
      <xdr:rowOff>0</xdr:rowOff>
    </xdr:from>
    <xdr:to>
      <xdr:col>13</xdr:col>
      <xdr:colOff>0</xdr:colOff>
      <xdr:row>3002</xdr:row>
      <xdr:rowOff>114300</xdr:rowOff>
    </xdr:to>
    <xdr:pic>
      <xdr:nvPicPr>
        <xdr:cNvPr id="3322" name="Imagen 3321" descr="Ver detalle">
          <a:hlinkClick xmlns:r="http://schemas.openxmlformats.org/officeDocument/2006/relationships" r:id="rId3263" tooltip="Ver detalle"/>
          <a:extLst>
            <a:ext uri="{FF2B5EF4-FFF2-40B4-BE49-F238E27FC236}">
              <a16:creationId xmlns:a16="http://schemas.microsoft.com/office/drawing/2014/main" id="{8EDC64BB-4EC1-B625-5F68-E07F796DF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281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3000</xdr:row>
      <xdr:rowOff>0</xdr:rowOff>
    </xdr:from>
    <xdr:to>
      <xdr:col>13</xdr:col>
      <xdr:colOff>0</xdr:colOff>
      <xdr:row>3001</xdr:row>
      <xdr:rowOff>114300</xdr:rowOff>
    </xdr:to>
    <xdr:pic>
      <xdr:nvPicPr>
        <xdr:cNvPr id="3323" name="Imagen 3322" descr="Ver detalle">
          <a:hlinkClick xmlns:r="http://schemas.openxmlformats.org/officeDocument/2006/relationships" r:id="rId3264" tooltip="Ver detalle"/>
          <a:extLst>
            <a:ext uri="{FF2B5EF4-FFF2-40B4-BE49-F238E27FC236}">
              <a16:creationId xmlns:a16="http://schemas.microsoft.com/office/drawing/2014/main" id="{EE79ABA9-2353-970B-EFC3-FD885D882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525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2977</xdr:row>
      <xdr:rowOff>0</xdr:rowOff>
    </xdr:from>
    <xdr:to>
      <xdr:col>13</xdr:col>
      <xdr:colOff>0</xdr:colOff>
      <xdr:row>2978</xdr:row>
      <xdr:rowOff>114300</xdr:rowOff>
    </xdr:to>
    <xdr:pic>
      <xdr:nvPicPr>
        <xdr:cNvPr id="3324" name="Imagen 3323" descr="Ver detalle">
          <a:hlinkClick xmlns:r="http://schemas.openxmlformats.org/officeDocument/2006/relationships" r:id="rId3265" tooltip="Ver detalle"/>
          <a:extLst>
            <a:ext uri="{FF2B5EF4-FFF2-40B4-BE49-F238E27FC236}">
              <a16:creationId xmlns:a16="http://schemas.microsoft.com/office/drawing/2014/main" id="{302D248A-71B9-A8E2-15B6-023E5274B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639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2976</xdr:row>
      <xdr:rowOff>0</xdr:rowOff>
    </xdr:from>
    <xdr:to>
      <xdr:col>13</xdr:col>
      <xdr:colOff>0</xdr:colOff>
      <xdr:row>2977</xdr:row>
      <xdr:rowOff>114300</xdr:rowOff>
    </xdr:to>
    <xdr:pic>
      <xdr:nvPicPr>
        <xdr:cNvPr id="3325" name="Imagen 3324" descr="Ver detalle">
          <a:hlinkClick xmlns:r="http://schemas.openxmlformats.org/officeDocument/2006/relationships" r:id="rId3266" tooltip="Ver detalle"/>
          <a:extLst>
            <a:ext uri="{FF2B5EF4-FFF2-40B4-BE49-F238E27FC236}">
              <a16:creationId xmlns:a16="http://schemas.microsoft.com/office/drawing/2014/main" id="{DB1B943D-E352-4E28-88EE-A4D30712F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754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2978</xdr:row>
      <xdr:rowOff>0</xdr:rowOff>
    </xdr:from>
    <xdr:to>
      <xdr:col>13</xdr:col>
      <xdr:colOff>0</xdr:colOff>
      <xdr:row>2979</xdr:row>
      <xdr:rowOff>114300</xdr:rowOff>
    </xdr:to>
    <xdr:pic>
      <xdr:nvPicPr>
        <xdr:cNvPr id="3326" name="Imagen 3325" descr="Ver detalle">
          <a:hlinkClick xmlns:r="http://schemas.openxmlformats.org/officeDocument/2006/relationships" r:id="rId3267" tooltip="Ver detalle"/>
          <a:extLst>
            <a:ext uri="{FF2B5EF4-FFF2-40B4-BE49-F238E27FC236}">
              <a16:creationId xmlns:a16="http://schemas.microsoft.com/office/drawing/2014/main" id="{1DFF4CEA-7906-AE5D-64F2-23E9B82F2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997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2999</xdr:row>
      <xdr:rowOff>0</xdr:rowOff>
    </xdr:from>
    <xdr:to>
      <xdr:col>13</xdr:col>
      <xdr:colOff>0</xdr:colOff>
      <xdr:row>3000</xdr:row>
      <xdr:rowOff>114300</xdr:rowOff>
    </xdr:to>
    <xdr:pic>
      <xdr:nvPicPr>
        <xdr:cNvPr id="3327" name="Imagen 3326" descr="Ver detalle">
          <a:hlinkClick xmlns:r="http://schemas.openxmlformats.org/officeDocument/2006/relationships" r:id="rId3268" tooltip="Ver detalle"/>
          <a:extLst>
            <a:ext uri="{FF2B5EF4-FFF2-40B4-BE49-F238E27FC236}">
              <a16:creationId xmlns:a16="http://schemas.microsoft.com/office/drawing/2014/main" id="{EAF499B7-460F-0AB0-B479-BB9BF76F1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112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2998</xdr:row>
      <xdr:rowOff>0</xdr:rowOff>
    </xdr:from>
    <xdr:to>
      <xdr:col>13</xdr:col>
      <xdr:colOff>0</xdr:colOff>
      <xdr:row>2999</xdr:row>
      <xdr:rowOff>114300</xdr:rowOff>
    </xdr:to>
    <xdr:pic>
      <xdr:nvPicPr>
        <xdr:cNvPr id="3328" name="Imagen 3327" descr="Ver detalle">
          <a:hlinkClick xmlns:r="http://schemas.openxmlformats.org/officeDocument/2006/relationships" r:id="rId3269" tooltip="Ver detalle"/>
          <a:extLst>
            <a:ext uri="{FF2B5EF4-FFF2-40B4-BE49-F238E27FC236}">
              <a16:creationId xmlns:a16="http://schemas.microsoft.com/office/drawing/2014/main" id="{AB87381F-78EF-398C-32DC-E243A6647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356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2972</xdr:row>
      <xdr:rowOff>0</xdr:rowOff>
    </xdr:from>
    <xdr:to>
      <xdr:col>13</xdr:col>
      <xdr:colOff>0</xdr:colOff>
      <xdr:row>2973</xdr:row>
      <xdr:rowOff>114300</xdr:rowOff>
    </xdr:to>
    <xdr:pic>
      <xdr:nvPicPr>
        <xdr:cNvPr id="3329" name="Imagen 3328" descr="Ver detalle">
          <a:hlinkClick xmlns:r="http://schemas.openxmlformats.org/officeDocument/2006/relationships" r:id="rId3270" tooltip="Ver detalle"/>
          <a:extLst>
            <a:ext uri="{FF2B5EF4-FFF2-40B4-BE49-F238E27FC236}">
              <a16:creationId xmlns:a16="http://schemas.microsoft.com/office/drawing/2014/main" id="{F8AB031F-EA36-E966-D67B-CADEA63E7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599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2981</xdr:row>
      <xdr:rowOff>0</xdr:rowOff>
    </xdr:from>
    <xdr:to>
      <xdr:col>13</xdr:col>
      <xdr:colOff>0</xdr:colOff>
      <xdr:row>2982</xdr:row>
      <xdr:rowOff>114300</xdr:rowOff>
    </xdr:to>
    <xdr:pic>
      <xdr:nvPicPr>
        <xdr:cNvPr id="3330" name="Imagen 3329" descr="Ver detalle">
          <a:hlinkClick xmlns:r="http://schemas.openxmlformats.org/officeDocument/2006/relationships" r:id="rId3271" tooltip="Ver detalle"/>
          <a:extLst>
            <a:ext uri="{FF2B5EF4-FFF2-40B4-BE49-F238E27FC236}">
              <a16:creationId xmlns:a16="http://schemas.microsoft.com/office/drawing/2014/main" id="{517F834D-AFC3-93ED-7D2E-F031C92E1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843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2975</xdr:row>
      <xdr:rowOff>0</xdr:rowOff>
    </xdr:from>
    <xdr:to>
      <xdr:col>13</xdr:col>
      <xdr:colOff>0</xdr:colOff>
      <xdr:row>2976</xdr:row>
      <xdr:rowOff>114300</xdr:rowOff>
    </xdr:to>
    <xdr:pic>
      <xdr:nvPicPr>
        <xdr:cNvPr id="3331" name="Imagen 3330" descr="Ver detalle">
          <a:hlinkClick xmlns:r="http://schemas.openxmlformats.org/officeDocument/2006/relationships" r:id="rId3272" tooltip="Ver detalle"/>
          <a:extLst>
            <a:ext uri="{FF2B5EF4-FFF2-40B4-BE49-F238E27FC236}">
              <a16:creationId xmlns:a16="http://schemas.microsoft.com/office/drawing/2014/main" id="{29996EC6-E529-0666-F1AB-275ACAC4B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087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2971</xdr:row>
      <xdr:rowOff>0</xdr:rowOff>
    </xdr:from>
    <xdr:to>
      <xdr:col>13</xdr:col>
      <xdr:colOff>0</xdr:colOff>
      <xdr:row>2972</xdr:row>
      <xdr:rowOff>114300</xdr:rowOff>
    </xdr:to>
    <xdr:pic>
      <xdr:nvPicPr>
        <xdr:cNvPr id="3332" name="Imagen 3331" descr="Ver detalle">
          <a:hlinkClick xmlns:r="http://schemas.openxmlformats.org/officeDocument/2006/relationships" r:id="rId3273" tooltip="Ver detalle"/>
          <a:extLst>
            <a:ext uri="{FF2B5EF4-FFF2-40B4-BE49-F238E27FC236}">
              <a16:creationId xmlns:a16="http://schemas.microsoft.com/office/drawing/2014/main" id="{FFF0B0B6-9BC3-F2AD-12A0-13514DE53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575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2973</xdr:row>
      <xdr:rowOff>0</xdr:rowOff>
    </xdr:from>
    <xdr:to>
      <xdr:col>13</xdr:col>
      <xdr:colOff>0</xdr:colOff>
      <xdr:row>2974</xdr:row>
      <xdr:rowOff>114300</xdr:rowOff>
    </xdr:to>
    <xdr:pic>
      <xdr:nvPicPr>
        <xdr:cNvPr id="3333" name="Imagen 3332" descr="Ver detalle">
          <a:hlinkClick xmlns:r="http://schemas.openxmlformats.org/officeDocument/2006/relationships" r:id="rId3274" tooltip="Ver detalle"/>
          <a:extLst>
            <a:ext uri="{FF2B5EF4-FFF2-40B4-BE49-F238E27FC236}">
              <a16:creationId xmlns:a16="http://schemas.microsoft.com/office/drawing/2014/main" id="{EEE23754-DE43-5F7F-7C86-D864BB652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689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2974</xdr:row>
      <xdr:rowOff>0</xdr:rowOff>
    </xdr:from>
    <xdr:to>
      <xdr:col>13</xdr:col>
      <xdr:colOff>0</xdr:colOff>
      <xdr:row>2975</xdr:row>
      <xdr:rowOff>114300</xdr:rowOff>
    </xdr:to>
    <xdr:pic>
      <xdr:nvPicPr>
        <xdr:cNvPr id="3334" name="Imagen 3333" descr="Ver detalle">
          <a:hlinkClick xmlns:r="http://schemas.openxmlformats.org/officeDocument/2006/relationships" r:id="rId3275" tooltip="Ver detalle"/>
          <a:extLst>
            <a:ext uri="{FF2B5EF4-FFF2-40B4-BE49-F238E27FC236}">
              <a16:creationId xmlns:a16="http://schemas.microsoft.com/office/drawing/2014/main" id="{7238475A-5EA3-E77B-EAF5-64F62D94B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933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2966</xdr:row>
      <xdr:rowOff>0</xdr:rowOff>
    </xdr:from>
    <xdr:to>
      <xdr:col>13</xdr:col>
      <xdr:colOff>0</xdr:colOff>
      <xdr:row>2967</xdr:row>
      <xdr:rowOff>114300</xdr:rowOff>
    </xdr:to>
    <xdr:pic>
      <xdr:nvPicPr>
        <xdr:cNvPr id="3335" name="Imagen 3334" descr="Ver detalle">
          <a:hlinkClick xmlns:r="http://schemas.openxmlformats.org/officeDocument/2006/relationships" r:id="rId3276" tooltip="Ver detalle"/>
          <a:extLst>
            <a:ext uri="{FF2B5EF4-FFF2-40B4-BE49-F238E27FC236}">
              <a16:creationId xmlns:a16="http://schemas.microsoft.com/office/drawing/2014/main" id="{7FBCADBE-DEBB-FD92-E18A-423CBF03B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177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2997</xdr:row>
      <xdr:rowOff>0</xdr:rowOff>
    </xdr:from>
    <xdr:to>
      <xdr:col>13</xdr:col>
      <xdr:colOff>0</xdr:colOff>
      <xdr:row>2998</xdr:row>
      <xdr:rowOff>114300</xdr:rowOff>
    </xdr:to>
    <xdr:pic>
      <xdr:nvPicPr>
        <xdr:cNvPr id="3336" name="Imagen 3335" descr="Ver detalle">
          <a:hlinkClick xmlns:r="http://schemas.openxmlformats.org/officeDocument/2006/relationships" r:id="rId3277" tooltip="Ver detalle"/>
          <a:extLst>
            <a:ext uri="{FF2B5EF4-FFF2-40B4-BE49-F238E27FC236}">
              <a16:creationId xmlns:a16="http://schemas.microsoft.com/office/drawing/2014/main" id="{71E8CBFF-B4B9-69BD-19EB-677A2A07F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421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2996</xdr:row>
      <xdr:rowOff>0</xdr:rowOff>
    </xdr:from>
    <xdr:to>
      <xdr:col>13</xdr:col>
      <xdr:colOff>0</xdr:colOff>
      <xdr:row>2997</xdr:row>
      <xdr:rowOff>114300</xdr:rowOff>
    </xdr:to>
    <xdr:pic>
      <xdr:nvPicPr>
        <xdr:cNvPr id="3337" name="Imagen 3336" descr="Ver detalle">
          <a:hlinkClick xmlns:r="http://schemas.openxmlformats.org/officeDocument/2006/relationships" r:id="rId3278" tooltip="Ver detalle"/>
          <a:extLst>
            <a:ext uri="{FF2B5EF4-FFF2-40B4-BE49-F238E27FC236}">
              <a16:creationId xmlns:a16="http://schemas.microsoft.com/office/drawing/2014/main" id="{406D8873-3AF4-EDED-A7A9-243C1A28A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664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2995</xdr:row>
      <xdr:rowOff>0</xdr:rowOff>
    </xdr:from>
    <xdr:to>
      <xdr:col>13</xdr:col>
      <xdr:colOff>0</xdr:colOff>
      <xdr:row>2996</xdr:row>
      <xdr:rowOff>114300</xdr:rowOff>
    </xdr:to>
    <xdr:pic>
      <xdr:nvPicPr>
        <xdr:cNvPr id="3338" name="Imagen 3337" descr="Ver detalle">
          <a:hlinkClick xmlns:r="http://schemas.openxmlformats.org/officeDocument/2006/relationships" r:id="rId3279" tooltip="Ver detalle"/>
          <a:extLst>
            <a:ext uri="{FF2B5EF4-FFF2-40B4-BE49-F238E27FC236}">
              <a16:creationId xmlns:a16="http://schemas.microsoft.com/office/drawing/2014/main" id="{A99FE48D-D504-6A9C-5685-30C7F8A15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908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2994</xdr:row>
      <xdr:rowOff>0</xdr:rowOff>
    </xdr:from>
    <xdr:to>
      <xdr:col>13</xdr:col>
      <xdr:colOff>0</xdr:colOff>
      <xdr:row>2995</xdr:row>
      <xdr:rowOff>114300</xdr:rowOff>
    </xdr:to>
    <xdr:pic>
      <xdr:nvPicPr>
        <xdr:cNvPr id="3339" name="Imagen 3338" descr="Ver detalle">
          <a:hlinkClick xmlns:r="http://schemas.openxmlformats.org/officeDocument/2006/relationships" r:id="rId3280" tooltip="Ver detalle"/>
          <a:extLst>
            <a:ext uri="{FF2B5EF4-FFF2-40B4-BE49-F238E27FC236}">
              <a16:creationId xmlns:a16="http://schemas.microsoft.com/office/drawing/2014/main" id="{F9BB7771-5DF9-20D5-738B-78DBD0391C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152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2993</xdr:row>
      <xdr:rowOff>0</xdr:rowOff>
    </xdr:from>
    <xdr:to>
      <xdr:col>13</xdr:col>
      <xdr:colOff>0</xdr:colOff>
      <xdr:row>2994</xdr:row>
      <xdr:rowOff>114300</xdr:rowOff>
    </xdr:to>
    <xdr:pic>
      <xdr:nvPicPr>
        <xdr:cNvPr id="3340" name="Imagen 3339" descr="Ver detalle">
          <a:hlinkClick xmlns:r="http://schemas.openxmlformats.org/officeDocument/2006/relationships" r:id="rId3281" tooltip="Ver detalle"/>
          <a:extLst>
            <a:ext uri="{FF2B5EF4-FFF2-40B4-BE49-F238E27FC236}">
              <a16:creationId xmlns:a16="http://schemas.microsoft.com/office/drawing/2014/main" id="{3495D85E-DB04-EA5D-CD42-33979CC93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396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2992</xdr:row>
      <xdr:rowOff>0</xdr:rowOff>
    </xdr:from>
    <xdr:to>
      <xdr:col>13</xdr:col>
      <xdr:colOff>0</xdr:colOff>
      <xdr:row>2993</xdr:row>
      <xdr:rowOff>114300</xdr:rowOff>
    </xdr:to>
    <xdr:pic>
      <xdr:nvPicPr>
        <xdr:cNvPr id="3341" name="Imagen 3340" descr="Ver detalle">
          <a:hlinkClick xmlns:r="http://schemas.openxmlformats.org/officeDocument/2006/relationships" r:id="rId3282" tooltip="Ver detalle"/>
          <a:extLst>
            <a:ext uri="{FF2B5EF4-FFF2-40B4-BE49-F238E27FC236}">
              <a16:creationId xmlns:a16="http://schemas.microsoft.com/office/drawing/2014/main" id="{75B3B52B-1603-FD4E-9018-7BE378F6D8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640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2991</xdr:row>
      <xdr:rowOff>0</xdr:rowOff>
    </xdr:from>
    <xdr:to>
      <xdr:col>13</xdr:col>
      <xdr:colOff>0</xdr:colOff>
      <xdr:row>2992</xdr:row>
      <xdr:rowOff>114300</xdr:rowOff>
    </xdr:to>
    <xdr:pic>
      <xdr:nvPicPr>
        <xdr:cNvPr id="3342" name="Imagen 3341" descr="Ver detalle">
          <a:hlinkClick xmlns:r="http://schemas.openxmlformats.org/officeDocument/2006/relationships" r:id="rId3283" tooltip="Ver detalle"/>
          <a:extLst>
            <a:ext uri="{FF2B5EF4-FFF2-40B4-BE49-F238E27FC236}">
              <a16:creationId xmlns:a16="http://schemas.microsoft.com/office/drawing/2014/main" id="{C4460BD6-3A65-1696-9F81-329F43B09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884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2990</xdr:row>
      <xdr:rowOff>0</xdr:rowOff>
    </xdr:from>
    <xdr:to>
      <xdr:col>13</xdr:col>
      <xdr:colOff>0</xdr:colOff>
      <xdr:row>2991</xdr:row>
      <xdr:rowOff>114300</xdr:rowOff>
    </xdr:to>
    <xdr:pic>
      <xdr:nvPicPr>
        <xdr:cNvPr id="3343" name="Imagen 3342" descr="Ver detalle">
          <a:hlinkClick xmlns:r="http://schemas.openxmlformats.org/officeDocument/2006/relationships" r:id="rId3284" tooltip="Ver detalle"/>
          <a:extLst>
            <a:ext uri="{FF2B5EF4-FFF2-40B4-BE49-F238E27FC236}">
              <a16:creationId xmlns:a16="http://schemas.microsoft.com/office/drawing/2014/main" id="{3843DD39-F189-B9C2-8F8B-B56515AFB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12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2989</xdr:row>
      <xdr:rowOff>0</xdr:rowOff>
    </xdr:from>
    <xdr:to>
      <xdr:col>13</xdr:col>
      <xdr:colOff>0</xdr:colOff>
      <xdr:row>2990</xdr:row>
      <xdr:rowOff>114300</xdr:rowOff>
    </xdr:to>
    <xdr:pic>
      <xdr:nvPicPr>
        <xdr:cNvPr id="3344" name="Imagen 3343" descr="Ver detalle">
          <a:hlinkClick xmlns:r="http://schemas.openxmlformats.org/officeDocument/2006/relationships" r:id="rId3285" tooltip="Ver detalle"/>
          <a:extLst>
            <a:ext uri="{FF2B5EF4-FFF2-40B4-BE49-F238E27FC236}">
              <a16:creationId xmlns:a16="http://schemas.microsoft.com/office/drawing/2014/main" id="{3E4D20A0-DFA6-821F-E077-2A0F35727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371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2988</xdr:row>
      <xdr:rowOff>0</xdr:rowOff>
    </xdr:from>
    <xdr:to>
      <xdr:col>13</xdr:col>
      <xdr:colOff>0</xdr:colOff>
      <xdr:row>2989</xdr:row>
      <xdr:rowOff>114300</xdr:rowOff>
    </xdr:to>
    <xdr:pic>
      <xdr:nvPicPr>
        <xdr:cNvPr id="3345" name="Imagen 3344" descr="Ver detalle">
          <a:hlinkClick xmlns:r="http://schemas.openxmlformats.org/officeDocument/2006/relationships" r:id="rId3286" tooltip="Ver detalle"/>
          <a:extLst>
            <a:ext uri="{FF2B5EF4-FFF2-40B4-BE49-F238E27FC236}">
              <a16:creationId xmlns:a16="http://schemas.microsoft.com/office/drawing/2014/main" id="{53B2F595-FE77-CFB7-11A4-488DC81BE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615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2987</xdr:row>
      <xdr:rowOff>0</xdr:rowOff>
    </xdr:from>
    <xdr:to>
      <xdr:col>13</xdr:col>
      <xdr:colOff>0</xdr:colOff>
      <xdr:row>2988</xdr:row>
      <xdr:rowOff>114300</xdr:rowOff>
    </xdr:to>
    <xdr:pic>
      <xdr:nvPicPr>
        <xdr:cNvPr id="3346" name="Imagen 3345" descr="Ver detalle">
          <a:hlinkClick xmlns:r="http://schemas.openxmlformats.org/officeDocument/2006/relationships" r:id="rId3287" tooltip="Ver detalle"/>
          <a:extLst>
            <a:ext uri="{FF2B5EF4-FFF2-40B4-BE49-F238E27FC236}">
              <a16:creationId xmlns:a16="http://schemas.microsoft.com/office/drawing/2014/main" id="{611EAFCC-370C-7943-1A7D-C80A34664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859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2986</xdr:row>
      <xdr:rowOff>0</xdr:rowOff>
    </xdr:from>
    <xdr:to>
      <xdr:col>13</xdr:col>
      <xdr:colOff>0</xdr:colOff>
      <xdr:row>2987</xdr:row>
      <xdr:rowOff>114300</xdr:rowOff>
    </xdr:to>
    <xdr:pic>
      <xdr:nvPicPr>
        <xdr:cNvPr id="3347" name="Imagen 3346" descr="Ver detalle">
          <a:hlinkClick xmlns:r="http://schemas.openxmlformats.org/officeDocument/2006/relationships" r:id="rId3288" tooltip="Ver detalle"/>
          <a:extLst>
            <a:ext uri="{FF2B5EF4-FFF2-40B4-BE49-F238E27FC236}">
              <a16:creationId xmlns:a16="http://schemas.microsoft.com/office/drawing/2014/main" id="{A58A0048-9C57-02CE-7556-DB748D48C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103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2968</xdr:row>
      <xdr:rowOff>0</xdr:rowOff>
    </xdr:from>
    <xdr:to>
      <xdr:col>13</xdr:col>
      <xdr:colOff>0</xdr:colOff>
      <xdr:row>2969</xdr:row>
      <xdr:rowOff>114300</xdr:rowOff>
    </xdr:to>
    <xdr:pic>
      <xdr:nvPicPr>
        <xdr:cNvPr id="3348" name="Imagen 3347" descr="Ver detalle">
          <a:hlinkClick xmlns:r="http://schemas.openxmlformats.org/officeDocument/2006/relationships" r:id="rId3289" tooltip="Ver detalle"/>
          <a:extLst>
            <a:ext uri="{FF2B5EF4-FFF2-40B4-BE49-F238E27FC236}">
              <a16:creationId xmlns:a16="http://schemas.microsoft.com/office/drawing/2014/main" id="{F5FADBBB-80DD-D1E5-6651-5DF289CD3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347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2970</xdr:row>
      <xdr:rowOff>0</xdr:rowOff>
    </xdr:from>
    <xdr:to>
      <xdr:col>13</xdr:col>
      <xdr:colOff>0</xdr:colOff>
      <xdr:row>2971</xdr:row>
      <xdr:rowOff>114300</xdr:rowOff>
    </xdr:to>
    <xdr:pic>
      <xdr:nvPicPr>
        <xdr:cNvPr id="3349" name="Imagen 3348" descr="Ver detalle">
          <a:hlinkClick xmlns:r="http://schemas.openxmlformats.org/officeDocument/2006/relationships" r:id="rId3290" tooltip="Ver detalle"/>
          <a:extLst>
            <a:ext uri="{FF2B5EF4-FFF2-40B4-BE49-F238E27FC236}">
              <a16:creationId xmlns:a16="http://schemas.microsoft.com/office/drawing/2014/main" id="{A566445B-927A-0739-CA61-3D052233E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591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2967</xdr:row>
      <xdr:rowOff>0</xdr:rowOff>
    </xdr:from>
    <xdr:to>
      <xdr:col>13</xdr:col>
      <xdr:colOff>0</xdr:colOff>
      <xdr:row>2968</xdr:row>
      <xdr:rowOff>114300</xdr:rowOff>
    </xdr:to>
    <xdr:pic>
      <xdr:nvPicPr>
        <xdr:cNvPr id="3350" name="Imagen 3349" descr="Ver detalle">
          <a:hlinkClick xmlns:r="http://schemas.openxmlformats.org/officeDocument/2006/relationships" r:id="rId3291" tooltip="Ver detalle"/>
          <a:extLst>
            <a:ext uri="{FF2B5EF4-FFF2-40B4-BE49-F238E27FC236}">
              <a16:creationId xmlns:a16="http://schemas.microsoft.com/office/drawing/2014/main" id="{5B372C39-311E-C818-6A7D-3DB9090E2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705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2965</xdr:row>
      <xdr:rowOff>0</xdr:rowOff>
    </xdr:from>
    <xdr:to>
      <xdr:col>13</xdr:col>
      <xdr:colOff>0</xdr:colOff>
      <xdr:row>2966</xdr:row>
      <xdr:rowOff>114300</xdr:rowOff>
    </xdr:to>
    <xdr:pic>
      <xdr:nvPicPr>
        <xdr:cNvPr id="3351" name="Imagen 3350" descr="Ver detalle">
          <a:hlinkClick xmlns:r="http://schemas.openxmlformats.org/officeDocument/2006/relationships" r:id="rId3292" tooltip="Ver detalle"/>
          <a:extLst>
            <a:ext uri="{FF2B5EF4-FFF2-40B4-BE49-F238E27FC236}">
              <a16:creationId xmlns:a16="http://schemas.microsoft.com/office/drawing/2014/main" id="{8A2B5528-C721-3CDA-FC47-A5A61786A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949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2963</xdr:row>
      <xdr:rowOff>0</xdr:rowOff>
    </xdr:from>
    <xdr:to>
      <xdr:col>13</xdr:col>
      <xdr:colOff>0</xdr:colOff>
      <xdr:row>2964</xdr:row>
      <xdr:rowOff>114300</xdr:rowOff>
    </xdr:to>
    <xdr:pic>
      <xdr:nvPicPr>
        <xdr:cNvPr id="3352" name="Imagen 3351" descr="Ver detalle">
          <a:hlinkClick xmlns:r="http://schemas.openxmlformats.org/officeDocument/2006/relationships" r:id="rId3293" tooltip="Ver detalle"/>
          <a:extLst>
            <a:ext uri="{FF2B5EF4-FFF2-40B4-BE49-F238E27FC236}">
              <a16:creationId xmlns:a16="http://schemas.microsoft.com/office/drawing/2014/main" id="{2EF747A9-F1D0-84F5-985E-7E2E728CB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193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2964</xdr:row>
      <xdr:rowOff>0</xdr:rowOff>
    </xdr:from>
    <xdr:to>
      <xdr:col>13</xdr:col>
      <xdr:colOff>0</xdr:colOff>
      <xdr:row>2965</xdr:row>
      <xdr:rowOff>114300</xdr:rowOff>
    </xdr:to>
    <xdr:pic>
      <xdr:nvPicPr>
        <xdr:cNvPr id="3353" name="Imagen 3352" descr="Ver detalle">
          <a:hlinkClick xmlns:r="http://schemas.openxmlformats.org/officeDocument/2006/relationships" r:id="rId3294" tooltip="Ver detalle"/>
          <a:extLst>
            <a:ext uri="{FF2B5EF4-FFF2-40B4-BE49-F238E27FC236}">
              <a16:creationId xmlns:a16="http://schemas.microsoft.com/office/drawing/2014/main" id="{3434DA51-8D87-E7EE-7171-F39BCD829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436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2959</xdr:row>
      <xdr:rowOff>0</xdr:rowOff>
    </xdr:from>
    <xdr:to>
      <xdr:col>13</xdr:col>
      <xdr:colOff>0</xdr:colOff>
      <xdr:row>2960</xdr:row>
      <xdr:rowOff>114300</xdr:rowOff>
    </xdr:to>
    <xdr:pic>
      <xdr:nvPicPr>
        <xdr:cNvPr id="3354" name="Imagen 3353" descr="Ver detalle">
          <a:hlinkClick xmlns:r="http://schemas.openxmlformats.org/officeDocument/2006/relationships" r:id="rId3295" tooltip="Ver detalle"/>
          <a:extLst>
            <a:ext uri="{FF2B5EF4-FFF2-40B4-BE49-F238E27FC236}">
              <a16:creationId xmlns:a16="http://schemas.microsoft.com/office/drawing/2014/main" id="{E4022CF0-217A-5D69-5768-48E0F1E14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680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2960</xdr:row>
      <xdr:rowOff>0</xdr:rowOff>
    </xdr:from>
    <xdr:to>
      <xdr:col>13</xdr:col>
      <xdr:colOff>0</xdr:colOff>
      <xdr:row>2961</xdr:row>
      <xdr:rowOff>114300</xdr:rowOff>
    </xdr:to>
    <xdr:pic>
      <xdr:nvPicPr>
        <xdr:cNvPr id="3355" name="Imagen 3354" descr="Ver detalle">
          <a:hlinkClick xmlns:r="http://schemas.openxmlformats.org/officeDocument/2006/relationships" r:id="rId3296" tooltip="Ver detalle"/>
          <a:extLst>
            <a:ext uri="{FF2B5EF4-FFF2-40B4-BE49-F238E27FC236}">
              <a16:creationId xmlns:a16="http://schemas.microsoft.com/office/drawing/2014/main" id="{6D72D144-7E93-DF72-05B8-C1463F0C5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924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3083</xdr:row>
      <xdr:rowOff>0</xdr:rowOff>
    </xdr:from>
    <xdr:to>
      <xdr:col>13</xdr:col>
      <xdr:colOff>0</xdr:colOff>
      <xdr:row>3084</xdr:row>
      <xdr:rowOff>114300</xdr:rowOff>
    </xdr:to>
    <xdr:pic>
      <xdr:nvPicPr>
        <xdr:cNvPr id="3356" name="Imagen 3355" descr="Ver detalle">
          <a:hlinkClick xmlns:r="http://schemas.openxmlformats.org/officeDocument/2006/relationships" r:id="rId3297" tooltip="Ver detalle"/>
          <a:extLst>
            <a:ext uri="{FF2B5EF4-FFF2-40B4-BE49-F238E27FC236}">
              <a16:creationId xmlns:a16="http://schemas.microsoft.com/office/drawing/2014/main" id="{26AAF408-6C56-DB52-338A-CCC1C934B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248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3084</xdr:row>
      <xdr:rowOff>0</xdr:rowOff>
    </xdr:from>
    <xdr:to>
      <xdr:col>13</xdr:col>
      <xdr:colOff>0</xdr:colOff>
      <xdr:row>3085</xdr:row>
      <xdr:rowOff>114300</xdr:rowOff>
    </xdr:to>
    <xdr:pic>
      <xdr:nvPicPr>
        <xdr:cNvPr id="3357" name="Imagen 3356" descr="Ver detalle">
          <a:hlinkClick xmlns:r="http://schemas.openxmlformats.org/officeDocument/2006/relationships" r:id="rId3298" tooltip="Ver detalle"/>
          <a:extLst>
            <a:ext uri="{FF2B5EF4-FFF2-40B4-BE49-F238E27FC236}">
              <a16:creationId xmlns:a16="http://schemas.microsoft.com/office/drawing/2014/main" id="{134008C4-CC25-084D-EE42-BFD0B0198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362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3085</xdr:row>
      <xdr:rowOff>0</xdr:rowOff>
    </xdr:from>
    <xdr:to>
      <xdr:col>13</xdr:col>
      <xdr:colOff>0</xdr:colOff>
      <xdr:row>3086</xdr:row>
      <xdr:rowOff>114300</xdr:rowOff>
    </xdr:to>
    <xdr:pic>
      <xdr:nvPicPr>
        <xdr:cNvPr id="3358" name="Imagen 3357" descr="Ver detalle">
          <a:hlinkClick xmlns:r="http://schemas.openxmlformats.org/officeDocument/2006/relationships" r:id="rId3299" tooltip="Ver detalle"/>
          <a:extLst>
            <a:ext uri="{FF2B5EF4-FFF2-40B4-BE49-F238E27FC236}">
              <a16:creationId xmlns:a16="http://schemas.microsoft.com/office/drawing/2014/main" id="{43997666-C221-7C1E-C998-A860E9434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606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3086</xdr:row>
      <xdr:rowOff>0</xdr:rowOff>
    </xdr:from>
    <xdr:to>
      <xdr:col>13</xdr:col>
      <xdr:colOff>0</xdr:colOff>
      <xdr:row>3087</xdr:row>
      <xdr:rowOff>104775</xdr:rowOff>
    </xdr:to>
    <xdr:pic>
      <xdr:nvPicPr>
        <xdr:cNvPr id="3359" name="Imagen 3358" descr="Ver detalle">
          <a:hlinkClick xmlns:r="http://schemas.openxmlformats.org/officeDocument/2006/relationships" r:id="rId3300" tooltip="Ver detalle"/>
          <a:extLst>
            <a:ext uri="{FF2B5EF4-FFF2-40B4-BE49-F238E27FC236}">
              <a16:creationId xmlns:a16="http://schemas.microsoft.com/office/drawing/2014/main" id="{1ABA5AD3-71A4-5ABA-D45B-D5C8B9324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850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3080</xdr:row>
      <xdr:rowOff>0</xdr:rowOff>
    </xdr:from>
    <xdr:to>
      <xdr:col>13</xdr:col>
      <xdr:colOff>0</xdr:colOff>
      <xdr:row>3081</xdr:row>
      <xdr:rowOff>114300</xdr:rowOff>
    </xdr:to>
    <xdr:pic>
      <xdr:nvPicPr>
        <xdr:cNvPr id="3360" name="Imagen 3359" descr="Ver detalle">
          <a:hlinkClick xmlns:r="http://schemas.openxmlformats.org/officeDocument/2006/relationships" r:id="rId3301" tooltip="Ver detalle"/>
          <a:extLst>
            <a:ext uri="{FF2B5EF4-FFF2-40B4-BE49-F238E27FC236}">
              <a16:creationId xmlns:a16="http://schemas.microsoft.com/office/drawing/2014/main" id="{CFC6C3A4-7A95-788D-9775-ACFEEAC99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094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3128</xdr:row>
      <xdr:rowOff>0</xdr:rowOff>
    </xdr:from>
    <xdr:to>
      <xdr:col>13</xdr:col>
      <xdr:colOff>0</xdr:colOff>
      <xdr:row>3129</xdr:row>
      <xdr:rowOff>114300</xdr:rowOff>
    </xdr:to>
    <xdr:pic>
      <xdr:nvPicPr>
        <xdr:cNvPr id="3361" name="Imagen 3360" descr="Ver detalle">
          <a:hlinkClick xmlns:r="http://schemas.openxmlformats.org/officeDocument/2006/relationships" r:id="rId3302" tooltip="Ver detalle"/>
          <a:extLst>
            <a:ext uri="{FF2B5EF4-FFF2-40B4-BE49-F238E27FC236}">
              <a16:creationId xmlns:a16="http://schemas.microsoft.com/office/drawing/2014/main" id="{3258292A-AB35-569C-37AE-312575A42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337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3081</xdr:row>
      <xdr:rowOff>0</xdr:rowOff>
    </xdr:from>
    <xdr:to>
      <xdr:col>13</xdr:col>
      <xdr:colOff>0</xdr:colOff>
      <xdr:row>3082</xdr:row>
      <xdr:rowOff>114300</xdr:rowOff>
    </xdr:to>
    <xdr:pic>
      <xdr:nvPicPr>
        <xdr:cNvPr id="3362" name="Imagen 3361" descr="Ver detalle">
          <a:hlinkClick xmlns:r="http://schemas.openxmlformats.org/officeDocument/2006/relationships" r:id="rId3303" tooltip="Ver detalle"/>
          <a:extLst>
            <a:ext uri="{FF2B5EF4-FFF2-40B4-BE49-F238E27FC236}">
              <a16:creationId xmlns:a16="http://schemas.microsoft.com/office/drawing/2014/main" id="{FCB7621F-C4F2-3E1D-B71F-F0459095E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581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3120</xdr:row>
      <xdr:rowOff>0</xdr:rowOff>
    </xdr:from>
    <xdr:to>
      <xdr:col>13</xdr:col>
      <xdr:colOff>0</xdr:colOff>
      <xdr:row>3121</xdr:row>
      <xdr:rowOff>114300</xdr:rowOff>
    </xdr:to>
    <xdr:pic>
      <xdr:nvPicPr>
        <xdr:cNvPr id="3363" name="Imagen 3362" descr="Ver detalle">
          <a:hlinkClick xmlns:r="http://schemas.openxmlformats.org/officeDocument/2006/relationships" r:id="rId3304" tooltip="Ver detalle"/>
          <a:extLst>
            <a:ext uri="{FF2B5EF4-FFF2-40B4-BE49-F238E27FC236}">
              <a16:creationId xmlns:a16="http://schemas.microsoft.com/office/drawing/2014/main" id="{4C13B4B6-D154-3C8C-C768-5AFD00F24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825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3130</xdr:row>
      <xdr:rowOff>0</xdr:rowOff>
    </xdr:from>
    <xdr:to>
      <xdr:col>13</xdr:col>
      <xdr:colOff>0</xdr:colOff>
      <xdr:row>3131</xdr:row>
      <xdr:rowOff>114300</xdr:rowOff>
    </xdr:to>
    <xdr:pic>
      <xdr:nvPicPr>
        <xdr:cNvPr id="3364" name="Imagen 3363" descr="Ver detalle">
          <a:hlinkClick xmlns:r="http://schemas.openxmlformats.org/officeDocument/2006/relationships" r:id="rId3305" tooltip="Ver detalle"/>
          <a:extLst>
            <a:ext uri="{FF2B5EF4-FFF2-40B4-BE49-F238E27FC236}">
              <a16:creationId xmlns:a16="http://schemas.microsoft.com/office/drawing/2014/main" id="{D4FB7C2C-D0AD-8828-754E-8D9055E37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069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3131</xdr:row>
      <xdr:rowOff>0</xdr:rowOff>
    </xdr:from>
    <xdr:to>
      <xdr:col>13</xdr:col>
      <xdr:colOff>0</xdr:colOff>
      <xdr:row>3132</xdr:row>
      <xdr:rowOff>114300</xdr:rowOff>
    </xdr:to>
    <xdr:pic>
      <xdr:nvPicPr>
        <xdr:cNvPr id="3365" name="Imagen 3364" descr="Ver detalle">
          <a:hlinkClick xmlns:r="http://schemas.openxmlformats.org/officeDocument/2006/relationships" r:id="rId3306" tooltip="Ver detalle"/>
          <a:extLst>
            <a:ext uri="{FF2B5EF4-FFF2-40B4-BE49-F238E27FC236}">
              <a16:creationId xmlns:a16="http://schemas.microsoft.com/office/drawing/2014/main" id="{D8E02705-058B-A1BA-DD0C-C60024D4A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232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3132</xdr:row>
      <xdr:rowOff>0</xdr:rowOff>
    </xdr:from>
    <xdr:to>
      <xdr:col>13</xdr:col>
      <xdr:colOff>0</xdr:colOff>
      <xdr:row>3133</xdr:row>
      <xdr:rowOff>114300</xdr:rowOff>
    </xdr:to>
    <xdr:pic>
      <xdr:nvPicPr>
        <xdr:cNvPr id="3366" name="Imagen 3365" descr="Ver detalle">
          <a:hlinkClick xmlns:r="http://schemas.openxmlformats.org/officeDocument/2006/relationships" r:id="rId3307" tooltip="Ver detalle"/>
          <a:extLst>
            <a:ext uri="{FF2B5EF4-FFF2-40B4-BE49-F238E27FC236}">
              <a16:creationId xmlns:a16="http://schemas.microsoft.com/office/drawing/2014/main" id="{BB960AFE-46EF-D7B2-C20E-01D7A1F69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395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3129</xdr:row>
      <xdr:rowOff>0</xdr:rowOff>
    </xdr:from>
    <xdr:to>
      <xdr:col>13</xdr:col>
      <xdr:colOff>0</xdr:colOff>
      <xdr:row>3130</xdr:row>
      <xdr:rowOff>114300</xdr:rowOff>
    </xdr:to>
    <xdr:pic>
      <xdr:nvPicPr>
        <xdr:cNvPr id="3367" name="Imagen 3366" descr="Ver detalle">
          <a:hlinkClick xmlns:r="http://schemas.openxmlformats.org/officeDocument/2006/relationships" r:id="rId3308" tooltip="Ver detalle"/>
          <a:extLst>
            <a:ext uri="{FF2B5EF4-FFF2-40B4-BE49-F238E27FC236}">
              <a16:creationId xmlns:a16="http://schemas.microsoft.com/office/drawing/2014/main" id="{72C75C28-A432-35B9-8310-172B1B965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639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3133</xdr:row>
      <xdr:rowOff>0</xdr:rowOff>
    </xdr:from>
    <xdr:to>
      <xdr:col>13</xdr:col>
      <xdr:colOff>0</xdr:colOff>
      <xdr:row>3134</xdr:row>
      <xdr:rowOff>114300</xdr:rowOff>
    </xdr:to>
    <xdr:pic>
      <xdr:nvPicPr>
        <xdr:cNvPr id="3368" name="Imagen 3367" descr="Ver detalle">
          <a:hlinkClick xmlns:r="http://schemas.openxmlformats.org/officeDocument/2006/relationships" r:id="rId3309" tooltip="Ver detalle"/>
          <a:extLst>
            <a:ext uri="{FF2B5EF4-FFF2-40B4-BE49-F238E27FC236}">
              <a16:creationId xmlns:a16="http://schemas.microsoft.com/office/drawing/2014/main" id="{3B952CBA-0E49-AAE1-A3E8-562221148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882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3134</xdr:row>
      <xdr:rowOff>0</xdr:rowOff>
    </xdr:from>
    <xdr:to>
      <xdr:col>13</xdr:col>
      <xdr:colOff>0</xdr:colOff>
      <xdr:row>3135</xdr:row>
      <xdr:rowOff>114300</xdr:rowOff>
    </xdr:to>
    <xdr:pic>
      <xdr:nvPicPr>
        <xdr:cNvPr id="3369" name="Imagen 3368" descr="Ver detalle">
          <a:hlinkClick xmlns:r="http://schemas.openxmlformats.org/officeDocument/2006/relationships" r:id="rId3310" tooltip="Ver detalle"/>
          <a:extLst>
            <a:ext uri="{FF2B5EF4-FFF2-40B4-BE49-F238E27FC236}">
              <a16:creationId xmlns:a16="http://schemas.microsoft.com/office/drawing/2014/main" id="{298FB2AE-8EB9-720A-368C-547F81478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126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3121</xdr:row>
      <xdr:rowOff>0</xdr:rowOff>
    </xdr:from>
    <xdr:to>
      <xdr:col>13</xdr:col>
      <xdr:colOff>0</xdr:colOff>
      <xdr:row>3122</xdr:row>
      <xdr:rowOff>114300</xdr:rowOff>
    </xdr:to>
    <xdr:pic>
      <xdr:nvPicPr>
        <xdr:cNvPr id="3370" name="Imagen 3369" descr="Ver detalle">
          <a:hlinkClick xmlns:r="http://schemas.openxmlformats.org/officeDocument/2006/relationships" r:id="rId3311" tooltip="Ver detalle"/>
          <a:extLst>
            <a:ext uri="{FF2B5EF4-FFF2-40B4-BE49-F238E27FC236}">
              <a16:creationId xmlns:a16="http://schemas.microsoft.com/office/drawing/2014/main" id="{7670FCC9-2F89-1F90-A8EC-A01BF3BA0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370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3135</xdr:row>
      <xdr:rowOff>0</xdr:rowOff>
    </xdr:from>
    <xdr:to>
      <xdr:col>13</xdr:col>
      <xdr:colOff>0</xdr:colOff>
      <xdr:row>3136</xdr:row>
      <xdr:rowOff>114300</xdr:rowOff>
    </xdr:to>
    <xdr:pic>
      <xdr:nvPicPr>
        <xdr:cNvPr id="3371" name="Imagen 3370" descr="Ver detalle">
          <a:hlinkClick xmlns:r="http://schemas.openxmlformats.org/officeDocument/2006/relationships" r:id="rId3312" tooltip="Ver detalle"/>
          <a:extLst>
            <a:ext uri="{FF2B5EF4-FFF2-40B4-BE49-F238E27FC236}">
              <a16:creationId xmlns:a16="http://schemas.microsoft.com/office/drawing/2014/main" id="{1C5C2671-83F8-52DB-8D22-3B49D2789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61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3136</xdr:row>
      <xdr:rowOff>0</xdr:rowOff>
    </xdr:from>
    <xdr:to>
      <xdr:col>13</xdr:col>
      <xdr:colOff>0</xdr:colOff>
      <xdr:row>3137</xdr:row>
      <xdr:rowOff>114300</xdr:rowOff>
    </xdr:to>
    <xdr:pic>
      <xdr:nvPicPr>
        <xdr:cNvPr id="3372" name="Imagen 3371" descr="Ver detalle">
          <a:hlinkClick xmlns:r="http://schemas.openxmlformats.org/officeDocument/2006/relationships" r:id="rId3313" tooltip="Ver detalle"/>
          <a:extLst>
            <a:ext uri="{FF2B5EF4-FFF2-40B4-BE49-F238E27FC236}">
              <a16:creationId xmlns:a16="http://schemas.microsoft.com/office/drawing/2014/main" id="{56D7CB26-8F07-3994-6695-E2E9278C0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858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3137</xdr:row>
      <xdr:rowOff>0</xdr:rowOff>
    </xdr:from>
    <xdr:to>
      <xdr:col>13</xdr:col>
      <xdr:colOff>0</xdr:colOff>
      <xdr:row>3138</xdr:row>
      <xdr:rowOff>114300</xdr:rowOff>
    </xdr:to>
    <xdr:pic>
      <xdr:nvPicPr>
        <xdr:cNvPr id="3373" name="Imagen 3372" descr="Ver detalle">
          <a:hlinkClick xmlns:r="http://schemas.openxmlformats.org/officeDocument/2006/relationships" r:id="rId3314" tooltip="Ver detalle"/>
          <a:extLst>
            <a:ext uri="{FF2B5EF4-FFF2-40B4-BE49-F238E27FC236}">
              <a16:creationId xmlns:a16="http://schemas.microsoft.com/office/drawing/2014/main" id="{6C173AA0-B193-0674-97B2-18357800C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102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3138</xdr:row>
      <xdr:rowOff>0</xdr:rowOff>
    </xdr:from>
    <xdr:to>
      <xdr:col>13</xdr:col>
      <xdr:colOff>0</xdr:colOff>
      <xdr:row>3139</xdr:row>
      <xdr:rowOff>114300</xdr:rowOff>
    </xdr:to>
    <xdr:pic>
      <xdr:nvPicPr>
        <xdr:cNvPr id="3374" name="Imagen 3373" descr="Ver detalle">
          <a:hlinkClick xmlns:r="http://schemas.openxmlformats.org/officeDocument/2006/relationships" r:id="rId3315" tooltip="Ver detalle"/>
          <a:extLst>
            <a:ext uri="{FF2B5EF4-FFF2-40B4-BE49-F238E27FC236}">
              <a16:creationId xmlns:a16="http://schemas.microsoft.com/office/drawing/2014/main" id="{60465BC4-4D1F-6F3D-5C80-7E3B5DD07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345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3139</xdr:row>
      <xdr:rowOff>0</xdr:rowOff>
    </xdr:from>
    <xdr:to>
      <xdr:col>13</xdr:col>
      <xdr:colOff>0</xdr:colOff>
      <xdr:row>3140</xdr:row>
      <xdr:rowOff>114300</xdr:rowOff>
    </xdr:to>
    <xdr:pic>
      <xdr:nvPicPr>
        <xdr:cNvPr id="3375" name="Imagen 3374" descr="Ver detalle">
          <a:hlinkClick xmlns:r="http://schemas.openxmlformats.org/officeDocument/2006/relationships" r:id="rId3316" tooltip="Ver detalle"/>
          <a:extLst>
            <a:ext uri="{FF2B5EF4-FFF2-40B4-BE49-F238E27FC236}">
              <a16:creationId xmlns:a16="http://schemas.microsoft.com/office/drawing/2014/main" id="{03C80F4D-1E03-FDE0-41B0-B414B829D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589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3140</xdr:row>
      <xdr:rowOff>0</xdr:rowOff>
    </xdr:from>
    <xdr:to>
      <xdr:col>13</xdr:col>
      <xdr:colOff>0</xdr:colOff>
      <xdr:row>3141</xdr:row>
      <xdr:rowOff>114300</xdr:rowOff>
    </xdr:to>
    <xdr:pic>
      <xdr:nvPicPr>
        <xdr:cNvPr id="3376" name="Imagen 3375" descr="Ver detalle">
          <a:hlinkClick xmlns:r="http://schemas.openxmlformats.org/officeDocument/2006/relationships" r:id="rId3317" tooltip="Ver detalle"/>
          <a:extLst>
            <a:ext uri="{FF2B5EF4-FFF2-40B4-BE49-F238E27FC236}">
              <a16:creationId xmlns:a16="http://schemas.microsoft.com/office/drawing/2014/main" id="{D1E7ACF9-3676-133D-184D-D82024810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833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3141</xdr:row>
      <xdr:rowOff>0</xdr:rowOff>
    </xdr:from>
    <xdr:to>
      <xdr:col>13</xdr:col>
      <xdr:colOff>0</xdr:colOff>
      <xdr:row>3142</xdr:row>
      <xdr:rowOff>114300</xdr:rowOff>
    </xdr:to>
    <xdr:pic>
      <xdr:nvPicPr>
        <xdr:cNvPr id="3377" name="Imagen 3376" descr="Ver detalle">
          <a:hlinkClick xmlns:r="http://schemas.openxmlformats.org/officeDocument/2006/relationships" r:id="rId3318" tooltip="Ver detalle"/>
          <a:extLst>
            <a:ext uri="{FF2B5EF4-FFF2-40B4-BE49-F238E27FC236}">
              <a16:creationId xmlns:a16="http://schemas.microsoft.com/office/drawing/2014/main" id="{4A258767-30BC-DC0C-7248-9AE8E10F9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077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3142</xdr:row>
      <xdr:rowOff>0</xdr:rowOff>
    </xdr:from>
    <xdr:to>
      <xdr:col>13</xdr:col>
      <xdr:colOff>0</xdr:colOff>
      <xdr:row>3143</xdr:row>
      <xdr:rowOff>114300</xdr:rowOff>
    </xdr:to>
    <xdr:pic>
      <xdr:nvPicPr>
        <xdr:cNvPr id="3378" name="Imagen 3377" descr="Ver detalle">
          <a:hlinkClick xmlns:r="http://schemas.openxmlformats.org/officeDocument/2006/relationships" r:id="rId3319" tooltip="Ver detalle"/>
          <a:extLst>
            <a:ext uri="{FF2B5EF4-FFF2-40B4-BE49-F238E27FC236}">
              <a16:creationId xmlns:a16="http://schemas.microsoft.com/office/drawing/2014/main" id="{35D41428-A844-EC17-CE14-16E79C7B3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191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3143</xdr:row>
      <xdr:rowOff>0</xdr:rowOff>
    </xdr:from>
    <xdr:to>
      <xdr:col>13</xdr:col>
      <xdr:colOff>0</xdr:colOff>
      <xdr:row>3144</xdr:row>
      <xdr:rowOff>114300</xdr:rowOff>
    </xdr:to>
    <xdr:pic>
      <xdr:nvPicPr>
        <xdr:cNvPr id="3379" name="Imagen 3378" descr="Ver detalle">
          <a:hlinkClick xmlns:r="http://schemas.openxmlformats.org/officeDocument/2006/relationships" r:id="rId3320" tooltip="Ver detalle"/>
          <a:extLst>
            <a:ext uri="{FF2B5EF4-FFF2-40B4-BE49-F238E27FC236}">
              <a16:creationId xmlns:a16="http://schemas.microsoft.com/office/drawing/2014/main" id="{BCC83EFE-0D24-DFD3-3CA2-57D16F789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435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3145</xdr:row>
      <xdr:rowOff>0</xdr:rowOff>
    </xdr:from>
    <xdr:to>
      <xdr:col>13</xdr:col>
      <xdr:colOff>0</xdr:colOff>
      <xdr:row>3146</xdr:row>
      <xdr:rowOff>104775</xdr:rowOff>
    </xdr:to>
    <xdr:pic>
      <xdr:nvPicPr>
        <xdr:cNvPr id="3380" name="Imagen 3379" descr="Ver detalle">
          <a:hlinkClick xmlns:r="http://schemas.openxmlformats.org/officeDocument/2006/relationships" r:id="rId3321" tooltip="Ver detalle"/>
          <a:extLst>
            <a:ext uri="{FF2B5EF4-FFF2-40B4-BE49-F238E27FC236}">
              <a16:creationId xmlns:a16="http://schemas.microsoft.com/office/drawing/2014/main" id="{C6AB5B20-BC65-5C20-857E-6612F41E5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923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3115</xdr:row>
      <xdr:rowOff>0</xdr:rowOff>
    </xdr:from>
    <xdr:to>
      <xdr:col>13</xdr:col>
      <xdr:colOff>0</xdr:colOff>
      <xdr:row>3116</xdr:row>
      <xdr:rowOff>114300</xdr:rowOff>
    </xdr:to>
    <xdr:pic>
      <xdr:nvPicPr>
        <xdr:cNvPr id="3381" name="Imagen 3380" descr="Ver detalle">
          <a:hlinkClick xmlns:r="http://schemas.openxmlformats.org/officeDocument/2006/relationships" r:id="rId3322" tooltip="Ver detalle"/>
          <a:extLst>
            <a:ext uri="{FF2B5EF4-FFF2-40B4-BE49-F238E27FC236}">
              <a16:creationId xmlns:a16="http://schemas.microsoft.com/office/drawing/2014/main" id="{644D6E5C-A4A4-68A5-14A4-868846DF1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167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3116</xdr:row>
      <xdr:rowOff>0</xdr:rowOff>
    </xdr:from>
    <xdr:to>
      <xdr:col>13</xdr:col>
      <xdr:colOff>0</xdr:colOff>
      <xdr:row>3117</xdr:row>
      <xdr:rowOff>114300</xdr:rowOff>
    </xdr:to>
    <xdr:pic>
      <xdr:nvPicPr>
        <xdr:cNvPr id="3382" name="Imagen 3381" descr="Ver detalle">
          <a:hlinkClick xmlns:r="http://schemas.openxmlformats.org/officeDocument/2006/relationships" r:id="rId3323" tooltip="Ver detalle"/>
          <a:extLst>
            <a:ext uri="{FF2B5EF4-FFF2-40B4-BE49-F238E27FC236}">
              <a16:creationId xmlns:a16="http://schemas.microsoft.com/office/drawing/2014/main" id="{F38DDFEC-9AFB-FECB-FC4A-3F8C2403D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410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3117</xdr:row>
      <xdr:rowOff>0</xdr:rowOff>
    </xdr:from>
    <xdr:to>
      <xdr:col>13</xdr:col>
      <xdr:colOff>0</xdr:colOff>
      <xdr:row>3118</xdr:row>
      <xdr:rowOff>114300</xdr:rowOff>
    </xdr:to>
    <xdr:pic>
      <xdr:nvPicPr>
        <xdr:cNvPr id="3383" name="Imagen 3382" descr="Ver detalle">
          <a:hlinkClick xmlns:r="http://schemas.openxmlformats.org/officeDocument/2006/relationships" r:id="rId3324" tooltip="Ver detalle"/>
          <a:extLst>
            <a:ext uri="{FF2B5EF4-FFF2-40B4-BE49-F238E27FC236}">
              <a16:creationId xmlns:a16="http://schemas.microsoft.com/office/drawing/2014/main" id="{7764C3EE-5425-104B-FE71-E71FA9E2C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654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3118</xdr:row>
      <xdr:rowOff>0</xdr:rowOff>
    </xdr:from>
    <xdr:to>
      <xdr:col>13</xdr:col>
      <xdr:colOff>0</xdr:colOff>
      <xdr:row>3119</xdr:row>
      <xdr:rowOff>114300</xdr:rowOff>
    </xdr:to>
    <xdr:pic>
      <xdr:nvPicPr>
        <xdr:cNvPr id="3384" name="Imagen 3383" descr="Ver detalle">
          <a:hlinkClick xmlns:r="http://schemas.openxmlformats.org/officeDocument/2006/relationships" r:id="rId3325" tooltip="Ver detalle"/>
          <a:extLst>
            <a:ext uri="{FF2B5EF4-FFF2-40B4-BE49-F238E27FC236}">
              <a16:creationId xmlns:a16="http://schemas.microsoft.com/office/drawing/2014/main" id="{A00B8A93-1E56-0D51-74AC-E0C0F30DE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898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3119</xdr:row>
      <xdr:rowOff>0</xdr:rowOff>
    </xdr:from>
    <xdr:to>
      <xdr:col>13</xdr:col>
      <xdr:colOff>0</xdr:colOff>
      <xdr:row>3120</xdr:row>
      <xdr:rowOff>114300</xdr:rowOff>
    </xdr:to>
    <xdr:pic>
      <xdr:nvPicPr>
        <xdr:cNvPr id="3385" name="Imagen 3384" descr="Ver detalle">
          <a:hlinkClick xmlns:r="http://schemas.openxmlformats.org/officeDocument/2006/relationships" r:id="rId3326" tooltip="Ver detalle"/>
          <a:extLst>
            <a:ext uri="{FF2B5EF4-FFF2-40B4-BE49-F238E27FC236}">
              <a16:creationId xmlns:a16="http://schemas.microsoft.com/office/drawing/2014/main" id="{563467D0-1457-77F5-444F-363E06C2C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012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3122</xdr:row>
      <xdr:rowOff>0</xdr:rowOff>
    </xdr:from>
    <xdr:to>
      <xdr:col>13</xdr:col>
      <xdr:colOff>0</xdr:colOff>
      <xdr:row>3123</xdr:row>
      <xdr:rowOff>114300</xdr:rowOff>
    </xdr:to>
    <xdr:pic>
      <xdr:nvPicPr>
        <xdr:cNvPr id="3386" name="Imagen 3385" descr="Ver detalle">
          <a:hlinkClick xmlns:r="http://schemas.openxmlformats.org/officeDocument/2006/relationships" r:id="rId3327" tooltip="Ver detalle"/>
          <a:extLst>
            <a:ext uri="{FF2B5EF4-FFF2-40B4-BE49-F238E27FC236}">
              <a16:creationId xmlns:a16="http://schemas.microsoft.com/office/drawing/2014/main" id="{5B87E7E4-648D-33CA-08DB-47EBC88AA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256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3123</xdr:row>
      <xdr:rowOff>0</xdr:rowOff>
    </xdr:from>
    <xdr:to>
      <xdr:col>13</xdr:col>
      <xdr:colOff>0</xdr:colOff>
      <xdr:row>3124</xdr:row>
      <xdr:rowOff>114300</xdr:rowOff>
    </xdr:to>
    <xdr:pic>
      <xdr:nvPicPr>
        <xdr:cNvPr id="3387" name="Imagen 3386" descr="Ver detalle">
          <a:hlinkClick xmlns:r="http://schemas.openxmlformats.org/officeDocument/2006/relationships" r:id="rId3328" tooltip="Ver detalle"/>
          <a:extLst>
            <a:ext uri="{FF2B5EF4-FFF2-40B4-BE49-F238E27FC236}">
              <a16:creationId xmlns:a16="http://schemas.microsoft.com/office/drawing/2014/main" id="{E5FC035A-4B8A-AF88-8BDD-AB638AF83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50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3124</xdr:row>
      <xdr:rowOff>0</xdr:rowOff>
    </xdr:from>
    <xdr:to>
      <xdr:col>13</xdr:col>
      <xdr:colOff>0</xdr:colOff>
      <xdr:row>3125</xdr:row>
      <xdr:rowOff>114300</xdr:rowOff>
    </xdr:to>
    <xdr:pic>
      <xdr:nvPicPr>
        <xdr:cNvPr id="3388" name="Imagen 3387" descr="Ver detalle">
          <a:hlinkClick xmlns:r="http://schemas.openxmlformats.org/officeDocument/2006/relationships" r:id="rId3329" tooltip="Ver detalle"/>
          <a:extLst>
            <a:ext uri="{FF2B5EF4-FFF2-40B4-BE49-F238E27FC236}">
              <a16:creationId xmlns:a16="http://schemas.microsoft.com/office/drawing/2014/main" id="{7C7D722A-A9B3-A274-A180-15F22B8AA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744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3125</xdr:row>
      <xdr:rowOff>0</xdr:rowOff>
    </xdr:from>
    <xdr:to>
      <xdr:col>13</xdr:col>
      <xdr:colOff>0</xdr:colOff>
      <xdr:row>3126</xdr:row>
      <xdr:rowOff>114300</xdr:rowOff>
    </xdr:to>
    <xdr:pic>
      <xdr:nvPicPr>
        <xdr:cNvPr id="3389" name="Imagen 3388" descr="Ver detalle">
          <a:hlinkClick xmlns:r="http://schemas.openxmlformats.org/officeDocument/2006/relationships" r:id="rId3330" tooltip="Ver detalle"/>
          <a:extLst>
            <a:ext uri="{FF2B5EF4-FFF2-40B4-BE49-F238E27FC236}">
              <a16:creationId xmlns:a16="http://schemas.microsoft.com/office/drawing/2014/main" id="{21D3660B-A33B-E057-4C6B-7BB11BAED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858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3126</xdr:row>
      <xdr:rowOff>0</xdr:rowOff>
    </xdr:from>
    <xdr:to>
      <xdr:col>13</xdr:col>
      <xdr:colOff>0</xdr:colOff>
      <xdr:row>3127</xdr:row>
      <xdr:rowOff>114300</xdr:rowOff>
    </xdr:to>
    <xdr:pic>
      <xdr:nvPicPr>
        <xdr:cNvPr id="3390" name="Imagen 3389" descr="Ver detalle">
          <a:hlinkClick xmlns:r="http://schemas.openxmlformats.org/officeDocument/2006/relationships" r:id="rId3331" tooltip="Ver detalle"/>
          <a:extLst>
            <a:ext uri="{FF2B5EF4-FFF2-40B4-BE49-F238E27FC236}">
              <a16:creationId xmlns:a16="http://schemas.microsoft.com/office/drawing/2014/main" id="{8503C7BC-A800-5FC4-D743-CD3C94776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973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3079</xdr:row>
      <xdr:rowOff>0</xdr:rowOff>
    </xdr:from>
    <xdr:to>
      <xdr:col>13</xdr:col>
      <xdr:colOff>0</xdr:colOff>
      <xdr:row>3080</xdr:row>
      <xdr:rowOff>114300</xdr:rowOff>
    </xdr:to>
    <xdr:pic>
      <xdr:nvPicPr>
        <xdr:cNvPr id="3391" name="Imagen 3390" descr="Ver detalle">
          <a:hlinkClick xmlns:r="http://schemas.openxmlformats.org/officeDocument/2006/relationships" r:id="rId3332" tooltip="Ver detalle"/>
          <a:extLst>
            <a:ext uri="{FF2B5EF4-FFF2-40B4-BE49-F238E27FC236}">
              <a16:creationId xmlns:a16="http://schemas.microsoft.com/office/drawing/2014/main" id="{0C068C03-D91D-BCCF-3F34-DDCD051DE7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216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3077</xdr:row>
      <xdr:rowOff>0</xdr:rowOff>
    </xdr:from>
    <xdr:to>
      <xdr:col>13</xdr:col>
      <xdr:colOff>0</xdr:colOff>
      <xdr:row>3078</xdr:row>
      <xdr:rowOff>114300</xdr:rowOff>
    </xdr:to>
    <xdr:pic>
      <xdr:nvPicPr>
        <xdr:cNvPr id="3392" name="Imagen 3391" descr="Ver detalle">
          <a:hlinkClick xmlns:r="http://schemas.openxmlformats.org/officeDocument/2006/relationships" r:id="rId3333" tooltip="Ver detalle"/>
          <a:extLst>
            <a:ext uri="{FF2B5EF4-FFF2-40B4-BE49-F238E27FC236}">
              <a16:creationId xmlns:a16="http://schemas.microsoft.com/office/drawing/2014/main" id="{B1A595D2-1D0A-C7F9-AAAD-3ED1FB369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460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3082</xdr:row>
      <xdr:rowOff>0</xdr:rowOff>
    </xdr:from>
    <xdr:to>
      <xdr:col>13</xdr:col>
      <xdr:colOff>0</xdr:colOff>
      <xdr:row>3083</xdr:row>
      <xdr:rowOff>114300</xdr:rowOff>
    </xdr:to>
    <xdr:pic>
      <xdr:nvPicPr>
        <xdr:cNvPr id="3393" name="Imagen 3392" descr="Ver detalle">
          <a:hlinkClick xmlns:r="http://schemas.openxmlformats.org/officeDocument/2006/relationships" r:id="rId3334" tooltip="Ver detalle"/>
          <a:extLst>
            <a:ext uri="{FF2B5EF4-FFF2-40B4-BE49-F238E27FC236}">
              <a16:creationId xmlns:a16="http://schemas.microsoft.com/office/drawing/2014/main" id="{83C686BD-64AA-1795-E47F-6566ADFD5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574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3110</xdr:row>
      <xdr:rowOff>0</xdr:rowOff>
    </xdr:from>
    <xdr:to>
      <xdr:col>13</xdr:col>
      <xdr:colOff>0</xdr:colOff>
      <xdr:row>3111</xdr:row>
      <xdr:rowOff>114300</xdr:rowOff>
    </xdr:to>
    <xdr:pic>
      <xdr:nvPicPr>
        <xdr:cNvPr id="3394" name="Imagen 3393" descr="Ver detalle">
          <a:hlinkClick xmlns:r="http://schemas.openxmlformats.org/officeDocument/2006/relationships" r:id="rId3335" tooltip="Ver detalle"/>
          <a:extLst>
            <a:ext uri="{FF2B5EF4-FFF2-40B4-BE49-F238E27FC236}">
              <a16:creationId xmlns:a16="http://schemas.microsoft.com/office/drawing/2014/main" id="{4F6796ED-6C68-DDDE-21B9-C945CDF3FF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818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3111</xdr:row>
      <xdr:rowOff>0</xdr:rowOff>
    </xdr:from>
    <xdr:to>
      <xdr:col>13</xdr:col>
      <xdr:colOff>0</xdr:colOff>
      <xdr:row>3112</xdr:row>
      <xdr:rowOff>114300</xdr:rowOff>
    </xdr:to>
    <xdr:pic>
      <xdr:nvPicPr>
        <xdr:cNvPr id="3395" name="Imagen 3394" descr="Ver detalle">
          <a:hlinkClick xmlns:r="http://schemas.openxmlformats.org/officeDocument/2006/relationships" r:id="rId3336" tooltip="Ver detalle"/>
          <a:extLst>
            <a:ext uri="{FF2B5EF4-FFF2-40B4-BE49-F238E27FC236}">
              <a16:creationId xmlns:a16="http://schemas.microsoft.com/office/drawing/2014/main" id="{B67F7062-C874-5AE7-32B3-A4AF912E5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062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3112</xdr:row>
      <xdr:rowOff>0</xdr:rowOff>
    </xdr:from>
    <xdr:to>
      <xdr:col>13</xdr:col>
      <xdr:colOff>0</xdr:colOff>
      <xdr:row>3113</xdr:row>
      <xdr:rowOff>114300</xdr:rowOff>
    </xdr:to>
    <xdr:pic>
      <xdr:nvPicPr>
        <xdr:cNvPr id="3396" name="Imagen 3395" descr="Ver detalle">
          <a:hlinkClick xmlns:r="http://schemas.openxmlformats.org/officeDocument/2006/relationships" r:id="rId3337" tooltip="Ver detalle"/>
          <a:extLst>
            <a:ext uri="{FF2B5EF4-FFF2-40B4-BE49-F238E27FC236}">
              <a16:creationId xmlns:a16="http://schemas.microsoft.com/office/drawing/2014/main" id="{0357F9EC-9360-004D-71FD-EF2BA585BC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306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3113</xdr:row>
      <xdr:rowOff>0</xdr:rowOff>
    </xdr:from>
    <xdr:to>
      <xdr:col>13</xdr:col>
      <xdr:colOff>0</xdr:colOff>
      <xdr:row>3114</xdr:row>
      <xdr:rowOff>114300</xdr:rowOff>
    </xdr:to>
    <xdr:pic>
      <xdr:nvPicPr>
        <xdr:cNvPr id="3397" name="Imagen 3396" descr="Ver detalle">
          <a:hlinkClick xmlns:r="http://schemas.openxmlformats.org/officeDocument/2006/relationships" r:id="rId3338" tooltip="Ver detalle"/>
          <a:extLst>
            <a:ext uri="{FF2B5EF4-FFF2-40B4-BE49-F238E27FC236}">
              <a16:creationId xmlns:a16="http://schemas.microsoft.com/office/drawing/2014/main" id="{37E251E0-A6F7-5D28-3D89-A3BF17C06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550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3114</xdr:row>
      <xdr:rowOff>0</xdr:rowOff>
    </xdr:from>
    <xdr:to>
      <xdr:col>13</xdr:col>
      <xdr:colOff>0</xdr:colOff>
      <xdr:row>3115</xdr:row>
      <xdr:rowOff>114300</xdr:rowOff>
    </xdr:to>
    <xdr:pic>
      <xdr:nvPicPr>
        <xdr:cNvPr id="3398" name="Imagen 3397" descr="Ver detalle">
          <a:hlinkClick xmlns:r="http://schemas.openxmlformats.org/officeDocument/2006/relationships" r:id="rId3339" tooltip="Ver detalle"/>
          <a:extLst>
            <a:ext uri="{FF2B5EF4-FFF2-40B4-BE49-F238E27FC236}">
              <a16:creationId xmlns:a16="http://schemas.microsoft.com/office/drawing/2014/main" id="{4EA0D978-0747-232C-AD4E-7E2A443B0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794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3072</xdr:row>
      <xdr:rowOff>0</xdr:rowOff>
    </xdr:from>
    <xdr:to>
      <xdr:col>13</xdr:col>
      <xdr:colOff>0</xdr:colOff>
      <xdr:row>3073</xdr:row>
      <xdr:rowOff>114300</xdr:rowOff>
    </xdr:to>
    <xdr:pic>
      <xdr:nvPicPr>
        <xdr:cNvPr id="3399" name="Imagen 3398" descr="Ver detalle">
          <a:hlinkClick xmlns:r="http://schemas.openxmlformats.org/officeDocument/2006/relationships" r:id="rId3340" tooltip="Ver detalle"/>
          <a:extLst>
            <a:ext uri="{FF2B5EF4-FFF2-40B4-BE49-F238E27FC236}">
              <a16:creationId xmlns:a16="http://schemas.microsoft.com/office/drawing/2014/main" id="{B2B4AB5C-B3FC-B21E-F9E2-D2D74D298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038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3078</xdr:row>
      <xdr:rowOff>0</xdr:rowOff>
    </xdr:from>
    <xdr:to>
      <xdr:col>13</xdr:col>
      <xdr:colOff>0</xdr:colOff>
      <xdr:row>3079</xdr:row>
      <xdr:rowOff>114300</xdr:rowOff>
    </xdr:to>
    <xdr:pic>
      <xdr:nvPicPr>
        <xdr:cNvPr id="3400" name="Imagen 3399" descr="Ver detalle">
          <a:hlinkClick xmlns:r="http://schemas.openxmlformats.org/officeDocument/2006/relationships" r:id="rId3341" tooltip="Ver detalle"/>
          <a:extLst>
            <a:ext uri="{FF2B5EF4-FFF2-40B4-BE49-F238E27FC236}">
              <a16:creationId xmlns:a16="http://schemas.microsoft.com/office/drawing/2014/main" id="{993A6B73-EA4B-EC45-098D-5839BB7A6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281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3105</xdr:row>
      <xdr:rowOff>0</xdr:rowOff>
    </xdr:from>
    <xdr:to>
      <xdr:col>13</xdr:col>
      <xdr:colOff>0</xdr:colOff>
      <xdr:row>3106</xdr:row>
      <xdr:rowOff>114300</xdr:rowOff>
    </xdr:to>
    <xdr:pic>
      <xdr:nvPicPr>
        <xdr:cNvPr id="3401" name="Imagen 3400" descr="Ver detalle">
          <a:hlinkClick xmlns:r="http://schemas.openxmlformats.org/officeDocument/2006/relationships" r:id="rId3342" tooltip="Ver detalle"/>
          <a:extLst>
            <a:ext uri="{FF2B5EF4-FFF2-40B4-BE49-F238E27FC236}">
              <a16:creationId xmlns:a16="http://schemas.microsoft.com/office/drawing/2014/main" id="{9FA60262-6225-665B-2BF5-C1D53F0A2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396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3106</xdr:row>
      <xdr:rowOff>0</xdr:rowOff>
    </xdr:from>
    <xdr:to>
      <xdr:col>13</xdr:col>
      <xdr:colOff>0</xdr:colOff>
      <xdr:row>3107</xdr:row>
      <xdr:rowOff>114300</xdr:rowOff>
    </xdr:to>
    <xdr:pic>
      <xdr:nvPicPr>
        <xdr:cNvPr id="3402" name="Imagen 3401" descr="Ver detalle">
          <a:hlinkClick xmlns:r="http://schemas.openxmlformats.org/officeDocument/2006/relationships" r:id="rId3343" tooltip="Ver detalle"/>
          <a:extLst>
            <a:ext uri="{FF2B5EF4-FFF2-40B4-BE49-F238E27FC236}">
              <a16:creationId xmlns:a16="http://schemas.microsoft.com/office/drawing/2014/main" id="{BE7D5320-0DBC-9D76-8D50-0CBCEF880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640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3107</xdr:row>
      <xdr:rowOff>0</xdr:rowOff>
    </xdr:from>
    <xdr:to>
      <xdr:col>13</xdr:col>
      <xdr:colOff>0</xdr:colOff>
      <xdr:row>3108</xdr:row>
      <xdr:rowOff>114300</xdr:rowOff>
    </xdr:to>
    <xdr:pic>
      <xdr:nvPicPr>
        <xdr:cNvPr id="3403" name="Imagen 3402" descr="Ver detalle">
          <a:hlinkClick xmlns:r="http://schemas.openxmlformats.org/officeDocument/2006/relationships" r:id="rId3344" tooltip="Ver detalle"/>
          <a:extLst>
            <a:ext uri="{FF2B5EF4-FFF2-40B4-BE49-F238E27FC236}">
              <a16:creationId xmlns:a16="http://schemas.microsoft.com/office/drawing/2014/main" id="{4D28AB4D-12AC-27F1-4F6F-C11209789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883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3066</xdr:row>
      <xdr:rowOff>0</xdr:rowOff>
    </xdr:from>
    <xdr:to>
      <xdr:col>13</xdr:col>
      <xdr:colOff>0</xdr:colOff>
      <xdr:row>3067</xdr:row>
      <xdr:rowOff>114300</xdr:rowOff>
    </xdr:to>
    <xdr:pic>
      <xdr:nvPicPr>
        <xdr:cNvPr id="3404" name="Imagen 3403" descr="Ver detalle">
          <a:hlinkClick xmlns:r="http://schemas.openxmlformats.org/officeDocument/2006/relationships" r:id="rId3345" tooltip="Ver detalle"/>
          <a:extLst>
            <a:ext uri="{FF2B5EF4-FFF2-40B4-BE49-F238E27FC236}">
              <a16:creationId xmlns:a16="http://schemas.microsoft.com/office/drawing/2014/main" id="{76B2C86E-4763-B73C-A6E1-AFAF7F0CE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9241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3108</xdr:row>
      <xdr:rowOff>0</xdr:rowOff>
    </xdr:from>
    <xdr:to>
      <xdr:col>13</xdr:col>
      <xdr:colOff>0</xdr:colOff>
      <xdr:row>3109</xdr:row>
      <xdr:rowOff>114300</xdr:rowOff>
    </xdr:to>
    <xdr:pic>
      <xdr:nvPicPr>
        <xdr:cNvPr id="3405" name="Imagen 3404" descr="Ver detalle">
          <a:hlinkClick xmlns:r="http://schemas.openxmlformats.org/officeDocument/2006/relationships" r:id="rId3346" tooltip="Ver detalle"/>
          <a:extLst>
            <a:ext uri="{FF2B5EF4-FFF2-40B4-BE49-F238E27FC236}">
              <a16:creationId xmlns:a16="http://schemas.microsoft.com/office/drawing/2014/main" id="{2CCF578A-55D5-BAE1-3A78-1CD01330B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9356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3109</xdr:row>
      <xdr:rowOff>0</xdr:rowOff>
    </xdr:from>
    <xdr:to>
      <xdr:col>13</xdr:col>
      <xdr:colOff>0</xdr:colOff>
      <xdr:row>3110</xdr:row>
      <xdr:rowOff>114300</xdr:rowOff>
    </xdr:to>
    <xdr:pic>
      <xdr:nvPicPr>
        <xdr:cNvPr id="3406" name="Imagen 3405" descr="Ver detalle">
          <a:hlinkClick xmlns:r="http://schemas.openxmlformats.org/officeDocument/2006/relationships" r:id="rId3347" tooltip="Ver detalle"/>
          <a:extLst>
            <a:ext uri="{FF2B5EF4-FFF2-40B4-BE49-F238E27FC236}">
              <a16:creationId xmlns:a16="http://schemas.microsoft.com/office/drawing/2014/main" id="{0881DB49-8332-66B0-F2C7-C70B75ED3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9600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3076</xdr:row>
      <xdr:rowOff>0</xdr:rowOff>
    </xdr:from>
    <xdr:to>
      <xdr:col>13</xdr:col>
      <xdr:colOff>0</xdr:colOff>
      <xdr:row>3077</xdr:row>
      <xdr:rowOff>114300</xdr:rowOff>
    </xdr:to>
    <xdr:pic>
      <xdr:nvPicPr>
        <xdr:cNvPr id="3407" name="Imagen 3406" descr="Ver detalle">
          <a:hlinkClick xmlns:r="http://schemas.openxmlformats.org/officeDocument/2006/relationships" r:id="rId3348" tooltip="Ver detalle"/>
          <a:extLst>
            <a:ext uri="{FF2B5EF4-FFF2-40B4-BE49-F238E27FC236}">
              <a16:creationId xmlns:a16="http://schemas.microsoft.com/office/drawing/2014/main" id="{59A7692F-B090-8594-AA4E-5389BE66E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9843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3067</xdr:row>
      <xdr:rowOff>0</xdr:rowOff>
    </xdr:from>
    <xdr:to>
      <xdr:col>13</xdr:col>
      <xdr:colOff>0</xdr:colOff>
      <xdr:row>3068</xdr:row>
      <xdr:rowOff>114300</xdr:rowOff>
    </xdr:to>
    <xdr:pic>
      <xdr:nvPicPr>
        <xdr:cNvPr id="3408" name="Imagen 3407" descr="Ver detalle">
          <a:hlinkClick xmlns:r="http://schemas.openxmlformats.org/officeDocument/2006/relationships" r:id="rId3349" tooltip="Ver detalle"/>
          <a:extLst>
            <a:ext uri="{FF2B5EF4-FFF2-40B4-BE49-F238E27FC236}">
              <a16:creationId xmlns:a16="http://schemas.microsoft.com/office/drawing/2014/main" id="{B9355E26-FFBD-0EF4-EC04-4C7EA77BF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0087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3055</xdr:row>
      <xdr:rowOff>0</xdr:rowOff>
    </xdr:from>
    <xdr:to>
      <xdr:col>13</xdr:col>
      <xdr:colOff>0</xdr:colOff>
      <xdr:row>3056</xdr:row>
      <xdr:rowOff>114300</xdr:rowOff>
    </xdr:to>
    <xdr:pic>
      <xdr:nvPicPr>
        <xdr:cNvPr id="3409" name="Imagen 3408" descr="Ver detalle">
          <a:hlinkClick xmlns:r="http://schemas.openxmlformats.org/officeDocument/2006/relationships" r:id="rId3350" tooltip="Ver detalle"/>
          <a:extLst>
            <a:ext uri="{FF2B5EF4-FFF2-40B4-BE49-F238E27FC236}">
              <a16:creationId xmlns:a16="http://schemas.microsoft.com/office/drawing/2014/main" id="{54D25377-4163-A654-17B1-C2BC2450E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0331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3068</xdr:row>
      <xdr:rowOff>0</xdr:rowOff>
    </xdr:from>
    <xdr:to>
      <xdr:col>13</xdr:col>
      <xdr:colOff>0</xdr:colOff>
      <xdr:row>3069</xdr:row>
      <xdr:rowOff>114300</xdr:rowOff>
    </xdr:to>
    <xdr:pic>
      <xdr:nvPicPr>
        <xdr:cNvPr id="3410" name="Imagen 3409" descr="Ver detalle">
          <a:hlinkClick xmlns:r="http://schemas.openxmlformats.org/officeDocument/2006/relationships" r:id="rId3351" tooltip="Ver detalle"/>
          <a:extLst>
            <a:ext uri="{FF2B5EF4-FFF2-40B4-BE49-F238E27FC236}">
              <a16:creationId xmlns:a16="http://schemas.microsoft.com/office/drawing/2014/main" id="{BBA3B9A3-6163-A9A7-5928-EEFBAF6C1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0575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3069</xdr:row>
      <xdr:rowOff>0</xdr:rowOff>
    </xdr:from>
    <xdr:to>
      <xdr:col>13</xdr:col>
      <xdr:colOff>0</xdr:colOff>
      <xdr:row>3070</xdr:row>
      <xdr:rowOff>114300</xdr:rowOff>
    </xdr:to>
    <xdr:pic>
      <xdr:nvPicPr>
        <xdr:cNvPr id="3411" name="Imagen 3410" descr="Ver detalle">
          <a:hlinkClick xmlns:r="http://schemas.openxmlformats.org/officeDocument/2006/relationships" r:id="rId3352" tooltip="Ver detalle"/>
          <a:extLst>
            <a:ext uri="{FF2B5EF4-FFF2-40B4-BE49-F238E27FC236}">
              <a16:creationId xmlns:a16="http://schemas.microsoft.com/office/drawing/2014/main" id="{D65CFD2B-A247-CCF5-EAAB-A672B6617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0689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3070</xdr:row>
      <xdr:rowOff>0</xdr:rowOff>
    </xdr:from>
    <xdr:to>
      <xdr:col>13</xdr:col>
      <xdr:colOff>0</xdr:colOff>
      <xdr:row>3071</xdr:row>
      <xdr:rowOff>114300</xdr:rowOff>
    </xdr:to>
    <xdr:pic>
      <xdr:nvPicPr>
        <xdr:cNvPr id="3412" name="Imagen 3411" descr="Ver detalle">
          <a:hlinkClick xmlns:r="http://schemas.openxmlformats.org/officeDocument/2006/relationships" r:id="rId3353" tooltip="Ver detalle"/>
          <a:extLst>
            <a:ext uri="{FF2B5EF4-FFF2-40B4-BE49-F238E27FC236}">
              <a16:creationId xmlns:a16="http://schemas.microsoft.com/office/drawing/2014/main" id="{CF757EC4-E195-F0E9-31AF-F28BD7C87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0852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3062</xdr:row>
      <xdr:rowOff>0</xdr:rowOff>
    </xdr:from>
    <xdr:to>
      <xdr:col>13</xdr:col>
      <xdr:colOff>0</xdr:colOff>
      <xdr:row>3063</xdr:row>
      <xdr:rowOff>114300</xdr:rowOff>
    </xdr:to>
    <xdr:pic>
      <xdr:nvPicPr>
        <xdr:cNvPr id="3413" name="Imagen 3412" descr="Ver detalle">
          <a:hlinkClick xmlns:r="http://schemas.openxmlformats.org/officeDocument/2006/relationships" r:id="rId3354" tooltip="Ver detalle"/>
          <a:extLst>
            <a:ext uri="{FF2B5EF4-FFF2-40B4-BE49-F238E27FC236}">
              <a16:creationId xmlns:a16="http://schemas.microsoft.com/office/drawing/2014/main" id="{CF40B6F3-35C6-1A16-BF8F-FCA7B5AD5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096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3063</xdr:row>
      <xdr:rowOff>0</xdr:rowOff>
    </xdr:from>
    <xdr:to>
      <xdr:col>13</xdr:col>
      <xdr:colOff>0</xdr:colOff>
      <xdr:row>3064</xdr:row>
      <xdr:rowOff>114300</xdr:rowOff>
    </xdr:to>
    <xdr:pic>
      <xdr:nvPicPr>
        <xdr:cNvPr id="3414" name="Imagen 3413" descr="Ver detalle">
          <a:hlinkClick xmlns:r="http://schemas.openxmlformats.org/officeDocument/2006/relationships" r:id="rId3355" tooltip="Ver detalle"/>
          <a:extLst>
            <a:ext uri="{FF2B5EF4-FFF2-40B4-BE49-F238E27FC236}">
              <a16:creationId xmlns:a16="http://schemas.microsoft.com/office/drawing/2014/main" id="{85E9088F-DE22-088F-565E-129D24AEE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210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3073</xdr:row>
      <xdr:rowOff>0</xdr:rowOff>
    </xdr:from>
    <xdr:to>
      <xdr:col>13</xdr:col>
      <xdr:colOff>0</xdr:colOff>
      <xdr:row>3074</xdr:row>
      <xdr:rowOff>114300</xdr:rowOff>
    </xdr:to>
    <xdr:pic>
      <xdr:nvPicPr>
        <xdr:cNvPr id="3415" name="Imagen 3414" descr="Ver detalle">
          <a:hlinkClick xmlns:r="http://schemas.openxmlformats.org/officeDocument/2006/relationships" r:id="rId3356" tooltip="Ver detalle"/>
          <a:extLst>
            <a:ext uri="{FF2B5EF4-FFF2-40B4-BE49-F238E27FC236}">
              <a16:creationId xmlns:a16="http://schemas.microsoft.com/office/drawing/2014/main" id="{9E153301-8C2F-7393-F447-22030BFA7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325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3052</xdr:row>
      <xdr:rowOff>0</xdr:rowOff>
    </xdr:from>
    <xdr:to>
      <xdr:col>13</xdr:col>
      <xdr:colOff>0</xdr:colOff>
      <xdr:row>3053</xdr:row>
      <xdr:rowOff>114300</xdr:rowOff>
    </xdr:to>
    <xdr:pic>
      <xdr:nvPicPr>
        <xdr:cNvPr id="3416" name="Imagen 3415" descr="Ver detalle">
          <a:hlinkClick xmlns:r="http://schemas.openxmlformats.org/officeDocument/2006/relationships" r:id="rId3357" tooltip="Ver detalle"/>
          <a:extLst>
            <a:ext uri="{FF2B5EF4-FFF2-40B4-BE49-F238E27FC236}">
              <a16:creationId xmlns:a16="http://schemas.microsoft.com/office/drawing/2014/main" id="{5D0F7261-2F06-E28E-8DE9-931000F54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568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3056</xdr:row>
      <xdr:rowOff>0</xdr:rowOff>
    </xdr:from>
    <xdr:to>
      <xdr:col>13</xdr:col>
      <xdr:colOff>0</xdr:colOff>
      <xdr:row>3057</xdr:row>
      <xdr:rowOff>114300</xdr:rowOff>
    </xdr:to>
    <xdr:pic>
      <xdr:nvPicPr>
        <xdr:cNvPr id="3417" name="Imagen 3416" descr="Ver detalle">
          <a:hlinkClick xmlns:r="http://schemas.openxmlformats.org/officeDocument/2006/relationships" r:id="rId3358" tooltip="Ver detalle"/>
          <a:extLst>
            <a:ext uri="{FF2B5EF4-FFF2-40B4-BE49-F238E27FC236}">
              <a16:creationId xmlns:a16="http://schemas.microsoft.com/office/drawing/2014/main" id="{B4539BB8-B41D-33D6-EB28-10E29F4A89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812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3057</xdr:row>
      <xdr:rowOff>0</xdr:rowOff>
    </xdr:from>
    <xdr:to>
      <xdr:col>13</xdr:col>
      <xdr:colOff>0</xdr:colOff>
      <xdr:row>3058</xdr:row>
      <xdr:rowOff>114300</xdr:rowOff>
    </xdr:to>
    <xdr:pic>
      <xdr:nvPicPr>
        <xdr:cNvPr id="3418" name="Imagen 3417" descr="Ver detalle">
          <a:hlinkClick xmlns:r="http://schemas.openxmlformats.org/officeDocument/2006/relationships" r:id="rId3359" tooltip="Ver detalle"/>
          <a:extLst>
            <a:ext uri="{FF2B5EF4-FFF2-40B4-BE49-F238E27FC236}">
              <a16:creationId xmlns:a16="http://schemas.microsoft.com/office/drawing/2014/main" id="{6AE0C3D2-F7A2-E34E-4204-3A08F22A0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056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3058</xdr:row>
      <xdr:rowOff>0</xdr:rowOff>
    </xdr:from>
    <xdr:to>
      <xdr:col>13</xdr:col>
      <xdr:colOff>0</xdr:colOff>
      <xdr:row>3059</xdr:row>
      <xdr:rowOff>114300</xdr:rowOff>
    </xdr:to>
    <xdr:pic>
      <xdr:nvPicPr>
        <xdr:cNvPr id="3419" name="Imagen 3418" descr="Ver detalle">
          <a:hlinkClick xmlns:r="http://schemas.openxmlformats.org/officeDocument/2006/relationships" r:id="rId3360" tooltip="Ver detalle"/>
          <a:extLst>
            <a:ext uri="{FF2B5EF4-FFF2-40B4-BE49-F238E27FC236}">
              <a16:creationId xmlns:a16="http://schemas.microsoft.com/office/drawing/2014/main" id="{72092156-F2DC-7C78-F80B-BFFB893A6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300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3059</xdr:row>
      <xdr:rowOff>0</xdr:rowOff>
    </xdr:from>
    <xdr:to>
      <xdr:col>13</xdr:col>
      <xdr:colOff>0</xdr:colOff>
      <xdr:row>3060</xdr:row>
      <xdr:rowOff>114300</xdr:rowOff>
    </xdr:to>
    <xdr:pic>
      <xdr:nvPicPr>
        <xdr:cNvPr id="3420" name="Imagen 3419" descr="Ver detalle">
          <a:hlinkClick xmlns:r="http://schemas.openxmlformats.org/officeDocument/2006/relationships" r:id="rId3361" tooltip="Ver detalle"/>
          <a:extLst>
            <a:ext uri="{FF2B5EF4-FFF2-40B4-BE49-F238E27FC236}">
              <a16:creationId xmlns:a16="http://schemas.microsoft.com/office/drawing/2014/main" id="{C82E260C-57F6-84AC-F252-4260928FF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544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3053</xdr:row>
      <xdr:rowOff>0</xdr:rowOff>
    </xdr:from>
    <xdr:to>
      <xdr:col>13</xdr:col>
      <xdr:colOff>0</xdr:colOff>
      <xdr:row>3054</xdr:row>
      <xdr:rowOff>114300</xdr:rowOff>
    </xdr:to>
    <xdr:pic>
      <xdr:nvPicPr>
        <xdr:cNvPr id="3421" name="Imagen 3420" descr="Ver detalle">
          <a:hlinkClick xmlns:r="http://schemas.openxmlformats.org/officeDocument/2006/relationships" r:id="rId3362" tooltip="Ver detalle"/>
          <a:extLst>
            <a:ext uri="{FF2B5EF4-FFF2-40B4-BE49-F238E27FC236}">
              <a16:creationId xmlns:a16="http://schemas.microsoft.com/office/drawing/2014/main" id="{69BF5D01-6F2B-4393-44AE-2994AE276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788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3074</xdr:row>
      <xdr:rowOff>0</xdr:rowOff>
    </xdr:from>
    <xdr:to>
      <xdr:col>13</xdr:col>
      <xdr:colOff>0</xdr:colOff>
      <xdr:row>3075</xdr:row>
      <xdr:rowOff>114300</xdr:rowOff>
    </xdr:to>
    <xdr:pic>
      <xdr:nvPicPr>
        <xdr:cNvPr id="3422" name="Imagen 3421" descr="Ver detalle">
          <a:hlinkClick xmlns:r="http://schemas.openxmlformats.org/officeDocument/2006/relationships" r:id="rId3363" tooltip="Ver detalle"/>
          <a:extLst>
            <a:ext uri="{FF2B5EF4-FFF2-40B4-BE49-F238E27FC236}">
              <a16:creationId xmlns:a16="http://schemas.microsoft.com/office/drawing/2014/main" id="{08789763-9A83-EBA2-6111-E418D37D5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902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3064</xdr:row>
      <xdr:rowOff>0</xdr:rowOff>
    </xdr:from>
    <xdr:to>
      <xdr:col>13</xdr:col>
      <xdr:colOff>0</xdr:colOff>
      <xdr:row>3065</xdr:row>
      <xdr:rowOff>114300</xdr:rowOff>
    </xdr:to>
    <xdr:pic>
      <xdr:nvPicPr>
        <xdr:cNvPr id="3423" name="Imagen 3422" descr="Ver detalle">
          <a:hlinkClick xmlns:r="http://schemas.openxmlformats.org/officeDocument/2006/relationships" r:id="rId3364" tooltip="Ver detalle"/>
          <a:extLst>
            <a:ext uri="{FF2B5EF4-FFF2-40B4-BE49-F238E27FC236}">
              <a16:creationId xmlns:a16="http://schemas.microsoft.com/office/drawing/2014/main" id="{E24ABDBF-5E10-5C8C-FB45-3CF6E303B7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3146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3060</xdr:row>
      <xdr:rowOff>0</xdr:rowOff>
    </xdr:from>
    <xdr:to>
      <xdr:col>13</xdr:col>
      <xdr:colOff>0</xdr:colOff>
      <xdr:row>3061</xdr:row>
      <xdr:rowOff>114300</xdr:rowOff>
    </xdr:to>
    <xdr:pic>
      <xdr:nvPicPr>
        <xdr:cNvPr id="3424" name="Imagen 3423" descr="Ver detalle">
          <a:hlinkClick xmlns:r="http://schemas.openxmlformats.org/officeDocument/2006/relationships" r:id="rId3365" tooltip="Ver detalle"/>
          <a:extLst>
            <a:ext uri="{FF2B5EF4-FFF2-40B4-BE49-F238E27FC236}">
              <a16:creationId xmlns:a16="http://schemas.microsoft.com/office/drawing/2014/main" id="{00C74EB5-2494-701A-5631-6B7D48CA5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3390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3071</xdr:row>
      <xdr:rowOff>0</xdr:rowOff>
    </xdr:from>
    <xdr:to>
      <xdr:col>13</xdr:col>
      <xdr:colOff>0</xdr:colOff>
      <xdr:row>3072</xdr:row>
      <xdr:rowOff>114300</xdr:rowOff>
    </xdr:to>
    <xdr:pic>
      <xdr:nvPicPr>
        <xdr:cNvPr id="3425" name="Imagen 3424" descr="Ver detalle">
          <a:hlinkClick xmlns:r="http://schemas.openxmlformats.org/officeDocument/2006/relationships" r:id="rId3366" tooltip="Ver detalle"/>
          <a:extLst>
            <a:ext uri="{FF2B5EF4-FFF2-40B4-BE49-F238E27FC236}">
              <a16:creationId xmlns:a16="http://schemas.microsoft.com/office/drawing/2014/main" id="{76D4C5C3-FB50-355C-3197-C2614E017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3633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3090</xdr:row>
      <xdr:rowOff>0</xdr:rowOff>
    </xdr:from>
    <xdr:to>
      <xdr:col>13</xdr:col>
      <xdr:colOff>0</xdr:colOff>
      <xdr:row>3091</xdr:row>
      <xdr:rowOff>114300</xdr:rowOff>
    </xdr:to>
    <xdr:pic>
      <xdr:nvPicPr>
        <xdr:cNvPr id="3426" name="Imagen 3425" descr="Ver detalle">
          <a:hlinkClick xmlns:r="http://schemas.openxmlformats.org/officeDocument/2006/relationships" r:id="rId3367" tooltip="Ver detalle"/>
          <a:extLst>
            <a:ext uri="{FF2B5EF4-FFF2-40B4-BE49-F238E27FC236}">
              <a16:creationId xmlns:a16="http://schemas.microsoft.com/office/drawing/2014/main" id="{BC7CEF0C-0647-8B4D-31CC-0C1C9C155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387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3091</xdr:row>
      <xdr:rowOff>0</xdr:rowOff>
    </xdr:from>
    <xdr:to>
      <xdr:col>13</xdr:col>
      <xdr:colOff>0</xdr:colOff>
      <xdr:row>3092</xdr:row>
      <xdr:rowOff>114300</xdr:rowOff>
    </xdr:to>
    <xdr:pic>
      <xdr:nvPicPr>
        <xdr:cNvPr id="3427" name="Imagen 3426" descr="Ver detalle">
          <a:hlinkClick xmlns:r="http://schemas.openxmlformats.org/officeDocument/2006/relationships" r:id="rId3368" tooltip="Ver detalle"/>
          <a:extLst>
            <a:ext uri="{FF2B5EF4-FFF2-40B4-BE49-F238E27FC236}">
              <a16:creationId xmlns:a16="http://schemas.microsoft.com/office/drawing/2014/main" id="{136A5621-E59A-94FC-E857-A582149B8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121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3093</xdr:row>
      <xdr:rowOff>0</xdr:rowOff>
    </xdr:from>
    <xdr:to>
      <xdr:col>13</xdr:col>
      <xdr:colOff>0</xdr:colOff>
      <xdr:row>3094</xdr:row>
      <xdr:rowOff>114300</xdr:rowOff>
    </xdr:to>
    <xdr:pic>
      <xdr:nvPicPr>
        <xdr:cNvPr id="3428" name="Imagen 3427" descr="Ver detalle">
          <a:hlinkClick xmlns:r="http://schemas.openxmlformats.org/officeDocument/2006/relationships" r:id="rId3369" tooltip="Ver detalle"/>
          <a:extLst>
            <a:ext uri="{FF2B5EF4-FFF2-40B4-BE49-F238E27FC236}">
              <a16:creationId xmlns:a16="http://schemas.microsoft.com/office/drawing/2014/main" id="{F8D121E0-2245-88F4-2CF4-90F22CF85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609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3094</xdr:row>
      <xdr:rowOff>0</xdr:rowOff>
    </xdr:from>
    <xdr:to>
      <xdr:col>13</xdr:col>
      <xdr:colOff>0</xdr:colOff>
      <xdr:row>3095</xdr:row>
      <xdr:rowOff>114300</xdr:rowOff>
    </xdr:to>
    <xdr:pic>
      <xdr:nvPicPr>
        <xdr:cNvPr id="3429" name="Imagen 3428" descr="Ver detalle">
          <a:hlinkClick xmlns:r="http://schemas.openxmlformats.org/officeDocument/2006/relationships" r:id="rId3370" tooltip="Ver detalle"/>
          <a:extLst>
            <a:ext uri="{FF2B5EF4-FFF2-40B4-BE49-F238E27FC236}">
              <a16:creationId xmlns:a16="http://schemas.microsoft.com/office/drawing/2014/main" id="{64997381-BF66-678B-1F0D-69B7EBD77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853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3095</xdr:row>
      <xdr:rowOff>0</xdr:rowOff>
    </xdr:from>
    <xdr:to>
      <xdr:col>13</xdr:col>
      <xdr:colOff>0</xdr:colOff>
      <xdr:row>3096</xdr:row>
      <xdr:rowOff>114300</xdr:rowOff>
    </xdr:to>
    <xdr:pic>
      <xdr:nvPicPr>
        <xdr:cNvPr id="3430" name="Imagen 3429" descr="Ver detalle">
          <a:hlinkClick xmlns:r="http://schemas.openxmlformats.org/officeDocument/2006/relationships" r:id="rId3371" tooltip="Ver detalle"/>
          <a:extLst>
            <a:ext uri="{FF2B5EF4-FFF2-40B4-BE49-F238E27FC236}">
              <a16:creationId xmlns:a16="http://schemas.microsoft.com/office/drawing/2014/main" id="{A543B5E2-AEE7-27E3-89E1-776692456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097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3096</xdr:row>
      <xdr:rowOff>0</xdr:rowOff>
    </xdr:from>
    <xdr:to>
      <xdr:col>13</xdr:col>
      <xdr:colOff>0</xdr:colOff>
      <xdr:row>3097</xdr:row>
      <xdr:rowOff>114300</xdr:rowOff>
    </xdr:to>
    <xdr:pic>
      <xdr:nvPicPr>
        <xdr:cNvPr id="3431" name="Imagen 3430" descr="Ver detalle">
          <a:hlinkClick xmlns:r="http://schemas.openxmlformats.org/officeDocument/2006/relationships" r:id="rId3372" tooltip="Ver detalle"/>
          <a:extLst>
            <a:ext uri="{FF2B5EF4-FFF2-40B4-BE49-F238E27FC236}">
              <a16:creationId xmlns:a16="http://schemas.microsoft.com/office/drawing/2014/main" id="{C55DB0B2-425F-84D1-BAD1-59517791E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340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3097</xdr:row>
      <xdr:rowOff>0</xdr:rowOff>
    </xdr:from>
    <xdr:to>
      <xdr:col>13</xdr:col>
      <xdr:colOff>0</xdr:colOff>
      <xdr:row>3098</xdr:row>
      <xdr:rowOff>114300</xdr:rowOff>
    </xdr:to>
    <xdr:pic>
      <xdr:nvPicPr>
        <xdr:cNvPr id="3432" name="Imagen 3431" descr="Ver detalle">
          <a:hlinkClick xmlns:r="http://schemas.openxmlformats.org/officeDocument/2006/relationships" r:id="rId3373" tooltip="Ver detalle"/>
          <a:extLst>
            <a:ext uri="{FF2B5EF4-FFF2-40B4-BE49-F238E27FC236}">
              <a16:creationId xmlns:a16="http://schemas.microsoft.com/office/drawing/2014/main" id="{82C00B57-E1CA-8AB4-8E56-36775245D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584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3098</xdr:row>
      <xdr:rowOff>0</xdr:rowOff>
    </xdr:from>
    <xdr:to>
      <xdr:col>13</xdr:col>
      <xdr:colOff>0</xdr:colOff>
      <xdr:row>3099</xdr:row>
      <xdr:rowOff>114300</xdr:rowOff>
    </xdr:to>
    <xdr:pic>
      <xdr:nvPicPr>
        <xdr:cNvPr id="3433" name="Imagen 3432" descr="Ver detalle">
          <a:hlinkClick xmlns:r="http://schemas.openxmlformats.org/officeDocument/2006/relationships" r:id="rId3374" tooltip="Ver detalle"/>
          <a:extLst>
            <a:ext uri="{FF2B5EF4-FFF2-40B4-BE49-F238E27FC236}">
              <a16:creationId xmlns:a16="http://schemas.microsoft.com/office/drawing/2014/main" id="{36952D1D-6C80-7861-99FE-235621A7A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828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3099</xdr:row>
      <xdr:rowOff>0</xdr:rowOff>
    </xdr:from>
    <xdr:to>
      <xdr:col>13</xdr:col>
      <xdr:colOff>0</xdr:colOff>
      <xdr:row>3100</xdr:row>
      <xdr:rowOff>114300</xdr:rowOff>
    </xdr:to>
    <xdr:pic>
      <xdr:nvPicPr>
        <xdr:cNvPr id="3434" name="Imagen 3433" descr="Ver detalle">
          <a:hlinkClick xmlns:r="http://schemas.openxmlformats.org/officeDocument/2006/relationships" r:id="rId3375" tooltip="Ver detalle"/>
          <a:extLst>
            <a:ext uri="{FF2B5EF4-FFF2-40B4-BE49-F238E27FC236}">
              <a16:creationId xmlns:a16="http://schemas.microsoft.com/office/drawing/2014/main" id="{02A2440B-4ABD-1BC0-801F-E1CFCA7C3E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072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3100</xdr:row>
      <xdr:rowOff>0</xdr:rowOff>
    </xdr:from>
    <xdr:to>
      <xdr:col>13</xdr:col>
      <xdr:colOff>0</xdr:colOff>
      <xdr:row>3101</xdr:row>
      <xdr:rowOff>114300</xdr:rowOff>
    </xdr:to>
    <xdr:pic>
      <xdr:nvPicPr>
        <xdr:cNvPr id="3435" name="Imagen 3434" descr="Ver detalle">
          <a:hlinkClick xmlns:r="http://schemas.openxmlformats.org/officeDocument/2006/relationships" r:id="rId3376" tooltip="Ver detalle"/>
          <a:extLst>
            <a:ext uri="{FF2B5EF4-FFF2-40B4-BE49-F238E27FC236}">
              <a16:creationId xmlns:a16="http://schemas.microsoft.com/office/drawing/2014/main" id="{61F67CFF-7431-94C3-0F3C-AA522B978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31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3101</xdr:row>
      <xdr:rowOff>0</xdr:rowOff>
    </xdr:from>
    <xdr:to>
      <xdr:col>13</xdr:col>
      <xdr:colOff>0</xdr:colOff>
      <xdr:row>3102</xdr:row>
      <xdr:rowOff>114300</xdr:rowOff>
    </xdr:to>
    <xdr:pic>
      <xdr:nvPicPr>
        <xdr:cNvPr id="3436" name="Imagen 3435" descr="Ver detalle">
          <a:hlinkClick xmlns:r="http://schemas.openxmlformats.org/officeDocument/2006/relationships" r:id="rId3377" tooltip="Ver detalle"/>
          <a:extLst>
            <a:ext uri="{FF2B5EF4-FFF2-40B4-BE49-F238E27FC236}">
              <a16:creationId xmlns:a16="http://schemas.microsoft.com/office/drawing/2014/main" id="{13C85DEC-3538-2E1E-4657-72B4CBCC5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560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3102</xdr:row>
      <xdr:rowOff>0</xdr:rowOff>
    </xdr:from>
    <xdr:to>
      <xdr:col>13</xdr:col>
      <xdr:colOff>0</xdr:colOff>
      <xdr:row>3103</xdr:row>
      <xdr:rowOff>114300</xdr:rowOff>
    </xdr:to>
    <xdr:pic>
      <xdr:nvPicPr>
        <xdr:cNvPr id="3437" name="Imagen 3436" descr="Ver detalle">
          <a:hlinkClick xmlns:r="http://schemas.openxmlformats.org/officeDocument/2006/relationships" r:id="rId3378" tooltip="Ver detalle"/>
          <a:extLst>
            <a:ext uri="{FF2B5EF4-FFF2-40B4-BE49-F238E27FC236}">
              <a16:creationId xmlns:a16="http://schemas.microsoft.com/office/drawing/2014/main" id="{824FB909-E6FD-7637-5FDD-7280382A8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803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3103</xdr:row>
      <xdr:rowOff>0</xdr:rowOff>
    </xdr:from>
    <xdr:to>
      <xdr:col>13</xdr:col>
      <xdr:colOff>0</xdr:colOff>
      <xdr:row>3104</xdr:row>
      <xdr:rowOff>114300</xdr:rowOff>
    </xdr:to>
    <xdr:pic>
      <xdr:nvPicPr>
        <xdr:cNvPr id="3438" name="Imagen 3437" descr="Ver detalle">
          <a:hlinkClick xmlns:r="http://schemas.openxmlformats.org/officeDocument/2006/relationships" r:id="rId3379" tooltip="Ver detalle"/>
          <a:extLst>
            <a:ext uri="{FF2B5EF4-FFF2-40B4-BE49-F238E27FC236}">
              <a16:creationId xmlns:a16="http://schemas.microsoft.com/office/drawing/2014/main" id="{F0569F1B-D35B-7305-2B57-8D9CA8C71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7047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3104</xdr:row>
      <xdr:rowOff>0</xdr:rowOff>
    </xdr:from>
    <xdr:to>
      <xdr:col>13</xdr:col>
      <xdr:colOff>0</xdr:colOff>
      <xdr:row>3105</xdr:row>
      <xdr:rowOff>114300</xdr:rowOff>
    </xdr:to>
    <xdr:pic>
      <xdr:nvPicPr>
        <xdr:cNvPr id="3439" name="Imagen 3438" descr="Ver detalle">
          <a:hlinkClick xmlns:r="http://schemas.openxmlformats.org/officeDocument/2006/relationships" r:id="rId3380" tooltip="Ver detalle"/>
          <a:extLst>
            <a:ext uri="{FF2B5EF4-FFF2-40B4-BE49-F238E27FC236}">
              <a16:creationId xmlns:a16="http://schemas.microsoft.com/office/drawing/2014/main" id="{F14B6DD2-FA44-5D80-0EBB-4113B9546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7291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3045</xdr:row>
      <xdr:rowOff>0</xdr:rowOff>
    </xdr:from>
    <xdr:to>
      <xdr:col>13</xdr:col>
      <xdr:colOff>0</xdr:colOff>
      <xdr:row>3046</xdr:row>
      <xdr:rowOff>114300</xdr:rowOff>
    </xdr:to>
    <xdr:pic>
      <xdr:nvPicPr>
        <xdr:cNvPr id="3440" name="Imagen 3439" descr="Ver detalle">
          <a:hlinkClick xmlns:r="http://schemas.openxmlformats.org/officeDocument/2006/relationships" r:id="rId3381" tooltip="Ver detalle"/>
          <a:extLst>
            <a:ext uri="{FF2B5EF4-FFF2-40B4-BE49-F238E27FC236}">
              <a16:creationId xmlns:a16="http://schemas.microsoft.com/office/drawing/2014/main" id="{29654859-E3A1-A8F0-761B-A903D9381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7535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3046</xdr:row>
      <xdr:rowOff>0</xdr:rowOff>
    </xdr:from>
    <xdr:to>
      <xdr:col>13</xdr:col>
      <xdr:colOff>0</xdr:colOff>
      <xdr:row>3047</xdr:row>
      <xdr:rowOff>114300</xdr:rowOff>
    </xdr:to>
    <xdr:pic>
      <xdr:nvPicPr>
        <xdr:cNvPr id="3441" name="Imagen 3440" descr="Ver detalle">
          <a:hlinkClick xmlns:r="http://schemas.openxmlformats.org/officeDocument/2006/relationships" r:id="rId3382" tooltip="Ver detalle"/>
          <a:extLst>
            <a:ext uri="{FF2B5EF4-FFF2-40B4-BE49-F238E27FC236}">
              <a16:creationId xmlns:a16="http://schemas.microsoft.com/office/drawing/2014/main" id="{B116317C-0C1D-9590-6B98-50A285ACF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7779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3054</xdr:row>
      <xdr:rowOff>0</xdr:rowOff>
    </xdr:from>
    <xdr:to>
      <xdr:col>13</xdr:col>
      <xdr:colOff>0</xdr:colOff>
      <xdr:row>3055</xdr:row>
      <xdr:rowOff>114300</xdr:rowOff>
    </xdr:to>
    <xdr:pic>
      <xdr:nvPicPr>
        <xdr:cNvPr id="3442" name="Imagen 3441" descr="Ver detalle">
          <a:hlinkClick xmlns:r="http://schemas.openxmlformats.org/officeDocument/2006/relationships" r:id="rId3383" tooltip="Ver detalle"/>
          <a:extLst>
            <a:ext uri="{FF2B5EF4-FFF2-40B4-BE49-F238E27FC236}">
              <a16:creationId xmlns:a16="http://schemas.microsoft.com/office/drawing/2014/main" id="{DA695C86-31D1-2839-964D-BD26D3BDD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8023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3061</xdr:row>
      <xdr:rowOff>0</xdr:rowOff>
    </xdr:from>
    <xdr:to>
      <xdr:col>13</xdr:col>
      <xdr:colOff>0</xdr:colOff>
      <xdr:row>3062</xdr:row>
      <xdr:rowOff>114300</xdr:rowOff>
    </xdr:to>
    <xdr:pic>
      <xdr:nvPicPr>
        <xdr:cNvPr id="3443" name="Imagen 3442" descr="Ver detalle">
          <a:hlinkClick xmlns:r="http://schemas.openxmlformats.org/officeDocument/2006/relationships" r:id="rId3384" tooltip="Ver detalle"/>
          <a:extLst>
            <a:ext uri="{FF2B5EF4-FFF2-40B4-BE49-F238E27FC236}">
              <a16:creationId xmlns:a16="http://schemas.microsoft.com/office/drawing/2014/main" id="{3C130949-D8BD-BE26-46A3-552B56ABF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8137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3050</xdr:row>
      <xdr:rowOff>0</xdr:rowOff>
    </xdr:from>
    <xdr:to>
      <xdr:col>13</xdr:col>
      <xdr:colOff>0</xdr:colOff>
      <xdr:row>3051</xdr:row>
      <xdr:rowOff>114300</xdr:rowOff>
    </xdr:to>
    <xdr:pic>
      <xdr:nvPicPr>
        <xdr:cNvPr id="3444" name="Imagen 3443" descr="Ver detalle">
          <a:hlinkClick xmlns:r="http://schemas.openxmlformats.org/officeDocument/2006/relationships" r:id="rId3385" tooltip="Ver detalle"/>
          <a:extLst>
            <a:ext uri="{FF2B5EF4-FFF2-40B4-BE49-F238E27FC236}">
              <a16:creationId xmlns:a16="http://schemas.microsoft.com/office/drawing/2014/main" id="{50019850-4931-7933-D6D6-B0298848D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8381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3051</xdr:row>
      <xdr:rowOff>0</xdr:rowOff>
    </xdr:from>
    <xdr:to>
      <xdr:col>13</xdr:col>
      <xdr:colOff>0</xdr:colOff>
      <xdr:row>3052</xdr:row>
      <xdr:rowOff>114300</xdr:rowOff>
    </xdr:to>
    <xdr:pic>
      <xdr:nvPicPr>
        <xdr:cNvPr id="3445" name="Imagen 3444" descr="Ver detalle">
          <a:hlinkClick xmlns:r="http://schemas.openxmlformats.org/officeDocument/2006/relationships" r:id="rId3386" tooltip="Ver detalle"/>
          <a:extLst>
            <a:ext uri="{FF2B5EF4-FFF2-40B4-BE49-F238E27FC236}">
              <a16:creationId xmlns:a16="http://schemas.microsoft.com/office/drawing/2014/main" id="{6CBEB280-9A29-F6B1-302B-F9CE473C9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8625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3042</xdr:row>
      <xdr:rowOff>0</xdr:rowOff>
    </xdr:from>
    <xdr:to>
      <xdr:col>13</xdr:col>
      <xdr:colOff>0</xdr:colOff>
      <xdr:row>3043</xdr:row>
      <xdr:rowOff>114300</xdr:rowOff>
    </xdr:to>
    <xdr:pic>
      <xdr:nvPicPr>
        <xdr:cNvPr id="3446" name="Imagen 3445" descr="Ver detalle">
          <a:hlinkClick xmlns:r="http://schemas.openxmlformats.org/officeDocument/2006/relationships" r:id="rId3387" tooltip="Ver detalle"/>
          <a:extLst>
            <a:ext uri="{FF2B5EF4-FFF2-40B4-BE49-F238E27FC236}">
              <a16:creationId xmlns:a16="http://schemas.microsoft.com/office/drawing/2014/main" id="{DC663014-7E69-9EA1-84B3-7112FA4A4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8868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3047</xdr:row>
      <xdr:rowOff>0</xdr:rowOff>
    </xdr:from>
    <xdr:to>
      <xdr:col>13</xdr:col>
      <xdr:colOff>0</xdr:colOff>
      <xdr:row>3048</xdr:row>
      <xdr:rowOff>114300</xdr:rowOff>
    </xdr:to>
    <xdr:pic>
      <xdr:nvPicPr>
        <xdr:cNvPr id="3447" name="Imagen 3446" descr="Ver detalle">
          <a:hlinkClick xmlns:r="http://schemas.openxmlformats.org/officeDocument/2006/relationships" r:id="rId3388" tooltip="Ver detalle"/>
          <a:extLst>
            <a:ext uri="{FF2B5EF4-FFF2-40B4-BE49-F238E27FC236}">
              <a16:creationId xmlns:a16="http://schemas.microsoft.com/office/drawing/2014/main" id="{B94FA4ED-885B-150E-7036-68AD5EA9F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9112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3048</xdr:row>
      <xdr:rowOff>0</xdr:rowOff>
    </xdr:from>
    <xdr:to>
      <xdr:col>13</xdr:col>
      <xdr:colOff>0</xdr:colOff>
      <xdr:row>3049</xdr:row>
      <xdr:rowOff>114300</xdr:rowOff>
    </xdr:to>
    <xdr:pic>
      <xdr:nvPicPr>
        <xdr:cNvPr id="3448" name="Imagen 3447" descr="Ver detalle">
          <a:hlinkClick xmlns:r="http://schemas.openxmlformats.org/officeDocument/2006/relationships" r:id="rId3389" tooltip="Ver detalle"/>
          <a:extLst>
            <a:ext uri="{FF2B5EF4-FFF2-40B4-BE49-F238E27FC236}">
              <a16:creationId xmlns:a16="http://schemas.microsoft.com/office/drawing/2014/main" id="{74FFEAF7-E58F-1EB8-36B3-B4EA721C1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9356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3127</xdr:row>
      <xdr:rowOff>0</xdr:rowOff>
    </xdr:from>
    <xdr:to>
      <xdr:col>13</xdr:col>
      <xdr:colOff>0</xdr:colOff>
      <xdr:row>3128</xdr:row>
      <xdr:rowOff>114300</xdr:rowOff>
    </xdr:to>
    <xdr:pic>
      <xdr:nvPicPr>
        <xdr:cNvPr id="3449" name="Imagen 3448" descr="Ver detalle">
          <a:hlinkClick xmlns:r="http://schemas.openxmlformats.org/officeDocument/2006/relationships" r:id="rId3390" tooltip="Ver detalle"/>
          <a:extLst>
            <a:ext uri="{FF2B5EF4-FFF2-40B4-BE49-F238E27FC236}">
              <a16:creationId xmlns:a16="http://schemas.microsoft.com/office/drawing/2014/main" id="{BCBB00EC-F1FD-08DE-9895-1D8412C24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9600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3044</xdr:row>
      <xdr:rowOff>0</xdr:rowOff>
    </xdr:from>
    <xdr:to>
      <xdr:col>13</xdr:col>
      <xdr:colOff>0</xdr:colOff>
      <xdr:row>3045</xdr:row>
      <xdr:rowOff>114300</xdr:rowOff>
    </xdr:to>
    <xdr:pic>
      <xdr:nvPicPr>
        <xdr:cNvPr id="3450" name="Imagen 3449" descr="Ver detalle">
          <a:hlinkClick xmlns:r="http://schemas.openxmlformats.org/officeDocument/2006/relationships" r:id="rId3391" tooltip="Ver detalle"/>
          <a:extLst>
            <a:ext uri="{FF2B5EF4-FFF2-40B4-BE49-F238E27FC236}">
              <a16:creationId xmlns:a16="http://schemas.microsoft.com/office/drawing/2014/main" id="{FFAD8D5D-09A2-4CC9-6665-7B3B2359F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97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3043</xdr:row>
      <xdr:rowOff>0</xdr:rowOff>
    </xdr:from>
    <xdr:to>
      <xdr:col>13</xdr:col>
      <xdr:colOff>0</xdr:colOff>
      <xdr:row>3044</xdr:row>
      <xdr:rowOff>114300</xdr:rowOff>
    </xdr:to>
    <xdr:pic>
      <xdr:nvPicPr>
        <xdr:cNvPr id="3451" name="Imagen 3450" descr="Ver detalle">
          <a:hlinkClick xmlns:r="http://schemas.openxmlformats.org/officeDocument/2006/relationships" r:id="rId3392" tooltip="Ver detalle"/>
          <a:extLst>
            <a:ext uri="{FF2B5EF4-FFF2-40B4-BE49-F238E27FC236}">
              <a16:creationId xmlns:a16="http://schemas.microsoft.com/office/drawing/2014/main" id="{708F91DC-F749-197F-D21A-9E081D878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9958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3089</xdr:row>
      <xdr:rowOff>0</xdr:rowOff>
    </xdr:from>
    <xdr:to>
      <xdr:col>13</xdr:col>
      <xdr:colOff>0</xdr:colOff>
      <xdr:row>3090</xdr:row>
      <xdr:rowOff>114300</xdr:rowOff>
    </xdr:to>
    <xdr:pic>
      <xdr:nvPicPr>
        <xdr:cNvPr id="3452" name="Imagen 3451" descr="Ver detalle">
          <a:hlinkClick xmlns:r="http://schemas.openxmlformats.org/officeDocument/2006/relationships" r:id="rId3393" tooltip="Ver detalle"/>
          <a:extLst>
            <a:ext uri="{FF2B5EF4-FFF2-40B4-BE49-F238E27FC236}">
              <a16:creationId xmlns:a16="http://schemas.microsoft.com/office/drawing/2014/main" id="{C84DE0A5-B58A-11DB-9D88-BC1810A4D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0446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3177</xdr:row>
      <xdr:rowOff>0</xdr:rowOff>
    </xdr:from>
    <xdr:to>
      <xdr:col>13</xdr:col>
      <xdr:colOff>0</xdr:colOff>
      <xdr:row>3178</xdr:row>
      <xdr:rowOff>104775</xdr:rowOff>
    </xdr:to>
    <xdr:pic>
      <xdr:nvPicPr>
        <xdr:cNvPr id="3453" name="Imagen 3452" descr="Ver detalle">
          <a:hlinkClick xmlns:r="http://schemas.openxmlformats.org/officeDocument/2006/relationships" r:id="rId3394" tooltip="Ver detalle"/>
          <a:extLst>
            <a:ext uri="{FF2B5EF4-FFF2-40B4-BE49-F238E27FC236}">
              <a16:creationId xmlns:a16="http://schemas.microsoft.com/office/drawing/2014/main" id="{4515847F-B32A-B82F-F27C-CA8D28218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309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3177</xdr:row>
      <xdr:rowOff>0</xdr:rowOff>
    </xdr:from>
    <xdr:to>
      <xdr:col>13</xdr:col>
      <xdr:colOff>304800</xdr:colOff>
      <xdr:row>3178</xdr:row>
      <xdr:rowOff>104775</xdr:rowOff>
    </xdr:to>
    <xdr:pic>
      <xdr:nvPicPr>
        <xdr:cNvPr id="3454" name="Imagen 3453">
          <a:hlinkClick xmlns:r="http://schemas.openxmlformats.org/officeDocument/2006/relationships" r:id="rId3395" tooltip="Quitar este incidente de la liquidación"/>
          <a:extLst>
            <a:ext uri="{FF2B5EF4-FFF2-40B4-BE49-F238E27FC236}">
              <a16:creationId xmlns:a16="http://schemas.microsoft.com/office/drawing/2014/main" id="{83C9F8A9-A0A2-366D-AD75-C0958E8B0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0309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3245</xdr:row>
      <xdr:rowOff>0</xdr:rowOff>
    </xdr:from>
    <xdr:to>
      <xdr:col>13</xdr:col>
      <xdr:colOff>0</xdr:colOff>
      <xdr:row>3246</xdr:row>
      <xdr:rowOff>114300</xdr:rowOff>
    </xdr:to>
    <xdr:pic>
      <xdr:nvPicPr>
        <xdr:cNvPr id="3455" name="Imagen 3454" descr="Ver detalle">
          <a:hlinkClick xmlns:r="http://schemas.openxmlformats.org/officeDocument/2006/relationships" r:id="rId3396" tooltip="Ver detalle"/>
          <a:extLst>
            <a:ext uri="{FF2B5EF4-FFF2-40B4-BE49-F238E27FC236}">
              <a16:creationId xmlns:a16="http://schemas.microsoft.com/office/drawing/2014/main" id="{2F44D0DB-3F4D-45AE-3963-5D21D9EF0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553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3245</xdr:row>
      <xdr:rowOff>0</xdr:rowOff>
    </xdr:from>
    <xdr:to>
      <xdr:col>13</xdr:col>
      <xdr:colOff>304800</xdr:colOff>
      <xdr:row>3246</xdr:row>
      <xdr:rowOff>114300</xdr:rowOff>
    </xdr:to>
    <xdr:pic>
      <xdr:nvPicPr>
        <xdr:cNvPr id="3456" name="Imagen 3455">
          <a:hlinkClick xmlns:r="http://schemas.openxmlformats.org/officeDocument/2006/relationships" r:id="rId3397" tooltip="Quitar este incidente de la liquidación"/>
          <a:extLst>
            <a:ext uri="{FF2B5EF4-FFF2-40B4-BE49-F238E27FC236}">
              <a16:creationId xmlns:a16="http://schemas.microsoft.com/office/drawing/2014/main" id="{18A88C74-FB25-E727-86C9-E047FBC30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0553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3239</xdr:row>
      <xdr:rowOff>0</xdr:rowOff>
    </xdr:from>
    <xdr:to>
      <xdr:col>13</xdr:col>
      <xdr:colOff>0</xdr:colOff>
      <xdr:row>3240</xdr:row>
      <xdr:rowOff>114300</xdr:rowOff>
    </xdr:to>
    <xdr:pic>
      <xdr:nvPicPr>
        <xdr:cNvPr id="3457" name="Imagen 3456" descr="Ver detalle">
          <a:hlinkClick xmlns:r="http://schemas.openxmlformats.org/officeDocument/2006/relationships" r:id="rId3398" tooltip="Ver detalle"/>
          <a:extLst>
            <a:ext uri="{FF2B5EF4-FFF2-40B4-BE49-F238E27FC236}">
              <a16:creationId xmlns:a16="http://schemas.microsoft.com/office/drawing/2014/main" id="{E4B070A1-C26A-9B48-D845-2D440FCAC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667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3239</xdr:row>
      <xdr:rowOff>0</xdr:rowOff>
    </xdr:from>
    <xdr:to>
      <xdr:col>13</xdr:col>
      <xdr:colOff>304800</xdr:colOff>
      <xdr:row>3240</xdr:row>
      <xdr:rowOff>114300</xdr:rowOff>
    </xdr:to>
    <xdr:pic>
      <xdr:nvPicPr>
        <xdr:cNvPr id="3458" name="Imagen 3457">
          <a:hlinkClick xmlns:r="http://schemas.openxmlformats.org/officeDocument/2006/relationships" r:id="rId3399" tooltip="Quitar este incidente de la liquidación"/>
          <a:extLst>
            <a:ext uri="{FF2B5EF4-FFF2-40B4-BE49-F238E27FC236}">
              <a16:creationId xmlns:a16="http://schemas.microsoft.com/office/drawing/2014/main" id="{55A9AB84-E2AD-C913-BB11-A5C923344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0667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3240</xdr:row>
      <xdr:rowOff>0</xdr:rowOff>
    </xdr:from>
    <xdr:to>
      <xdr:col>13</xdr:col>
      <xdr:colOff>0</xdr:colOff>
      <xdr:row>3241</xdr:row>
      <xdr:rowOff>114300</xdr:rowOff>
    </xdr:to>
    <xdr:pic>
      <xdr:nvPicPr>
        <xdr:cNvPr id="3459" name="Imagen 3458" descr="Ver detalle">
          <a:hlinkClick xmlns:r="http://schemas.openxmlformats.org/officeDocument/2006/relationships" r:id="rId3400" tooltip="Ver detalle"/>
          <a:extLst>
            <a:ext uri="{FF2B5EF4-FFF2-40B4-BE49-F238E27FC236}">
              <a16:creationId xmlns:a16="http://schemas.microsoft.com/office/drawing/2014/main" id="{A491E2F3-016C-788D-955C-CB2EE05A8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911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3240</xdr:row>
      <xdr:rowOff>0</xdr:rowOff>
    </xdr:from>
    <xdr:to>
      <xdr:col>13</xdr:col>
      <xdr:colOff>304800</xdr:colOff>
      <xdr:row>3241</xdr:row>
      <xdr:rowOff>114300</xdr:rowOff>
    </xdr:to>
    <xdr:pic>
      <xdr:nvPicPr>
        <xdr:cNvPr id="3460" name="Imagen 3459">
          <a:hlinkClick xmlns:r="http://schemas.openxmlformats.org/officeDocument/2006/relationships" r:id="rId3401" tooltip="Quitar este incidente de la liquidación"/>
          <a:extLst>
            <a:ext uri="{FF2B5EF4-FFF2-40B4-BE49-F238E27FC236}">
              <a16:creationId xmlns:a16="http://schemas.microsoft.com/office/drawing/2014/main" id="{71EC2F7B-360B-6250-85EA-B1C054B3A6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0911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3241</xdr:row>
      <xdr:rowOff>0</xdr:rowOff>
    </xdr:from>
    <xdr:to>
      <xdr:col>13</xdr:col>
      <xdr:colOff>0</xdr:colOff>
      <xdr:row>3242</xdr:row>
      <xdr:rowOff>114300</xdr:rowOff>
    </xdr:to>
    <xdr:pic>
      <xdr:nvPicPr>
        <xdr:cNvPr id="3461" name="Imagen 3460" descr="Ver detalle">
          <a:hlinkClick xmlns:r="http://schemas.openxmlformats.org/officeDocument/2006/relationships" r:id="rId3402" tooltip="Ver detalle"/>
          <a:extLst>
            <a:ext uri="{FF2B5EF4-FFF2-40B4-BE49-F238E27FC236}">
              <a16:creationId xmlns:a16="http://schemas.microsoft.com/office/drawing/2014/main" id="{908752D8-A4BB-C7F3-63B2-BD0D8A779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155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3241</xdr:row>
      <xdr:rowOff>0</xdr:rowOff>
    </xdr:from>
    <xdr:to>
      <xdr:col>13</xdr:col>
      <xdr:colOff>304800</xdr:colOff>
      <xdr:row>3242</xdr:row>
      <xdr:rowOff>114300</xdr:rowOff>
    </xdr:to>
    <xdr:pic>
      <xdr:nvPicPr>
        <xdr:cNvPr id="3462" name="Imagen 3461">
          <a:hlinkClick xmlns:r="http://schemas.openxmlformats.org/officeDocument/2006/relationships" r:id="rId3403" tooltip="Quitar este incidente de la liquidación"/>
          <a:extLst>
            <a:ext uri="{FF2B5EF4-FFF2-40B4-BE49-F238E27FC236}">
              <a16:creationId xmlns:a16="http://schemas.microsoft.com/office/drawing/2014/main" id="{23B9E643-FFA8-B6D9-8052-70EF859C9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1155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3242</xdr:row>
      <xdr:rowOff>0</xdr:rowOff>
    </xdr:from>
    <xdr:to>
      <xdr:col>13</xdr:col>
      <xdr:colOff>0</xdr:colOff>
      <xdr:row>3243</xdr:row>
      <xdr:rowOff>114300</xdr:rowOff>
    </xdr:to>
    <xdr:pic>
      <xdr:nvPicPr>
        <xdr:cNvPr id="3463" name="Imagen 3462" descr="Ver detalle">
          <a:hlinkClick xmlns:r="http://schemas.openxmlformats.org/officeDocument/2006/relationships" r:id="rId3404" tooltip="Ver detalle"/>
          <a:extLst>
            <a:ext uri="{FF2B5EF4-FFF2-40B4-BE49-F238E27FC236}">
              <a16:creationId xmlns:a16="http://schemas.microsoft.com/office/drawing/2014/main" id="{1D926870-3D70-5F55-899B-0DB57334F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399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3242</xdr:row>
      <xdr:rowOff>0</xdr:rowOff>
    </xdr:from>
    <xdr:to>
      <xdr:col>13</xdr:col>
      <xdr:colOff>304800</xdr:colOff>
      <xdr:row>3243</xdr:row>
      <xdr:rowOff>114300</xdr:rowOff>
    </xdr:to>
    <xdr:pic>
      <xdr:nvPicPr>
        <xdr:cNvPr id="3464" name="Imagen 3463">
          <a:hlinkClick xmlns:r="http://schemas.openxmlformats.org/officeDocument/2006/relationships" r:id="rId3405" tooltip="Quitar este incidente de la liquidación"/>
          <a:extLst>
            <a:ext uri="{FF2B5EF4-FFF2-40B4-BE49-F238E27FC236}">
              <a16:creationId xmlns:a16="http://schemas.microsoft.com/office/drawing/2014/main" id="{ECDBADFA-A561-9E1B-B8AB-177C35285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1399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3243</xdr:row>
      <xdr:rowOff>0</xdr:rowOff>
    </xdr:from>
    <xdr:to>
      <xdr:col>13</xdr:col>
      <xdr:colOff>0</xdr:colOff>
      <xdr:row>3244</xdr:row>
      <xdr:rowOff>114300</xdr:rowOff>
    </xdr:to>
    <xdr:pic>
      <xdr:nvPicPr>
        <xdr:cNvPr id="3465" name="Imagen 3464" descr="Ver detalle">
          <a:hlinkClick xmlns:r="http://schemas.openxmlformats.org/officeDocument/2006/relationships" r:id="rId3406" tooltip="Ver detalle"/>
          <a:extLst>
            <a:ext uri="{FF2B5EF4-FFF2-40B4-BE49-F238E27FC236}">
              <a16:creationId xmlns:a16="http://schemas.microsoft.com/office/drawing/2014/main" id="{D728F140-8AA9-6606-8B82-D03730832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561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3243</xdr:row>
      <xdr:rowOff>0</xdr:rowOff>
    </xdr:from>
    <xdr:to>
      <xdr:col>13</xdr:col>
      <xdr:colOff>304800</xdr:colOff>
      <xdr:row>3244</xdr:row>
      <xdr:rowOff>114300</xdr:rowOff>
    </xdr:to>
    <xdr:pic>
      <xdr:nvPicPr>
        <xdr:cNvPr id="3466" name="Imagen 3465">
          <a:hlinkClick xmlns:r="http://schemas.openxmlformats.org/officeDocument/2006/relationships" r:id="rId3407" tooltip="Quitar este incidente de la liquidación"/>
          <a:extLst>
            <a:ext uri="{FF2B5EF4-FFF2-40B4-BE49-F238E27FC236}">
              <a16:creationId xmlns:a16="http://schemas.microsoft.com/office/drawing/2014/main" id="{CC22342E-B218-7242-9885-8AA81662C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1561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3244</xdr:row>
      <xdr:rowOff>0</xdr:rowOff>
    </xdr:from>
    <xdr:to>
      <xdr:col>13</xdr:col>
      <xdr:colOff>0</xdr:colOff>
      <xdr:row>3245</xdr:row>
      <xdr:rowOff>114300</xdr:rowOff>
    </xdr:to>
    <xdr:pic>
      <xdr:nvPicPr>
        <xdr:cNvPr id="3467" name="Imagen 3466" descr="Ver detalle">
          <a:hlinkClick xmlns:r="http://schemas.openxmlformats.org/officeDocument/2006/relationships" r:id="rId3408" tooltip="Ver detalle"/>
          <a:extLst>
            <a:ext uri="{FF2B5EF4-FFF2-40B4-BE49-F238E27FC236}">
              <a16:creationId xmlns:a16="http://schemas.microsoft.com/office/drawing/2014/main" id="{8343C47E-ABFE-044E-A989-AA150F614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724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3244</xdr:row>
      <xdr:rowOff>0</xdr:rowOff>
    </xdr:from>
    <xdr:to>
      <xdr:col>13</xdr:col>
      <xdr:colOff>304800</xdr:colOff>
      <xdr:row>3245</xdr:row>
      <xdr:rowOff>114300</xdr:rowOff>
    </xdr:to>
    <xdr:pic>
      <xdr:nvPicPr>
        <xdr:cNvPr id="3468" name="Imagen 3467">
          <a:hlinkClick xmlns:r="http://schemas.openxmlformats.org/officeDocument/2006/relationships" r:id="rId3409" tooltip="Quitar este incidente de la liquidación"/>
          <a:extLst>
            <a:ext uri="{FF2B5EF4-FFF2-40B4-BE49-F238E27FC236}">
              <a16:creationId xmlns:a16="http://schemas.microsoft.com/office/drawing/2014/main" id="{AFE28999-E92E-7DCE-FEE1-AC7B3A0974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1724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3238</xdr:row>
      <xdr:rowOff>0</xdr:rowOff>
    </xdr:from>
    <xdr:to>
      <xdr:col>13</xdr:col>
      <xdr:colOff>0</xdr:colOff>
      <xdr:row>3239</xdr:row>
      <xdr:rowOff>114300</xdr:rowOff>
    </xdr:to>
    <xdr:pic>
      <xdr:nvPicPr>
        <xdr:cNvPr id="3469" name="Imagen 3468" descr="Ver detalle">
          <a:hlinkClick xmlns:r="http://schemas.openxmlformats.org/officeDocument/2006/relationships" r:id="rId3410" tooltip="Ver detalle"/>
          <a:extLst>
            <a:ext uri="{FF2B5EF4-FFF2-40B4-BE49-F238E27FC236}">
              <a16:creationId xmlns:a16="http://schemas.microsoft.com/office/drawing/2014/main" id="{4640A077-058E-8292-C4A1-E62E08B52D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887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3238</xdr:row>
      <xdr:rowOff>0</xdr:rowOff>
    </xdr:from>
    <xdr:to>
      <xdr:col>13</xdr:col>
      <xdr:colOff>304800</xdr:colOff>
      <xdr:row>3239</xdr:row>
      <xdr:rowOff>114300</xdr:rowOff>
    </xdr:to>
    <xdr:pic>
      <xdr:nvPicPr>
        <xdr:cNvPr id="3470" name="Imagen 3469">
          <a:hlinkClick xmlns:r="http://schemas.openxmlformats.org/officeDocument/2006/relationships" r:id="rId3411" tooltip="Quitar este incidente de la liquidación"/>
          <a:extLst>
            <a:ext uri="{FF2B5EF4-FFF2-40B4-BE49-F238E27FC236}">
              <a16:creationId xmlns:a16="http://schemas.microsoft.com/office/drawing/2014/main" id="{83AB4C12-D914-6C52-CF6C-375D73D01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1887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3231</xdr:row>
      <xdr:rowOff>0</xdr:rowOff>
    </xdr:from>
    <xdr:to>
      <xdr:col>13</xdr:col>
      <xdr:colOff>0</xdr:colOff>
      <xdr:row>3232</xdr:row>
      <xdr:rowOff>114300</xdr:rowOff>
    </xdr:to>
    <xdr:pic>
      <xdr:nvPicPr>
        <xdr:cNvPr id="3471" name="Imagen 3470" descr="Ver detalle">
          <a:hlinkClick xmlns:r="http://schemas.openxmlformats.org/officeDocument/2006/relationships" r:id="rId3412" tooltip="Ver detalle"/>
          <a:extLst>
            <a:ext uri="{FF2B5EF4-FFF2-40B4-BE49-F238E27FC236}">
              <a16:creationId xmlns:a16="http://schemas.microsoft.com/office/drawing/2014/main" id="{2918C625-977A-F80D-9FB9-AE3F4B434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131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3231</xdr:row>
      <xdr:rowOff>0</xdr:rowOff>
    </xdr:from>
    <xdr:to>
      <xdr:col>13</xdr:col>
      <xdr:colOff>304800</xdr:colOff>
      <xdr:row>3232</xdr:row>
      <xdr:rowOff>114300</xdr:rowOff>
    </xdr:to>
    <xdr:pic>
      <xdr:nvPicPr>
        <xdr:cNvPr id="3472" name="Imagen 3471">
          <a:hlinkClick xmlns:r="http://schemas.openxmlformats.org/officeDocument/2006/relationships" r:id="rId3413" tooltip="Quitar este incidente de la liquidación"/>
          <a:extLst>
            <a:ext uri="{FF2B5EF4-FFF2-40B4-BE49-F238E27FC236}">
              <a16:creationId xmlns:a16="http://schemas.microsoft.com/office/drawing/2014/main" id="{1CE5843D-FE4C-3048-5D71-EE30896D6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2131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3232</xdr:row>
      <xdr:rowOff>0</xdr:rowOff>
    </xdr:from>
    <xdr:to>
      <xdr:col>13</xdr:col>
      <xdr:colOff>0</xdr:colOff>
      <xdr:row>3233</xdr:row>
      <xdr:rowOff>114300</xdr:rowOff>
    </xdr:to>
    <xdr:pic>
      <xdr:nvPicPr>
        <xdr:cNvPr id="3473" name="Imagen 3472" descr="Ver detalle">
          <a:hlinkClick xmlns:r="http://schemas.openxmlformats.org/officeDocument/2006/relationships" r:id="rId3414" tooltip="Ver detalle"/>
          <a:extLst>
            <a:ext uri="{FF2B5EF4-FFF2-40B4-BE49-F238E27FC236}">
              <a16:creationId xmlns:a16="http://schemas.microsoft.com/office/drawing/2014/main" id="{8E2A55C1-DED3-0074-F488-C649E7AB0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375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3232</xdr:row>
      <xdr:rowOff>0</xdr:rowOff>
    </xdr:from>
    <xdr:to>
      <xdr:col>13</xdr:col>
      <xdr:colOff>304800</xdr:colOff>
      <xdr:row>3233</xdr:row>
      <xdr:rowOff>114300</xdr:rowOff>
    </xdr:to>
    <xdr:pic>
      <xdr:nvPicPr>
        <xdr:cNvPr id="3474" name="Imagen 3473">
          <a:hlinkClick xmlns:r="http://schemas.openxmlformats.org/officeDocument/2006/relationships" r:id="rId3415" tooltip="Quitar este incidente de la liquidación"/>
          <a:extLst>
            <a:ext uri="{FF2B5EF4-FFF2-40B4-BE49-F238E27FC236}">
              <a16:creationId xmlns:a16="http://schemas.microsoft.com/office/drawing/2014/main" id="{63964C7C-CF38-B013-48D0-966E0A217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2375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3233</xdr:row>
      <xdr:rowOff>0</xdr:rowOff>
    </xdr:from>
    <xdr:to>
      <xdr:col>13</xdr:col>
      <xdr:colOff>0</xdr:colOff>
      <xdr:row>3234</xdr:row>
      <xdr:rowOff>114300</xdr:rowOff>
    </xdr:to>
    <xdr:pic>
      <xdr:nvPicPr>
        <xdr:cNvPr id="3475" name="Imagen 3474" descr="Ver detalle">
          <a:hlinkClick xmlns:r="http://schemas.openxmlformats.org/officeDocument/2006/relationships" r:id="rId3416" tooltip="Ver detalle"/>
          <a:extLst>
            <a:ext uri="{FF2B5EF4-FFF2-40B4-BE49-F238E27FC236}">
              <a16:creationId xmlns:a16="http://schemas.microsoft.com/office/drawing/2014/main" id="{945BCAA4-1A65-CBF5-1E23-56B657E5B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619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3233</xdr:row>
      <xdr:rowOff>0</xdr:rowOff>
    </xdr:from>
    <xdr:to>
      <xdr:col>13</xdr:col>
      <xdr:colOff>304800</xdr:colOff>
      <xdr:row>3234</xdr:row>
      <xdr:rowOff>114300</xdr:rowOff>
    </xdr:to>
    <xdr:pic>
      <xdr:nvPicPr>
        <xdr:cNvPr id="3476" name="Imagen 3475">
          <a:hlinkClick xmlns:r="http://schemas.openxmlformats.org/officeDocument/2006/relationships" r:id="rId3417" tooltip="Quitar este incidente de la liquidación"/>
          <a:extLst>
            <a:ext uri="{FF2B5EF4-FFF2-40B4-BE49-F238E27FC236}">
              <a16:creationId xmlns:a16="http://schemas.microsoft.com/office/drawing/2014/main" id="{2E4E5CB1-8BBB-0073-4172-76497184E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2619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3234</xdr:row>
      <xdr:rowOff>0</xdr:rowOff>
    </xdr:from>
    <xdr:to>
      <xdr:col>13</xdr:col>
      <xdr:colOff>0</xdr:colOff>
      <xdr:row>3235</xdr:row>
      <xdr:rowOff>114300</xdr:rowOff>
    </xdr:to>
    <xdr:pic>
      <xdr:nvPicPr>
        <xdr:cNvPr id="3477" name="Imagen 3476" descr="Ver detalle">
          <a:hlinkClick xmlns:r="http://schemas.openxmlformats.org/officeDocument/2006/relationships" r:id="rId3418" tooltip="Ver detalle"/>
          <a:extLst>
            <a:ext uri="{FF2B5EF4-FFF2-40B4-BE49-F238E27FC236}">
              <a16:creationId xmlns:a16="http://schemas.microsoft.com/office/drawing/2014/main" id="{B87E2CCC-4B3A-D7E3-EA6A-0EEE9F56E2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733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3234</xdr:row>
      <xdr:rowOff>0</xdr:rowOff>
    </xdr:from>
    <xdr:to>
      <xdr:col>13</xdr:col>
      <xdr:colOff>304800</xdr:colOff>
      <xdr:row>3235</xdr:row>
      <xdr:rowOff>114300</xdr:rowOff>
    </xdr:to>
    <xdr:pic>
      <xdr:nvPicPr>
        <xdr:cNvPr id="3478" name="Imagen 3477">
          <a:hlinkClick xmlns:r="http://schemas.openxmlformats.org/officeDocument/2006/relationships" r:id="rId3419" tooltip="Quitar este incidente de la liquidación"/>
          <a:extLst>
            <a:ext uri="{FF2B5EF4-FFF2-40B4-BE49-F238E27FC236}">
              <a16:creationId xmlns:a16="http://schemas.microsoft.com/office/drawing/2014/main" id="{2F062862-40EA-96F2-F116-F0EC71D91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2733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3235</xdr:row>
      <xdr:rowOff>0</xdr:rowOff>
    </xdr:from>
    <xdr:to>
      <xdr:col>13</xdr:col>
      <xdr:colOff>0</xdr:colOff>
      <xdr:row>3236</xdr:row>
      <xdr:rowOff>114300</xdr:rowOff>
    </xdr:to>
    <xdr:pic>
      <xdr:nvPicPr>
        <xdr:cNvPr id="3479" name="Imagen 3478" descr="Ver detalle">
          <a:hlinkClick xmlns:r="http://schemas.openxmlformats.org/officeDocument/2006/relationships" r:id="rId3420" tooltip="Ver detalle"/>
          <a:extLst>
            <a:ext uri="{FF2B5EF4-FFF2-40B4-BE49-F238E27FC236}">
              <a16:creationId xmlns:a16="http://schemas.microsoft.com/office/drawing/2014/main" id="{46EE638D-E6B7-B33E-9FC6-0014F0FC2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847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3235</xdr:row>
      <xdr:rowOff>0</xdr:rowOff>
    </xdr:from>
    <xdr:to>
      <xdr:col>13</xdr:col>
      <xdr:colOff>304800</xdr:colOff>
      <xdr:row>3236</xdr:row>
      <xdr:rowOff>114300</xdr:rowOff>
    </xdr:to>
    <xdr:pic>
      <xdr:nvPicPr>
        <xdr:cNvPr id="3480" name="Imagen 3479">
          <a:hlinkClick xmlns:r="http://schemas.openxmlformats.org/officeDocument/2006/relationships" r:id="rId3421" tooltip="Quitar este incidente de la liquidación"/>
          <a:extLst>
            <a:ext uri="{FF2B5EF4-FFF2-40B4-BE49-F238E27FC236}">
              <a16:creationId xmlns:a16="http://schemas.microsoft.com/office/drawing/2014/main" id="{1EF8B5A0-FCC1-C283-80E9-743EBCADA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2847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3236</xdr:row>
      <xdr:rowOff>0</xdr:rowOff>
    </xdr:from>
    <xdr:to>
      <xdr:col>13</xdr:col>
      <xdr:colOff>0</xdr:colOff>
      <xdr:row>3237</xdr:row>
      <xdr:rowOff>114300</xdr:rowOff>
    </xdr:to>
    <xdr:pic>
      <xdr:nvPicPr>
        <xdr:cNvPr id="3481" name="Imagen 3480" descr="Ver detalle">
          <a:hlinkClick xmlns:r="http://schemas.openxmlformats.org/officeDocument/2006/relationships" r:id="rId3422" tooltip="Ver detalle"/>
          <a:extLst>
            <a:ext uri="{FF2B5EF4-FFF2-40B4-BE49-F238E27FC236}">
              <a16:creationId xmlns:a16="http://schemas.microsoft.com/office/drawing/2014/main" id="{CFF31967-8C30-C494-007E-B4C5B28BA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962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3236</xdr:row>
      <xdr:rowOff>0</xdr:rowOff>
    </xdr:from>
    <xdr:to>
      <xdr:col>13</xdr:col>
      <xdr:colOff>304800</xdr:colOff>
      <xdr:row>3237</xdr:row>
      <xdr:rowOff>114300</xdr:rowOff>
    </xdr:to>
    <xdr:pic>
      <xdr:nvPicPr>
        <xdr:cNvPr id="3482" name="Imagen 3481">
          <a:hlinkClick xmlns:r="http://schemas.openxmlformats.org/officeDocument/2006/relationships" r:id="rId3423" tooltip="Quitar este incidente de la liquidación"/>
          <a:extLst>
            <a:ext uri="{FF2B5EF4-FFF2-40B4-BE49-F238E27FC236}">
              <a16:creationId xmlns:a16="http://schemas.microsoft.com/office/drawing/2014/main" id="{0CE0947A-E038-9EB8-D780-6AF8CEEB8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2962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3237</xdr:row>
      <xdr:rowOff>0</xdr:rowOff>
    </xdr:from>
    <xdr:to>
      <xdr:col>13</xdr:col>
      <xdr:colOff>0</xdr:colOff>
      <xdr:row>3238</xdr:row>
      <xdr:rowOff>114300</xdr:rowOff>
    </xdr:to>
    <xdr:pic>
      <xdr:nvPicPr>
        <xdr:cNvPr id="3483" name="Imagen 3482" descr="Ver detalle">
          <a:hlinkClick xmlns:r="http://schemas.openxmlformats.org/officeDocument/2006/relationships" r:id="rId3424" tooltip="Ver detalle"/>
          <a:extLst>
            <a:ext uri="{FF2B5EF4-FFF2-40B4-BE49-F238E27FC236}">
              <a16:creationId xmlns:a16="http://schemas.microsoft.com/office/drawing/2014/main" id="{5BF2B53B-11ED-831D-D995-6EF6ABFB0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076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3237</xdr:row>
      <xdr:rowOff>0</xdr:rowOff>
    </xdr:from>
    <xdr:to>
      <xdr:col>13</xdr:col>
      <xdr:colOff>304800</xdr:colOff>
      <xdr:row>3238</xdr:row>
      <xdr:rowOff>114300</xdr:rowOff>
    </xdr:to>
    <xdr:pic>
      <xdr:nvPicPr>
        <xdr:cNvPr id="3484" name="Imagen 3483">
          <a:hlinkClick xmlns:r="http://schemas.openxmlformats.org/officeDocument/2006/relationships" r:id="rId3425" tooltip="Quitar este incidente de la liquidación"/>
          <a:extLst>
            <a:ext uri="{FF2B5EF4-FFF2-40B4-BE49-F238E27FC236}">
              <a16:creationId xmlns:a16="http://schemas.microsoft.com/office/drawing/2014/main" id="{4931A20F-8871-10FE-00C0-A93ED508C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076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3227</xdr:row>
      <xdr:rowOff>0</xdr:rowOff>
    </xdr:from>
    <xdr:to>
      <xdr:col>13</xdr:col>
      <xdr:colOff>0</xdr:colOff>
      <xdr:row>3228</xdr:row>
      <xdr:rowOff>114300</xdr:rowOff>
    </xdr:to>
    <xdr:pic>
      <xdr:nvPicPr>
        <xdr:cNvPr id="3485" name="Imagen 3484" descr="Ver detalle">
          <a:hlinkClick xmlns:r="http://schemas.openxmlformats.org/officeDocument/2006/relationships" r:id="rId3426" tooltip="Ver detalle"/>
          <a:extLst>
            <a:ext uri="{FF2B5EF4-FFF2-40B4-BE49-F238E27FC236}">
              <a16:creationId xmlns:a16="http://schemas.microsoft.com/office/drawing/2014/main" id="{55497399-FA97-E69F-A2F2-6CDEA333E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190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3227</xdr:row>
      <xdr:rowOff>0</xdr:rowOff>
    </xdr:from>
    <xdr:to>
      <xdr:col>13</xdr:col>
      <xdr:colOff>304800</xdr:colOff>
      <xdr:row>3228</xdr:row>
      <xdr:rowOff>114300</xdr:rowOff>
    </xdr:to>
    <xdr:pic>
      <xdr:nvPicPr>
        <xdr:cNvPr id="3486" name="Imagen 3485">
          <a:hlinkClick xmlns:r="http://schemas.openxmlformats.org/officeDocument/2006/relationships" r:id="rId3427" tooltip="Quitar este incidente de la liquidación"/>
          <a:extLst>
            <a:ext uri="{FF2B5EF4-FFF2-40B4-BE49-F238E27FC236}">
              <a16:creationId xmlns:a16="http://schemas.microsoft.com/office/drawing/2014/main" id="{A38284DC-FDCA-7A3D-6C0D-12E3162850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190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3228</xdr:row>
      <xdr:rowOff>0</xdr:rowOff>
    </xdr:from>
    <xdr:to>
      <xdr:col>13</xdr:col>
      <xdr:colOff>0</xdr:colOff>
      <xdr:row>3229</xdr:row>
      <xdr:rowOff>114300</xdr:rowOff>
    </xdr:to>
    <xdr:pic>
      <xdr:nvPicPr>
        <xdr:cNvPr id="3487" name="Imagen 3486" descr="Ver detalle">
          <a:hlinkClick xmlns:r="http://schemas.openxmlformats.org/officeDocument/2006/relationships" r:id="rId3428" tooltip="Ver detalle"/>
          <a:extLst>
            <a:ext uri="{FF2B5EF4-FFF2-40B4-BE49-F238E27FC236}">
              <a16:creationId xmlns:a16="http://schemas.microsoft.com/office/drawing/2014/main" id="{DF2B73ED-AEF8-D31F-E867-AE90939BA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434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3228</xdr:row>
      <xdr:rowOff>0</xdr:rowOff>
    </xdr:from>
    <xdr:to>
      <xdr:col>13</xdr:col>
      <xdr:colOff>304800</xdr:colOff>
      <xdr:row>3229</xdr:row>
      <xdr:rowOff>114300</xdr:rowOff>
    </xdr:to>
    <xdr:pic>
      <xdr:nvPicPr>
        <xdr:cNvPr id="3488" name="Imagen 3487">
          <a:hlinkClick xmlns:r="http://schemas.openxmlformats.org/officeDocument/2006/relationships" r:id="rId3429" tooltip="Quitar este incidente de la liquidación"/>
          <a:extLst>
            <a:ext uri="{FF2B5EF4-FFF2-40B4-BE49-F238E27FC236}">
              <a16:creationId xmlns:a16="http://schemas.microsoft.com/office/drawing/2014/main" id="{4DD88086-A283-70F3-74A8-B90A6DC12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434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3229</xdr:row>
      <xdr:rowOff>0</xdr:rowOff>
    </xdr:from>
    <xdr:to>
      <xdr:col>13</xdr:col>
      <xdr:colOff>0</xdr:colOff>
      <xdr:row>3230</xdr:row>
      <xdr:rowOff>114300</xdr:rowOff>
    </xdr:to>
    <xdr:pic>
      <xdr:nvPicPr>
        <xdr:cNvPr id="3489" name="Imagen 3488" descr="Ver detalle">
          <a:hlinkClick xmlns:r="http://schemas.openxmlformats.org/officeDocument/2006/relationships" r:id="rId3430" tooltip="Ver detalle"/>
          <a:extLst>
            <a:ext uri="{FF2B5EF4-FFF2-40B4-BE49-F238E27FC236}">
              <a16:creationId xmlns:a16="http://schemas.microsoft.com/office/drawing/2014/main" id="{6F0BC4A9-441B-2ED3-264A-1254F9FD3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678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3229</xdr:row>
      <xdr:rowOff>0</xdr:rowOff>
    </xdr:from>
    <xdr:to>
      <xdr:col>13</xdr:col>
      <xdr:colOff>304800</xdr:colOff>
      <xdr:row>3230</xdr:row>
      <xdr:rowOff>114300</xdr:rowOff>
    </xdr:to>
    <xdr:pic>
      <xdr:nvPicPr>
        <xdr:cNvPr id="3490" name="Imagen 3489">
          <a:hlinkClick xmlns:r="http://schemas.openxmlformats.org/officeDocument/2006/relationships" r:id="rId3431" tooltip="Quitar este incidente de la liquidación"/>
          <a:extLst>
            <a:ext uri="{FF2B5EF4-FFF2-40B4-BE49-F238E27FC236}">
              <a16:creationId xmlns:a16="http://schemas.microsoft.com/office/drawing/2014/main" id="{512CC5DA-02E9-0457-0DA1-0076F2BC4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678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3230</xdr:row>
      <xdr:rowOff>0</xdr:rowOff>
    </xdr:from>
    <xdr:to>
      <xdr:col>13</xdr:col>
      <xdr:colOff>0</xdr:colOff>
      <xdr:row>3231</xdr:row>
      <xdr:rowOff>114300</xdr:rowOff>
    </xdr:to>
    <xdr:pic>
      <xdr:nvPicPr>
        <xdr:cNvPr id="3491" name="Imagen 3490" descr="Ver detalle">
          <a:hlinkClick xmlns:r="http://schemas.openxmlformats.org/officeDocument/2006/relationships" r:id="rId3432" tooltip="Ver detalle"/>
          <a:extLst>
            <a:ext uri="{FF2B5EF4-FFF2-40B4-BE49-F238E27FC236}">
              <a16:creationId xmlns:a16="http://schemas.microsoft.com/office/drawing/2014/main" id="{820A1BB0-D945-AA0D-6BF6-561F5AA02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792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3230</xdr:row>
      <xdr:rowOff>0</xdr:rowOff>
    </xdr:from>
    <xdr:to>
      <xdr:col>13</xdr:col>
      <xdr:colOff>304800</xdr:colOff>
      <xdr:row>3231</xdr:row>
      <xdr:rowOff>114300</xdr:rowOff>
    </xdr:to>
    <xdr:pic>
      <xdr:nvPicPr>
        <xdr:cNvPr id="3492" name="Imagen 3491">
          <a:hlinkClick xmlns:r="http://schemas.openxmlformats.org/officeDocument/2006/relationships" r:id="rId3433" tooltip="Quitar este incidente de la liquidación"/>
          <a:extLst>
            <a:ext uri="{FF2B5EF4-FFF2-40B4-BE49-F238E27FC236}">
              <a16:creationId xmlns:a16="http://schemas.microsoft.com/office/drawing/2014/main" id="{4FD093A4-50B0-8994-1510-99AE9AEFA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792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3223</xdr:row>
      <xdr:rowOff>0</xdr:rowOff>
    </xdr:from>
    <xdr:to>
      <xdr:col>13</xdr:col>
      <xdr:colOff>0</xdr:colOff>
      <xdr:row>3224</xdr:row>
      <xdr:rowOff>114300</xdr:rowOff>
    </xdr:to>
    <xdr:pic>
      <xdr:nvPicPr>
        <xdr:cNvPr id="3493" name="Imagen 3492" descr="Ver detalle">
          <a:hlinkClick xmlns:r="http://schemas.openxmlformats.org/officeDocument/2006/relationships" r:id="rId3434" tooltip="Ver detalle"/>
          <a:extLst>
            <a:ext uri="{FF2B5EF4-FFF2-40B4-BE49-F238E27FC236}">
              <a16:creationId xmlns:a16="http://schemas.microsoft.com/office/drawing/2014/main" id="{2A06AAB5-494D-42F6-A8D4-DA77569F7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036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3223</xdr:row>
      <xdr:rowOff>0</xdr:rowOff>
    </xdr:from>
    <xdr:to>
      <xdr:col>13</xdr:col>
      <xdr:colOff>304800</xdr:colOff>
      <xdr:row>3224</xdr:row>
      <xdr:rowOff>114300</xdr:rowOff>
    </xdr:to>
    <xdr:pic>
      <xdr:nvPicPr>
        <xdr:cNvPr id="3494" name="Imagen 3493">
          <a:hlinkClick xmlns:r="http://schemas.openxmlformats.org/officeDocument/2006/relationships" r:id="rId3435" tooltip="Quitar este incidente de la liquidación"/>
          <a:extLst>
            <a:ext uri="{FF2B5EF4-FFF2-40B4-BE49-F238E27FC236}">
              <a16:creationId xmlns:a16="http://schemas.microsoft.com/office/drawing/2014/main" id="{A32CFB9D-C272-6238-B24A-06E143B81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4036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3224</xdr:row>
      <xdr:rowOff>0</xdr:rowOff>
    </xdr:from>
    <xdr:to>
      <xdr:col>13</xdr:col>
      <xdr:colOff>0</xdr:colOff>
      <xdr:row>3225</xdr:row>
      <xdr:rowOff>114300</xdr:rowOff>
    </xdr:to>
    <xdr:pic>
      <xdr:nvPicPr>
        <xdr:cNvPr id="3495" name="Imagen 3494" descr="Ver detalle">
          <a:hlinkClick xmlns:r="http://schemas.openxmlformats.org/officeDocument/2006/relationships" r:id="rId3436" tooltip="Ver detalle"/>
          <a:extLst>
            <a:ext uri="{FF2B5EF4-FFF2-40B4-BE49-F238E27FC236}">
              <a16:creationId xmlns:a16="http://schemas.microsoft.com/office/drawing/2014/main" id="{FAD24664-9F7E-AACE-D334-3EB47CD35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280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3224</xdr:row>
      <xdr:rowOff>0</xdr:rowOff>
    </xdr:from>
    <xdr:to>
      <xdr:col>13</xdr:col>
      <xdr:colOff>304800</xdr:colOff>
      <xdr:row>3225</xdr:row>
      <xdr:rowOff>114300</xdr:rowOff>
    </xdr:to>
    <xdr:pic>
      <xdr:nvPicPr>
        <xdr:cNvPr id="3496" name="Imagen 3495">
          <a:hlinkClick xmlns:r="http://schemas.openxmlformats.org/officeDocument/2006/relationships" r:id="rId3437" tooltip="Quitar este incidente de la liquidación"/>
          <a:extLst>
            <a:ext uri="{FF2B5EF4-FFF2-40B4-BE49-F238E27FC236}">
              <a16:creationId xmlns:a16="http://schemas.microsoft.com/office/drawing/2014/main" id="{AE03780C-E20E-518E-C731-B5AB98AC7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4280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3225</xdr:row>
      <xdr:rowOff>0</xdr:rowOff>
    </xdr:from>
    <xdr:to>
      <xdr:col>13</xdr:col>
      <xdr:colOff>0</xdr:colOff>
      <xdr:row>3226</xdr:row>
      <xdr:rowOff>114300</xdr:rowOff>
    </xdr:to>
    <xdr:pic>
      <xdr:nvPicPr>
        <xdr:cNvPr id="3497" name="Imagen 3496" descr="Ver detalle">
          <a:hlinkClick xmlns:r="http://schemas.openxmlformats.org/officeDocument/2006/relationships" r:id="rId3438" tooltip="Ver detalle"/>
          <a:extLst>
            <a:ext uri="{FF2B5EF4-FFF2-40B4-BE49-F238E27FC236}">
              <a16:creationId xmlns:a16="http://schemas.microsoft.com/office/drawing/2014/main" id="{285F0829-240E-713E-E4A9-4CA2BBEC4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524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3225</xdr:row>
      <xdr:rowOff>0</xdr:rowOff>
    </xdr:from>
    <xdr:to>
      <xdr:col>13</xdr:col>
      <xdr:colOff>304800</xdr:colOff>
      <xdr:row>3226</xdr:row>
      <xdr:rowOff>114300</xdr:rowOff>
    </xdr:to>
    <xdr:pic>
      <xdr:nvPicPr>
        <xdr:cNvPr id="3498" name="Imagen 3497">
          <a:hlinkClick xmlns:r="http://schemas.openxmlformats.org/officeDocument/2006/relationships" r:id="rId3439" tooltip="Quitar este incidente de la liquidación"/>
          <a:extLst>
            <a:ext uri="{FF2B5EF4-FFF2-40B4-BE49-F238E27FC236}">
              <a16:creationId xmlns:a16="http://schemas.microsoft.com/office/drawing/2014/main" id="{E3CCD479-E9E3-97FA-491D-2C1B72539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4524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3226</xdr:row>
      <xdr:rowOff>0</xdr:rowOff>
    </xdr:from>
    <xdr:to>
      <xdr:col>13</xdr:col>
      <xdr:colOff>0</xdr:colOff>
      <xdr:row>3227</xdr:row>
      <xdr:rowOff>114300</xdr:rowOff>
    </xdr:to>
    <xdr:pic>
      <xdr:nvPicPr>
        <xdr:cNvPr id="3499" name="Imagen 3498" descr="Ver detalle">
          <a:hlinkClick xmlns:r="http://schemas.openxmlformats.org/officeDocument/2006/relationships" r:id="rId3440" tooltip="Ver detalle"/>
          <a:extLst>
            <a:ext uri="{FF2B5EF4-FFF2-40B4-BE49-F238E27FC236}">
              <a16:creationId xmlns:a16="http://schemas.microsoft.com/office/drawing/2014/main" id="{BD0E0347-0FFE-1D8F-502F-8778A522A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768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3226</xdr:row>
      <xdr:rowOff>0</xdr:rowOff>
    </xdr:from>
    <xdr:to>
      <xdr:col>13</xdr:col>
      <xdr:colOff>304800</xdr:colOff>
      <xdr:row>3227</xdr:row>
      <xdr:rowOff>114300</xdr:rowOff>
    </xdr:to>
    <xdr:pic>
      <xdr:nvPicPr>
        <xdr:cNvPr id="3500" name="Imagen 3499">
          <a:hlinkClick xmlns:r="http://schemas.openxmlformats.org/officeDocument/2006/relationships" r:id="rId3441" tooltip="Quitar este incidente de la liquidación"/>
          <a:extLst>
            <a:ext uri="{FF2B5EF4-FFF2-40B4-BE49-F238E27FC236}">
              <a16:creationId xmlns:a16="http://schemas.microsoft.com/office/drawing/2014/main" id="{EC87B61B-2A4F-2212-EA3A-A0454C117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4768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3175</xdr:row>
      <xdr:rowOff>0</xdr:rowOff>
    </xdr:from>
    <xdr:to>
      <xdr:col>13</xdr:col>
      <xdr:colOff>0</xdr:colOff>
      <xdr:row>3176</xdr:row>
      <xdr:rowOff>114300</xdr:rowOff>
    </xdr:to>
    <xdr:pic>
      <xdr:nvPicPr>
        <xdr:cNvPr id="3501" name="Imagen 3500" descr="Ver detalle">
          <a:hlinkClick xmlns:r="http://schemas.openxmlformats.org/officeDocument/2006/relationships" r:id="rId3442" tooltip="Ver detalle"/>
          <a:extLst>
            <a:ext uri="{FF2B5EF4-FFF2-40B4-BE49-F238E27FC236}">
              <a16:creationId xmlns:a16="http://schemas.microsoft.com/office/drawing/2014/main" id="{4DA745F7-2A3C-DD34-6C64-4978C1F19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126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3175</xdr:row>
      <xdr:rowOff>0</xdr:rowOff>
    </xdr:from>
    <xdr:to>
      <xdr:col>13</xdr:col>
      <xdr:colOff>304800</xdr:colOff>
      <xdr:row>3176</xdr:row>
      <xdr:rowOff>114300</xdr:rowOff>
    </xdr:to>
    <xdr:pic>
      <xdr:nvPicPr>
        <xdr:cNvPr id="3502" name="Imagen 3501">
          <a:hlinkClick xmlns:r="http://schemas.openxmlformats.org/officeDocument/2006/relationships" r:id="rId3443" tooltip="Quitar este incidente de la liquidación"/>
          <a:extLst>
            <a:ext uri="{FF2B5EF4-FFF2-40B4-BE49-F238E27FC236}">
              <a16:creationId xmlns:a16="http://schemas.microsoft.com/office/drawing/2014/main" id="{B70D3170-76F1-A555-7F7C-4F89D0EBE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5126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3173</xdr:row>
      <xdr:rowOff>0</xdr:rowOff>
    </xdr:from>
    <xdr:to>
      <xdr:col>13</xdr:col>
      <xdr:colOff>0</xdr:colOff>
      <xdr:row>3174</xdr:row>
      <xdr:rowOff>114300</xdr:rowOff>
    </xdr:to>
    <xdr:pic>
      <xdr:nvPicPr>
        <xdr:cNvPr id="3503" name="Imagen 3502" descr="Ver detalle">
          <a:hlinkClick xmlns:r="http://schemas.openxmlformats.org/officeDocument/2006/relationships" r:id="rId3444" tooltip="Ver detalle"/>
          <a:extLst>
            <a:ext uri="{FF2B5EF4-FFF2-40B4-BE49-F238E27FC236}">
              <a16:creationId xmlns:a16="http://schemas.microsoft.com/office/drawing/2014/main" id="{2669E764-892C-C7DB-992F-760F17885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240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3173</xdr:row>
      <xdr:rowOff>0</xdr:rowOff>
    </xdr:from>
    <xdr:to>
      <xdr:col>13</xdr:col>
      <xdr:colOff>304800</xdr:colOff>
      <xdr:row>3174</xdr:row>
      <xdr:rowOff>114300</xdr:rowOff>
    </xdr:to>
    <xdr:pic>
      <xdr:nvPicPr>
        <xdr:cNvPr id="3504" name="Imagen 3503">
          <a:hlinkClick xmlns:r="http://schemas.openxmlformats.org/officeDocument/2006/relationships" r:id="rId3445" tooltip="Quitar este incidente de la liquidación"/>
          <a:extLst>
            <a:ext uri="{FF2B5EF4-FFF2-40B4-BE49-F238E27FC236}">
              <a16:creationId xmlns:a16="http://schemas.microsoft.com/office/drawing/2014/main" id="{7C815C3C-DB2F-BCCC-1C7D-14F5D31D0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5240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3169</xdr:row>
      <xdr:rowOff>0</xdr:rowOff>
    </xdr:from>
    <xdr:to>
      <xdr:col>13</xdr:col>
      <xdr:colOff>0</xdr:colOff>
      <xdr:row>3170</xdr:row>
      <xdr:rowOff>114300</xdr:rowOff>
    </xdr:to>
    <xdr:pic>
      <xdr:nvPicPr>
        <xdr:cNvPr id="3505" name="Imagen 3504" descr="Ver detalle">
          <a:hlinkClick xmlns:r="http://schemas.openxmlformats.org/officeDocument/2006/relationships" r:id="rId3446" tooltip="Ver detalle"/>
          <a:extLst>
            <a:ext uri="{FF2B5EF4-FFF2-40B4-BE49-F238E27FC236}">
              <a16:creationId xmlns:a16="http://schemas.microsoft.com/office/drawing/2014/main" id="{F0250A81-8237-8A97-D5E2-53939BA26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484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3169</xdr:row>
      <xdr:rowOff>0</xdr:rowOff>
    </xdr:from>
    <xdr:to>
      <xdr:col>13</xdr:col>
      <xdr:colOff>304800</xdr:colOff>
      <xdr:row>3170</xdr:row>
      <xdr:rowOff>114300</xdr:rowOff>
    </xdr:to>
    <xdr:pic>
      <xdr:nvPicPr>
        <xdr:cNvPr id="3506" name="Imagen 3505">
          <a:hlinkClick xmlns:r="http://schemas.openxmlformats.org/officeDocument/2006/relationships" r:id="rId3447" tooltip="Quitar este incidente de la liquidación"/>
          <a:extLst>
            <a:ext uri="{FF2B5EF4-FFF2-40B4-BE49-F238E27FC236}">
              <a16:creationId xmlns:a16="http://schemas.microsoft.com/office/drawing/2014/main" id="{500D563E-3325-0A7B-961C-121A46A81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5484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3174</xdr:row>
      <xdr:rowOff>0</xdr:rowOff>
    </xdr:from>
    <xdr:to>
      <xdr:col>13</xdr:col>
      <xdr:colOff>0</xdr:colOff>
      <xdr:row>3175</xdr:row>
      <xdr:rowOff>114300</xdr:rowOff>
    </xdr:to>
    <xdr:pic>
      <xdr:nvPicPr>
        <xdr:cNvPr id="3507" name="Imagen 3506" descr="Ver detalle">
          <a:hlinkClick xmlns:r="http://schemas.openxmlformats.org/officeDocument/2006/relationships" r:id="rId3448" tooltip="Ver detalle"/>
          <a:extLst>
            <a:ext uri="{FF2B5EF4-FFF2-40B4-BE49-F238E27FC236}">
              <a16:creationId xmlns:a16="http://schemas.microsoft.com/office/drawing/2014/main" id="{441B9F30-2053-125A-7A7D-EEEE19BD4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728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3174</xdr:row>
      <xdr:rowOff>0</xdr:rowOff>
    </xdr:from>
    <xdr:to>
      <xdr:col>13</xdr:col>
      <xdr:colOff>304800</xdr:colOff>
      <xdr:row>3175</xdr:row>
      <xdr:rowOff>114300</xdr:rowOff>
    </xdr:to>
    <xdr:pic>
      <xdr:nvPicPr>
        <xdr:cNvPr id="3508" name="Imagen 3507">
          <a:hlinkClick xmlns:r="http://schemas.openxmlformats.org/officeDocument/2006/relationships" r:id="rId3449" tooltip="Quitar este incidente de la liquidación"/>
          <a:extLst>
            <a:ext uri="{FF2B5EF4-FFF2-40B4-BE49-F238E27FC236}">
              <a16:creationId xmlns:a16="http://schemas.microsoft.com/office/drawing/2014/main" id="{AC4D27BC-CE27-BCFF-B572-D40B2A8C5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5728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3165</xdr:row>
      <xdr:rowOff>0</xdr:rowOff>
    </xdr:from>
    <xdr:to>
      <xdr:col>13</xdr:col>
      <xdr:colOff>0</xdr:colOff>
      <xdr:row>3166</xdr:row>
      <xdr:rowOff>114300</xdr:rowOff>
    </xdr:to>
    <xdr:pic>
      <xdr:nvPicPr>
        <xdr:cNvPr id="3509" name="Imagen 3508" descr="Ver detalle">
          <a:hlinkClick xmlns:r="http://schemas.openxmlformats.org/officeDocument/2006/relationships" r:id="rId3450" tooltip="Ver detalle"/>
          <a:extLst>
            <a:ext uri="{FF2B5EF4-FFF2-40B4-BE49-F238E27FC236}">
              <a16:creationId xmlns:a16="http://schemas.microsoft.com/office/drawing/2014/main" id="{2B62AEE2-4AA8-5D10-1021-CE40917D4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891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3165</xdr:row>
      <xdr:rowOff>0</xdr:rowOff>
    </xdr:from>
    <xdr:to>
      <xdr:col>13</xdr:col>
      <xdr:colOff>304800</xdr:colOff>
      <xdr:row>3166</xdr:row>
      <xdr:rowOff>114300</xdr:rowOff>
    </xdr:to>
    <xdr:pic>
      <xdr:nvPicPr>
        <xdr:cNvPr id="3510" name="Imagen 3509">
          <a:hlinkClick xmlns:r="http://schemas.openxmlformats.org/officeDocument/2006/relationships" r:id="rId3451" tooltip="Quitar este incidente de la liquidación"/>
          <a:extLst>
            <a:ext uri="{FF2B5EF4-FFF2-40B4-BE49-F238E27FC236}">
              <a16:creationId xmlns:a16="http://schemas.microsoft.com/office/drawing/2014/main" id="{CC358DEF-25C8-0103-E0C4-135D3A22B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5891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3170</xdr:row>
      <xdr:rowOff>0</xdr:rowOff>
    </xdr:from>
    <xdr:to>
      <xdr:col>13</xdr:col>
      <xdr:colOff>0</xdr:colOff>
      <xdr:row>3171</xdr:row>
      <xdr:rowOff>114300</xdr:rowOff>
    </xdr:to>
    <xdr:pic>
      <xdr:nvPicPr>
        <xdr:cNvPr id="3511" name="Imagen 3510" descr="Ver detalle">
          <a:hlinkClick xmlns:r="http://schemas.openxmlformats.org/officeDocument/2006/relationships" r:id="rId3452" tooltip="Ver detalle"/>
          <a:extLst>
            <a:ext uri="{FF2B5EF4-FFF2-40B4-BE49-F238E27FC236}">
              <a16:creationId xmlns:a16="http://schemas.microsoft.com/office/drawing/2014/main" id="{F49267F2-9B36-7CAD-9FA5-C8C3E8E0A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134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3170</xdr:row>
      <xdr:rowOff>0</xdr:rowOff>
    </xdr:from>
    <xdr:to>
      <xdr:col>13</xdr:col>
      <xdr:colOff>304800</xdr:colOff>
      <xdr:row>3171</xdr:row>
      <xdr:rowOff>114300</xdr:rowOff>
    </xdr:to>
    <xdr:pic>
      <xdr:nvPicPr>
        <xdr:cNvPr id="3512" name="Imagen 3511">
          <a:hlinkClick xmlns:r="http://schemas.openxmlformats.org/officeDocument/2006/relationships" r:id="rId3453" tooltip="Quitar este incidente de la liquidación"/>
          <a:extLst>
            <a:ext uri="{FF2B5EF4-FFF2-40B4-BE49-F238E27FC236}">
              <a16:creationId xmlns:a16="http://schemas.microsoft.com/office/drawing/2014/main" id="{64E8CDEE-A7C9-B0AE-843F-7E6907C6C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6134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3172</xdr:row>
      <xdr:rowOff>0</xdr:rowOff>
    </xdr:from>
    <xdr:to>
      <xdr:col>13</xdr:col>
      <xdr:colOff>0</xdr:colOff>
      <xdr:row>3173</xdr:row>
      <xdr:rowOff>114300</xdr:rowOff>
    </xdr:to>
    <xdr:pic>
      <xdr:nvPicPr>
        <xdr:cNvPr id="3513" name="Imagen 3512" descr="Ver detalle">
          <a:hlinkClick xmlns:r="http://schemas.openxmlformats.org/officeDocument/2006/relationships" r:id="rId3454" tooltip="Ver detalle"/>
          <a:extLst>
            <a:ext uri="{FF2B5EF4-FFF2-40B4-BE49-F238E27FC236}">
              <a16:creationId xmlns:a16="http://schemas.microsoft.com/office/drawing/2014/main" id="{F11A882C-C5A8-EBEB-BDC8-BACD9FBCF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378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3172</xdr:row>
      <xdr:rowOff>0</xdr:rowOff>
    </xdr:from>
    <xdr:to>
      <xdr:col>13</xdr:col>
      <xdr:colOff>304800</xdr:colOff>
      <xdr:row>3173</xdr:row>
      <xdr:rowOff>114300</xdr:rowOff>
    </xdr:to>
    <xdr:pic>
      <xdr:nvPicPr>
        <xdr:cNvPr id="3514" name="Imagen 3513">
          <a:hlinkClick xmlns:r="http://schemas.openxmlformats.org/officeDocument/2006/relationships" r:id="rId3455" tooltip="Quitar este incidente de la liquidación"/>
          <a:extLst>
            <a:ext uri="{FF2B5EF4-FFF2-40B4-BE49-F238E27FC236}">
              <a16:creationId xmlns:a16="http://schemas.microsoft.com/office/drawing/2014/main" id="{3E17E827-4E07-FF50-15FE-B16525C52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6378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3167</xdr:row>
      <xdr:rowOff>0</xdr:rowOff>
    </xdr:from>
    <xdr:to>
      <xdr:col>13</xdr:col>
      <xdr:colOff>0</xdr:colOff>
      <xdr:row>3168</xdr:row>
      <xdr:rowOff>114300</xdr:rowOff>
    </xdr:to>
    <xdr:pic>
      <xdr:nvPicPr>
        <xdr:cNvPr id="3515" name="Imagen 3514" descr="Ver detalle">
          <a:hlinkClick xmlns:r="http://schemas.openxmlformats.org/officeDocument/2006/relationships" r:id="rId3456" tooltip="Ver detalle"/>
          <a:extLst>
            <a:ext uri="{FF2B5EF4-FFF2-40B4-BE49-F238E27FC236}">
              <a16:creationId xmlns:a16="http://schemas.microsoft.com/office/drawing/2014/main" id="{6A981037-34AA-F240-AF8E-862BBD236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622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3167</xdr:row>
      <xdr:rowOff>0</xdr:rowOff>
    </xdr:from>
    <xdr:to>
      <xdr:col>13</xdr:col>
      <xdr:colOff>304800</xdr:colOff>
      <xdr:row>3168</xdr:row>
      <xdr:rowOff>114300</xdr:rowOff>
    </xdr:to>
    <xdr:pic>
      <xdr:nvPicPr>
        <xdr:cNvPr id="3516" name="Imagen 3515">
          <a:hlinkClick xmlns:r="http://schemas.openxmlformats.org/officeDocument/2006/relationships" r:id="rId3457" tooltip="Quitar este incidente de la liquidación"/>
          <a:extLst>
            <a:ext uri="{FF2B5EF4-FFF2-40B4-BE49-F238E27FC236}">
              <a16:creationId xmlns:a16="http://schemas.microsoft.com/office/drawing/2014/main" id="{50370BC4-2229-5560-2125-DCA2FCCB5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6622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3168</xdr:row>
      <xdr:rowOff>0</xdr:rowOff>
    </xdr:from>
    <xdr:to>
      <xdr:col>13</xdr:col>
      <xdr:colOff>0</xdr:colOff>
      <xdr:row>3169</xdr:row>
      <xdr:rowOff>114300</xdr:rowOff>
    </xdr:to>
    <xdr:pic>
      <xdr:nvPicPr>
        <xdr:cNvPr id="3517" name="Imagen 3516" descr="Ver detalle">
          <a:hlinkClick xmlns:r="http://schemas.openxmlformats.org/officeDocument/2006/relationships" r:id="rId3458" tooltip="Ver detalle"/>
          <a:extLst>
            <a:ext uri="{FF2B5EF4-FFF2-40B4-BE49-F238E27FC236}">
              <a16:creationId xmlns:a16="http://schemas.microsoft.com/office/drawing/2014/main" id="{A7D12AA6-B401-3B4C-B904-B2F29FC17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866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3168</xdr:row>
      <xdr:rowOff>0</xdr:rowOff>
    </xdr:from>
    <xdr:to>
      <xdr:col>13</xdr:col>
      <xdr:colOff>304800</xdr:colOff>
      <xdr:row>3169</xdr:row>
      <xdr:rowOff>114300</xdr:rowOff>
    </xdr:to>
    <xdr:pic>
      <xdr:nvPicPr>
        <xdr:cNvPr id="3518" name="Imagen 3517">
          <a:hlinkClick xmlns:r="http://schemas.openxmlformats.org/officeDocument/2006/relationships" r:id="rId3459" tooltip="Quitar este incidente de la liquidación"/>
          <a:extLst>
            <a:ext uri="{FF2B5EF4-FFF2-40B4-BE49-F238E27FC236}">
              <a16:creationId xmlns:a16="http://schemas.microsoft.com/office/drawing/2014/main" id="{CFC4DB05-C949-0E1E-0062-03024664A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6866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3217</xdr:row>
      <xdr:rowOff>0</xdr:rowOff>
    </xdr:from>
    <xdr:to>
      <xdr:col>13</xdr:col>
      <xdr:colOff>0</xdr:colOff>
      <xdr:row>3218</xdr:row>
      <xdr:rowOff>114300</xdr:rowOff>
    </xdr:to>
    <xdr:pic>
      <xdr:nvPicPr>
        <xdr:cNvPr id="3519" name="Imagen 3518" descr="Ver detalle">
          <a:hlinkClick xmlns:r="http://schemas.openxmlformats.org/officeDocument/2006/relationships" r:id="rId3460" tooltip="Ver detalle"/>
          <a:extLst>
            <a:ext uri="{FF2B5EF4-FFF2-40B4-BE49-F238E27FC236}">
              <a16:creationId xmlns:a16="http://schemas.microsoft.com/office/drawing/2014/main" id="{0AA05FB7-684B-41E6-160B-4558BCD7F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110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3217</xdr:row>
      <xdr:rowOff>0</xdr:rowOff>
    </xdr:from>
    <xdr:to>
      <xdr:col>13</xdr:col>
      <xdr:colOff>304800</xdr:colOff>
      <xdr:row>3218</xdr:row>
      <xdr:rowOff>114300</xdr:rowOff>
    </xdr:to>
    <xdr:pic>
      <xdr:nvPicPr>
        <xdr:cNvPr id="3520" name="Imagen 3519">
          <a:hlinkClick xmlns:r="http://schemas.openxmlformats.org/officeDocument/2006/relationships" r:id="rId3461" tooltip="Quitar este incidente de la liquidación"/>
          <a:extLst>
            <a:ext uri="{FF2B5EF4-FFF2-40B4-BE49-F238E27FC236}">
              <a16:creationId xmlns:a16="http://schemas.microsoft.com/office/drawing/2014/main" id="{0905A61F-913D-69BD-A632-483608097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7110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3218</xdr:row>
      <xdr:rowOff>0</xdr:rowOff>
    </xdr:from>
    <xdr:to>
      <xdr:col>13</xdr:col>
      <xdr:colOff>0</xdr:colOff>
      <xdr:row>3219</xdr:row>
      <xdr:rowOff>114300</xdr:rowOff>
    </xdr:to>
    <xdr:pic>
      <xdr:nvPicPr>
        <xdr:cNvPr id="3521" name="Imagen 3520" descr="Ver detalle">
          <a:hlinkClick xmlns:r="http://schemas.openxmlformats.org/officeDocument/2006/relationships" r:id="rId3462" tooltip="Ver detalle"/>
          <a:extLst>
            <a:ext uri="{FF2B5EF4-FFF2-40B4-BE49-F238E27FC236}">
              <a16:creationId xmlns:a16="http://schemas.microsoft.com/office/drawing/2014/main" id="{0C43A11F-8567-BD42-5379-0B77E182C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354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3218</xdr:row>
      <xdr:rowOff>0</xdr:rowOff>
    </xdr:from>
    <xdr:to>
      <xdr:col>13</xdr:col>
      <xdr:colOff>304800</xdr:colOff>
      <xdr:row>3219</xdr:row>
      <xdr:rowOff>114300</xdr:rowOff>
    </xdr:to>
    <xdr:pic>
      <xdr:nvPicPr>
        <xdr:cNvPr id="3522" name="Imagen 3521">
          <a:hlinkClick xmlns:r="http://schemas.openxmlformats.org/officeDocument/2006/relationships" r:id="rId3463" tooltip="Quitar este incidente de la liquidación"/>
          <a:extLst>
            <a:ext uri="{FF2B5EF4-FFF2-40B4-BE49-F238E27FC236}">
              <a16:creationId xmlns:a16="http://schemas.microsoft.com/office/drawing/2014/main" id="{2DD8420A-E60A-E7BC-51CA-5AF64A86D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7354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3221</xdr:row>
      <xdr:rowOff>0</xdr:rowOff>
    </xdr:from>
    <xdr:to>
      <xdr:col>13</xdr:col>
      <xdr:colOff>0</xdr:colOff>
      <xdr:row>3222</xdr:row>
      <xdr:rowOff>114300</xdr:rowOff>
    </xdr:to>
    <xdr:pic>
      <xdr:nvPicPr>
        <xdr:cNvPr id="3523" name="Imagen 3522" descr="Ver detalle">
          <a:hlinkClick xmlns:r="http://schemas.openxmlformats.org/officeDocument/2006/relationships" r:id="rId3464" tooltip="Ver detalle"/>
          <a:extLst>
            <a:ext uri="{FF2B5EF4-FFF2-40B4-BE49-F238E27FC236}">
              <a16:creationId xmlns:a16="http://schemas.microsoft.com/office/drawing/2014/main" id="{16BA0E3B-D58D-1A9D-F1FB-5F602C6B1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597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3221</xdr:row>
      <xdr:rowOff>0</xdr:rowOff>
    </xdr:from>
    <xdr:to>
      <xdr:col>13</xdr:col>
      <xdr:colOff>304800</xdr:colOff>
      <xdr:row>3222</xdr:row>
      <xdr:rowOff>114300</xdr:rowOff>
    </xdr:to>
    <xdr:pic>
      <xdr:nvPicPr>
        <xdr:cNvPr id="3524" name="Imagen 3523">
          <a:hlinkClick xmlns:r="http://schemas.openxmlformats.org/officeDocument/2006/relationships" r:id="rId3465" tooltip="Quitar este incidente de la liquidación"/>
          <a:extLst>
            <a:ext uri="{FF2B5EF4-FFF2-40B4-BE49-F238E27FC236}">
              <a16:creationId xmlns:a16="http://schemas.microsoft.com/office/drawing/2014/main" id="{F41ECC71-14F1-75D9-6CB9-2512060B8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7597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3222</xdr:row>
      <xdr:rowOff>0</xdr:rowOff>
    </xdr:from>
    <xdr:to>
      <xdr:col>13</xdr:col>
      <xdr:colOff>0</xdr:colOff>
      <xdr:row>3223</xdr:row>
      <xdr:rowOff>114300</xdr:rowOff>
    </xdr:to>
    <xdr:pic>
      <xdr:nvPicPr>
        <xdr:cNvPr id="3525" name="Imagen 3524" descr="Ver detalle">
          <a:hlinkClick xmlns:r="http://schemas.openxmlformats.org/officeDocument/2006/relationships" r:id="rId3466" tooltip="Ver detalle"/>
          <a:extLst>
            <a:ext uri="{FF2B5EF4-FFF2-40B4-BE49-F238E27FC236}">
              <a16:creationId xmlns:a16="http://schemas.microsoft.com/office/drawing/2014/main" id="{4AB27F5E-9C10-D819-8ACC-F7D7121B6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841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3222</xdr:row>
      <xdr:rowOff>0</xdr:rowOff>
    </xdr:from>
    <xdr:to>
      <xdr:col>13</xdr:col>
      <xdr:colOff>304800</xdr:colOff>
      <xdr:row>3223</xdr:row>
      <xdr:rowOff>114300</xdr:rowOff>
    </xdr:to>
    <xdr:pic>
      <xdr:nvPicPr>
        <xdr:cNvPr id="3526" name="Imagen 3525">
          <a:hlinkClick xmlns:r="http://schemas.openxmlformats.org/officeDocument/2006/relationships" r:id="rId3467" tooltip="Quitar este incidente de la liquidación"/>
          <a:extLst>
            <a:ext uri="{FF2B5EF4-FFF2-40B4-BE49-F238E27FC236}">
              <a16:creationId xmlns:a16="http://schemas.microsoft.com/office/drawing/2014/main" id="{CE5D148C-3FA3-17B2-9B52-52EEF806BD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7841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3219</xdr:row>
      <xdr:rowOff>0</xdr:rowOff>
    </xdr:from>
    <xdr:to>
      <xdr:col>13</xdr:col>
      <xdr:colOff>0</xdr:colOff>
      <xdr:row>3220</xdr:row>
      <xdr:rowOff>114300</xdr:rowOff>
    </xdr:to>
    <xdr:pic>
      <xdr:nvPicPr>
        <xdr:cNvPr id="3527" name="Imagen 3526" descr="Ver detalle">
          <a:hlinkClick xmlns:r="http://schemas.openxmlformats.org/officeDocument/2006/relationships" r:id="rId3468" tooltip="Ver detalle"/>
          <a:extLst>
            <a:ext uri="{FF2B5EF4-FFF2-40B4-BE49-F238E27FC236}">
              <a16:creationId xmlns:a16="http://schemas.microsoft.com/office/drawing/2014/main" id="{A5B408C3-097B-720D-5AD9-CC0A52E45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085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3219</xdr:row>
      <xdr:rowOff>0</xdr:rowOff>
    </xdr:from>
    <xdr:to>
      <xdr:col>13</xdr:col>
      <xdr:colOff>304800</xdr:colOff>
      <xdr:row>3220</xdr:row>
      <xdr:rowOff>114300</xdr:rowOff>
    </xdr:to>
    <xdr:pic>
      <xdr:nvPicPr>
        <xdr:cNvPr id="3528" name="Imagen 3527">
          <a:hlinkClick xmlns:r="http://schemas.openxmlformats.org/officeDocument/2006/relationships" r:id="rId3469" tooltip="Quitar este incidente de la liquidación"/>
          <a:extLst>
            <a:ext uri="{FF2B5EF4-FFF2-40B4-BE49-F238E27FC236}">
              <a16:creationId xmlns:a16="http://schemas.microsoft.com/office/drawing/2014/main" id="{4A0EB7DE-F296-3A11-F724-C11930A44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8085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3220</xdr:row>
      <xdr:rowOff>0</xdr:rowOff>
    </xdr:from>
    <xdr:to>
      <xdr:col>13</xdr:col>
      <xdr:colOff>0</xdr:colOff>
      <xdr:row>3221</xdr:row>
      <xdr:rowOff>114300</xdr:rowOff>
    </xdr:to>
    <xdr:pic>
      <xdr:nvPicPr>
        <xdr:cNvPr id="3529" name="Imagen 3528" descr="Ver detalle">
          <a:hlinkClick xmlns:r="http://schemas.openxmlformats.org/officeDocument/2006/relationships" r:id="rId3470" tooltip="Ver detalle"/>
          <a:extLst>
            <a:ext uri="{FF2B5EF4-FFF2-40B4-BE49-F238E27FC236}">
              <a16:creationId xmlns:a16="http://schemas.microsoft.com/office/drawing/2014/main" id="{A4ABAD7E-F909-F242-9E58-528A240D8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248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3220</xdr:row>
      <xdr:rowOff>0</xdr:rowOff>
    </xdr:from>
    <xdr:to>
      <xdr:col>13</xdr:col>
      <xdr:colOff>304800</xdr:colOff>
      <xdr:row>3221</xdr:row>
      <xdr:rowOff>114300</xdr:rowOff>
    </xdr:to>
    <xdr:pic>
      <xdr:nvPicPr>
        <xdr:cNvPr id="3530" name="Imagen 3529">
          <a:hlinkClick xmlns:r="http://schemas.openxmlformats.org/officeDocument/2006/relationships" r:id="rId3471" tooltip="Quitar este incidente de la liquidación"/>
          <a:extLst>
            <a:ext uri="{FF2B5EF4-FFF2-40B4-BE49-F238E27FC236}">
              <a16:creationId xmlns:a16="http://schemas.microsoft.com/office/drawing/2014/main" id="{CA22AC2C-CDFB-0276-E391-1452938F2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8248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3171</xdr:row>
      <xdr:rowOff>0</xdr:rowOff>
    </xdr:from>
    <xdr:to>
      <xdr:col>13</xdr:col>
      <xdr:colOff>0</xdr:colOff>
      <xdr:row>3172</xdr:row>
      <xdr:rowOff>114300</xdr:rowOff>
    </xdr:to>
    <xdr:pic>
      <xdr:nvPicPr>
        <xdr:cNvPr id="3531" name="Imagen 3530" descr="Ver detalle">
          <a:hlinkClick xmlns:r="http://schemas.openxmlformats.org/officeDocument/2006/relationships" r:id="rId3472" tooltip="Ver detalle"/>
          <a:extLst>
            <a:ext uri="{FF2B5EF4-FFF2-40B4-BE49-F238E27FC236}">
              <a16:creationId xmlns:a16="http://schemas.microsoft.com/office/drawing/2014/main" id="{534AFF93-8CB1-0645-305C-EDE5DCC17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411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3171</xdr:row>
      <xdr:rowOff>0</xdr:rowOff>
    </xdr:from>
    <xdr:to>
      <xdr:col>13</xdr:col>
      <xdr:colOff>304800</xdr:colOff>
      <xdr:row>3172</xdr:row>
      <xdr:rowOff>114300</xdr:rowOff>
    </xdr:to>
    <xdr:pic>
      <xdr:nvPicPr>
        <xdr:cNvPr id="3532" name="Imagen 3531">
          <a:hlinkClick xmlns:r="http://schemas.openxmlformats.org/officeDocument/2006/relationships" r:id="rId3473" tooltip="Quitar este incidente de la liquidación"/>
          <a:extLst>
            <a:ext uri="{FF2B5EF4-FFF2-40B4-BE49-F238E27FC236}">
              <a16:creationId xmlns:a16="http://schemas.microsoft.com/office/drawing/2014/main" id="{A57BACCF-8680-F058-0A11-7C7EBD6E7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8411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3163</xdr:row>
      <xdr:rowOff>0</xdr:rowOff>
    </xdr:from>
    <xdr:to>
      <xdr:col>13</xdr:col>
      <xdr:colOff>0</xdr:colOff>
      <xdr:row>3164</xdr:row>
      <xdr:rowOff>114300</xdr:rowOff>
    </xdr:to>
    <xdr:pic>
      <xdr:nvPicPr>
        <xdr:cNvPr id="3533" name="Imagen 3532" descr="Ver detalle">
          <a:hlinkClick xmlns:r="http://schemas.openxmlformats.org/officeDocument/2006/relationships" r:id="rId3474" tooltip="Ver detalle"/>
          <a:extLst>
            <a:ext uri="{FF2B5EF4-FFF2-40B4-BE49-F238E27FC236}">
              <a16:creationId xmlns:a16="http://schemas.microsoft.com/office/drawing/2014/main" id="{181202E3-D6C3-9112-9930-86B3E83A5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525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3163</xdr:row>
      <xdr:rowOff>0</xdr:rowOff>
    </xdr:from>
    <xdr:to>
      <xdr:col>13</xdr:col>
      <xdr:colOff>304800</xdr:colOff>
      <xdr:row>3164</xdr:row>
      <xdr:rowOff>114300</xdr:rowOff>
    </xdr:to>
    <xdr:pic>
      <xdr:nvPicPr>
        <xdr:cNvPr id="3534" name="Imagen 3533">
          <a:hlinkClick xmlns:r="http://schemas.openxmlformats.org/officeDocument/2006/relationships" r:id="rId3475" tooltip="Quitar este incidente de la liquidación"/>
          <a:extLst>
            <a:ext uri="{FF2B5EF4-FFF2-40B4-BE49-F238E27FC236}">
              <a16:creationId xmlns:a16="http://schemas.microsoft.com/office/drawing/2014/main" id="{BD9B843E-E2BF-D2ED-C6D8-73A1162AF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8525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3212</xdr:row>
      <xdr:rowOff>0</xdr:rowOff>
    </xdr:from>
    <xdr:to>
      <xdr:col>13</xdr:col>
      <xdr:colOff>0</xdr:colOff>
      <xdr:row>3213</xdr:row>
      <xdr:rowOff>114300</xdr:rowOff>
    </xdr:to>
    <xdr:pic>
      <xdr:nvPicPr>
        <xdr:cNvPr id="3535" name="Imagen 3534" descr="Ver detalle">
          <a:hlinkClick xmlns:r="http://schemas.openxmlformats.org/officeDocument/2006/relationships" r:id="rId3476" tooltip="Ver detalle"/>
          <a:extLst>
            <a:ext uri="{FF2B5EF4-FFF2-40B4-BE49-F238E27FC236}">
              <a16:creationId xmlns:a16="http://schemas.microsoft.com/office/drawing/2014/main" id="{242EDD3F-7DD9-B374-F113-E30EC5F41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640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3212</xdr:row>
      <xdr:rowOff>0</xdr:rowOff>
    </xdr:from>
    <xdr:to>
      <xdr:col>13</xdr:col>
      <xdr:colOff>304800</xdr:colOff>
      <xdr:row>3213</xdr:row>
      <xdr:rowOff>114300</xdr:rowOff>
    </xdr:to>
    <xdr:pic>
      <xdr:nvPicPr>
        <xdr:cNvPr id="3536" name="Imagen 3535">
          <a:hlinkClick xmlns:r="http://schemas.openxmlformats.org/officeDocument/2006/relationships" r:id="rId3477" tooltip="Quitar este incidente de la liquidación"/>
          <a:extLst>
            <a:ext uri="{FF2B5EF4-FFF2-40B4-BE49-F238E27FC236}">
              <a16:creationId xmlns:a16="http://schemas.microsoft.com/office/drawing/2014/main" id="{4DAB4D68-96FA-52F9-9106-8A362E005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8640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3213</xdr:row>
      <xdr:rowOff>0</xdr:rowOff>
    </xdr:from>
    <xdr:to>
      <xdr:col>13</xdr:col>
      <xdr:colOff>0</xdr:colOff>
      <xdr:row>3214</xdr:row>
      <xdr:rowOff>114300</xdr:rowOff>
    </xdr:to>
    <xdr:pic>
      <xdr:nvPicPr>
        <xdr:cNvPr id="3537" name="Imagen 3536" descr="Ver detalle">
          <a:hlinkClick xmlns:r="http://schemas.openxmlformats.org/officeDocument/2006/relationships" r:id="rId3478" tooltip="Ver detalle"/>
          <a:extLst>
            <a:ext uri="{FF2B5EF4-FFF2-40B4-BE49-F238E27FC236}">
              <a16:creationId xmlns:a16="http://schemas.microsoft.com/office/drawing/2014/main" id="{12662178-2C10-56DB-F5D7-2E7311D6A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883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3213</xdr:row>
      <xdr:rowOff>0</xdr:rowOff>
    </xdr:from>
    <xdr:to>
      <xdr:col>13</xdr:col>
      <xdr:colOff>304800</xdr:colOff>
      <xdr:row>3214</xdr:row>
      <xdr:rowOff>114300</xdr:rowOff>
    </xdr:to>
    <xdr:pic>
      <xdr:nvPicPr>
        <xdr:cNvPr id="3538" name="Imagen 3537">
          <a:hlinkClick xmlns:r="http://schemas.openxmlformats.org/officeDocument/2006/relationships" r:id="rId3479" tooltip="Quitar este incidente de la liquidación"/>
          <a:extLst>
            <a:ext uri="{FF2B5EF4-FFF2-40B4-BE49-F238E27FC236}">
              <a16:creationId xmlns:a16="http://schemas.microsoft.com/office/drawing/2014/main" id="{174A248C-CAB9-9B95-D14B-24F6FDBC3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8883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3214</xdr:row>
      <xdr:rowOff>0</xdr:rowOff>
    </xdr:from>
    <xdr:to>
      <xdr:col>13</xdr:col>
      <xdr:colOff>0</xdr:colOff>
      <xdr:row>3215</xdr:row>
      <xdr:rowOff>114300</xdr:rowOff>
    </xdr:to>
    <xdr:pic>
      <xdr:nvPicPr>
        <xdr:cNvPr id="3539" name="Imagen 3538" descr="Ver detalle">
          <a:hlinkClick xmlns:r="http://schemas.openxmlformats.org/officeDocument/2006/relationships" r:id="rId3480" tooltip="Ver detalle"/>
          <a:extLst>
            <a:ext uri="{FF2B5EF4-FFF2-40B4-BE49-F238E27FC236}">
              <a16:creationId xmlns:a16="http://schemas.microsoft.com/office/drawing/2014/main" id="{7ED8C9D1-03D7-FBE2-5AD4-48961A5A3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9127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3214</xdr:row>
      <xdr:rowOff>0</xdr:rowOff>
    </xdr:from>
    <xdr:to>
      <xdr:col>13</xdr:col>
      <xdr:colOff>304800</xdr:colOff>
      <xdr:row>3215</xdr:row>
      <xdr:rowOff>114300</xdr:rowOff>
    </xdr:to>
    <xdr:pic>
      <xdr:nvPicPr>
        <xdr:cNvPr id="3540" name="Imagen 3539">
          <a:hlinkClick xmlns:r="http://schemas.openxmlformats.org/officeDocument/2006/relationships" r:id="rId3481" tooltip="Quitar este incidente de la liquidación"/>
          <a:extLst>
            <a:ext uri="{FF2B5EF4-FFF2-40B4-BE49-F238E27FC236}">
              <a16:creationId xmlns:a16="http://schemas.microsoft.com/office/drawing/2014/main" id="{B7A59A85-1652-0272-E1C2-3196AD852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9127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3215</xdr:row>
      <xdr:rowOff>0</xdr:rowOff>
    </xdr:from>
    <xdr:to>
      <xdr:col>13</xdr:col>
      <xdr:colOff>0</xdr:colOff>
      <xdr:row>3216</xdr:row>
      <xdr:rowOff>114300</xdr:rowOff>
    </xdr:to>
    <xdr:pic>
      <xdr:nvPicPr>
        <xdr:cNvPr id="3541" name="Imagen 3540" descr="Ver detalle">
          <a:hlinkClick xmlns:r="http://schemas.openxmlformats.org/officeDocument/2006/relationships" r:id="rId3482" tooltip="Ver detalle"/>
          <a:extLst>
            <a:ext uri="{FF2B5EF4-FFF2-40B4-BE49-F238E27FC236}">
              <a16:creationId xmlns:a16="http://schemas.microsoft.com/office/drawing/2014/main" id="{FF6A3115-5FCB-54B0-AC83-B2895F1F1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9371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3215</xdr:row>
      <xdr:rowOff>0</xdr:rowOff>
    </xdr:from>
    <xdr:to>
      <xdr:col>13</xdr:col>
      <xdr:colOff>304800</xdr:colOff>
      <xdr:row>3216</xdr:row>
      <xdr:rowOff>114300</xdr:rowOff>
    </xdr:to>
    <xdr:pic>
      <xdr:nvPicPr>
        <xdr:cNvPr id="3542" name="Imagen 3541">
          <a:hlinkClick xmlns:r="http://schemas.openxmlformats.org/officeDocument/2006/relationships" r:id="rId3483" tooltip="Quitar este incidente de la liquidación"/>
          <a:extLst>
            <a:ext uri="{FF2B5EF4-FFF2-40B4-BE49-F238E27FC236}">
              <a16:creationId xmlns:a16="http://schemas.microsoft.com/office/drawing/2014/main" id="{FC65DF90-484A-8C70-887B-B45DF9571D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9371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3216</xdr:row>
      <xdr:rowOff>0</xdr:rowOff>
    </xdr:from>
    <xdr:to>
      <xdr:col>13</xdr:col>
      <xdr:colOff>0</xdr:colOff>
      <xdr:row>3217</xdr:row>
      <xdr:rowOff>114300</xdr:rowOff>
    </xdr:to>
    <xdr:pic>
      <xdr:nvPicPr>
        <xdr:cNvPr id="3543" name="Imagen 3542" descr="Ver detalle">
          <a:hlinkClick xmlns:r="http://schemas.openxmlformats.org/officeDocument/2006/relationships" r:id="rId3484" tooltip="Ver detalle"/>
          <a:extLst>
            <a:ext uri="{FF2B5EF4-FFF2-40B4-BE49-F238E27FC236}">
              <a16:creationId xmlns:a16="http://schemas.microsoft.com/office/drawing/2014/main" id="{BAA54EAC-1D86-1B3C-6139-1E6246123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961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3216</xdr:row>
      <xdr:rowOff>0</xdr:rowOff>
    </xdr:from>
    <xdr:to>
      <xdr:col>13</xdr:col>
      <xdr:colOff>304800</xdr:colOff>
      <xdr:row>3217</xdr:row>
      <xdr:rowOff>114300</xdr:rowOff>
    </xdr:to>
    <xdr:pic>
      <xdr:nvPicPr>
        <xdr:cNvPr id="3544" name="Imagen 3543">
          <a:hlinkClick xmlns:r="http://schemas.openxmlformats.org/officeDocument/2006/relationships" r:id="rId3485" tooltip="Quitar este incidente de la liquidación"/>
          <a:extLst>
            <a:ext uri="{FF2B5EF4-FFF2-40B4-BE49-F238E27FC236}">
              <a16:creationId xmlns:a16="http://schemas.microsoft.com/office/drawing/2014/main" id="{4330DFB9-2429-B646-EB56-3EAF1771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961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3208</xdr:row>
      <xdr:rowOff>0</xdr:rowOff>
    </xdr:from>
    <xdr:to>
      <xdr:col>13</xdr:col>
      <xdr:colOff>0</xdr:colOff>
      <xdr:row>3209</xdr:row>
      <xdr:rowOff>114300</xdr:rowOff>
    </xdr:to>
    <xdr:pic>
      <xdr:nvPicPr>
        <xdr:cNvPr id="3545" name="Imagen 3544" descr="Ver detalle">
          <a:hlinkClick xmlns:r="http://schemas.openxmlformats.org/officeDocument/2006/relationships" r:id="rId3486" tooltip="Ver detalle"/>
          <a:extLst>
            <a:ext uri="{FF2B5EF4-FFF2-40B4-BE49-F238E27FC236}">
              <a16:creationId xmlns:a16="http://schemas.microsoft.com/office/drawing/2014/main" id="{4708C1EF-75B2-4D0D-51B8-121EE5644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9859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3208</xdr:row>
      <xdr:rowOff>0</xdr:rowOff>
    </xdr:from>
    <xdr:to>
      <xdr:col>13</xdr:col>
      <xdr:colOff>304800</xdr:colOff>
      <xdr:row>3209</xdr:row>
      <xdr:rowOff>114300</xdr:rowOff>
    </xdr:to>
    <xdr:pic>
      <xdr:nvPicPr>
        <xdr:cNvPr id="3546" name="Imagen 3545">
          <a:hlinkClick xmlns:r="http://schemas.openxmlformats.org/officeDocument/2006/relationships" r:id="rId3487" tooltip="Quitar este incidente de la liquidación"/>
          <a:extLst>
            <a:ext uri="{FF2B5EF4-FFF2-40B4-BE49-F238E27FC236}">
              <a16:creationId xmlns:a16="http://schemas.microsoft.com/office/drawing/2014/main" id="{5CB5B666-A13F-AFB7-1D5C-E60D65605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9859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3209</xdr:row>
      <xdr:rowOff>0</xdr:rowOff>
    </xdr:from>
    <xdr:to>
      <xdr:col>13</xdr:col>
      <xdr:colOff>0</xdr:colOff>
      <xdr:row>3210</xdr:row>
      <xdr:rowOff>114300</xdr:rowOff>
    </xdr:to>
    <xdr:pic>
      <xdr:nvPicPr>
        <xdr:cNvPr id="3547" name="Imagen 3546" descr="Ver detalle">
          <a:hlinkClick xmlns:r="http://schemas.openxmlformats.org/officeDocument/2006/relationships" r:id="rId3488" tooltip="Ver detalle"/>
          <a:extLst>
            <a:ext uri="{FF2B5EF4-FFF2-40B4-BE49-F238E27FC236}">
              <a16:creationId xmlns:a16="http://schemas.microsoft.com/office/drawing/2014/main" id="{CBF39EEB-9B7C-AD8F-8DAC-FBEF1FF13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0103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3209</xdr:row>
      <xdr:rowOff>0</xdr:rowOff>
    </xdr:from>
    <xdr:to>
      <xdr:col>13</xdr:col>
      <xdr:colOff>304800</xdr:colOff>
      <xdr:row>3210</xdr:row>
      <xdr:rowOff>114300</xdr:rowOff>
    </xdr:to>
    <xdr:pic>
      <xdr:nvPicPr>
        <xdr:cNvPr id="3548" name="Imagen 3547">
          <a:hlinkClick xmlns:r="http://schemas.openxmlformats.org/officeDocument/2006/relationships" r:id="rId3489" tooltip="Quitar este incidente de la liquidación"/>
          <a:extLst>
            <a:ext uri="{FF2B5EF4-FFF2-40B4-BE49-F238E27FC236}">
              <a16:creationId xmlns:a16="http://schemas.microsoft.com/office/drawing/2014/main" id="{4C1DED1A-E1D9-8A48-D269-66187BC5A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0103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3211</xdr:row>
      <xdr:rowOff>0</xdr:rowOff>
    </xdr:from>
    <xdr:to>
      <xdr:col>13</xdr:col>
      <xdr:colOff>0</xdr:colOff>
      <xdr:row>3212</xdr:row>
      <xdr:rowOff>114300</xdr:rowOff>
    </xdr:to>
    <xdr:pic>
      <xdr:nvPicPr>
        <xdr:cNvPr id="3549" name="Imagen 3548" descr="Ver detalle">
          <a:hlinkClick xmlns:r="http://schemas.openxmlformats.org/officeDocument/2006/relationships" r:id="rId3490" tooltip="Ver detalle"/>
          <a:extLst>
            <a:ext uri="{FF2B5EF4-FFF2-40B4-BE49-F238E27FC236}">
              <a16:creationId xmlns:a16="http://schemas.microsoft.com/office/drawing/2014/main" id="{FD555B14-FBB6-F2A0-2956-23C2BA5CE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0590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3211</xdr:row>
      <xdr:rowOff>0</xdr:rowOff>
    </xdr:from>
    <xdr:to>
      <xdr:col>13</xdr:col>
      <xdr:colOff>304800</xdr:colOff>
      <xdr:row>3212</xdr:row>
      <xdr:rowOff>114300</xdr:rowOff>
    </xdr:to>
    <xdr:pic>
      <xdr:nvPicPr>
        <xdr:cNvPr id="3550" name="Imagen 3549">
          <a:hlinkClick xmlns:r="http://schemas.openxmlformats.org/officeDocument/2006/relationships" r:id="rId3491" tooltip="Quitar este incidente de la liquidación"/>
          <a:extLst>
            <a:ext uri="{FF2B5EF4-FFF2-40B4-BE49-F238E27FC236}">
              <a16:creationId xmlns:a16="http://schemas.microsoft.com/office/drawing/2014/main" id="{A3E9F569-F712-E486-8C9F-6BFFB0DA2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0590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3164</xdr:row>
      <xdr:rowOff>0</xdr:rowOff>
    </xdr:from>
    <xdr:to>
      <xdr:col>13</xdr:col>
      <xdr:colOff>0</xdr:colOff>
      <xdr:row>3165</xdr:row>
      <xdr:rowOff>114300</xdr:rowOff>
    </xdr:to>
    <xdr:pic>
      <xdr:nvPicPr>
        <xdr:cNvPr id="3551" name="Imagen 3550" descr="Ver detalle">
          <a:hlinkClick xmlns:r="http://schemas.openxmlformats.org/officeDocument/2006/relationships" r:id="rId3492" tooltip="Ver detalle"/>
          <a:extLst>
            <a:ext uri="{FF2B5EF4-FFF2-40B4-BE49-F238E27FC236}">
              <a16:creationId xmlns:a16="http://schemas.microsoft.com/office/drawing/2014/main" id="{FA81C7D5-91F5-0236-A536-B9356CF58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0834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3164</xdr:row>
      <xdr:rowOff>0</xdr:rowOff>
    </xdr:from>
    <xdr:to>
      <xdr:col>13</xdr:col>
      <xdr:colOff>304800</xdr:colOff>
      <xdr:row>3165</xdr:row>
      <xdr:rowOff>114300</xdr:rowOff>
    </xdr:to>
    <xdr:pic>
      <xdr:nvPicPr>
        <xdr:cNvPr id="3552" name="Imagen 3551">
          <a:hlinkClick xmlns:r="http://schemas.openxmlformats.org/officeDocument/2006/relationships" r:id="rId3493" tooltip="Quitar este incidente de la liquidación"/>
          <a:extLst>
            <a:ext uri="{FF2B5EF4-FFF2-40B4-BE49-F238E27FC236}">
              <a16:creationId xmlns:a16="http://schemas.microsoft.com/office/drawing/2014/main" id="{2C2C0B78-D89A-5F77-311E-5F864470A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0834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3203</xdr:row>
      <xdr:rowOff>0</xdr:rowOff>
    </xdr:from>
    <xdr:to>
      <xdr:col>13</xdr:col>
      <xdr:colOff>0</xdr:colOff>
      <xdr:row>3204</xdr:row>
      <xdr:rowOff>114300</xdr:rowOff>
    </xdr:to>
    <xdr:pic>
      <xdr:nvPicPr>
        <xdr:cNvPr id="3553" name="Imagen 3552" descr="Ver detalle">
          <a:hlinkClick xmlns:r="http://schemas.openxmlformats.org/officeDocument/2006/relationships" r:id="rId3494" tooltip="Ver detalle"/>
          <a:extLst>
            <a:ext uri="{FF2B5EF4-FFF2-40B4-BE49-F238E27FC236}">
              <a16:creationId xmlns:a16="http://schemas.microsoft.com/office/drawing/2014/main" id="{FF618402-30B7-26E0-2FDF-2D102578D0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078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3203</xdr:row>
      <xdr:rowOff>0</xdr:rowOff>
    </xdr:from>
    <xdr:to>
      <xdr:col>13</xdr:col>
      <xdr:colOff>304800</xdr:colOff>
      <xdr:row>3204</xdr:row>
      <xdr:rowOff>114300</xdr:rowOff>
    </xdr:to>
    <xdr:pic>
      <xdr:nvPicPr>
        <xdr:cNvPr id="3554" name="Imagen 3553">
          <a:hlinkClick xmlns:r="http://schemas.openxmlformats.org/officeDocument/2006/relationships" r:id="rId3495" tooltip="Quitar este incidente de la liquidación"/>
          <a:extLst>
            <a:ext uri="{FF2B5EF4-FFF2-40B4-BE49-F238E27FC236}">
              <a16:creationId xmlns:a16="http://schemas.microsoft.com/office/drawing/2014/main" id="{C0476702-73F6-455B-CC73-D8B3A1D9A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1078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3204</xdr:row>
      <xdr:rowOff>0</xdr:rowOff>
    </xdr:from>
    <xdr:to>
      <xdr:col>13</xdr:col>
      <xdr:colOff>0</xdr:colOff>
      <xdr:row>3205</xdr:row>
      <xdr:rowOff>114300</xdr:rowOff>
    </xdr:to>
    <xdr:pic>
      <xdr:nvPicPr>
        <xdr:cNvPr id="3555" name="Imagen 3554" descr="Ver detalle">
          <a:hlinkClick xmlns:r="http://schemas.openxmlformats.org/officeDocument/2006/relationships" r:id="rId3496" tooltip="Ver detalle"/>
          <a:extLst>
            <a:ext uri="{FF2B5EF4-FFF2-40B4-BE49-F238E27FC236}">
              <a16:creationId xmlns:a16="http://schemas.microsoft.com/office/drawing/2014/main" id="{AAFFBDFF-2FFA-9155-7A04-082AC23B0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322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3204</xdr:row>
      <xdr:rowOff>0</xdr:rowOff>
    </xdr:from>
    <xdr:to>
      <xdr:col>13</xdr:col>
      <xdr:colOff>304800</xdr:colOff>
      <xdr:row>3205</xdr:row>
      <xdr:rowOff>114300</xdr:rowOff>
    </xdr:to>
    <xdr:pic>
      <xdr:nvPicPr>
        <xdr:cNvPr id="3556" name="Imagen 3555">
          <a:hlinkClick xmlns:r="http://schemas.openxmlformats.org/officeDocument/2006/relationships" r:id="rId3497" tooltip="Quitar este incidente de la liquidación"/>
          <a:extLst>
            <a:ext uri="{FF2B5EF4-FFF2-40B4-BE49-F238E27FC236}">
              <a16:creationId xmlns:a16="http://schemas.microsoft.com/office/drawing/2014/main" id="{F5498D55-8DC1-CC41-5324-037CC1D77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1322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3205</xdr:row>
      <xdr:rowOff>0</xdr:rowOff>
    </xdr:from>
    <xdr:to>
      <xdr:col>13</xdr:col>
      <xdr:colOff>0</xdr:colOff>
      <xdr:row>3206</xdr:row>
      <xdr:rowOff>114300</xdr:rowOff>
    </xdr:to>
    <xdr:pic>
      <xdr:nvPicPr>
        <xdr:cNvPr id="3557" name="Imagen 3556" descr="Ver detalle">
          <a:hlinkClick xmlns:r="http://schemas.openxmlformats.org/officeDocument/2006/relationships" r:id="rId3498" tooltip="Ver detalle"/>
          <a:extLst>
            <a:ext uri="{FF2B5EF4-FFF2-40B4-BE49-F238E27FC236}">
              <a16:creationId xmlns:a16="http://schemas.microsoft.com/office/drawing/2014/main" id="{A33172B5-A1EC-933B-C469-04F411E8F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566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3205</xdr:row>
      <xdr:rowOff>0</xdr:rowOff>
    </xdr:from>
    <xdr:to>
      <xdr:col>13</xdr:col>
      <xdr:colOff>304800</xdr:colOff>
      <xdr:row>3206</xdr:row>
      <xdr:rowOff>114300</xdr:rowOff>
    </xdr:to>
    <xdr:pic>
      <xdr:nvPicPr>
        <xdr:cNvPr id="3558" name="Imagen 3557">
          <a:hlinkClick xmlns:r="http://schemas.openxmlformats.org/officeDocument/2006/relationships" r:id="rId3499" tooltip="Quitar este incidente de la liquidación"/>
          <a:extLst>
            <a:ext uri="{FF2B5EF4-FFF2-40B4-BE49-F238E27FC236}">
              <a16:creationId xmlns:a16="http://schemas.microsoft.com/office/drawing/2014/main" id="{EAD6D819-11FE-D6A3-106E-5EA7EF785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1566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3206</xdr:row>
      <xdr:rowOff>0</xdr:rowOff>
    </xdr:from>
    <xdr:to>
      <xdr:col>13</xdr:col>
      <xdr:colOff>0</xdr:colOff>
      <xdr:row>3207</xdr:row>
      <xdr:rowOff>114300</xdr:rowOff>
    </xdr:to>
    <xdr:pic>
      <xdr:nvPicPr>
        <xdr:cNvPr id="3559" name="Imagen 3558" descr="Ver detalle">
          <a:hlinkClick xmlns:r="http://schemas.openxmlformats.org/officeDocument/2006/relationships" r:id="rId3500" tooltip="Ver detalle"/>
          <a:extLst>
            <a:ext uri="{FF2B5EF4-FFF2-40B4-BE49-F238E27FC236}">
              <a16:creationId xmlns:a16="http://schemas.microsoft.com/office/drawing/2014/main" id="{5ED94659-693C-2027-6D22-C01319DAF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728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3206</xdr:row>
      <xdr:rowOff>0</xdr:rowOff>
    </xdr:from>
    <xdr:to>
      <xdr:col>13</xdr:col>
      <xdr:colOff>304800</xdr:colOff>
      <xdr:row>3207</xdr:row>
      <xdr:rowOff>114300</xdr:rowOff>
    </xdr:to>
    <xdr:pic>
      <xdr:nvPicPr>
        <xdr:cNvPr id="3560" name="Imagen 3559">
          <a:hlinkClick xmlns:r="http://schemas.openxmlformats.org/officeDocument/2006/relationships" r:id="rId3501" tooltip="Quitar este incidente de la liquidación"/>
          <a:extLst>
            <a:ext uri="{FF2B5EF4-FFF2-40B4-BE49-F238E27FC236}">
              <a16:creationId xmlns:a16="http://schemas.microsoft.com/office/drawing/2014/main" id="{CD98CBE6-81E6-FCF5-8E2C-2985936C3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1728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3207</xdr:row>
      <xdr:rowOff>0</xdr:rowOff>
    </xdr:from>
    <xdr:to>
      <xdr:col>13</xdr:col>
      <xdr:colOff>0</xdr:colOff>
      <xdr:row>3208</xdr:row>
      <xdr:rowOff>114300</xdr:rowOff>
    </xdr:to>
    <xdr:pic>
      <xdr:nvPicPr>
        <xdr:cNvPr id="3561" name="Imagen 3560" descr="Ver detalle">
          <a:hlinkClick xmlns:r="http://schemas.openxmlformats.org/officeDocument/2006/relationships" r:id="rId3502" tooltip="Ver detalle"/>
          <a:extLst>
            <a:ext uri="{FF2B5EF4-FFF2-40B4-BE49-F238E27FC236}">
              <a16:creationId xmlns:a16="http://schemas.microsoft.com/office/drawing/2014/main" id="{FC1F1A31-F9B2-A23B-76FA-B285B9CAF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891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3207</xdr:row>
      <xdr:rowOff>0</xdr:rowOff>
    </xdr:from>
    <xdr:to>
      <xdr:col>13</xdr:col>
      <xdr:colOff>304800</xdr:colOff>
      <xdr:row>3208</xdr:row>
      <xdr:rowOff>114300</xdr:rowOff>
    </xdr:to>
    <xdr:pic>
      <xdr:nvPicPr>
        <xdr:cNvPr id="3562" name="Imagen 3561">
          <a:hlinkClick xmlns:r="http://schemas.openxmlformats.org/officeDocument/2006/relationships" r:id="rId3503" tooltip="Quitar este incidente de la liquidación"/>
          <a:extLst>
            <a:ext uri="{FF2B5EF4-FFF2-40B4-BE49-F238E27FC236}">
              <a16:creationId xmlns:a16="http://schemas.microsoft.com/office/drawing/2014/main" id="{B8CF5F81-D0E1-C551-16CD-EEFB06870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1891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3161</xdr:row>
      <xdr:rowOff>0</xdr:rowOff>
    </xdr:from>
    <xdr:to>
      <xdr:col>13</xdr:col>
      <xdr:colOff>0</xdr:colOff>
      <xdr:row>3162</xdr:row>
      <xdr:rowOff>114300</xdr:rowOff>
    </xdr:to>
    <xdr:pic>
      <xdr:nvPicPr>
        <xdr:cNvPr id="3563" name="Imagen 3562" descr="Ver detalle">
          <a:hlinkClick xmlns:r="http://schemas.openxmlformats.org/officeDocument/2006/relationships" r:id="rId3504" tooltip="Ver detalle"/>
          <a:extLst>
            <a:ext uri="{FF2B5EF4-FFF2-40B4-BE49-F238E27FC236}">
              <a16:creationId xmlns:a16="http://schemas.microsoft.com/office/drawing/2014/main" id="{227C88AE-5139-D3B8-C2E1-26000B52F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054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3161</xdr:row>
      <xdr:rowOff>0</xdr:rowOff>
    </xdr:from>
    <xdr:to>
      <xdr:col>13</xdr:col>
      <xdr:colOff>304800</xdr:colOff>
      <xdr:row>3162</xdr:row>
      <xdr:rowOff>114300</xdr:rowOff>
    </xdr:to>
    <xdr:pic>
      <xdr:nvPicPr>
        <xdr:cNvPr id="3564" name="Imagen 3563">
          <a:hlinkClick xmlns:r="http://schemas.openxmlformats.org/officeDocument/2006/relationships" r:id="rId3505" tooltip="Quitar este incidente de la liquidación"/>
          <a:extLst>
            <a:ext uri="{FF2B5EF4-FFF2-40B4-BE49-F238E27FC236}">
              <a16:creationId xmlns:a16="http://schemas.microsoft.com/office/drawing/2014/main" id="{CD7196B2-B256-71C4-CB5F-5E8EAF79A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2054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3162</xdr:row>
      <xdr:rowOff>0</xdr:rowOff>
    </xdr:from>
    <xdr:to>
      <xdr:col>13</xdr:col>
      <xdr:colOff>0</xdr:colOff>
      <xdr:row>3163</xdr:row>
      <xdr:rowOff>114300</xdr:rowOff>
    </xdr:to>
    <xdr:pic>
      <xdr:nvPicPr>
        <xdr:cNvPr id="3565" name="Imagen 3564" descr="Ver detalle">
          <a:hlinkClick xmlns:r="http://schemas.openxmlformats.org/officeDocument/2006/relationships" r:id="rId3506" tooltip="Ver detalle"/>
          <a:extLst>
            <a:ext uri="{FF2B5EF4-FFF2-40B4-BE49-F238E27FC236}">
              <a16:creationId xmlns:a16="http://schemas.microsoft.com/office/drawing/2014/main" id="{8880DB5C-F0D7-5661-AEE4-7785601E1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169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3162</xdr:row>
      <xdr:rowOff>0</xdr:rowOff>
    </xdr:from>
    <xdr:to>
      <xdr:col>13</xdr:col>
      <xdr:colOff>304800</xdr:colOff>
      <xdr:row>3163</xdr:row>
      <xdr:rowOff>114300</xdr:rowOff>
    </xdr:to>
    <xdr:pic>
      <xdr:nvPicPr>
        <xdr:cNvPr id="3566" name="Imagen 3565">
          <a:hlinkClick xmlns:r="http://schemas.openxmlformats.org/officeDocument/2006/relationships" r:id="rId3507" tooltip="Quitar este incidente de la liquidación"/>
          <a:extLst>
            <a:ext uri="{FF2B5EF4-FFF2-40B4-BE49-F238E27FC236}">
              <a16:creationId xmlns:a16="http://schemas.microsoft.com/office/drawing/2014/main" id="{D36CC40C-C49A-124F-458F-6AB48F988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2169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3182</xdr:row>
      <xdr:rowOff>0</xdr:rowOff>
    </xdr:from>
    <xdr:to>
      <xdr:col>13</xdr:col>
      <xdr:colOff>0</xdr:colOff>
      <xdr:row>3183</xdr:row>
      <xdr:rowOff>114300</xdr:rowOff>
    </xdr:to>
    <xdr:pic>
      <xdr:nvPicPr>
        <xdr:cNvPr id="3567" name="Imagen 3566" descr="Ver detalle">
          <a:hlinkClick xmlns:r="http://schemas.openxmlformats.org/officeDocument/2006/relationships" r:id="rId3508" tooltip="Ver detalle"/>
          <a:extLst>
            <a:ext uri="{FF2B5EF4-FFF2-40B4-BE49-F238E27FC236}">
              <a16:creationId xmlns:a16="http://schemas.microsoft.com/office/drawing/2014/main" id="{CAA99EB4-9C14-8D06-6E17-6C420E4A5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41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3182</xdr:row>
      <xdr:rowOff>0</xdr:rowOff>
    </xdr:from>
    <xdr:to>
      <xdr:col>13</xdr:col>
      <xdr:colOff>304800</xdr:colOff>
      <xdr:row>3183</xdr:row>
      <xdr:rowOff>114300</xdr:rowOff>
    </xdr:to>
    <xdr:pic>
      <xdr:nvPicPr>
        <xdr:cNvPr id="3568" name="Imagen 3567">
          <a:hlinkClick xmlns:r="http://schemas.openxmlformats.org/officeDocument/2006/relationships" r:id="rId3509" tooltip="Quitar este incidente de la liquidación"/>
          <a:extLst>
            <a:ext uri="{FF2B5EF4-FFF2-40B4-BE49-F238E27FC236}">
              <a16:creationId xmlns:a16="http://schemas.microsoft.com/office/drawing/2014/main" id="{F78509E5-4FEB-FD21-D4B8-88D6A0EC9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241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3185</xdr:row>
      <xdr:rowOff>0</xdr:rowOff>
    </xdr:from>
    <xdr:to>
      <xdr:col>13</xdr:col>
      <xdr:colOff>0</xdr:colOff>
      <xdr:row>3186</xdr:row>
      <xdr:rowOff>114300</xdr:rowOff>
    </xdr:to>
    <xdr:pic>
      <xdr:nvPicPr>
        <xdr:cNvPr id="3569" name="Imagen 3568" descr="Ver detalle">
          <a:hlinkClick xmlns:r="http://schemas.openxmlformats.org/officeDocument/2006/relationships" r:id="rId3510" tooltip="Ver detalle"/>
          <a:extLst>
            <a:ext uri="{FF2B5EF4-FFF2-40B4-BE49-F238E27FC236}">
              <a16:creationId xmlns:a16="http://schemas.microsoft.com/office/drawing/2014/main" id="{87CE4CFF-36C5-2D13-07A1-00797A9F2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65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3185</xdr:row>
      <xdr:rowOff>0</xdr:rowOff>
    </xdr:from>
    <xdr:to>
      <xdr:col>13</xdr:col>
      <xdr:colOff>304800</xdr:colOff>
      <xdr:row>3186</xdr:row>
      <xdr:rowOff>114300</xdr:rowOff>
    </xdr:to>
    <xdr:pic>
      <xdr:nvPicPr>
        <xdr:cNvPr id="3570" name="Imagen 3569">
          <a:hlinkClick xmlns:r="http://schemas.openxmlformats.org/officeDocument/2006/relationships" r:id="rId3511" tooltip="Quitar este incidente de la liquidación"/>
          <a:extLst>
            <a:ext uri="{FF2B5EF4-FFF2-40B4-BE49-F238E27FC236}">
              <a16:creationId xmlns:a16="http://schemas.microsoft.com/office/drawing/2014/main" id="{9DBBE785-BDF2-F894-3F10-870D1EC90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265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3186</xdr:row>
      <xdr:rowOff>0</xdr:rowOff>
    </xdr:from>
    <xdr:to>
      <xdr:col>13</xdr:col>
      <xdr:colOff>0</xdr:colOff>
      <xdr:row>3187</xdr:row>
      <xdr:rowOff>114300</xdr:rowOff>
    </xdr:to>
    <xdr:pic>
      <xdr:nvPicPr>
        <xdr:cNvPr id="3571" name="Imagen 3570" descr="Ver detalle">
          <a:hlinkClick xmlns:r="http://schemas.openxmlformats.org/officeDocument/2006/relationships" r:id="rId3512" tooltip="Ver detalle"/>
          <a:extLst>
            <a:ext uri="{FF2B5EF4-FFF2-40B4-BE49-F238E27FC236}">
              <a16:creationId xmlns:a16="http://schemas.microsoft.com/office/drawing/2014/main" id="{DAA0270A-D2FE-F8F6-BD18-61522E3742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900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3186</xdr:row>
      <xdr:rowOff>0</xdr:rowOff>
    </xdr:from>
    <xdr:to>
      <xdr:col>13</xdr:col>
      <xdr:colOff>304800</xdr:colOff>
      <xdr:row>3187</xdr:row>
      <xdr:rowOff>114300</xdr:rowOff>
    </xdr:to>
    <xdr:pic>
      <xdr:nvPicPr>
        <xdr:cNvPr id="3572" name="Imagen 3571">
          <a:hlinkClick xmlns:r="http://schemas.openxmlformats.org/officeDocument/2006/relationships" r:id="rId3513" tooltip="Quitar este incidente de la liquidación"/>
          <a:extLst>
            <a:ext uri="{FF2B5EF4-FFF2-40B4-BE49-F238E27FC236}">
              <a16:creationId xmlns:a16="http://schemas.microsoft.com/office/drawing/2014/main" id="{B289F71F-0B98-46EA-C8CB-3F043938C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2900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3183</xdr:row>
      <xdr:rowOff>0</xdr:rowOff>
    </xdr:from>
    <xdr:to>
      <xdr:col>13</xdr:col>
      <xdr:colOff>0</xdr:colOff>
      <xdr:row>3184</xdr:row>
      <xdr:rowOff>114300</xdr:rowOff>
    </xdr:to>
    <xdr:pic>
      <xdr:nvPicPr>
        <xdr:cNvPr id="3573" name="Imagen 3572" descr="Ver detalle">
          <a:hlinkClick xmlns:r="http://schemas.openxmlformats.org/officeDocument/2006/relationships" r:id="rId3514" tooltip="Ver detalle"/>
          <a:extLst>
            <a:ext uri="{FF2B5EF4-FFF2-40B4-BE49-F238E27FC236}">
              <a16:creationId xmlns:a16="http://schemas.microsoft.com/office/drawing/2014/main" id="{F074F252-70B5-4BFC-3F3D-D75A1ACC9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3144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3183</xdr:row>
      <xdr:rowOff>0</xdr:rowOff>
    </xdr:from>
    <xdr:to>
      <xdr:col>13</xdr:col>
      <xdr:colOff>304800</xdr:colOff>
      <xdr:row>3184</xdr:row>
      <xdr:rowOff>114300</xdr:rowOff>
    </xdr:to>
    <xdr:pic>
      <xdr:nvPicPr>
        <xdr:cNvPr id="3574" name="Imagen 3573">
          <a:hlinkClick xmlns:r="http://schemas.openxmlformats.org/officeDocument/2006/relationships" r:id="rId3515" tooltip="Quitar este incidente de la liquidación"/>
          <a:extLst>
            <a:ext uri="{FF2B5EF4-FFF2-40B4-BE49-F238E27FC236}">
              <a16:creationId xmlns:a16="http://schemas.microsoft.com/office/drawing/2014/main" id="{2506BD26-9774-A57E-1C10-404B59A6C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3144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3187</xdr:row>
      <xdr:rowOff>0</xdr:rowOff>
    </xdr:from>
    <xdr:to>
      <xdr:col>13</xdr:col>
      <xdr:colOff>0</xdr:colOff>
      <xdr:row>3188</xdr:row>
      <xdr:rowOff>114300</xdr:rowOff>
    </xdr:to>
    <xdr:pic>
      <xdr:nvPicPr>
        <xdr:cNvPr id="3575" name="Imagen 3574" descr="Ver detalle">
          <a:hlinkClick xmlns:r="http://schemas.openxmlformats.org/officeDocument/2006/relationships" r:id="rId3516" tooltip="Ver detalle"/>
          <a:extLst>
            <a:ext uri="{FF2B5EF4-FFF2-40B4-BE49-F238E27FC236}">
              <a16:creationId xmlns:a16="http://schemas.microsoft.com/office/drawing/2014/main" id="{EE5B956E-0145-D44C-CFD9-1296DA2C9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3258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3187</xdr:row>
      <xdr:rowOff>0</xdr:rowOff>
    </xdr:from>
    <xdr:to>
      <xdr:col>13</xdr:col>
      <xdr:colOff>304800</xdr:colOff>
      <xdr:row>3188</xdr:row>
      <xdr:rowOff>114300</xdr:rowOff>
    </xdr:to>
    <xdr:pic>
      <xdr:nvPicPr>
        <xdr:cNvPr id="3576" name="Imagen 3575">
          <a:hlinkClick xmlns:r="http://schemas.openxmlformats.org/officeDocument/2006/relationships" r:id="rId3517" tooltip="Quitar este incidente de la liquidación"/>
          <a:extLst>
            <a:ext uri="{FF2B5EF4-FFF2-40B4-BE49-F238E27FC236}">
              <a16:creationId xmlns:a16="http://schemas.microsoft.com/office/drawing/2014/main" id="{E07B084D-285B-5F77-D5A7-29B9F522D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3258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3184</xdr:row>
      <xdr:rowOff>0</xdr:rowOff>
    </xdr:from>
    <xdr:to>
      <xdr:col>13</xdr:col>
      <xdr:colOff>0</xdr:colOff>
      <xdr:row>3185</xdr:row>
      <xdr:rowOff>114300</xdr:rowOff>
    </xdr:to>
    <xdr:pic>
      <xdr:nvPicPr>
        <xdr:cNvPr id="3577" name="Imagen 3576" descr="Ver detalle">
          <a:hlinkClick xmlns:r="http://schemas.openxmlformats.org/officeDocument/2006/relationships" r:id="rId3518" tooltip="Ver detalle"/>
          <a:extLst>
            <a:ext uri="{FF2B5EF4-FFF2-40B4-BE49-F238E27FC236}">
              <a16:creationId xmlns:a16="http://schemas.microsoft.com/office/drawing/2014/main" id="{BF3DBFC5-A266-CFF9-8062-81759D4E0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3502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3184</xdr:row>
      <xdr:rowOff>0</xdr:rowOff>
    </xdr:from>
    <xdr:to>
      <xdr:col>13</xdr:col>
      <xdr:colOff>304800</xdr:colOff>
      <xdr:row>3185</xdr:row>
      <xdr:rowOff>114300</xdr:rowOff>
    </xdr:to>
    <xdr:pic>
      <xdr:nvPicPr>
        <xdr:cNvPr id="3578" name="Imagen 3577">
          <a:hlinkClick xmlns:r="http://schemas.openxmlformats.org/officeDocument/2006/relationships" r:id="rId3519" tooltip="Quitar este incidente de la liquidación"/>
          <a:extLst>
            <a:ext uri="{FF2B5EF4-FFF2-40B4-BE49-F238E27FC236}">
              <a16:creationId xmlns:a16="http://schemas.microsoft.com/office/drawing/2014/main" id="{644FC728-2084-0303-28A1-8E6E679BD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3502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3188</xdr:row>
      <xdr:rowOff>0</xdr:rowOff>
    </xdr:from>
    <xdr:to>
      <xdr:col>13</xdr:col>
      <xdr:colOff>0</xdr:colOff>
      <xdr:row>3189</xdr:row>
      <xdr:rowOff>114300</xdr:rowOff>
    </xdr:to>
    <xdr:pic>
      <xdr:nvPicPr>
        <xdr:cNvPr id="3579" name="Imagen 3578" descr="Ver detalle">
          <a:hlinkClick xmlns:r="http://schemas.openxmlformats.org/officeDocument/2006/relationships" r:id="rId3520" tooltip="Ver detalle"/>
          <a:extLst>
            <a:ext uri="{FF2B5EF4-FFF2-40B4-BE49-F238E27FC236}">
              <a16:creationId xmlns:a16="http://schemas.microsoft.com/office/drawing/2014/main" id="{0F3A8773-11E0-5CE4-BF6C-0E4274223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37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3188</xdr:row>
      <xdr:rowOff>0</xdr:rowOff>
    </xdr:from>
    <xdr:to>
      <xdr:col>13</xdr:col>
      <xdr:colOff>304800</xdr:colOff>
      <xdr:row>3189</xdr:row>
      <xdr:rowOff>114300</xdr:rowOff>
    </xdr:to>
    <xdr:pic>
      <xdr:nvPicPr>
        <xdr:cNvPr id="3580" name="Imagen 3579">
          <a:hlinkClick xmlns:r="http://schemas.openxmlformats.org/officeDocument/2006/relationships" r:id="rId3521" tooltip="Quitar este incidente de la liquidación"/>
          <a:extLst>
            <a:ext uri="{FF2B5EF4-FFF2-40B4-BE49-F238E27FC236}">
              <a16:creationId xmlns:a16="http://schemas.microsoft.com/office/drawing/2014/main" id="{B4E40DC7-6660-987F-24DA-433C1196D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37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3189</xdr:row>
      <xdr:rowOff>0</xdr:rowOff>
    </xdr:from>
    <xdr:to>
      <xdr:col>13</xdr:col>
      <xdr:colOff>0</xdr:colOff>
      <xdr:row>3190</xdr:row>
      <xdr:rowOff>114300</xdr:rowOff>
    </xdr:to>
    <xdr:pic>
      <xdr:nvPicPr>
        <xdr:cNvPr id="3581" name="Imagen 3580" descr="Ver detalle">
          <a:hlinkClick xmlns:r="http://schemas.openxmlformats.org/officeDocument/2006/relationships" r:id="rId3522" tooltip="Ver detalle"/>
          <a:extLst>
            <a:ext uri="{FF2B5EF4-FFF2-40B4-BE49-F238E27FC236}">
              <a16:creationId xmlns:a16="http://schemas.microsoft.com/office/drawing/2014/main" id="{0DFDEE41-82A8-1628-6143-64CAEA7BB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399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3189</xdr:row>
      <xdr:rowOff>0</xdr:rowOff>
    </xdr:from>
    <xdr:to>
      <xdr:col>13</xdr:col>
      <xdr:colOff>304800</xdr:colOff>
      <xdr:row>3190</xdr:row>
      <xdr:rowOff>114300</xdr:rowOff>
    </xdr:to>
    <xdr:pic>
      <xdr:nvPicPr>
        <xdr:cNvPr id="3582" name="Imagen 3581">
          <a:hlinkClick xmlns:r="http://schemas.openxmlformats.org/officeDocument/2006/relationships" r:id="rId3523" tooltip="Quitar este incidente de la liquidación"/>
          <a:extLst>
            <a:ext uri="{FF2B5EF4-FFF2-40B4-BE49-F238E27FC236}">
              <a16:creationId xmlns:a16="http://schemas.microsoft.com/office/drawing/2014/main" id="{4B06DB01-904B-6966-2889-7C8930DF9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399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3190</xdr:row>
      <xdr:rowOff>0</xdr:rowOff>
    </xdr:from>
    <xdr:to>
      <xdr:col>13</xdr:col>
      <xdr:colOff>0</xdr:colOff>
      <xdr:row>3191</xdr:row>
      <xdr:rowOff>114300</xdr:rowOff>
    </xdr:to>
    <xdr:pic>
      <xdr:nvPicPr>
        <xdr:cNvPr id="3583" name="Imagen 3582" descr="Ver detalle">
          <a:hlinkClick xmlns:r="http://schemas.openxmlformats.org/officeDocument/2006/relationships" r:id="rId3524" tooltip="Ver detalle"/>
          <a:extLst>
            <a:ext uri="{FF2B5EF4-FFF2-40B4-BE49-F238E27FC236}">
              <a16:creationId xmlns:a16="http://schemas.microsoft.com/office/drawing/2014/main" id="{92BE96BE-CA2C-0A61-AA31-D206FDD40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234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3190</xdr:row>
      <xdr:rowOff>0</xdr:rowOff>
    </xdr:from>
    <xdr:to>
      <xdr:col>13</xdr:col>
      <xdr:colOff>304800</xdr:colOff>
      <xdr:row>3191</xdr:row>
      <xdr:rowOff>114300</xdr:rowOff>
    </xdr:to>
    <xdr:pic>
      <xdr:nvPicPr>
        <xdr:cNvPr id="3584" name="Imagen 3583">
          <a:hlinkClick xmlns:r="http://schemas.openxmlformats.org/officeDocument/2006/relationships" r:id="rId3525" tooltip="Quitar este incidente de la liquidación"/>
          <a:extLst>
            <a:ext uri="{FF2B5EF4-FFF2-40B4-BE49-F238E27FC236}">
              <a16:creationId xmlns:a16="http://schemas.microsoft.com/office/drawing/2014/main" id="{FF7E7FE3-BFD2-5867-80A1-81E9CB291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4234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3191</xdr:row>
      <xdr:rowOff>0</xdr:rowOff>
    </xdr:from>
    <xdr:to>
      <xdr:col>13</xdr:col>
      <xdr:colOff>0</xdr:colOff>
      <xdr:row>3192</xdr:row>
      <xdr:rowOff>114300</xdr:rowOff>
    </xdr:to>
    <xdr:pic>
      <xdr:nvPicPr>
        <xdr:cNvPr id="3585" name="Imagen 3584" descr="Ver detalle">
          <a:hlinkClick xmlns:r="http://schemas.openxmlformats.org/officeDocument/2006/relationships" r:id="rId3526" tooltip="Ver detalle"/>
          <a:extLst>
            <a:ext uri="{FF2B5EF4-FFF2-40B4-BE49-F238E27FC236}">
              <a16:creationId xmlns:a16="http://schemas.microsoft.com/office/drawing/2014/main" id="{1219DCBC-AA7A-9E4D-E677-20DAA0983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477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3191</xdr:row>
      <xdr:rowOff>0</xdr:rowOff>
    </xdr:from>
    <xdr:to>
      <xdr:col>13</xdr:col>
      <xdr:colOff>304800</xdr:colOff>
      <xdr:row>3192</xdr:row>
      <xdr:rowOff>114300</xdr:rowOff>
    </xdr:to>
    <xdr:pic>
      <xdr:nvPicPr>
        <xdr:cNvPr id="3586" name="Imagen 3585">
          <a:hlinkClick xmlns:r="http://schemas.openxmlformats.org/officeDocument/2006/relationships" r:id="rId3527" tooltip="Quitar este incidente de la liquidación"/>
          <a:extLst>
            <a:ext uri="{FF2B5EF4-FFF2-40B4-BE49-F238E27FC236}">
              <a16:creationId xmlns:a16="http://schemas.microsoft.com/office/drawing/2014/main" id="{5956DB7E-1552-3EBB-2D48-1FF586F47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4477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3192</xdr:row>
      <xdr:rowOff>0</xdr:rowOff>
    </xdr:from>
    <xdr:to>
      <xdr:col>13</xdr:col>
      <xdr:colOff>0</xdr:colOff>
      <xdr:row>3193</xdr:row>
      <xdr:rowOff>114300</xdr:rowOff>
    </xdr:to>
    <xdr:pic>
      <xdr:nvPicPr>
        <xdr:cNvPr id="3587" name="Imagen 3586" descr="Ver detalle">
          <a:hlinkClick xmlns:r="http://schemas.openxmlformats.org/officeDocument/2006/relationships" r:id="rId3528" tooltip="Ver detalle"/>
          <a:extLst>
            <a:ext uri="{FF2B5EF4-FFF2-40B4-BE49-F238E27FC236}">
              <a16:creationId xmlns:a16="http://schemas.microsoft.com/office/drawing/2014/main" id="{ADE048B8-780C-2FBF-F1D4-82E231B5E1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592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3192</xdr:row>
      <xdr:rowOff>0</xdr:rowOff>
    </xdr:from>
    <xdr:to>
      <xdr:col>13</xdr:col>
      <xdr:colOff>304800</xdr:colOff>
      <xdr:row>3193</xdr:row>
      <xdr:rowOff>114300</xdr:rowOff>
    </xdr:to>
    <xdr:pic>
      <xdr:nvPicPr>
        <xdr:cNvPr id="3588" name="Imagen 3587">
          <a:hlinkClick xmlns:r="http://schemas.openxmlformats.org/officeDocument/2006/relationships" r:id="rId3529" tooltip="Quitar este incidente de la liquidación"/>
          <a:extLst>
            <a:ext uri="{FF2B5EF4-FFF2-40B4-BE49-F238E27FC236}">
              <a16:creationId xmlns:a16="http://schemas.microsoft.com/office/drawing/2014/main" id="{9A86B94E-9BDA-974C-956C-ABBD22E4F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4592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3193</xdr:row>
      <xdr:rowOff>0</xdr:rowOff>
    </xdr:from>
    <xdr:to>
      <xdr:col>13</xdr:col>
      <xdr:colOff>0</xdr:colOff>
      <xdr:row>3194</xdr:row>
      <xdr:rowOff>114300</xdr:rowOff>
    </xdr:to>
    <xdr:pic>
      <xdr:nvPicPr>
        <xdr:cNvPr id="3589" name="Imagen 3588" descr="Ver detalle">
          <a:hlinkClick xmlns:r="http://schemas.openxmlformats.org/officeDocument/2006/relationships" r:id="rId3530" tooltip="Ver detalle"/>
          <a:extLst>
            <a:ext uri="{FF2B5EF4-FFF2-40B4-BE49-F238E27FC236}">
              <a16:creationId xmlns:a16="http://schemas.microsoft.com/office/drawing/2014/main" id="{A435D804-74CA-CBFE-B0F7-C314080B0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706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3193</xdr:row>
      <xdr:rowOff>0</xdr:rowOff>
    </xdr:from>
    <xdr:to>
      <xdr:col>13</xdr:col>
      <xdr:colOff>304800</xdr:colOff>
      <xdr:row>3194</xdr:row>
      <xdr:rowOff>114300</xdr:rowOff>
    </xdr:to>
    <xdr:pic>
      <xdr:nvPicPr>
        <xdr:cNvPr id="3590" name="Imagen 3589">
          <a:hlinkClick xmlns:r="http://schemas.openxmlformats.org/officeDocument/2006/relationships" r:id="rId3531" tooltip="Quitar este incidente de la liquidación"/>
          <a:extLst>
            <a:ext uri="{FF2B5EF4-FFF2-40B4-BE49-F238E27FC236}">
              <a16:creationId xmlns:a16="http://schemas.microsoft.com/office/drawing/2014/main" id="{E19812F2-DD78-3F0D-32ED-BD2FB458F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4706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3194</xdr:row>
      <xdr:rowOff>0</xdr:rowOff>
    </xdr:from>
    <xdr:to>
      <xdr:col>13</xdr:col>
      <xdr:colOff>0</xdr:colOff>
      <xdr:row>3195</xdr:row>
      <xdr:rowOff>114300</xdr:rowOff>
    </xdr:to>
    <xdr:pic>
      <xdr:nvPicPr>
        <xdr:cNvPr id="3591" name="Imagen 3590" descr="Ver detalle">
          <a:hlinkClick xmlns:r="http://schemas.openxmlformats.org/officeDocument/2006/relationships" r:id="rId3532" tooltip="Ver detalle"/>
          <a:extLst>
            <a:ext uri="{FF2B5EF4-FFF2-40B4-BE49-F238E27FC236}">
              <a16:creationId xmlns:a16="http://schemas.microsoft.com/office/drawing/2014/main" id="{051AE4B6-5F72-3F40-2055-B386D3B2D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820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3194</xdr:row>
      <xdr:rowOff>0</xdr:rowOff>
    </xdr:from>
    <xdr:to>
      <xdr:col>13</xdr:col>
      <xdr:colOff>304800</xdr:colOff>
      <xdr:row>3195</xdr:row>
      <xdr:rowOff>114300</xdr:rowOff>
    </xdr:to>
    <xdr:pic>
      <xdr:nvPicPr>
        <xdr:cNvPr id="3592" name="Imagen 3591">
          <a:hlinkClick xmlns:r="http://schemas.openxmlformats.org/officeDocument/2006/relationships" r:id="rId3533" tooltip="Quitar este incidente de la liquidación"/>
          <a:extLst>
            <a:ext uri="{FF2B5EF4-FFF2-40B4-BE49-F238E27FC236}">
              <a16:creationId xmlns:a16="http://schemas.microsoft.com/office/drawing/2014/main" id="{9BC51A83-1798-913A-CA82-EB955F5FE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4820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3195</xdr:row>
      <xdr:rowOff>0</xdr:rowOff>
    </xdr:from>
    <xdr:to>
      <xdr:col>13</xdr:col>
      <xdr:colOff>0</xdr:colOff>
      <xdr:row>3196</xdr:row>
      <xdr:rowOff>114300</xdr:rowOff>
    </xdr:to>
    <xdr:pic>
      <xdr:nvPicPr>
        <xdr:cNvPr id="3593" name="Imagen 3592" descr="Ver detalle">
          <a:hlinkClick xmlns:r="http://schemas.openxmlformats.org/officeDocument/2006/relationships" r:id="rId3534" tooltip="Ver detalle"/>
          <a:extLst>
            <a:ext uri="{FF2B5EF4-FFF2-40B4-BE49-F238E27FC236}">
              <a16:creationId xmlns:a16="http://schemas.microsoft.com/office/drawing/2014/main" id="{A93A1194-707A-7555-AEAC-E85E21B02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935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3195</xdr:row>
      <xdr:rowOff>0</xdr:rowOff>
    </xdr:from>
    <xdr:to>
      <xdr:col>13</xdr:col>
      <xdr:colOff>304800</xdr:colOff>
      <xdr:row>3196</xdr:row>
      <xdr:rowOff>114300</xdr:rowOff>
    </xdr:to>
    <xdr:pic>
      <xdr:nvPicPr>
        <xdr:cNvPr id="3594" name="Imagen 3593">
          <a:hlinkClick xmlns:r="http://schemas.openxmlformats.org/officeDocument/2006/relationships" r:id="rId3535" tooltip="Quitar este incidente de la liquidación"/>
          <a:extLst>
            <a:ext uri="{FF2B5EF4-FFF2-40B4-BE49-F238E27FC236}">
              <a16:creationId xmlns:a16="http://schemas.microsoft.com/office/drawing/2014/main" id="{381ABA52-0DD8-A5BC-EDB1-BBB3EA92F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4935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3196</xdr:row>
      <xdr:rowOff>0</xdr:rowOff>
    </xdr:from>
    <xdr:to>
      <xdr:col>13</xdr:col>
      <xdr:colOff>0</xdr:colOff>
      <xdr:row>3197</xdr:row>
      <xdr:rowOff>114300</xdr:rowOff>
    </xdr:to>
    <xdr:pic>
      <xdr:nvPicPr>
        <xdr:cNvPr id="3595" name="Imagen 3594" descr="Ver detalle">
          <a:hlinkClick xmlns:r="http://schemas.openxmlformats.org/officeDocument/2006/relationships" r:id="rId3536" tooltip="Ver detalle"/>
          <a:extLst>
            <a:ext uri="{FF2B5EF4-FFF2-40B4-BE49-F238E27FC236}">
              <a16:creationId xmlns:a16="http://schemas.microsoft.com/office/drawing/2014/main" id="{2CA49633-6EDD-962C-1081-F9C4589FA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049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3196</xdr:row>
      <xdr:rowOff>0</xdr:rowOff>
    </xdr:from>
    <xdr:to>
      <xdr:col>13</xdr:col>
      <xdr:colOff>304800</xdr:colOff>
      <xdr:row>3197</xdr:row>
      <xdr:rowOff>114300</xdr:rowOff>
    </xdr:to>
    <xdr:pic>
      <xdr:nvPicPr>
        <xdr:cNvPr id="3596" name="Imagen 3595">
          <a:hlinkClick xmlns:r="http://schemas.openxmlformats.org/officeDocument/2006/relationships" r:id="rId3537" tooltip="Quitar este incidente de la liquidación"/>
          <a:extLst>
            <a:ext uri="{FF2B5EF4-FFF2-40B4-BE49-F238E27FC236}">
              <a16:creationId xmlns:a16="http://schemas.microsoft.com/office/drawing/2014/main" id="{8C27BCA4-2BA0-F48F-C91F-54EB7E002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5049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3198</xdr:row>
      <xdr:rowOff>0</xdr:rowOff>
    </xdr:from>
    <xdr:to>
      <xdr:col>13</xdr:col>
      <xdr:colOff>0</xdr:colOff>
      <xdr:row>3199</xdr:row>
      <xdr:rowOff>114300</xdr:rowOff>
    </xdr:to>
    <xdr:pic>
      <xdr:nvPicPr>
        <xdr:cNvPr id="3597" name="Imagen 3596" descr="Ver detalle">
          <a:hlinkClick xmlns:r="http://schemas.openxmlformats.org/officeDocument/2006/relationships" r:id="rId3538" tooltip="Ver detalle"/>
          <a:extLst>
            <a:ext uri="{FF2B5EF4-FFF2-40B4-BE49-F238E27FC236}">
              <a16:creationId xmlns:a16="http://schemas.microsoft.com/office/drawing/2014/main" id="{D79CDC3A-D17F-2B66-978C-67173EF2D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27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3198</xdr:row>
      <xdr:rowOff>0</xdr:rowOff>
    </xdr:from>
    <xdr:to>
      <xdr:col>13</xdr:col>
      <xdr:colOff>304800</xdr:colOff>
      <xdr:row>3199</xdr:row>
      <xdr:rowOff>114300</xdr:rowOff>
    </xdr:to>
    <xdr:pic>
      <xdr:nvPicPr>
        <xdr:cNvPr id="3598" name="Imagen 3597">
          <a:hlinkClick xmlns:r="http://schemas.openxmlformats.org/officeDocument/2006/relationships" r:id="rId3539" tooltip="Quitar este incidente de la liquidación"/>
          <a:extLst>
            <a:ext uri="{FF2B5EF4-FFF2-40B4-BE49-F238E27FC236}">
              <a16:creationId xmlns:a16="http://schemas.microsoft.com/office/drawing/2014/main" id="{004FB7F1-02E8-AF46-D6F0-F332CDC3D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527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3199</xdr:row>
      <xdr:rowOff>0</xdr:rowOff>
    </xdr:from>
    <xdr:to>
      <xdr:col>13</xdr:col>
      <xdr:colOff>0</xdr:colOff>
      <xdr:row>3200</xdr:row>
      <xdr:rowOff>114300</xdr:rowOff>
    </xdr:to>
    <xdr:pic>
      <xdr:nvPicPr>
        <xdr:cNvPr id="3599" name="Imagen 3598" descr="Ver detalle">
          <a:hlinkClick xmlns:r="http://schemas.openxmlformats.org/officeDocument/2006/relationships" r:id="rId3540" tooltip="Ver detalle"/>
          <a:extLst>
            <a:ext uri="{FF2B5EF4-FFF2-40B4-BE49-F238E27FC236}">
              <a16:creationId xmlns:a16="http://schemas.microsoft.com/office/drawing/2014/main" id="{47D73CD7-47D7-CBD1-E6D3-4F1797BE5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392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3199</xdr:row>
      <xdr:rowOff>0</xdr:rowOff>
    </xdr:from>
    <xdr:to>
      <xdr:col>13</xdr:col>
      <xdr:colOff>304800</xdr:colOff>
      <xdr:row>3200</xdr:row>
      <xdr:rowOff>114300</xdr:rowOff>
    </xdr:to>
    <xdr:pic>
      <xdr:nvPicPr>
        <xdr:cNvPr id="3600" name="Imagen 3599">
          <a:hlinkClick xmlns:r="http://schemas.openxmlformats.org/officeDocument/2006/relationships" r:id="rId3541" tooltip="Quitar este incidente de la liquidación"/>
          <a:extLst>
            <a:ext uri="{FF2B5EF4-FFF2-40B4-BE49-F238E27FC236}">
              <a16:creationId xmlns:a16="http://schemas.microsoft.com/office/drawing/2014/main" id="{20D7F3A4-3EC2-54D6-631A-EE1DFB0E3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5392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3200</xdr:row>
      <xdr:rowOff>0</xdr:rowOff>
    </xdr:from>
    <xdr:to>
      <xdr:col>13</xdr:col>
      <xdr:colOff>0</xdr:colOff>
      <xdr:row>3201</xdr:row>
      <xdr:rowOff>114300</xdr:rowOff>
    </xdr:to>
    <xdr:pic>
      <xdr:nvPicPr>
        <xdr:cNvPr id="3601" name="Imagen 3600" descr="Ver detalle">
          <a:hlinkClick xmlns:r="http://schemas.openxmlformats.org/officeDocument/2006/relationships" r:id="rId3542" tooltip="Ver detalle"/>
          <a:extLst>
            <a:ext uri="{FF2B5EF4-FFF2-40B4-BE49-F238E27FC236}">
              <a16:creationId xmlns:a16="http://schemas.microsoft.com/office/drawing/2014/main" id="{7236C50E-4C57-F581-F341-25B891E3C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50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3200</xdr:row>
      <xdr:rowOff>0</xdr:rowOff>
    </xdr:from>
    <xdr:to>
      <xdr:col>13</xdr:col>
      <xdr:colOff>304800</xdr:colOff>
      <xdr:row>3201</xdr:row>
      <xdr:rowOff>114300</xdr:rowOff>
    </xdr:to>
    <xdr:pic>
      <xdr:nvPicPr>
        <xdr:cNvPr id="3602" name="Imagen 3601">
          <a:hlinkClick xmlns:r="http://schemas.openxmlformats.org/officeDocument/2006/relationships" r:id="rId3543" tooltip="Quitar este incidente de la liquidación"/>
          <a:extLst>
            <a:ext uri="{FF2B5EF4-FFF2-40B4-BE49-F238E27FC236}">
              <a16:creationId xmlns:a16="http://schemas.microsoft.com/office/drawing/2014/main" id="{055F09EC-6409-A7C3-17C7-B9BA352DC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550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3201</xdr:row>
      <xdr:rowOff>0</xdr:rowOff>
    </xdr:from>
    <xdr:to>
      <xdr:col>13</xdr:col>
      <xdr:colOff>0</xdr:colOff>
      <xdr:row>3202</xdr:row>
      <xdr:rowOff>114300</xdr:rowOff>
    </xdr:to>
    <xdr:pic>
      <xdr:nvPicPr>
        <xdr:cNvPr id="3603" name="Imagen 3602" descr="Ver detalle">
          <a:hlinkClick xmlns:r="http://schemas.openxmlformats.org/officeDocument/2006/relationships" r:id="rId3544" tooltip="Ver detalle"/>
          <a:extLst>
            <a:ext uri="{FF2B5EF4-FFF2-40B4-BE49-F238E27FC236}">
              <a16:creationId xmlns:a16="http://schemas.microsoft.com/office/drawing/2014/main" id="{3EC36812-F6B5-15F0-1A7E-867A726BE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620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3201</xdr:row>
      <xdr:rowOff>0</xdr:rowOff>
    </xdr:from>
    <xdr:to>
      <xdr:col>13</xdr:col>
      <xdr:colOff>304800</xdr:colOff>
      <xdr:row>3202</xdr:row>
      <xdr:rowOff>114300</xdr:rowOff>
    </xdr:to>
    <xdr:pic>
      <xdr:nvPicPr>
        <xdr:cNvPr id="3604" name="Imagen 3603">
          <a:hlinkClick xmlns:r="http://schemas.openxmlformats.org/officeDocument/2006/relationships" r:id="rId3545" tooltip="Quitar este incidente de la liquidación"/>
          <a:extLst>
            <a:ext uri="{FF2B5EF4-FFF2-40B4-BE49-F238E27FC236}">
              <a16:creationId xmlns:a16="http://schemas.microsoft.com/office/drawing/2014/main" id="{1A07C0CB-4D79-0C72-1692-7B3495D7C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5620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3202</xdr:row>
      <xdr:rowOff>0</xdr:rowOff>
    </xdr:from>
    <xdr:to>
      <xdr:col>13</xdr:col>
      <xdr:colOff>0</xdr:colOff>
      <xdr:row>3203</xdr:row>
      <xdr:rowOff>114300</xdr:rowOff>
    </xdr:to>
    <xdr:pic>
      <xdr:nvPicPr>
        <xdr:cNvPr id="3605" name="Imagen 3604" descr="Ver detalle">
          <a:hlinkClick xmlns:r="http://schemas.openxmlformats.org/officeDocument/2006/relationships" r:id="rId3546" tooltip="Ver detalle"/>
          <a:extLst>
            <a:ext uri="{FF2B5EF4-FFF2-40B4-BE49-F238E27FC236}">
              <a16:creationId xmlns:a16="http://schemas.microsoft.com/office/drawing/2014/main" id="{80991053-4953-E85E-6872-CC5A0E194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864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3202</xdr:row>
      <xdr:rowOff>0</xdr:rowOff>
    </xdr:from>
    <xdr:to>
      <xdr:col>13</xdr:col>
      <xdr:colOff>304800</xdr:colOff>
      <xdr:row>3203</xdr:row>
      <xdr:rowOff>114300</xdr:rowOff>
    </xdr:to>
    <xdr:pic>
      <xdr:nvPicPr>
        <xdr:cNvPr id="3606" name="Imagen 3605">
          <a:hlinkClick xmlns:r="http://schemas.openxmlformats.org/officeDocument/2006/relationships" r:id="rId3547" tooltip="Quitar este incidente de la liquidación"/>
          <a:extLst>
            <a:ext uri="{FF2B5EF4-FFF2-40B4-BE49-F238E27FC236}">
              <a16:creationId xmlns:a16="http://schemas.microsoft.com/office/drawing/2014/main" id="{0C1D6199-C440-4215-6414-D7CED5303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5864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3157</xdr:row>
      <xdr:rowOff>0</xdr:rowOff>
    </xdr:from>
    <xdr:to>
      <xdr:col>13</xdr:col>
      <xdr:colOff>0</xdr:colOff>
      <xdr:row>3158</xdr:row>
      <xdr:rowOff>114300</xdr:rowOff>
    </xdr:to>
    <xdr:pic>
      <xdr:nvPicPr>
        <xdr:cNvPr id="3607" name="Imagen 3606" descr="Ver detalle">
          <a:hlinkClick xmlns:r="http://schemas.openxmlformats.org/officeDocument/2006/relationships" r:id="rId3548" tooltip="Ver detalle"/>
          <a:extLst>
            <a:ext uri="{FF2B5EF4-FFF2-40B4-BE49-F238E27FC236}">
              <a16:creationId xmlns:a16="http://schemas.microsoft.com/office/drawing/2014/main" id="{4EE250CF-23B9-D6F0-2553-B8391CE2E0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108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3157</xdr:row>
      <xdr:rowOff>0</xdr:rowOff>
    </xdr:from>
    <xdr:to>
      <xdr:col>13</xdr:col>
      <xdr:colOff>304800</xdr:colOff>
      <xdr:row>3158</xdr:row>
      <xdr:rowOff>114300</xdr:rowOff>
    </xdr:to>
    <xdr:pic>
      <xdr:nvPicPr>
        <xdr:cNvPr id="3608" name="Imagen 3607">
          <a:hlinkClick xmlns:r="http://schemas.openxmlformats.org/officeDocument/2006/relationships" r:id="rId3549" tooltip="Quitar este incidente de la liquidación"/>
          <a:extLst>
            <a:ext uri="{FF2B5EF4-FFF2-40B4-BE49-F238E27FC236}">
              <a16:creationId xmlns:a16="http://schemas.microsoft.com/office/drawing/2014/main" id="{0FBEBB74-2210-D998-F325-E64D13CBE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6108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3159</xdr:row>
      <xdr:rowOff>0</xdr:rowOff>
    </xdr:from>
    <xdr:to>
      <xdr:col>13</xdr:col>
      <xdr:colOff>0</xdr:colOff>
      <xdr:row>3160</xdr:row>
      <xdr:rowOff>114300</xdr:rowOff>
    </xdr:to>
    <xdr:pic>
      <xdr:nvPicPr>
        <xdr:cNvPr id="3609" name="Imagen 3608" descr="Ver detalle">
          <a:hlinkClick xmlns:r="http://schemas.openxmlformats.org/officeDocument/2006/relationships" r:id="rId3550" tooltip="Ver detalle"/>
          <a:extLst>
            <a:ext uri="{FF2B5EF4-FFF2-40B4-BE49-F238E27FC236}">
              <a16:creationId xmlns:a16="http://schemas.microsoft.com/office/drawing/2014/main" id="{76A540A5-2F2E-ECA8-42C9-85E8FCB695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3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3159</xdr:row>
      <xdr:rowOff>0</xdr:rowOff>
    </xdr:from>
    <xdr:to>
      <xdr:col>13</xdr:col>
      <xdr:colOff>304800</xdr:colOff>
      <xdr:row>3160</xdr:row>
      <xdr:rowOff>114300</xdr:rowOff>
    </xdr:to>
    <xdr:pic>
      <xdr:nvPicPr>
        <xdr:cNvPr id="3610" name="Imagen 3609">
          <a:hlinkClick xmlns:r="http://schemas.openxmlformats.org/officeDocument/2006/relationships" r:id="rId3551" tooltip="Quitar este incidente de la liquidación"/>
          <a:extLst>
            <a:ext uri="{FF2B5EF4-FFF2-40B4-BE49-F238E27FC236}">
              <a16:creationId xmlns:a16="http://schemas.microsoft.com/office/drawing/2014/main" id="{C6078AE9-6FD5-675B-7B64-78E8EA0A2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63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3158</xdr:row>
      <xdr:rowOff>0</xdr:rowOff>
    </xdr:from>
    <xdr:to>
      <xdr:col>13</xdr:col>
      <xdr:colOff>0</xdr:colOff>
      <xdr:row>3159</xdr:row>
      <xdr:rowOff>114300</xdr:rowOff>
    </xdr:to>
    <xdr:pic>
      <xdr:nvPicPr>
        <xdr:cNvPr id="3611" name="Imagen 3610" descr="Ver detalle">
          <a:hlinkClick xmlns:r="http://schemas.openxmlformats.org/officeDocument/2006/relationships" r:id="rId3552" tooltip="Ver detalle"/>
          <a:extLst>
            <a:ext uri="{FF2B5EF4-FFF2-40B4-BE49-F238E27FC236}">
              <a16:creationId xmlns:a16="http://schemas.microsoft.com/office/drawing/2014/main" id="{11C2C3FB-0232-55BE-7507-BF3EC0024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596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3158</xdr:row>
      <xdr:rowOff>0</xdr:rowOff>
    </xdr:from>
    <xdr:to>
      <xdr:col>13</xdr:col>
      <xdr:colOff>304800</xdr:colOff>
      <xdr:row>3159</xdr:row>
      <xdr:rowOff>114300</xdr:rowOff>
    </xdr:to>
    <xdr:pic>
      <xdr:nvPicPr>
        <xdr:cNvPr id="3612" name="Imagen 3611">
          <a:hlinkClick xmlns:r="http://schemas.openxmlformats.org/officeDocument/2006/relationships" r:id="rId3553" tooltip="Quitar este incidente de la liquidación"/>
          <a:extLst>
            <a:ext uri="{FF2B5EF4-FFF2-40B4-BE49-F238E27FC236}">
              <a16:creationId xmlns:a16="http://schemas.microsoft.com/office/drawing/2014/main" id="{8948B992-6BD7-1C41-5F58-721F86A19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6596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3160</xdr:row>
      <xdr:rowOff>0</xdr:rowOff>
    </xdr:from>
    <xdr:to>
      <xdr:col>13</xdr:col>
      <xdr:colOff>0</xdr:colOff>
      <xdr:row>3161</xdr:row>
      <xdr:rowOff>114300</xdr:rowOff>
    </xdr:to>
    <xdr:pic>
      <xdr:nvPicPr>
        <xdr:cNvPr id="3613" name="Imagen 3612" descr="Ver detalle">
          <a:hlinkClick xmlns:r="http://schemas.openxmlformats.org/officeDocument/2006/relationships" r:id="rId3554" tooltip="Ver detalle"/>
          <a:extLst>
            <a:ext uri="{FF2B5EF4-FFF2-40B4-BE49-F238E27FC236}">
              <a16:creationId xmlns:a16="http://schemas.microsoft.com/office/drawing/2014/main" id="{7E3A3B15-22DC-D592-3201-47803FDC2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840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3160</xdr:row>
      <xdr:rowOff>0</xdr:rowOff>
    </xdr:from>
    <xdr:to>
      <xdr:col>13</xdr:col>
      <xdr:colOff>304800</xdr:colOff>
      <xdr:row>3161</xdr:row>
      <xdr:rowOff>114300</xdr:rowOff>
    </xdr:to>
    <xdr:pic>
      <xdr:nvPicPr>
        <xdr:cNvPr id="3614" name="Imagen 3613">
          <a:hlinkClick xmlns:r="http://schemas.openxmlformats.org/officeDocument/2006/relationships" r:id="rId3555" tooltip="Quitar este incidente de la liquidación"/>
          <a:extLst>
            <a:ext uri="{FF2B5EF4-FFF2-40B4-BE49-F238E27FC236}">
              <a16:creationId xmlns:a16="http://schemas.microsoft.com/office/drawing/2014/main" id="{66F52D0C-8510-D973-B00C-2BDA1BD9F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6840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3166</xdr:row>
      <xdr:rowOff>0</xdr:rowOff>
    </xdr:from>
    <xdr:to>
      <xdr:col>13</xdr:col>
      <xdr:colOff>0</xdr:colOff>
      <xdr:row>3167</xdr:row>
      <xdr:rowOff>114300</xdr:rowOff>
    </xdr:to>
    <xdr:pic>
      <xdr:nvPicPr>
        <xdr:cNvPr id="3615" name="Imagen 3614" descr="Ver detalle">
          <a:hlinkClick xmlns:r="http://schemas.openxmlformats.org/officeDocument/2006/relationships" r:id="rId3556" tooltip="Ver detalle"/>
          <a:extLst>
            <a:ext uri="{FF2B5EF4-FFF2-40B4-BE49-F238E27FC236}">
              <a16:creationId xmlns:a16="http://schemas.microsoft.com/office/drawing/2014/main" id="{B695B0BD-1157-77C4-8AF3-F6A1A3DBE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7083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3166</xdr:row>
      <xdr:rowOff>0</xdr:rowOff>
    </xdr:from>
    <xdr:to>
      <xdr:col>13</xdr:col>
      <xdr:colOff>304800</xdr:colOff>
      <xdr:row>3167</xdr:row>
      <xdr:rowOff>114300</xdr:rowOff>
    </xdr:to>
    <xdr:pic>
      <xdr:nvPicPr>
        <xdr:cNvPr id="3616" name="Imagen 3615">
          <a:hlinkClick xmlns:r="http://schemas.openxmlformats.org/officeDocument/2006/relationships" r:id="rId3557" tooltip="Quitar este incidente de la liquidación"/>
          <a:extLst>
            <a:ext uri="{FF2B5EF4-FFF2-40B4-BE49-F238E27FC236}">
              <a16:creationId xmlns:a16="http://schemas.microsoft.com/office/drawing/2014/main" id="{DAF5513A-82DB-BE33-AA43-26EB4A4A84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7083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3153</xdr:row>
      <xdr:rowOff>0</xdr:rowOff>
    </xdr:from>
    <xdr:to>
      <xdr:col>13</xdr:col>
      <xdr:colOff>0</xdr:colOff>
      <xdr:row>3154</xdr:row>
      <xdr:rowOff>114300</xdr:rowOff>
    </xdr:to>
    <xdr:pic>
      <xdr:nvPicPr>
        <xdr:cNvPr id="3617" name="Imagen 3616" descr="Ver detalle">
          <a:hlinkClick xmlns:r="http://schemas.openxmlformats.org/officeDocument/2006/relationships" r:id="rId3558" tooltip="Ver detalle"/>
          <a:extLst>
            <a:ext uri="{FF2B5EF4-FFF2-40B4-BE49-F238E27FC236}">
              <a16:creationId xmlns:a16="http://schemas.microsoft.com/office/drawing/2014/main" id="{0CE03243-975D-91A1-3EF9-65B196B44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7327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3153</xdr:row>
      <xdr:rowOff>0</xdr:rowOff>
    </xdr:from>
    <xdr:to>
      <xdr:col>13</xdr:col>
      <xdr:colOff>304800</xdr:colOff>
      <xdr:row>3154</xdr:row>
      <xdr:rowOff>114300</xdr:rowOff>
    </xdr:to>
    <xdr:pic>
      <xdr:nvPicPr>
        <xdr:cNvPr id="3618" name="Imagen 3617">
          <a:hlinkClick xmlns:r="http://schemas.openxmlformats.org/officeDocument/2006/relationships" r:id="rId3559" tooltip="Quitar este incidente de la liquidación"/>
          <a:extLst>
            <a:ext uri="{FF2B5EF4-FFF2-40B4-BE49-F238E27FC236}">
              <a16:creationId xmlns:a16="http://schemas.microsoft.com/office/drawing/2014/main" id="{E74FCB12-C576-C33F-95FC-4E72BC281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7327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3180</xdr:row>
      <xdr:rowOff>0</xdr:rowOff>
    </xdr:from>
    <xdr:to>
      <xdr:col>13</xdr:col>
      <xdr:colOff>0</xdr:colOff>
      <xdr:row>3181</xdr:row>
      <xdr:rowOff>114300</xdr:rowOff>
    </xdr:to>
    <xdr:pic>
      <xdr:nvPicPr>
        <xdr:cNvPr id="3619" name="Imagen 3618" descr="Ver detalle">
          <a:hlinkClick xmlns:r="http://schemas.openxmlformats.org/officeDocument/2006/relationships" r:id="rId3560" tooltip="Ver detalle"/>
          <a:extLst>
            <a:ext uri="{FF2B5EF4-FFF2-40B4-BE49-F238E27FC236}">
              <a16:creationId xmlns:a16="http://schemas.microsoft.com/office/drawing/2014/main" id="{3C852569-F059-DB03-7D90-99A054A1DE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7442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3180</xdr:row>
      <xdr:rowOff>0</xdr:rowOff>
    </xdr:from>
    <xdr:to>
      <xdr:col>13</xdr:col>
      <xdr:colOff>304800</xdr:colOff>
      <xdr:row>3181</xdr:row>
      <xdr:rowOff>114300</xdr:rowOff>
    </xdr:to>
    <xdr:pic>
      <xdr:nvPicPr>
        <xdr:cNvPr id="3620" name="Imagen 3619">
          <a:hlinkClick xmlns:r="http://schemas.openxmlformats.org/officeDocument/2006/relationships" r:id="rId3561" tooltip="Quitar este incidente de la liquidación"/>
          <a:extLst>
            <a:ext uri="{FF2B5EF4-FFF2-40B4-BE49-F238E27FC236}">
              <a16:creationId xmlns:a16="http://schemas.microsoft.com/office/drawing/2014/main" id="{360E5C82-177D-DFE6-870C-391330990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7442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3181</xdr:row>
      <xdr:rowOff>0</xdr:rowOff>
    </xdr:from>
    <xdr:to>
      <xdr:col>13</xdr:col>
      <xdr:colOff>0</xdr:colOff>
      <xdr:row>3182</xdr:row>
      <xdr:rowOff>114300</xdr:rowOff>
    </xdr:to>
    <xdr:pic>
      <xdr:nvPicPr>
        <xdr:cNvPr id="3621" name="Imagen 3620" descr="Ver detalle">
          <a:hlinkClick xmlns:r="http://schemas.openxmlformats.org/officeDocument/2006/relationships" r:id="rId3562" tooltip="Ver detalle"/>
          <a:extLst>
            <a:ext uri="{FF2B5EF4-FFF2-40B4-BE49-F238E27FC236}">
              <a16:creationId xmlns:a16="http://schemas.microsoft.com/office/drawing/2014/main" id="{371D41B0-EA81-072E-93D0-949F54139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768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3181</xdr:row>
      <xdr:rowOff>0</xdr:rowOff>
    </xdr:from>
    <xdr:to>
      <xdr:col>13</xdr:col>
      <xdr:colOff>304800</xdr:colOff>
      <xdr:row>3182</xdr:row>
      <xdr:rowOff>114300</xdr:rowOff>
    </xdr:to>
    <xdr:pic>
      <xdr:nvPicPr>
        <xdr:cNvPr id="3622" name="Imagen 3621">
          <a:hlinkClick xmlns:r="http://schemas.openxmlformats.org/officeDocument/2006/relationships" r:id="rId3563" tooltip="Quitar este incidente de la liquidación"/>
          <a:extLst>
            <a:ext uri="{FF2B5EF4-FFF2-40B4-BE49-F238E27FC236}">
              <a16:creationId xmlns:a16="http://schemas.microsoft.com/office/drawing/2014/main" id="{3A0DF8F6-6622-02DA-FCAE-57020FFB3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768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3154</xdr:row>
      <xdr:rowOff>0</xdr:rowOff>
    </xdr:from>
    <xdr:to>
      <xdr:col>13</xdr:col>
      <xdr:colOff>0</xdr:colOff>
      <xdr:row>3155</xdr:row>
      <xdr:rowOff>114300</xdr:rowOff>
    </xdr:to>
    <xdr:pic>
      <xdr:nvPicPr>
        <xdr:cNvPr id="3623" name="Imagen 3622" descr="Ver detalle">
          <a:hlinkClick xmlns:r="http://schemas.openxmlformats.org/officeDocument/2006/relationships" r:id="rId3564" tooltip="Ver detalle"/>
          <a:extLst>
            <a:ext uri="{FF2B5EF4-FFF2-40B4-BE49-F238E27FC236}">
              <a16:creationId xmlns:a16="http://schemas.microsoft.com/office/drawing/2014/main" id="{A643859E-659E-3087-7F24-C489D32B0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7929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3154</xdr:row>
      <xdr:rowOff>0</xdr:rowOff>
    </xdr:from>
    <xdr:to>
      <xdr:col>13</xdr:col>
      <xdr:colOff>304800</xdr:colOff>
      <xdr:row>3155</xdr:row>
      <xdr:rowOff>114300</xdr:rowOff>
    </xdr:to>
    <xdr:pic>
      <xdr:nvPicPr>
        <xdr:cNvPr id="3624" name="Imagen 3623">
          <a:hlinkClick xmlns:r="http://schemas.openxmlformats.org/officeDocument/2006/relationships" r:id="rId3565" tooltip="Quitar este incidente de la liquidación"/>
          <a:extLst>
            <a:ext uri="{FF2B5EF4-FFF2-40B4-BE49-F238E27FC236}">
              <a16:creationId xmlns:a16="http://schemas.microsoft.com/office/drawing/2014/main" id="{996503DF-3C92-C60C-D493-E4F819891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7929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3155</xdr:row>
      <xdr:rowOff>0</xdr:rowOff>
    </xdr:from>
    <xdr:to>
      <xdr:col>13</xdr:col>
      <xdr:colOff>0</xdr:colOff>
      <xdr:row>3156</xdr:row>
      <xdr:rowOff>114300</xdr:rowOff>
    </xdr:to>
    <xdr:pic>
      <xdr:nvPicPr>
        <xdr:cNvPr id="3625" name="Imagen 3624" descr="Ver detalle">
          <a:hlinkClick xmlns:r="http://schemas.openxmlformats.org/officeDocument/2006/relationships" r:id="rId3566" tooltip="Ver detalle"/>
          <a:extLst>
            <a:ext uri="{FF2B5EF4-FFF2-40B4-BE49-F238E27FC236}">
              <a16:creationId xmlns:a16="http://schemas.microsoft.com/office/drawing/2014/main" id="{A2CFABB6-CF42-1665-ADD2-98778997E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8173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3155</xdr:row>
      <xdr:rowOff>0</xdr:rowOff>
    </xdr:from>
    <xdr:to>
      <xdr:col>13</xdr:col>
      <xdr:colOff>304800</xdr:colOff>
      <xdr:row>3156</xdr:row>
      <xdr:rowOff>114300</xdr:rowOff>
    </xdr:to>
    <xdr:pic>
      <xdr:nvPicPr>
        <xdr:cNvPr id="3626" name="Imagen 3625">
          <a:hlinkClick xmlns:r="http://schemas.openxmlformats.org/officeDocument/2006/relationships" r:id="rId3567" tooltip="Quitar este incidente de la liquidación"/>
          <a:extLst>
            <a:ext uri="{FF2B5EF4-FFF2-40B4-BE49-F238E27FC236}">
              <a16:creationId xmlns:a16="http://schemas.microsoft.com/office/drawing/2014/main" id="{237E2382-FD80-15BD-B6E4-A0FE988D3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8173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3150</xdr:row>
      <xdr:rowOff>0</xdr:rowOff>
    </xdr:from>
    <xdr:to>
      <xdr:col>13</xdr:col>
      <xdr:colOff>0</xdr:colOff>
      <xdr:row>3151</xdr:row>
      <xdr:rowOff>114300</xdr:rowOff>
    </xdr:to>
    <xdr:pic>
      <xdr:nvPicPr>
        <xdr:cNvPr id="3627" name="Imagen 3626" descr="Ver detalle">
          <a:hlinkClick xmlns:r="http://schemas.openxmlformats.org/officeDocument/2006/relationships" r:id="rId3568" tooltip="Ver detalle"/>
          <a:extLst>
            <a:ext uri="{FF2B5EF4-FFF2-40B4-BE49-F238E27FC236}">
              <a16:creationId xmlns:a16="http://schemas.microsoft.com/office/drawing/2014/main" id="{4E63E0F7-7A54-474A-EE11-A235FBCE2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8287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3150</xdr:row>
      <xdr:rowOff>0</xdr:rowOff>
    </xdr:from>
    <xdr:to>
      <xdr:col>13</xdr:col>
      <xdr:colOff>304800</xdr:colOff>
      <xdr:row>3151</xdr:row>
      <xdr:rowOff>114300</xdr:rowOff>
    </xdr:to>
    <xdr:pic>
      <xdr:nvPicPr>
        <xdr:cNvPr id="3628" name="Imagen 3627">
          <a:hlinkClick xmlns:r="http://schemas.openxmlformats.org/officeDocument/2006/relationships" r:id="rId3569" tooltip="Quitar este incidente de la liquidación"/>
          <a:extLst>
            <a:ext uri="{FF2B5EF4-FFF2-40B4-BE49-F238E27FC236}">
              <a16:creationId xmlns:a16="http://schemas.microsoft.com/office/drawing/2014/main" id="{50C32778-F124-4998-3EB6-26B2FA1D0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8287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3151</xdr:row>
      <xdr:rowOff>0</xdr:rowOff>
    </xdr:from>
    <xdr:to>
      <xdr:col>13</xdr:col>
      <xdr:colOff>0</xdr:colOff>
      <xdr:row>3152</xdr:row>
      <xdr:rowOff>114300</xdr:rowOff>
    </xdr:to>
    <xdr:pic>
      <xdr:nvPicPr>
        <xdr:cNvPr id="3629" name="Imagen 3628" descr="Ver detalle">
          <a:hlinkClick xmlns:r="http://schemas.openxmlformats.org/officeDocument/2006/relationships" r:id="rId3570" tooltip="Ver detalle"/>
          <a:extLst>
            <a:ext uri="{FF2B5EF4-FFF2-40B4-BE49-F238E27FC236}">
              <a16:creationId xmlns:a16="http://schemas.microsoft.com/office/drawing/2014/main" id="{D190A0B4-EC7C-A2D2-2D46-DA629F102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853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3151</xdr:row>
      <xdr:rowOff>0</xdr:rowOff>
    </xdr:from>
    <xdr:to>
      <xdr:col>13</xdr:col>
      <xdr:colOff>304800</xdr:colOff>
      <xdr:row>3152</xdr:row>
      <xdr:rowOff>114300</xdr:rowOff>
    </xdr:to>
    <xdr:pic>
      <xdr:nvPicPr>
        <xdr:cNvPr id="3630" name="Imagen 3629">
          <a:hlinkClick xmlns:r="http://schemas.openxmlformats.org/officeDocument/2006/relationships" r:id="rId3571" tooltip="Quitar este incidente de la liquidación"/>
          <a:extLst>
            <a:ext uri="{FF2B5EF4-FFF2-40B4-BE49-F238E27FC236}">
              <a16:creationId xmlns:a16="http://schemas.microsoft.com/office/drawing/2014/main" id="{3EEC6717-3A2A-18DF-9BA5-6E4E65F45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853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3246</xdr:row>
      <xdr:rowOff>0</xdr:rowOff>
    </xdr:from>
    <xdr:to>
      <xdr:col>13</xdr:col>
      <xdr:colOff>0</xdr:colOff>
      <xdr:row>3247</xdr:row>
      <xdr:rowOff>114300</xdr:rowOff>
    </xdr:to>
    <xdr:pic>
      <xdr:nvPicPr>
        <xdr:cNvPr id="3631" name="Imagen 3630" descr="Ver detalle">
          <a:hlinkClick xmlns:r="http://schemas.openxmlformats.org/officeDocument/2006/relationships" r:id="rId3572" tooltip="Ver detalle"/>
          <a:extLst>
            <a:ext uri="{FF2B5EF4-FFF2-40B4-BE49-F238E27FC236}">
              <a16:creationId xmlns:a16="http://schemas.microsoft.com/office/drawing/2014/main" id="{D8F4646C-EC34-C191-AA0C-388B3DC27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8775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3246</xdr:row>
      <xdr:rowOff>0</xdr:rowOff>
    </xdr:from>
    <xdr:to>
      <xdr:col>13</xdr:col>
      <xdr:colOff>304800</xdr:colOff>
      <xdr:row>3247</xdr:row>
      <xdr:rowOff>114300</xdr:rowOff>
    </xdr:to>
    <xdr:pic>
      <xdr:nvPicPr>
        <xdr:cNvPr id="3632" name="Imagen 3631">
          <a:hlinkClick xmlns:r="http://schemas.openxmlformats.org/officeDocument/2006/relationships" r:id="rId3573" tooltip="Quitar este incidente de la liquidación"/>
          <a:extLst>
            <a:ext uri="{FF2B5EF4-FFF2-40B4-BE49-F238E27FC236}">
              <a16:creationId xmlns:a16="http://schemas.microsoft.com/office/drawing/2014/main" id="{3B7F78B8-7294-3F3E-21B0-7B1DB0B18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8775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3247</xdr:row>
      <xdr:rowOff>0</xdr:rowOff>
    </xdr:from>
    <xdr:to>
      <xdr:col>13</xdr:col>
      <xdr:colOff>0</xdr:colOff>
      <xdr:row>3248</xdr:row>
      <xdr:rowOff>114300</xdr:rowOff>
    </xdr:to>
    <xdr:pic>
      <xdr:nvPicPr>
        <xdr:cNvPr id="3633" name="Imagen 3632" descr="Ver detalle">
          <a:hlinkClick xmlns:r="http://schemas.openxmlformats.org/officeDocument/2006/relationships" r:id="rId3574" tooltip="Ver detalle"/>
          <a:extLst>
            <a:ext uri="{FF2B5EF4-FFF2-40B4-BE49-F238E27FC236}">
              <a16:creationId xmlns:a16="http://schemas.microsoft.com/office/drawing/2014/main" id="{06993A37-5807-77A6-AF42-F13D509EC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9019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3247</xdr:row>
      <xdr:rowOff>0</xdr:rowOff>
    </xdr:from>
    <xdr:to>
      <xdr:col>13</xdr:col>
      <xdr:colOff>304800</xdr:colOff>
      <xdr:row>3248</xdr:row>
      <xdr:rowOff>114300</xdr:rowOff>
    </xdr:to>
    <xdr:pic>
      <xdr:nvPicPr>
        <xdr:cNvPr id="3634" name="Imagen 3633">
          <a:hlinkClick xmlns:r="http://schemas.openxmlformats.org/officeDocument/2006/relationships" r:id="rId3575" tooltip="Quitar este incidente de la liquidación"/>
          <a:extLst>
            <a:ext uri="{FF2B5EF4-FFF2-40B4-BE49-F238E27FC236}">
              <a16:creationId xmlns:a16="http://schemas.microsoft.com/office/drawing/2014/main" id="{E4950536-72E9-171E-02A8-FE9ACBA35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9019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3248</xdr:row>
      <xdr:rowOff>0</xdr:rowOff>
    </xdr:from>
    <xdr:to>
      <xdr:col>13</xdr:col>
      <xdr:colOff>0</xdr:colOff>
      <xdr:row>3249</xdr:row>
      <xdr:rowOff>104775</xdr:rowOff>
    </xdr:to>
    <xdr:pic>
      <xdr:nvPicPr>
        <xdr:cNvPr id="3635" name="Imagen 3634" descr="Ver detalle">
          <a:hlinkClick xmlns:r="http://schemas.openxmlformats.org/officeDocument/2006/relationships" r:id="rId3576" tooltip="Ver detalle"/>
          <a:extLst>
            <a:ext uri="{FF2B5EF4-FFF2-40B4-BE49-F238E27FC236}">
              <a16:creationId xmlns:a16="http://schemas.microsoft.com/office/drawing/2014/main" id="{1B42EBCA-FFAA-A0C9-7240-A635A3AB4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9263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3248</xdr:row>
      <xdr:rowOff>0</xdr:rowOff>
    </xdr:from>
    <xdr:to>
      <xdr:col>13</xdr:col>
      <xdr:colOff>304800</xdr:colOff>
      <xdr:row>3249</xdr:row>
      <xdr:rowOff>104775</xdr:rowOff>
    </xdr:to>
    <xdr:pic>
      <xdr:nvPicPr>
        <xdr:cNvPr id="3636" name="Imagen 3635">
          <a:hlinkClick xmlns:r="http://schemas.openxmlformats.org/officeDocument/2006/relationships" r:id="rId3577" tooltip="Quitar este incidente de la liquidación"/>
          <a:extLst>
            <a:ext uri="{FF2B5EF4-FFF2-40B4-BE49-F238E27FC236}">
              <a16:creationId xmlns:a16="http://schemas.microsoft.com/office/drawing/2014/main" id="{1FF7F089-973A-B3AA-7A94-226E31F15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9263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3152</xdr:row>
      <xdr:rowOff>0</xdr:rowOff>
    </xdr:from>
    <xdr:to>
      <xdr:col>13</xdr:col>
      <xdr:colOff>0</xdr:colOff>
      <xdr:row>3153</xdr:row>
      <xdr:rowOff>114300</xdr:rowOff>
    </xdr:to>
    <xdr:pic>
      <xdr:nvPicPr>
        <xdr:cNvPr id="3637" name="Imagen 3636" descr="Ver detalle">
          <a:hlinkClick xmlns:r="http://schemas.openxmlformats.org/officeDocument/2006/relationships" r:id="rId3578" tooltip="Ver detalle"/>
          <a:extLst>
            <a:ext uri="{FF2B5EF4-FFF2-40B4-BE49-F238E27FC236}">
              <a16:creationId xmlns:a16="http://schemas.microsoft.com/office/drawing/2014/main" id="{94F01E5C-A8B5-A536-9887-2DB9321B3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9507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3152</xdr:row>
      <xdr:rowOff>0</xdr:rowOff>
    </xdr:from>
    <xdr:to>
      <xdr:col>13</xdr:col>
      <xdr:colOff>304800</xdr:colOff>
      <xdr:row>3153</xdr:row>
      <xdr:rowOff>114300</xdr:rowOff>
    </xdr:to>
    <xdr:pic>
      <xdr:nvPicPr>
        <xdr:cNvPr id="3638" name="Imagen 3637">
          <a:hlinkClick xmlns:r="http://schemas.openxmlformats.org/officeDocument/2006/relationships" r:id="rId3579" tooltip="Quitar este incidente de la liquidación"/>
          <a:extLst>
            <a:ext uri="{FF2B5EF4-FFF2-40B4-BE49-F238E27FC236}">
              <a16:creationId xmlns:a16="http://schemas.microsoft.com/office/drawing/2014/main" id="{89DC84E9-CE67-0A96-E88F-74448C1F0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9507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3297</xdr:row>
      <xdr:rowOff>0</xdr:rowOff>
    </xdr:from>
    <xdr:to>
      <xdr:col>13</xdr:col>
      <xdr:colOff>0</xdr:colOff>
      <xdr:row>3298</xdr:row>
      <xdr:rowOff>114300</xdr:rowOff>
    </xdr:to>
    <xdr:pic>
      <xdr:nvPicPr>
        <xdr:cNvPr id="3639" name="Imagen 3638" descr="Ver detalle">
          <a:hlinkClick xmlns:r="http://schemas.openxmlformats.org/officeDocument/2006/relationships" r:id="rId3580" tooltip="Ver detalle"/>
          <a:extLst>
            <a:ext uri="{FF2B5EF4-FFF2-40B4-BE49-F238E27FC236}">
              <a16:creationId xmlns:a16="http://schemas.microsoft.com/office/drawing/2014/main" id="{3CA9D079-4B83-33A0-05E2-E2DA4CBD3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313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3298</xdr:row>
      <xdr:rowOff>0</xdr:rowOff>
    </xdr:from>
    <xdr:to>
      <xdr:col>13</xdr:col>
      <xdr:colOff>0</xdr:colOff>
      <xdr:row>3299</xdr:row>
      <xdr:rowOff>114300</xdr:rowOff>
    </xdr:to>
    <xdr:pic>
      <xdr:nvPicPr>
        <xdr:cNvPr id="3640" name="Imagen 3639" descr="Ver detalle">
          <a:hlinkClick xmlns:r="http://schemas.openxmlformats.org/officeDocument/2006/relationships" r:id="rId3581" tooltip="Ver detalle"/>
          <a:extLst>
            <a:ext uri="{FF2B5EF4-FFF2-40B4-BE49-F238E27FC236}">
              <a16:creationId xmlns:a16="http://schemas.microsoft.com/office/drawing/2014/main" id="{F7F61BFD-BB1A-E075-BF48-D220B556B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557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3294</xdr:row>
      <xdr:rowOff>0</xdr:rowOff>
    </xdr:from>
    <xdr:to>
      <xdr:col>13</xdr:col>
      <xdr:colOff>0</xdr:colOff>
      <xdr:row>3295</xdr:row>
      <xdr:rowOff>114300</xdr:rowOff>
    </xdr:to>
    <xdr:pic>
      <xdr:nvPicPr>
        <xdr:cNvPr id="3641" name="Imagen 3640" descr="Ver detalle">
          <a:hlinkClick xmlns:r="http://schemas.openxmlformats.org/officeDocument/2006/relationships" r:id="rId3582" tooltip="Ver detalle"/>
          <a:extLst>
            <a:ext uri="{FF2B5EF4-FFF2-40B4-BE49-F238E27FC236}">
              <a16:creationId xmlns:a16="http://schemas.microsoft.com/office/drawing/2014/main" id="{CDBDF70D-7B6F-F628-326C-1349BD883A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801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3299</xdr:row>
      <xdr:rowOff>0</xdr:rowOff>
    </xdr:from>
    <xdr:to>
      <xdr:col>13</xdr:col>
      <xdr:colOff>0</xdr:colOff>
      <xdr:row>3300</xdr:row>
      <xdr:rowOff>114300</xdr:rowOff>
    </xdr:to>
    <xdr:pic>
      <xdr:nvPicPr>
        <xdr:cNvPr id="3642" name="Imagen 3641" descr="Ver detalle">
          <a:hlinkClick xmlns:r="http://schemas.openxmlformats.org/officeDocument/2006/relationships" r:id="rId3583" tooltip="Ver detalle"/>
          <a:extLst>
            <a:ext uri="{FF2B5EF4-FFF2-40B4-BE49-F238E27FC236}">
              <a16:creationId xmlns:a16="http://schemas.microsoft.com/office/drawing/2014/main" id="{EBB7EA49-BA23-3AAD-2729-83A3FF8C1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045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3295</xdr:row>
      <xdr:rowOff>0</xdr:rowOff>
    </xdr:from>
    <xdr:to>
      <xdr:col>13</xdr:col>
      <xdr:colOff>0</xdr:colOff>
      <xdr:row>3296</xdr:row>
      <xdr:rowOff>114300</xdr:rowOff>
    </xdr:to>
    <xdr:pic>
      <xdr:nvPicPr>
        <xdr:cNvPr id="3643" name="Imagen 3642" descr="Ver detalle">
          <a:hlinkClick xmlns:r="http://schemas.openxmlformats.org/officeDocument/2006/relationships" r:id="rId3584" tooltip="Ver detalle"/>
          <a:extLst>
            <a:ext uri="{FF2B5EF4-FFF2-40B4-BE49-F238E27FC236}">
              <a16:creationId xmlns:a16="http://schemas.microsoft.com/office/drawing/2014/main" id="{1213DDA5-4D9B-1AC1-EFB3-AE0714412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288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3296</xdr:row>
      <xdr:rowOff>0</xdr:rowOff>
    </xdr:from>
    <xdr:to>
      <xdr:col>13</xdr:col>
      <xdr:colOff>0</xdr:colOff>
      <xdr:row>3297</xdr:row>
      <xdr:rowOff>114300</xdr:rowOff>
    </xdr:to>
    <xdr:pic>
      <xdr:nvPicPr>
        <xdr:cNvPr id="3644" name="Imagen 3643" descr="Ver detalle">
          <a:hlinkClick xmlns:r="http://schemas.openxmlformats.org/officeDocument/2006/relationships" r:id="rId3585" tooltip="Ver detalle"/>
          <a:extLst>
            <a:ext uri="{FF2B5EF4-FFF2-40B4-BE49-F238E27FC236}">
              <a16:creationId xmlns:a16="http://schemas.microsoft.com/office/drawing/2014/main" id="{B35856BA-301C-F69A-4953-ED60B4C94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532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3305</xdr:row>
      <xdr:rowOff>0</xdr:rowOff>
    </xdr:from>
    <xdr:to>
      <xdr:col>13</xdr:col>
      <xdr:colOff>0</xdr:colOff>
      <xdr:row>3306</xdr:row>
      <xdr:rowOff>114300</xdr:rowOff>
    </xdr:to>
    <xdr:pic>
      <xdr:nvPicPr>
        <xdr:cNvPr id="3645" name="Imagen 3644" descr="Ver detalle">
          <a:hlinkClick xmlns:r="http://schemas.openxmlformats.org/officeDocument/2006/relationships" r:id="rId3586" tooltip="Ver detalle"/>
          <a:extLst>
            <a:ext uri="{FF2B5EF4-FFF2-40B4-BE49-F238E27FC236}">
              <a16:creationId xmlns:a16="http://schemas.microsoft.com/office/drawing/2014/main" id="{D97B8B9A-7469-87DE-172C-0058916C1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647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3349</xdr:row>
      <xdr:rowOff>0</xdr:rowOff>
    </xdr:from>
    <xdr:to>
      <xdr:col>13</xdr:col>
      <xdr:colOff>0</xdr:colOff>
      <xdr:row>3350</xdr:row>
      <xdr:rowOff>114300</xdr:rowOff>
    </xdr:to>
    <xdr:pic>
      <xdr:nvPicPr>
        <xdr:cNvPr id="3646" name="Imagen 3645" descr="Ver detalle">
          <a:hlinkClick xmlns:r="http://schemas.openxmlformats.org/officeDocument/2006/relationships" r:id="rId3587" tooltip="Ver detalle"/>
          <a:extLst>
            <a:ext uri="{FF2B5EF4-FFF2-40B4-BE49-F238E27FC236}">
              <a16:creationId xmlns:a16="http://schemas.microsoft.com/office/drawing/2014/main" id="{70E5691C-880E-E032-B28A-00B66F330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890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3350</xdr:row>
      <xdr:rowOff>0</xdr:rowOff>
    </xdr:from>
    <xdr:to>
      <xdr:col>13</xdr:col>
      <xdr:colOff>0</xdr:colOff>
      <xdr:row>3351</xdr:row>
      <xdr:rowOff>114300</xdr:rowOff>
    </xdr:to>
    <xdr:pic>
      <xdr:nvPicPr>
        <xdr:cNvPr id="3647" name="Imagen 3646" descr="Ver detalle">
          <a:hlinkClick xmlns:r="http://schemas.openxmlformats.org/officeDocument/2006/relationships" r:id="rId3588" tooltip="Ver detalle"/>
          <a:extLst>
            <a:ext uri="{FF2B5EF4-FFF2-40B4-BE49-F238E27FC236}">
              <a16:creationId xmlns:a16="http://schemas.microsoft.com/office/drawing/2014/main" id="{17267F38-6009-62D1-F7A7-8F9D13D76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134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3351</xdr:row>
      <xdr:rowOff>0</xdr:rowOff>
    </xdr:from>
    <xdr:to>
      <xdr:col>13</xdr:col>
      <xdr:colOff>0</xdr:colOff>
      <xdr:row>3352</xdr:row>
      <xdr:rowOff>114300</xdr:rowOff>
    </xdr:to>
    <xdr:pic>
      <xdr:nvPicPr>
        <xdr:cNvPr id="3648" name="Imagen 3647" descr="Ver detalle">
          <a:hlinkClick xmlns:r="http://schemas.openxmlformats.org/officeDocument/2006/relationships" r:id="rId3589" tooltip="Ver detalle"/>
          <a:extLst>
            <a:ext uri="{FF2B5EF4-FFF2-40B4-BE49-F238E27FC236}">
              <a16:creationId xmlns:a16="http://schemas.microsoft.com/office/drawing/2014/main" id="{1BF66EF8-0E80-C080-492C-5E14F6F25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378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3300</xdr:row>
      <xdr:rowOff>0</xdr:rowOff>
    </xdr:from>
    <xdr:to>
      <xdr:col>13</xdr:col>
      <xdr:colOff>0</xdr:colOff>
      <xdr:row>3301</xdr:row>
      <xdr:rowOff>114300</xdr:rowOff>
    </xdr:to>
    <xdr:pic>
      <xdr:nvPicPr>
        <xdr:cNvPr id="3649" name="Imagen 3648" descr="Ver detalle">
          <a:hlinkClick xmlns:r="http://schemas.openxmlformats.org/officeDocument/2006/relationships" r:id="rId3590" tooltip="Ver detalle"/>
          <a:extLst>
            <a:ext uri="{FF2B5EF4-FFF2-40B4-BE49-F238E27FC236}">
              <a16:creationId xmlns:a16="http://schemas.microsoft.com/office/drawing/2014/main" id="{7C12A5F6-7E20-413B-1AF7-004A3FD25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622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3335</xdr:row>
      <xdr:rowOff>0</xdr:rowOff>
    </xdr:from>
    <xdr:to>
      <xdr:col>13</xdr:col>
      <xdr:colOff>0</xdr:colOff>
      <xdr:row>3336</xdr:row>
      <xdr:rowOff>114300</xdr:rowOff>
    </xdr:to>
    <xdr:pic>
      <xdr:nvPicPr>
        <xdr:cNvPr id="3650" name="Imagen 3649" descr="Ver detalle">
          <a:hlinkClick xmlns:r="http://schemas.openxmlformats.org/officeDocument/2006/relationships" r:id="rId3591" tooltip="Ver detalle"/>
          <a:extLst>
            <a:ext uri="{FF2B5EF4-FFF2-40B4-BE49-F238E27FC236}">
              <a16:creationId xmlns:a16="http://schemas.microsoft.com/office/drawing/2014/main" id="{A94B97A5-C9A5-0733-0C0A-1919A5B4A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866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3336</xdr:row>
      <xdr:rowOff>0</xdr:rowOff>
    </xdr:from>
    <xdr:to>
      <xdr:col>13</xdr:col>
      <xdr:colOff>0</xdr:colOff>
      <xdr:row>3337</xdr:row>
      <xdr:rowOff>114300</xdr:rowOff>
    </xdr:to>
    <xdr:pic>
      <xdr:nvPicPr>
        <xdr:cNvPr id="3651" name="Imagen 3650" descr="Ver detalle">
          <a:hlinkClick xmlns:r="http://schemas.openxmlformats.org/officeDocument/2006/relationships" r:id="rId3592" tooltip="Ver detalle"/>
          <a:extLst>
            <a:ext uri="{FF2B5EF4-FFF2-40B4-BE49-F238E27FC236}">
              <a16:creationId xmlns:a16="http://schemas.microsoft.com/office/drawing/2014/main" id="{48FB5E07-E60A-05E6-F6D7-6B4ACB9E1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110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3337</xdr:row>
      <xdr:rowOff>0</xdr:rowOff>
    </xdr:from>
    <xdr:to>
      <xdr:col>13</xdr:col>
      <xdr:colOff>0</xdr:colOff>
      <xdr:row>3338</xdr:row>
      <xdr:rowOff>114300</xdr:rowOff>
    </xdr:to>
    <xdr:pic>
      <xdr:nvPicPr>
        <xdr:cNvPr id="3652" name="Imagen 3651" descr="Ver detalle">
          <a:hlinkClick xmlns:r="http://schemas.openxmlformats.org/officeDocument/2006/relationships" r:id="rId3593" tooltip="Ver detalle"/>
          <a:extLst>
            <a:ext uri="{FF2B5EF4-FFF2-40B4-BE49-F238E27FC236}">
              <a16:creationId xmlns:a16="http://schemas.microsoft.com/office/drawing/2014/main" id="{EBBB8D76-DD90-F1BB-ECFA-D60ECE753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353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3338</xdr:row>
      <xdr:rowOff>0</xdr:rowOff>
    </xdr:from>
    <xdr:to>
      <xdr:col>13</xdr:col>
      <xdr:colOff>0</xdr:colOff>
      <xdr:row>3339</xdr:row>
      <xdr:rowOff>114300</xdr:rowOff>
    </xdr:to>
    <xdr:pic>
      <xdr:nvPicPr>
        <xdr:cNvPr id="3653" name="Imagen 3652" descr="Ver detalle">
          <a:hlinkClick xmlns:r="http://schemas.openxmlformats.org/officeDocument/2006/relationships" r:id="rId3594" tooltip="Ver detalle"/>
          <a:extLst>
            <a:ext uri="{FF2B5EF4-FFF2-40B4-BE49-F238E27FC236}">
              <a16:creationId xmlns:a16="http://schemas.microsoft.com/office/drawing/2014/main" id="{D777B41B-7B2C-54AC-C1C5-DC40E446D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597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3339</xdr:row>
      <xdr:rowOff>0</xdr:rowOff>
    </xdr:from>
    <xdr:to>
      <xdr:col>13</xdr:col>
      <xdr:colOff>0</xdr:colOff>
      <xdr:row>3340</xdr:row>
      <xdr:rowOff>114300</xdr:rowOff>
    </xdr:to>
    <xdr:pic>
      <xdr:nvPicPr>
        <xdr:cNvPr id="3654" name="Imagen 3653" descr="Ver detalle">
          <a:hlinkClick xmlns:r="http://schemas.openxmlformats.org/officeDocument/2006/relationships" r:id="rId3595" tooltip="Ver detalle"/>
          <a:extLst>
            <a:ext uri="{FF2B5EF4-FFF2-40B4-BE49-F238E27FC236}">
              <a16:creationId xmlns:a16="http://schemas.microsoft.com/office/drawing/2014/main" id="{2DAE42E1-9F0C-B24D-3286-63194AECB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841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3340</xdr:row>
      <xdr:rowOff>0</xdr:rowOff>
    </xdr:from>
    <xdr:to>
      <xdr:col>13</xdr:col>
      <xdr:colOff>0</xdr:colOff>
      <xdr:row>3341</xdr:row>
      <xdr:rowOff>114300</xdr:rowOff>
    </xdr:to>
    <xdr:pic>
      <xdr:nvPicPr>
        <xdr:cNvPr id="3655" name="Imagen 3654" descr="Ver detalle">
          <a:hlinkClick xmlns:r="http://schemas.openxmlformats.org/officeDocument/2006/relationships" r:id="rId3596" tooltip="Ver detalle"/>
          <a:extLst>
            <a:ext uri="{FF2B5EF4-FFF2-40B4-BE49-F238E27FC236}">
              <a16:creationId xmlns:a16="http://schemas.microsoft.com/office/drawing/2014/main" id="{6C7A5F95-9386-AA87-4865-2809695BE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085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3341</xdr:row>
      <xdr:rowOff>0</xdr:rowOff>
    </xdr:from>
    <xdr:to>
      <xdr:col>13</xdr:col>
      <xdr:colOff>0</xdr:colOff>
      <xdr:row>3342</xdr:row>
      <xdr:rowOff>114300</xdr:rowOff>
    </xdr:to>
    <xdr:pic>
      <xdr:nvPicPr>
        <xdr:cNvPr id="3656" name="Imagen 3655" descr="Ver detalle">
          <a:hlinkClick xmlns:r="http://schemas.openxmlformats.org/officeDocument/2006/relationships" r:id="rId3597" tooltip="Ver detalle"/>
          <a:extLst>
            <a:ext uri="{FF2B5EF4-FFF2-40B4-BE49-F238E27FC236}">
              <a16:creationId xmlns:a16="http://schemas.microsoft.com/office/drawing/2014/main" id="{8E579721-5CBE-A046-C497-C713E05FA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329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3342</xdr:row>
      <xdr:rowOff>0</xdr:rowOff>
    </xdr:from>
    <xdr:to>
      <xdr:col>13</xdr:col>
      <xdr:colOff>0</xdr:colOff>
      <xdr:row>3343</xdr:row>
      <xdr:rowOff>114300</xdr:rowOff>
    </xdr:to>
    <xdr:pic>
      <xdr:nvPicPr>
        <xdr:cNvPr id="3657" name="Imagen 3656" descr="Ver detalle">
          <a:hlinkClick xmlns:r="http://schemas.openxmlformats.org/officeDocument/2006/relationships" r:id="rId3598" tooltip="Ver detalle"/>
          <a:extLst>
            <a:ext uri="{FF2B5EF4-FFF2-40B4-BE49-F238E27FC236}">
              <a16:creationId xmlns:a16="http://schemas.microsoft.com/office/drawing/2014/main" id="{6EAC4822-F1FE-A97C-0F52-E269F0E13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573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3343</xdr:row>
      <xdr:rowOff>0</xdr:rowOff>
    </xdr:from>
    <xdr:to>
      <xdr:col>13</xdr:col>
      <xdr:colOff>0</xdr:colOff>
      <xdr:row>3344</xdr:row>
      <xdr:rowOff>114300</xdr:rowOff>
    </xdr:to>
    <xdr:pic>
      <xdr:nvPicPr>
        <xdr:cNvPr id="3658" name="Imagen 3657" descr="Ver detalle">
          <a:hlinkClick xmlns:r="http://schemas.openxmlformats.org/officeDocument/2006/relationships" r:id="rId3599" tooltip="Ver detalle"/>
          <a:extLst>
            <a:ext uri="{FF2B5EF4-FFF2-40B4-BE49-F238E27FC236}">
              <a16:creationId xmlns:a16="http://schemas.microsoft.com/office/drawing/2014/main" id="{FBAE0018-7ECE-D2BF-08C9-440B14A64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735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3344</xdr:row>
      <xdr:rowOff>0</xdr:rowOff>
    </xdr:from>
    <xdr:to>
      <xdr:col>13</xdr:col>
      <xdr:colOff>0</xdr:colOff>
      <xdr:row>3345</xdr:row>
      <xdr:rowOff>114300</xdr:rowOff>
    </xdr:to>
    <xdr:pic>
      <xdr:nvPicPr>
        <xdr:cNvPr id="3659" name="Imagen 3658" descr="Ver detalle">
          <a:hlinkClick xmlns:r="http://schemas.openxmlformats.org/officeDocument/2006/relationships" r:id="rId3600" tooltip="Ver detalle"/>
          <a:extLst>
            <a:ext uri="{FF2B5EF4-FFF2-40B4-BE49-F238E27FC236}">
              <a16:creationId xmlns:a16="http://schemas.microsoft.com/office/drawing/2014/main" id="{88BF974D-21CD-B79C-7FF2-C9EF5CB517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898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3345</xdr:row>
      <xdr:rowOff>0</xdr:rowOff>
    </xdr:from>
    <xdr:to>
      <xdr:col>13</xdr:col>
      <xdr:colOff>0</xdr:colOff>
      <xdr:row>3346</xdr:row>
      <xdr:rowOff>114300</xdr:rowOff>
    </xdr:to>
    <xdr:pic>
      <xdr:nvPicPr>
        <xdr:cNvPr id="3660" name="Imagen 3659" descr="Ver detalle">
          <a:hlinkClick xmlns:r="http://schemas.openxmlformats.org/officeDocument/2006/relationships" r:id="rId3601" tooltip="Ver detalle"/>
          <a:extLst>
            <a:ext uri="{FF2B5EF4-FFF2-40B4-BE49-F238E27FC236}">
              <a16:creationId xmlns:a16="http://schemas.microsoft.com/office/drawing/2014/main" id="{1BD9D08B-A480-818D-E88C-DB3922311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061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3346</xdr:row>
      <xdr:rowOff>0</xdr:rowOff>
    </xdr:from>
    <xdr:to>
      <xdr:col>13</xdr:col>
      <xdr:colOff>0</xdr:colOff>
      <xdr:row>3347</xdr:row>
      <xdr:rowOff>114300</xdr:rowOff>
    </xdr:to>
    <xdr:pic>
      <xdr:nvPicPr>
        <xdr:cNvPr id="3661" name="Imagen 3660" descr="Ver detalle">
          <a:hlinkClick xmlns:r="http://schemas.openxmlformats.org/officeDocument/2006/relationships" r:id="rId3602" tooltip="Ver detalle"/>
          <a:extLst>
            <a:ext uri="{FF2B5EF4-FFF2-40B4-BE49-F238E27FC236}">
              <a16:creationId xmlns:a16="http://schemas.microsoft.com/office/drawing/2014/main" id="{37FB1769-EA62-21EC-5748-61FA97729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224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3347</xdr:row>
      <xdr:rowOff>0</xdr:rowOff>
    </xdr:from>
    <xdr:to>
      <xdr:col>13</xdr:col>
      <xdr:colOff>0</xdr:colOff>
      <xdr:row>3348</xdr:row>
      <xdr:rowOff>114300</xdr:rowOff>
    </xdr:to>
    <xdr:pic>
      <xdr:nvPicPr>
        <xdr:cNvPr id="3662" name="Imagen 3661" descr="Ver detalle">
          <a:hlinkClick xmlns:r="http://schemas.openxmlformats.org/officeDocument/2006/relationships" r:id="rId3603" tooltip="Ver detalle"/>
          <a:extLst>
            <a:ext uri="{FF2B5EF4-FFF2-40B4-BE49-F238E27FC236}">
              <a16:creationId xmlns:a16="http://schemas.microsoft.com/office/drawing/2014/main" id="{CFF473F0-5191-AD70-7EE8-8C7159D1F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387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3289</xdr:row>
      <xdr:rowOff>0</xdr:rowOff>
    </xdr:from>
    <xdr:to>
      <xdr:col>13</xdr:col>
      <xdr:colOff>0</xdr:colOff>
      <xdr:row>3290</xdr:row>
      <xdr:rowOff>114300</xdr:rowOff>
    </xdr:to>
    <xdr:pic>
      <xdr:nvPicPr>
        <xdr:cNvPr id="3663" name="Imagen 3662" descr="Ver detalle">
          <a:hlinkClick xmlns:r="http://schemas.openxmlformats.org/officeDocument/2006/relationships" r:id="rId3604" tooltip="Ver detalle"/>
          <a:extLst>
            <a:ext uri="{FF2B5EF4-FFF2-40B4-BE49-F238E27FC236}">
              <a16:creationId xmlns:a16="http://schemas.microsoft.com/office/drawing/2014/main" id="{C7D3DB79-D1ED-E957-BEC7-BE66DE9B7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894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3290</xdr:row>
      <xdr:rowOff>0</xdr:rowOff>
    </xdr:from>
    <xdr:to>
      <xdr:col>13</xdr:col>
      <xdr:colOff>0</xdr:colOff>
      <xdr:row>3291</xdr:row>
      <xdr:rowOff>114300</xdr:rowOff>
    </xdr:to>
    <xdr:pic>
      <xdr:nvPicPr>
        <xdr:cNvPr id="3664" name="Imagen 3663" descr="Ver detalle">
          <a:hlinkClick xmlns:r="http://schemas.openxmlformats.org/officeDocument/2006/relationships" r:id="rId3605" tooltip="Ver detalle"/>
          <a:extLst>
            <a:ext uri="{FF2B5EF4-FFF2-40B4-BE49-F238E27FC236}">
              <a16:creationId xmlns:a16="http://schemas.microsoft.com/office/drawing/2014/main" id="{A9652DE3-781D-592A-4DB3-EF239E353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138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3322</xdr:row>
      <xdr:rowOff>0</xdr:rowOff>
    </xdr:from>
    <xdr:to>
      <xdr:col>13</xdr:col>
      <xdr:colOff>0</xdr:colOff>
      <xdr:row>3323</xdr:row>
      <xdr:rowOff>114300</xdr:rowOff>
    </xdr:to>
    <xdr:pic>
      <xdr:nvPicPr>
        <xdr:cNvPr id="3665" name="Imagen 3664" descr="Ver detalle">
          <a:hlinkClick xmlns:r="http://schemas.openxmlformats.org/officeDocument/2006/relationships" r:id="rId3606" tooltip="Ver detalle"/>
          <a:extLst>
            <a:ext uri="{FF2B5EF4-FFF2-40B4-BE49-F238E27FC236}">
              <a16:creationId xmlns:a16="http://schemas.microsoft.com/office/drawing/2014/main" id="{BBF35BD2-E2D8-3F79-D3C7-C5E3B38D4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381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3323</xdr:row>
      <xdr:rowOff>0</xdr:rowOff>
    </xdr:from>
    <xdr:to>
      <xdr:col>13</xdr:col>
      <xdr:colOff>0</xdr:colOff>
      <xdr:row>3324</xdr:row>
      <xdr:rowOff>114300</xdr:rowOff>
    </xdr:to>
    <xdr:pic>
      <xdr:nvPicPr>
        <xdr:cNvPr id="3666" name="Imagen 3665" descr="Ver detalle">
          <a:hlinkClick xmlns:r="http://schemas.openxmlformats.org/officeDocument/2006/relationships" r:id="rId3607" tooltip="Ver detalle"/>
          <a:extLst>
            <a:ext uri="{FF2B5EF4-FFF2-40B4-BE49-F238E27FC236}">
              <a16:creationId xmlns:a16="http://schemas.microsoft.com/office/drawing/2014/main" id="{5FBCFB53-250A-6D82-B530-2315EDCC7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625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3324</xdr:row>
      <xdr:rowOff>0</xdr:rowOff>
    </xdr:from>
    <xdr:to>
      <xdr:col>13</xdr:col>
      <xdr:colOff>0</xdr:colOff>
      <xdr:row>3325</xdr:row>
      <xdr:rowOff>114300</xdr:rowOff>
    </xdr:to>
    <xdr:pic>
      <xdr:nvPicPr>
        <xdr:cNvPr id="3667" name="Imagen 3666" descr="Ver detalle">
          <a:hlinkClick xmlns:r="http://schemas.openxmlformats.org/officeDocument/2006/relationships" r:id="rId3608" tooltip="Ver detalle"/>
          <a:extLst>
            <a:ext uri="{FF2B5EF4-FFF2-40B4-BE49-F238E27FC236}">
              <a16:creationId xmlns:a16="http://schemas.microsoft.com/office/drawing/2014/main" id="{C9E26DC6-05A7-0A61-2EB2-B82520690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869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3325</xdr:row>
      <xdr:rowOff>0</xdr:rowOff>
    </xdr:from>
    <xdr:to>
      <xdr:col>13</xdr:col>
      <xdr:colOff>0</xdr:colOff>
      <xdr:row>3326</xdr:row>
      <xdr:rowOff>114300</xdr:rowOff>
    </xdr:to>
    <xdr:pic>
      <xdr:nvPicPr>
        <xdr:cNvPr id="3668" name="Imagen 3667" descr="Ver detalle">
          <a:hlinkClick xmlns:r="http://schemas.openxmlformats.org/officeDocument/2006/relationships" r:id="rId3609" tooltip="Ver detalle"/>
          <a:extLst>
            <a:ext uri="{FF2B5EF4-FFF2-40B4-BE49-F238E27FC236}">
              <a16:creationId xmlns:a16="http://schemas.microsoft.com/office/drawing/2014/main" id="{E09403EE-1604-7F1C-9EED-5C7E21A78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911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3326</xdr:row>
      <xdr:rowOff>0</xdr:rowOff>
    </xdr:from>
    <xdr:to>
      <xdr:col>13</xdr:col>
      <xdr:colOff>0</xdr:colOff>
      <xdr:row>3327</xdr:row>
      <xdr:rowOff>114300</xdr:rowOff>
    </xdr:to>
    <xdr:pic>
      <xdr:nvPicPr>
        <xdr:cNvPr id="3669" name="Imagen 3668" descr="Ver detalle">
          <a:hlinkClick xmlns:r="http://schemas.openxmlformats.org/officeDocument/2006/relationships" r:id="rId3610" tooltip="Ver detalle"/>
          <a:extLst>
            <a:ext uri="{FF2B5EF4-FFF2-40B4-BE49-F238E27FC236}">
              <a16:creationId xmlns:a16="http://schemas.microsoft.com/office/drawing/2014/main" id="{C9F4D986-7AE8-CAE2-8298-C9EF9E2F4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9357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3327</xdr:row>
      <xdr:rowOff>0</xdr:rowOff>
    </xdr:from>
    <xdr:to>
      <xdr:col>13</xdr:col>
      <xdr:colOff>0</xdr:colOff>
      <xdr:row>3328</xdr:row>
      <xdr:rowOff>114300</xdr:rowOff>
    </xdr:to>
    <xdr:pic>
      <xdr:nvPicPr>
        <xdr:cNvPr id="3670" name="Imagen 3669" descr="Ver detalle">
          <a:hlinkClick xmlns:r="http://schemas.openxmlformats.org/officeDocument/2006/relationships" r:id="rId3611" tooltip="Ver detalle"/>
          <a:extLst>
            <a:ext uri="{FF2B5EF4-FFF2-40B4-BE49-F238E27FC236}">
              <a16:creationId xmlns:a16="http://schemas.microsoft.com/office/drawing/2014/main" id="{8C63DF1A-2636-9352-6B89-DC750D605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9601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3328</xdr:row>
      <xdr:rowOff>0</xdr:rowOff>
    </xdr:from>
    <xdr:to>
      <xdr:col>13</xdr:col>
      <xdr:colOff>0</xdr:colOff>
      <xdr:row>3329</xdr:row>
      <xdr:rowOff>114300</xdr:rowOff>
    </xdr:to>
    <xdr:pic>
      <xdr:nvPicPr>
        <xdr:cNvPr id="3671" name="Imagen 3670" descr="Ver detalle">
          <a:hlinkClick xmlns:r="http://schemas.openxmlformats.org/officeDocument/2006/relationships" r:id="rId3612" tooltip="Ver detalle"/>
          <a:extLst>
            <a:ext uri="{FF2B5EF4-FFF2-40B4-BE49-F238E27FC236}">
              <a16:creationId xmlns:a16="http://schemas.microsoft.com/office/drawing/2014/main" id="{3927A4B4-A15D-74E1-EF26-1F8E5091B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9844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3329</xdr:row>
      <xdr:rowOff>0</xdr:rowOff>
    </xdr:from>
    <xdr:to>
      <xdr:col>13</xdr:col>
      <xdr:colOff>0</xdr:colOff>
      <xdr:row>3330</xdr:row>
      <xdr:rowOff>114300</xdr:rowOff>
    </xdr:to>
    <xdr:pic>
      <xdr:nvPicPr>
        <xdr:cNvPr id="3672" name="Imagen 3671" descr="Ver detalle">
          <a:hlinkClick xmlns:r="http://schemas.openxmlformats.org/officeDocument/2006/relationships" r:id="rId3613" tooltip="Ver detalle"/>
          <a:extLst>
            <a:ext uri="{FF2B5EF4-FFF2-40B4-BE49-F238E27FC236}">
              <a16:creationId xmlns:a16="http://schemas.microsoft.com/office/drawing/2014/main" id="{C36DA6C1-FE93-C676-3EE3-23EEDDAF9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0088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3330</xdr:row>
      <xdr:rowOff>0</xdr:rowOff>
    </xdr:from>
    <xdr:to>
      <xdr:col>13</xdr:col>
      <xdr:colOff>0</xdr:colOff>
      <xdr:row>3331</xdr:row>
      <xdr:rowOff>114300</xdr:rowOff>
    </xdr:to>
    <xdr:pic>
      <xdr:nvPicPr>
        <xdr:cNvPr id="3673" name="Imagen 3672" descr="Ver detalle">
          <a:hlinkClick xmlns:r="http://schemas.openxmlformats.org/officeDocument/2006/relationships" r:id="rId3614" tooltip="Ver detalle"/>
          <a:extLst>
            <a:ext uri="{FF2B5EF4-FFF2-40B4-BE49-F238E27FC236}">
              <a16:creationId xmlns:a16="http://schemas.microsoft.com/office/drawing/2014/main" id="{B3AB0C81-13E1-A399-BB4C-E4B0F6EE9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033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3331</xdr:row>
      <xdr:rowOff>0</xdr:rowOff>
    </xdr:from>
    <xdr:to>
      <xdr:col>13</xdr:col>
      <xdr:colOff>0</xdr:colOff>
      <xdr:row>3332</xdr:row>
      <xdr:rowOff>114300</xdr:rowOff>
    </xdr:to>
    <xdr:pic>
      <xdr:nvPicPr>
        <xdr:cNvPr id="3674" name="Imagen 3673" descr="Ver detalle">
          <a:hlinkClick xmlns:r="http://schemas.openxmlformats.org/officeDocument/2006/relationships" r:id="rId3615" tooltip="Ver detalle"/>
          <a:extLst>
            <a:ext uri="{FF2B5EF4-FFF2-40B4-BE49-F238E27FC236}">
              <a16:creationId xmlns:a16="http://schemas.microsoft.com/office/drawing/2014/main" id="{6EA860D3-62BC-7152-9189-E416FB42D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0576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3332</xdr:row>
      <xdr:rowOff>0</xdr:rowOff>
    </xdr:from>
    <xdr:to>
      <xdr:col>13</xdr:col>
      <xdr:colOff>0</xdr:colOff>
      <xdr:row>3333</xdr:row>
      <xdr:rowOff>114300</xdr:rowOff>
    </xdr:to>
    <xdr:pic>
      <xdr:nvPicPr>
        <xdr:cNvPr id="3675" name="Imagen 3674" descr="Ver detalle">
          <a:hlinkClick xmlns:r="http://schemas.openxmlformats.org/officeDocument/2006/relationships" r:id="rId3616" tooltip="Ver detalle"/>
          <a:extLst>
            <a:ext uri="{FF2B5EF4-FFF2-40B4-BE49-F238E27FC236}">
              <a16:creationId xmlns:a16="http://schemas.microsoft.com/office/drawing/2014/main" id="{512EE452-C593-AFED-8C8D-36FBD383A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0820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3333</xdr:row>
      <xdr:rowOff>0</xdr:rowOff>
    </xdr:from>
    <xdr:to>
      <xdr:col>13</xdr:col>
      <xdr:colOff>0</xdr:colOff>
      <xdr:row>3334</xdr:row>
      <xdr:rowOff>114300</xdr:rowOff>
    </xdr:to>
    <xdr:pic>
      <xdr:nvPicPr>
        <xdr:cNvPr id="3676" name="Imagen 3675" descr="Ver detalle">
          <a:hlinkClick xmlns:r="http://schemas.openxmlformats.org/officeDocument/2006/relationships" r:id="rId3617" tooltip="Ver detalle"/>
          <a:extLst>
            <a:ext uri="{FF2B5EF4-FFF2-40B4-BE49-F238E27FC236}">
              <a16:creationId xmlns:a16="http://schemas.microsoft.com/office/drawing/2014/main" id="{A5F25634-0D40-F798-4CB3-AA1E18454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064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3334</xdr:row>
      <xdr:rowOff>0</xdr:rowOff>
    </xdr:from>
    <xdr:to>
      <xdr:col>13</xdr:col>
      <xdr:colOff>0</xdr:colOff>
      <xdr:row>3335</xdr:row>
      <xdr:rowOff>114300</xdr:rowOff>
    </xdr:to>
    <xdr:pic>
      <xdr:nvPicPr>
        <xdr:cNvPr id="3677" name="Imagen 3676" descr="Ver detalle">
          <a:hlinkClick xmlns:r="http://schemas.openxmlformats.org/officeDocument/2006/relationships" r:id="rId3618" tooltip="Ver detalle"/>
          <a:extLst>
            <a:ext uri="{FF2B5EF4-FFF2-40B4-BE49-F238E27FC236}">
              <a16:creationId xmlns:a16="http://schemas.microsoft.com/office/drawing/2014/main" id="{742D70F5-1A2C-CBB8-1F2E-5809B5122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307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3348</xdr:row>
      <xdr:rowOff>0</xdr:rowOff>
    </xdr:from>
    <xdr:to>
      <xdr:col>13</xdr:col>
      <xdr:colOff>0</xdr:colOff>
      <xdr:row>3349</xdr:row>
      <xdr:rowOff>114300</xdr:rowOff>
    </xdr:to>
    <xdr:pic>
      <xdr:nvPicPr>
        <xdr:cNvPr id="3678" name="Imagen 3677" descr="Ver detalle">
          <a:hlinkClick xmlns:r="http://schemas.openxmlformats.org/officeDocument/2006/relationships" r:id="rId3619" tooltip="Ver detalle"/>
          <a:extLst>
            <a:ext uri="{FF2B5EF4-FFF2-40B4-BE49-F238E27FC236}">
              <a16:creationId xmlns:a16="http://schemas.microsoft.com/office/drawing/2014/main" id="{E32CDD8E-2715-8949-1CD1-316A62124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551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3291</xdr:row>
      <xdr:rowOff>0</xdr:rowOff>
    </xdr:from>
    <xdr:to>
      <xdr:col>13</xdr:col>
      <xdr:colOff>0</xdr:colOff>
      <xdr:row>3292</xdr:row>
      <xdr:rowOff>114300</xdr:rowOff>
    </xdr:to>
    <xdr:pic>
      <xdr:nvPicPr>
        <xdr:cNvPr id="3679" name="Imagen 3678" descr="Ver detalle">
          <a:hlinkClick xmlns:r="http://schemas.openxmlformats.org/officeDocument/2006/relationships" r:id="rId3620" tooltip="Ver detalle"/>
          <a:extLst>
            <a:ext uri="{FF2B5EF4-FFF2-40B4-BE49-F238E27FC236}">
              <a16:creationId xmlns:a16="http://schemas.microsoft.com/office/drawing/2014/main" id="{36429E9B-696A-FA83-ED63-D80E70B1E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795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3302</xdr:row>
      <xdr:rowOff>0</xdr:rowOff>
    </xdr:from>
    <xdr:to>
      <xdr:col>13</xdr:col>
      <xdr:colOff>0</xdr:colOff>
      <xdr:row>3303</xdr:row>
      <xdr:rowOff>114300</xdr:rowOff>
    </xdr:to>
    <xdr:pic>
      <xdr:nvPicPr>
        <xdr:cNvPr id="3680" name="Imagen 3679" descr="Ver detalle">
          <a:hlinkClick xmlns:r="http://schemas.openxmlformats.org/officeDocument/2006/relationships" r:id="rId3621" tooltip="Ver detalle"/>
          <a:extLst>
            <a:ext uri="{FF2B5EF4-FFF2-40B4-BE49-F238E27FC236}">
              <a16:creationId xmlns:a16="http://schemas.microsoft.com/office/drawing/2014/main" id="{5C5619C8-D2BE-C358-9984-4137DF094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909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3306</xdr:row>
      <xdr:rowOff>0</xdr:rowOff>
    </xdr:from>
    <xdr:to>
      <xdr:col>13</xdr:col>
      <xdr:colOff>0</xdr:colOff>
      <xdr:row>3307</xdr:row>
      <xdr:rowOff>104775</xdr:rowOff>
    </xdr:to>
    <xdr:pic>
      <xdr:nvPicPr>
        <xdr:cNvPr id="3681" name="Imagen 3680" descr="Ver detalle">
          <a:hlinkClick xmlns:r="http://schemas.openxmlformats.org/officeDocument/2006/relationships" r:id="rId3622" tooltip="Ver detalle"/>
          <a:extLst>
            <a:ext uri="{FF2B5EF4-FFF2-40B4-BE49-F238E27FC236}">
              <a16:creationId xmlns:a16="http://schemas.microsoft.com/office/drawing/2014/main" id="{8C002612-E257-2671-2AF0-1D0BCDEC9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153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3303</xdr:row>
      <xdr:rowOff>0</xdr:rowOff>
    </xdr:from>
    <xdr:to>
      <xdr:col>13</xdr:col>
      <xdr:colOff>0</xdr:colOff>
      <xdr:row>3304</xdr:row>
      <xdr:rowOff>114300</xdr:rowOff>
    </xdr:to>
    <xdr:pic>
      <xdr:nvPicPr>
        <xdr:cNvPr id="3682" name="Imagen 3681" descr="Ver detalle">
          <a:hlinkClick xmlns:r="http://schemas.openxmlformats.org/officeDocument/2006/relationships" r:id="rId3623" tooltip="Ver detalle"/>
          <a:extLst>
            <a:ext uri="{FF2B5EF4-FFF2-40B4-BE49-F238E27FC236}">
              <a16:creationId xmlns:a16="http://schemas.microsoft.com/office/drawing/2014/main" id="{832A607B-CB76-C6AD-BF8F-A1F473C6A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397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3304</xdr:row>
      <xdr:rowOff>0</xdr:rowOff>
    </xdr:from>
    <xdr:to>
      <xdr:col>13</xdr:col>
      <xdr:colOff>0</xdr:colOff>
      <xdr:row>3305</xdr:row>
      <xdr:rowOff>114300</xdr:rowOff>
    </xdr:to>
    <xdr:pic>
      <xdr:nvPicPr>
        <xdr:cNvPr id="3683" name="Imagen 3682" descr="Ver detalle">
          <a:hlinkClick xmlns:r="http://schemas.openxmlformats.org/officeDocument/2006/relationships" r:id="rId3624" tooltip="Ver detalle"/>
          <a:extLst>
            <a:ext uri="{FF2B5EF4-FFF2-40B4-BE49-F238E27FC236}">
              <a16:creationId xmlns:a16="http://schemas.microsoft.com/office/drawing/2014/main" id="{9FF143B9-F504-D1EF-638A-0D53A4F54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641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3283</xdr:row>
      <xdr:rowOff>0</xdr:rowOff>
    </xdr:from>
    <xdr:to>
      <xdr:col>13</xdr:col>
      <xdr:colOff>0</xdr:colOff>
      <xdr:row>3284</xdr:row>
      <xdr:rowOff>114300</xdr:rowOff>
    </xdr:to>
    <xdr:pic>
      <xdr:nvPicPr>
        <xdr:cNvPr id="3684" name="Imagen 3683" descr="Ver detalle">
          <a:hlinkClick xmlns:r="http://schemas.openxmlformats.org/officeDocument/2006/relationships" r:id="rId3625" tooltip="Ver detalle"/>
          <a:extLst>
            <a:ext uri="{FF2B5EF4-FFF2-40B4-BE49-F238E27FC236}">
              <a16:creationId xmlns:a16="http://schemas.microsoft.com/office/drawing/2014/main" id="{D2B2080B-70A4-2511-1528-13C6CA3D6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88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3284</xdr:row>
      <xdr:rowOff>0</xdr:rowOff>
    </xdr:from>
    <xdr:to>
      <xdr:col>13</xdr:col>
      <xdr:colOff>0</xdr:colOff>
      <xdr:row>3285</xdr:row>
      <xdr:rowOff>114300</xdr:rowOff>
    </xdr:to>
    <xdr:pic>
      <xdr:nvPicPr>
        <xdr:cNvPr id="3685" name="Imagen 3684" descr="Ver detalle">
          <a:hlinkClick xmlns:r="http://schemas.openxmlformats.org/officeDocument/2006/relationships" r:id="rId3626" tooltip="Ver detalle"/>
          <a:extLst>
            <a:ext uri="{FF2B5EF4-FFF2-40B4-BE49-F238E27FC236}">
              <a16:creationId xmlns:a16="http://schemas.microsoft.com/office/drawing/2014/main" id="{1C3A5FB8-F599-1B61-294C-CD7275FE3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3129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3285</xdr:row>
      <xdr:rowOff>0</xdr:rowOff>
    </xdr:from>
    <xdr:to>
      <xdr:col>13</xdr:col>
      <xdr:colOff>0</xdr:colOff>
      <xdr:row>3286</xdr:row>
      <xdr:rowOff>114300</xdr:rowOff>
    </xdr:to>
    <xdr:pic>
      <xdr:nvPicPr>
        <xdr:cNvPr id="3686" name="Imagen 3685" descr="Ver detalle">
          <a:hlinkClick xmlns:r="http://schemas.openxmlformats.org/officeDocument/2006/relationships" r:id="rId3627" tooltip="Ver detalle"/>
          <a:extLst>
            <a:ext uri="{FF2B5EF4-FFF2-40B4-BE49-F238E27FC236}">
              <a16:creationId xmlns:a16="http://schemas.microsoft.com/office/drawing/2014/main" id="{5F5BF432-B9FF-25ED-1A1D-1FE959D98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3372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3288</xdr:row>
      <xdr:rowOff>0</xdr:rowOff>
    </xdr:from>
    <xdr:to>
      <xdr:col>13</xdr:col>
      <xdr:colOff>0</xdr:colOff>
      <xdr:row>3289</xdr:row>
      <xdr:rowOff>114300</xdr:rowOff>
    </xdr:to>
    <xdr:pic>
      <xdr:nvPicPr>
        <xdr:cNvPr id="3687" name="Imagen 3686" descr="Ver detalle">
          <a:hlinkClick xmlns:r="http://schemas.openxmlformats.org/officeDocument/2006/relationships" r:id="rId3628" tooltip="Ver detalle"/>
          <a:extLst>
            <a:ext uri="{FF2B5EF4-FFF2-40B4-BE49-F238E27FC236}">
              <a16:creationId xmlns:a16="http://schemas.microsoft.com/office/drawing/2014/main" id="{27D553F6-D259-9CFF-036F-24D01C247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3731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3286</xdr:row>
      <xdr:rowOff>0</xdr:rowOff>
    </xdr:from>
    <xdr:to>
      <xdr:col>13</xdr:col>
      <xdr:colOff>0</xdr:colOff>
      <xdr:row>3287</xdr:row>
      <xdr:rowOff>114300</xdr:rowOff>
    </xdr:to>
    <xdr:pic>
      <xdr:nvPicPr>
        <xdr:cNvPr id="3688" name="Imagen 3687" descr="Ver detalle">
          <a:hlinkClick xmlns:r="http://schemas.openxmlformats.org/officeDocument/2006/relationships" r:id="rId3629" tooltip="Ver detalle"/>
          <a:extLst>
            <a:ext uri="{FF2B5EF4-FFF2-40B4-BE49-F238E27FC236}">
              <a16:creationId xmlns:a16="http://schemas.microsoft.com/office/drawing/2014/main" id="{BE935A4B-3112-0CA7-179F-1F9ECFF7CD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384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3278</xdr:row>
      <xdr:rowOff>0</xdr:rowOff>
    </xdr:from>
    <xdr:to>
      <xdr:col>13</xdr:col>
      <xdr:colOff>0</xdr:colOff>
      <xdr:row>3279</xdr:row>
      <xdr:rowOff>114300</xdr:rowOff>
    </xdr:to>
    <xdr:pic>
      <xdr:nvPicPr>
        <xdr:cNvPr id="3689" name="Imagen 3688" descr="Ver detalle">
          <a:hlinkClick xmlns:r="http://schemas.openxmlformats.org/officeDocument/2006/relationships" r:id="rId3630" tooltip="Ver detalle"/>
          <a:extLst>
            <a:ext uri="{FF2B5EF4-FFF2-40B4-BE49-F238E27FC236}">
              <a16:creationId xmlns:a16="http://schemas.microsoft.com/office/drawing/2014/main" id="{B08F2546-92FB-5421-7057-1F227EF70A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089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3279</xdr:row>
      <xdr:rowOff>0</xdr:rowOff>
    </xdr:from>
    <xdr:to>
      <xdr:col>13</xdr:col>
      <xdr:colOff>0</xdr:colOff>
      <xdr:row>3280</xdr:row>
      <xdr:rowOff>114300</xdr:rowOff>
    </xdr:to>
    <xdr:pic>
      <xdr:nvPicPr>
        <xdr:cNvPr id="3690" name="Imagen 3689" descr="Ver detalle">
          <a:hlinkClick xmlns:r="http://schemas.openxmlformats.org/officeDocument/2006/relationships" r:id="rId3631" tooltip="Ver detalle"/>
          <a:extLst>
            <a:ext uri="{FF2B5EF4-FFF2-40B4-BE49-F238E27FC236}">
              <a16:creationId xmlns:a16="http://schemas.microsoft.com/office/drawing/2014/main" id="{D134265D-7C9E-E4A7-6F46-061F684B4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33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3287</xdr:row>
      <xdr:rowOff>0</xdr:rowOff>
    </xdr:from>
    <xdr:to>
      <xdr:col>13</xdr:col>
      <xdr:colOff>0</xdr:colOff>
      <xdr:row>3288</xdr:row>
      <xdr:rowOff>114300</xdr:rowOff>
    </xdr:to>
    <xdr:pic>
      <xdr:nvPicPr>
        <xdr:cNvPr id="3691" name="Imagen 3690" descr="Ver detalle">
          <a:hlinkClick xmlns:r="http://schemas.openxmlformats.org/officeDocument/2006/relationships" r:id="rId3632" tooltip="Ver detalle"/>
          <a:extLst>
            <a:ext uri="{FF2B5EF4-FFF2-40B4-BE49-F238E27FC236}">
              <a16:creationId xmlns:a16="http://schemas.microsoft.com/office/drawing/2014/main" id="{52753DE9-5F8E-861C-6FC2-274A3A28E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576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3274</xdr:row>
      <xdr:rowOff>0</xdr:rowOff>
    </xdr:from>
    <xdr:to>
      <xdr:col>13</xdr:col>
      <xdr:colOff>0</xdr:colOff>
      <xdr:row>3275</xdr:row>
      <xdr:rowOff>114300</xdr:rowOff>
    </xdr:to>
    <xdr:pic>
      <xdr:nvPicPr>
        <xdr:cNvPr id="3692" name="Imagen 3691" descr="Ver detalle">
          <a:hlinkClick xmlns:r="http://schemas.openxmlformats.org/officeDocument/2006/relationships" r:id="rId3633" tooltip="Ver detalle"/>
          <a:extLst>
            <a:ext uri="{FF2B5EF4-FFF2-40B4-BE49-F238E27FC236}">
              <a16:creationId xmlns:a16="http://schemas.microsoft.com/office/drawing/2014/main" id="{A50E0C7C-12A1-80B8-1E10-9A19E4F94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739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3280</xdr:row>
      <xdr:rowOff>0</xdr:rowOff>
    </xdr:from>
    <xdr:to>
      <xdr:col>13</xdr:col>
      <xdr:colOff>0</xdr:colOff>
      <xdr:row>3281</xdr:row>
      <xdr:rowOff>114300</xdr:rowOff>
    </xdr:to>
    <xdr:pic>
      <xdr:nvPicPr>
        <xdr:cNvPr id="3693" name="Imagen 3692" descr="Ver detalle">
          <a:hlinkClick xmlns:r="http://schemas.openxmlformats.org/officeDocument/2006/relationships" r:id="rId3634" tooltip="Ver detalle"/>
          <a:extLst>
            <a:ext uri="{FF2B5EF4-FFF2-40B4-BE49-F238E27FC236}">
              <a16:creationId xmlns:a16="http://schemas.microsoft.com/office/drawing/2014/main" id="{95D68C83-BD9A-CB65-562C-2A67CA751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854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3275</xdr:row>
      <xdr:rowOff>0</xdr:rowOff>
    </xdr:from>
    <xdr:to>
      <xdr:col>13</xdr:col>
      <xdr:colOff>0</xdr:colOff>
      <xdr:row>3276</xdr:row>
      <xdr:rowOff>114300</xdr:rowOff>
    </xdr:to>
    <xdr:pic>
      <xdr:nvPicPr>
        <xdr:cNvPr id="3694" name="Imagen 3693" descr="Ver detalle">
          <a:hlinkClick xmlns:r="http://schemas.openxmlformats.org/officeDocument/2006/relationships" r:id="rId3635" tooltip="Ver detalle"/>
          <a:extLst>
            <a:ext uri="{FF2B5EF4-FFF2-40B4-BE49-F238E27FC236}">
              <a16:creationId xmlns:a16="http://schemas.microsoft.com/office/drawing/2014/main" id="{6F0F9556-6CBE-793F-AC63-440802BA7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0979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3276</xdr:row>
      <xdr:rowOff>0</xdr:rowOff>
    </xdr:from>
    <xdr:to>
      <xdr:col>13</xdr:col>
      <xdr:colOff>0</xdr:colOff>
      <xdr:row>3277</xdr:row>
      <xdr:rowOff>114300</xdr:rowOff>
    </xdr:to>
    <xdr:pic>
      <xdr:nvPicPr>
        <xdr:cNvPr id="3695" name="Imagen 3694" descr="Ver detalle">
          <a:hlinkClick xmlns:r="http://schemas.openxmlformats.org/officeDocument/2006/relationships" r:id="rId3636" tooltip="Ver detalle"/>
          <a:extLst>
            <a:ext uri="{FF2B5EF4-FFF2-40B4-BE49-F238E27FC236}">
              <a16:creationId xmlns:a16="http://schemas.microsoft.com/office/drawing/2014/main" id="{9E5402FB-D775-7EDF-B98B-F098498FC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341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3270</xdr:row>
      <xdr:rowOff>0</xdr:rowOff>
    </xdr:from>
    <xdr:to>
      <xdr:col>13</xdr:col>
      <xdr:colOff>0</xdr:colOff>
      <xdr:row>3271</xdr:row>
      <xdr:rowOff>114300</xdr:rowOff>
    </xdr:to>
    <xdr:pic>
      <xdr:nvPicPr>
        <xdr:cNvPr id="3696" name="Imagen 3695" descr="Ver detalle">
          <a:hlinkClick xmlns:r="http://schemas.openxmlformats.org/officeDocument/2006/relationships" r:id="rId3637" tooltip="Ver detalle"/>
          <a:extLst>
            <a:ext uri="{FF2B5EF4-FFF2-40B4-BE49-F238E27FC236}">
              <a16:creationId xmlns:a16="http://schemas.microsoft.com/office/drawing/2014/main" id="{AFA5FAAA-E768-F887-24B6-3698C7F5A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585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3281</xdr:row>
      <xdr:rowOff>0</xdr:rowOff>
    </xdr:from>
    <xdr:to>
      <xdr:col>13</xdr:col>
      <xdr:colOff>0</xdr:colOff>
      <xdr:row>3282</xdr:row>
      <xdr:rowOff>114300</xdr:rowOff>
    </xdr:to>
    <xdr:pic>
      <xdr:nvPicPr>
        <xdr:cNvPr id="3697" name="Imagen 3696" descr="Ver detalle">
          <a:hlinkClick xmlns:r="http://schemas.openxmlformats.org/officeDocument/2006/relationships" r:id="rId3638" tooltip="Ver detalle"/>
          <a:extLst>
            <a:ext uri="{FF2B5EF4-FFF2-40B4-BE49-F238E27FC236}">
              <a16:creationId xmlns:a16="http://schemas.microsoft.com/office/drawing/2014/main" id="{EB5A809A-7DD2-A637-06E8-C5394982E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829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3293</xdr:row>
      <xdr:rowOff>0</xdr:rowOff>
    </xdr:from>
    <xdr:to>
      <xdr:col>13</xdr:col>
      <xdr:colOff>0</xdr:colOff>
      <xdr:row>3294</xdr:row>
      <xdr:rowOff>114300</xdr:rowOff>
    </xdr:to>
    <xdr:pic>
      <xdr:nvPicPr>
        <xdr:cNvPr id="3698" name="Imagen 3697" descr="Ver detalle">
          <a:hlinkClick xmlns:r="http://schemas.openxmlformats.org/officeDocument/2006/relationships" r:id="rId3639" tooltip="Ver detalle"/>
          <a:extLst>
            <a:ext uri="{FF2B5EF4-FFF2-40B4-BE49-F238E27FC236}">
              <a16:creationId xmlns:a16="http://schemas.microsoft.com/office/drawing/2014/main" id="{D4EC98BC-E500-A92C-4A26-F4FFB72D9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073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3266</xdr:row>
      <xdr:rowOff>0</xdr:rowOff>
    </xdr:from>
    <xdr:to>
      <xdr:col>13</xdr:col>
      <xdr:colOff>0</xdr:colOff>
      <xdr:row>3267</xdr:row>
      <xdr:rowOff>114300</xdr:rowOff>
    </xdr:to>
    <xdr:pic>
      <xdr:nvPicPr>
        <xdr:cNvPr id="3699" name="Imagen 3698" descr="Ver detalle">
          <a:hlinkClick xmlns:r="http://schemas.openxmlformats.org/officeDocument/2006/relationships" r:id="rId3640" tooltip="Ver detalle"/>
          <a:extLst>
            <a:ext uri="{FF2B5EF4-FFF2-40B4-BE49-F238E27FC236}">
              <a16:creationId xmlns:a16="http://schemas.microsoft.com/office/drawing/2014/main" id="{88D50763-2B4F-6E17-5F29-93DB50394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236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3268</xdr:row>
      <xdr:rowOff>0</xdr:rowOff>
    </xdr:from>
    <xdr:to>
      <xdr:col>13</xdr:col>
      <xdr:colOff>0</xdr:colOff>
      <xdr:row>3269</xdr:row>
      <xdr:rowOff>114300</xdr:rowOff>
    </xdr:to>
    <xdr:pic>
      <xdr:nvPicPr>
        <xdr:cNvPr id="3700" name="Imagen 3699" descr="Ver detalle">
          <a:hlinkClick xmlns:r="http://schemas.openxmlformats.org/officeDocument/2006/relationships" r:id="rId3641" tooltip="Ver detalle"/>
          <a:extLst>
            <a:ext uri="{FF2B5EF4-FFF2-40B4-BE49-F238E27FC236}">
              <a16:creationId xmlns:a16="http://schemas.microsoft.com/office/drawing/2014/main" id="{92BE30E4-8319-6915-15AF-F0C3A4E16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399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3309</xdr:row>
      <xdr:rowOff>0</xdr:rowOff>
    </xdr:from>
    <xdr:to>
      <xdr:col>13</xdr:col>
      <xdr:colOff>0</xdr:colOff>
      <xdr:row>3310</xdr:row>
      <xdr:rowOff>114300</xdr:rowOff>
    </xdr:to>
    <xdr:pic>
      <xdr:nvPicPr>
        <xdr:cNvPr id="3701" name="Imagen 3700" descr="Ver detalle">
          <a:hlinkClick xmlns:r="http://schemas.openxmlformats.org/officeDocument/2006/relationships" r:id="rId3642" tooltip="Ver detalle"/>
          <a:extLst>
            <a:ext uri="{FF2B5EF4-FFF2-40B4-BE49-F238E27FC236}">
              <a16:creationId xmlns:a16="http://schemas.microsoft.com/office/drawing/2014/main" id="{5CB099B9-1B91-D3D2-0F98-7738173BC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642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3310</xdr:row>
      <xdr:rowOff>0</xdr:rowOff>
    </xdr:from>
    <xdr:to>
      <xdr:col>13</xdr:col>
      <xdr:colOff>0</xdr:colOff>
      <xdr:row>3311</xdr:row>
      <xdr:rowOff>114300</xdr:rowOff>
    </xdr:to>
    <xdr:pic>
      <xdr:nvPicPr>
        <xdr:cNvPr id="3702" name="Imagen 3701" descr="Ver detalle">
          <a:hlinkClick xmlns:r="http://schemas.openxmlformats.org/officeDocument/2006/relationships" r:id="rId3643" tooltip="Ver detalle"/>
          <a:extLst>
            <a:ext uri="{FF2B5EF4-FFF2-40B4-BE49-F238E27FC236}">
              <a16:creationId xmlns:a16="http://schemas.microsoft.com/office/drawing/2014/main" id="{E7C1408C-8D5E-CB2B-80DC-8CDA78D65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886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3311</xdr:row>
      <xdr:rowOff>0</xdr:rowOff>
    </xdr:from>
    <xdr:to>
      <xdr:col>13</xdr:col>
      <xdr:colOff>0</xdr:colOff>
      <xdr:row>3312</xdr:row>
      <xdr:rowOff>114300</xdr:rowOff>
    </xdr:to>
    <xdr:pic>
      <xdr:nvPicPr>
        <xdr:cNvPr id="3703" name="Imagen 3702" descr="Ver detalle">
          <a:hlinkClick xmlns:r="http://schemas.openxmlformats.org/officeDocument/2006/relationships" r:id="rId3644" tooltip="Ver detalle"/>
          <a:extLst>
            <a:ext uri="{FF2B5EF4-FFF2-40B4-BE49-F238E27FC236}">
              <a16:creationId xmlns:a16="http://schemas.microsoft.com/office/drawing/2014/main" id="{4CF1D074-5D35-E741-1CD2-C04F23B20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7130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3312</xdr:row>
      <xdr:rowOff>0</xdr:rowOff>
    </xdr:from>
    <xdr:to>
      <xdr:col>13</xdr:col>
      <xdr:colOff>0</xdr:colOff>
      <xdr:row>3313</xdr:row>
      <xdr:rowOff>114300</xdr:rowOff>
    </xdr:to>
    <xdr:pic>
      <xdr:nvPicPr>
        <xdr:cNvPr id="3704" name="Imagen 3703" descr="Ver detalle">
          <a:hlinkClick xmlns:r="http://schemas.openxmlformats.org/officeDocument/2006/relationships" r:id="rId3645" tooltip="Ver detalle"/>
          <a:extLst>
            <a:ext uri="{FF2B5EF4-FFF2-40B4-BE49-F238E27FC236}">
              <a16:creationId xmlns:a16="http://schemas.microsoft.com/office/drawing/2014/main" id="{B722CE94-2FF7-4643-5EC7-1B219F346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7374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3313</xdr:row>
      <xdr:rowOff>0</xdr:rowOff>
    </xdr:from>
    <xdr:to>
      <xdr:col>13</xdr:col>
      <xdr:colOff>0</xdr:colOff>
      <xdr:row>3314</xdr:row>
      <xdr:rowOff>114300</xdr:rowOff>
    </xdr:to>
    <xdr:pic>
      <xdr:nvPicPr>
        <xdr:cNvPr id="3705" name="Imagen 3704" descr="Ver detalle">
          <a:hlinkClick xmlns:r="http://schemas.openxmlformats.org/officeDocument/2006/relationships" r:id="rId3646" tooltip="Ver detalle"/>
          <a:extLst>
            <a:ext uri="{FF2B5EF4-FFF2-40B4-BE49-F238E27FC236}">
              <a16:creationId xmlns:a16="http://schemas.microsoft.com/office/drawing/2014/main" id="{B4CB0214-FAD8-B7F0-19D6-DA0C3A5D8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7618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3314</xdr:row>
      <xdr:rowOff>0</xdr:rowOff>
    </xdr:from>
    <xdr:to>
      <xdr:col>13</xdr:col>
      <xdr:colOff>0</xdr:colOff>
      <xdr:row>3315</xdr:row>
      <xdr:rowOff>114300</xdr:rowOff>
    </xdr:to>
    <xdr:pic>
      <xdr:nvPicPr>
        <xdr:cNvPr id="3706" name="Imagen 3705" descr="Ver detalle">
          <a:hlinkClick xmlns:r="http://schemas.openxmlformats.org/officeDocument/2006/relationships" r:id="rId3647" tooltip="Ver detalle"/>
          <a:extLst>
            <a:ext uri="{FF2B5EF4-FFF2-40B4-BE49-F238E27FC236}">
              <a16:creationId xmlns:a16="http://schemas.microsoft.com/office/drawing/2014/main" id="{EBE64759-A9F1-77F2-AFA7-F6A05505A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7862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3315</xdr:row>
      <xdr:rowOff>0</xdr:rowOff>
    </xdr:from>
    <xdr:to>
      <xdr:col>13</xdr:col>
      <xdr:colOff>0</xdr:colOff>
      <xdr:row>3316</xdr:row>
      <xdr:rowOff>114300</xdr:rowOff>
    </xdr:to>
    <xdr:pic>
      <xdr:nvPicPr>
        <xdr:cNvPr id="3707" name="Imagen 3706" descr="Ver detalle">
          <a:hlinkClick xmlns:r="http://schemas.openxmlformats.org/officeDocument/2006/relationships" r:id="rId3648" tooltip="Ver detalle"/>
          <a:extLst>
            <a:ext uri="{FF2B5EF4-FFF2-40B4-BE49-F238E27FC236}">
              <a16:creationId xmlns:a16="http://schemas.microsoft.com/office/drawing/2014/main" id="{1FBB2086-6E5B-A8A9-1D31-667984995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8105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3271</xdr:row>
      <xdr:rowOff>0</xdr:rowOff>
    </xdr:from>
    <xdr:to>
      <xdr:col>13</xdr:col>
      <xdr:colOff>0</xdr:colOff>
      <xdr:row>3272</xdr:row>
      <xdr:rowOff>114300</xdr:rowOff>
    </xdr:to>
    <xdr:pic>
      <xdr:nvPicPr>
        <xdr:cNvPr id="3708" name="Imagen 3707" descr="Ver detalle">
          <a:hlinkClick xmlns:r="http://schemas.openxmlformats.org/officeDocument/2006/relationships" r:id="rId3649" tooltip="Ver detalle"/>
          <a:extLst>
            <a:ext uri="{FF2B5EF4-FFF2-40B4-BE49-F238E27FC236}">
              <a16:creationId xmlns:a16="http://schemas.microsoft.com/office/drawing/2014/main" id="{CB0F45B0-198A-459F-5213-FCD4BC382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8349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3259</xdr:row>
      <xdr:rowOff>0</xdr:rowOff>
    </xdr:from>
    <xdr:to>
      <xdr:col>13</xdr:col>
      <xdr:colOff>0</xdr:colOff>
      <xdr:row>3260</xdr:row>
      <xdr:rowOff>114300</xdr:rowOff>
    </xdr:to>
    <xdr:pic>
      <xdr:nvPicPr>
        <xdr:cNvPr id="3709" name="Imagen 3708" descr="Ver detalle">
          <a:hlinkClick xmlns:r="http://schemas.openxmlformats.org/officeDocument/2006/relationships" r:id="rId3650" tooltip="Ver detalle"/>
          <a:extLst>
            <a:ext uri="{FF2B5EF4-FFF2-40B4-BE49-F238E27FC236}">
              <a16:creationId xmlns:a16="http://schemas.microsoft.com/office/drawing/2014/main" id="{291AD0CD-954B-65BF-D774-452B87FD9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8593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3272</xdr:row>
      <xdr:rowOff>0</xdr:rowOff>
    </xdr:from>
    <xdr:to>
      <xdr:col>13</xdr:col>
      <xdr:colOff>0</xdr:colOff>
      <xdr:row>3273</xdr:row>
      <xdr:rowOff>114300</xdr:rowOff>
    </xdr:to>
    <xdr:pic>
      <xdr:nvPicPr>
        <xdr:cNvPr id="3710" name="Imagen 3709" descr="Ver detalle">
          <a:hlinkClick xmlns:r="http://schemas.openxmlformats.org/officeDocument/2006/relationships" r:id="rId3651" tooltip="Ver detalle"/>
          <a:extLst>
            <a:ext uri="{FF2B5EF4-FFF2-40B4-BE49-F238E27FC236}">
              <a16:creationId xmlns:a16="http://schemas.microsoft.com/office/drawing/2014/main" id="{5A44E18A-0025-65EE-70BF-DC6B75D56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8837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3277</xdr:row>
      <xdr:rowOff>0</xdr:rowOff>
    </xdr:from>
    <xdr:to>
      <xdr:col>13</xdr:col>
      <xdr:colOff>0</xdr:colOff>
      <xdr:row>3278</xdr:row>
      <xdr:rowOff>114300</xdr:rowOff>
    </xdr:to>
    <xdr:pic>
      <xdr:nvPicPr>
        <xdr:cNvPr id="3711" name="Imagen 3710" descr="Ver detalle">
          <a:hlinkClick xmlns:r="http://schemas.openxmlformats.org/officeDocument/2006/relationships" r:id="rId3652" tooltip="Ver detalle"/>
          <a:extLst>
            <a:ext uri="{FF2B5EF4-FFF2-40B4-BE49-F238E27FC236}">
              <a16:creationId xmlns:a16="http://schemas.microsoft.com/office/drawing/2014/main" id="{935C1A3C-B330-174A-E2AF-38B311ACC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9325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3267</xdr:row>
      <xdr:rowOff>0</xdr:rowOff>
    </xdr:from>
    <xdr:to>
      <xdr:col>13</xdr:col>
      <xdr:colOff>0</xdr:colOff>
      <xdr:row>3268</xdr:row>
      <xdr:rowOff>114300</xdr:rowOff>
    </xdr:to>
    <xdr:pic>
      <xdr:nvPicPr>
        <xdr:cNvPr id="3712" name="Imagen 3711" descr="Ver detalle">
          <a:hlinkClick xmlns:r="http://schemas.openxmlformats.org/officeDocument/2006/relationships" r:id="rId3653" tooltip="Ver detalle"/>
          <a:extLst>
            <a:ext uri="{FF2B5EF4-FFF2-40B4-BE49-F238E27FC236}">
              <a16:creationId xmlns:a16="http://schemas.microsoft.com/office/drawing/2014/main" id="{545F2878-F4E0-F3C9-71C4-9BFADA365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9439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3260</xdr:row>
      <xdr:rowOff>0</xdr:rowOff>
    </xdr:from>
    <xdr:to>
      <xdr:col>13</xdr:col>
      <xdr:colOff>0</xdr:colOff>
      <xdr:row>3261</xdr:row>
      <xdr:rowOff>114300</xdr:rowOff>
    </xdr:to>
    <xdr:pic>
      <xdr:nvPicPr>
        <xdr:cNvPr id="3713" name="Imagen 3712" descr="Ver detalle">
          <a:hlinkClick xmlns:r="http://schemas.openxmlformats.org/officeDocument/2006/relationships" r:id="rId3654" tooltip="Ver detalle"/>
          <a:extLst>
            <a:ext uri="{FF2B5EF4-FFF2-40B4-BE49-F238E27FC236}">
              <a16:creationId xmlns:a16="http://schemas.microsoft.com/office/drawing/2014/main" id="{53028663-08A9-BD0D-6823-AF0016E36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9683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3273</xdr:row>
      <xdr:rowOff>0</xdr:rowOff>
    </xdr:from>
    <xdr:to>
      <xdr:col>13</xdr:col>
      <xdr:colOff>0</xdr:colOff>
      <xdr:row>3274</xdr:row>
      <xdr:rowOff>114300</xdr:rowOff>
    </xdr:to>
    <xdr:pic>
      <xdr:nvPicPr>
        <xdr:cNvPr id="3714" name="Imagen 3713" descr="Ver detalle">
          <a:hlinkClick xmlns:r="http://schemas.openxmlformats.org/officeDocument/2006/relationships" r:id="rId3655" tooltip="Ver detalle"/>
          <a:extLst>
            <a:ext uri="{FF2B5EF4-FFF2-40B4-BE49-F238E27FC236}">
              <a16:creationId xmlns:a16="http://schemas.microsoft.com/office/drawing/2014/main" id="{989D5E1B-8C2A-F871-90BA-5835875D9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9846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3261</xdr:row>
      <xdr:rowOff>0</xdr:rowOff>
    </xdr:from>
    <xdr:to>
      <xdr:col>13</xdr:col>
      <xdr:colOff>0</xdr:colOff>
      <xdr:row>3262</xdr:row>
      <xdr:rowOff>114300</xdr:rowOff>
    </xdr:to>
    <xdr:pic>
      <xdr:nvPicPr>
        <xdr:cNvPr id="3715" name="Imagen 3714" descr="Ver detalle">
          <a:hlinkClick xmlns:r="http://schemas.openxmlformats.org/officeDocument/2006/relationships" r:id="rId3656" tooltip="Ver detalle"/>
          <a:extLst>
            <a:ext uri="{FF2B5EF4-FFF2-40B4-BE49-F238E27FC236}">
              <a16:creationId xmlns:a16="http://schemas.microsoft.com/office/drawing/2014/main" id="{518BFB50-C403-4BE5-BCD1-6D72897064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0090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3282</xdr:row>
      <xdr:rowOff>0</xdr:rowOff>
    </xdr:from>
    <xdr:to>
      <xdr:col>13</xdr:col>
      <xdr:colOff>0</xdr:colOff>
      <xdr:row>3283</xdr:row>
      <xdr:rowOff>114300</xdr:rowOff>
    </xdr:to>
    <xdr:pic>
      <xdr:nvPicPr>
        <xdr:cNvPr id="3716" name="Imagen 3715" descr="Ver detalle">
          <a:hlinkClick xmlns:r="http://schemas.openxmlformats.org/officeDocument/2006/relationships" r:id="rId3657" tooltip="Ver detalle"/>
          <a:extLst>
            <a:ext uri="{FF2B5EF4-FFF2-40B4-BE49-F238E27FC236}">
              <a16:creationId xmlns:a16="http://schemas.microsoft.com/office/drawing/2014/main" id="{1A3362D5-002E-6AB9-BBBB-B29CBB4FC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033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3263</xdr:row>
      <xdr:rowOff>0</xdr:rowOff>
    </xdr:from>
    <xdr:to>
      <xdr:col>13</xdr:col>
      <xdr:colOff>0</xdr:colOff>
      <xdr:row>3264</xdr:row>
      <xdr:rowOff>114300</xdr:rowOff>
    </xdr:to>
    <xdr:pic>
      <xdr:nvPicPr>
        <xdr:cNvPr id="3717" name="Imagen 3716" descr="Ver detalle">
          <a:hlinkClick xmlns:r="http://schemas.openxmlformats.org/officeDocument/2006/relationships" r:id="rId3658" tooltip="Ver detalle"/>
          <a:extLst>
            <a:ext uri="{FF2B5EF4-FFF2-40B4-BE49-F238E27FC236}">
              <a16:creationId xmlns:a16="http://schemas.microsoft.com/office/drawing/2014/main" id="{04F1F1C8-37E9-0B8E-C9FF-345FB4364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0577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3265</xdr:row>
      <xdr:rowOff>0</xdr:rowOff>
    </xdr:from>
    <xdr:to>
      <xdr:col>13</xdr:col>
      <xdr:colOff>0</xdr:colOff>
      <xdr:row>3266</xdr:row>
      <xdr:rowOff>114300</xdr:rowOff>
    </xdr:to>
    <xdr:pic>
      <xdr:nvPicPr>
        <xdr:cNvPr id="3718" name="Imagen 3717" descr="Ver detalle">
          <a:hlinkClick xmlns:r="http://schemas.openxmlformats.org/officeDocument/2006/relationships" r:id="rId3659" tooltip="Ver detalle"/>
          <a:extLst>
            <a:ext uri="{FF2B5EF4-FFF2-40B4-BE49-F238E27FC236}">
              <a16:creationId xmlns:a16="http://schemas.microsoft.com/office/drawing/2014/main" id="{9257BE08-B862-25C6-15FF-10794CFFD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0821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3269</xdr:row>
      <xdr:rowOff>0</xdr:rowOff>
    </xdr:from>
    <xdr:to>
      <xdr:col>13</xdr:col>
      <xdr:colOff>0</xdr:colOff>
      <xdr:row>3270</xdr:row>
      <xdr:rowOff>114300</xdr:rowOff>
    </xdr:to>
    <xdr:pic>
      <xdr:nvPicPr>
        <xdr:cNvPr id="3719" name="Imagen 3718" descr="Ver detalle">
          <a:hlinkClick xmlns:r="http://schemas.openxmlformats.org/officeDocument/2006/relationships" r:id="rId3660" tooltip="Ver detalle"/>
          <a:extLst>
            <a:ext uri="{FF2B5EF4-FFF2-40B4-BE49-F238E27FC236}">
              <a16:creationId xmlns:a16="http://schemas.microsoft.com/office/drawing/2014/main" id="{05A73036-7370-DCA0-9D38-AB94A708E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1065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3264</xdr:row>
      <xdr:rowOff>0</xdr:rowOff>
    </xdr:from>
    <xdr:to>
      <xdr:col>13</xdr:col>
      <xdr:colOff>0</xdr:colOff>
      <xdr:row>3265</xdr:row>
      <xdr:rowOff>114300</xdr:rowOff>
    </xdr:to>
    <xdr:pic>
      <xdr:nvPicPr>
        <xdr:cNvPr id="3720" name="Imagen 3719" descr="Ver detalle">
          <a:hlinkClick xmlns:r="http://schemas.openxmlformats.org/officeDocument/2006/relationships" r:id="rId3661" tooltip="Ver detalle"/>
          <a:extLst>
            <a:ext uri="{FF2B5EF4-FFF2-40B4-BE49-F238E27FC236}">
              <a16:creationId xmlns:a16="http://schemas.microsoft.com/office/drawing/2014/main" id="{19466E72-231F-BE4E-BC91-692D7A038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1179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3352</xdr:row>
      <xdr:rowOff>0</xdr:rowOff>
    </xdr:from>
    <xdr:to>
      <xdr:col>13</xdr:col>
      <xdr:colOff>0</xdr:colOff>
      <xdr:row>3353</xdr:row>
      <xdr:rowOff>114300</xdr:rowOff>
    </xdr:to>
    <xdr:pic>
      <xdr:nvPicPr>
        <xdr:cNvPr id="3721" name="Imagen 3720" descr="Ver detalle">
          <a:hlinkClick xmlns:r="http://schemas.openxmlformats.org/officeDocument/2006/relationships" r:id="rId3662" tooltip="Ver detalle"/>
          <a:extLst>
            <a:ext uri="{FF2B5EF4-FFF2-40B4-BE49-F238E27FC236}">
              <a16:creationId xmlns:a16="http://schemas.microsoft.com/office/drawing/2014/main" id="{D363D0B0-5605-341A-D3D9-1A1AEA5C9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1423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3258</xdr:row>
      <xdr:rowOff>0</xdr:rowOff>
    </xdr:from>
    <xdr:to>
      <xdr:col>13</xdr:col>
      <xdr:colOff>0</xdr:colOff>
      <xdr:row>3259</xdr:row>
      <xdr:rowOff>114300</xdr:rowOff>
    </xdr:to>
    <xdr:pic>
      <xdr:nvPicPr>
        <xdr:cNvPr id="3722" name="Imagen 3721" descr="Ver detalle">
          <a:hlinkClick xmlns:r="http://schemas.openxmlformats.org/officeDocument/2006/relationships" r:id="rId3663" tooltip="Ver detalle"/>
          <a:extLst>
            <a:ext uri="{FF2B5EF4-FFF2-40B4-BE49-F238E27FC236}">
              <a16:creationId xmlns:a16="http://schemas.microsoft.com/office/drawing/2014/main" id="{41715560-A0FE-B0CE-8E50-8C9C03DBB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166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3255</xdr:row>
      <xdr:rowOff>0</xdr:rowOff>
    </xdr:from>
    <xdr:to>
      <xdr:col>13</xdr:col>
      <xdr:colOff>0</xdr:colOff>
      <xdr:row>3256</xdr:row>
      <xdr:rowOff>114300</xdr:rowOff>
    </xdr:to>
    <xdr:pic>
      <xdr:nvPicPr>
        <xdr:cNvPr id="3723" name="Imagen 3722" descr="Ver detalle">
          <a:hlinkClick xmlns:r="http://schemas.openxmlformats.org/officeDocument/2006/relationships" r:id="rId3664" tooltip="Ver detalle"/>
          <a:extLst>
            <a:ext uri="{FF2B5EF4-FFF2-40B4-BE49-F238E27FC236}">
              <a16:creationId xmlns:a16="http://schemas.microsoft.com/office/drawing/2014/main" id="{C3748B9F-1471-4F0F-1870-0C03F2ED0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1830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3256</xdr:row>
      <xdr:rowOff>0</xdr:rowOff>
    </xdr:from>
    <xdr:to>
      <xdr:col>13</xdr:col>
      <xdr:colOff>0</xdr:colOff>
      <xdr:row>3257</xdr:row>
      <xdr:rowOff>114300</xdr:rowOff>
    </xdr:to>
    <xdr:pic>
      <xdr:nvPicPr>
        <xdr:cNvPr id="3724" name="Imagen 3723" descr="Ver detalle">
          <a:hlinkClick xmlns:r="http://schemas.openxmlformats.org/officeDocument/2006/relationships" r:id="rId3665" tooltip="Ver detalle"/>
          <a:extLst>
            <a:ext uri="{FF2B5EF4-FFF2-40B4-BE49-F238E27FC236}">
              <a16:creationId xmlns:a16="http://schemas.microsoft.com/office/drawing/2014/main" id="{FD0310A3-A930-4DB4-ABF0-3E4DE60AF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2074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3257</xdr:row>
      <xdr:rowOff>0</xdr:rowOff>
    </xdr:from>
    <xdr:to>
      <xdr:col>13</xdr:col>
      <xdr:colOff>0</xdr:colOff>
      <xdr:row>3258</xdr:row>
      <xdr:rowOff>114300</xdr:rowOff>
    </xdr:to>
    <xdr:pic>
      <xdr:nvPicPr>
        <xdr:cNvPr id="3725" name="Imagen 3724" descr="Ver detalle">
          <a:hlinkClick xmlns:r="http://schemas.openxmlformats.org/officeDocument/2006/relationships" r:id="rId3666" tooltip="Ver detalle"/>
          <a:extLst>
            <a:ext uri="{FF2B5EF4-FFF2-40B4-BE49-F238E27FC236}">
              <a16:creationId xmlns:a16="http://schemas.microsoft.com/office/drawing/2014/main" id="{2550371F-D6B3-2262-311D-4B0F92C1F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2317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3321</xdr:row>
      <xdr:rowOff>0</xdr:rowOff>
    </xdr:from>
    <xdr:to>
      <xdr:col>13</xdr:col>
      <xdr:colOff>0</xdr:colOff>
      <xdr:row>3322</xdr:row>
      <xdr:rowOff>114300</xdr:rowOff>
    </xdr:to>
    <xdr:pic>
      <xdr:nvPicPr>
        <xdr:cNvPr id="3726" name="Imagen 3725" descr="Ver detalle">
          <a:hlinkClick xmlns:r="http://schemas.openxmlformats.org/officeDocument/2006/relationships" r:id="rId3667" tooltip="Ver detalle"/>
          <a:extLst>
            <a:ext uri="{FF2B5EF4-FFF2-40B4-BE49-F238E27FC236}">
              <a16:creationId xmlns:a16="http://schemas.microsoft.com/office/drawing/2014/main" id="{96BFD01D-6362-6EFA-9807-BABB81EDC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2561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3316</xdr:row>
      <xdr:rowOff>0</xdr:rowOff>
    </xdr:from>
    <xdr:to>
      <xdr:col>13</xdr:col>
      <xdr:colOff>0</xdr:colOff>
      <xdr:row>3317</xdr:row>
      <xdr:rowOff>114300</xdr:rowOff>
    </xdr:to>
    <xdr:pic>
      <xdr:nvPicPr>
        <xdr:cNvPr id="3727" name="Imagen 3726" descr="Ver detalle">
          <a:hlinkClick xmlns:r="http://schemas.openxmlformats.org/officeDocument/2006/relationships" r:id="rId3668" tooltip="Ver detalle"/>
          <a:extLst>
            <a:ext uri="{FF2B5EF4-FFF2-40B4-BE49-F238E27FC236}">
              <a16:creationId xmlns:a16="http://schemas.microsoft.com/office/drawing/2014/main" id="{9297F49A-EA2C-8E3C-E3E5-33FB02375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2676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3317</xdr:row>
      <xdr:rowOff>0</xdr:rowOff>
    </xdr:from>
    <xdr:to>
      <xdr:col>13</xdr:col>
      <xdr:colOff>0</xdr:colOff>
      <xdr:row>3318</xdr:row>
      <xdr:rowOff>114300</xdr:rowOff>
    </xdr:to>
    <xdr:pic>
      <xdr:nvPicPr>
        <xdr:cNvPr id="3728" name="Imagen 3727" descr="Ver detalle">
          <a:hlinkClick xmlns:r="http://schemas.openxmlformats.org/officeDocument/2006/relationships" r:id="rId3669" tooltip="Ver detalle"/>
          <a:extLst>
            <a:ext uri="{FF2B5EF4-FFF2-40B4-BE49-F238E27FC236}">
              <a16:creationId xmlns:a16="http://schemas.microsoft.com/office/drawing/2014/main" id="{E0B83E06-5162-E46C-6807-8F83D7F7A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2838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3318</xdr:row>
      <xdr:rowOff>0</xdr:rowOff>
    </xdr:from>
    <xdr:to>
      <xdr:col>13</xdr:col>
      <xdr:colOff>0</xdr:colOff>
      <xdr:row>3319</xdr:row>
      <xdr:rowOff>114300</xdr:rowOff>
    </xdr:to>
    <xdr:pic>
      <xdr:nvPicPr>
        <xdr:cNvPr id="3729" name="Imagen 3728" descr="Ver detalle">
          <a:hlinkClick xmlns:r="http://schemas.openxmlformats.org/officeDocument/2006/relationships" r:id="rId3670" tooltip="Ver detalle"/>
          <a:extLst>
            <a:ext uri="{FF2B5EF4-FFF2-40B4-BE49-F238E27FC236}">
              <a16:creationId xmlns:a16="http://schemas.microsoft.com/office/drawing/2014/main" id="{5C6A3FCB-EEF6-4578-88C6-34972FD0E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3001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3319</xdr:row>
      <xdr:rowOff>0</xdr:rowOff>
    </xdr:from>
    <xdr:to>
      <xdr:col>13</xdr:col>
      <xdr:colOff>0</xdr:colOff>
      <xdr:row>3320</xdr:row>
      <xdr:rowOff>114300</xdr:rowOff>
    </xdr:to>
    <xdr:pic>
      <xdr:nvPicPr>
        <xdr:cNvPr id="3730" name="Imagen 3729" descr="Ver detalle">
          <a:hlinkClick xmlns:r="http://schemas.openxmlformats.org/officeDocument/2006/relationships" r:id="rId3671" tooltip="Ver detalle"/>
          <a:extLst>
            <a:ext uri="{FF2B5EF4-FFF2-40B4-BE49-F238E27FC236}">
              <a16:creationId xmlns:a16="http://schemas.microsoft.com/office/drawing/2014/main" id="{940B5B60-4807-5427-BD99-1FA6FA51B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3245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3320</xdr:row>
      <xdr:rowOff>0</xdr:rowOff>
    </xdr:from>
    <xdr:to>
      <xdr:col>13</xdr:col>
      <xdr:colOff>0</xdr:colOff>
      <xdr:row>3321</xdr:row>
      <xdr:rowOff>114300</xdr:rowOff>
    </xdr:to>
    <xdr:pic>
      <xdr:nvPicPr>
        <xdr:cNvPr id="3731" name="Imagen 3730" descr="Ver detalle">
          <a:hlinkClick xmlns:r="http://schemas.openxmlformats.org/officeDocument/2006/relationships" r:id="rId3672" tooltip="Ver detalle"/>
          <a:extLst>
            <a:ext uri="{FF2B5EF4-FFF2-40B4-BE49-F238E27FC236}">
              <a16:creationId xmlns:a16="http://schemas.microsoft.com/office/drawing/2014/main" id="{297924BC-4F8A-8DD9-B782-96470EA62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3408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3358</xdr:row>
      <xdr:rowOff>0</xdr:rowOff>
    </xdr:from>
    <xdr:to>
      <xdr:col>13</xdr:col>
      <xdr:colOff>0</xdr:colOff>
      <xdr:row>3359</xdr:row>
      <xdr:rowOff>114300</xdr:rowOff>
    </xdr:to>
    <xdr:pic>
      <xdr:nvPicPr>
        <xdr:cNvPr id="3732" name="Imagen 3731" descr="Ver detalle">
          <a:hlinkClick xmlns:r="http://schemas.openxmlformats.org/officeDocument/2006/relationships" r:id="rId3673" tooltip="Ver detalle"/>
          <a:extLst>
            <a:ext uri="{FF2B5EF4-FFF2-40B4-BE49-F238E27FC236}">
              <a16:creationId xmlns:a16="http://schemas.microsoft.com/office/drawing/2014/main" id="{AFE99342-9C49-C2AE-3C10-5E6F41C73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4279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3359</xdr:row>
      <xdr:rowOff>0</xdr:rowOff>
    </xdr:from>
    <xdr:to>
      <xdr:col>13</xdr:col>
      <xdr:colOff>0</xdr:colOff>
      <xdr:row>3360</xdr:row>
      <xdr:rowOff>114300</xdr:rowOff>
    </xdr:to>
    <xdr:pic>
      <xdr:nvPicPr>
        <xdr:cNvPr id="3733" name="Imagen 3732" descr="Ver detalle">
          <a:hlinkClick xmlns:r="http://schemas.openxmlformats.org/officeDocument/2006/relationships" r:id="rId3674" tooltip="Ver detalle"/>
          <a:extLst>
            <a:ext uri="{FF2B5EF4-FFF2-40B4-BE49-F238E27FC236}">
              <a16:creationId xmlns:a16="http://schemas.microsoft.com/office/drawing/2014/main" id="{9B099F79-1DD5-2405-3196-713D60388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4523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3360</xdr:row>
      <xdr:rowOff>0</xdr:rowOff>
    </xdr:from>
    <xdr:to>
      <xdr:col>13</xdr:col>
      <xdr:colOff>0</xdr:colOff>
      <xdr:row>3361</xdr:row>
      <xdr:rowOff>114300</xdr:rowOff>
    </xdr:to>
    <xdr:pic>
      <xdr:nvPicPr>
        <xdr:cNvPr id="3734" name="Imagen 3733" descr="Ver detalle">
          <a:hlinkClick xmlns:r="http://schemas.openxmlformats.org/officeDocument/2006/relationships" r:id="rId3675" tooltip="Ver detalle"/>
          <a:extLst>
            <a:ext uri="{FF2B5EF4-FFF2-40B4-BE49-F238E27FC236}">
              <a16:creationId xmlns:a16="http://schemas.microsoft.com/office/drawing/2014/main" id="{02641C61-E34C-E124-2DAE-281E1D495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4767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3361</xdr:row>
      <xdr:rowOff>0</xdr:rowOff>
    </xdr:from>
    <xdr:to>
      <xdr:col>13</xdr:col>
      <xdr:colOff>0</xdr:colOff>
      <xdr:row>3362</xdr:row>
      <xdr:rowOff>114300</xdr:rowOff>
    </xdr:to>
    <xdr:pic>
      <xdr:nvPicPr>
        <xdr:cNvPr id="3735" name="Imagen 3734" descr="Ver detalle">
          <a:hlinkClick xmlns:r="http://schemas.openxmlformats.org/officeDocument/2006/relationships" r:id="rId3676" tooltip="Ver detalle"/>
          <a:extLst>
            <a:ext uri="{FF2B5EF4-FFF2-40B4-BE49-F238E27FC236}">
              <a16:creationId xmlns:a16="http://schemas.microsoft.com/office/drawing/2014/main" id="{13793222-5A09-0A82-B1FC-44FB7F3B6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5010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3362</xdr:row>
      <xdr:rowOff>0</xdr:rowOff>
    </xdr:from>
    <xdr:to>
      <xdr:col>13</xdr:col>
      <xdr:colOff>0</xdr:colOff>
      <xdr:row>3363</xdr:row>
      <xdr:rowOff>114300</xdr:rowOff>
    </xdr:to>
    <xdr:pic>
      <xdr:nvPicPr>
        <xdr:cNvPr id="3736" name="Imagen 3735" descr="Ver detalle">
          <a:hlinkClick xmlns:r="http://schemas.openxmlformats.org/officeDocument/2006/relationships" r:id="rId3677" tooltip="Ver detalle"/>
          <a:extLst>
            <a:ext uri="{FF2B5EF4-FFF2-40B4-BE49-F238E27FC236}">
              <a16:creationId xmlns:a16="http://schemas.microsoft.com/office/drawing/2014/main" id="{4CA00751-37BD-3409-4E7E-E8BBB8704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5254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3363</xdr:row>
      <xdr:rowOff>0</xdr:rowOff>
    </xdr:from>
    <xdr:to>
      <xdr:col>13</xdr:col>
      <xdr:colOff>0</xdr:colOff>
      <xdr:row>3364</xdr:row>
      <xdr:rowOff>114300</xdr:rowOff>
    </xdr:to>
    <xdr:pic>
      <xdr:nvPicPr>
        <xdr:cNvPr id="3737" name="Imagen 3736" descr="Ver detalle">
          <a:hlinkClick xmlns:r="http://schemas.openxmlformats.org/officeDocument/2006/relationships" r:id="rId3678" tooltip="Ver detalle"/>
          <a:extLst>
            <a:ext uri="{FF2B5EF4-FFF2-40B4-BE49-F238E27FC236}">
              <a16:creationId xmlns:a16="http://schemas.microsoft.com/office/drawing/2014/main" id="{F4B6F933-5263-9765-50FE-EFAE03EEC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541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3364</xdr:row>
      <xdr:rowOff>0</xdr:rowOff>
    </xdr:from>
    <xdr:to>
      <xdr:col>13</xdr:col>
      <xdr:colOff>0</xdr:colOff>
      <xdr:row>3365</xdr:row>
      <xdr:rowOff>114300</xdr:rowOff>
    </xdr:to>
    <xdr:pic>
      <xdr:nvPicPr>
        <xdr:cNvPr id="3738" name="Imagen 3737" descr="Ver detalle">
          <a:hlinkClick xmlns:r="http://schemas.openxmlformats.org/officeDocument/2006/relationships" r:id="rId3679" tooltip="Ver detalle"/>
          <a:extLst>
            <a:ext uri="{FF2B5EF4-FFF2-40B4-BE49-F238E27FC236}">
              <a16:creationId xmlns:a16="http://schemas.microsoft.com/office/drawing/2014/main" id="{D162452A-6E6D-54B2-9713-8F0E7EC25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5661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3365</xdr:row>
      <xdr:rowOff>0</xdr:rowOff>
    </xdr:from>
    <xdr:to>
      <xdr:col>13</xdr:col>
      <xdr:colOff>0</xdr:colOff>
      <xdr:row>3366</xdr:row>
      <xdr:rowOff>114300</xdr:rowOff>
    </xdr:to>
    <xdr:pic>
      <xdr:nvPicPr>
        <xdr:cNvPr id="3739" name="Imagen 3738" descr="Ver detalle">
          <a:hlinkClick xmlns:r="http://schemas.openxmlformats.org/officeDocument/2006/relationships" r:id="rId3680" tooltip="Ver detalle"/>
          <a:extLst>
            <a:ext uri="{FF2B5EF4-FFF2-40B4-BE49-F238E27FC236}">
              <a16:creationId xmlns:a16="http://schemas.microsoft.com/office/drawing/2014/main" id="{FB16351F-3F30-105C-DAA6-6ED76C118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5905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3366</xdr:row>
      <xdr:rowOff>0</xdr:rowOff>
    </xdr:from>
    <xdr:to>
      <xdr:col>13</xdr:col>
      <xdr:colOff>0</xdr:colOff>
      <xdr:row>3367</xdr:row>
      <xdr:rowOff>114300</xdr:rowOff>
    </xdr:to>
    <xdr:pic>
      <xdr:nvPicPr>
        <xdr:cNvPr id="3740" name="Imagen 3739" descr="Ver detalle">
          <a:hlinkClick xmlns:r="http://schemas.openxmlformats.org/officeDocument/2006/relationships" r:id="rId3681" tooltip="Ver detalle"/>
          <a:extLst>
            <a:ext uri="{FF2B5EF4-FFF2-40B4-BE49-F238E27FC236}">
              <a16:creationId xmlns:a16="http://schemas.microsoft.com/office/drawing/2014/main" id="{F1666006-FEA5-F61A-1703-983AB6739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6149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3367</xdr:row>
      <xdr:rowOff>0</xdr:rowOff>
    </xdr:from>
    <xdr:to>
      <xdr:col>13</xdr:col>
      <xdr:colOff>0</xdr:colOff>
      <xdr:row>3368</xdr:row>
      <xdr:rowOff>114300</xdr:rowOff>
    </xdr:to>
    <xdr:pic>
      <xdr:nvPicPr>
        <xdr:cNvPr id="3741" name="Imagen 3740" descr="Ver detalle">
          <a:hlinkClick xmlns:r="http://schemas.openxmlformats.org/officeDocument/2006/relationships" r:id="rId3682" tooltip="Ver detalle"/>
          <a:extLst>
            <a:ext uri="{FF2B5EF4-FFF2-40B4-BE49-F238E27FC236}">
              <a16:creationId xmlns:a16="http://schemas.microsoft.com/office/drawing/2014/main" id="{F98CA06B-894C-AD05-9073-39A920EF1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6393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3368</xdr:row>
      <xdr:rowOff>0</xdr:rowOff>
    </xdr:from>
    <xdr:to>
      <xdr:col>13</xdr:col>
      <xdr:colOff>0</xdr:colOff>
      <xdr:row>3369</xdr:row>
      <xdr:rowOff>114300</xdr:rowOff>
    </xdr:to>
    <xdr:pic>
      <xdr:nvPicPr>
        <xdr:cNvPr id="3742" name="Imagen 3741" descr="Ver detalle">
          <a:hlinkClick xmlns:r="http://schemas.openxmlformats.org/officeDocument/2006/relationships" r:id="rId3683" tooltip="Ver detalle"/>
          <a:extLst>
            <a:ext uri="{FF2B5EF4-FFF2-40B4-BE49-F238E27FC236}">
              <a16:creationId xmlns:a16="http://schemas.microsoft.com/office/drawing/2014/main" id="{E3AE68FD-E44F-BE2E-F068-FC0BD4654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6636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3369</xdr:row>
      <xdr:rowOff>0</xdr:rowOff>
    </xdr:from>
    <xdr:to>
      <xdr:col>13</xdr:col>
      <xdr:colOff>0</xdr:colOff>
      <xdr:row>3370</xdr:row>
      <xdr:rowOff>114300</xdr:rowOff>
    </xdr:to>
    <xdr:pic>
      <xdr:nvPicPr>
        <xdr:cNvPr id="3743" name="Imagen 3742" descr="Ver detalle">
          <a:hlinkClick xmlns:r="http://schemas.openxmlformats.org/officeDocument/2006/relationships" r:id="rId3684" tooltip="Ver detalle"/>
          <a:extLst>
            <a:ext uri="{FF2B5EF4-FFF2-40B4-BE49-F238E27FC236}">
              <a16:creationId xmlns:a16="http://schemas.microsoft.com/office/drawing/2014/main" id="{093CA4C5-2E89-0890-63A8-B1B7C7624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6880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3370</xdr:row>
      <xdr:rowOff>0</xdr:rowOff>
    </xdr:from>
    <xdr:to>
      <xdr:col>13</xdr:col>
      <xdr:colOff>0</xdr:colOff>
      <xdr:row>3371</xdr:row>
      <xdr:rowOff>114300</xdr:rowOff>
    </xdr:to>
    <xdr:pic>
      <xdr:nvPicPr>
        <xdr:cNvPr id="3744" name="Imagen 3743" descr="Ver detalle">
          <a:hlinkClick xmlns:r="http://schemas.openxmlformats.org/officeDocument/2006/relationships" r:id="rId3685" tooltip="Ver detalle"/>
          <a:extLst>
            <a:ext uri="{FF2B5EF4-FFF2-40B4-BE49-F238E27FC236}">
              <a16:creationId xmlns:a16="http://schemas.microsoft.com/office/drawing/2014/main" id="{3BE1DA7F-22B3-0062-5D26-4F5D3EBF5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7011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3371</xdr:row>
      <xdr:rowOff>0</xdr:rowOff>
    </xdr:from>
    <xdr:to>
      <xdr:col>13</xdr:col>
      <xdr:colOff>0</xdr:colOff>
      <xdr:row>3372</xdr:row>
      <xdr:rowOff>114300</xdr:rowOff>
    </xdr:to>
    <xdr:pic>
      <xdr:nvPicPr>
        <xdr:cNvPr id="3745" name="Imagen 3744" descr="Ver detalle">
          <a:hlinkClick xmlns:r="http://schemas.openxmlformats.org/officeDocument/2006/relationships" r:id="rId3686" tooltip="Ver detalle"/>
          <a:extLst>
            <a:ext uri="{FF2B5EF4-FFF2-40B4-BE49-F238E27FC236}">
              <a16:creationId xmlns:a16="http://schemas.microsoft.com/office/drawing/2014/main" id="{ACD715A8-689C-B01F-BBD2-AE5444D4F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7141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3372</xdr:row>
      <xdr:rowOff>0</xdr:rowOff>
    </xdr:from>
    <xdr:to>
      <xdr:col>13</xdr:col>
      <xdr:colOff>0</xdr:colOff>
      <xdr:row>3373</xdr:row>
      <xdr:rowOff>114300</xdr:rowOff>
    </xdr:to>
    <xdr:pic>
      <xdr:nvPicPr>
        <xdr:cNvPr id="3746" name="Imagen 3745" descr="Ver detalle">
          <a:hlinkClick xmlns:r="http://schemas.openxmlformats.org/officeDocument/2006/relationships" r:id="rId3687" tooltip="Ver detalle"/>
          <a:extLst>
            <a:ext uri="{FF2B5EF4-FFF2-40B4-BE49-F238E27FC236}">
              <a16:creationId xmlns:a16="http://schemas.microsoft.com/office/drawing/2014/main" id="{818E7CB1-FA38-1081-13F8-DD0AB1A97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7272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3373</xdr:row>
      <xdr:rowOff>0</xdr:rowOff>
    </xdr:from>
    <xdr:to>
      <xdr:col>13</xdr:col>
      <xdr:colOff>0</xdr:colOff>
      <xdr:row>3374</xdr:row>
      <xdr:rowOff>114300</xdr:rowOff>
    </xdr:to>
    <xdr:pic>
      <xdr:nvPicPr>
        <xdr:cNvPr id="3747" name="Imagen 3746" descr="Ver detalle">
          <a:hlinkClick xmlns:r="http://schemas.openxmlformats.org/officeDocument/2006/relationships" r:id="rId3688" tooltip="Ver detalle"/>
          <a:extLst>
            <a:ext uri="{FF2B5EF4-FFF2-40B4-BE49-F238E27FC236}">
              <a16:creationId xmlns:a16="http://schemas.microsoft.com/office/drawing/2014/main" id="{B42D5723-8E37-3D2E-0EE5-CB8750540F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7402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3374</xdr:row>
      <xdr:rowOff>0</xdr:rowOff>
    </xdr:from>
    <xdr:to>
      <xdr:col>13</xdr:col>
      <xdr:colOff>0</xdr:colOff>
      <xdr:row>3375</xdr:row>
      <xdr:rowOff>114300</xdr:rowOff>
    </xdr:to>
    <xdr:pic>
      <xdr:nvPicPr>
        <xdr:cNvPr id="3748" name="Imagen 3747" descr="Ver detalle">
          <a:hlinkClick xmlns:r="http://schemas.openxmlformats.org/officeDocument/2006/relationships" r:id="rId3689" tooltip="Ver detalle"/>
          <a:extLst>
            <a:ext uri="{FF2B5EF4-FFF2-40B4-BE49-F238E27FC236}">
              <a16:creationId xmlns:a16="http://schemas.microsoft.com/office/drawing/2014/main" id="{F21C6ED5-A56F-F041-494A-BECC14DAD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7533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3375</xdr:row>
      <xdr:rowOff>0</xdr:rowOff>
    </xdr:from>
    <xdr:to>
      <xdr:col>13</xdr:col>
      <xdr:colOff>0</xdr:colOff>
      <xdr:row>3376</xdr:row>
      <xdr:rowOff>114300</xdr:rowOff>
    </xdr:to>
    <xdr:pic>
      <xdr:nvPicPr>
        <xdr:cNvPr id="3749" name="Imagen 3748" descr="Ver detalle">
          <a:hlinkClick xmlns:r="http://schemas.openxmlformats.org/officeDocument/2006/relationships" r:id="rId3690" tooltip="Ver detalle"/>
          <a:extLst>
            <a:ext uri="{FF2B5EF4-FFF2-40B4-BE49-F238E27FC236}">
              <a16:creationId xmlns:a16="http://schemas.microsoft.com/office/drawing/2014/main" id="{E677E20C-C879-A149-E7BA-06401E506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7777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3376</xdr:row>
      <xdr:rowOff>0</xdr:rowOff>
    </xdr:from>
    <xdr:to>
      <xdr:col>13</xdr:col>
      <xdr:colOff>0</xdr:colOff>
      <xdr:row>3377</xdr:row>
      <xdr:rowOff>114300</xdr:rowOff>
    </xdr:to>
    <xdr:pic>
      <xdr:nvPicPr>
        <xdr:cNvPr id="3750" name="Imagen 3749" descr="Ver detalle">
          <a:hlinkClick xmlns:r="http://schemas.openxmlformats.org/officeDocument/2006/relationships" r:id="rId3691" tooltip="Ver detalle"/>
          <a:extLst>
            <a:ext uri="{FF2B5EF4-FFF2-40B4-BE49-F238E27FC236}">
              <a16:creationId xmlns:a16="http://schemas.microsoft.com/office/drawing/2014/main" id="{9A7C82E2-BCE2-6123-78E3-1F975DBAD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7939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3377</xdr:row>
      <xdr:rowOff>0</xdr:rowOff>
    </xdr:from>
    <xdr:to>
      <xdr:col>13</xdr:col>
      <xdr:colOff>0</xdr:colOff>
      <xdr:row>3378</xdr:row>
      <xdr:rowOff>114300</xdr:rowOff>
    </xdr:to>
    <xdr:pic>
      <xdr:nvPicPr>
        <xdr:cNvPr id="3751" name="Imagen 3750" descr="Ver detalle">
          <a:hlinkClick xmlns:r="http://schemas.openxmlformats.org/officeDocument/2006/relationships" r:id="rId3692" tooltip="Ver detalle"/>
          <a:extLst>
            <a:ext uri="{FF2B5EF4-FFF2-40B4-BE49-F238E27FC236}">
              <a16:creationId xmlns:a16="http://schemas.microsoft.com/office/drawing/2014/main" id="{98A853CA-A37D-C9ED-79CD-922EEAC9B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8102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3378</xdr:row>
      <xdr:rowOff>0</xdr:rowOff>
    </xdr:from>
    <xdr:to>
      <xdr:col>13</xdr:col>
      <xdr:colOff>0</xdr:colOff>
      <xdr:row>3379</xdr:row>
      <xdr:rowOff>114300</xdr:rowOff>
    </xdr:to>
    <xdr:pic>
      <xdr:nvPicPr>
        <xdr:cNvPr id="3752" name="Imagen 3751" descr="Ver detalle">
          <a:hlinkClick xmlns:r="http://schemas.openxmlformats.org/officeDocument/2006/relationships" r:id="rId3693" tooltip="Ver detalle"/>
          <a:extLst>
            <a:ext uri="{FF2B5EF4-FFF2-40B4-BE49-F238E27FC236}">
              <a16:creationId xmlns:a16="http://schemas.microsoft.com/office/drawing/2014/main" id="{25FFD539-F953-0156-DA61-5D66A148F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8346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3379</xdr:row>
      <xdr:rowOff>0</xdr:rowOff>
    </xdr:from>
    <xdr:to>
      <xdr:col>13</xdr:col>
      <xdr:colOff>0</xdr:colOff>
      <xdr:row>3380</xdr:row>
      <xdr:rowOff>114300</xdr:rowOff>
    </xdr:to>
    <xdr:pic>
      <xdr:nvPicPr>
        <xdr:cNvPr id="3753" name="Imagen 3752" descr="Ver detalle">
          <a:hlinkClick xmlns:r="http://schemas.openxmlformats.org/officeDocument/2006/relationships" r:id="rId3694" tooltip="Ver detalle"/>
          <a:extLst>
            <a:ext uri="{FF2B5EF4-FFF2-40B4-BE49-F238E27FC236}">
              <a16:creationId xmlns:a16="http://schemas.microsoft.com/office/drawing/2014/main" id="{F56A12ED-44F3-B8C2-039C-E5C5393E6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8590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3380</xdr:row>
      <xdr:rowOff>0</xdr:rowOff>
    </xdr:from>
    <xdr:to>
      <xdr:col>13</xdr:col>
      <xdr:colOff>0</xdr:colOff>
      <xdr:row>3381</xdr:row>
      <xdr:rowOff>114300</xdr:rowOff>
    </xdr:to>
    <xdr:pic>
      <xdr:nvPicPr>
        <xdr:cNvPr id="3754" name="Imagen 3753" descr="Ver detalle">
          <a:hlinkClick xmlns:r="http://schemas.openxmlformats.org/officeDocument/2006/relationships" r:id="rId3695" tooltip="Ver detalle"/>
          <a:extLst>
            <a:ext uri="{FF2B5EF4-FFF2-40B4-BE49-F238E27FC236}">
              <a16:creationId xmlns:a16="http://schemas.microsoft.com/office/drawing/2014/main" id="{DE109999-A169-F8C8-70A4-176EBF5BF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883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3381</xdr:row>
      <xdr:rowOff>0</xdr:rowOff>
    </xdr:from>
    <xdr:to>
      <xdr:col>13</xdr:col>
      <xdr:colOff>0</xdr:colOff>
      <xdr:row>3382</xdr:row>
      <xdr:rowOff>114300</xdr:rowOff>
    </xdr:to>
    <xdr:pic>
      <xdr:nvPicPr>
        <xdr:cNvPr id="3755" name="Imagen 3754" descr="Ver detalle">
          <a:hlinkClick xmlns:r="http://schemas.openxmlformats.org/officeDocument/2006/relationships" r:id="rId3696" tooltip="Ver detalle"/>
          <a:extLst>
            <a:ext uri="{FF2B5EF4-FFF2-40B4-BE49-F238E27FC236}">
              <a16:creationId xmlns:a16="http://schemas.microsoft.com/office/drawing/2014/main" id="{2859B789-9C11-6511-A8FA-E8F1DA909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9078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3383</xdr:row>
      <xdr:rowOff>0</xdr:rowOff>
    </xdr:from>
    <xdr:to>
      <xdr:col>13</xdr:col>
      <xdr:colOff>0</xdr:colOff>
      <xdr:row>3384</xdr:row>
      <xdr:rowOff>114300</xdr:rowOff>
    </xdr:to>
    <xdr:pic>
      <xdr:nvPicPr>
        <xdr:cNvPr id="3756" name="Imagen 3755" descr="Ver detalle">
          <a:hlinkClick xmlns:r="http://schemas.openxmlformats.org/officeDocument/2006/relationships" r:id="rId3697" tooltip="Ver detalle"/>
          <a:extLst>
            <a:ext uri="{FF2B5EF4-FFF2-40B4-BE49-F238E27FC236}">
              <a16:creationId xmlns:a16="http://schemas.microsoft.com/office/drawing/2014/main" id="{5BA02FCF-4FE1-E59A-2CD0-B055709B1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9565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3384</xdr:row>
      <xdr:rowOff>0</xdr:rowOff>
    </xdr:from>
    <xdr:to>
      <xdr:col>13</xdr:col>
      <xdr:colOff>0</xdr:colOff>
      <xdr:row>3385</xdr:row>
      <xdr:rowOff>114300</xdr:rowOff>
    </xdr:to>
    <xdr:pic>
      <xdr:nvPicPr>
        <xdr:cNvPr id="3757" name="Imagen 3756" descr="Ver detalle">
          <a:hlinkClick xmlns:r="http://schemas.openxmlformats.org/officeDocument/2006/relationships" r:id="rId3698" tooltip="Ver detalle"/>
          <a:extLst>
            <a:ext uri="{FF2B5EF4-FFF2-40B4-BE49-F238E27FC236}">
              <a16:creationId xmlns:a16="http://schemas.microsoft.com/office/drawing/2014/main" id="{511E09AA-4E55-E47B-A3AA-C4D230AE9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9680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3385</xdr:row>
      <xdr:rowOff>0</xdr:rowOff>
    </xdr:from>
    <xdr:to>
      <xdr:col>13</xdr:col>
      <xdr:colOff>0</xdr:colOff>
      <xdr:row>3386</xdr:row>
      <xdr:rowOff>114300</xdr:rowOff>
    </xdr:to>
    <xdr:pic>
      <xdr:nvPicPr>
        <xdr:cNvPr id="3758" name="Imagen 3757" descr="Ver detalle">
          <a:hlinkClick xmlns:r="http://schemas.openxmlformats.org/officeDocument/2006/relationships" r:id="rId3699" tooltip="Ver detalle"/>
          <a:extLst>
            <a:ext uri="{FF2B5EF4-FFF2-40B4-BE49-F238E27FC236}">
              <a16:creationId xmlns:a16="http://schemas.microsoft.com/office/drawing/2014/main" id="{4E9A2D62-7541-D2E5-30A4-5472C3F63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9794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3386</xdr:row>
      <xdr:rowOff>0</xdr:rowOff>
    </xdr:from>
    <xdr:to>
      <xdr:col>13</xdr:col>
      <xdr:colOff>0</xdr:colOff>
      <xdr:row>3387</xdr:row>
      <xdr:rowOff>114300</xdr:rowOff>
    </xdr:to>
    <xdr:pic>
      <xdr:nvPicPr>
        <xdr:cNvPr id="3759" name="Imagen 3758" descr="Ver detalle">
          <a:hlinkClick xmlns:r="http://schemas.openxmlformats.org/officeDocument/2006/relationships" r:id="rId3700" tooltip="Ver detalle"/>
          <a:extLst>
            <a:ext uri="{FF2B5EF4-FFF2-40B4-BE49-F238E27FC236}">
              <a16:creationId xmlns:a16="http://schemas.microsoft.com/office/drawing/2014/main" id="{A7D0606E-DE74-2178-17C3-D0EB2B644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9908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3387</xdr:row>
      <xdr:rowOff>0</xdr:rowOff>
    </xdr:from>
    <xdr:to>
      <xdr:col>13</xdr:col>
      <xdr:colOff>0</xdr:colOff>
      <xdr:row>3388</xdr:row>
      <xdr:rowOff>114300</xdr:rowOff>
    </xdr:to>
    <xdr:pic>
      <xdr:nvPicPr>
        <xdr:cNvPr id="3760" name="Imagen 3759" descr="Ver detalle">
          <a:hlinkClick xmlns:r="http://schemas.openxmlformats.org/officeDocument/2006/relationships" r:id="rId3701" tooltip="Ver detalle"/>
          <a:extLst>
            <a:ext uri="{FF2B5EF4-FFF2-40B4-BE49-F238E27FC236}">
              <a16:creationId xmlns:a16="http://schemas.microsoft.com/office/drawing/2014/main" id="{176E1A35-8B7C-02BE-7430-C8B85B2F2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0023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3388</xdr:row>
      <xdr:rowOff>0</xdr:rowOff>
    </xdr:from>
    <xdr:to>
      <xdr:col>13</xdr:col>
      <xdr:colOff>0</xdr:colOff>
      <xdr:row>3389</xdr:row>
      <xdr:rowOff>114300</xdr:rowOff>
    </xdr:to>
    <xdr:pic>
      <xdr:nvPicPr>
        <xdr:cNvPr id="3761" name="Imagen 3760" descr="Ver detalle">
          <a:hlinkClick xmlns:r="http://schemas.openxmlformats.org/officeDocument/2006/relationships" r:id="rId3702" tooltip="Ver detalle"/>
          <a:extLst>
            <a:ext uri="{FF2B5EF4-FFF2-40B4-BE49-F238E27FC236}">
              <a16:creationId xmlns:a16="http://schemas.microsoft.com/office/drawing/2014/main" id="{1EF89B27-83AC-8ADA-A708-E0AB83708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0137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3389</xdr:row>
      <xdr:rowOff>0</xdr:rowOff>
    </xdr:from>
    <xdr:to>
      <xdr:col>13</xdr:col>
      <xdr:colOff>0</xdr:colOff>
      <xdr:row>3390</xdr:row>
      <xdr:rowOff>114300</xdr:rowOff>
    </xdr:to>
    <xdr:pic>
      <xdr:nvPicPr>
        <xdr:cNvPr id="3762" name="Imagen 3761" descr="Ver detalle">
          <a:hlinkClick xmlns:r="http://schemas.openxmlformats.org/officeDocument/2006/relationships" r:id="rId3703" tooltip="Ver detalle"/>
          <a:extLst>
            <a:ext uri="{FF2B5EF4-FFF2-40B4-BE49-F238E27FC236}">
              <a16:creationId xmlns:a16="http://schemas.microsoft.com/office/drawing/2014/main" id="{144818F0-61DC-5623-ABFC-6C217B28A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0251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3390</xdr:row>
      <xdr:rowOff>0</xdr:rowOff>
    </xdr:from>
    <xdr:to>
      <xdr:col>13</xdr:col>
      <xdr:colOff>0</xdr:colOff>
      <xdr:row>3391</xdr:row>
      <xdr:rowOff>114300</xdr:rowOff>
    </xdr:to>
    <xdr:pic>
      <xdr:nvPicPr>
        <xdr:cNvPr id="3763" name="Imagen 3762" descr="Ver detalle">
          <a:hlinkClick xmlns:r="http://schemas.openxmlformats.org/officeDocument/2006/relationships" r:id="rId3704" tooltip="Ver detalle"/>
          <a:extLst>
            <a:ext uri="{FF2B5EF4-FFF2-40B4-BE49-F238E27FC236}">
              <a16:creationId xmlns:a16="http://schemas.microsoft.com/office/drawing/2014/main" id="{A945E554-89B5-34E7-2E75-04B5099D3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0495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3391</xdr:row>
      <xdr:rowOff>0</xdr:rowOff>
    </xdr:from>
    <xdr:to>
      <xdr:col>13</xdr:col>
      <xdr:colOff>0</xdr:colOff>
      <xdr:row>3392</xdr:row>
      <xdr:rowOff>114300</xdr:rowOff>
    </xdr:to>
    <xdr:pic>
      <xdr:nvPicPr>
        <xdr:cNvPr id="3764" name="Imagen 3763" descr="Ver detalle">
          <a:hlinkClick xmlns:r="http://schemas.openxmlformats.org/officeDocument/2006/relationships" r:id="rId3705" tooltip="Ver detalle"/>
          <a:extLst>
            <a:ext uri="{FF2B5EF4-FFF2-40B4-BE49-F238E27FC236}">
              <a16:creationId xmlns:a16="http://schemas.microsoft.com/office/drawing/2014/main" id="{90B376B7-B261-BB14-C76C-31EC180B8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0739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3392</xdr:row>
      <xdr:rowOff>0</xdr:rowOff>
    </xdr:from>
    <xdr:to>
      <xdr:col>13</xdr:col>
      <xdr:colOff>0</xdr:colOff>
      <xdr:row>3393</xdr:row>
      <xdr:rowOff>114300</xdr:rowOff>
    </xdr:to>
    <xdr:pic>
      <xdr:nvPicPr>
        <xdr:cNvPr id="3765" name="Imagen 3764" descr="Ver detalle">
          <a:hlinkClick xmlns:r="http://schemas.openxmlformats.org/officeDocument/2006/relationships" r:id="rId3706" tooltip="Ver detalle"/>
          <a:extLst>
            <a:ext uri="{FF2B5EF4-FFF2-40B4-BE49-F238E27FC236}">
              <a16:creationId xmlns:a16="http://schemas.microsoft.com/office/drawing/2014/main" id="{4AA19DBB-DAA7-E719-2EBF-2D9425E72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0983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3393</xdr:row>
      <xdr:rowOff>0</xdr:rowOff>
    </xdr:from>
    <xdr:to>
      <xdr:col>13</xdr:col>
      <xdr:colOff>0</xdr:colOff>
      <xdr:row>3394</xdr:row>
      <xdr:rowOff>114300</xdr:rowOff>
    </xdr:to>
    <xdr:pic>
      <xdr:nvPicPr>
        <xdr:cNvPr id="3766" name="Imagen 3765" descr="Ver detalle">
          <a:hlinkClick xmlns:r="http://schemas.openxmlformats.org/officeDocument/2006/relationships" r:id="rId3707" tooltip="Ver detalle"/>
          <a:extLst>
            <a:ext uri="{FF2B5EF4-FFF2-40B4-BE49-F238E27FC236}">
              <a16:creationId xmlns:a16="http://schemas.microsoft.com/office/drawing/2014/main" id="{4AFE9090-9CBB-3A9A-E9CF-6C9B42AFD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1226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3394</xdr:row>
      <xdr:rowOff>0</xdr:rowOff>
    </xdr:from>
    <xdr:to>
      <xdr:col>13</xdr:col>
      <xdr:colOff>0</xdr:colOff>
      <xdr:row>3395</xdr:row>
      <xdr:rowOff>114300</xdr:rowOff>
    </xdr:to>
    <xdr:pic>
      <xdr:nvPicPr>
        <xdr:cNvPr id="3767" name="Imagen 3766" descr="Ver detalle">
          <a:hlinkClick xmlns:r="http://schemas.openxmlformats.org/officeDocument/2006/relationships" r:id="rId3708" tooltip="Ver detalle"/>
          <a:extLst>
            <a:ext uri="{FF2B5EF4-FFF2-40B4-BE49-F238E27FC236}">
              <a16:creationId xmlns:a16="http://schemas.microsoft.com/office/drawing/2014/main" id="{3D239425-D841-5D9D-478E-01C6509CF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1470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3395</xdr:row>
      <xdr:rowOff>0</xdr:rowOff>
    </xdr:from>
    <xdr:to>
      <xdr:col>13</xdr:col>
      <xdr:colOff>0</xdr:colOff>
      <xdr:row>3396</xdr:row>
      <xdr:rowOff>114300</xdr:rowOff>
    </xdr:to>
    <xdr:pic>
      <xdr:nvPicPr>
        <xdr:cNvPr id="3768" name="Imagen 3767" descr="Ver detalle">
          <a:hlinkClick xmlns:r="http://schemas.openxmlformats.org/officeDocument/2006/relationships" r:id="rId3709" tooltip="Ver detalle"/>
          <a:extLst>
            <a:ext uri="{FF2B5EF4-FFF2-40B4-BE49-F238E27FC236}">
              <a16:creationId xmlns:a16="http://schemas.microsoft.com/office/drawing/2014/main" id="{5E992A48-A313-E90A-EF26-C6F619952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1585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3396</xdr:row>
      <xdr:rowOff>0</xdr:rowOff>
    </xdr:from>
    <xdr:to>
      <xdr:col>13</xdr:col>
      <xdr:colOff>0</xdr:colOff>
      <xdr:row>3397</xdr:row>
      <xdr:rowOff>104775</xdr:rowOff>
    </xdr:to>
    <xdr:pic>
      <xdr:nvPicPr>
        <xdr:cNvPr id="3769" name="Imagen 3768" descr="Ver detalle">
          <a:hlinkClick xmlns:r="http://schemas.openxmlformats.org/officeDocument/2006/relationships" r:id="rId3710" tooltip="Ver detalle"/>
          <a:extLst>
            <a:ext uri="{FF2B5EF4-FFF2-40B4-BE49-F238E27FC236}">
              <a16:creationId xmlns:a16="http://schemas.microsoft.com/office/drawing/2014/main" id="{7D677EE9-343E-CA56-1B2F-4160D8BD5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1828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3399</xdr:row>
      <xdr:rowOff>0</xdr:rowOff>
    </xdr:from>
    <xdr:to>
      <xdr:col>13</xdr:col>
      <xdr:colOff>0</xdr:colOff>
      <xdr:row>3400</xdr:row>
      <xdr:rowOff>114300</xdr:rowOff>
    </xdr:to>
    <xdr:pic>
      <xdr:nvPicPr>
        <xdr:cNvPr id="3770" name="Imagen 3769" descr="Ver detalle">
          <a:hlinkClick xmlns:r="http://schemas.openxmlformats.org/officeDocument/2006/relationships" r:id="rId3711" tooltip="Ver detalle"/>
          <a:extLst>
            <a:ext uri="{FF2B5EF4-FFF2-40B4-BE49-F238E27FC236}">
              <a16:creationId xmlns:a16="http://schemas.microsoft.com/office/drawing/2014/main" id="{107DD3F0-E355-7687-D0C1-7629A0E8C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2072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3400</xdr:row>
      <xdr:rowOff>0</xdr:rowOff>
    </xdr:from>
    <xdr:to>
      <xdr:col>13</xdr:col>
      <xdr:colOff>0</xdr:colOff>
      <xdr:row>3401</xdr:row>
      <xdr:rowOff>114300</xdr:rowOff>
    </xdr:to>
    <xdr:pic>
      <xdr:nvPicPr>
        <xdr:cNvPr id="3771" name="Imagen 3770" descr="Ver detalle">
          <a:hlinkClick xmlns:r="http://schemas.openxmlformats.org/officeDocument/2006/relationships" r:id="rId3712" tooltip="Ver detalle"/>
          <a:extLst>
            <a:ext uri="{FF2B5EF4-FFF2-40B4-BE49-F238E27FC236}">
              <a16:creationId xmlns:a16="http://schemas.microsoft.com/office/drawing/2014/main" id="{E2FAF92E-4F3F-5583-1196-FF1309B9B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2316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3401</xdr:row>
      <xdr:rowOff>0</xdr:rowOff>
    </xdr:from>
    <xdr:to>
      <xdr:col>13</xdr:col>
      <xdr:colOff>0</xdr:colOff>
      <xdr:row>3402</xdr:row>
      <xdr:rowOff>114300</xdr:rowOff>
    </xdr:to>
    <xdr:pic>
      <xdr:nvPicPr>
        <xdr:cNvPr id="3772" name="Imagen 3771" descr="Ver detalle">
          <a:hlinkClick xmlns:r="http://schemas.openxmlformats.org/officeDocument/2006/relationships" r:id="rId3713" tooltip="Ver detalle"/>
          <a:extLst>
            <a:ext uri="{FF2B5EF4-FFF2-40B4-BE49-F238E27FC236}">
              <a16:creationId xmlns:a16="http://schemas.microsoft.com/office/drawing/2014/main" id="{1C3958CD-5088-24A8-C5F9-4A3D28DD2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2560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3402</xdr:row>
      <xdr:rowOff>0</xdr:rowOff>
    </xdr:from>
    <xdr:to>
      <xdr:col>13</xdr:col>
      <xdr:colOff>0</xdr:colOff>
      <xdr:row>3403</xdr:row>
      <xdr:rowOff>114300</xdr:rowOff>
    </xdr:to>
    <xdr:pic>
      <xdr:nvPicPr>
        <xdr:cNvPr id="3773" name="Imagen 3772" descr="Ver detalle">
          <a:hlinkClick xmlns:r="http://schemas.openxmlformats.org/officeDocument/2006/relationships" r:id="rId3714" tooltip="Ver detalle"/>
          <a:extLst>
            <a:ext uri="{FF2B5EF4-FFF2-40B4-BE49-F238E27FC236}">
              <a16:creationId xmlns:a16="http://schemas.microsoft.com/office/drawing/2014/main" id="{F9F517F4-DCEC-3486-5383-EC4CAA44F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2804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3403</xdr:row>
      <xdr:rowOff>0</xdr:rowOff>
    </xdr:from>
    <xdr:to>
      <xdr:col>13</xdr:col>
      <xdr:colOff>0</xdr:colOff>
      <xdr:row>3404</xdr:row>
      <xdr:rowOff>114300</xdr:rowOff>
    </xdr:to>
    <xdr:pic>
      <xdr:nvPicPr>
        <xdr:cNvPr id="3774" name="Imagen 3773" descr="Ver detalle">
          <a:hlinkClick xmlns:r="http://schemas.openxmlformats.org/officeDocument/2006/relationships" r:id="rId3715" tooltip="Ver detalle"/>
          <a:extLst>
            <a:ext uri="{FF2B5EF4-FFF2-40B4-BE49-F238E27FC236}">
              <a16:creationId xmlns:a16="http://schemas.microsoft.com/office/drawing/2014/main" id="{2F1DE9E0-5F11-EFA3-F493-3D6F571C1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3048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3404</xdr:row>
      <xdr:rowOff>0</xdr:rowOff>
    </xdr:from>
    <xdr:to>
      <xdr:col>13</xdr:col>
      <xdr:colOff>0</xdr:colOff>
      <xdr:row>3405</xdr:row>
      <xdr:rowOff>114300</xdr:rowOff>
    </xdr:to>
    <xdr:pic>
      <xdr:nvPicPr>
        <xdr:cNvPr id="3775" name="Imagen 3774" descr="Ver detalle">
          <a:hlinkClick xmlns:r="http://schemas.openxmlformats.org/officeDocument/2006/relationships" r:id="rId3716" tooltip="Ver detalle"/>
          <a:extLst>
            <a:ext uri="{FF2B5EF4-FFF2-40B4-BE49-F238E27FC236}">
              <a16:creationId xmlns:a16="http://schemas.microsoft.com/office/drawing/2014/main" id="{520CF28A-37C4-A6AF-BCB4-D43D169C2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329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3405</xdr:row>
      <xdr:rowOff>0</xdr:rowOff>
    </xdr:from>
    <xdr:to>
      <xdr:col>13</xdr:col>
      <xdr:colOff>0</xdr:colOff>
      <xdr:row>3406</xdr:row>
      <xdr:rowOff>114300</xdr:rowOff>
    </xdr:to>
    <xdr:pic>
      <xdr:nvPicPr>
        <xdr:cNvPr id="3776" name="Imagen 3775" descr="Ver detalle">
          <a:hlinkClick xmlns:r="http://schemas.openxmlformats.org/officeDocument/2006/relationships" r:id="rId3717" tooltip="Ver detalle"/>
          <a:extLst>
            <a:ext uri="{FF2B5EF4-FFF2-40B4-BE49-F238E27FC236}">
              <a16:creationId xmlns:a16="http://schemas.microsoft.com/office/drawing/2014/main" id="{66AE4D85-C6E1-416C-03E6-6F462A57C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3535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3406</xdr:row>
      <xdr:rowOff>0</xdr:rowOff>
    </xdr:from>
    <xdr:to>
      <xdr:col>13</xdr:col>
      <xdr:colOff>0</xdr:colOff>
      <xdr:row>3407</xdr:row>
      <xdr:rowOff>114300</xdr:rowOff>
    </xdr:to>
    <xdr:pic>
      <xdr:nvPicPr>
        <xdr:cNvPr id="3777" name="Imagen 3776" descr="Ver detalle">
          <a:hlinkClick xmlns:r="http://schemas.openxmlformats.org/officeDocument/2006/relationships" r:id="rId3718" tooltip="Ver detalle"/>
          <a:extLst>
            <a:ext uri="{FF2B5EF4-FFF2-40B4-BE49-F238E27FC236}">
              <a16:creationId xmlns:a16="http://schemas.microsoft.com/office/drawing/2014/main" id="{09605CE4-F141-BE98-1537-AFEF7BDA3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3698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3407</xdr:row>
      <xdr:rowOff>0</xdr:rowOff>
    </xdr:from>
    <xdr:to>
      <xdr:col>13</xdr:col>
      <xdr:colOff>0</xdr:colOff>
      <xdr:row>3408</xdr:row>
      <xdr:rowOff>114300</xdr:rowOff>
    </xdr:to>
    <xdr:pic>
      <xdr:nvPicPr>
        <xdr:cNvPr id="3778" name="Imagen 3777" descr="Ver detalle">
          <a:hlinkClick xmlns:r="http://schemas.openxmlformats.org/officeDocument/2006/relationships" r:id="rId3719" tooltip="Ver detalle"/>
          <a:extLst>
            <a:ext uri="{FF2B5EF4-FFF2-40B4-BE49-F238E27FC236}">
              <a16:creationId xmlns:a16="http://schemas.microsoft.com/office/drawing/2014/main" id="{D3B81724-C102-1064-3D54-A59033514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3861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3408</xdr:row>
      <xdr:rowOff>0</xdr:rowOff>
    </xdr:from>
    <xdr:to>
      <xdr:col>13</xdr:col>
      <xdr:colOff>0</xdr:colOff>
      <xdr:row>3409</xdr:row>
      <xdr:rowOff>114300</xdr:rowOff>
    </xdr:to>
    <xdr:pic>
      <xdr:nvPicPr>
        <xdr:cNvPr id="3779" name="Imagen 3778" descr="Ver detalle">
          <a:hlinkClick xmlns:r="http://schemas.openxmlformats.org/officeDocument/2006/relationships" r:id="rId3720" tooltip="Ver detalle"/>
          <a:extLst>
            <a:ext uri="{FF2B5EF4-FFF2-40B4-BE49-F238E27FC236}">
              <a16:creationId xmlns:a16="http://schemas.microsoft.com/office/drawing/2014/main" id="{CEA754FD-EB8D-2636-9F9C-92FF76E32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4024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3410</xdr:row>
      <xdr:rowOff>0</xdr:rowOff>
    </xdr:from>
    <xdr:to>
      <xdr:col>13</xdr:col>
      <xdr:colOff>0</xdr:colOff>
      <xdr:row>3411</xdr:row>
      <xdr:rowOff>114300</xdr:rowOff>
    </xdr:to>
    <xdr:pic>
      <xdr:nvPicPr>
        <xdr:cNvPr id="3780" name="Imagen 3779" descr="Ver detalle">
          <a:hlinkClick xmlns:r="http://schemas.openxmlformats.org/officeDocument/2006/relationships" r:id="rId3721" tooltip="Ver detalle"/>
          <a:extLst>
            <a:ext uri="{FF2B5EF4-FFF2-40B4-BE49-F238E27FC236}">
              <a16:creationId xmlns:a16="http://schemas.microsoft.com/office/drawing/2014/main" id="{41438A16-7C76-7989-17CC-136F320B1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4512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3411</xdr:row>
      <xdr:rowOff>0</xdr:rowOff>
    </xdr:from>
    <xdr:to>
      <xdr:col>13</xdr:col>
      <xdr:colOff>0</xdr:colOff>
      <xdr:row>3412</xdr:row>
      <xdr:rowOff>114300</xdr:rowOff>
    </xdr:to>
    <xdr:pic>
      <xdr:nvPicPr>
        <xdr:cNvPr id="3781" name="Imagen 3780" descr="Ver detalle">
          <a:hlinkClick xmlns:r="http://schemas.openxmlformats.org/officeDocument/2006/relationships" r:id="rId3722" tooltip="Ver detalle"/>
          <a:extLst>
            <a:ext uri="{FF2B5EF4-FFF2-40B4-BE49-F238E27FC236}">
              <a16:creationId xmlns:a16="http://schemas.microsoft.com/office/drawing/2014/main" id="{C2420DBE-A5ED-4BF1-DA40-5AC96F877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4626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3412</xdr:row>
      <xdr:rowOff>0</xdr:rowOff>
    </xdr:from>
    <xdr:to>
      <xdr:col>13</xdr:col>
      <xdr:colOff>0</xdr:colOff>
      <xdr:row>3413</xdr:row>
      <xdr:rowOff>114300</xdr:rowOff>
    </xdr:to>
    <xdr:pic>
      <xdr:nvPicPr>
        <xdr:cNvPr id="3782" name="Imagen 3781" descr="Ver detalle">
          <a:hlinkClick xmlns:r="http://schemas.openxmlformats.org/officeDocument/2006/relationships" r:id="rId3723" tooltip="Ver detalle"/>
          <a:extLst>
            <a:ext uri="{FF2B5EF4-FFF2-40B4-BE49-F238E27FC236}">
              <a16:creationId xmlns:a16="http://schemas.microsoft.com/office/drawing/2014/main" id="{4E21FADB-9163-4987-9F94-9DFF2BBFA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4870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3413</xdr:row>
      <xdr:rowOff>0</xdr:rowOff>
    </xdr:from>
    <xdr:to>
      <xdr:col>13</xdr:col>
      <xdr:colOff>0</xdr:colOff>
      <xdr:row>3414</xdr:row>
      <xdr:rowOff>114300</xdr:rowOff>
    </xdr:to>
    <xdr:pic>
      <xdr:nvPicPr>
        <xdr:cNvPr id="3783" name="Imagen 3782" descr="Ver detalle">
          <a:hlinkClick xmlns:r="http://schemas.openxmlformats.org/officeDocument/2006/relationships" r:id="rId3724" tooltip="Ver detalle"/>
          <a:extLst>
            <a:ext uri="{FF2B5EF4-FFF2-40B4-BE49-F238E27FC236}">
              <a16:creationId xmlns:a16="http://schemas.microsoft.com/office/drawing/2014/main" id="{9E7C200B-DCF8-F6C4-C887-36274A8AF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5000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3414</xdr:row>
      <xdr:rowOff>0</xdr:rowOff>
    </xdr:from>
    <xdr:to>
      <xdr:col>13</xdr:col>
      <xdr:colOff>0</xdr:colOff>
      <xdr:row>3415</xdr:row>
      <xdr:rowOff>114300</xdr:rowOff>
    </xdr:to>
    <xdr:pic>
      <xdr:nvPicPr>
        <xdr:cNvPr id="3784" name="Imagen 3783" descr="Ver detalle">
          <a:hlinkClick xmlns:r="http://schemas.openxmlformats.org/officeDocument/2006/relationships" r:id="rId3725" tooltip="Ver detalle"/>
          <a:extLst>
            <a:ext uri="{FF2B5EF4-FFF2-40B4-BE49-F238E27FC236}">
              <a16:creationId xmlns:a16="http://schemas.microsoft.com/office/drawing/2014/main" id="{754B9F71-2ECA-7BED-7AF9-5736B3CCA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5244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3415</xdr:row>
      <xdr:rowOff>0</xdr:rowOff>
    </xdr:from>
    <xdr:to>
      <xdr:col>13</xdr:col>
      <xdr:colOff>0</xdr:colOff>
      <xdr:row>3416</xdr:row>
      <xdr:rowOff>114300</xdr:rowOff>
    </xdr:to>
    <xdr:pic>
      <xdr:nvPicPr>
        <xdr:cNvPr id="3785" name="Imagen 3784" descr="Ver detalle">
          <a:hlinkClick xmlns:r="http://schemas.openxmlformats.org/officeDocument/2006/relationships" r:id="rId3726" tooltip="Ver detalle"/>
          <a:extLst>
            <a:ext uri="{FF2B5EF4-FFF2-40B4-BE49-F238E27FC236}">
              <a16:creationId xmlns:a16="http://schemas.microsoft.com/office/drawing/2014/main" id="{1C835EEB-794E-EE07-1261-DCC0B5B78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5488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3416</xdr:row>
      <xdr:rowOff>0</xdr:rowOff>
    </xdr:from>
    <xdr:to>
      <xdr:col>13</xdr:col>
      <xdr:colOff>0</xdr:colOff>
      <xdr:row>3417</xdr:row>
      <xdr:rowOff>114300</xdr:rowOff>
    </xdr:to>
    <xdr:pic>
      <xdr:nvPicPr>
        <xdr:cNvPr id="3786" name="Imagen 3785" descr="Ver detalle">
          <a:hlinkClick xmlns:r="http://schemas.openxmlformats.org/officeDocument/2006/relationships" r:id="rId3727" tooltip="Ver detalle"/>
          <a:extLst>
            <a:ext uri="{FF2B5EF4-FFF2-40B4-BE49-F238E27FC236}">
              <a16:creationId xmlns:a16="http://schemas.microsoft.com/office/drawing/2014/main" id="{1E230551-5242-2075-4CA9-427158A91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5732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3417</xdr:row>
      <xdr:rowOff>0</xdr:rowOff>
    </xdr:from>
    <xdr:to>
      <xdr:col>13</xdr:col>
      <xdr:colOff>0</xdr:colOff>
      <xdr:row>3418</xdr:row>
      <xdr:rowOff>114300</xdr:rowOff>
    </xdr:to>
    <xdr:pic>
      <xdr:nvPicPr>
        <xdr:cNvPr id="3787" name="Imagen 3786" descr="Ver detalle">
          <a:hlinkClick xmlns:r="http://schemas.openxmlformats.org/officeDocument/2006/relationships" r:id="rId3728" tooltip="Ver detalle"/>
          <a:extLst>
            <a:ext uri="{FF2B5EF4-FFF2-40B4-BE49-F238E27FC236}">
              <a16:creationId xmlns:a16="http://schemas.microsoft.com/office/drawing/2014/main" id="{12731D65-EF09-F285-0237-7348B4DF2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5976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3418</xdr:row>
      <xdr:rowOff>0</xdr:rowOff>
    </xdr:from>
    <xdr:to>
      <xdr:col>13</xdr:col>
      <xdr:colOff>0</xdr:colOff>
      <xdr:row>3419</xdr:row>
      <xdr:rowOff>114300</xdr:rowOff>
    </xdr:to>
    <xdr:pic>
      <xdr:nvPicPr>
        <xdr:cNvPr id="3788" name="Imagen 3787" descr="Ver detalle">
          <a:hlinkClick xmlns:r="http://schemas.openxmlformats.org/officeDocument/2006/relationships" r:id="rId3729" tooltip="Ver detalle"/>
          <a:extLst>
            <a:ext uri="{FF2B5EF4-FFF2-40B4-BE49-F238E27FC236}">
              <a16:creationId xmlns:a16="http://schemas.microsoft.com/office/drawing/2014/main" id="{1EAA954C-5E67-7D3B-8D05-144CB08DF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6220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3419</xdr:row>
      <xdr:rowOff>0</xdr:rowOff>
    </xdr:from>
    <xdr:to>
      <xdr:col>13</xdr:col>
      <xdr:colOff>0</xdr:colOff>
      <xdr:row>3420</xdr:row>
      <xdr:rowOff>114300</xdr:rowOff>
    </xdr:to>
    <xdr:pic>
      <xdr:nvPicPr>
        <xdr:cNvPr id="3789" name="Imagen 3788" descr="Ver detalle">
          <a:hlinkClick xmlns:r="http://schemas.openxmlformats.org/officeDocument/2006/relationships" r:id="rId3730" tooltip="Ver detalle"/>
          <a:extLst>
            <a:ext uri="{FF2B5EF4-FFF2-40B4-BE49-F238E27FC236}">
              <a16:creationId xmlns:a16="http://schemas.microsoft.com/office/drawing/2014/main" id="{D1F61402-04B8-3EAA-9E6A-1059BF799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6463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3420</xdr:row>
      <xdr:rowOff>0</xdr:rowOff>
    </xdr:from>
    <xdr:to>
      <xdr:col>13</xdr:col>
      <xdr:colOff>0</xdr:colOff>
      <xdr:row>3421</xdr:row>
      <xdr:rowOff>114300</xdr:rowOff>
    </xdr:to>
    <xdr:pic>
      <xdr:nvPicPr>
        <xdr:cNvPr id="3790" name="Imagen 3789" descr="Ver detalle">
          <a:hlinkClick xmlns:r="http://schemas.openxmlformats.org/officeDocument/2006/relationships" r:id="rId3731" tooltip="Ver detalle"/>
          <a:extLst>
            <a:ext uri="{FF2B5EF4-FFF2-40B4-BE49-F238E27FC236}">
              <a16:creationId xmlns:a16="http://schemas.microsoft.com/office/drawing/2014/main" id="{80397B53-E821-A461-7942-0718C69FC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6707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3421</xdr:row>
      <xdr:rowOff>0</xdr:rowOff>
    </xdr:from>
    <xdr:to>
      <xdr:col>13</xdr:col>
      <xdr:colOff>0</xdr:colOff>
      <xdr:row>3422</xdr:row>
      <xdr:rowOff>114300</xdr:rowOff>
    </xdr:to>
    <xdr:pic>
      <xdr:nvPicPr>
        <xdr:cNvPr id="3791" name="Imagen 3790" descr="Ver detalle">
          <a:hlinkClick xmlns:r="http://schemas.openxmlformats.org/officeDocument/2006/relationships" r:id="rId3732" tooltip="Ver detalle"/>
          <a:extLst>
            <a:ext uri="{FF2B5EF4-FFF2-40B4-BE49-F238E27FC236}">
              <a16:creationId xmlns:a16="http://schemas.microsoft.com/office/drawing/2014/main" id="{FB622193-ABBB-58AB-7491-AE866EAD7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6951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3422</xdr:row>
      <xdr:rowOff>0</xdr:rowOff>
    </xdr:from>
    <xdr:to>
      <xdr:col>13</xdr:col>
      <xdr:colOff>0</xdr:colOff>
      <xdr:row>3423</xdr:row>
      <xdr:rowOff>114300</xdr:rowOff>
    </xdr:to>
    <xdr:pic>
      <xdr:nvPicPr>
        <xdr:cNvPr id="3792" name="Imagen 3791" descr="Ver detalle">
          <a:hlinkClick xmlns:r="http://schemas.openxmlformats.org/officeDocument/2006/relationships" r:id="rId3733" tooltip="Ver detalle"/>
          <a:extLst>
            <a:ext uri="{FF2B5EF4-FFF2-40B4-BE49-F238E27FC236}">
              <a16:creationId xmlns:a16="http://schemas.microsoft.com/office/drawing/2014/main" id="{FBE0FEE0-3CCE-3005-7F3B-A3BB2A7A8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7195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3423</xdr:row>
      <xdr:rowOff>0</xdr:rowOff>
    </xdr:from>
    <xdr:to>
      <xdr:col>13</xdr:col>
      <xdr:colOff>0</xdr:colOff>
      <xdr:row>3424</xdr:row>
      <xdr:rowOff>114300</xdr:rowOff>
    </xdr:to>
    <xdr:pic>
      <xdr:nvPicPr>
        <xdr:cNvPr id="3793" name="Imagen 3792" descr="Ver detalle">
          <a:hlinkClick xmlns:r="http://schemas.openxmlformats.org/officeDocument/2006/relationships" r:id="rId3734" tooltip="Ver detalle"/>
          <a:extLst>
            <a:ext uri="{FF2B5EF4-FFF2-40B4-BE49-F238E27FC236}">
              <a16:creationId xmlns:a16="http://schemas.microsoft.com/office/drawing/2014/main" id="{A925375D-B3DB-E382-15A2-D82460C87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7439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3424</xdr:row>
      <xdr:rowOff>0</xdr:rowOff>
    </xdr:from>
    <xdr:to>
      <xdr:col>13</xdr:col>
      <xdr:colOff>0</xdr:colOff>
      <xdr:row>3425</xdr:row>
      <xdr:rowOff>114300</xdr:rowOff>
    </xdr:to>
    <xdr:pic>
      <xdr:nvPicPr>
        <xdr:cNvPr id="3794" name="Imagen 3793" descr="Ver detalle">
          <a:hlinkClick xmlns:r="http://schemas.openxmlformats.org/officeDocument/2006/relationships" r:id="rId3735" tooltip="Ver detalle"/>
          <a:extLst>
            <a:ext uri="{FF2B5EF4-FFF2-40B4-BE49-F238E27FC236}">
              <a16:creationId xmlns:a16="http://schemas.microsoft.com/office/drawing/2014/main" id="{0722869A-7AFA-2E30-D09A-C657E6A47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7602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3425</xdr:row>
      <xdr:rowOff>0</xdr:rowOff>
    </xdr:from>
    <xdr:to>
      <xdr:col>13</xdr:col>
      <xdr:colOff>0</xdr:colOff>
      <xdr:row>3426</xdr:row>
      <xdr:rowOff>114300</xdr:rowOff>
    </xdr:to>
    <xdr:pic>
      <xdr:nvPicPr>
        <xdr:cNvPr id="3795" name="Imagen 3794" descr="Ver detalle">
          <a:hlinkClick xmlns:r="http://schemas.openxmlformats.org/officeDocument/2006/relationships" r:id="rId3736" tooltip="Ver detalle"/>
          <a:extLst>
            <a:ext uri="{FF2B5EF4-FFF2-40B4-BE49-F238E27FC236}">
              <a16:creationId xmlns:a16="http://schemas.microsoft.com/office/drawing/2014/main" id="{023E1E77-35F6-F37B-5673-86F070466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7845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3426</xdr:row>
      <xdr:rowOff>0</xdr:rowOff>
    </xdr:from>
    <xdr:to>
      <xdr:col>13</xdr:col>
      <xdr:colOff>0</xdr:colOff>
      <xdr:row>3427</xdr:row>
      <xdr:rowOff>114300</xdr:rowOff>
    </xdr:to>
    <xdr:pic>
      <xdr:nvPicPr>
        <xdr:cNvPr id="3796" name="Imagen 3795" descr="Ver detalle">
          <a:hlinkClick xmlns:r="http://schemas.openxmlformats.org/officeDocument/2006/relationships" r:id="rId3737" tooltip="Ver detalle"/>
          <a:extLst>
            <a:ext uri="{FF2B5EF4-FFF2-40B4-BE49-F238E27FC236}">
              <a16:creationId xmlns:a16="http://schemas.microsoft.com/office/drawing/2014/main" id="{49808F85-CAC6-BBA3-8784-08533CAEF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8089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3427</xdr:row>
      <xdr:rowOff>0</xdr:rowOff>
    </xdr:from>
    <xdr:to>
      <xdr:col>13</xdr:col>
      <xdr:colOff>0</xdr:colOff>
      <xdr:row>3428</xdr:row>
      <xdr:rowOff>114300</xdr:rowOff>
    </xdr:to>
    <xdr:pic>
      <xdr:nvPicPr>
        <xdr:cNvPr id="3797" name="Imagen 3796" descr="Ver detalle">
          <a:hlinkClick xmlns:r="http://schemas.openxmlformats.org/officeDocument/2006/relationships" r:id="rId3738" tooltip="Ver detalle"/>
          <a:extLst>
            <a:ext uri="{FF2B5EF4-FFF2-40B4-BE49-F238E27FC236}">
              <a16:creationId xmlns:a16="http://schemas.microsoft.com/office/drawing/2014/main" id="{F29557C3-870D-62F0-FCA0-773DA53C5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8204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3428</xdr:row>
      <xdr:rowOff>0</xdr:rowOff>
    </xdr:from>
    <xdr:to>
      <xdr:col>13</xdr:col>
      <xdr:colOff>0</xdr:colOff>
      <xdr:row>3429</xdr:row>
      <xdr:rowOff>114300</xdr:rowOff>
    </xdr:to>
    <xdr:pic>
      <xdr:nvPicPr>
        <xdr:cNvPr id="3798" name="Imagen 3797" descr="Ver detalle">
          <a:hlinkClick xmlns:r="http://schemas.openxmlformats.org/officeDocument/2006/relationships" r:id="rId3739" tooltip="Ver detalle"/>
          <a:extLst>
            <a:ext uri="{FF2B5EF4-FFF2-40B4-BE49-F238E27FC236}">
              <a16:creationId xmlns:a16="http://schemas.microsoft.com/office/drawing/2014/main" id="{DB1A2E84-8792-2A01-5807-B05E0B5A2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8318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3429</xdr:row>
      <xdr:rowOff>0</xdr:rowOff>
    </xdr:from>
    <xdr:to>
      <xdr:col>13</xdr:col>
      <xdr:colOff>0</xdr:colOff>
      <xdr:row>3430</xdr:row>
      <xdr:rowOff>114300</xdr:rowOff>
    </xdr:to>
    <xdr:pic>
      <xdr:nvPicPr>
        <xdr:cNvPr id="3799" name="Imagen 3798" descr="Ver detalle">
          <a:hlinkClick xmlns:r="http://schemas.openxmlformats.org/officeDocument/2006/relationships" r:id="rId3740" tooltip="Ver detalle"/>
          <a:extLst>
            <a:ext uri="{FF2B5EF4-FFF2-40B4-BE49-F238E27FC236}">
              <a16:creationId xmlns:a16="http://schemas.microsoft.com/office/drawing/2014/main" id="{CFFC91FD-F57A-7D6E-B383-0AD153BD8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8562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3430</xdr:row>
      <xdr:rowOff>0</xdr:rowOff>
    </xdr:from>
    <xdr:to>
      <xdr:col>13</xdr:col>
      <xdr:colOff>0</xdr:colOff>
      <xdr:row>3431</xdr:row>
      <xdr:rowOff>114300</xdr:rowOff>
    </xdr:to>
    <xdr:pic>
      <xdr:nvPicPr>
        <xdr:cNvPr id="3800" name="Imagen 3799" descr="Ver detalle">
          <a:hlinkClick xmlns:r="http://schemas.openxmlformats.org/officeDocument/2006/relationships" r:id="rId3741" tooltip="Ver detalle"/>
          <a:extLst>
            <a:ext uri="{FF2B5EF4-FFF2-40B4-BE49-F238E27FC236}">
              <a16:creationId xmlns:a16="http://schemas.microsoft.com/office/drawing/2014/main" id="{3C9FE6A0-52E9-150E-6D68-5E825C660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88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3497</xdr:row>
      <xdr:rowOff>0</xdr:rowOff>
    </xdr:from>
    <xdr:to>
      <xdr:col>13</xdr:col>
      <xdr:colOff>0</xdr:colOff>
      <xdr:row>3498</xdr:row>
      <xdr:rowOff>114300</xdr:rowOff>
    </xdr:to>
    <xdr:pic>
      <xdr:nvPicPr>
        <xdr:cNvPr id="3801" name="Imagen 3800" descr="Ver detalle">
          <a:hlinkClick xmlns:r="http://schemas.openxmlformats.org/officeDocument/2006/relationships" r:id="rId3742" tooltip="Ver detalle"/>
          <a:extLst>
            <a:ext uri="{FF2B5EF4-FFF2-40B4-BE49-F238E27FC236}">
              <a16:creationId xmlns:a16="http://schemas.microsoft.com/office/drawing/2014/main" id="{F81341B5-4436-E2FB-9B1B-6EBF18894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5788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3498</xdr:row>
      <xdr:rowOff>0</xdr:rowOff>
    </xdr:from>
    <xdr:to>
      <xdr:col>13</xdr:col>
      <xdr:colOff>0</xdr:colOff>
      <xdr:row>3499</xdr:row>
      <xdr:rowOff>114300</xdr:rowOff>
    </xdr:to>
    <xdr:pic>
      <xdr:nvPicPr>
        <xdr:cNvPr id="3802" name="Imagen 3801" descr="Ver detalle">
          <a:hlinkClick xmlns:r="http://schemas.openxmlformats.org/officeDocument/2006/relationships" r:id="rId3743" tooltip="Ver detalle"/>
          <a:extLst>
            <a:ext uri="{FF2B5EF4-FFF2-40B4-BE49-F238E27FC236}">
              <a16:creationId xmlns:a16="http://schemas.microsoft.com/office/drawing/2014/main" id="{E9946220-6036-61BA-6EDF-390135BF7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6032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3499</xdr:row>
      <xdr:rowOff>0</xdr:rowOff>
    </xdr:from>
    <xdr:to>
      <xdr:col>13</xdr:col>
      <xdr:colOff>0</xdr:colOff>
      <xdr:row>3500</xdr:row>
      <xdr:rowOff>104775</xdr:rowOff>
    </xdr:to>
    <xdr:pic>
      <xdr:nvPicPr>
        <xdr:cNvPr id="3803" name="Imagen 3802" descr="Ver detalle">
          <a:hlinkClick xmlns:r="http://schemas.openxmlformats.org/officeDocument/2006/relationships" r:id="rId3744" tooltip="Ver detalle"/>
          <a:extLst>
            <a:ext uri="{FF2B5EF4-FFF2-40B4-BE49-F238E27FC236}">
              <a16:creationId xmlns:a16="http://schemas.microsoft.com/office/drawing/2014/main" id="{77D9EFA4-4696-5FFD-2E69-E46BEBABB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6275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3467</xdr:row>
      <xdr:rowOff>0</xdr:rowOff>
    </xdr:from>
    <xdr:to>
      <xdr:col>13</xdr:col>
      <xdr:colOff>0</xdr:colOff>
      <xdr:row>3468</xdr:row>
      <xdr:rowOff>114300</xdr:rowOff>
    </xdr:to>
    <xdr:pic>
      <xdr:nvPicPr>
        <xdr:cNvPr id="3804" name="Imagen 3803" descr="Ver detalle">
          <a:hlinkClick xmlns:r="http://schemas.openxmlformats.org/officeDocument/2006/relationships" r:id="rId3745" tooltip="Ver detalle"/>
          <a:extLst>
            <a:ext uri="{FF2B5EF4-FFF2-40B4-BE49-F238E27FC236}">
              <a16:creationId xmlns:a16="http://schemas.microsoft.com/office/drawing/2014/main" id="{BC7D13A7-8E94-81B6-9ACB-79F09218D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6519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3468</xdr:row>
      <xdr:rowOff>0</xdr:rowOff>
    </xdr:from>
    <xdr:to>
      <xdr:col>13</xdr:col>
      <xdr:colOff>0</xdr:colOff>
      <xdr:row>3469</xdr:row>
      <xdr:rowOff>114300</xdr:rowOff>
    </xdr:to>
    <xdr:pic>
      <xdr:nvPicPr>
        <xdr:cNvPr id="3805" name="Imagen 3804" descr="Ver detalle">
          <a:hlinkClick xmlns:r="http://schemas.openxmlformats.org/officeDocument/2006/relationships" r:id="rId3746" tooltip="Ver detalle"/>
          <a:extLst>
            <a:ext uri="{FF2B5EF4-FFF2-40B4-BE49-F238E27FC236}">
              <a16:creationId xmlns:a16="http://schemas.microsoft.com/office/drawing/2014/main" id="{9996F3A4-A40F-CB8A-46BF-85616C1A3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6763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3469</xdr:row>
      <xdr:rowOff>0</xdr:rowOff>
    </xdr:from>
    <xdr:to>
      <xdr:col>13</xdr:col>
      <xdr:colOff>0</xdr:colOff>
      <xdr:row>3470</xdr:row>
      <xdr:rowOff>114300</xdr:rowOff>
    </xdr:to>
    <xdr:pic>
      <xdr:nvPicPr>
        <xdr:cNvPr id="3806" name="Imagen 3805" descr="Ver detalle">
          <a:hlinkClick xmlns:r="http://schemas.openxmlformats.org/officeDocument/2006/relationships" r:id="rId3747" tooltip="Ver detalle"/>
          <a:extLst>
            <a:ext uri="{FF2B5EF4-FFF2-40B4-BE49-F238E27FC236}">
              <a16:creationId xmlns:a16="http://schemas.microsoft.com/office/drawing/2014/main" id="{6E28BD12-C16C-8DF0-5EDE-8ACC697A1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7007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3470</xdr:row>
      <xdr:rowOff>0</xdr:rowOff>
    </xdr:from>
    <xdr:to>
      <xdr:col>13</xdr:col>
      <xdr:colOff>0</xdr:colOff>
      <xdr:row>3471</xdr:row>
      <xdr:rowOff>114300</xdr:rowOff>
    </xdr:to>
    <xdr:pic>
      <xdr:nvPicPr>
        <xdr:cNvPr id="3807" name="Imagen 3806" descr="Ver detalle">
          <a:hlinkClick xmlns:r="http://schemas.openxmlformats.org/officeDocument/2006/relationships" r:id="rId3748" tooltip="Ver detalle"/>
          <a:extLst>
            <a:ext uri="{FF2B5EF4-FFF2-40B4-BE49-F238E27FC236}">
              <a16:creationId xmlns:a16="http://schemas.microsoft.com/office/drawing/2014/main" id="{6ABD6F24-36BF-1612-52DC-04780E4FA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7251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3475</xdr:row>
      <xdr:rowOff>0</xdr:rowOff>
    </xdr:from>
    <xdr:to>
      <xdr:col>13</xdr:col>
      <xdr:colOff>0</xdr:colOff>
      <xdr:row>3476</xdr:row>
      <xdr:rowOff>114300</xdr:rowOff>
    </xdr:to>
    <xdr:pic>
      <xdr:nvPicPr>
        <xdr:cNvPr id="3808" name="Imagen 3807" descr="Ver detalle">
          <a:hlinkClick xmlns:r="http://schemas.openxmlformats.org/officeDocument/2006/relationships" r:id="rId3749" tooltip="Ver detalle"/>
          <a:extLst>
            <a:ext uri="{FF2B5EF4-FFF2-40B4-BE49-F238E27FC236}">
              <a16:creationId xmlns:a16="http://schemas.microsoft.com/office/drawing/2014/main" id="{EFBD9BD0-1AE7-86D3-B244-88876D654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7495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3476</xdr:row>
      <xdr:rowOff>0</xdr:rowOff>
    </xdr:from>
    <xdr:to>
      <xdr:col>13</xdr:col>
      <xdr:colOff>0</xdr:colOff>
      <xdr:row>3477</xdr:row>
      <xdr:rowOff>114300</xdr:rowOff>
    </xdr:to>
    <xdr:pic>
      <xdr:nvPicPr>
        <xdr:cNvPr id="3809" name="Imagen 3808" descr="Ver detalle">
          <a:hlinkClick xmlns:r="http://schemas.openxmlformats.org/officeDocument/2006/relationships" r:id="rId3750" tooltip="Ver detalle"/>
          <a:extLst>
            <a:ext uri="{FF2B5EF4-FFF2-40B4-BE49-F238E27FC236}">
              <a16:creationId xmlns:a16="http://schemas.microsoft.com/office/drawing/2014/main" id="{84139A2C-DE10-CD0B-C4FF-44EEAB275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7738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3491</xdr:row>
      <xdr:rowOff>0</xdr:rowOff>
    </xdr:from>
    <xdr:to>
      <xdr:col>13</xdr:col>
      <xdr:colOff>0</xdr:colOff>
      <xdr:row>3492</xdr:row>
      <xdr:rowOff>114300</xdr:rowOff>
    </xdr:to>
    <xdr:pic>
      <xdr:nvPicPr>
        <xdr:cNvPr id="3810" name="Imagen 3809" descr="Ver detalle">
          <a:hlinkClick xmlns:r="http://schemas.openxmlformats.org/officeDocument/2006/relationships" r:id="rId3751" tooltip="Ver detalle"/>
          <a:extLst>
            <a:ext uri="{FF2B5EF4-FFF2-40B4-BE49-F238E27FC236}">
              <a16:creationId xmlns:a16="http://schemas.microsoft.com/office/drawing/2014/main" id="{73C41C34-523F-DB31-2A39-2105D5318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7982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3492</xdr:row>
      <xdr:rowOff>0</xdr:rowOff>
    </xdr:from>
    <xdr:to>
      <xdr:col>13</xdr:col>
      <xdr:colOff>0</xdr:colOff>
      <xdr:row>3493</xdr:row>
      <xdr:rowOff>114300</xdr:rowOff>
    </xdr:to>
    <xdr:pic>
      <xdr:nvPicPr>
        <xdr:cNvPr id="3811" name="Imagen 3810" descr="Ver detalle">
          <a:hlinkClick xmlns:r="http://schemas.openxmlformats.org/officeDocument/2006/relationships" r:id="rId3752" tooltip="Ver detalle"/>
          <a:extLst>
            <a:ext uri="{FF2B5EF4-FFF2-40B4-BE49-F238E27FC236}">
              <a16:creationId xmlns:a16="http://schemas.microsoft.com/office/drawing/2014/main" id="{5C23571A-3213-02A8-2140-6BFE36C33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8226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3493</xdr:row>
      <xdr:rowOff>0</xdr:rowOff>
    </xdr:from>
    <xdr:to>
      <xdr:col>13</xdr:col>
      <xdr:colOff>0</xdr:colOff>
      <xdr:row>3494</xdr:row>
      <xdr:rowOff>114300</xdr:rowOff>
    </xdr:to>
    <xdr:pic>
      <xdr:nvPicPr>
        <xdr:cNvPr id="3812" name="Imagen 3811" descr="Ver detalle">
          <a:hlinkClick xmlns:r="http://schemas.openxmlformats.org/officeDocument/2006/relationships" r:id="rId3753" tooltip="Ver detalle"/>
          <a:extLst>
            <a:ext uri="{FF2B5EF4-FFF2-40B4-BE49-F238E27FC236}">
              <a16:creationId xmlns:a16="http://schemas.microsoft.com/office/drawing/2014/main" id="{79526211-0719-2927-ACA2-3BF3BA8EB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8470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3494</xdr:row>
      <xdr:rowOff>0</xdr:rowOff>
    </xdr:from>
    <xdr:to>
      <xdr:col>13</xdr:col>
      <xdr:colOff>0</xdr:colOff>
      <xdr:row>3495</xdr:row>
      <xdr:rowOff>114300</xdr:rowOff>
    </xdr:to>
    <xdr:pic>
      <xdr:nvPicPr>
        <xdr:cNvPr id="3813" name="Imagen 3812" descr="Ver detalle">
          <a:hlinkClick xmlns:r="http://schemas.openxmlformats.org/officeDocument/2006/relationships" r:id="rId3754" tooltip="Ver detalle"/>
          <a:extLst>
            <a:ext uri="{FF2B5EF4-FFF2-40B4-BE49-F238E27FC236}">
              <a16:creationId xmlns:a16="http://schemas.microsoft.com/office/drawing/2014/main" id="{45DE3349-2DCF-F2BA-72AA-9EC1BF319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8584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3461</xdr:row>
      <xdr:rowOff>0</xdr:rowOff>
    </xdr:from>
    <xdr:to>
      <xdr:col>13</xdr:col>
      <xdr:colOff>0</xdr:colOff>
      <xdr:row>3462</xdr:row>
      <xdr:rowOff>114300</xdr:rowOff>
    </xdr:to>
    <xdr:pic>
      <xdr:nvPicPr>
        <xdr:cNvPr id="3814" name="Imagen 3813" descr="Ver detalle">
          <a:hlinkClick xmlns:r="http://schemas.openxmlformats.org/officeDocument/2006/relationships" r:id="rId3755" tooltip="Ver detalle"/>
          <a:extLst>
            <a:ext uri="{FF2B5EF4-FFF2-40B4-BE49-F238E27FC236}">
              <a16:creationId xmlns:a16="http://schemas.microsoft.com/office/drawing/2014/main" id="{446F647F-DEA6-F31E-E28A-151E55F5D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8699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3477</xdr:row>
      <xdr:rowOff>0</xdr:rowOff>
    </xdr:from>
    <xdr:to>
      <xdr:col>13</xdr:col>
      <xdr:colOff>0</xdr:colOff>
      <xdr:row>3478</xdr:row>
      <xdr:rowOff>104775</xdr:rowOff>
    </xdr:to>
    <xdr:pic>
      <xdr:nvPicPr>
        <xdr:cNvPr id="3815" name="Imagen 3814" descr="Ver detalle">
          <a:hlinkClick xmlns:r="http://schemas.openxmlformats.org/officeDocument/2006/relationships" r:id="rId3756" tooltip="Ver detalle"/>
          <a:extLst>
            <a:ext uri="{FF2B5EF4-FFF2-40B4-BE49-F238E27FC236}">
              <a16:creationId xmlns:a16="http://schemas.microsoft.com/office/drawing/2014/main" id="{31B0017E-4802-F108-630D-6BD969A59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8813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3462</xdr:row>
      <xdr:rowOff>0</xdr:rowOff>
    </xdr:from>
    <xdr:to>
      <xdr:col>13</xdr:col>
      <xdr:colOff>0</xdr:colOff>
      <xdr:row>3463</xdr:row>
      <xdr:rowOff>114300</xdr:rowOff>
    </xdr:to>
    <xdr:pic>
      <xdr:nvPicPr>
        <xdr:cNvPr id="3816" name="Imagen 3815" descr="Ver detalle">
          <a:hlinkClick xmlns:r="http://schemas.openxmlformats.org/officeDocument/2006/relationships" r:id="rId3757" tooltip="Ver detalle"/>
          <a:extLst>
            <a:ext uri="{FF2B5EF4-FFF2-40B4-BE49-F238E27FC236}">
              <a16:creationId xmlns:a16="http://schemas.microsoft.com/office/drawing/2014/main" id="{0F5D572C-D613-8253-EBCD-B3BD18058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9057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3471</xdr:row>
      <xdr:rowOff>0</xdr:rowOff>
    </xdr:from>
    <xdr:to>
      <xdr:col>13</xdr:col>
      <xdr:colOff>0</xdr:colOff>
      <xdr:row>3472</xdr:row>
      <xdr:rowOff>114300</xdr:rowOff>
    </xdr:to>
    <xdr:pic>
      <xdr:nvPicPr>
        <xdr:cNvPr id="3817" name="Imagen 3816" descr="Ver detalle">
          <a:hlinkClick xmlns:r="http://schemas.openxmlformats.org/officeDocument/2006/relationships" r:id="rId3758" tooltip="Ver detalle"/>
          <a:extLst>
            <a:ext uri="{FF2B5EF4-FFF2-40B4-BE49-F238E27FC236}">
              <a16:creationId xmlns:a16="http://schemas.microsoft.com/office/drawing/2014/main" id="{C784F3A2-73DB-7091-1789-302266DB7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9171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3452</xdr:row>
      <xdr:rowOff>0</xdr:rowOff>
    </xdr:from>
    <xdr:to>
      <xdr:col>13</xdr:col>
      <xdr:colOff>0</xdr:colOff>
      <xdr:row>3453</xdr:row>
      <xdr:rowOff>114300</xdr:rowOff>
    </xdr:to>
    <xdr:pic>
      <xdr:nvPicPr>
        <xdr:cNvPr id="3818" name="Imagen 3817" descr="Ver detalle">
          <a:hlinkClick xmlns:r="http://schemas.openxmlformats.org/officeDocument/2006/relationships" r:id="rId3759" tooltip="Ver detalle"/>
          <a:extLst>
            <a:ext uri="{FF2B5EF4-FFF2-40B4-BE49-F238E27FC236}">
              <a16:creationId xmlns:a16="http://schemas.microsoft.com/office/drawing/2014/main" id="{3E0FAA06-18CC-D105-661B-E54690907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9415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3460</xdr:row>
      <xdr:rowOff>0</xdr:rowOff>
    </xdr:from>
    <xdr:to>
      <xdr:col>13</xdr:col>
      <xdr:colOff>0</xdr:colOff>
      <xdr:row>3461</xdr:row>
      <xdr:rowOff>114300</xdr:rowOff>
    </xdr:to>
    <xdr:pic>
      <xdr:nvPicPr>
        <xdr:cNvPr id="3819" name="Imagen 3818" descr="Ver detalle">
          <a:hlinkClick xmlns:r="http://schemas.openxmlformats.org/officeDocument/2006/relationships" r:id="rId3760" tooltip="Ver detalle"/>
          <a:extLst>
            <a:ext uri="{FF2B5EF4-FFF2-40B4-BE49-F238E27FC236}">
              <a16:creationId xmlns:a16="http://schemas.microsoft.com/office/drawing/2014/main" id="{BDC8567F-6228-D2EE-2BFB-52BC88DA9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9529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3463</xdr:row>
      <xdr:rowOff>0</xdr:rowOff>
    </xdr:from>
    <xdr:to>
      <xdr:col>13</xdr:col>
      <xdr:colOff>0</xdr:colOff>
      <xdr:row>3464</xdr:row>
      <xdr:rowOff>114300</xdr:rowOff>
    </xdr:to>
    <xdr:pic>
      <xdr:nvPicPr>
        <xdr:cNvPr id="3820" name="Imagen 3819" descr="Ver detalle">
          <a:hlinkClick xmlns:r="http://schemas.openxmlformats.org/officeDocument/2006/relationships" r:id="rId3761" tooltip="Ver detalle"/>
          <a:extLst>
            <a:ext uri="{FF2B5EF4-FFF2-40B4-BE49-F238E27FC236}">
              <a16:creationId xmlns:a16="http://schemas.microsoft.com/office/drawing/2014/main" id="{EF34F7A5-471A-682F-BA11-DB82E36B4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9773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3464</xdr:row>
      <xdr:rowOff>0</xdr:rowOff>
    </xdr:from>
    <xdr:to>
      <xdr:col>13</xdr:col>
      <xdr:colOff>0</xdr:colOff>
      <xdr:row>3465</xdr:row>
      <xdr:rowOff>114300</xdr:rowOff>
    </xdr:to>
    <xdr:pic>
      <xdr:nvPicPr>
        <xdr:cNvPr id="3821" name="Imagen 3820" descr="Ver detalle">
          <a:hlinkClick xmlns:r="http://schemas.openxmlformats.org/officeDocument/2006/relationships" r:id="rId3762" tooltip="Ver detalle"/>
          <a:extLst>
            <a:ext uri="{FF2B5EF4-FFF2-40B4-BE49-F238E27FC236}">
              <a16:creationId xmlns:a16="http://schemas.microsoft.com/office/drawing/2014/main" id="{B8027C2F-C868-7996-DC81-DE7A3FE69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0017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3453</xdr:row>
      <xdr:rowOff>0</xdr:rowOff>
    </xdr:from>
    <xdr:to>
      <xdr:col>13</xdr:col>
      <xdr:colOff>0</xdr:colOff>
      <xdr:row>3454</xdr:row>
      <xdr:rowOff>114300</xdr:rowOff>
    </xdr:to>
    <xdr:pic>
      <xdr:nvPicPr>
        <xdr:cNvPr id="3822" name="Imagen 3821" descr="Ver detalle">
          <a:hlinkClick xmlns:r="http://schemas.openxmlformats.org/officeDocument/2006/relationships" r:id="rId3763" tooltip="Ver detalle"/>
          <a:extLst>
            <a:ext uri="{FF2B5EF4-FFF2-40B4-BE49-F238E27FC236}">
              <a16:creationId xmlns:a16="http://schemas.microsoft.com/office/drawing/2014/main" id="{DB1BDCB1-F787-992C-AFCC-787D51C20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0261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3457</xdr:row>
      <xdr:rowOff>0</xdr:rowOff>
    </xdr:from>
    <xdr:to>
      <xdr:col>13</xdr:col>
      <xdr:colOff>0</xdr:colOff>
      <xdr:row>3458</xdr:row>
      <xdr:rowOff>114300</xdr:rowOff>
    </xdr:to>
    <xdr:pic>
      <xdr:nvPicPr>
        <xdr:cNvPr id="3823" name="Imagen 3822" descr="Ver detalle">
          <a:hlinkClick xmlns:r="http://schemas.openxmlformats.org/officeDocument/2006/relationships" r:id="rId3764" tooltip="Ver detalle"/>
          <a:extLst>
            <a:ext uri="{FF2B5EF4-FFF2-40B4-BE49-F238E27FC236}">
              <a16:creationId xmlns:a16="http://schemas.microsoft.com/office/drawing/2014/main" id="{81B8AF60-7F32-0AD1-C449-80A034302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0505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3454</xdr:row>
      <xdr:rowOff>0</xdr:rowOff>
    </xdr:from>
    <xdr:to>
      <xdr:col>13</xdr:col>
      <xdr:colOff>0</xdr:colOff>
      <xdr:row>3455</xdr:row>
      <xdr:rowOff>114300</xdr:rowOff>
    </xdr:to>
    <xdr:pic>
      <xdr:nvPicPr>
        <xdr:cNvPr id="3824" name="Imagen 3823" descr="Ver detalle">
          <a:hlinkClick xmlns:r="http://schemas.openxmlformats.org/officeDocument/2006/relationships" r:id="rId3765" tooltip="Ver detalle"/>
          <a:extLst>
            <a:ext uri="{FF2B5EF4-FFF2-40B4-BE49-F238E27FC236}">
              <a16:creationId xmlns:a16="http://schemas.microsoft.com/office/drawing/2014/main" id="{734A073C-AFB7-6B26-BB5C-FAE8F4A5A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0619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3450</xdr:row>
      <xdr:rowOff>0</xdr:rowOff>
    </xdr:from>
    <xdr:to>
      <xdr:col>13</xdr:col>
      <xdr:colOff>0</xdr:colOff>
      <xdr:row>3451</xdr:row>
      <xdr:rowOff>114300</xdr:rowOff>
    </xdr:to>
    <xdr:pic>
      <xdr:nvPicPr>
        <xdr:cNvPr id="3825" name="Imagen 3824" descr="Ver detalle">
          <a:hlinkClick xmlns:r="http://schemas.openxmlformats.org/officeDocument/2006/relationships" r:id="rId3766" tooltip="Ver detalle"/>
          <a:extLst>
            <a:ext uri="{FF2B5EF4-FFF2-40B4-BE49-F238E27FC236}">
              <a16:creationId xmlns:a16="http://schemas.microsoft.com/office/drawing/2014/main" id="{FD59549F-A97E-3F4C-A7F0-C11A28DAF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0866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3487</xdr:row>
      <xdr:rowOff>0</xdr:rowOff>
    </xdr:from>
    <xdr:to>
      <xdr:col>13</xdr:col>
      <xdr:colOff>0</xdr:colOff>
      <xdr:row>3488</xdr:row>
      <xdr:rowOff>114300</xdr:rowOff>
    </xdr:to>
    <xdr:pic>
      <xdr:nvPicPr>
        <xdr:cNvPr id="3826" name="Imagen 3825" descr="Ver detalle">
          <a:hlinkClick xmlns:r="http://schemas.openxmlformats.org/officeDocument/2006/relationships" r:id="rId3767" tooltip="Ver detalle"/>
          <a:extLst>
            <a:ext uri="{FF2B5EF4-FFF2-40B4-BE49-F238E27FC236}">
              <a16:creationId xmlns:a16="http://schemas.microsoft.com/office/drawing/2014/main" id="{5CE4FA32-560D-A339-3D2D-2C470A315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1110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3458</xdr:row>
      <xdr:rowOff>0</xdr:rowOff>
    </xdr:from>
    <xdr:to>
      <xdr:col>13</xdr:col>
      <xdr:colOff>0</xdr:colOff>
      <xdr:row>3459</xdr:row>
      <xdr:rowOff>114300</xdr:rowOff>
    </xdr:to>
    <xdr:pic>
      <xdr:nvPicPr>
        <xdr:cNvPr id="3827" name="Imagen 3826" descr="Ver detalle">
          <a:hlinkClick xmlns:r="http://schemas.openxmlformats.org/officeDocument/2006/relationships" r:id="rId3768" tooltip="Ver detalle"/>
          <a:extLst>
            <a:ext uri="{FF2B5EF4-FFF2-40B4-BE49-F238E27FC236}">
              <a16:creationId xmlns:a16="http://schemas.microsoft.com/office/drawing/2014/main" id="{67F87921-1656-1FCC-335F-491B32FEB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1354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3459</xdr:row>
      <xdr:rowOff>0</xdr:rowOff>
    </xdr:from>
    <xdr:to>
      <xdr:col>13</xdr:col>
      <xdr:colOff>0</xdr:colOff>
      <xdr:row>3460</xdr:row>
      <xdr:rowOff>114300</xdr:rowOff>
    </xdr:to>
    <xdr:pic>
      <xdr:nvPicPr>
        <xdr:cNvPr id="3828" name="Imagen 3827" descr="Ver detalle">
          <a:hlinkClick xmlns:r="http://schemas.openxmlformats.org/officeDocument/2006/relationships" r:id="rId3769" tooltip="Ver detalle"/>
          <a:extLst>
            <a:ext uri="{FF2B5EF4-FFF2-40B4-BE49-F238E27FC236}">
              <a16:creationId xmlns:a16="http://schemas.microsoft.com/office/drawing/2014/main" id="{B9BFFF87-0D65-826A-8D9B-340622495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1517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3472</xdr:row>
      <xdr:rowOff>0</xdr:rowOff>
    </xdr:from>
    <xdr:to>
      <xdr:col>13</xdr:col>
      <xdr:colOff>0</xdr:colOff>
      <xdr:row>3473</xdr:row>
      <xdr:rowOff>114300</xdr:rowOff>
    </xdr:to>
    <xdr:pic>
      <xdr:nvPicPr>
        <xdr:cNvPr id="3829" name="Imagen 3828" descr="Ver detalle">
          <a:hlinkClick xmlns:r="http://schemas.openxmlformats.org/officeDocument/2006/relationships" r:id="rId3770" tooltip="Ver detalle"/>
          <a:extLst>
            <a:ext uri="{FF2B5EF4-FFF2-40B4-BE49-F238E27FC236}">
              <a16:creationId xmlns:a16="http://schemas.microsoft.com/office/drawing/2014/main" id="{0CE7BFDE-8492-6A52-B45B-1F2C72EEE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1680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3455</xdr:row>
      <xdr:rowOff>0</xdr:rowOff>
    </xdr:from>
    <xdr:to>
      <xdr:col>13</xdr:col>
      <xdr:colOff>0</xdr:colOff>
      <xdr:row>3456</xdr:row>
      <xdr:rowOff>114300</xdr:rowOff>
    </xdr:to>
    <xdr:pic>
      <xdr:nvPicPr>
        <xdr:cNvPr id="3830" name="Imagen 3829" descr="Ver detalle">
          <a:hlinkClick xmlns:r="http://schemas.openxmlformats.org/officeDocument/2006/relationships" r:id="rId3771" tooltip="Ver detalle"/>
          <a:extLst>
            <a:ext uri="{FF2B5EF4-FFF2-40B4-BE49-F238E27FC236}">
              <a16:creationId xmlns:a16="http://schemas.microsoft.com/office/drawing/2014/main" id="{3246A88B-A83E-D4A7-DD67-776A21611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1843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3466</xdr:row>
      <xdr:rowOff>0</xdr:rowOff>
    </xdr:from>
    <xdr:to>
      <xdr:col>13</xdr:col>
      <xdr:colOff>0</xdr:colOff>
      <xdr:row>3467</xdr:row>
      <xdr:rowOff>114300</xdr:rowOff>
    </xdr:to>
    <xdr:pic>
      <xdr:nvPicPr>
        <xdr:cNvPr id="3831" name="Imagen 3830" descr="Ver detalle">
          <a:hlinkClick xmlns:r="http://schemas.openxmlformats.org/officeDocument/2006/relationships" r:id="rId3772" tooltip="Ver detalle"/>
          <a:extLst>
            <a:ext uri="{FF2B5EF4-FFF2-40B4-BE49-F238E27FC236}">
              <a16:creationId xmlns:a16="http://schemas.microsoft.com/office/drawing/2014/main" id="{C2D5DFCF-9250-0E3E-E8AF-441352EF0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2006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3473</xdr:row>
      <xdr:rowOff>0</xdr:rowOff>
    </xdr:from>
    <xdr:to>
      <xdr:col>13</xdr:col>
      <xdr:colOff>0</xdr:colOff>
      <xdr:row>3474</xdr:row>
      <xdr:rowOff>114300</xdr:rowOff>
    </xdr:to>
    <xdr:pic>
      <xdr:nvPicPr>
        <xdr:cNvPr id="3832" name="Imagen 3831" descr="Ver detalle">
          <a:hlinkClick xmlns:r="http://schemas.openxmlformats.org/officeDocument/2006/relationships" r:id="rId3773" tooltip="Ver detalle"/>
          <a:extLst>
            <a:ext uri="{FF2B5EF4-FFF2-40B4-BE49-F238E27FC236}">
              <a16:creationId xmlns:a16="http://schemas.microsoft.com/office/drawing/2014/main" id="{CB117CC0-4FCE-2DCB-01F2-EA95ABC1F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2169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3456</xdr:row>
      <xdr:rowOff>0</xdr:rowOff>
    </xdr:from>
    <xdr:to>
      <xdr:col>13</xdr:col>
      <xdr:colOff>0</xdr:colOff>
      <xdr:row>3457</xdr:row>
      <xdr:rowOff>114300</xdr:rowOff>
    </xdr:to>
    <xdr:pic>
      <xdr:nvPicPr>
        <xdr:cNvPr id="3833" name="Imagen 3832" descr="Ver detalle">
          <a:hlinkClick xmlns:r="http://schemas.openxmlformats.org/officeDocument/2006/relationships" r:id="rId3774" tooltip="Ver detalle"/>
          <a:extLst>
            <a:ext uri="{FF2B5EF4-FFF2-40B4-BE49-F238E27FC236}">
              <a16:creationId xmlns:a16="http://schemas.microsoft.com/office/drawing/2014/main" id="{065C4E9B-9DC6-79E1-BFD0-05C88E297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2331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3474</xdr:row>
      <xdr:rowOff>0</xdr:rowOff>
    </xdr:from>
    <xdr:to>
      <xdr:col>13</xdr:col>
      <xdr:colOff>0</xdr:colOff>
      <xdr:row>3475</xdr:row>
      <xdr:rowOff>114300</xdr:rowOff>
    </xdr:to>
    <xdr:pic>
      <xdr:nvPicPr>
        <xdr:cNvPr id="3834" name="Imagen 3833" descr="Ver detalle">
          <a:hlinkClick xmlns:r="http://schemas.openxmlformats.org/officeDocument/2006/relationships" r:id="rId3775" tooltip="Ver detalle"/>
          <a:extLst>
            <a:ext uri="{FF2B5EF4-FFF2-40B4-BE49-F238E27FC236}">
              <a16:creationId xmlns:a16="http://schemas.microsoft.com/office/drawing/2014/main" id="{B507EE8B-A7DA-804D-C2ED-F382AFEC5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249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3495</xdr:row>
      <xdr:rowOff>0</xdr:rowOff>
    </xdr:from>
    <xdr:to>
      <xdr:col>13</xdr:col>
      <xdr:colOff>0</xdr:colOff>
      <xdr:row>3496</xdr:row>
      <xdr:rowOff>114300</xdr:rowOff>
    </xdr:to>
    <xdr:pic>
      <xdr:nvPicPr>
        <xdr:cNvPr id="3835" name="Imagen 3834" descr="Ver detalle">
          <a:hlinkClick xmlns:r="http://schemas.openxmlformats.org/officeDocument/2006/relationships" r:id="rId3776" tooltip="Ver detalle"/>
          <a:extLst>
            <a:ext uri="{FF2B5EF4-FFF2-40B4-BE49-F238E27FC236}">
              <a16:creationId xmlns:a16="http://schemas.microsoft.com/office/drawing/2014/main" id="{BC5BB029-6FAB-1DB5-D3C5-CCB6AD109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2657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3496</xdr:row>
      <xdr:rowOff>0</xdr:rowOff>
    </xdr:from>
    <xdr:to>
      <xdr:col>13</xdr:col>
      <xdr:colOff>0</xdr:colOff>
      <xdr:row>3497</xdr:row>
      <xdr:rowOff>114300</xdr:rowOff>
    </xdr:to>
    <xdr:pic>
      <xdr:nvPicPr>
        <xdr:cNvPr id="3836" name="Imagen 3835" descr="Ver detalle">
          <a:hlinkClick xmlns:r="http://schemas.openxmlformats.org/officeDocument/2006/relationships" r:id="rId3777" tooltip="Ver detalle"/>
          <a:extLst>
            <a:ext uri="{FF2B5EF4-FFF2-40B4-BE49-F238E27FC236}">
              <a16:creationId xmlns:a16="http://schemas.microsoft.com/office/drawing/2014/main" id="{4E96C397-EFBB-14E9-74E0-A533419FF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29014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3448</xdr:row>
      <xdr:rowOff>0</xdr:rowOff>
    </xdr:from>
    <xdr:to>
      <xdr:col>13</xdr:col>
      <xdr:colOff>0</xdr:colOff>
      <xdr:row>3449</xdr:row>
      <xdr:rowOff>114300</xdr:rowOff>
    </xdr:to>
    <xdr:pic>
      <xdr:nvPicPr>
        <xdr:cNvPr id="3837" name="Imagen 3836" descr="Ver detalle">
          <a:hlinkClick xmlns:r="http://schemas.openxmlformats.org/officeDocument/2006/relationships" r:id="rId3778" tooltip="Ver detalle"/>
          <a:extLst>
            <a:ext uri="{FF2B5EF4-FFF2-40B4-BE49-F238E27FC236}">
              <a16:creationId xmlns:a16="http://schemas.microsoft.com/office/drawing/2014/main" id="{8CD791B1-8732-5D17-CDC0-A83DE299A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3145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3449</xdr:row>
      <xdr:rowOff>0</xdr:rowOff>
    </xdr:from>
    <xdr:to>
      <xdr:col>13</xdr:col>
      <xdr:colOff>0</xdr:colOff>
      <xdr:row>3450</xdr:row>
      <xdr:rowOff>114300</xdr:rowOff>
    </xdr:to>
    <xdr:pic>
      <xdr:nvPicPr>
        <xdr:cNvPr id="3838" name="Imagen 3837" descr="Ver detalle">
          <a:hlinkClick xmlns:r="http://schemas.openxmlformats.org/officeDocument/2006/relationships" r:id="rId3779" tooltip="Ver detalle"/>
          <a:extLst>
            <a:ext uri="{FF2B5EF4-FFF2-40B4-BE49-F238E27FC236}">
              <a16:creationId xmlns:a16="http://schemas.microsoft.com/office/drawing/2014/main" id="{C834853C-F332-5050-392E-B3A4564DB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3389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3480</xdr:row>
      <xdr:rowOff>0</xdr:rowOff>
    </xdr:from>
    <xdr:to>
      <xdr:col>13</xdr:col>
      <xdr:colOff>0</xdr:colOff>
      <xdr:row>3481</xdr:row>
      <xdr:rowOff>114300</xdr:rowOff>
    </xdr:to>
    <xdr:pic>
      <xdr:nvPicPr>
        <xdr:cNvPr id="3839" name="Imagen 3838" descr="Ver detalle">
          <a:hlinkClick xmlns:r="http://schemas.openxmlformats.org/officeDocument/2006/relationships" r:id="rId3780" tooltip="Ver detalle"/>
          <a:extLst>
            <a:ext uri="{FF2B5EF4-FFF2-40B4-BE49-F238E27FC236}">
              <a16:creationId xmlns:a16="http://schemas.microsoft.com/office/drawing/2014/main" id="{E176C758-A86B-71BE-4346-D6CBA8F00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3633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3481</xdr:row>
      <xdr:rowOff>0</xdr:rowOff>
    </xdr:from>
    <xdr:to>
      <xdr:col>13</xdr:col>
      <xdr:colOff>0</xdr:colOff>
      <xdr:row>3482</xdr:row>
      <xdr:rowOff>114300</xdr:rowOff>
    </xdr:to>
    <xdr:pic>
      <xdr:nvPicPr>
        <xdr:cNvPr id="3840" name="Imagen 3839" descr="Ver detalle">
          <a:hlinkClick xmlns:r="http://schemas.openxmlformats.org/officeDocument/2006/relationships" r:id="rId3781" tooltip="Ver detalle"/>
          <a:extLst>
            <a:ext uri="{FF2B5EF4-FFF2-40B4-BE49-F238E27FC236}">
              <a16:creationId xmlns:a16="http://schemas.microsoft.com/office/drawing/2014/main" id="{F70925D6-AA23-F46A-6DE1-C44E2DCD3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3747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3482</xdr:row>
      <xdr:rowOff>0</xdr:rowOff>
    </xdr:from>
    <xdr:to>
      <xdr:col>13</xdr:col>
      <xdr:colOff>0</xdr:colOff>
      <xdr:row>3483</xdr:row>
      <xdr:rowOff>114300</xdr:rowOff>
    </xdr:to>
    <xdr:pic>
      <xdr:nvPicPr>
        <xdr:cNvPr id="3841" name="Imagen 3840" descr="Ver detalle">
          <a:hlinkClick xmlns:r="http://schemas.openxmlformats.org/officeDocument/2006/relationships" r:id="rId3782" tooltip="Ver detalle"/>
          <a:extLst>
            <a:ext uri="{FF2B5EF4-FFF2-40B4-BE49-F238E27FC236}">
              <a16:creationId xmlns:a16="http://schemas.microsoft.com/office/drawing/2014/main" id="{A7E3669D-193E-C1AD-F81E-CB05D32D1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3991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3483</xdr:row>
      <xdr:rowOff>0</xdr:rowOff>
    </xdr:from>
    <xdr:to>
      <xdr:col>13</xdr:col>
      <xdr:colOff>0</xdr:colOff>
      <xdr:row>3484</xdr:row>
      <xdr:rowOff>114300</xdr:rowOff>
    </xdr:to>
    <xdr:pic>
      <xdr:nvPicPr>
        <xdr:cNvPr id="3842" name="Imagen 3841" descr="Ver detalle">
          <a:hlinkClick xmlns:r="http://schemas.openxmlformats.org/officeDocument/2006/relationships" r:id="rId3783" tooltip="Ver detalle"/>
          <a:extLst>
            <a:ext uri="{FF2B5EF4-FFF2-40B4-BE49-F238E27FC236}">
              <a16:creationId xmlns:a16="http://schemas.microsoft.com/office/drawing/2014/main" id="{75B36E00-3135-87B2-641F-3ABE52E54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4234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3484</xdr:row>
      <xdr:rowOff>0</xdr:rowOff>
    </xdr:from>
    <xdr:to>
      <xdr:col>13</xdr:col>
      <xdr:colOff>0</xdr:colOff>
      <xdr:row>3485</xdr:row>
      <xdr:rowOff>114300</xdr:rowOff>
    </xdr:to>
    <xdr:pic>
      <xdr:nvPicPr>
        <xdr:cNvPr id="3843" name="Imagen 3842" descr="Ver detalle">
          <a:hlinkClick xmlns:r="http://schemas.openxmlformats.org/officeDocument/2006/relationships" r:id="rId3784" tooltip="Ver detalle"/>
          <a:extLst>
            <a:ext uri="{FF2B5EF4-FFF2-40B4-BE49-F238E27FC236}">
              <a16:creationId xmlns:a16="http://schemas.microsoft.com/office/drawing/2014/main" id="{FC4BC879-0B28-1A36-3385-21178A40D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4478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3485</xdr:row>
      <xdr:rowOff>0</xdr:rowOff>
    </xdr:from>
    <xdr:to>
      <xdr:col>13</xdr:col>
      <xdr:colOff>0</xdr:colOff>
      <xdr:row>3486</xdr:row>
      <xdr:rowOff>114300</xdr:rowOff>
    </xdr:to>
    <xdr:pic>
      <xdr:nvPicPr>
        <xdr:cNvPr id="3844" name="Imagen 3843" descr="Ver detalle">
          <a:hlinkClick xmlns:r="http://schemas.openxmlformats.org/officeDocument/2006/relationships" r:id="rId3785" tooltip="Ver detalle"/>
          <a:extLst>
            <a:ext uri="{FF2B5EF4-FFF2-40B4-BE49-F238E27FC236}">
              <a16:creationId xmlns:a16="http://schemas.microsoft.com/office/drawing/2014/main" id="{D149F833-E9C3-57DD-4C1D-6C921F73D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4722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3486</xdr:row>
      <xdr:rowOff>0</xdr:rowOff>
    </xdr:from>
    <xdr:to>
      <xdr:col>13</xdr:col>
      <xdr:colOff>0</xdr:colOff>
      <xdr:row>3487</xdr:row>
      <xdr:rowOff>114300</xdr:rowOff>
    </xdr:to>
    <xdr:pic>
      <xdr:nvPicPr>
        <xdr:cNvPr id="3845" name="Imagen 3844" descr="Ver detalle">
          <a:hlinkClick xmlns:r="http://schemas.openxmlformats.org/officeDocument/2006/relationships" r:id="rId3786" tooltip="Ver detalle"/>
          <a:extLst>
            <a:ext uri="{FF2B5EF4-FFF2-40B4-BE49-F238E27FC236}">
              <a16:creationId xmlns:a16="http://schemas.microsoft.com/office/drawing/2014/main" id="{E7C6F5CF-4E0E-675E-D0A5-EBE5D7955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4885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3445</xdr:row>
      <xdr:rowOff>0</xdr:rowOff>
    </xdr:from>
    <xdr:to>
      <xdr:col>13</xdr:col>
      <xdr:colOff>0</xdr:colOff>
      <xdr:row>3446</xdr:row>
      <xdr:rowOff>114300</xdr:rowOff>
    </xdr:to>
    <xdr:pic>
      <xdr:nvPicPr>
        <xdr:cNvPr id="3846" name="Imagen 3845" descr="Ver detalle">
          <a:hlinkClick xmlns:r="http://schemas.openxmlformats.org/officeDocument/2006/relationships" r:id="rId3787" tooltip="Ver detalle"/>
          <a:extLst>
            <a:ext uri="{FF2B5EF4-FFF2-40B4-BE49-F238E27FC236}">
              <a16:creationId xmlns:a16="http://schemas.microsoft.com/office/drawing/2014/main" id="{D68D85C2-6066-4292-D59C-C27F5653C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5129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3446</xdr:row>
      <xdr:rowOff>0</xdr:rowOff>
    </xdr:from>
    <xdr:to>
      <xdr:col>13</xdr:col>
      <xdr:colOff>0</xdr:colOff>
      <xdr:row>3447</xdr:row>
      <xdr:rowOff>114300</xdr:rowOff>
    </xdr:to>
    <xdr:pic>
      <xdr:nvPicPr>
        <xdr:cNvPr id="3847" name="Imagen 3846" descr="Ver detalle">
          <a:hlinkClick xmlns:r="http://schemas.openxmlformats.org/officeDocument/2006/relationships" r:id="rId3788" tooltip="Ver detalle"/>
          <a:extLst>
            <a:ext uri="{FF2B5EF4-FFF2-40B4-BE49-F238E27FC236}">
              <a16:creationId xmlns:a16="http://schemas.microsoft.com/office/drawing/2014/main" id="{9B412663-5880-EEC1-B637-7F820B5F5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5373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3443</xdr:row>
      <xdr:rowOff>0</xdr:rowOff>
    </xdr:from>
    <xdr:to>
      <xdr:col>13</xdr:col>
      <xdr:colOff>0</xdr:colOff>
      <xdr:row>3444</xdr:row>
      <xdr:rowOff>114300</xdr:rowOff>
    </xdr:to>
    <xdr:pic>
      <xdr:nvPicPr>
        <xdr:cNvPr id="3848" name="Imagen 3847" descr="Ver detalle">
          <a:hlinkClick xmlns:r="http://schemas.openxmlformats.org/officeDocument/2006/relationships" r:id="rId3789" tooltip="Ver detalle"/>
          <a:extLst>
            <a:ext uri="{FF2B5EF4-FFF2-40B4-BE49-F238E27FC236}">
              <a16:creationId xmlns:a16="http://schemas.microsoft.com/office/drawing/2014/main" id="{B5E3D326-C8AA-F17C-FC2D-DF550E213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5617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3447</xdr:row>
      <xdr:rowOff>0</xdr:rowOff>
    </xdr:from>
    <xdr:to>
      <xdr:col>13</xdr:col>
      <xdr:colOff>0</xdr:colOff>
      <xdr:row>3448</xdr:row>
      <xdr:rowOff>114300</xdr:rowOff>
    </xdr:to>
    <xdr:pic>
      <xdr:nvPicPr>
        <xdr:cNvPr id="3849" name="Imagen 3848" descr="Ver detalle">
          <a:hlinkClick xmlns:r="http://schemas.openxmlformats.org/officeDocument/2006/relationships" r:id="rId3790" tooltip="Ver detalle"/>
          <a:extLst>
            <a:ext uri="{FF2B5EF4-FFF2-40B4-BE49-F238E27FC236}">
              <a16:creationId xmlns:a16="http://schemas.microsoft.com/office/drawing/2014/main" id="{AB6D5C87-6CBA-D8C5-1440-8A76F8FF0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5975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3451</xdr:row>
      <xdr:rowOff>0</xdr:rowOff>
    </xdr:from>
    <xdr:to>
      <xdr:col>13</xdr:col>
      <xdr:colOff>0</xdr:colOff>
      <xdr:row>3452</xdr:row>
      <xdr:rowOff>114300</xdr:rowOff>
    </xdr:to>
    <xdr:pic>
      <xdr:nvPicPr>
        <xdr:cNvPr id="3850" name="Imagen 3849" descr="Ver detalle">
          <a:hlinkClick xmlns:r="http://schemas.openxmlformats.org/officeDocument/2006/relationships" r:id="rId3791" tooltip="Ver detalle"/>
          <a:extLst>
            <a:ext uri="{FF2B5EF4-FFF2-40B4-BE49-F238E27FC236}">
              <a16:creationId xmlns:a16="http://schemas.microsoft.com/office/drawing/2014/main" id="{3F0179A3-8762-4093-49E0-3A35C4F6E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6089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3440</xdr:row>
      <xdr:rowOff>0</xdr:rowOff>
    </xdr:from>
    <xdr:to>
      <xdr:col>13</xdr:col>
      <xdr:colOff>0</xdr:colOff>
      <xdr:row>3441</xdr:row>
      <xdr:rowOff>114300</xdr:rowOff>
    </xdr:to>
    <xdr:pic>
      <xdr:nvPicPr>
        <xdr:cNvPr id="3851" name="Imagen 3850" descr="Ver detalle">
          <a:hlinkClick xmlns:r="http://schemas.openxmlformats.org/officeDocument/2006/relationships" r:id="rId3792" tooltip="Ver detalle"/>
          <a:extLst>
            <a:ext uri="{FF2B5EF4-FFF2-40B4-BE49-F238E27FC236}">
              <a16:creationId xmlns:a16="http://schemas.microsoft.com/office/drawing/2014/main" id="{F61187C4-E536-6C8E-BFE9-E2AF66A3A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63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3442</xdr:row>
      <xdr:rowOff>0</xdr:rowOff>
    </xdr:from>
    <xdr:to>
      <xdr:col>13</xdr:col>
      <xdr:colOff>0</xdr:colOff>
      <xdr:row>3443</xdr:row>
      <xdr:rowOff>114300</xdr:rowOff>
    </xdr:to>
    <xdr:pic>
      <xdr:nvPicPr>
        <xdr:cNvPr id="3852" name="Imagen 3851" descr="Ver detalle">
          <a:hlinkClick xmlns:r="http://schemas.openxmlformats.org/officeDocument/2006/relationships" r:id="rId3793" tooltip="Ver detalle"/>
          <a:extLst>
            <a:ext uri="{FF2B5EF4-FFF2-40B4-BE49-F238E27FC236}">
              <a16:creationId xmlns:a16="http://schemas.microsoft.com/office/drawing/2014/main" id="{9E43D5F6-721B-5443-C06F-FEB11797E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6577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3438</xdr:row>
      <xdr:rowOff>0</xdr:rowOff>
    </xdr:from>
    <xdr:to>
      <xdr:col>13</xdr:col>
      <xdr:colOff>0</xdr:colOff>
      <xdr:row>3439</xdr:row>
      <xdr:rowOff>114300</xdr:rowOff>
    </xdr:to>
    <xdr:pic>
      <xdr:nvPicPr>
        <xdr:cNvPr id="3853" name="Imagen 3852" descr="Ver detalle">
          <a:hlinkClick xmlns:r="http://schemas.openxmlformats.org/officeDocument/2006/relationships" r:id="rId3794" tooltip="Ver detalle"/>
          <a:extLst>
            <a:ext uri="{FF2B5EF4-FFF2-40B4-BE49-F238E27FC236}">
              <a16:creationId xmlns:a16="http://schemas.microsoft.com/office/drawing/2014/main" id="{1DB212AC-D1A8-CC56-FEE0-1CCB020CF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6691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3441</xdr:row>
      <xdr:rowOff>0</xdr:rowOff>
    </xdr:from>
    <xdr:to>
      <xdr:col>13</xdr:col>
      <xdr:colOff>0</xdr:colOff>
      <xdr:row>3442</xdr:row>
      <xdr:rowOff>114300</xdr:rowOff>
    </xdr:to>
    <xdr:pic>
      <xdr:nvPicPr>
        <xdr:cNvPr id="3854" name="Imagen 3853" descr="Ver detalle">
          <a:hlinkClick xmlns:r="http://schemas.openxmlformats.org/officeDocument/2006/relationships" r:id="rId3795" tooltip="Ver detalle"/>
          <a:extLst>
            <a:ext uri="{FF2B5EF4-FFF2-40B4-BE49-F238E27FC236}">
              <a16:creationId xmlns:a16="http://schemas.microsoft.com/office/drawing/2014/main" id="{914B2D36-296B-9D48-A206-52D4AB05D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6935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3437</xdr:row>
      <xdr:rowOff>0</xdr:rowOff>
    </xdr:from>
    <xdr:to>
      <xdr:col>13</xdr:col>
      <xdr:colOff>0</xdr:colOff>
      <xdr:row>3438</xdr:row>
      <xdr:rowOff>114300</xdr:rowOff>
    </xdr:to>
    <xdr:pic>
      <xdr:nvPicPr>
        <xdr:cNvPr id="3855" name="Imagen 3854" descr="Ver detalle">
          <a:hlinkClick xmlns:r="http://schemas.openxmlformats.org/officeDocument/2006/relationships" r:id="rId3796" tooltip="Ver detalle"/>
          <a:extLst>
            <a:ext uri="{FF2B5EF4-FFF2-40B4-BE49-F238E27FC236}">
              <a16:creationId xmlns:a16="http://schemas.microsoft.com/office/drawing/2014/main" id="{C98409AD-890D-C392-4F00-4BEAC2644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7179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3439</xdr:row>
      <xdr:rowOff>0</xdr:rowOff>
    </xdr:from>
    <xdr:to>
      <xdr:col>13</xdr:col>
      <xdr:colOff>0</xdr:colOff>
      <xdr:row>3440</xdr:row>
      <xdr:rowOff>114300</xdr:rowOff>
    </xdr:to>
    <xdr:pic>
      <xdr:nvPicPr>
        <xdr:cNvPr id="3856" name="Imagen 3855" descr="Ver detalle">
          <a:hlinkClick xmlns:r="http://schemas.openxmlformats.org/officeDocument/2006/relationships" r:id="rId3797" tooltip="Ver detalle"/>
          <a:extLst>
            <a:ext uri="{FF2B5EF4-FFF2-40B4-BE49-F238E27FC236}">
              <a16:creationId xmlns:a16="http://schemas.microsoft.com/office/drawing/2014/main" id="{7C32B081-04A0-BAD9-0FE5-99D4A0127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7423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3488</xdr:row>
      <xdr:rowOff>0</xdr:rowOff>
    </xdr:from>
    <xdr:to>
      <xdr:col>13</xdr:col>
      <xdr:colOff>0</xdr:colOff>
      <xdr:row>3489</xdr:row>
      <xdr:rowOff>114300</xdr:rowOff>
    </xdr:to>
    <xdr:pic>
      <xdr:nvPicPr>
        <xdr:cNvPr id="3857" name="Imagen 3856" descr="Ver detalle">
          <a:hlinkClick xmlns:r="http://schemas.openxmlformats.org/officeDocument/2006/relationships" r:id="rId3798" tooltip="Ver detalle"/>
          <a:extLst>
            <a:ext uri="{FF2B5EF4-FFF2-40B4-BE49-F238E27FC236}">
              <a16:creationId xmlns:a16="http://schemas.microsoft.com/office/drawing/2014/main" id="{05F0D62F-C619-2B42-96F2-BED33DF91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7666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3489</xdr:row>
      <xdr:rowOff>0</xdr:rowOff>
    </xdr:from>
    <xdr:to>
      <xdr:col>13</xdr:col>
      <xdr:colOff>0</xdr:colOff>
      <xdr:row>3490</xdr:row>
      <xdr:rowOff>114300</xdr:rowOff>
    </xdr:to>
    <xdr:pic>
      <xdr:nvPicPr>
        <xdr:cNvPr id="3858" name="Imagen 3857" descr="Ver detalle">
          <a:hlinkClick xmlns:r="http://schemas.openxmlformats.org/officeDocument/2006/relationships" r:id="rId3799" tooltip="Ver detalle"/>
          <a:extLst>
            <a:ext uri="{FF2B5EF4-FFF2-40B4-BE49-F238E27FC236}">
              <a16:creationId xmlns:a16="http://schemas.microsoft.com/office/drawing/2014/main" id="{F612F751-5C11-99FE-A006-DE829C845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7910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3573</xdr:row>
      <xdr:rowOff>0</xdr:rowOff>
    </xdr:from>
    <xdr:to>
      <xdr:col>13</xdr:col>
      <xdr:colOff>0</xdr:colOff>
      <xdr:row>3574</xdr:row>
      <xdr:rowOff>114300</xdr:rowOff>
    </xdr:to>
    <xdr:pic>
      <xdr:nvPicPr>
        <xdr:cNvPr id="3859" name="Imagen 3858" descr="Ver detalle">
          <a:hlinkClick xmlns:r="http://schemas.openxmlformats.org/officeDocument/2006/relationships" r:id="rId3800" tooltip="Ver detalle"/>
          <a:extLst>
            <a:ext uri="{FF2B5EF4-FFF2-40B4-BE49-F238E27FC236}">
              <a16:creationId xmlns:a16="http://schemas.microsoft.com/office/drawing/2014/main" id="{BFC81973-C41F-21D6-D0C5-1020E0F45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7068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3574</xdr:row>
      <xdr:rowOff>0</xdr:rowOff>
    </xdr:from>
    <xdr:to>
      <xdr:col>13</xdr:col>
      <xdr:colOff>0</xdr:colOff>
      <xdr:row>3575</xdr:row>
      <xdr:rowOff>114300</xdr:rowOff>
    </xdr:to>
    <xdr:pic>
      <xdr:nvPicPr>
        <xdr:cNvPr id="3860" name="Imagen 3859" descr="Ver detalle">
          <a:hlinkClick xmlns:r="http://schemas.openxmlformats.org/officeDocument/2006/relationships" r:id="rId3801" tooltip="Ver detalle"/>
          <a:extLst>
            <a:ext uri="{FF2B5EF4-FFF2-40B4-BE49-F238E27FC236}">
              <a16:creationId xmlns:a16="http://schemas.microsoft.com/office/drawing/2014/main" id="{7FD5DE67-07E2-3FFF-E2CA-9B44B6E73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7312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3575</xdr:row>
      <xdr:rowOff>0</xdr:rowOff>
    </xdr:from>
    <xdr:to>
      <xdr:col>13</xdr:col>
      <xdr:colOff>0</xdr:colOff>
      <xdr:row>3576</xdr:row>
      <xdr:rowOff>104775</xdr:rowOff>
    </xdr:to>
    <xdr:pic>
      <xdr:nvPicPr>
        <xdr:cNvPr id="3861" name="Imagen 3860" descr="Ver detalle">
          <a:hlinkClick xmlns:r="http://schemas.openxmlformats.org/officeDocument/2006/relationships" r:id="rId3802" tooltip="Ver detalle"/>
          <a:extLst>
            <a:ext uri="{FF2B5EF4-FFF2-40B4-BE49-F238E27FC236}">
              <a16:creationId xmlns:a16="http://schemas.microsoft.com/office/drawing/2014/main" id="{D8878D24-09C0-D9CE-94E2-EB4FF9C49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7556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3532</xdr:row>
      <xdr:rowOff>0</xdr:rowOff>
    </xdr:from>
    <xdr:to>
      <xdr:col>13</xdr:col>
      <xdr:colOff>0</xdr:colOff>
      <xdr:row>3533</xdr:row>
      <xdr:rowOff>114300</xdr:rowOff>
    </xdr:to>
    <xdr:pic>
      <xdr:nvPicPr>
        <xdr:cNvPr id="3862" name="Imagen 3861" descr="Ver detalle">
          <a:hlinkClick xmlns:r="http://schemas.openxmlformats.org/officeDocument/2006/relationships" r:id="rId3803" tooltip="Ver detalle"/>
          <a:extLst>
            <a:ext uri="{FF2B5EF4-FFF2-40B4-BE49-F238E27FC236}">
              <a16:creationId xmlns:a16="http://schemas.microsoft.com/office/drawing/2014/main" id="{AA3F6C13-25F6-E454-E125-EAB61D64F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7799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3533</xdr:row>
      <xdr:rowOff>0</xdr:rowOff>
    </xdr:from>
    <xdr:to>
      <xdr:col>13</xdr:col>
      <xdr:colOff>0</xdr:colOff>
      <xdr:row>3534</xdr:row>
      <xdr:rowOff>114300</xdr:rowOff>
    </xdr:to>
    <xdr:pic>
      <xdr:nvPicPr>
        <xdr:cNvPr id="3863" name="Imagen 3862" descr="Ver detalle">
          <a:hlinkClick xmlns:r="http://schemas.openxmlformats.org/officeDocument/2006/relationships" r:id="rId3804" tooltip="Ver detalle"/>
          <a:extLst>
            <a:ext uri="{FF2B5EF4-FFF2-40B4-BE49-F238E27FC236}">
              <a16:creationId xmlns:a16="http://schemas.microsoft.com/office/drawing/2014/main" id="{AD26E819-53AC-E259-157D-7F0140FCE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8043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3570</xdr:row>
      <xdr:rowOff>0</xdr:rowOff>
    </xdr:from>
    <xdr:to>
      <xdr:col>13</xdr:col>
      <xdr:colOff>0</xdr:colOff>
      <xdr:row>3571</xdr:row>
      <xdr:rowOff>114300</xdr:rowOff>
    </xdr:to>
    <xdr:pic>
      <xdr:nvPicPr>
        <xdr:cNvPr id="3864" name="Imagen 3863" descr="Ver detalle">
          <a:hlinkClick xmlns:r="http://schemas.openxmlformats.org/officeDocument/2006/relationships" r:id="rId3805" tooltip="Ver detalle"/>
          <a:extLst>
            <a:ext uri="{FF2B5EF4-FFF2-40B4-BE49-F238E27FC236}">
              <a16:creationId xmlns:a16="http://schemas.microsoft.com/office/drawing/2014/main" id="{0B398AF3-BDFC-1C97-C70F-52D7C892F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8287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3571</xdr:row>
      <xdr:rowOff>0</xdr:rowOff>
    </xdr:from>
    <xdr:to>
      <xdr:col>13</xdr:col>
      <xdr:colOff>0</xdr:colOff>
      <xdr:row>3572</xdr:row>
      <xdr:rowOff>114300</xdr:rowOff>
    </xdr:to>
    <xdr:pic>
      <xdr:nvPicPr>
        <xdr:cNvPr id="3865" name="Imagen 3864" descr="Ver detalle">
          <a:hlinkClick xmlns:r="http://schemas.openxmlformats.org/officeDocument/2006/relationships" r:id="rId3806" tooltip="Ver detalle"/>
          <a:extLst>
            <a:ext uri="{FF2B5EF4-FFF2-40B4-BE49-F238E27FC236}">
              <a16:creationId xmlns:a16="http://schemas.microsoft.com/office/drawing/2014/main" id="{71873506-A56C-1F04-729B-DEAC7267D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8531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3572</xdr:row>
      <xdr:rowOff>0</xdr:rowOff>
    </xdr:from>
    <xdr:to>
      <xdr:col>13</xdr:col>
      <xdr:colOff>0</xdr:colOff>
      <xdr:row>3573</xdr:row>
      <xdr:rowOff>114300</xdr:rowOff>
    </xdr:to>
    <xdr:pic>
      <xdr:nvPicPr>
        <xdr:cNvPr id="3866" name="Imagen 3865" descr="Ver detalle">
          <a:hlinkClick xmlns:r="http://schemas.openxmlformats.org/officeDocument/2006/relationships" r:id="rId3807" tooltip="Ver detalle"/>
          <a:extLst>
            <a:ext uri="{FF2B5EF4-FFF2-40B4-BE49-F238E27FC236}">
              <a16:creationId xmlns:a16="http://schemas.microsoft.com/office/drawing/2014/main" id="{37DC6212-8E6D-316F-C618-89AD94557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8775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3534</xdr:row>
      <xdr:rowOff>0</xdr:rowOff>
    </xdr:from>
    <xdr:to>
      <xdr:col>13</xdr:col>
      <xdr:colOff>0</xdr:colOff>
      <xdr:row>3535</xdr:row>
      <xdr:rowOff>104775</xdr:rowOff>
    </xdr:to>
    <xdr:pic>
      <xdr:nvPicPr>
        <xdr:cNvPr id="3867" name="Imagen 3866" descr="Ver detalle">
          <a:hlinkClick xmlns:r="http://schemas.openxmlformats.org/officeDocument/2006/relationships" r:id="rId3808" tooltip="Ver detalle"/>
          <a:extLst>
            <a:ext uri="{FF2B5EF4-FFF2-40B4-BE49-F238E27FC236}">
              <a16:creationId xmlns:a16="http://schemas.microsoft.com/office/drawing/2014/main" id="{D53DEE46-2CEB-76F9-D449-B1993CC3D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9019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3531</xdr:row>
      <xdr:rowOff>0</xdr:rowOff>
    </xdr:from>
    <xdr:to>
      <xdr:col>13</xdr:col>
      <xdr:colOff>0</xdr:colOff>
      <xdr:row>3532</xdr:row>
      <xdr:rowOff>114300</xdr:rowOff>
    </xdr:to>
    <xdr:pic>
      <xdr:nvPicPr>
        <xdr:cNvPr id="3868" name="Imagen 3867" descr="Ver detalle">
          <a:hlinkClick xmlns:r="http://schemas.openxmlformats.org/officeDocument/2006/relationships" r:id="rId3809" tooltip="Ver detalle"/>
          <a:extLst>
            <a:ext uri="{FF2B5EF4-FFF2-40B4-BE49-F238E27FC236}">
              <a16:creationId xmlns:a16="http://schemas.microsoft.com/office/drawing/2014/main" id="{6A79F55E-89E8-9C02-64FE-FA4F39520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9262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3561</xdr:row>
      <xdr:rowOff>0</xdr:rowOff>
    </xdr:from>
    <xdr:to>
      <xdr:col>13</xdr:col>
      <xdr:colOff>0</xdr:colOff>
      <xdr:row>3562</xdr:row>
      <xdr:rowOff>114300</xdr:rowOff>
    </xdr:to>
    <xdr:pic>
      <xdr:nvPicPr>
        <xdr:cNvPr id="3869" name="Imagen 3868" descr="Ver detalle">
          <a:hlinkClick xmlns:r="http://schemas.openxmlformats.org/officeDocument/2006/relationships" r:id="rId3810" tooltip="Ver detalle"/>
          <a:extLst>
            <a:ext uri="{FF2B5EF4-FFF2-40B4-BE49-F238E27FC236}">
              <a16:creationId xmlns:a16="http://schemas.microsoft.com/office/drawing/2014/main" id="{BE035B06-B677-02CB-0ECB-E32F22C40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9506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3562</xdr:row>
      <xdr:rowOff>0</xdr:rowOff>
    </xdr:from>
    <xdr:to>
      <xdr:col>13</xdr:col>
      <xdr:colOff>0</xdr:colOff>
      <xdr:row>3563</xdr:row>
      <xdr:rowOff>114300</xdr:rowOff>
    </xdr:to>
    <xdr:pic>
      <xdr:nvPicPr>
        <xdr:cNvPr id="3870" name="Imagen 3869" descr="Ver detalle">
          <a:hlinkClick xmlns:r="http://schemas.openxmlformats.org/officeDocument/2006/relationships" r:id="rId3811" tooltip="Ver detalle"/>
          <a:extLst>
            <a:ext uri="{FF2B5EF4-FFF2-40B4-BE49-F238E27FC236}">
              <a16:creationId xmlns:a16="http://schemas.microsoft.com/office/drawing/2014/main" id="{4BCC4A97-622B-F511-2986-6F79CD370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9750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3563</xdr:row>
      <xdr:rowOff>0</xdr:rowOff>
    </xdr:from>
    <xdr:to>
      <xdr:col>13</xdr:col>
      <xdr:colOff>0</xdr:colOff>
      <xdr:row>3564</xdr:row>
      <xdr:rowOff>114300</xdr:rowOff>
    </xdr:to>
    <xdr:pic>
      <xdr:nvPicPr>
        <xdr:cNvPr id="3871" name="Imagen 3870" descr="Ver detalle">
          <a:hlinkClick xmlns:r="http://schemas.openxmlformats.org/officeDocument/2006/relationships" r:id="rId3812" tooltip="Ver detalle"/>
          <a:extLst>
            <a:ext uri="{FF2B5EF4-FFF2-40B4-BE49-F238E27FC236}">
              <a16:creationId xmlns:a16="http://schemas.microsoft.com/office/drawing/2014/main" id="{5AA07310-E070-467D-E3A8-0A6FA6847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9994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3564</xdr:row>
      <xdr:rowOff>0</xdr:rowOff>
    </xdr:from>
    <xdr:to>
      <xdr:col>13</xdr:col>
      <xdr:colOff>0</xdr:colOff>
      <xdr:row>3565</xdr:row>
      <xdr:rowOff>114300</xdr:rowOff>
    </xdr:to>
    <xdr:pic>
      <xdr:nvPicPr>
        <xdr:cNvPr id="3872" name="Imagen 3871" descr="Ver detalle">
          <a:hlinkClick xmlns:r="http://schemas.openxmlformats.org/officeDocument/2006/relationships" r:id="rId3813" tooltip="Ver detalle"/>
          <a:extLst>
            <a:ext uri="{FF2B5EF4-FFF2-40B4-BE49-F238E27FC236}">
              <a16:creationId xmlns:a16="http://schemas.microsoft.com/office/drawing/2014/main" id="{0CF420AC-A2A1-64A4-CD7E-2F29FBA62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0238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3565</xdr:row>
      <xdr:rowOff>0</xdr:rowOff>
    </xdr:from>
    <xdr:to>
      <xdr:col>13</xdr:col>
      <xdr:colOff>0</xdr:colOff>
      <xdr:row>3566</xdr:row>
      <xdr:rowOff>114300</xdr:rowOff>
    </xdr:to>
    <xdr:pic>
      <xdr:nvPicPr>
        <xdr:cNvPr id="3873" name="Imagen 3872" descr="Ver detalle">
          <a:hlinkClick xmlns:r="http://schemas.openxmlformats.org/officeDocument/2006/relationships" r:id="rId3814" tooltip="Ver detalle"/>
          <a:extLst>
            <a:ext uri="{FF2B5EF4-FFF2-40B4-BE49-F238E27FC236}">
              <a16:creationId xmlns:a16="http://schemas.microsoft.com/office/drawing/2014/main" id="{426D3CB1-70D5-B777-D506-0428FA996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0482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3566</xdr:row>
      <xdr:rowOff>0</xdr:rowOff>
    </xdr:from>
    <xdr:to>
      <xdr:col>13</xdr:col>
      <xdr:colOff>0</xdr:colOff>
      <xdr:row>3567</xdr:row>
      <xdr:rowOff>114300</xdr:rowOff>
    </xdr:to>
    <xdr:pic>
      <xdr:nvPicPr>
        <xdr:cNvPr id="3874" name="Imagen 3873" descr="Ver detalle">
          <a:hlinkClick xmlns:r="http://schemas.openxmlformats.org/officeDocument/2006/relationships" r:id="rId3815" tooltip="Ver detalle"/>
          <a:extLst>
            <a:ext uri="{FF2B5EF4-FFF2-40B4-BE49-F238E27FC236}">
              <a16:creationId xmlns:a16="http://schemas.microsoft.com/office/drawing/2014/main" id="{7082532C-2735-266C-96EC-80FDB58C4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0596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3567</xdr:row>
      <xdr:rowOff>0</xdr:rowOff>
    </xdr:from>
    <xdr:to>
      <xdr:col>13</xdr:col>
      <xdr:colOff>0</xdr:colOff>
      <xdr:row>3568</xdr:row>
      <xdr:rowOff>114300</xdr:rowOff>
    </xdr:to>
    <xdr:pic>
      <xdr:nvPicPr>
        <xdr:cNvPr id="3875" name="Imagen 3874" descr="Ver detalle">
          <a:hlinkClick xmlns:r="http://schemas.openxmlformats.org/officeDocument/2006/relationships" r:id="rId3816" tooltip="Ver detalle"/>
          <a:extLst>
            <a:ext uri="{FF2B5EF4-FFF2-40B4-BE49-F238E27FC236}">
              <a16:creationId xmlns:a16="http://schemas.microsoft.com/office/drawing/2014/main" id="{8FD11F48-452C-4B57-6AA8-B3A008E0C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0710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3568</xdr:row>
      <xdr:rowOff>0</xdr:rowOff>
    </xdr:from>
    <xdr:to>
      <xdr:col>13</xdr:col>
      <xdr:colOff>0</xdr:colOff>
      <xdr:row>3569</xdr:row>
      <xdr:rowOff>114300</xdr:rowOff>
    </xdr:to>
    <xdr:pic>
      <xdr:nvPicPr>
        <xdr:cNvPr id="3876" name="Imagen 3875" descr="Ver detalle">
          <a:hlinkClick xmlns:r="http://schemas.openxmlformats.org/officeDocument/2006/relationships" r:id="rId3817" tooltip="Ver detalle"/>
          <a:extLst>
            <a:ext uri="{FF2B5EF4-FFF2-40B4-BE49-F238E27FC236}">
              <a16:creationId xmlns:a16="http://schemas.microsoft.com/office/drawing/2014/main" id="{A38C62E6-2269-D726-3E30-8CBBC59E9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0825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3569</xdr:row>
      <xdr:rowOff>0</xdr:rowOff>
    </xdr:from>
    <xdr:to>
      <xdr:col>13</xdr:col>
      <xdr:colOff>0</xdr:colOff>
      <xdr:row>3570</xdr:row>
      <xdr:rowOff>114300</xdr:rowOff>
    </xdr:to>
    <xdr:pic>
      <xdr:nvPicPr>
        <xdr:cNvPr id="3877" name="Imagen 3876" descr="Ver detalle">
          <a:hlinkClick xmlns:r="http://schemas.openxmlformats.org/officeDocument/2006/relationships" r:id="rId3818" tooltip="Ver detalle"/>
          <a:extLst>
            <a:ext uri="{FF2B5EF4-FFF2-40B4-BE49-F238E27FC236}">
              <a16:creationId xmlns:a16="http://schemas.microsoft.com/office/drawing/2014/main" id="{6A0D852B-D8BD-9076-B9C9-576950617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0939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3528</xdr:row>
      <xdr:rowOff>0</xdr:rowOff>
    </xdr:from>
    <xdr:to>
      <xdr:col>13</xdr:col>
      <xdr:colOff>0</xdr:colOff>
      <xdr:row>3529</xdr:row>
      <xdr:rowOff>114300</xdr:rowOff>
    </xdr:to>
    <xdr:pic>
      <xdr:nvPicPr>
        <xdr:cNvPr id="3878" name="Imagen 3877" descr="Ver detalle">
          <a:hlinkClick xmlns:r="http://schemas.openxmlformats.org/officeDocument/2006/relationships" r:id="rId3819" tooltip="Ver detalle"/>
          <a:extLst>
            <a:ext uri="{FF2B5EF4-FFF2-40B4-BE49-F238E27FC236}">
              <a16:creationId xmlns:a16="http://schemas.microsoft.com/office/drawing/2014/main" id="{84F3F8C6-3565-1184-EE9E-F07C9DB1A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1183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3529</xdr:row>
      <xdr:rowOff>0</xdr:rowOff>
    </xdr:from>
    <xdr:to>
      <xdr:col>13</xdr:col>
      <xdr:colOff>0</xdr:colOff>
      <xdr:row>3530</xdr:row>
      <xdr:rowOff>114300</xdr:rowOff>
    </xdr:to>
    <xdr:pic>
      <xdr:nvPicPr>
        <xdr:cNvPr id="3879" name="Imagen 3878" descr="Ver detalle">
          <a:hlinkClick xmlns:r="http://schemas.openxmlformats.org/officeDocument/2006/relationships" r:id="rId3820" tooltip="Ver detalle"/>
          <a:extLst>
            <a:ext uri="{FF2B5EF4-FFF2-40B4-BE49-F238E27FC236}">
              <a16:creationId xmlns:a16="http://schemas.microsoft.com/office/drawing/2014/main" id="{7F419728-3306-942A-6786-BB2A576C4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1427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3525</xdr:row>
      <xdr:rowOff>0</xdr:rowOff>
    </xdr:from>
    <xdr:to>
      <xdr:col>13</xdr:col>
      <xdr:colOff>0</xdr:colOff>
      <xdr:row>3526</xdr:row>
      <xdr:rowOff>114300</xdr:rowOff>
    </xdr:to>
    <xdr:pic>
      <xdr:nvPicPr>
        <xdr:cNvPr id="3880" name="Imagen 3879" descr="Ver detalle">
          <a:hlinkClick xmlns:r="http://schemas.openxmlformats.org/officeDocument/2006/relationships" r:id="rId3821" tooltip="Ver detalle"/>
          <a:extLst>
            <a:ext uri="{FF2B5EF4-FFF2-40B4-BE49-F238E27FC236}">
              <a16:creationId xmlns:a16="http://schemas.microsoft.com/office/drawing/2014/main" id="{A93BD63D-70AD-8A45-7B3E-CC53CD2F4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1670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3526</xdr:row>
      <xdr:rowOff>0</xdr:rowOff>
    </xdr:from>
    <xdr:to>
      <xdr:col>13</xdr:col>
      <xdr:colOff>0</xdr:colOff>
      <xdr:row>3527</xdr:row>
      <xdr:rowOff>114300</xdr:rowOff>
    </xdr:to>
    <xdr:pic>
      <xdr:nvPicPr>
        <xdr:cNvPr id="3881" name="Imagen 3880" descr="Ver detalle">
          <a:hlinkClick xmlns:r="http://schemas.openxmlformats.org/officeDocument/2006/relationships" r:id="rId3822" tooltip="Ver detalle"/>
          <a:extLst>
            <a:ext uri="{FF2B5EF4-FFF2-40B4-BE49-F238E27FC236}">
              <a16:creationId xmlns:a16="http://schemas.microsoft.com/office/drawing/2014/main" id="{C9042948-9553-D1A2-85EF-620AB6B7A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1914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3551</xdr:row>
      <xdr:rowOff>0</xdr:rowOff>
    </xdr:from>
    <xdr:to>
      <xdr:col>13</xdr:col>
      <xdr:colOff>0</xdr:colOff>
      <xdr:row>3552</xdr:row>
      <xdr:rowOff>114300</xdr:rowOff>
    </xdr:to>
    <xdr:pic>
      <xdr:nvPicPr>
        <xdr:cNvPr id="3882" name="Imagen 3881" descr="Ver detalle">
          <a:hlinkClick xmlns:r="http://schemas.openxmlformats.org/officeDocument/2006/relationships" r:id="rId3823" tooltip="Ver detalle"/>
          <a:extLst>
            <a:ext uri="{FF2B5EF4-FFF2-40B4-BE49-F238E27FC236}">
              <a16:creationId xmlns:a16="http://schemas.microsoft.com/office/drawing/2014/main" id="{85531232-0B41-58C9-8428-CD57C7EA5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2158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3553</xdr:row>
      <xdr:rowOff>0</xdr:rowOff>
    </xdr:from>
    <xdr:to>
      <xdr:col>13</xdr:col>
      <xdr:colOff>0</xdr:colOff>
      <xdr:row>3554</xdr:row>
      <xdr:rowOff>114300</xdr:rowOff>
    </xdr:to>
    <xdr:pic>
      <xdr:nvPicPr>
        <xdr:cNvPr id="3883" name="Imagen 3882" descr="Ver detalle">
          <a:hlinkClick xmlns:r="http://schemas.openxmlformats.org/officeDocument/2006/relationships" r:id="rId3824" tooltip="Ver detalle"/>
          <a:extLst>
            <a:ext uri="{FF2B5EF4-FFF2-40B4-BE49-F238E27FC236}">
              <a16:creationId xmlns:a16="http://schemas.microsoft.com/office/drawing/2014/main" id="{4FAC6FBB-E730-0239-85C4-E182563D1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2646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3554</xdr:row>
      <xdr:rowOff>0</xdr:rowOff>
    </xdr:from>
    <xdr:to>
      <xdr:col>13</xdr:col>
      <xdr:colOff>0</xdr:colOff>
      <xdr:row>3555</xdr:row>
      <xdr:rowOff>114300</xdr:rowOff>
    </xdr:to>
    <xdr:pic>
      <xdr:nvPicPr>
        <xdr:cNvPr id="3884" name="Imagen 3883" descr="Ver detalle">
          <a:hlinkClick xmlns:r="http://schemas.openxmlformats.org/officeDocument/2006/relationships" r:id="rId3825" tooltip="Ver detalle"/>
          <a:extLst>
            <a:ext uri="{FF2B5EF4-FFF2-40B4-BE49-F238E27FC236}">
              <a16:creationId xmlns:a16="http://schemas.microsoft.com/office/drawing/2014/main" id="{80756AE3-46FD-FE25-26E2-86AACA1F6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2760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3555</xdr:row>
      <xdr:rowOff>0</xdr:rowOff>
    </xdr:from>
    <xdr:to>
      <xdr:col>13</xdr:col>
      <xdr:colOff>0</xdr:colOff>
      <xdr:row>3556</xdr:row>
      <xdr:rowOff>114300</xdr:rowOff>
    </xdr:to>
    <xdr:pic>
      <xdr:nvPicPr>
        <xdr:cNvPr id="3885" name="Imagen 3884" descr="Ver detalle">
          <a:hlinkClick xmlns:r="http://schemas.openxmlformats.org/officeDocument/2006/relationships" r:id="rId3826" tooltip="Ver detalle"/>
          <a:extLst>
            <a:ext uri="{FF2B5EF4-FFF2-40B4-BE49-F238E27FC236}">
              <a16:creationId xmlns:a16="http://schemas.microsoft.com/office/drawing/2014/main" id="{7950D1DC-A992-1BCC-8231-0342F3440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2874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3556</xdr:row>
      <xdr:rowOff>0</xdr:rowOff>
    </xdr:from>
    <xdr:to>
      <xdr:col>13</xdr:col>
      <xdr:colOff>0</xdr:colOff>
      <xdr:row>3557</xdr:row>
      <xdr:rowOff>114300</xdr:rowOff>
    </xdr:to>
    <xdr:pic>
      <xdr:nvPicPr>
        <xdr:cNvPr id="3886" name="Imagen 3885" descr="Ver detalle">
          <a:hlinkClick xmlns:r="http://schemas.openxmlformats.org/officeDocument/2006/relationships" r:id="rId3827" tooltip="Ver detalle"/>
          <a:extLst>
            <a:ext uri="{FF2B5EF4-FFF2-40B4-BE49-F238E27FC236}">
              <a16:creationId xmlns:a16="http://schemas.microsoft.com/office/drawing/2014/main" id="{8DFB0D4F-4D28-9D47-9DF5-7BA3CC883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2989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3557</xdr:row>
      <xdr:rowOff>0</xdr:rowOff>
    </xdr:from>
    <xdr:to>
      <xdr:col>13</xdr:col>
      <xdr:colOff>0</xdr:colOff>
      <xdr:row>3558</xdr:row>
      <xdr:rowOff>114300</xdr:rowOff>
    </xdr:to>
    <xdr:pic>
      <xdr:nvPicPr>
        <xdr:cNvPr id="3887" name="Imagen 3886" descr="Ver detalle">
          <a:hlinkClick xmlns:r="http://schemas.openxmlformats.org/officeDocument/2006/relationships" r:id="rId3828" tooltip="Ver detalle"/>
          <a:extLst>
            <a:ext uri="{FF2B5EF4-FFF2-40B4-BE49-F238E27FC236}">
              <a16:creationId xmlns:a16="http://schemas.microsoft.com/office/drawing/2014/main" id="{D3B4E178-41A2-17EE-EEEB-12305A361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3103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3558</xdr:row>
      <xdr:rowOff>0</xdr:rowOff>
    </xdr:from>
    <xdr:to>
      <xdr:col>13</xdr:col>
      <xdr:colOff>0</xdr:colOff>
      <xdr:row>3559</xdr:row>
      <xdr:rowOff>114300</xdr:rowOff>
    </xdr:to>
    <xdr:pic>
      <xdr:nvPicPr>
        <xdr:cNvPr id="3888" name="Imagen 3887" descr="Ver detalle">
          <a:hlinkClick xmlns:r="http://schemas.openxmlformats.org/officeDocument/2006/relationships" r:id="rId3829" tooltip="Ver detalle"/>
          <a:extLst>
            <a:ext uri="{FF2B5EF4-FFF2-40B4-BE49-F238E27FC236}">
              <a16:creationId xmlns:a16="http://schemas.microsoft.com/office/drawing/2014/main" id="{BEE0837C-FC26-6DA6-3697-501605178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3217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3559</xdr:row>
      <xdr:rowOff>0</xdr:rowOff>
    </xdr:from>
    <xdr:to>
      <xdr:col>13</xdr:col>
      <xdr:colOff>0</xdr:colOff>
      <xdr:row>3560</xdr:row>
      <xdr:rowOff>114300</xdr:rowOff>
    </xdr:to>
    <xdr:pic>
      <xdr:nvPicPr>
        <xdr:cNvPr id="3889" name="Imagen 3888" descr="Ver detalle">
          <a:hlinkClick xmlns:r="http://schemas.openxmlformats.org/officeDocument/2006/relationships" r:id="rId3830" tooltip="Ver detalle"/>
          <a:extLst>
            <a:ext uri="{FF2B5EF4-FFF2-40B4-BE49-F238E27FC236}">
              <a16:creationId xmlns:a16="http://schemas.microsoft.com/office/drawing/2014/main" id="{1D268294-9780-2A89-AEAC-20A6E3E88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3332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3560</xdr:row>
      <xdr:rowOff>0</xdr:rowOff>
    </xdr:from>
    <xdr:to>
      <xdr:col>13</xdr:col>
      <xdr:colOff>0</xdr:colOff>
      <xdr:row>3561</xdr:row>
      <xdr:rowOff>114300</xdr:rowOff>
    </xdr:to>
    <xdr:pic>
      <xdr:nvPicPr>
        <xdr:cNvPr id="3890" name="Imagen 3889" descr="Ver detalle">
          <a:hlinkClick xmlns:r="http://schemas.openxmlformats.org/officeDocument/2006/relationships" r:id="rId3831" tooltip="Ver detalle"/>
          <a:extLst>
            <a:ext uri="{FF2B5EF4-FFF2-40B4-BE49-F238E27FC236}">
              <a16:creationId xmlns:a16="http://schemas.microsoft.com/office/drawing/2014/main" id="{0356F6E4-5091-2304-9A23-1A05D117C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3575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3530</xdr:row>
      <xdr:rowOff>0</xdr:rowOff>
    </xdr:from>
    <xdr:to>
      <xdr:col>13</xdr:col>
      <xdr:colOff>0</xdr:colOff>
      <xdr:row>3531</xdr:row>
      <xdr:rowOff>114300</xdr:rowOff>
    </xdr:to>
    <xdr:pic>
      <xdr:nvPicPr>
        <xdr:cNvPr id="3891" name="Imagen 3890" descr="Ver detalle">
          <a:hlinkClick xmlns:r="http://schemas.openxmlformats.org/officeDocument/2006/relationships" r:id="rId3832" tooltip="Ver detalle"/>
          <a:extLst>
            <a:ext uri="{FF2B5EF4-FFF2-40B4-BE49-F238E27FC236}">
              <a16:creationId xmlns:a16="http://schemas.microsoft.com/office/drawing/2014/main" id="{2EE607EB-1F7D-EE71-7C7F-A5FC2184F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3819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3527</xdr:row>
      <xdr:rowOff>0</xdr:rowOff>
    </xdr:from>
    <xdr:to>
      <xdr:col>13</xdr:col>
      <xdr:colOff>0</xdr:colOff>
      <xdr:row>3528</xdr:row>
      <xdr:rowOff>114300</xdr:rowOff>
    </xdr:to>
    <xdr:pic>
      <xdr:nvPicPr>
        <xdr:cNvPr id="3892" name="Imagen 3891" descr="Ver detalle">
          <a:hlinkClick xmlns:r="http://schemas.openxmlformats.org/officeDocument/2006/relationships" r:id="rId3833" tooltip="Ver detalle"/>
          <a:extLst>
            <a:ext uri="{FF2B5EF4-FFF2-40B4-BE49-F238E27FC236}">
              <a16:creationId xmlns:a16="http://schemas.microsoft.com/office/drawing/2014/main" id="{E4514D74-28DB-BE18-68E3-D122FBD80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3934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3523</xdr:row>
      <xdr:rowOff>0</xdr:rowOff>
    </xdr:from>
    <xdr:to>
      <xdr:col>13</xdr:col>
      <xdr:colOff>0</xdr:colOff>
      <xdr:row>3524</xdr:row>
      <xdr:rowOff>114300</xdr:rowOff>
    </xdr:to>
    <xdr:pic>
      <xdr:nvPicPr>
        <xdr:cNvPr id="3893" name="Imagen 3892" descr="Ver detalle">
          <a:hlinkClick xmlns:r="http://schemas.openxmlformats.org/officeDocument/2006/relationships" r:id="rId3834" tooltip="Ver detalle"/>
          <a:extLst>
            <a:ext uri="{FF2B5EF4-FFF2-40B4-BE49-F238E27FC236}">
              <a16:creationId xmlns:a16="http://schemas.microsoft.com/office/drawing/2014/main" id="{E812707E-5319-F641-8235-9C8812132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4177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3524</xdr:row>
      <xdr:rowOff>0</xdr:rowOff>
    </xdr:from>
    <xdr:to>
      <xdr:col>13</xdr:col>
      <xdr:colOff>0</xdr:colOff>
      <xdr:row>3525</xdr:row>
      <xdr:rowOff>114300</xdr:rowOff>
    </xdr:to>
    <xdr:pic>
      <xdr:nvPicPr>
        <xdr:cNvPr id="3894" name="Imagen 3893" descr="Ver detalle">
          <a:hlinkClick xmlns:r="http://schemas.openxmlformats.org/officeDocument/2006/relationships" r:id="rId3835" tooltip="Ver detalle"/>
          <a:extLst>
            <a:ext uri="{FF2B5EF4-FFF2-40B4-BE49-F238E27FC236}">
              <a16:creationId xmlns:a16="http://schemas.microsoft.com/office/drawing/2014/main" id="{743A15BF-35E4-639D-A2A1-D564CFD3A5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4421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3522</xdr:row>
      <xdr:rowOff>0</xdr:rowOff>
    </xdr:from>
    <xdr:to>
      <xdr:col>13</xdr:col>
      <xdr:colOff>0</xdr:colOff>
      <xdr:row>3523</xdr:row>
      <xdr:rowOff>114300</xdr:rowOff>
    </xdr:to>
    <xdr:pic>
      <xdr:nvPicPr>
        <xdr:cNvPr id="3895" name="Imagen 3894" descr="Ver detalle">
          <a:hlinkClick xmlns:r="http://schemas.openxmlformats.org/officeDocument/2006/relationships" r:id="rId3836" tooltip="Ver detalle"/>
          <a:extLst>
            <a:ext uri="{FF2B5EF4-FFF2-40B4-BE49-F238E27FC236}">
              <a16:creationId xmlns:a16="http://schemas.microsoft.com/office/drawing/2014/main" id="{C582F66D-AB45-3C27-7031-D64AA43D4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4665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3549</xdr:row>
      <xdr:rowOff>0</xdr:rowOff>
    </xdr:from>
    <xdr:to>
      <xdr:col>13</xdr:col>
      <xdr:colOff>0</xdr:colOff>
      <xdr:row>3550</xdr:row>
      <xdr:rowOff>114300</xdr:rowOff>
    </xdr:to>
    <xdr:pic>
      <xdr:nvPicPr>
        <xdr:cNvPr id="3896" name="Imagen 3895" descr="Ver detalle">
          <a:hlinkClick xmlns:r="http://schemas.openxmlformats.org/officeDocument/2006/relationships" r:id="rId3837" tooltip="Ver detalle"/>
          <a:extLst>
            <a:ext uri="{FF2B5EF4-FFF2-40B4-BE49-F238E27FC236}">
              <a16:creationId xmlns:a16="http://schemas.microsoft.com/office/drawing/2014/main" id="{2B300B1E-CE93-9EDF-2498-9C6C3A23C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4779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3550</xdr:row>
      <xdr:rowOff>0</xdr:rowOff>
    </xdr:from>
    <xdr:to>
      <xdr:col>13</xdr:col>
      <xdr:colOff>0</xdr:colOff>
      <xdr:row>3551</xdr:row>
      <xdr:rowOff>114300</xdr:rowOff>
    </xdr:to>
    <xdr:pic>
      <xdr:nvPicPr>
        <xdr:cNvPr id="3897" name="Imagen 3896" descr="Ver detalle">
          <a:hlinkClick xmlns:r="http://schemas.openxmlformats.org/officeDocument/2006/relationships" r:id="rId3838" tooltip="Ver detalle"/>
          <a:extLst>
            <a:ext uri="{FF2B5EF4-FFF2-40B4-BE49-F238E27FC236}">
              <a16:creationId xmlns:a16="http://schemas.microsoft.com/office/drawing/2014/main" id="{86ED431D-AB77-C7D1-CB5D-CE5F31B57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5023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3518</xdr:row>
      <xdr:rowOff>0</xdr:rowOff>
    </xdr:from>
    <xdr:to>
      <xdr:col>13</xdr:col>
      <xdr:colOff>0</xdr:colOff>
      <xdr:row>3519</xdr:row>
      <xdr:rowOff>114300</xdr:rowOff>
    </xdr:to>
    <xdr:pic>
      <xdr:nvPicPr>
        <xdr:cNvPr id="3898" name="Imagen 3897" descr="Ver detalle">
          <a:hlinkClick xmlns:r="http://schemas.openxmlformats.org/officeDocument/2006/relationships" r:id="rId3839" tooltip="Ver detalle"/>
          <a:extLst>
            <a:ext uri="{FF2B5EF4-FFF2-40B4-BE49-F238E27FC236}">
              <a16:creationId xmlns:a16="http://schemas.microsoft.com/office/drawing/2014/main" id="{354007D8-EEAE-588A-5788-FD9F792D7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5267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3515</xdr:row>
      <xdr:rowOff>0</xdr:rowOff>
    </xdr:from>
    <xdr:to>
      <xdr:col>13</xdr:col>
      <xdr:colOff>0</xdr:colOff>
      <xdr:row>3516</xdr:row>
      <xdr:rowOff>114300</xdr:rowOff>
    </xdr:to>
    <xdr:pic>
      <xdr:nvPicPr>
        <xdr:cNvPr id="3899" name="Imagen 3898" descr="Ver detalle">
          <a:hlinkClick xmlns:r="http://schemas.openxmlformats.org/officeDocument/2006/relationships" r:id="rId3840" tooltip="Ver detalle"/>
          <a:extLst>
            <a:ext uri="{FF2B5EF4-FFF2-40B4-BE49-F238E27FC236}">
              <a16:creationId xmlns:a16="http://schemas.microsoft.com/office/drawing/2014/main" id="{40137307-EE9E-C02C-566E-998D131AB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5511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3543</xdr:row>
      <xdr:rowOff>0</xdr:rowOff>
    </xdr:from>
    <xdr:to>
      <xdr:col>13</xdr:col>
      <xdr:colOff>0</xdr:colOff>
      <xdr:row>3544</xdr:row>
      <xdr:rowOff>114300</xdr:rowOff>
    </xdr:to>
    <xdr:pic>
      <xdr:nvPicPr>
        <xdr:cNvPr id="3900" name="Imagen 3899" descr="Ver detalle">
          <a:hlinkClick xmlns:r="http://schemas.openxmlformats.org/officeDocument/2006/relationships" r:id="rId3841" tooltip="Ver detalle"/>
          <a:extLst>
            <a:ext uri="{FF2B5EF4-FFF2-40B4-BE49-F238E27FC236}">
              <a16:creationId xmlns:a16="http://schemas.microsoft.com/office/drawing/2014/main" id="{2B027E2D-EAC1-41B8-C3DD-352EFF2D2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5755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3544</xdr:row>
      <xdr:rowOff>0</xdr:rowOff>
    </xdr:from>
    <xdr:to>
      <xdr:col>13</xdr:col>
      <xdr:colOff>0</xdr:colOff>
      <xdr:row>3545</xdr:row>
      <xdr:rowOff>114300</xdr:rowOff>
    </xdr:to>
    <xdr:pic>
      <xdr:nvPicPr>
        <xdr:cNvPr id="3901" name="Imagen 3900" descr="Ver detalle">
          <a:hlinkClick xmlns:r="http://schemas.openxmlformats.org/officeDocument/2006/relationships" r:id="rId3842" tooltip="Ver detalle"/>
          <a:extLst>
            <a:ext uri="{FF2B5EF4-FFF2-40B4-BE49-F238E27FC236}">
              <a16:creationId xmlns:a16="http://schemas.microsoft.com/office/drawing/2014/main" id="{1F67F404-D623-5ACC-53F9-B9556333B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5999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3545</xdr:row>
      <xdr:rowOff>0</xdr:rowOff>
    </xdr:from>
    <xdr:to>
      <xdr:col>13</xdr:col>
      <xdr:colOff>0</xdr:colOff>
      <xdr:row>3546</xdr:row>
      <xdr:rowOff>114300</xdr:rowOff>
    </xdr:to>
    <xdr:pic>
      <xdr:nvPicPr>
        <xdr:cNvPr id="3902" name="Imagen 3901" descr="Ver detalle">
          <a:hlinkClick xmlns:r="http://schemas.openxmlformats.org/officeDocument/2006/relationships" r:id="rId3843" tooltip="Ver detalle"/>
          <a:extLst>
            <a:ext uri="{FF2B5EF4-FFF2-40B4-BE49-F238E27FC236}">
              <a16:creationId xmlns:a16="http://schemas.microsoft.com/office/drawing/2014/main" id="{764893C3-A932-16AE-40AA-C79FFF875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6242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3546</xdr:row>
      <xdr:rowOff>0</xdr:rowOff>
    </xdr:from>
    <xdr:to>
      <xdr:col>13</xdr:col>
      <xdr:colOff>0</xdr:colOff>
      <xdr:row>3547</xdr:row>
      <xdr:rowOff>114300</xdr:rowOff>
    </xdr:to>
    <xdr:pic>
      <xdr:nvPicPr>
        <xdr:cNvPr id="3903" name="Imagen 3902" descr="Ver detalle">
          <a:hlinkClick xmlns:r="http://schemas.openxmlformats.org/officeDocument/2006/relationships" r:id="rId3844" tooltip="Ver detalle"/>
          <a:extLst>
            <a:ext uri="{FF2B5EF4-FFF2-40B4-BE49-F238E27FC236}">
              <a16:creationId xmlns:a16="http://schemas.microsoft.com/office/drawing/2014/main" id="{9C1910F4-7272-B0B6-69E9-EAE1F4F2D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6486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3547</xdr:row>
      <xdr:rowOff>0</xdr:rowOff>
    </xdr:from>
    <xdr:to>
      <xdr:col>13</xdr:col>
      <xdr:colOff>0</xdr:colOff>
      <xdr:row>3548</xdr:row>
      <xdr:rowOff>114300</xdr:rowOff>
    </xdr:to>
    <xdr:pic>
      <xdr:nvPicPr>
        <xdr:cNvPr id="3904" name="Imagen 3903" descr="Ver detalle">
          <a:hlinkClick xmlns:r="http://schemas.openxmlformats.org/officeDocument/2006/relationships" r:id="rId3845" tooltip="Ver detalle"/>
          <a:extLst>
            <a:ext uri="{FF2B5EF4-FFF2-40B4-BE49-F238E27FC236}">
              <a16:creationId xmlns:a16="http://schemas.microsoft.com/office/drawing/2014/main" id="{BA965A8B-D209-0992-7593-E115F1B8A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6730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3548</xdr:row>
      <xdr:rowOff>0</xdr:rowOff>
    </xdr:from>
    <xdr:to>
      <xdr:col>13</xdr:col>
      <xdr:colOff>0</xdr:colOff>
      <xdr:row>3549</xdr:row>
      <xdr:rowOff>114300</xdr:rowOff>
    </xdr:to>
    <xdr:pic>
      <xdr:nvPicPr>
        <xdr:cNvPr id="3905" name="Imagen 3904" descr="Ver detalle">
          <a:hlinkClick xmlns:r="http://schemas.openxmlformats.org/officeDocument/2006/relationships" r:id="rId3846" tooltip="Ver detalle"/>
          <a:extLst>
            <a:ext uri="{FF2B5EF4-FFF2-40B4-BE49-F238E27FC236}">
              <a16:creationId xmlns:a16="http://schemas.microsoft.com/office/drawing/2014/main" id="{0F8C044B-8878-29DD-CDFF-EB31292D7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6974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3519</xdr:row>
      <xdr:rowOff>0</xdr:rowOff>
    </xdr:from>
    <xdr:to>
      <xdr:col>13</xdr:col>
      <xdr:colOff>0</xdr:colOff>
      <xdr:row>3520</xdr:row>
      <xdr:rowOff>114300</xdr:rowOff>
    </xdr:to>
    <xdr:pic>
      <xdr:nvPicPr>
        <xdr:cNvPr id="3906" name="Imagen 3905" descr="Ver detalle">
          <a:hlinkClick xmlns:r="http://schemas.openxmlformats.org/officeDocument/2006/relationships" r:id="rId3847" tooltip="Ver detalle"/>
          <a:extLst>
            <a:ext uri="{FF2B5EF4-FFF2-40B4-BE49-F238E27FC236}">
              <a16:creationId xmlns:a16="http://schemas.microsoft.com/office/drawing/2014/main" id="{560F9016-B21A-6A1E-54C9-B9F853385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7218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3521</xdr:row>
      <xdr:rowOff>0</xdr:rowOff>
    </xdr:from>
    <xdr:to>
      <xdr:col>13</xdr:col>
      <xdr:colOff>0</xdr:colOff>
      <xdr:row>3522</xdr:row>
      <xdr:rowOff>114300</xdr:rowOff>
    </xdr:to>
    <xdr:pic>
      <xdr:nvPicPr>
        <xdr:cNvPr id="3907" name="Imagen 3906" descr="Ver detalle">
          <a:hlinkClick xmlns:r="http://schemas.openxmlformats.org/officeDocument/2006/relationships" r:id="rId3848" tooltip="Ver detalle"/>
          <a:extLst>
            <a:ext uri="{FF2B5EF4-FFF2-40B4-BE49-F238E27FC236}">
              <a16:creationId xmlns:a16="http://schemas.microsoft.com/office/drawing/2014/main" id="{9315BE54-E85C-BFD0-6E22-EA01DD508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7543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3508</xdr:row>
      <xdr:rowOff>0</xdr:rowOff>
    </xdr:from>
    <xdr:to>
      <xdr:col>13</xdr:col>
      <xdr:colOff>0</xdr:colOff>
      <xdr:row>3509</xdr:row>
      <xdr:rowOff>114300</xdr:rowOff>
    </xdr:to>
    <xdr:pic>
      <xdr:nvPicPr>
        <xdr:cNvPr id="3908" name="Imagen 3907" descr="Ver detalle">
          <a:hlinkClick xmlns:r="http://schemas.openxmlformats.org/officeDocument/2006/relationships" r:id="rId3849" tooltip="Ver detalle"/>
          <a:extLst>
            <a:ext uri="{FF2B5EF4-FFF2-40B4-BE49-F238E27FC236}">
              <a16:creationId xmlns:a16="http://schemas.microsoft.com/office/drawing/2014/main" id="{3E09A2E0-626D-503A-94E8-4F5E046B2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7706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3509</xdr:row>
      <xdr:rowOff>0</xdr:rowOff>
    </xdr:from>
    <xdr:to>
      <xdr:col>13</xdr:col>
      <xdr:colOff>0</xdr:colOff>
      <xdr:row>3510</xdr:row>
      <xdr:rowOff>114300</xdr:rowOff>
    </xdr:to>
    <xdr:pic>
      <xdr:nvPicPr>
        <xdr:cNvPr id="3909" name="Imagen 3908" descr="Ver detalle">
          <a:hlinkClick xmlns:r="http://schemas.openxmlformats.org/officeDocument/2006/relationships" r:id="rId3850" tooltip="Ver detalle"/>
          <a:extLst>
            <a:ext uri="{FF2B5EF4-FFF2-40B4-BE49-F238E27FC236}">
              <a16:creationId xmlns:a16="http://schemas.microsoft.com/office/drawing/2014/main" id="{FC8AE758-0FC9-F727-16B9-9B23564E0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7950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3510</xdr:row>
      <xdr:rowOff>0</xdr:rowOff>
    </xdr:from>
    <xdr:to>
      <xdr:col>13</xdr:col>
      <xdr:colOff>0</xdr:colOff>
      <xdr:row>3511</xdr:row>
      <xdr:rowOff>114300</xdr:rowOff>
    </xdr:to>
    <xdr:pic>
      <xdr:nvPicPr>
        <xdr:cNvPr id="3910" name="Imagen 3909" descr="Ver detalle">
          <a:hlinkClick xmlns:r="http://schemas.openxmlformats.org/officeDocument/2006/relationships" r:id="rId3851" tooltip="Ver detalle"/>
          <a:extLst>
            <a:ext uri="{FF2B5EF4-FFF2-40B4-BE49-F238E27FC236}">
              <a16:creationId xmlns:a16="http://schemas.microsoft.com/office/drawing/2014/main" id="{3F5F5CC2-7AD9-F71A-FBA8-7A573F619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8194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3512</xdr:row>
      <xdr:rowOff>0</xdr:rowOff>
    </xdr:from>
    <xdr:to>
      <xdr:col>13</xdr:col>
      <xdr:colOff>0</xdr:colOff>
      <xdr:row>3513</xdr:row>
      <xdr:rowOff>114300</xdr:rowOff>
    </xdr:to>
    <xdr:pic>
      <xdr:nvPicPr>
        <xdr:cNvPr id="3911" name="Imagen 3910" descr="Ver detalle">
          <a:hlinkClick xmlns:r="http://schemas.openxmlformats.org/officeDocument/2006/relationships" r:id="rId3852" tooltip="Ver detalle"/>
          <a:extLst>
            <a:ext uri="{FF2B5EF4-FFF2-40B4-BE49-F238E27FC236}">
              <a16:creationId xmlns:a16="http://schemas.microsoft.com/office/drawing/2014/main" id="{3D15FE16-CDBC-A999-0310-26BB7A924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8438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3511</xdr:row>
      <xdr:rowOff>0</xdr:rowOff>
    </xdr:from>
    <xdr:to>
      <xdr:col>13</xdr:col>
      <xdr:colOff>0</xdr:colOff>
      <xdr:row>3512</xdr:row>
      <xdr:rowOff>114300</xdr:rowOff>
    </xdr:to>
    <xdr:pic>
      <xdr:nvPicPr>
        <xdr:cNvPr id="3912" name="Imagen 3911" descr="Ver detalle">
          <a:hlinkClick xmlns:r="http://schemas.openxmlformats.org/officeDocument/2006/relationships" r:id="rId3853" tooltip="Ver detalle"/>
          <a:extLst>
            <a:ext uri="{FF2B5EF4-FFF2-40B4-BE49-F238E27FC236}">
              <a16:creationId xmlns:a16="http://schemas.microsoft.com/office/drawing/2014/main" id="{1452DB1B-E5AB-6173-BDBB-4757D65AA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8552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3513</xdr:row>
      <xdr:rowOff>0</xdr:rowOff>
    </xdr:from>
    <xdr:to>
      <xdr:col>13</xdr:col>
      <xdr:colOff>0</xdr:colOff>
      <xdr:row>3514</xdr:row>
      <xdr:rowOff>114300</xdr:rowOff>
    </xdr:to>
    <xdr:pic>
      <xdr:nvPicPr>
        <xdr:cNvPr id="3913" name="Imagen 3912" descr="Ver detalle">
          <a:hlinkClick xmlns:r="http://schemas.openxmlformats.org/officeDocument/2006/relationships" r:id="rId3854" tooltip="Ver detalle"/>
          <a:extLst>
            <a:ext uri="{FF2B5EF4-FFF2-40B4-BE49-F238E27FC236}">
              <a16:creationId xmlns:a16="http://schemas.microsoft.com/office/drawing/2014/main" id="{BFBB520E-1F59-CDA3-C5FC-A91233BAD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8715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3516</xdr:row>
      <xdr:rowOff>0</xdr:rowOff>
    </xdr:from>
    <xdr:to>
      <xdr:col>13</xdr:col>
      <xdr:colOff>0</xdr:colOff>
      <xdr:row>3517</xdr:row>
      <xdr:rowOff>114300</xdr:rowOff>
    </xdr:to>
    <xdr:pic>
      <xdr:nvPicPr>
        <xdr:cNvPr id="3914" name="Imagen 3913" descr="Ver detalle">
          <a:hlinkClick xmlns:r="http://schemas.openxmlformats.org/officeDocument/2006/relationships" r:id="rId3855" tooltip="Ver detalle"/>
          <a:extLst>
            <a:ext uri="{FF2B5EF4-FFF2-40B4-BE49-F238E27FC236}">
              <a16:creationId xmlns:a16="http://schemas.microsoft.com/office/drawing/2014/main" id="{C31EE756-57A3-6524-B898-4CD4C3160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8878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3514</xdr:row>
      <xdr:rowOff>0</xdr:rowOff>
    </xdr:from>
    <xdr:to>
      <xdr:col>13</xdr:col>
      <xdr:colOff>0</xdr:colOff>
      <xdr:row>3515</xdr:row>
      <xdr:rowOff>114300</xdr:rowOff>
    </xdr:to>
    <xdr:pic>
      <xdr:nvPicPr>
        <xdr:cNvPr id="3915" name="Imagen 3914" descr="Ver detalle">
          <a:hlinkClick xmlns:r="http://schemas.openxmlformats.org/officeDocument/2006/relationships" r:id="rId3856" tooltip="Ver detalle"/>
          <a:extLst>
            <a:ext uri="{FF2B5EF4-FFF2-40B4-BE49-F238E27FC236}">
              <a16:creationId xmlns:a16="http://schemas.microsoft.com/office/drawing/2014/main" id="{1D01DC19-E62D-7E2C-C96D-89D782C7E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8992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3506</xdr:row>
      <xdr:rowOff>0</xdr:rowOff>
    </xdr:from>
    <xdr:to>
      <xdr:col>13</xdr:col>
      <xdr:colOff>0</xdr:colOff>
      <xdr:row>3507</xdr:row>
      <xdr:rowOff>114300</xdr:rowOff>
    </xdr:to>
    <xdr:pic>
      <xdr:nvPicPr>
        <xdr:cNvPr id="3916" name="Imagen 3915" descr="Ver detalle">
          <a:hlinkClick xmlns:r="http://schemas.openxmlformats.org/officeDocument/2006/relationships" r:id="rId3857" tooltip="Ver detalle"/>
          <a:extLst>
            <a:ext uri="{FF2B5EF4-FFF2-40B4-BE49-F238E27FC236}">
              <a16:creationId xmlns:a16="http://schemas.microsoft.com/office/drawing/2014/main" id="{F06DACF0-BEE5-17F4-98F6-1929028E3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9236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3507</xdr:row>
      <xdr:rowOff>0</xdr:rowOff>
    </xdr:from>
    <xdr:to>
      <xdr:col>13</xdr:col>
      <xdr:colOff>0</xdr:colOff>
      <xdr:row>3508</xdr:row>
      <xdr:rowOff>114300</xdr:rowOff>
    </xdr:to>
    <xdr:pic>
      <xdr:nvPicPr>
        <xdr:cNvPr id="3917" name="Imagen 3916" descr="Ver detalle">
          <a:hlinkClick xmlns:r="http://schemas.openxmlformats.org/officeDocument/2006/relationships" r:id="rId3858" tooltip="Ver detalle"/>
          <a:extLst>
            <a:ext uri="{FF2B5EF4-FFF2-40B4-BE49-F238E27FC236}">
              <a16:creationId xmlns:a16="http://schemas.microsoft.com/office/drawing/2014/main" id="{E780E570-E0D8-ECF4-BDA5-A4DE83E42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9480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3537</xdr:row>
      <xdr:rowOff>0</xdr:rowOff>
    </xdr:from>
    <xdr:to>
      <xdr:col>13</xdr:col>
      <xdr:colOff>0</xdr:colOff>
      <xdr:row>3538</xdr:row>
      <xdr:rowOff>114300</xdr:rowOff>
    </xdr:to>
    <xdr:pic>
      <xdr:nvPicPr>
        <xdr:cNvPr id="3918" name="Imagen 3917" descr="Ver detalle">
          <a:hlinkClick xmlns:r="http://schemas.openxmlformats.org/officeDocument/2006/relationships" r:id="rId3859" tooltip="Ver detalle"/>
          <a:extLst>
            <a:ext uri="{FF2B5EF4-FFF2-40B4-BE49-F238E27FC236}">
              <a16:creationId xmlns:a16="http://schemas.microsoft.com/office/drawing/2014/main" id="{85BDB66A-C140-7E8E-363F-B01F1602C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9594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3517</xdr:row>
      <xdr:rowOff>0</xdr:rowOff>
    </xdr:from>
    <xdr:to>
      <xdr:col>13</xdr:col>
      <xdr:colOff>0</xdr:colOff>
      <xdr:row>3518</xdr:row>
      <xdr:rowOff>114300</xdr:rowOff>
    </xdr:to>
    <xdr:pic>
      <xdr:nvPicPr>
        <xdr:cNvPr id="3919" name="Imagen 3918" descr="Ver detalle">
          <a:hlinkClick xmlns:r="http://schemas.openxmlformats.org/officeDocument/2006/relationships" r:id="rId3860" tooltip="Ver detalle"/>
          <a:extLst>
            <a:ext uri="{FF2B5EF4-FFF2-40B4-BE49-F238E27FC236}">
              <a16:creationId xmlns:a16="http://schemas.microsoft.com/office/drawing/2014/main" id="{AFB8264B-D719-B647-C8E9-15C93EC47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9838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3504</xdr:row>
      <xdr:rowOff>0</xdr:rowOff>
    </xdr:from>
    <xdr:to>
      <xdr:col>13</xdr:col>
      <xdr:colOff>0</xdr:colOff>
      <xdr:row>3505</xdr:row>
      <xdr:rowOff>114300</xdr:rowOff>
    </xdr:to>
    <xdr:pic>
      <xdr:nvPicPr>
        <xdr:cNvPr id="3920" name="Imagen 3919" descr="Ver detalle">
          <a:hlinkClick xmlns:r="http://schemas.openxmlformats.org/officeDocument/2006/relationships" r:id="rId3861" tooltip="Ver detalle"/>
          <a:extLst>
            <a:ext uri="{FF2B5EF4-FFF2-40B4-BE49-F238E27FC236}">
              <a16:creationId xmlns:a16="http://schemas.microsoft.com/office/drawing/2014/main" id="{C806C69A-B289-2D20-4D7A-DAD3963D7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9952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3505</xdr:row>
      <xdr:rowOff>0</xdr:rowOff>
    </xdr:from>
    <xdr:to>
      <xdr:col>13</xdr:col>
      <xdr:colOff>0</xdr:colOff>
      <xdr:row>3506</xdr:row>
      <xdr:rowOff>114300</xdr:rowOff>
    </xdr:to>
    <xdr:pic>
      <xdr:nvPicPr>
        <xdr:cNvPr id="3921" name="Imagen 3920" descr="Ver detalle">
          <a:hlinkClick xmlns:r="http://schemas.openxmlformats.org/officeDocument/2006/relationships" r:id="rId3862" tooltip="Ver detalle"/>
          <a:extLst>
            <a:ext uri="{FF2B5EF4-FFF2-40B4-BE49-F238E27FC236}">
              <a16:creationId xmlns:a16="http://schemas.microsoft.com/office/drawing/2014/main" id="{27778062-E013-EBC5-BAC1-C16C9F80E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80196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3538</xdr:row>
      <xdr:rowOff>0</xdr:rowOff>
    </xdr:from>
    <xdr:to>
      <xdr:col>13</xdr:col>
      <xdr:colOff>0</xdr:colOff>
      <xdr:row>3539</xdr:row>
      <xdr:rowOff>114300</xdr:rowOff>
    </xdr:to>
    <xdr:pic>
      <xdr:nvPicPr>
        <xdr:cNvPr id="3922" name="Imagen 3921" descr="Ver detalle">
          <a:hlinkClick xmlns:r="http://schemas.openxmlformats.org/officeDocument/2006/relationships" r:id="rId3863" tooltip="Ver detalle"/>
          <a:extLst>
            <a:ext uri="{FF2B5EF4-FFF2-40B4-BE49-F238E27FC236}">
              <a16:creationId xmlns:a16="http://schemas.microsoft.com/office/drawing/2014/main" id="{02288943-4E3D-1E99-67BA-C3F98DB4F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80440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3539</xdr:row>
      <xdr:rowOff>0</xdr:rowOff>
    </xdr:from>
    <xdr:to>
      <xdr:col>13</xdr:col>
      <xdr:colOff>0</xdr:colOff>
      <xdr:row>3540</xdr:row>
      <xdr:rowOff>114300</xdr:rowOff>
    </xdr:to>
    <xdr:pic>
      <xdr:nvPicPr>
        <xdr:cNvPr id="3923" name="Imagen 3922" descr="Ver detalle">
          <a:hlinkClick xmlns:r="http://schemas.openxmlformats.org/officeDocument/2006/relationships" r:id="rId3864" tooltip="Ver detalle"/>
          <a:extLst>
            <a:ext uri="{FF2B5EF4-FFF2-40B4-BE49-F238E27FC236}">
              <a16:creationId xmlns:a16="http://schemas.microsoft.com/office/drawing/2014/main" id="{93645E78-C0FD-C63C-594D-DCD933C8BA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80684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3540</xdr:row>
      <xdr:rowOff>0</xdr:rowOff>
    </xdr:from>
    <xdr:to>
      <xdr:col>13</xdr:col>
      <xdr:colOff>0</xdr:colOff>
      <xdr:row>3541</xdr:row>
      <xdr:rowOff>114300</xdr:rowOff>
    </xdr:to>
    <xdr:pic>
      <xdr:nvPicPr>
        <xdr:cNvPr id="3924" name="Imagen 3923" descr="Ver detalle">
          <a:hlinkClick xmlns:r="http://schemas.openxmlformats.org/officeDocument/2006/relationships" r:id="rId3865" tooltip="Ver detalle"/>
          <a:extLst>
            <a:ext uri="{FF2B5EF4-FFF2-40B4-BE49-F238E27FC236}">
              <a16:creationId xmlns:a16="http://schemas.microsoft.com/office/drawing/2014/main" id="{A1BFD45A-0A76-EE8C-4F45-9F79B8D53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80928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3541</xdr:row>
      <xdr:rowOff>0</xdr:rowOff>
    </xdr:from>
    <xdr:to>
      <xdr:col>13</xdr:col>
      <xdr:colOff>0</xdr:colOff>
      <xdr:row>3542</xdr:row>
      <xdr:rowOff>114300</xdr:rowOff>
    </xdr:to>
    <xdr:pic>
      <xdr:nvPicPr>
        <xdr:cNvPr id="3925" name="Imagen 3924" descr="Ver detalle">
          <a:hlinkClick xmlns:r="http://schemas.openxmlformats.org/officeDocument/2006/relationships" r:id="rId3866" tooltip="Ver detalle"/>
          <a:extLst>
            <a:ext uri="{FF2B5EF4-FFF2-40B4-BE49-F238E27FC236}">
              <a16:creationId xmlns:a16="http://schemas.microsoft.com/office/drawing/2014/main" id="{5AEBE14A-0C85-9375-9BA8-D1A624536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81172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agentes.canaldirecto.com.ar/incidents/view/830429-4" TargetMode="External"/><Relationship Id="rId18" Type="http://schemas.openxmlformats.org/officeDocument/2006/relationships/hyperlink" Target="https://webagentes.canaldirecto.com.ar/incidents/view/830020-7" TargetMode="External"/><Relationship Id="rId26" Type="http://schemas.openxmlformats.org/officeDocument/2006/relationships/hyperlink" Target="https://webagentes.canaldirecto.com.ar/incidents/view/829906-2" TargetMode="External"/><Relationship Id="rId39" Type="http://schemas.openxmlformats.org/officeDocument/2006/relationships/hyperlink" Target="https://webagentes.canaldirecto.com.ar/incidents/view/829663-0" TargetMode="External"/><Relationship Id="rId21" Type="http://schemas.openxmlformats.org/officeDocument/2006/relationships/hyperlink" Target="https://webagentes.canaldirecto.com.ar/incidents/view/830015-5" TargetMode="External"/><Relationship Id="rId34" Type="http://schemas.openxmlformats.org/officeDocument/2006/relationships/hyperlink" Target="https://webagentes.canaldirecto.com.ar/incidents/view/829811-5" TargetMode="External"/><Relationship Id="rId42" Type="http://schemas.openxmlformats.org/officeDocument/2006/relationships/hyperlink" Target="https://webagentes.canaldirecto.com.ar/incidents/view/829505-7" TargetMode="External"/><Relationship Id="rId47" Type="http://schemas.openxmlformats.org/officeDocument/2006/relationships/hyperlink" Target="https://webagentes.canaldirecto.com.ar/incidents/view/829500-2" TargetMode="External"/><Relationship Id="rId50" Type="http://schemas.openxmlformats.org/officeDocument/2006/relationships/hyperlink" Target="https://webagentes.canaldirecto.com.ar/incidents/view/829497-9" TargetMode="External"/><Relationship Id="rId55" Type="http://schemas.openxmlformats.org/officeDocument/2006/relationships/hyperlink" Target="https://webagentes.canaldirecto.com.ar/incidents/view/828917-1" TargetMode="External"/><Relationship Id="rId63" Type="http://schemas.openxmlformats.org/officeDocument/2006/relationships/hyperlink" Target="https://webagentes.canaldirecto.com.ar/incidents/view/813463-1" TargetMode="External"/><Relationship Id="rId68" Type="http://schemas.openxmlformats.org/officeDocument/2006/relationships/hyperlink" Target="https://webagentes.canaldirecto.com.ar/incidents/view/830753-8" TargetMode="External"/><Relationship Id="rId76" Type="http://schemas.openxmlformats.org/officeDocument/2006/relationships/hyperlink" Target="https://webagentes.canaldirecto.com.ar/incidents/view/829482-7" TargetMode="External"/><Relationship Id="rId84" Type="http://schemas.openxmlformats.org/officeDocument/2006/relationships/hyperlink" Target="https://webagentes.canaldirecto.com.ar/incidents/view/828707-6" TargetMode="External"/><Relationship Id="rId7" Type="http://schemas.openxmlformats.org/officeDocument/2006/relationships/hyperlink" Target="https://webagentes.canaldirecto.com.ar/incidents/view/831679-4" TargetMode="External"/><Relationship Id="rId71" Type="http://schemas.openxmlformats.org/officeDocument/2006/relationships/hyperlink" Target="https://webagentes.canaldirecto.com.ar/incidents/view/830191-4" TargetMode="External"/><Relationship Id="rId2" Type="http://schemas.openxmlformats.org/officeDocument/2006/relationships/hyperlink" Target="https://webagentes.canaldirecto.com.ar/incidents/view/831916-2" TargetMode="External"/><Relationship Id="rId16" Type="http://schemas.openxmlformats.org/officeDocument/2006/relationships/hyperlink" Target="https://webagentes.canaldirecto.com.ar/incidents/view/830025-2" TargetMode="External"/><Relationship Id="rId29" Type="http://schemas.openxmlformats.org/officeDocument/2006/relationships/hyperlink" Target="https://webagentes.canaldirecto.com.ar/incidents/view/829872-6" TargetMode="External"/><Relationship Id="rId11" Type="http://schemas.openxmlformats.org/officeDocument/2006/relationships/hyperlink" Target="https://webagentes.canaldirecto.com.ar/incidents/view/830431-9" TargetMode="External"/><Relationship Id="rId24" Type="http://schemas.openxmlformats.org/officeDocument/2006/relationships/hyperlink" Target="https://webagentes.canaldirecto.com.ar/incidents/view/829909-9" TargetMode="External"/><Relationship Id="rId32" Type="http://schemas.openxmlformats.org/officeDocument/2006/relationships/hyperlink" Target="https://webagentes.canaldirecto.com.ar/incidents/view/829813-3" TargetMode="External"/><Relationship Id="rId37" Type="http://schemas.openxmlformats.org/officeDocument/2006/relationships/hyperlink" Target="https://webagentes.canaldirecto.com.ar/incidents/view/829665-8" TargetMode="External"/><Relationship Id="rId40" Type="http://schemas.openxmlformats.org/officeDocument/2006/relationships/hyperlink" Target="https://webagentes.canaldirecto.com.ar/incidents/view/829662-1" TargetMode="External"/><Relationship Id="rId45" Type="http://schemas.openxmlformats.org/officeDocument/2006/relationships/hyperlink" Target="https://webagentes.canaldirecto.com.ar/incidents/view/829502-0" TargetMode="External"/><Relationship Id="rId53" Type="http://schemas.openxmlformats.org/officeDocument/2006/relationships/hyperlink" Target="https://webagentes.canaldirecto.com.ar/incidents/view/829494-2" TargetMode="External"/><Relationship Id="rId58" Type="http://schemas.openxmlformats.org/officeDocument/2006/relationships/hyperlink" Target="https://webagentes.canaldirecto.com.ar/incidents/view/828914-4" TargetMode="External"/><Relationship Id="rId66" Type="http://schemas.openxmlformats.org/officeDocument/2006/relationships/hyperlink" Target="https://webagentes.canaldirecto.com.ar/incidents/view/831033-8" TargetMode="External"/><Relationship Id="rId74" Type="http://schemas.openxmlformats.org/officeDocument/2006/relationships/hyperlink" Target="https://webagentes.canaldirecto.com.ar/incidents/view/829799-4" TargetMode="External"/><Relationship Id="rId79" Type="http://schemas.openxmlformats.org/officeDocument/2006/relationships/hyperlink" Target="https://webagentes.canaldirecto.com.ar/incidents/view/829217-5" TargetMode="External"/><Relationship Id="rId87" Type="http://schemas.openxmlformats.org/officeDocument/2006/relationships/hyperlink" Target="https://webagentes.canaldirecto.com.ar/incidents/view/825459-1" TargetMode="External"/><Relationship Id="rId5" Type="http://schemas.openxmlformats.org/officeDocument/2006/relationships/hyperlink" Target="https://webagentes.canaldirecto.com.ar/incidents/view/831681-9" TargetMode="External"/><Relationship Id="rId61" Type="http://schemas.openxmlformats.org/officeDocument/2006/relationships/hyperlink" Target="https://webagentes.canaldirecto.com.ar/incidents/view/827474-4" TargetMode="External"/><Relationship Id="rId82" Type="http://schemas.openxmlformats.org/officeDocument/2006/relationships/hyperlink" Target="https://webagentes.canaldirecto.com.ar/incidents/view/828953-3" TargetMode="External"/><Relationship Id="rId19" Type="http://schemas.openxmlformats.org/officeDocument/2006/relationships/hyperlink" Target="https://webagentes.canaldirecto.com.ar/incidents/view/830017-3" TargetMode="External"/><Relationship Id="rId4" Type="http://schemas.openxmlformats.org/officeDocument/2006/relationships/hyperlink" Target="https://webagentes.canaldirecto.com.ar/incidents/view/831914-4" TargetMode="External"/><Relationship Id="rId9" Type="http://schemas.openxmlformats.org/officeDocument/2006/relationships/hyperlink" Target="https://webagentes.canaldirecto.com.ar/incidents/view/830642-3" TargetMode="External"/><Relationship Id="rId14" Type="http://schemas.openxmlformats.org/officeDocument/2006/relationships/hyperlink" Target="https://webagentes.canaldirecto.com.ar/incidents/view/830428-5" TargetMode="External"/><Relationship Id="rId22" Type="http://schemas.openxmlformats.org/officeDocument/2006/relationships/hyperlink" Target="https://webagentes.canaldirecto.com.ar/incidents/view/830014-6" TargetMode="External"/><Relationship Id="rId27" Type="http://schemas.openxmlformats.org/officeDocument/2006/relationships/hyperlink" Target="https://webagentes.canaldirecto.com.ar/incidents/view/829905-3" TargetMode="External"/><Relationship Id="rId30" Type="http://schemas.openxmlformats.org/officeDocument/2006/relationships/hyperlink" Target="https://webagentes.canaldirecto.com.ar/incidents/view/829815-1" TargetMode="External"/><Relationship Id="rId35" Type="http://schemas.openxmlformats.org/officeDocument/2006/relationships/hyperlink" Target="https://webagentes.canaldirecto.com.ar/incidents/view/829808-1" TargetMode="External"/><Relationship Id="rId43" Type="http://schemas.openxmlformats.org/officeDocument/2006/relationships/hyperlink" Target="https://webagentes.canaldirecto.com.ar/incidents/view/829504-8" TargetMode="External"/><Relationship Id="rId48" Type="http://schemas.openxmlformats.org/officeDocument/2006/relationships/hyperlink" Target="https://webagentes.canaldirecto.com.ar/incidents/view/829499-7" TargetMode="External"/><Relationship Id="rId56" Type="http://schemas.openxmlformats.org/officeDocument/2006/relationships/hyperlink" Target="https://webagentes.canaldirecto.com.ar/incidents/view/828916-2" TargetMode="External"/><Relationship Id="rId64" Type="http://schemas.openxmlformats.org/officeDocument/2006/relationships/hyperlink" Target="https://webagentes.canaldirecto.com.ar/incidents/view/811742-1" TargetMode="External"/><Relationship Id="rId69" Type="http://schemas.openxmlformats.org/officeDocument/2006/relationships/hyperlink" Target="https://webagentes.canaldirecto.com.ar/incidents/view/830570-7" TargetMode="External"/><Relationship Id="rId77" Type="http://schemas.openxmlformats.org/officeDocument/2006/relationships/hyperlink" Target="https://webagentes.canaldirecto.com.ar/incidents/view/829410-0" TargetMode="External"/><Relationship Id="rId8" Type="http://schemas.openxmlformats.org/officeDocument/2006/relationships/hyperlink" Target="https://webagentes.canaldirecto.com.ar/incidents/view/831002-8" TargetMode="External"/><Relationship Id="rId51" Type="http://schemas.openxmlformats.org/officeDocument/2006/relationships/hyperlink" Target="https://webagentes.canaldirecto.com.ar/incidents/view/829496-0" TargetMode="External"/><Relationship Id="rId72" Type="http://schemas.openxmlformats.org/officeDocument/2006/relationships/hyperlink" Target="https://webagentes.canaldirecto.com.ar/incidents/view/830004-9" TargetMode="External"/><Relationship Id="rId80" Type="http://schemas.openxmlformats.org/officeDocument/2006/relationships/hyperlink" Target="https://webagentes.canaldirecto.com.ar/incidents/view/829010-4" TargetMode="External"/><Relationship Id="rId85" Type="http://schemas.openxmlformats.org/officeDocument/2006/relationships/hyperlink" Target="https://webagentes.canaldirecto.com.ar/incidents/view/827802-3" TargetMode="External"/><Relationship Id="rId3" Type="http://schemas.openxmlformats.org/officeDocument/2006/relationships/hyperlink" Target="https://webagentes.canaldirecto.com.ar/incidents/view/831915-3" TargetMode="External"/><Relationship Id="rId12" Type="http://schemas.openxmlformats.org/officeDocument/2006/relationships/hyperlink" Target="https://webagentes.canaldirecto.com.ar/incidents/view/830430-0" TargetMode="External"/><Relationship Id="rId17" Type="http://schemas.openxmlformats.org/officeDocument/2006/relationships/hyperlink" Target="https://webagentes.canaldirecto.com.ar/incidents/view/830024-3" TargetMode="External"/><Relationship Id="rId25" Type="http://schemas.openxmlformats.org/officeDocument/2006/relationships/hyperlink" Target="https://webagentes.canaldirecto.com.ar/incidents/view/829908-0" TargetMode="External"/><Relationship Id="rId33" Type="http://schemas.openxmlformats.org/officeDocument/2006/relationships/hyperlink" Target="https://webagentes.canaldirecto.com.ar/incidents/view/829812-4" TargetMode="External"/><Relationship Id="rId38" Type="http://schemas.openxmlformats.org/officeDocument/2006/relationships/hyperlink" Target="https://webagentes.canaldirecto.com.ar/incidents/view/829664-9" TargetMode="External"/><Relationship Id="rId46" Type="http://schemas.openxmlformats.org/officeDocument/2006/relationships/hyperlink" Target="https://webagentes.canaldirecto.com.ar/incidents/view/829501-1" TargetMode="External"/><Relationship Id="rId59" Type="http://schemas.openxmlformats.org/officeDocument/2006/relationships/hyperlink" Target="https://webagentes.canaldirecto.com.ar/incidents/view/828913-5" TargetMode="External"/><Relationship Id="rId67" Type="http://schemas.openxmlformats.org/officeDocument/2006/relationships/hyperlink" Target="https://webagentes.canaldirecto.com.ar/incidents/view/830754-7" TargetMode="External"/><Relationship Id="rId20" Type="http://schemas.openxmlformats.org/officeDocument/2006/relationships/hyperlink" Target="https://webagentes.canaldirecto.com.ar/incidents/view/830016-4" TargetMode="External"/><Relationship Id="rId41" Type="http://schemas.openxmlformats.org/officeDocument/2006/relationships/hyperlink" Target="https://webagentes.canaldirecto.com.ar/incidents/view/829661-2" TargetMode="External"/><Relationship Id="rId54" Type="http://schemas.openxmlformats.org/officeDocument/2006/relationships/hyperlink" Target="https://webagentes.canaldirecto.com.ar/incidents/view/828918-0" TargetMode="External"/><Relationship Id="rId62" Type="http://schemas.openxmlformats.org/officeDocument/2006/relationships/hyperlink" Target="https://webagentes.canaldirecto.com.ar/incidents/view/824674-1" TargetMode="External"/><Relationship Id="rId70" Type="http://schemas.openxmlformats.org/officeDocument/2006/relationships/hyperlink" Target="https://webagentes.canaldirecto.com.ar/incidents/view/830467-4" TargetMode="External"/><Relationship Id="rId75" Type="http://schemas.openxmlformats.org/officeDocument/2006/relationships/hyperlink" Target="https://webagentes.canaldirecto.com.ar/incidents/view/829637-5" TargetMode="External"/><Relationship Id="rId83" Type="http://schemas.openxmlformats.org/officeDocument/2006/relationships/hyperlink" Target="https://webagentes.canaldirecto.com.ar/incidents/view/828911-7" TargetMode="External"/><Relationship Id="rId88" Type="http://schemas.openxmlformats.org/officeDocument/2006/relationships/printerSettings" Target="../printerSettings/printerSettings1.bin"/><Relationship Id="rId1" Type="http://schemas.openxmlformats.org/officeDocument/2006/relationships/hyperlink" Target="https://webagentes.canaldirecto.com.ar/incidents/view/831917-1" TargetMode="External"/><Relationship Id="rId6" Type="http://schemas.openxmlformats.org/officeDocument/2006/relationships/hyperlink" Target="https://webagentes.canaldirecto.com.ar/incidents/view/831680-0" TargetMode="External"/><Relationship Id="rId15" Type="http://schemas.openxmlformats.org/officeDocument/2006/relationships/hyperlink" Target="https://webagentes.canaldirecto.com.ar/incidents/view/830304-6" TargetMode="External"/><Relationship Id="rId23" Type="http://schemas.openxmlformats.org/officeDocument/2006/relationships/hyperlink" Target="https://webagentes.canaldirecto.com.ar/incidents/view/829910-5" TargetMode="External"/><Relationship Id="rId28" Type="http://schemas.openxmlformats.org/officeDocument/2006/relationships/hyperlink" Target="https://webagentes.canaldirecto.com.ar/incidents/view/829904-4" TargetMode="External"/><Relationship Id="rId36" Type="http://schemas.openxmlformats.org/officeDocument/2006/relationships/hyperlink" Target="https://webagentes.canaldirecto.com.ar/incidents/view/829666-7" TargetMode="External"/><Relationship Id="rId49" Type="http://schemas.openxmlformats.org/officeDocument/2006/relationships/hyperlink" Target="https://webagentes.canaldirecto.com.ar/incidents/view/829498-8" TargetMode="External"/><Relationship Id="rId57" Type="http://schemas.openxmlformats.org/officeDocument/2006/relationships/hyperlink" Target="https://webagentes.canaldirecto.com.ar/incidents/view/828915-3" TargetMode="External"/><Relationship Id="rId10" Type="http://schemas.openxmlformats.org/officeDocument/2006/relationships/hyperlink" Target="https://webagentes.canaldirecto.com.ar/incidents/view/830432-8" TargetMode="External"/><Relationship Id="rId31" Type="http://schemas.openxmlformats.org/officeDocument/2006/relationships/hyperlink" Target="https://webagentes.canaldirecto.com.ar/incidents/view/829814-2" TargetMode="External"/><Relationship Id="rId44" Type="http://schemas.openxmlformats.org/officeDocument/2006/relationships/hyperlink" Target="https://webagentes.canaldirecto.com.ar/incidents/view/829503-9" TargetMode="External"/><Relationship Id="rId52" Type="http://schemas.openxmlformats.org/officeDocument/2006/relationships/hyperlink" Target="https://webagentes.canaldirecto.com.ar/incidents/view/829495-1" TargetMode="External"/><Relationship Id="rId60" Type="http://schemas.openxmlformats.org/officeDocument/2006/relationships/hyperlink" Target="https://webagentes.canaldirecto.com.ar/incidents/view/828912-6" TargetMode="External"/><Relationship Id="rId65" Type="http://schemas.openxmlformats.org/officeDocument/2006/relationships/hyperlink" Target="https://webagentes.canaldirecto.com.ar/incidents/view/831692-5" TargetMode="External"/><Relationship Id="rId73" Type="http://schemas.openxmlformats.org/officeDocument/2006/relationships/hyperlink" Target="https://webagentes.canaldirecto.com.ar/incidents/view/829875-3" TargetMode="External"/><Relationship Id="rId78" Type="http://schemas.openxmlformats.org/officeDocument/2006/relationships/hyperlink" Target="https://webagentes.canaldirecto.com.ar/incidents/view/829263-4" TargetMode="External"/><Relationship Id="rId81" Type="http://schemas.openxmlformats.org/officeDocument/2006/relationships/hyperlink" Target="https://webagentes.canaldirecto.com.ar/incidents/view/829006-1" TargetMode="External"/><Relationship Id="rId86" Type="http://schemas.openxmlformats.org/officeDocument/2006/relationships/hyperlink" Target="https://webagentes.canaldirecto.com.ar/incidents/view/827333-8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ebagentes.canaldirecto.com.ar/incidents/view/687260-3" TargetMode="External"/><Relationship Id="rId299" Type="http://schemas.openxmlformats.org/officeDocument/2006/relationships/hyperlink" Target="https://webagentes.canaldirecto.com.ar/incidents/view/748430-8" TargetMode="External"/><Relationship Id="rId21" Type="http://schemas.openxmlformats.org/officeDocument/2006/relationships/hyperlink" Target="http://webagentes.canaldirecto.com.ar/incidents/view/657259-0" TargetMode="External"/><Relationship Id="rId63" Type="http://schemas.openxmlformats.org/officeDocument/2006/relationships/hyperlink" Target="https://webagentes.canaldirecto.com.ar/incidents/view/668144-5" TargetMode="External"/><Relationship Id="rId159" Type="http://schemas.openxmlformats.org/officeDocument/2006/relationships/hyperlink" Target="https://webagentes.canaldirecto.com.ar/incidents/view/696989-3" TargetMode="External"/><Relationship Id="rId324" Type="http://schemas.openxmlformats.org/officeDocument/2006/relationships/hyperlink" Target="https://webagentes.canaldirecto.com.ar/incidents/view/761295-6" TargetMode="External"/><Relationship Id="rId366" Type="http://schemas.openxmlformats.org/officeDocument/2006/relationships/hyperlink" Target="https://webagentes.canaldirecto.com.ar/incidents/view/771987-9" TargetMode="External"/><Relationship Id="rId531" Type="http://schemas.openxmlformats.org/officeDocument/2006/relationships/hyperlink" Target="https://webagentes.canaldirecto.com.ar/incidents/view/824717-5" TargetMode="External"/><Relationship Id="rId170" Type="http://schemas.openxmlformats.org/officeDocument/2006/relationships/hyperlink" Target="https://webagentes.canaldirecto.com.ar/incidents/view/700641-0" TargetMode="External"/><Relationship Id="rId226" Type="http://schemas.openxmlformats.org/officeDocument/2006/relationships/hyperlink" Target="https://webagentes.canaldirecto.com.ar/incidents/view/725132-0" TargetMode="External"/><Relationship Id="rId433" Type="http://schemas.openxmlformats.org/officeDocument/2006/relationships/hyperlink" Target="https://webagentes.canaldirecto.com.ar/incidents/view/796377-1" TargetMode="External"/><Relationship Id="rId268" Type="http://schemas.openxmlformats.org/officeDocument/2006/relationships/hyperlink" Target="https://webagentes.canaldirecto.com.ar/incidents/view/740206-7" TargetMode="External"/><Relationship Id="rId475" Type="http://schemas.openxmlformats.org/officeDocument/2006/relationships/hyperlink" Target="https://webagentes.canaldirecto.com.ar/incidents/view/812169-1" TargetMode="External"/><Relationship Id="rId32" Type="http://schemas.openxmlformats.org/officeDocument/2006/relationships/hyperlink" Target="http://webagentes.canaldirecto.com.ar/incidents/view/660490-5" TargetMode="External"/><Relationship Id="rId74" Type="http://schemas.openxmlformats.org/officeDocument/2006/relationships/hyperlink" Target="https://webagentes.canaldirecto.com.ar/incidents/view/669608-5" TargetMode="External"/><Relationship Id="rId128" Type="http://schemas.openxmlformats.org/officeDocument/2006/relationships/hyperlink" Target="https://webagentes.canaldirecto.com.ar/incidents/view/689536-7" TargetMode="External"/><Relationship Id="rId335" Type="http://schemas.openxmlformats.org/officeDocument/2006/relationships/hyperlink" Target="https://webagentes.canaldirecto.com.ar/incidents/view/764707-7" TargetMode="External"/><Relationship Id="rId377" Type="http://schemas.openxmlformats.org/officeDocument/2006/relationships/hyperlink" Target="https://webagentes.canaldirecto.com.ar/incidents/view/779209-4" TargetMode="External"/><Relationship Id="rId500" Type="http://schemas.openxmlformats.org/officeDocument/2006/relationships/hyperlink" Target="https://webagentes.canaldirecto.com.ar/incidents/view/818543-1" TargetMode="External"/><Relationship Id="rId5" Type="http://schemas.openxmlformats.org/officeDocument/2006/relationships/hyperlink" Target="http://webagentes.canaldirecto.com.ar/incidents/view/652051-5" TargetMode="External"/><Relationship Id="rId181" Type="http://schemas.openxmlformats.org/officeDocument/2006/relationships/hyperlink" Target="https://webagentes.canaldirecto.com.ar/incidents/view/705230-3" TargetMode="External"/><Relationship Id="rId237" Type="http://schemas.openxmlformats.org/officeDocument/2006/relationships/hyperlink" Target="https://webagentes.canaldirecto.com.ar/incidents/view/726881-6" TargetMode="External"/><Relationship Id="rId402" Type="http://schemas.openxmlformats.org/officeDocument/2006/relationships/hyperlink" Target="https://webagentes.canaldirecto.com.ar/incidents/view/786538-1" TargetMode="External"/><Relationship Id="rId279" Type="http://schemas.openxmlformats.org/officeDocument/2006/relationships/hyperlink" Target="https://webagentes.canaldirecto.com.ar/incidents/view/745598-0" TargetMode="External"/><Relationship Id="rId444" Type="http://schemas.openxmlformats.org/officeDocument/2006/relationships/hyperlink" Target="https://webagentes.canaldirecto.com.ar/incidents/view/798245-7" TargetMode="External"/><Relationship Id="rId486" Type="http://schemas.openxmlformats.org/officeDocument/2006/relationships/hyperlink" Target="https://webagentes.canaldirecto.com.ar/incidents/view/816180-2" TargetMode="External"/><Relationship Id="rId43" Type="http://schemas.openxmlformats.org/officeDocument/2006/relationships/hyperlink" Target="https://webagentes.canaldirecto.com.ar/incidents/view/662602-2" TargetMode="External"/><Relationship Id="rId139" Type="http://schemas.openxmlformats.org/officeDocument/2006/relationships/hyperlink" Target="https://webagentes.canaldirecto.com.ar/incidents/view/691370-6" TargetMode="External"/><Relationship Id="rId290" Type="http://schemas.openxmlformats.org/officeDocument/2006/relationships/hyperlink" Target="https://webagentes.canaldirecto.com.ar/incidents/view/747734-4" TargetMode="External"/><Relationship Id="rId304" Type="http://schemas.openxmlformats.org/officeDocument/2006/relationships/hyperlink" Target="https://webagentes.canaldirecto.com.ar/incidents/view/749279-6" TargetMode="External"/><Relationship Id="rId346" Type="http://schemas.openxmlformats.org/officeDocument/2006/relationships/hyperlink" Target="https://webagentes.canaldirecto.com.ar/incidents/view/767779-5" TargetMode="External"/><Relationship Id="rId388" Type="http://schemas.openxmlformats.org/officeDocument/2006/relationships/hyperlink" Target="https://webagentes.canaldirecto.com.ar/incidents/view/781662-2" TargetMode="External"/><Relationship Id="rId511" Type="http://schemas.openxmlformats.org/officeDocument/2006/relationships/hyperlink" Target="https://webagentes.canaldirecto.com.ar/incidents/view/820257-0" TargetMode="External"/><Relationship Id="rId85" Type="http://schemas.openxmlformats.org/officeDocument/2006/relationships/hyperlink" Target="https://webagentes.canaldirecto.com.ar/incidents/view/674633-5" TargetMode="External"/><Relationship Id="rId150" Type="http://schemas.openxmlformats.org/officeDocument/2006/relationships/hyperlink" Target="https://webagentes.canaldirecto.com.ar/incidents/view/695012-3" TargetMode="External"/><Relationship Id="rId192" Type="http://schemas.openxmlformats.org/officeDocument/2006/relationships/hyperlink" Target="https://webagentes.canaldirecto.com.ar/incidents/view/708283-6" TargetMode="External"/><Relationship Id="rId206" Type="http://schemas.openxmlformats.org/officeDocument/2006/relationships/hyperlink" Target="https://webagentes.canaldirecto.com.ar/incidents/view/715383-3" TargetMode="External"/><Relationship Id="rId413" Type="http://schemas.openxmlformats.org/officeDocument/2006/relationships/hyperlink" Target="https://webagentes.canaldirecto.com.ar/incidents/view/789998-0" TargetMode="External"/><Relationship Id="rId248" Type="http://schemas.openxmlformats.org/officeDocument/2006/relationships/hyperlink" Target="https://webagentes.canaldirecto.com.ar/incidents/view/734268-6" TargetMode="External"/><Relationship Id="rId455" Type="http://schemas.openxmlformats.org/officeDocument/2006/relationships/hyperlink" Target="https://webagentes.canaldirecto.com.ar/incidents/view/802542-1" TargetMode="External"/><Relationship Id="rId497" Type="http://schemas.openxmlformats.org/officeDocument/2006/relationships/hyperlink" Target="https://webagentes.canaldirecto.com.ar/incidents/view/819527-0" TargetMode="External"/><Relationship Id="rId12" Type="http://schemas.openxmlformats.org/officeDocument/2006/relationships/hyperlink" Target="http://webagentes.canaldirecto.com.ar/incidents/view/653340-3" TargetMode="External"/><Relationship Id="rId108" Type="http://schemas.openxmlformats.org/officeDocument/2006/relationships/hyperlink" Target="https://webagentes.canaldirecto.com.ar/incidents/view/683202-1" TargetMode="External"/><Relationship Id="rId315" Type="http://schemas.openxmlformats.org/officeDocument/2006/relationships/hyperlink" Target="https://webagentes.canaldirecto.com.ar/incidents/view/753977-8" TargetMode="External"/><Relationship Id="rId357" Type="http://schemas.openxmlformats.org/officeDocument/2006/relationships/hyperlink" Target="https://webagentes.canaldirecto.com.ar/incidents/view/767187-0" TargetMode="External"/><Relationship Id="rId522" Type="http://schemas.openxmlformats.org/officeDocument/2006/relationships/hyperlink" Target="https://webagentes.canaldirecto.com.ar/incidents/view/828026-8" TargetMode="External"/><Relationship Id="rId54" Type="http://schemas.openxmlformats.org/officeDocument/2006/relationships/hyperlink" Target="https://webagentes.canaldirecto.com.ar/incidents/view/665123-1" TargetMode="External"/><Relationship Id="rId96" Type="http://schemas.openxmlformats.org/officeDocument/2006/relationships/hyperlink" Target="https://webagentes.canaldirecto.com.ar/incidents/view/676823-0" TargetMode="External"/><Relationship Id="rId161" Type="http://schemas.openxmlformats.org/officeDocument/2006/relationships/hyperlink" Target="https://webagentes.canaldirecto.com.ar/incidents/view/697607-9" TargetMode="External"/><Relationship Id="rId217" Type="http://schemas.openxmlformats.org/officeDocument/2006/relationships/hyperlink" Target="https://webagentes.canaldirecto.com.ar/incidents/view/720820-3" TargetMode="External"/><Relationship Id="rId399" Type="http://schemas.openxmlformats.org/officeDocument/2006/relationships/hyperlink" Target="https://webagentes.canaldirecto.com.ar/incidents/view/783080-8" TargetMode="External"/><Relationship Id="rId259" Type="http://schemas.openxmlformats.org/officeDocument/2006/relationships/hyperlink" Target="https://webagentes.canaldirecto.com.ar/incidents/view/737055-5" TargetMode="External"/><Relationship Id="rId424" Type="http://schemas.openxmlformats.org/officeDocument/2006/relationships/hyperlink" Target="https://webagentes.canaldirecto.com.ar/incidents/view/792878-7" TargetMode="External"/><Relationship Id="rId466" Type="http://schemas.openxmlformats.org/officeDocument/2006/relationships/hyperlink" Target="https://webagentes.canaldirecto.com.ar/incidents/view/809072-6" TargetMode="External"/><Relationship Id="rId23" Type="http://schemas.openxmlformats.org/officeDocument/2006/relationships/hyperlink" Target="http://webagentes.canaldirecto.com.ar/incidents/view/654901-5" TargetMode="External"/><Relationship Id="rId119" Type="http://schemas.openxmlformats.org/officeDocument/2006/relationships/hyperlink" Target="https://webagentes.canaldirecto.com.ar/incidents/view/687519-6" TargetMode="External"/><Relationship Id="rId270" Type="http://schemas.openxmlformats.org/officeDocument/2006/relationships/hyperlink" Target="https://webagentes.canaldirecto.com.ar/incidents/view/744127-9" TargetMode="External"/><Relationship Id="rId326" Type="http://schemas.openxmlformats.org/officeDocument/2006/relationships/hyperlink" Target="https://webagentes.canaldirecto.com.ar/incidents/view/760038-6" TargetMode="External"/><Relationship Id="rId533" Type="http://schemas.openxmlformats.org/officeDocument/2006/relationships/hyperlink" Target="https://webagentes.canaldirecto.com.ar/incidents/view/830004-9" TargetMode="External"/><Relationship Id="rId65" Type="http://schemas.openxmlformats.org/officeDocument/2006/relationships/hyperlink" Target="https://webagentes.canaldirecto.com.ar/incidents/view/668746-7" TargetMode="External"/><Relationship Id="rId130" Type="http://schemas.openxmlformats.org/officeDocument/2006/relationships/hyperlink" Target="https://webagentes.canaldirecto.com.ar/incidents/view/689246-7" TargetMode="External"/><Relationship Id="rId368" Type="http://schemas.openxmlformats.org/officeDocument/2006/relationships/hyperlink" Target="https://webagentes.canaldirecto.com.ar/incidents/view/771348-6" TargetMode="External"/><Relationship Id="rId172" Type="http://schemas.openxmlformats.org/officeDocument/2006/relationships/hyperlink" Target="https://webagentes.canaldirecto.com.ar/incidents/view/701871-6" TargetMode="External"/><Relationship Id="rId228" Type="http://schemas.openxmlformats.org/officeDocument/2006/relationships/hyperlink" Target="https://webagentes.canaldirecto.com.ar/incidents/view/723364-3" TargetMode="External"/><Relationship Id="rId435" Type="http://schemas.openxmlformats.org/officeDocument/2006/relationships/hyperlink" Target="https://webagentes.canaldirecto.com.ar/incidents/view/796145-4" TargetMode="External"/><Relationship Id="rId477" Type="http://schemas.openxmlformats.org/officeDocument/2006/relationships/hyperlink" Target="https://webagentes.canaldirecto.com.ar/incidents/view/811375-3" TargetMode="External"/><Relationship Id="rId281" Type="http://schemas.openxmlformats.org/officeDocument/2006/relationships/hyperlink" Target="https://webagentes.canaldirecto.com.ar/incidents/view/744914-7" TargetMode="External"/><Relationship Id="rId337" Type="http://schemas.openxmlformats.org/officeDocument/2006/relationships/hyperlink" Target="https://webagentes.canaldirecto.com.ar/incidents/view/763038-7" TargetMode="External"/><Relationship Id="rId502" Type="http://schemas.openxmlformats.org/officeDocument/2006/relationships/hyperlink" Target="https://webagentes.canaldirecto.com.ar/incidents/view/817729-2" TargetMode="External"/><Relationship Id="rId34" Type="http://schemas.openxmlformats.org/officeDocument/2006/relationships/hyperlink" Target="http://webagentes.canaldirecto.com.ar/incidents/view/660791-1" TargetMode="External"/><Relationship Id="rId76" Type="http://schemas.openxmlformats.org/officeDocument/2006/relationships/hyperlink" Target="https://webagentes.canaldirecto.com.ar/incidents/view/670661-0" TargetMode="External"/><Relationship Id="rId141" Type="http://schemas.openxmlformats.org/officeDocument/2006/relationships/hyperlink" Target="https://webagentes.canaldirecto.com.ar/incidents/view/691978-2" TargetMode="External"/><Relationship Id="rId379" Type="http://schemas.openxmlformats.org/officeDocument/2006/relationships/hyperlink" Target="https://webagentes.canaldirecto.com.ar/incidents/view/778110-4" TargetMode="External"/><Relationship Id="rId7" Type="http://schemas.openxmlformats.org/officeDocument/2006/relationships/hyperlink" Target="http://webagentes.canaldirecto.com.ar/incidents/view/652199-4" TargetMode="External"/><Relationship Id="rId183" Type="http://schemas.openxmlformats.org/officeDocument/2006/relationships/hyperlink" Target="https://webagentes.canaldirecto.com.ar/incidents/view/704426-1" TargetMode="External"/><Relationship Id="rId239" Type="http://schemas.openxmlformats.org/officeDocument/2006/relationships/hyperlink" Target="https://webagentes.canaldirecto.com.ar/incidents/view/729736-8" TargetMode="External"/><Relationship Id="rId390" Type="http://schemas.openxmlformats.org/officeDocument/2006/relationships/hyperlink" Target="https://webagentes.canaldirecto.com.ar/incidents/view/781121-0" TargetMode="External"/><Relationship Id="rId404" Type="http://schemas.openxmlformats.org/officeDocument/2006/relationships/hyperlink" Target="https://webagentes.canaldirecto.com.ar/incidents/view/786085-4" TargetMode="External"/><Relationship Id="rId446" Type="http://schemas.openxmlformats.org/officeDocument/2006/relationships/hyperlink" Target="https://webagentes.canaldirecto.com.ar/incidents/view/800425-1" TargetMode="External"/><Relationship Id="rId250" Type="http://schemas.openxmlformats.org/officeDocument/2006/relationships/hyperlink" Target="https://webagentes.canaldirecto.com.ar/incidents/view/734020-8" TargetMode="External"/><Relationship Id="rId292" Type="http://schemas.openxmlformats.org/officeDocument/2006/relationships/hyperlink" Target="https://webagentes.canaldirecto.com.ar/incidents/view/747986-5" TargetMode="External"/><Relationship Id="rId306" Type="http://schemas.openxmlformats.org/officeDocument/2006/relationships/hyperlink" Target="https://webagentes.canaldirecto.com.ar/incidents/view/750016-5" TargetMode="External"/><Relationship Id="rId488" Type="http://schemas.openxmlformats.org/officeDocument/2006/relationships/hyperlink" Target="https://webagentes.canaldirecto.com.ar/incidents/view/814544-2" TargetMode="External"/><Relationship Id="rId45" Type="http://schemas.openxmlformats.org/officeDocument/2006/relationships/hyperlink" Target="https://webagentes.canaldirecto.com.ar/incidents/view/662422-8" TargetMode="External"/><Relationship Id="rId87" Type="http://schemas.openxmlformats.org/officeDocument/2006/relationships/hyperlink" Target="https://webagentes.canaldirecto.com.ar/incidents/view/674154-3" TargetMode="External"/><Relationship Id="rId110" Type="http://schemas.openxmlformats.org/officeDocument/2006/relationships/hyperlink" Target="https://webagentes.canaldirecto.com.ar/incidents/view/683572-7" TargetMode="External"/><Relationship Id="rId348" Type="http://schemas.openxmlformats.org/officeDocument/2006/relationships/hyperlink" Target="https://webagentes.canaldirecto.com.ar/incidents/view/767705-0" TargetMode="External"/><Relationship Id="rId513" Type="http://schemas.openxmlformats.org/officeDocument/2006/relationships/hyperlink" Target="https://webagentes.canaldirecto.com.ar/incidents/view/818423-8" TargetMode="External"/><Relationship Id="rId152" Type="http://schemas.openxmlformats.org/officeDocument/2006/relationships/hyperlink" Target="https://webagentes.canaldirecto.com.ar/incidents/view/692362-4" TargetMode="External"/><Relationship Id="rId194" Type="http://schemas.openxmlformats.org/officeDocument/2006/relationships/hyperlink" Target="https://webagentes.canaldirecto.com.ar/incidents/view/707066-4" TargetMode="External"/><Relationship Id="rId208" Type="http://schemas.openxmlformats.org/officeDocument/2006/relationships/hyperlink" Target="https://webagentes.canaldirecto.com.ar/incidents/view/716348-7" TargetMode="External"/><Relationship Id="rId415" Type="http://schemas.openxmlformats.org/officeDocument/2006/relationships/hyperlink" Target="https://webagentes.canaldirecto.com.ar/incidents/view/790161-0" TargetMode="External"/><Relationship Id="rId457" Type="http://schemas.openxmlformats.org/officeDocument/2006/relationships/hyperlink" Target="https://webagentes.canaldirecto.com.ar/incidents/view/803027-4" TargetMode="External"/><Relationship Id="rId261" Type="http://schemas.openxmlformats.org/officeDocument/2006/relationships/hyperlink" Target="https://webagentes.canaldirecto.com.ar/incidents/view/737869-0" TargetMode="External"/><Relationship Id="rId499" Type="http://schemas.openxmlformats.org/officeDocument/2006/relationships/hyperlink" Target="https://webagentes.canaldirecto.com.ar/incidents/view/818792-5" TargetMode="External"/><Relationship Id="rId14" Type="http://schemas.openxmlformats.org/officeDocument/2006/relationships/hyperlink" Target="http://webagentes.canaldirecto.com.ar/incidents/view/654960-8" TargetMode="External"/><Relationship Id="rId56" Type="http://schemas.openxmlformats.org/officeDocument/2006/relationships/hyperlink" Target="https://webagentes.canaldirecto.com.ar/incidents/view/665766-0" TargetMode="External"/><Relationship Id="rId317" Type="http://schemas.openxmlformats.org/officeDocument/2006/relationships/hyperlink" Target="https://webagentes.canaldirecto.com.ar/incidents/view/755627-0" TargetMode="External"/><Relationship Id="rId359" Type="http://schemas.openxmlformats.org/officeDocument/2006/relationships/hyperlink" Target="https://webagentes.canaldirecto.com.ar/incidents/view/773469-2" TargetMode="External"/><Relationship Id="rId524" Type="http://schemas.openxmlformats.org/officeDocument/2006/relationships/hyperlink" Target="https://webagentes.canaldirecto.com.ar/incidents/view/827245-4" TargetMode="External"/><Relationship Id="rId98" Type="http://schemas.openxmlformats.org/officeDocument/2006/relationships/hyperlink" Target="https://webagentes.canaldirecto.com.ar/incidents/view/678032-0" TargetMode="External"/><Relationship Id="rId121" Type="http://schemas.openxmlformats.org/officeDocument/2006/relationships/hyperlink" Target="https://webagentes.canaldirecto.com.ar/incidents/view/687654-8" TargetMode="External"/><Relationship Id="rId163" Type="http://schemas.openxmlformats.org/officeDocument/2006/relationships/hyperlink" Target="https://webagentes.canaldirecto.com.ar/incidents/view/699535-7" TargetMode="External"/><Relationship Id="rId219" Type="http://schemas.openxmlformats.org/officeDocument/2006/relationships/hyperlink" Target="https://webagentes.canaldirecto.com.ar/incidents/view/721906-9" TargetMode="External"/><Relationship Id="rId370" Type="http://schemas.openxmlformats.org/officeDocument/2006/relationships/hyperlink" Target="https://webagentes.canaldirecto.com.ar/incidents/view/776655-8" TargetMode="External"/><Relationship Id="rId426" Type="http://schemas.openxmlformats.org/officeDocument/2006/relationships/hyperlink" Target="https://webagentes.canaldirecto.com.ar/incidents/view/792581-4" TargetMode="External"/><Relationship Id="rId230" Type="http://schemas.openxmlformats.org/officeDocument/2006/relationships/hyperlink" Target="https://webagentes.canaldirecto.com.ar/incidents/view/720138-9" TargetMode="External"/><Relationship Id="rId468" Type="http://schemas.openxmlformats.org/officeDocument/2006/relationships/hyperlink" Target="https://webagentes.canaldirecto.com.ar/incidents/view/807937-0" TargetMode="External"/><Relationship Id="rId25" Type="http://schemas.openxmlformats.org/officeDocument/2006/relationships/hyperlink" Target="http://webagentes.canaldirecto.com.ar/incidents/view/658029-8" TargetMode="External"/><Relationship Id="rId46" Type="http://schemas.openxmlformats.org/officeDocument/2006/relationships/hyperlink" Target="https://webagentes.canaldirecto.com.ar/incidents/view/662714-6" TargetMode="External"/><Relationship Id="rId67" Type="http://schemas.openxmlformats.org/officeDocument/2006/relationships/hyperlink" Target="https://webagentes.canaldirecto.com.ar/incidents/view/669308-8" TargetMode="External"/><Relationship Id="rId272" Type="http://schemas.openxmlformats.org/officeDocument/2006/relationships/hyperlink" Target="https://webagentes.canaldirecto.com.ar/incidents/view/742722-4" TargetMode="External"/><Relationship Id="rId293" Type="http://schemas.openxmlformats.org/officeDocument/2006/relationships/hyperlink" Target="https://webagentes.canaldirecto.com.ar/incidents/view/747816-7" TargetMode="External"/><Relationship Id="rId307" Type="http://schemas.openxmlformats.org/officeDocument/2006/relationships/hyperlink" Target="https://webagentes.canaldirecto.com.ar/incidents/view/749663-1" TargetMode="External"/><Relationship Id="rId328" Type="http://schemas.openxmlformats.org/officeDocument/2006/relationships/hyperlink" Target="https://webagentes.canaldirecto.com.ar/incidents/view/761816-3" TargetMode="External"/><Relationship Id="rId349" Type="http://schemas.openxmlformats.org/officeDocument/2006/relationships/hyperlink" Target="https://webagentes.canaldirecto.com.ar/incidents/view/770533-5" TargetMode="External"/><Relationship Id="rId514" Type="http://schemas.openxmlformats.org/officeDocument/2006/relationships/hyperlink" Target="https://webagentes.canaldirecto.com.ar/incidents/view/824857-2" TargetMode="External"/><Relationship Id="rId535" Type="http://schemas.openxmlformats.org/officeDocument/2006/relationships/printerSettings" Target="../printerSettings/printerSettings2.bin"/><Relationship Id="rId88" Type="http://schemas.openxmlformats.org/officeDocument/2006/relationships/hyperlink" Target="https://webagentes.canaldirecto.com.ar/incidents/view/673686-0" TargetMode="External"/><Relationship Id="rId111" Type="http://schemas.openxmlformats.org/officeDocument/2006/relationships/hyperlink" Target="https://webagentes.canaldirecto.com.ar/incidents/view/684764-3" TargetMode="External"/><Relationship Id="rId132" Type="http://schemas.openxmlformats.org/officeDocument/2006/relationships/hyperlink" Target="https://webagentes.canaldirecto.com.ar/incidents/view/690638-0" TargetMode="External"/><Relationship Id="rId153" Type="http://schemas.openxmlformats.org/officeDocument/2006/relationships/hyperlink" Target="https://webagentes.canaldirecto.com.ar/incidents/view/695161-8" TargetMode="External"/><Relationship Id="rId174" Type="http://schemas.openxmlformats.org/officeDocument/2006/relationships/hyperlink" Target="https://webagentes.canaldirecto.com.ar/incidents/view/702784-8" TargetMode="External"/><Relationship Id="rId195" Type="http://schemas.openxmlformats.org/officeDocument/2006/relationships/hyperlink" Target="https://webagentes.canaldirecto.com.ar/incidents/view/705881-1" TargetMode="External"/><Relationship Id="rId209" Type="http://schemas.openxmlformats.org/officeDocument/2006/relationships/hyperlink" Target="https://webagentes.canaldirecto.com.ar/incidents/view/716185-0" TargetMode="External"/><Relationship Id="rId360" Type="http://schemas.openxmlformats.org/officeDocument/2006/relationships/hyperlink" Target="https://webagentes.canaldirecto.com.ar/incidents/view/773172-9" TargetMode="External"/><Relationship Id="rId381" Type="http://schemas.openxmlformats.org/officeDocument/2006/relationships/hyperlink" Target="https://webagentes.canaldirecto.com.ar/incidents/view/777739-6" TargetMode="External"/><Relationship Id="rId416" Type="http://schemas.openxmlformats.org/officeDocument/2006/relationships/hyperlink" Target="https://webagentes.canaldirecto.com.ar/incidents/view/791470-2" TargetMode="External"/><Relationship Id="rId220" Type="http://schemas.openxmlformats.org/officeDocument/2006/relationships/hyperlink" Target="https://webagentes.canaldirecto.com.ar/incidents/view/721823-7" TargetMode="External"/><Relationship Id="rId241" Type="http://schemas.openxmlformats.org/officeDocument/2006/relationships/hyperlink" Target="https://webagentes.canaldirecto.com.ar/incidents/view/731605-2" TargetMode="External"/><Relationship Id="rId437" Type="http://schemas.openxmlformats.org/officeDocument/2006/relationships/hyperlink" Target="https://webagentes.canaldirecto.com.ar/incidents/view/795334-9" TargetMode="External"/><Relationship Id="rId458" Type="http://schemas.openxmlformats.org/officeDocument/2006/relationships/hyperlink" Target="https://webagentes.canaldirecto.com.ar/incidents/view/804180-9" TargetMode="External"/><Relationship Id="rId479" Type="http://schemas.openxmlformats.org/officeDocument/2006/relationships/hyperlink" Target="https://webagentes.canaldirecto.com.ar/incidents/view/811039-4" TargetMode="External"/><Relationship Id="rId15" Type="http://schemas.openxmlformats.org/officeDocument/2006/relationships/hyperlink" Target="http://webagentes.canaldirecto.com.ar/incidents/view/655087-1" TargetMode="External"/><Relationship Id="rId36" Type="http://schemas.openxmlformats.org/officeDocument/2006/relationships/hyperlink" Target="https://webagentes.canaldirecto.com.ar/incidents/view/661610-4" TargetMode="External"/><Relationship Id="rId57" Type="http://schemas.openxmlformats.org/officeDocument/2006/relationships/hyperlink" Target="https://webagentes.canaldirecto.com.ar/incidents/view/667017-5" TargetMode="External"/><Relationship Id="rId262" Type="http://schemas.openxmlformats.org/officeDocument/2006/relationships/hyperlink" Target="https://webagentes.canaldirecto.com.ar/incidents/view/738502-5" TargetMode="External"/><Relationship Id="rId283" Type="http://schemas.openxmlformats.org/officeDocument/2006/relationships/hyperlink" Target="https://webagentes.canaldirecto.com.ar/incidents/view/739547-5" TargetMode="External"/><Relationship Id="rId318" Type="http://schemas.openxmlformats.org/officeDocument/2006/relationships/hyperlink" Target="https://webagentes.canaldirecto.com.ar/incidents/view/756936-2" TargetMode="External"/><Relationship Id="rId339" Type="http://schemas.openxmlformats.org/officeDocument/2006/relationships/hyperlink" Target="https://webagentes.canaldirecto.com.ar/incidents/view/766305-7" TargetMode="External"/><Relationship Id="rId490" Type="http://schemas.openxmlformats.org/officeDocument/2006/relationships/hyperlink" Target="https://webagentes.canaldirecto.com.ar/incidents/view/813982-1" TargetMode="External"/><Relationship Id="rId504" Type="http://schemas.openxmlformats.org/officeDocument/2006/relationships/hyperlink" Target="https://www.google.com/maps/dir/CCM,+Alvear+391,+Rafaela,+Santa+Fe/Tte.+Gral.+Ricchieri+%26+Mitri,+Sunchales,+Santa+Fe/Teniente+General+Ricchieri+369,+Sunchales,+Santa+Fe/CCM,+Alvear+391,+S2300+Rafaela,+Santa+Fe/@-31.0943148,-61.6779939,54593m/data=!3m2!1e3!4b1!4m26!4m25!1m5!1m1!1s0x95caae470cdd3d25:0xad2a71c255fc1902!2m2!1d-61.4887207!2d-31.2495334!1m5!1m1!1s0x94354454023885c3:0xe24a8bc8cc60bd60!2m2!1d-61.5656824!2d-30.9400336!1m5!1m1!1s0x94354451e49dd705:0x29313697c4fd5c7a!2m2!1d-61.5716359!2d-30.9406092!1m5!1m1!1s0x95caae470cdd3d25:0xad2a71c255fc1902!2m2!1d-61.4887207!2d-31.2495334!3e0?entry=ttu&amp;g_ep=EgoyMDI1MTIwOS4wIKXMDSoASAFQAw%3D%3D" TargetMode="External"/><Relationship Id="rId525" Type="http://schemas.openxmlformats.org/officeDocument/2006/relationships/hyperlink" Target="https://webagentes.canaldirecto.com.ar/incidents/view/826948-7" TargetMode="External"/><Relationship Id="rId78" Type="http://schemas.openxmlformats.org/officeDocument/2006/relationships/hyperlink" Target="https://webagentes.canaldirecto.com.ar/incidents/view/670606-3" TargetMode="External"/><Relationship Id="rId99" Type="http://schemas.openxmlformats.org/officeDocument/2006/relationships/hyperlink" Target="https://webagentes.canaldirecto.com.ar/incidents/view/677947-6" TargetMode="External"/><Relationship Id="rId101" Type="http://schemas.openxmlformats.org/officeDocument/2006/relationships/hyperlink" Target="https://webagentes.canaldirecto.com.ar/incidents/view/680004-0" TargetMode="External"/><Relationship Id="rId122" Type="http://schemas.openxmlformats.org/officeDocument/2006/relationships/hyperlink" Target="https://webagentes.canaldirecto.com.ar/incidents/view/687530-9" TargetMode="External"/><Relationship Id="rId143" Type="http://schemas.openxmlformats.org/officeDocument/2006/relationships/hyperlink" Target="https://webagentes.canaldirecto.com.ar/incidents/view/690400-9" TargetMode="External"/><Relationship Id="rId164" Type="http://schemas.openxmlformats.org/officeDocument/2006/relationships/hyperlink" Target="https://webagentes.canaldirecto.com.ar/incidents/view/699454-3" TargetMode="External"/><Relationship Id="rId185" Type="http://schemas.openxmlformats.org/officeDocument/2006/relationships/hyperlink" Target="https://webagentes.canaldirecto.com.ar/incidents/view/705776-0" TargetMode="External"/><Relationship Id="rId350" Type="http://schemas.openxmlformats.org/officeDocument/2006/relationships/hyperlink" Target="https://webagentes.canaldirecto.com.ar/incidents/view/770428-4" TargetMode="External"/><Relationship Id="rId371" Type="http://schemas.openxmlformats.org/officeDocument/2006/relationships/hyperlink" Target="https://webagentes.canaldirecto.com.ar/incidents/view/776032-3" TargetMode="External"/><Relationship Id="rId406" Type="http://schemas.openxmlformats.org/officeDocument/2006/relationships/hyperlink" Target="https://webagentes.canaldirecto.com.ar/incidents/view/785619-8" TargetMode="External"/><Relationship Id="rId9" Type="http://schemas.openxmlformats.org/officeDocument/2006/relationships/hyperlink" Target="http://webagentes.canaldirecto.com.ar/incidents/view/648809-7" TargetMode="External"/><Relationship Id="rId210" Type="http://schemas.openxmlformats.org/officeDocument/2006/relationships/hyperlink" Target="https://webagentes.canaldirecto.com.ar/incidents/view/716131-9" TargetMode="External"/><Relationship Id="rId392" Type="http://schemas.openxmlformats.org/officeDocument/2006/relationships/hyperlink" Target="https://webagentes.canaldirecto.com.ar/incidents/view/780297-5" TargetMode="External"/><Relationship Id="rId427" Type="http://schemas.openxmlformats.org/officeDocument/2006/relationships/hyperlink" Target="https://webagentes.canaldirecto.com.ar/incidents/view/792689-5" TargetMode="External"/><Relationship Id="rId448" Type="http://schemas.openxmlformats.org/officeDocument/2006/relationships/hyperlink" Target="https://webagentes.canaldirecto.com.ar/incidents/view/801151-6" TargetMode="External"/><Relationship Id="rId469" Type="http://schemas.openxmlformats.org/officeDocument/2006/relationships/hyperlink" Target="https://webagentes.canaldirecto.com.ar/incidents/view/807066-1" TargetMode="External"/><Relationship Id="rId26" Type="http://schemas.openxmlformats.org/officeDocument/2006/relationships/hyperlink" Target="http://webagentes.canaldirecto.com.ar/incidents/view/658483-2" TargetMode="External"/><Relationship Id="rId231" Type="http://schemas.openxmlformats.org/officeDocument/2006/relationships/hyperlink" Target="https://webagentes.canaldirecto.com.ar/incidents/view/727489-9" TargetMode="External"/><Relationship Id="rId252" Type="http://schemas.openxmlformats.org/officeDocument/2006/relationships/hyperlink" Target="https://webagentes.canaldirecto.com.ar/incidents/view/736736-6" TargetMode="External"/><Relationship Id="rId273" Type="http://schemas.openxmlformats.org/officeDocument/2006/relationships/hyperlink" Target="https://webagentes.canaldirecto.com.ar/incidents/view/742366-2" TargetMode="External"/><Relationship Id="rId294" Type="http://schemas.openxmlformats.org/officeDocument/2006/relationships/hyperlink" Target="https://webagentes.canaldirecto.com.ar/incidents/view/745903-8" TargetMode="External"/><Relationship Id="rId308" Type="http://schemas.openxmlformats.org/officeDocument/2006/relationships/hyperlink" Target="https://webagentes.canaldirecto.com.ar/incidents/view/750687-7" TargetMode="External"/><Relationship Id="rId329" Type="http://schemas.openxmlformats.org/officeDocument/2006/relationships/hyperlink" Target="https://webagentes.canaldirecto.com.ar/incidents/view/763003-1" TargetMode="External"/><Relationship Id="rId480" Type="http://schemas.openxmlformats.org/officeDocument/2006/relationships/hyperlink" Target="https://webagentes.canaldirecto.com.ar/incidents/view/810843-2" TargetMode="External"/><Relationship Id="rId515" Type="http://schemas.openxmlformats.org/officeDocument/2006/relationships/hyperlink" Target="https://webagentes.canaldirecto.com.ar/incidents/view/824830-5" TargetMode="External"/><Relationship Id="rId47" Type="http://schemas.openxmlformats.org/officeDocument/2006/relationships/hyperlink" Target="https://webagentes.canaldirecto.com.ar/incidents/view/662706-7" TargetMode="External"/><Relationship Id="rId68" Type="http://schemas.openxmlformats.org/officeDocument/2006/relationships/hyperlink" Target="https://webagentes.canaldirecto.com.ar/incidents/view/668242-6" TargetMode="External"/><Relationship Id="rId89" Type="http://schemas.openxmlformats.org/officeDocument/2006/relationships/hyperlink" Target="https://webagentes.canaldirecto.com.ar/incidents/view/675624-4" TargetMode="External"/><Relationship Id="rId112" Type="http://schemas.openxmlformats.org/officeDocument/2006/relationships/hyperlink" Target="https://webagentes.canaldirecto.com.ar/incidents/view/684253-2" TargetMode="External"/><Relationship Id="rId133" Type="http://schemas.openxmlformats.org/officeDocument/2006/relationships/hyperlink" Target="https://webagentes.canaldirecto.com.ar/incidents/view/690396-7" TargetMode="External"/><Relationship Id="rId154" Type="http://schemas.openxmlformats.org/officeDocument/2006/relationships/hyperlink" Target="https://webagentes.canaldirecto.com.ar/incidents/view/695070-7" TargetMode="External"/><Relationship Id="rId175" Type="http://schemas.openxmlformats.org/officeDocument/2006/relationships/hyperlink" Target="https://webagentes.canaldirecto.com.ar/incidents/view/703340-5" TargetMode="External"/><Relationship Id="rId340" Type="http://schemas.openxmlformats.org/officeDocument/2006/relationships/hyperlink" Target="https://webagentes.canaldirecto.com.ar/incidents/view/767255-0" TargetMode="External"/><Relationship Id="rId361" Type="http://schemas.openxmlformats.org/officeDocument/2006/relationships/hyperlink" Target="https://webagentes.canaldirecto.com.ar/incidents/view/772793-9" TargetMode="External"/><Relationship Id="rId196" Type="http://schemas.openxmlformats.org/officeDocument/2006/relationships/hyperlink" Target="https://webagentes.canaldirecto.com.ar/incidents/view/693396-8" TargetMode="External"/><Relationship Id="rId200" Type="http://schemas.openxmlformats.org/officeDocument/2006/relationships/hyperlink" Target="https://webagentes.canaldirecto.com.ar/incidents/view/713267-2" TargetMode="External"/><Relationship Id="rId382" Type="http://schemas.openxmlformats.org/officeDocument/2006/relationships/hyperlink" Target="https://webagentes.canaldirecto.com.ar/incidents/view/777405-2" TargetMode="External"/><Relationship Id="rId417" Type="http://schemas.openxmlformats.org/officeDocument/2006/relationships/hyperlink" Target="https://webagentes.canaldirecto.com.ar/incidents/view/791453-5" TargetMode="External"/><Relationship Id="rId438" Type="http://schemas.openxmlformats.org/officeDocument/2006/relationships/hyperlink" Target="https://webagentes.canaldirecto.com.ar/incidents/view/794900-9" TargetMode="External"/><Relationship Id="rId459" Type="http://schemas.openxmlformats.org/officeDocument/2006/relationships/hyperlink" Target="https://webagentes.canaldirecto.com.ar/incidents/view/804626-6" TargetMode="External"/><Relationship Id="rId16" Type="http://schemas.openxmlformats.org/officeDocument/2006/relationships/hyperlink" Target="http://webagentes.canaldirecto.com.ar/incidents/view/655590-0" TargetMode="External"/><Relationship Id="rId221" Type="http://schemas.openxmlformats.org/officeDocument/2006/relationships/hyperlink" Target="https://webagentes.canaldirecto.com.ar/incidents/view/722084-3" TargetMode="External"/><Relationship Id="rId242" Type="http://schemas.openxmlformats.org/officeDocument/2006/relationships/hyperlink" Target="https://webagentes.canaldirecto.com.ar/incidents/view/730335-9" TargetMode="External"/><Relationship Id="rId263" Type="http://schemas.openxmlformats.org/officeDocument/2006/relationships/hyperlink" Target="https://webagentes.canaldirecto.com.ar/incidents/view/737512-5" TargetMode="External"/><Relationship Id="rId284" Type="http://schemas.openxmlformats.org/officeDocument/2006/relationships/hyperlink" Target="https://webagentes.canaldirecto.com.ar/incidents/view/744440-7" TargetMode="External"/><Relationship Id="rId319" Type="http://schemas.openxmlformats.org/officeDocument/2006/relationships/hyperlink" Target="https://webagentes.canaldirecto.com.ar/incidents/view/756915-9" TargetMode="External"/><Relationship Id="rId470" Type="http://schemas.openxmlformats.org/officeDocument/2006/relationships/hyperlink" Target="https://webagentes.canaldirecto.com.ar/incidents/view/807055-5" TargetMode="External"/><Relationship Id="rId491" Type="http://schemas.openxmlformats.org/officeDocument/2006/relationships/hyperlink" Target="https://webagentes.canaldirecto.com.ar/incidents/view/814449-8" TargetMode="External"/><Relationship Id="rId505" Type="http://schemas.openxmlformats.org/officeDocument/2006/relationships/hyperlink" Target="https://webagentes.canaldirecto.com.ar/incidents/view/822604-8" TargetMode="External"/><Relationship Id="rId526" Type="http://schemas.openxmlformats.org/officeDocument/2006/relationships/hyperlink" Target="https://webagentes.canaldirecto.com.ar/incidents/view/826271-2" TargetMode="External"/><Relationship Id="rId37" Type="http://schemas.openxmlformats.org/officeDocument/2006/relationships/hyperlink" Target="https://webagentes.canaldirecto.com.ar/incidents/view/661767-1" TargetMode="External"/><Relationship Id="rId58" Type="http://schemas.openxmlformats.org/officeDocument/2006/relationships/hyperlink" Target="https://webagentes.canaldirecto.com.ar/incidents/view/666822-2" TargetMode="External"/><Relationship Id="rId79" Type="http://schemas.openxmlformats.org/officeDocument/2006/relationships/hyperlink" Target="https://webagentes.canaldirecto.com.ar/incidents/view/670031-5" TargetMode="External"/><Relationship Id="rId102" Type="http://schemas.openxmlformats.org/officeDocument/2006/relationships/hyperlink" Target="https://webagentes.canaldirecto.com.ar/incidents/view/678082-5" TargetMode="External"/><Relationship Id="rId123" Type="http://schemas.openxmlformats.org/officeDocument/2006/relationships/hyperlink" Target="https://webagentes.canaldirecto.com.ar/incidents/view/689110-3" TargetMode="External"/><Relationship Id="rId144" Type="http://schemas.openxmlformats.org/officeDocument/2006/relationships/hyperlink" Target="https://webagentes.canaldirecto.com.ar/incidents/view/693578-0" TargetMode="External"/><Relationship Id="rId330" Type="http://schemas.openxmlformats.org/officeDocument/2006/relationships/hyperlink" Target="https://webagentes.canaldirecto.com.ar/incidents/view/763516-0" TargetMode="External"/><Relationship Id="rId90" Type="http://schemas.openxmlformats.org/officeDocument/2006/relationships/hyperlink" Target="https://webagentes.canaldirecto.com.ar/incidents/view/674042-9" TargetMode="External"/><Relationship Id="rId165" Type="http://schemas.openxmlformats.org/officeDocument/2006/relationships/hyperlink" Target="https://webagentes.canaldirecto.com.ar/incidents/view/700002-7" TargetMode="External"/><Relationship Id="rId186" Type="http://schemas.openxmlformats.org/officeDocument/2006/relationships/hyperlink" Target="https://webagentes.canaldirecto.com.ar/incidents/view/705747-8" TargetMode="External"/><Relationship Id="rId351" Type="http://schemas.openxmlformats.org/officeDocument/2006/relationships/hyperlink" Target="https://webagentes.canaldirecto.com.ar/incidents/view/770156-0" TargetMode="External"/><Relationship Id="rId372" Type="http://schemas.openxmlformats.org/officeDocument/2006/relationships/hyperlink" Target="https://webagentes.canaldirecto.com.ar/incidents/view/776024-4" TargetMode="External"/><Relationship Id="rId393" Type="http://schemas.openxmlformats.org/officeDocument/2006/relationships/hyperlink" Target="https://webagentes.canaldirecto.com.ar/incidents/view/783477-0" TargetMode="External"/><Relationship Id="rId407" Type="http://schemas.openxmlformats.org/officeDocument/2006/relationships/hyperlink" Target="https://webagentes.canaldirecto.com.ar/incidents/view/785600-0" TargetMode="External"/><Relationship Id="rId428" Type="http://schemas.openxmlformats.org/officeDocument/2006/relationships/hyperlink" Target="https://webagentes.canaldirecto.com.ar/incidents/view/793116-1" TargetMode="External"/><Relationship Id="rId449" Type="http://schemas.openxmlformats.org/officeDocument/2006/relationships/hyperlink" Target="https://webagentes.canaldirecto.com.ar/incidents/view/802199-3" TargetMode="External"/><Relationship Id="rId211" Type="http://schemas.openxmlformats.org/officeDocument/2006/relationships/hyperlink" Target="https://webagentes.canaldirecto.com.ar/incidents/view/716124-9" TargetMode="External"/><Relationship Id="rId232" Type="http://schemas.openxmlformats.org/officeDocument/2006/relationships/hyperlink" Target="https://webagentes.canaldirecto.com.ar/incidents/view/726620-7" TargetMode="External"/><Relationship Id="rId253" Type="http://schemas.openxmlformats.org/officeDocument/2006/relationships/hyperlink" Target="https://webagentes.canaldirecto.com.ar/incidents/view/736071-6" TargetMode="External"/><Relationship Id="rId274" Type="http://schemas.openxmlformats.org/officeDocument/2006/relationships/hyperlink" Target="https://webagentes.canaldirecto.com.ar/incidents/view/741893-4" TargetMode="External"/><Relationship Id="rId295" Type="http://schemas.openxmlformats.org/officeDocument/2006/relationships/hyperlink" Target="https://webagentes.canaldirecto.com.ar/incidents/view/748547-7" TargetMode="External"/><Relationship Id="rId309" Type="http://schemas.openxmlformats.org/officeDocument/2006/relationships/hyperlink" Target="https://webagentes.canaldirecto.com.ar/incidents/view/751015-3" TargetMode="External"/><Relationship Id="rId460" Type="http://schemas.openxmlformats.org/officeDocument/2006/relationships/hyperlink" Target="https://webagentes.canaldirecto.com.ar/incidents/view/804079-4" TargetMode="External"/><Relationship Id="rId481" Type="http://schemas.openxmlformats.org/officeDocument/2006/relationships/hyperlink" Target="https://webagentes.canaldirecto.com.ar/incidents/view/810840-5" TargetMode="External"/><Relationship Id="rId516" Type="http://schemas.openxmlformats.org/officeDocument/2006/relationships/hyperlink" Target="https://webagentes.canaldirecto.com.ar/incidents/view/824664-4" TargetMode="External"/><Relationship Id="rId27" Type="http://schemas.openxmlformats.org/officeDocument/2006/relationships/hyperlink" Target="http://webagentes.canaldirecto.com.ar/incidents/view/658384-2" TargetMode="External"/><Relationship Id="rId48" Type="http://schemas.openxmlformats.org/officeDocument/2006/relationships/hyperlink" Target="https://webagentes.canaldirecto.com.ar/incidents/view/663947-9" TargetMode="External"/><Relationship Id="rId69" Type="http://schemas.openxmlformats.org/officeDocument/2006/relationships/hyperlink" Target="https://webagentes.canaldirecto.com.ar/incidents/view/669248-7" TargetMode="External"/><Relationship Id="rId113" Type="http://schemas.openxmlformats.org/officeDocument/2006/relationships/hyperlink" Target="https://webagentes.canaldirecto.com.ar/incidents/view/686644-4" TargetMode="External"/><Relationship Id="rId134" Type="http://schemas.openxmlformats.org/officeDocument/2006/relationships/hyperlink" Target="https://webagentes.canaldirecto.com.ar/incidents/view/690842-1" TargetMode="External"/><Relationship Id="rId320" Type="http://schemas.openxmlformats.org/officeDocument/2006/relationships/hyperlink" Target="https://webagentes.canaldirecto.com.ar/incidents/view/757687-6" TargetMode="External"/><Relationship Id="rId80" Type="http://schemas.openxmlformats.org/officeDocument/2006/relationships/hyperlink" Target="https://webagentes.canaldirecto.com.ar/incidents/view/672774-7" TargetMode="External"/><Relationship Id="rId155" Type="http://schemas.openxmlformats.org/officeDocument/2006/relationships/hyperlink" Target="https://webagentes.canaldirecto.com.ar/incidents/view/693810-3" TargetMode="External"/><Relationship Id="rId176" Type="http://schemas.openxmlformats.org/officeDocument/2006/relationships/hyperlink" Target="https://webagentes.canaldirecto.com.ar/incidents/view/703158-6" TargetMode="External"/><Relationship Id="rId197" Type="http://schemas.openxmlformats.org/officeDocument/2006/relationships/hyperlink" Target="https://webagentes.canaldirecto.com.ar/incidents/view/712062-2" TargetMode="External"/><Relationship Id="rId341" Type="http://schemas.openxmlformats.org/officeDocument/2006/relationships/hyperlink" Target="https://webagentes.canaldirecto.com.ar/incidents/view/766817-7" TargetMode="External"/><Relationship Id="rId362" Type="http://schemas.openxmlformats.org/officeDocument/2006/relationships/hyperlink" Target="https://webagentes.canaldirecto.com.ar/incidents/view/772764-7" TargetMode="External"/><Relationship Id="rId383" Type="http://schemas.openxmlformats.org/officeDocument/2006/relationships/hyperlink" Target="https://webagentes.canaldirecto.com.ar/incidents/view/777324-8" TargetMode="External"/><Relationship Id="rId418" Type="http://schemas.openxmlformats.org/officeDocument/2006/relationships/hyperlink" Target="https://webagentes.canaldirecto.com.ar/incidents/view/789944-9" TargetMode="External"/><Relationship Id="rId439" Type="http://schemas.openxmlformats.org/officeDocument/2006/relationships/hyperlink" Target="https://webagentes.canaldirecto.com.ar/incidents/view/794867-5" TargetMode="External"/><Relationship Id="rId201" Type="http://schemas.openxmlformats.org/officeDocument/2006/relationships/hyperlink" Target="https://webagentes.canaldirecto.com.ar/incidents/view/714266-0" TargetMode="External"/><Relationship Id="rId222" Type="http://schemas.openxmlformats.org/officeDocument/2006/relationships/hyperlink" Target="https://webagentes.canaldirecto.com.ar/incidents/view/721988-3" TargetMode="External"/><Relationship Id="rId243" Type="http://schemas.openxmlformats.org/officeDocument/2006/relationships/hyperlink" Target="https://webagentes.canaldirecto.com.ar/incidents/view/732583-8" TargetMode="External"/><Relationship Id="rId264" Type="http://schemas.openxmlformats.org/officeDocument/2006/relationships/hyperlink" Target="https://webagentes.canaldirecto.com.ar/incidents/view/739122-0" TargetMode="External"/><Relationship Id="rId285" Type="http://schemas.openxmlformats.org/officeDocument/2006/relationships/hyperlink" Target="https://webagentes.canaldirecto.com.ar/incidents/view/745924-1" TargetMode="External"/><Relationship Id="rId450" Type="http://schemas.openxmlformats.org/officeDocument/2006/relationships/hyperlink" Target="https://webagentes.canaldirecto.com.ar/incidents/view/801458-6" TargetMode="External"/><Relationship Id="rId471" Type="http://schemas.openxmlformats.org/officeDocument/2006/relationships/hyperlink" Target="https://webagentes.canaldirecto.com.ar/incidents/view/806725-0" TargetMode="External"/><Relationship Id="rId506" Type="http://schemas.openxmlformats.org/officeDocument/2006/relationships/hyperlink" Target="https://webagentes.canaldirecto.com.ar/incidents/view/821972-9" TargetMode="External"/><Relationship Id="rId17" Type="http://schemas.openxmlformats.org/officeDocument/2006/relationships/hyperlink" Target="http://webagentes.canaldirecto.com.ar/incidents/view/655446-0" TargetMode="External"/><Relationship Id="rId38" Type="http://schemas.openxmlformats.org/officeDocument/2006/relationships/hyperlink" Target="https://webagentes.canaldirecto.com.ar/incidents/view/662375-1" TargetMode="External"/><Relationship Id="rId59" Type="http://schemas.openxmlformats.org/officeDocument/2006/relationships/hyperlink" Target="https://webagentes.canaldirecto.com.ar/incidents/view/666593-3" TargetMode="External"/><Relationship Id="rId103" Type="http://schemas.openxmlformats.org/officeDocument/2006/relationships/hyperlink" Target="https://webagentes.canaldirecto.com.ar/incidents/view/679711-7" TargetMode="External"/><Relationship Id="rId124" Type="http://schemas.openxmlformats.org/officeDocument/2006/relationships/hyperlink" Target="https://webagentes.canaldirecto.com.ar/incidents/view/689423-4" TargetMode="External"/><Relationship Id="rId310" Type="http://schemas.openxmlformats.org/officeDocument/2006/relationships/hyperlink" Target="https://webagentes.canaldirecto.com.ar/incidents/view/749081-3" TargetMode="External"/><Relationship Id="rId492" Type="http://schemas.openxmlformats.org/officeDocument/2006/relationships/hyperlink" Target="https://webagentes.canaldirecto.com.ar/incidents/view/814051-7" TargetMode="External"/><Relationship Id="rId527" Type="http://schemas.openxmlformats.org/officeDocument/2006/relationships/hyperlink" Target="https://webagentes.canaldirecto.com.ar/incidents/view/825948-0" TargetMode="External"/><Relationship Id="rId70" Type="http://schemas.openxmlformats.org/officeDocument/2006/relationships/hyperlink" Target="https://webagentes.canaldirecto.com.ar/incidents/view/669409-6" TargetMode="External"/><Relationship Id="rId91" Type="http://schemas.openxmlformats.org/officeDocument/2006/relationships/hyperlink" Target="https://webagentes.canaldirecto.com.ar/incidents/view/673869-1" TargetMode="External"/><Relationship Id="rId145" Type="http://schemas.openxmlformats.org/officeDocument/2006/relationships/hyperlink" Target="https://webagentes.canaldirecto.com.ar/incidents/view/693709-8" TargetMode="External"/><Relationship Id="rId166" Type="http://schemas.openxmlformats.org/officeDocument/2006/relationships/hyperlink" Target="https://webagentes.canaldirecto.com.ar/incidents/view/699148-5" TargetMode="External"/><Relationship Id="rId187" Type="http://schemas.openxmlformats.org/officeDocument/2006/relationships/hyperlink" Target="https://webagentes.canaldirecto.com.ar/incidents/view/706710-1" TargetMode="External"/><Relationship Id="rId331" Type="http://schemas.openxmlformats.org/officeDocument/2006/relationships/hyperlink" Target="https://webagentes.canaldirecto.com.ar/incidents/view/763187-2" TargetMode="External"/><Relationship Id="rId352" Type="http://schemas.openxmlformats.org/officeDocument/2006/relationships/hyperlink" Target="https://webagentes.canaldirecto.com.ar/incidents/view/769643-5" TargetMode="External"/><Relationship Id="rId373" Type="http://schemas.openxmlformats.org/officeDocument/2006/relationships/hyperlink" Target="https://webagentes.canaldirecto.com.ar/incidents/view/776012-9" TargetMode="External"/><Relationship Id="rId394" Type="http://schemas.openxmlformats.org/officeDocument/2006/relationships/hyperlink" Target="https://webagentes.canaldirecto.com.ar/incidents/view/783304-5" TargetMode="External"/><Relationship Id="rId408" Type="http://schemas.openxmlformats.org/officeDocument/2006/relationships/hyperlink" Target="https://webagentes.canaldirecto.com.ar/incidents/view/788634-8" TargetMode="External"/><Relationship Id="rId429" Type="http://schemas.openxmlformats.org/officeDocument/2006/relationships/hyperlink" Target="https://webagentes.canaldirecto.com.ar/incidents/view/794036-3" TargetMode="External"/><Relationship Id="rId1" Type="http://schemas.openxmlformats.org/officeDocument/2006/relationships/hyperlink" Target="http://webagentes.canaldirecto.com.ar/incidents/view/649181-5" TargetMode="External"/><Relationship Id="rId212" Type="http://schemas.openxmlformats.org/officeDocument/2006/relationships/hyperlink" Target="https://webagentes.canaldirecto.com.ar/incidents/view/717049-6" TargetMode="External"/><Relationship Id="rId233" Type="http://schemas.openxmlformats.org/officeDocument/2006/relationships/hyperlink" Target="https://webagentes.canaldirecto.com.ar/incidents/view/727571-9" TargetMode="External"/><Relationship Id="rId254" Type="http://schemas.openxmlformats.org/officeDocument/2006/relationships/hyperlink" Target="https://webagentes.canaldirecto.com.ar/incidents/view/736990-2" TargetMode="External"/><Relationship Id="rId440" Type="http://schemas.openxmlformats.org/officeDocument/2006/relationships/hyperlink" Target="https://webagentes.canaldirecto.com.ar/incidents/view/797194-7" TargetMode="External"/><Relationship Id="rId28" Type="http://schemas.openxmlformats.org/officeDocument/2006/relationships/hyperlink" Target="http://webagentes.canaldirecto.com.ar/incidents/view/659135-5" TargetMode="External"/><Relationship Id="rId49" Type="http://schemas.openxmlformats.org/officeDocument/2006/relationships/hyperlink" Target="https://webagentes.canaldirecto.com.ar/incidents/view/664690-1" TargetMode="External"/><Relationship Id="rId114" Type="http://schemas.openxmlformats.org/officeDocument/2006/relationships/hyperlink" Target="https://webagentes.canaldirecto.com.ar/incidents/view/684749-4" TargetMode="External"/><Relationship Id="rId275" Type="http://schemas.openxmlformats.org/officeDocument/2006/relationships/hyperlink" Target="https://webagentes.canaldirecto.com.ar/incidents/view/741391-1" TargetMode="External"/><Relationship Id="rId296" Type="http://schemas.openxmlformats.org/officeDocument/2006/relationships/hyperlink" Target="https://webagentes.canaldirecto.com.ar/incidents/view/748701-3" TargetMode="External"/><Relationship Id="rId300" Type="http://schemas.openxmlformats.org/officeDocument/2006/relationships/hyperlink" Target="https://webagentes.canaldirecto.com.ar/incidents/view/749317-5" TargetMode="External"/><Relationship Id="rId461" Type="http://schemas.openxmlformats.org/officeDocument/2006/relationships/hyperlink" Target="https://webagentes.canaldirecto.com.ar/incidents/view/804973-1" TargetMode="External"/><Relationship Id="rId482" Type="http://schemas.openxmlformats.org/officeDocument/2006/relationships/hyperlink" Target="https://webagentes.canaldirecto.com.ar/incidents/view/810692-0" TargetMode="External"/><Relationship Id="rId517" Type="http://schemas.openxmlformats.org/officeDocument/2006/relationships/hyperlink" Target="https://webagentes.canaldirecto.com.ar/incidents/view/824306-3" TargetMode="External"/><Relationship Id="rId60" Type="http://schemas.openxmlformats.org/officeDocument/2006/relationships/hyperlink" Target="https://webagentes.canaldirecto.com.ar/incidents/view/668345-2" TargetMode="External"/><Relationship Id="rId81" Type="http://schemas.openxmlformats.org/officeDocument/2006/relationships/hyperlink" Target="https://webagentes.canaldirecto.com.ar/incidents/view/672468-9" TargetMode="External"/><Relationship Id="rId135" Type="http://schemas.openxmlformats.org/officeDocument/2006/relationships/hyperlink" Target="https://webagentes.canaldirecto.com.ar/incidents/view/691151-3" TargetMode="External"/><Relationship Id="rId156" Type="http://schemas.openxmlformats.org/officeDocument/2006/relationships/hyperlink" Target="https://webagentes.canaldirecto.com.ar/incidents/view/696058-2" TargetMode="External"/><Relationship Id="rId177" Type="http://schemas.openxmlformats.org/officeDocument/2006/relationships/hyperlink" Target="https://webagentes.canaldirecto.com.ar/incidents/view/703349-6" TargetMode="External"/><Relationship Id="rId198" Type="http://schemas.openxmlformats.org/officeDocument/2006/relationships/hyperlink" Target="https://webagentes.canaldirecto.com.ar/incidents/view/712401-7" TargetMode="External"/><Relationship Id="rId321" Type="http://schemas.openxmlformats.org/officeDocument/2006/relationships/hyperlink" Target="https://webagentes.canaldirecto.com.ar/incidents/view/760297-7" TargetMode="External"/><Relationship Id="rId342" Type="http://schemas.openxmlformats.org/officeDocument/2006/relationships/hyperlink" Target="https://webagentes.canaldirecto.com.ar/incidents/view/767056-1" TargetMode="External"/><Relationship Id="rId363" Type="http://schemas.openxmlformats.org/officeDocument/2006/relationships/hyperlink" Target="https://webagentes.canaldirecto.com.ar/incidents/view/772306-7" TargetMode="External"/><Relationship Id="rId384" Type="http://schemas.openxmlformats.org/officeDocument/2006/relationships/hyperlink" Target="https://webagentes.canaldirecto.com.ar/incidents/view/776894-5" TargetMode="External"/><Relationship Id="rId419" Type="http://schemas.openxmlformats.org/officeDocument/2006/relationships/hyperlink" Target="https://www.google.com/maps/dir/Av.+Bordabehere+3811,+S2002+KNC,+Santa+Fe/20+920,+S2505+Las+Parejas,+Santa+Fe/Rafaela+alimentos+S.A.,+Ruta+Nacional+33,+Casilda,+Santa+Fe/Av.+Bordabehere+3811,+S2002+KNC,+Santa+Fe/@-32.8629359,-61.2791308,11z/data=!3m1!4b1!4m26!4m25!1m5!1m1!1s0x95b7ab55726d7baf:0xff0f95afeea1648d!2m2!1d-60.6737651!2d-32.9335712!1m5!1m1!1s0x95c9ef866a7e3d9f:0x4c3d415800965065!2m2!1d-61.5180288!2d-32.6802823!1m5!1m1!1s0x95b62d01b8c86dbf:0x6f191765e9707cd6!2m2!1d-61.1444102!2d-33.0461604!1m5!1m1!1s0x95b7ab55726d7baf:0xff0f95afeea1648d!2m2!1d-60.6737651!2d-32.9335712!3e0?entry=ttu&amp;g_ep=EgoyMDI1MDQwMi4xIKXMDSoJLDEwMjExNDU1SAFQAw%3D%3D" TargetMode="External"/><Relationship Id="rId202" Type="http://schemas.openxmlformats.org/officeDocument/2006/relationships/hyperlink" Target="https://webagentes.canaldirecto.com.ar/incidents/view/713530-5" TargetMode="External"/><Relationship Id="rId223" Type="http://schemas.openxmlformats.org/officeDocument/2006/relationships/hyperlink" Target="https://webagentes.canaldirecto.com.ar/incidents/view/726060-1" TargetMode="External"/><Relationship Id="rId244" Type="http://schemas.openxmlformats.org/officeDocument/2006/relationships/hyperlink" Target="https://webagentes.canaldirecto.com.ar/incidents/view/732841-9" TargetMode="External"/><Relationship Id="rId430" Type="http://schemas.openxmlformats.org/officeDocument/2006/relationships/hyperlink" Target="https://webagentes.canaldirecto.com.ar/incidents/view/793916-3" TargetMode="External"/><Relationship Id="rId18" Type="http://schemas.openxmlformats.org/officeDocument/2006/relationships/hyperlink" Target="http://webagentes.canaldirecto.com.ar/incidents/view/655149-0" TargetMode="External"/><Relationship Id="rId39" Type="http://schemas.openxmlformats.org/officeDocument/2006/relationships/hyperlink" Target="https://webagentes.canaldirecto.com.ar/incidents/view/662775-7" TargetMode="External"/><Relationship Id="rId265" Type="http://schemas.openxmlformats.org/officeDocument/2006/relationships/hyperlink" Target="https://webagentes.canaldirecto.com.ar/incidents/view/739018-8" TargetMode="External"/><Relationship Id="rId286" Type="http://schemas.openxmlformats.org/officeDocument/2006/relationships/hyperlink" Target="https://webagentes.canaldirecto.com.ar/incidents/view/745700-3" TargetMode="External"/><Relationship Id="rId451" Type="http://schemas.openxmlformats.org/officeDocument/2006/relationships/hyperlink" Target="https://webagentes.canaldirecto.com.ar/incidents/view/802173-5" TargetMode="External"/><Relationship Id="rId472" Type="http://schemas.openxmlformats.org/officeDocument/2006/relationships/hyperlink" Target="https://webagentes.canaldirecto.com.ar/incidents/view/806472-1" TargetMode="External"/><Relationship Id="rId493" Type="http://schemas.openxmlformats.org/officeDocument/2006/relationships/hyperlink" Target="https://webagentes.canaldirecto.com.ar/incidents/view/811974-8" TargetMode="External"/><Relationship Id="rId507" Type="http://schemas.openxmlformats.org/officeDocument/2006/relationships/hyperlink" Target="https://webagentes.canaldirecto.com.ar/incidents/view/821767-9" TargetMode="External"/><Relationship Id="rId528" Type="http://schemas.openxmlformats.org/officeDocument/2006/relationships/hyperlink" Target="https://webagentes.canaldirecto.com.ar/incidents/view/825666-9" TargetMode="External"/><Relationship Id="rId50" Type="http://schemas.openxmlformats.org/officeDocument/2006/relationships/hyperlink" Target="https://webagentes.canaldirecto.com.ar/incidents/view/664610-5" TargetMode="External"/><Relationship Id="rId104" Type="http://schemas.openxmlformats.org/officeDocument/2006/relationships/hyperlink" Target="https://webagentes.canaldirecto.com.ar/incidents/view/671056-1" TargetMode="External"/><Relationship Id="rId125" Type="http://schemas.openxmlformats.org/officeDocument/2006/relationships/hyperlink" Target="https://webagentes.canaldirecto.com.ar/incidents/view/686659-6" TargetMode="External"/><Relationship Id="rId146" Type="http://schemas.openxmlformats.org/officeDocument/2006/relationships/hyperlink" Target="https://webagentes.canaldirecto.com.ar/incidents/view/693194-2" TargetMode="External"/><Relationship Id="rId167" Type="http://schemas.openxmlformats.org/officeDocument/2006/relationships/hyperlink" Target="https://webagentes.canaldirecto.com.ar/incidents/view/700518-3" TargetMode="External"/><Relationship Id="rId188" Type="http://schemas.openxmlformats.org/officeDocument/2006/relationships/hyperlink" Target="https://webagentes.canaldirecto.com.ar/incidents/view/710617-2" TargetMode="External"/><Relationship Id="rId311" Type="http://schemas.openxmlformats.org/officeDocument/2006/relationships/hyperlink" Target="https://webagentes.canaldirecto.com.ar/incidents/view/753128-0" TargetMode="External"/><Relationship Id="rId332" Type="http://schemas.openxmlformats.org/officeDocument/2006/relationships/hyperlink" Target="https://webagentes.canaldirecto.com.ar/incidents/view/766660-1" TargetMode="External"/><Relationship Id="rId353" Type="http://schemas.openxmlformats.org/officeDocument/2006/relationships/hyperlink" Target="https://webagentes.canaldirecto.com.ar/incidents/view/769636-5" TargetMode="External"/><Relationship Id="rId374" Type="http://schemas.openxmlformats.org/officeDocument/2006/relationships/hyperlink" Target="https://webagentes.canaldirecto.com.ar/incidents/view/775293-5" TargetMode="External"/><Relationship Id="rId395" Type="http://schemas.openxmlformats.org/officeDocument/2006/relationships/hyperlink" Target="https://webagentes.canaldirecto.com.ar/incidents/view/784154-9" TargetMode="External"/><Relationship Id="rId409" Type="http://schemas.openxmlformats.org/officeDocument/2006/relationships/hyperlink" Target="https://webagentes.canaldirecto.com.ar/incidents/view/788540-0" TargetMode="External"/><Relationship Id="rId71" Type="http://schemas.openxmlformats.org/officeDocument/2006/relationships/hyperlink" Target="https://webagentes.canaldirecto.com.ar/incidents/view/669893-1" TargetMode="External"/><Relationship Id="rId92" Type="http://schemas.openxmlformats.org/officeDocument/2006/relationships/hyperlink" Target="https://webagentes.canaldirecto.com.ar/incidents/view/675608-6" TargetMode="External"/><Relationship Id="rId213" Type="http://schemas.openxmlformats.org/officeDocument/2006/relationships/hyperlink" Target="https://webagentes.canaldirecto.com.ar/incidents/view/717272-2" TargetMode="External"/><Relationship Id="rId234" Type="http://schemas.openxmlformats.org/officeDocument/2006/relationships/hyperlink" Target="https://webagentes.canaldirecto.com.ar/incidents/view/727679-0" TargetMode="External"/><Relationship Id="rId420" Type="http://schemas.openxmlformats.org/officeDocument/2006/relationships/hyperlink" Target="https://www.google.com/maps/dir/Av.+Bordabehere+3811,+S2002+KNC,+Santa+Fe/Av.+Sta.+Fe+1594,+S2132AUB+Funes,+Santa+Fe/Bartolom%C3%A9+Mitre+201,+San+Nicol%C3%A1s+de+Los+Arroyos,+Provincia+de+Buenos+Aires/Av.+Bordabehere+3811,+S2002+KNC,+Santa+Fe/@-33.1337582,-60.683818,11z/data=!3m1!4b1!4m26!4m25!1m5!1m1!1s0x95b7ab55726d7baf:0xff0f95afeea1648d!2m2!1d-60.6737651!2d-32.9335712!1m5!1m1!1s0x95b64dac47863505:0x77642d6c0035dc53!2m2!1d-60.8099632!2d-32.9182737!1m5!1m1!1s0x95b7678c37c0f9af:0xc1bb5e9ccb6b9aa2!2m2!1d-60.219138!2d-33.3303615!1m5!1m1!1s0x95b7ab55726d7baf:0xff0f95afeea1648d!2m2!1d-60.6737651!2d-32.9335712!3e0?entry=ttu&amp;g_ep=EgoyMDI1MDQwMi4xIKXMDSoJLDEwMjExNDU1SAFQAw%3D%3D" TargetMode="External"/><Relationship Id="rId2" Type="http://schemas.openxmlformats.org/officeDocument/2006/relationships/hyperlink" Target="http://webagentes.canaldirecto.com.ar/incidents/view/648928-1" TargetMode="External"/><Relationship Id="rId29" Type="http://schemas.openxmlformats.org/officeDocument/2006/relationships/hyperlink" Target="http://webagentes.canaldirecto.com.ar/incidents/view/659012-5" TargetMode="External"/><Relationship Id="rId255" Type="http://schemas.openxmlformats.org/officeDocument/2006/relationships/hyperlink" Target="https://webagentes.canaldirecto.com.ar/incidents/view/736753-3" TargetMode="External"/><Relationship Id="rId276" Type="http://schemas.openxmlformats.org/officeDocument/2006/relationships/hyperlink" Target="https://webagentes.canaldirecto.com.ar/incidents/view/741262-0" TargetMode="External"/><Relationship Id="rId297" Type="http://schemas.openxmlformats.org/officeDocument/2006/relationships/hyperlink" Target="https://webagentes.canaldirecto.com.ar/incidents/view/749356-4" TargetMode="External"/><Relationship Id="rId441" Type="http://schemas.openxmlformats.org/officeDocument/2006/relationships/hyperlink" Target="https://webagentes.canaldirecto.com.ar/incidents/view/797032-8" TargetMode="External"/><Relationship Id="rId462" Type="http://schemas.openxmlformats.org/officeDocument/2006/relationships/hyperlink" Target="https://webagentes.canaldirecto.com.ar/incidents/view/805944-6" TargetMode="External"/><Relationship Id="rId483" Type="http://schemas.openxmlformats.org/officeDocument/2006/relationships/hyperlink" Target="https://webagentes.canaldirecto.com.ar/incidents/view/810442-7" TargetMode="External"/><Relationship Id="rId518" Type="http://schemas.openxmlformats.org/officeDocument/2006/relationships/hyperlink" Target="https://webagentes.canaldirecto.com.ar/incidents/view/824131-1" TargetMode="External"/><Relationship Id="rId40" Type="http://schemas.openxmlformats.org/officeDocument/2006/relationships/hyperlink" Target="https://webagentes.canaldirecto.com.ar/incidents/view/662691-6" TargetMode="External"/><Relationship Id="rId115" Type="http://schemas.openxmlformats.org/officeDocument/2006/relationships/hyperlink" Target="https://webagentes.canaldirecto.com.ar/incidents/view/686963-6" TargetMode="External"/><Relationship Id="rId136" Type="http://schemas.openxmlformats.org/officeDocument/2006/relationships/hyperlink" Target="https://webagentes.canaldirecto.com.ar/incidents/view/691107-2" TargetMode="External"/><Relationship Id="rId157" Type="http://schemas.openxmlformats.org/officeDocument/2006/relationships/hyperlink" Target="https://webagentes.canaldirecto.com.ar/incidents/view/695166-3" TargetMode="External"/><Relationship Id="rId178" Type="http://schemas.openxmlformats.org/officeDocument/2006/relationships/hyperlink" Target="https://webagentes.canaldirecto.com.ar/incidents/view/703699-8" TargetMode="External"/><Relationship Id="rId301" Type="http://schemas.openxmlformats.org/officeDocument/2006/relationships/hyperlink" Target="https://webagentes.canaldirecto.com.ar/incidents/view/749179-7" TargetMode="External"/><Relationship Id="rId322" Type="http://schemas.openxmlformats.org/officeDocument/2006/relationships/hyperlink" Target="https://webagentes.canaldirecto.com.ar/incidents/view/760205-6" TargetMode="External"/><Relationship Id="rId343" Type="http://schemas.openxmlformats.org/officeDocument/2006/relationships/hyperlink" Target="https://webagentes.canaldirecto.com.ar/incidents/view/767457-6" TargetMode="External"/><Relationship Id="rId364" Type="http://schemas.openxmlformats.org/officeDocument/2006/relationships/hyperlink" Target="https://webagentes.canaldirecto.com.ar/incidents/view/772211-0" TargetMode="External"/><Relationship Id="rId61" Type="http://schemas.openxmlformats.org/officeDocument/2006/relationships/hyperlink" Target="https://webagentes.canaldirecto.com.ar/incidents/view/668108-3" TargetMode="External"/><Relationship Id="rId82" Type="http://schemas.openxmlformats.org/officeDocument/2006/relationships/hyperlink" Target="https://webagentes.canaldirecto.com.ar/incidents/view/670273-9" TargetMode="External"/><Relationship Id="rId199" Type="http://schemas.openxmlformats.org/officeDocument/2006/relationships/hyperlink" Target="https://webagentes.canaldirecto.com.ar/incidents/view/711947-7" TargetMode="External"/><Relationship Id="rId203" Type="http://schemas.openxmlformats.org/officeDocument/2006/relationships/hyperlink" Target="https://webagentes.canaldirecto.com.ar/incidents/view/714259-0" TargetMode="External"/><Relationship Id="rId385" Type="http://schemas.openxmlformats.org/officeDocument/2006/relationships/hyperlink" Target="https://webagentes.canaldirecto.com.ar/incidents/view/774919-9" TargetMode="External"/><Relationship Id="rId19" Type="http://schemas.openxmlformats.org/officeDocument/2006/relationships/hyperlink" Target="http://webagentes.canaldirecto.com.ar/incidents/view/655650-1" TargetMode="External"/><Relationship Id="rId224" Type="http://schemas.openxmlformats.org/officeDocument/2006/relationships/hyperlink" Target="https://webagentes.canaldirecto.com.ar/incidents/view/725953-5" TargetMode="External"/><Relationship Id="rId245" Type="http://schemas.openxmlformats.org/officeDocument/2006/relationships/hyperlink" Target="https://webagentes.canaldirecto.com.ar/incidents/view/732646-6" TargetMode="External"/><Relationship Id="rId266" Type="http://schemas.openxmlformats.org/officeDocument/2006/relationships/hyperlink" Target="https://webagentes.canaldirecto.com.ar/incidents/view/740678-0" TargetMode="External"/><Relationship Id="rId287" Type="http://schemas.openxmlformats.org/officeDocument/2006/relationships/hyperlink" Target="https://webagentes.canaldirecto.com.ar/incidents/view/747032-3" TargetMode="External"/><Relationship Id="rId410" Type="http://schemas.openxmlformats.org/officeDocument/2006/relationships/hyperlink" Target="https://webagentes.canaldirecto.com.ar/incidents/view/788204-1" TargetMode="External"/><Relationship Id="rId431" Type="http://schemas.openxmlformats.org/officeDocument/2006/relationships/hyperlink" Target="https://www.google.com/maps/dir/Av.+Bordabehere+3811,+S2002+KNC,+Santa+Fe/20+920,+S2505+Las+Parejas,+Santa+Fe/Rafaela+alimentos+S.A.,+RN33+744,+Casilda,+Santa+Fe/Av.+Bordabehere+3811,+S2002+KNC,+Santa+Fe/@-32.8623215,-61.4446541,10z/data=!3m1!4b1!4m26!4m25!1m5!1m1!1s0x95b7ab55726d7baf:0xff0f95afeea1648d!2m2!1d-60.6737651!2d-32.9335712!1m5!1m1!1s0x95c9ef866a7e3d9f:0x4c3d415800965065!2m2!1d-61.5180288!2d-32.6802823!1m5!1m1!1s0x95b62d01b8c86dbf:0x6f191765e9707cd6!2m2!1d-61.1444102!2d-33.0461604!1m5!1m1!1s0x95b7ab55726d7baf:0xff0f95afeea1648d!2m2!1d-60.6737651!2d-32.9335712!3e0?entry=ttu&amp;g_ep=EgoyMDI1MDUwMy4wIKXMDSoJLDEwMjExNDU1SAFQAw%3D%3D" TargetMode="External"/><Relationship Id="rId452" Type="http://schemas.openxmlformats.org/officeDocument/2006/relationships/hyperlink" Target="https://webagentes.canaldirecto.com.ar/incidents/view/802962-1" TargetMode="External"/><Relationship Id="rId473" Type="http://schemas.openxmlformats.org/officeDocument/2006/relationships/hyperlink" Target="https://webagentes.canaldirecto.com.ar/incidents/view/812383-9" TargetMode="External"/><Relationship Id="rId494" Type="http://schemas.openxmlformats.org/officeDocument/2006/relationships/hyperlink" Target="https://webagentes.canaldirecto.com.ar/incidents/view/813866-4" TargetMode="External"/><Relationship Id="rId508" Type="http://schemas.openxmlformats.org/officeDocument/2006/relationships/hyperlink" Target="https://webagentes.canaldirecto.com.ar/incidents/view/820854-7" TargetMode="External"/><Relationship Id="rId529" Type="http://schemas.openxmlformats.org/officeDocument/2006/relationships/hyperlink" Target="https://webagentes.canaldirecto.com.ar/incidents/view/825450-0" TargetMode="External"/><Relationship Id="rId30" Type="http://schemas.openxmlformats.org/officeDocument/2006/relationships/hyperlink" Target="http://webagentes.canaldirecto.com.ar/incidents/view/659703-0" TargetMode="External"/><Relationship Id="rId105" Type="http://schemas.openxmlformats.org/officeDocument/2006/relationships/hyperlink" Target="https://webagentes.canaldirecto.com.ar/incidents/view/680996-2" TargetMode="External"/><Relationship Id="rId126" Type="http://schemas.openxmlformats.org/officeDocument/2006/relationships/hyperlink" Target="https://webagentes.canaldirecto.com.ar/incidents/view/690258-8" TargetMode="External"/><Relationship Id="rId147" Type="http://schemas.openxmlformats.org/officeDocument/2006/relationships/hyperlink" Target="https://webagentes.canaldirecto.com.ar/incidents/view/694538-9" TargetMode="External"/><Relationship Id="rId168" Type="http://schemas.openxmlformats.org/officeDocument/2006/relationships/hyperlink" Target="https://webagentes.canaldirecto.com.ar/incidents/view/700441-2" TargetMode="External"/><Relationship Id="rId312" Type="http://schemas.openxmlformats.org/officeDocument/2006/relationships/hyperlink" Target="https://webagentes.canaldirecto.com.ar/incidents/view/753047-6" TargetMode="External"/><Relationship Id="rId333" Type="http://schemas.openxmlformats.org/officeDocument/2006/relationships/hyperlink" Target="https://webagentes.canaldirecto.com.ar/incidents/view/765996-6" TargetMode="External"/><Relationship Id="rId354" Type="http://schemas.openxmlformats.org/officeDocument/2006/relationships/hyperlink" Target="https://webagentes.canaldirecto.com.ar/incidents/view/769500-1" TargetMode="External"/><Relationship Id="rId51" Type="http://schemas.openxmlformats.org/officeDocument/2006/relationships/hyperlink" Target="https://webagentes.canaldirecto.com.ar/incidents/view/665013-5" TargetMode="External"/><Relationship Id="rId72" Type="http://schemas.openxmlformats.org/officeDocument/2006/relationships/hyperlink" Target="https://webagentes.canaldirecto.com.ar/incidents/view/670082-9" TargetMode="External"/><Relationship Id="rId93" Type="http://schemas.openxmlformats.org/officeDocument/2006/relationships/hyperlink" Target="https://webagentes.canaldirecto.com.ar/incidents/view/676201-4" TargetMode="External"/><Relationship Id="rId189" Type="http://schemas.openxmlformats.org/officeDocument/2006/relationships/hyperlink" Target="https://webagentes.canaldirecto.com.ar/incidents/view/709908-5" TargetMode="External"/><Relationship Id="rId375" Type="http://schemas.openxmlformats.org/officeDocument/2006/relationships/hyperlink" Target="https://webagentes.canaldirecto.com.ar/incidents/view/780423-8" TargetMode="External"/><Relationship Id="rId396" Type="http://schemas.openxmlformats.org/officeDocument/2006/relationships/hyperlink" Target="https://webagentes.canaldirecto.com.ar/incidents/view/784223-8" TargetMode="External"/><Relationship Id="rId3" Type="http://schemas.openxmlformats.org/officeDocument/2006/relationships/hyperlink" Target="http://webagentes.canaldirecto.com.ar/incidents/view/650745-3" TargetMode="External"/><Relationship Id="rId214" Type="http://schemas.openxmlformats.org/officeDocument/2006/relationships/hyperlink" Target="https://webagentes.canaldirecto.com.ar/incidents/view/717523-3" TargetMode="External"/><Relationship Id="rId235" Type="http://schemas.openxmlformats.org/officeDocument/2006/relationships/hyperlink" Target="https://webagentes.canaldirecto.com.ar/incidents/view/728060-5" TargetMode="External"/><Relationship Id="rId256" Type="http://schemas.openxmlformats.org/officeDocument/2006/relationships/hyperlink" Target="https://webagentes.canaldirecto.com.ar/incidents/view/737479-1" TargetMode="External"/><Relationship Id="rId277" Type="http://schemas.openxmlformats.org/officeDocument/2006/relationships/hyperlink" Target="https://webagentes.canaldirecto.com.ar/incidents/view/739447-6" TargetMode="External"/><Relationship Id="rId298" Type="http://schemas.openxmlformats.org/officeDocument/2006/relationships/hyperlink" Target="https://webagentes.canaldirecto.com.ar/incidents/view/749128-3" TargetMode="External"/><Relationship Id="rId400" Type="http://schemas.openxmlformats.org/officeDocument/2006/relationships/hyperlink" Target="https://webagentes.canaldirecto.com.ar/incidents/view/787155-9" TargetMode="External"/><Relationship Id="rId421" Type="http://schemas.openxmlformats.org/officeDocument/2006/relationships/hyperlink" Target="https://webagentes.canaldirecto.com.ar/incidents/view/791834-6" TargetMode="External"/><Relationship Id="rId442" Type="http://schemas.openxmlformats.org/officeDocument/2006/relationships/hyperlink" Target="https://webagentes.canaldirecto.com.ar/incidents/view/798069-9" TargetMode="External"/><Relationship Id="rId463" Type="http://schemas.openxmlformats.org/officeDocument/2006/relationships/hyperlink" Target="https://webagentes.canaldirecto.com.ar/incidents/view/805004-7" TargetMode="External"/><Relationship Id="rId484" Type="http://schemas.openxmlformats.org/officeDocument/2006/relationships/hyperlink" Target="https://webagentes.canaldirecto.com.ar/incidents/view/809153-0" TargetMode="External"/><Relationship Id="rId519" Type="http://schemas.openxmlformats.org/officeDocument/2006/relationships/hyperlink" Target="https://webagentes.canaldirecto.com.ar/incidents/view/824118-0" TargetMode="External"/><Relationship Id="rId116" Type="http://schemas.openxmlformats.org/officeDocument/2006/relationships/hyperlink" Target="https://webagentes.canaldirecto.com.ar/incidents/view/687647-8" TargetMode="External"/><Relationship Id="rId137" Type="http://schemas.openxmlformats.org/officeDocument/2006/relationships/hyperlink" Target="https://webagentes.canaldirecto.com.ar/incidents/view/691079-0" TargetMode="External"/><Relationship Id="rId158" Type="http://schemas.openxmlformats.org/officeDocument/2006/relationships/hyperlink" Target="https://webagentes.canaldirecto.com.ar/incidents/view/696328-8" TargetMode="External"/><Relationship Id="rId302" Type="http://schemas.openxmlformats.org/officeDocument/2006/relationships/hyperlink" Target="https://webagentes.canaldirecto.com.ar/incidents/view/749121-0" TargetMode="External"/><Relationship Id="rId323" Type="http://schemas.openxmlformats.org/officeDocument/2006/relationships/hyperlink" Target="https://webagentes.canaldirecto.com.ar/incidents/view/760837-9" TargetMode="External"/><Relationship Id="rId344" Type="http://schemas.openxmlformats.org/officeDocument/2006/relationships/hyperlink" Target="https://webagentes.canaldirecto.com.ar/incidents/view/767299-4" TargetMode="External"/><Relationship Id="rId530" Type="http://schemas.openxmlformats.org/officeDocument/2006/relationships/hyperlink" Target="https://webagentes.canaldirecto.com.ar/incidents/view/825178-9" TargetMode="External"/><Relationship Id="rId20" Type="http://schemas.openxmlformats.org/officeDocument/2006/relationships/hyperlink" Target="http://webagentes.canaldirecto.com.ar/incidents/view/656426-3" TargetMode="External"/><Relationship Id="rId41" Type="http://schemas.openxmlformats.org/officeDocument/2006/relationships/hyperlink" Target="https://webagentes.canaldirecto.com.ar/incidents/view/662504-1" TargetMode="External"/><Relationship Id="rId62" Type="http://schemas.openxmlformats.org/officeDocument/2006/relationships/hyperlink" Target="https://webagentes.canaldirecto.com.ar/incidents/view/668127-8" TargetMode="External"/><Relationship Id="rId83" Type="http://schemas.openxmlformats.org/officeDocument/2006/relationships/hyperlink" Target="https://webagentes.canaldirecto.com.ar/incidents/view/674002-1" TargetMode="External"/><Relationship Id="rId179" Type="http://schemas.openxmlformats.org/officeDocument/2006/relationships/hyperlink" Target="https://webagentes.canaldirecto.com.ar/incidents/view/698644-7" TargetMode="External"/><Relationship Id="rId365" Type="http://schemas.openxmlformats.org/officeDocument/2006/relationships/hyperlink" Target="https://webagentes.canaldirecto.com.ar/incidents/view/772057-4" TargetMode="External"/><Relationship Id="rId386" Type="http://schemas.openxmlformats.org/officeDocument/2006/relationships/hyperlink" Target="https://webagentes.canaldirecto.com.ar/incidents/view/782752-1" TargetMode="External"/><Relationship Id="rId190" Type="http://schemas.openxmlformats.org/officeDocument/2006/relationships/hyperlink" Target="https://webagentes.canaldirecto.com.ar/incidents/view/708680-5" TargetMode="External"/><Relationship Id="rId204" Type="http://schemas.openxmlformats.org/officeDocument/2006/relationships/hyperlink" Target="https://webagentes.canaldirecto.com.ar/incidents/view/715942-0" TargetMode="External"/><Relationship Id="rId225" Type="http://schemas.openxmlformats.org/officeDocument/2006/relationships/hyperlink" Target="https://webagentes.canaldirecto.com.ar/incidents/view/725775-9" TargetMode="External"/><Relationship Id="rId246" Type="http://schemas.openxmlformats.org/officeDocument/2006/relationships/hyperlink" Target="https://webagentes.canaldirecto.com.ar/incidents/view/733255-5" TargetMode="External"/><Relationship Id="rId267" Type="http://schemas.openxmlformats.org/officeDocument/2006/relationships/hyperlink" Target="https://webagentes.canaldirecto.com.ar/incidents/view/740428-7" TargetMode="External"/><Relationship Id="rId288" Type="http://schemas.openxmlformats.org/officeDocument/2006/relationships/hyperlink" Target="https://webagentes.canaldirecto.com.ar/incidents/view/746279-5" TargetMode="External"/><Relationship Id="rId411" Type="http://schemas.openxmlformats.org/officeDocument/2006/relationships/hyperlink" Target="https://webagentes.canaldirecto.com.ar/incidents/view/788095-5" TargetMode="External"/><Relationship Id="rId432" Type="http://schemas.openxmlformats.org/officeDocument/2006/relationships/hyperlink" Target="https://webagentes.canaldirecto.com.ar/incidents/view/796882-8" TargetMode="External"/><Relationship Id="rId453" Type="http://schemas.openxmlformats.org/officeDocument/2006/relationships/hyperlink" Target="https://www.google.com/maps/dir/Urquiza+4703,+Santa+Fe+de+la+Vera+Cruz,+Santa+Fe/Oca,+Recreo,+Santa+Fe/Urquiza+4703,+S3002EKZ+Santa+Fe+de+la+Vera+Cruz,+Santa+Fe/@-31.5780473,-60.7422492,13z/data=!3m1!4b1!4m20!4m19!1m5!1m1!1s0x95b5a9db02e31df5:0x14cb4291f5edb791!2m2!1d-60.7067158!2d-31.6229663!1m5!1m1!1s0x95b5042a017d1909:0xd9bcd0cf4275e29f!2m2!1d-60.7158469!2d-31.5332573!1m5!1m1!1s0x95b5a9db02e31df5:0x14cb4291f5edb791!2m2!1d-60.7067158!2d-31.6229663!3e0?entry=ttu&amp;g_ep=EgoyMDI1MDczMC4wIKXMDSoASAFQAw%3D%3D" TargetMode="External"/><Relationship Id="rId474" Type="http://schemas.openxmlformats.org/officeDocument/2006/relationships/hyperlink" Target="https://webagentes.canaldirecto.com.ar/incidents/view/812377-8" TargetMode="External"/><Relationship Id="rId509" Type="http://schemas.openxmlformats.org/officeDocument/2006/relationships/hyperlink" Target="https://webagentes.canaldirecto.com.ar/incidents/view/820793-7" TargetMode="External"/><Relationship Id="rId106" Type="http://schemas.openxmlformats.org/officeDocument/2006/relationships/hyperlink" Target="https://webagentes.canaldirecto.com.ar/incidents/view/683237-7" TargetMode="External"/><Relationship Id="rId127" Type="http://schemas.openxmlformats.org/officeDocument/2006/relationships/hyperlink" Target="https://webagentes.canaldirecto.com.ar/incidents/view/689372-1" TargetMode="External"/><Relationship Id="rId313" Type="http://schemas.openxmlformats.org/officeDocument/2006/relationships/hyperlink" Target="https://webagentes.canaldirecto.com.ar/incidents/view/752850-5" TargetMode="External"/><Relationship Id="rId495" Type="http://schemas.openxmlformats.org/officeDocument/2006/relationships/hyperlink" Target="https://webagentes.canaldirecto.com.ar/incidents/view/814042-9" TargetMode="External"/><Relationship Id="rId10" Type="http://schemas.openxmlformats.org/officeDocument/2006/relationships/hyperlink" Target="http://webagentes.canaldirecto.com.ar/incidents/view/653815-2" TargetMode="External"/><Relationship Id="rId31" Type="http://schemas.openxmlformats.org/officeDocument/2006/relationships/hyperlink" Target="http://webagentes.canaldirecto.com.ar/incidents/view/660745-2" TargetMode="External"/><Relationship Id="rId52" Type="http://schemas.openxmlformats.org/officeDocument/2006/relationships/hyperlink" Target="https://webagentes.canaldirecto.com.ar/incidents/view/665254-0" TargetMode="External"/><Relationship Id="rId73" Type="http://schemas.openxmlformats.org/officeDocument/2006/relationships/hyperlink" Target="https://webagentes.canaldirecto.com.ar/incidents/view/670023-6" TargetMode="External"/><Relationship Id="rId94" Type="http://schemas.openxmlformats.org/officeDocument/2006/relationships/hyperlink" Target="https://webagentes.canaldirecto.com.ar/incidents/view/676927-5" TargetMode="External"/><Relationship Id="rId148" Type="http://schemas.openxmlformats.org/officeDocument/2006/relationships/hyperlink" Target="https://webagentes.canaldirecto.com.ar/incidents/view/694659-1" TargetMode="External"/><Relationship Id="rId169" Type="http://schemas.openxmlformats.org/officeDocument/2006/relationships/hyperlink" Target="https://webagentes.canaldirecto.com.ar/incidents/view/699253-6" TargetMode="External"/><Relationship Id="rId334" Type="http://schemas.openxmlformats.org/officeDocument/2006/relationships/hyperlink" Target="https://webagentes.canaldirecto.com.ar/incidents/view/765922-1" TargetMode="External"/><Relationship Id="rId355" Type="http://schemas.openxmlformats.org/officeDocument/2006/relationships/hyperlink" Target="https://webagentes.canaldirecto.com.ar/incidents/view/769383-6" TargetMode="External"/><Relationship Id="rId376" Type="http://schemas.openxmlformats.org/officeDocument/2006/relationships/hyperlink" Target="https://webagentes.canaldirecto.com.ar/incidents/view/779817-7" TargetMode="External"/><Relationship Id="rId397" Type="http://schemas.openxmlformats.org/officeDocument/2006/relationships/hyperlink" Target="https://webagentes.canaldirecto.com.ar/incidents/view/784348-6" TargetMode="External"/><Relationship Id="rId520" Type="http://schemas.openxmlformats.org/officeDocument/2006/relationships/hyperlink" Target="https://webagentes.canaldirecto.com.ar/incidents/view/823468-5" TargetMode="External"/><Relationship Id="rId4" Type="http://schemas.openxmlformats.org/officeDocument/2006/relationships/hyperlink" Target="http://webagentes.canaldirecto.com.ar/incidents/view/651558-6" TargetMode="External"/><Relationship Id="rId180" Type="http://schemas.openxmlformats.org/officeDocument/2006/relationships/hyperlink" Target="https://webagentes.canaldirecto.com.ar/incidents/view/704167-1" TargetMode="External"/><Relationship Id="rId215" Type="http://schemas.openxmlformats.org/officeDocument/2006/relationships/hyperlink" Target="https://webagentes.canaldirecto.com.ar/incidents/view/720392-5" TargetMode="External"/><Relationship Id="rId236" Type="http://schemas.openxmlformats.org/officeDocument/2006/relationships/hyperlink" Target="https://webagentes.canaldirecto.com.ar/incidents/view/728185-3" TargetMode="External"/><Relationship Id="rId257" Type="http://schemas.openxmlformats.org/officeDocument/2006/relationships/hyperlink" Target="https://webagentes.canaldirecto.com.ar/incidents/view/737330-3" TargetMode="External"/><Relationship Id="rId278" Type="http://schemas.openxmlformats.org/officeDocument/2006/relationships/hyperlink" Target="https://webagentes.canaldirecto.com.ar/incidents/view/746317-4" TargetMode="External"/><Relationship Id="rId401" Type="http://schemas.openxmlformats.org/officeDocument/2006/relationships/hyperlink" Target="https://webagentes.canaldirecto.com.ar/incidents/view/786621-0" TargetMode="External"/><Relationship Id="rId422" Type="http://schemas.openxmlformats.org/officeDocument/2006/relationships/hyperlink" Target="https://webagentes.canaldirecto.com.ar/incidents/view/792107-6" TargetMode="External"/><Relationship Id="rId443" Type="http://schemas.openxmlformats.org/officeDocument/2006/relationships/hyperlink" Target="https://webagentes.canaldirecto.com.ar/incidents/view/797937-4" TargetMode="External"/><Relationship Id="rId464" Type="http://schemas.openxmlformats.org/officeDocument/2006/relationships/hyperlink" Target="https://webagentes.canaldirecto.com.ar/incidents/view/809580-0" TargetMode="External"/><Relationship Id="rId303" Type="http://schemas.openxmlformats.org/officeDocument/2006/relationships/hyperlink" Target="https://webagentes.canaldirecto.com.ar/incidents/view/749482-8" TargetMode="External"/><Relationship Id="rId485" Type="http://schemas.openxmlformats.org/officeDocument/2006/relationships/hyperlink" Target="https://www.google.com/maps/dir/Av.+Bordabehere+3811,+S2002+KNC,+Santa+Fe/Ilolay+Productos+Lacteos,+El+Trebol,+Santa+Fe/Santander+R%C3%ADo,+1ero+de+Mayo,+Casilda,+Santa+Fe/Av.+Bordabehere+3811,+S2002+KNC,+Santa+Fe/@-32.6172149,-61.5176142,107398m/data=!3m2!1e3!4b1!4m26!4m25!1m5!1m1!1s0x95b7ab55720d5f5d:0xe0e43ecb8b36d805!2m2!1d-60.6737651!2d-32.9335712!1m5!1m1!1s0x95ca1750df01ea61:0x4b1ce40157631fb0!2m2!1d-61.7006351!2d-32.1907585!1m5!1m1!1s0x95b62d3658299251:0xe3ea209e5c0ffcd2!2m2!1d-61.1668277!2d-33.0450448!1m5!1m1!1s0x95b7ab55720d5f5d:0xe0e43ecb8b36d805!2m2!1d-60.6737651!2d-32.9335712!3e0?entry=ttu&amp;g_ep=EgoyMDI1MTEwMi4wIKXMDSoASAFQAw%3D%3D" TargetMode="External"/><Relationship Id="rId42" Type="http://schemas.openxmlformats.org/officeDocument/2006/relationships/hyperlink" Target="https://webagentes.canaldirecto.com.ar/incidents/view/662840-0" TargetMode="External"/><Relationship Id="rId84" Type="http://schemas.openxmlformats.org/officeDocument/2006/relationships/hyperlink" Target="https://webagentes.canaldirecto.com.ar/incidents/view/673636-5" TargetMode="External"/><Relationship Id="rId138" Type="http://schemas.openxmlformats.org/officeDocument/2006/relationships/hyperlink" Target="https://webagentes.canaldirecto.com.ar/incidents/view/690634-4" TargetMode="External"/><Relationship Id="rId345" Type="http://schemas.openxmlformats.org/officeDocument/2006/relationships/hyperlink" Target="https://webagentes.canaldirecto.com.ar/incidents/view/767868-8" TargetMode="External"/><Relationship Id="rId387" Type="http://schemas.openxmlformats.org/officeDocument/2006/relationships/hyperlink" Target="https://webagentes.canaldirecto.com.ar/incidents/view/781728-7" TargetMode="External"/><Relationship Id="rId510" Type="http://schemas.openxmlformats.org/officeDocument/2006/relationships/hyperlink" Target="https://webagentes.canaldirecto.com.ar/incidents/view/820359-7" TargetMode="External"/><Relationship Id="rId191" Type="http://schemas.openxmlformats.org/officeDocument/2006/relationships/hyperlink" Target="https://webagentes.canaldirecto.com.ar/incidents/view/708529-5" TargetMode="External"/><Relationship Id="rId205" Type="http://schemas.openxmlformats.org/officeDocument/2006/relationships/hyperlink" Target="https://webagentes.canaldirecto.com.ar/incidents/view/715650-2" TargetMode="External"/><Relationship Id="rId247" Type="http://schemas.openxmlformats.org/officeDocument/2006/relationships/hyperlink" Target="https://webagentes.canaldirecto.com.ar/incidents/view/734320-5" TargetMode="External"/><Relationship Id="rId412" Type="http://schemas.openxmlformats.org/officeDocument/2006/relationships/hyperlink" Target="https://webagentes.canaldirecto.com.ar/incidents/view/787202-6" TargetMode="External"/><Relationship Id="rId107" Type="http://schemas.openxmlformats.org/officeDocument/2006/relationships/hyperlink" Target="https://webagentes.canaldirecto.com.ar/incidents/view/682491-6" TargetMode="External"/><Relationship Id="rId289" Type="http://schemas.openxmlformats.org/officeDocument/2006/relationships/hyperlink" Target="https://webagentes.canaldirecto.com.ar/incidents/view/747062-4" TargetMode="External"/><Relationship Id="rId454" Type="http://schemas.openxmlformats.org/officeDocument/2006/relationships/hyperlink" Target="https://www.google.com/maps/dir/Urquiza+4703,+Santa+Fe+de+la+Vera+Cruz,+Santa+Fe/Oca,+Recreo,+Santa+Fe/Urquiza+4703,+S3002EKZ+Santa+Fe+de+la+Vera+Cruz,+Santa+Fe/@-31.5780473,-60.7422492,13z/data=!3m1!4b1!4m20!4m19!1m5!1m1!1s0x95b5a9db02e31df5:0x14cb4291f5edb791!2m2!1d-60.7067158!2d-31.6229663!1m5!1m1!1s0x95b5042a017d1909:0xd9bcd0cf4275e29f!2m2!1d-60.7158469!2d-31.5332573!1m5!1m1!1s0x95b5a9db02e31df5:0x14cb4291f5edb791!2m2!1d-60.7067158!2d-31.6229663!3e0?entry=ttu&amp;g_ep=EgoyMDI1MDczMC4wIKXMDSoASAFQAw%3D%3D" TargetMode="External"/><Relationship Id="rId496" Type="http://schemas.openxmlformats.org/officeDocument/2006/relationships/hyperlink" Target="https://webagentes.canaldirecto.com.ar/incidents/view/819621-5" TargetMode="External"/><Relationship Id="rId11" Type="http://schemas.openxmlformats.org/officeDocument/2006/relationships/hyperlink" Target="http://webagentes.canaldirecto.com.ar/incidents/view/653476-7" TargetMode="External"/><Relationship Id="rId53" Type="http://schemas.openxmlformats.org/officeDocument/2006/relationships/hyperlink" Target="https://webagentes.canaldirecto.com.ar/incidents/view/665439-9" TargetMode="External"/><Relationship Id="rId149" Type="http://schemas.openxmlformats.org/officeDocument/2006/relationships/hyperlink" Target="https://webagentes.canaldirecto.com.ar/incidents/view/694896-0" TargetMode="External"/><Relationship Id="rId314" Type="http://schemas.openxmlformats.org/officeDocument/2006/relationships/hyperlink" Target="https://webagentes.canaldirecto.com.ar/incidents/view/751023-2" TargetMode="External"/><Relationship Id="rId356" Type="http://schemas.openxmlformats.org/officeDocument/2006/relationships/hyperlink" Target="https://webagentes.canaldirecto.com.ar/incidents/view/769223-5" TargetMode="External"/><Relationship Id="rId398" Type="http://schemas.openxmlformats.org/officeDocument/2006/relationships/hyperlink" Target="https://webagentes.canaldirecto.com.ar/incidents/view/783086-2" TargetMode="External"/><Relationship Id="rId521" Type="http://schemas.openxmlformats.org/officeDocument/2006/relationships/hyperlink" Target="https://webagentes.canaldirecto.com.ar/incidents/view/823242-9" TargetMode="External"/><Relationship Id="rId95" Type="http://schemas.openxmlformats.org/officeDocument/2006/relationships/hyperlink" Target="https://webagentes.canaldirecto.com.ar/incidents/view/678128-6" TargetMode="External"/><Relationship Id="rId160" Type="http://schemas.openxmlformats.org/officeDocument/2006/relationships/hyperlink" Target="https://webagentes.canaldirecto.com.ar/incidents/view/698159-4" TargetMode="External"/><Relationship Id="rId216" Type="http://schemas.openxmlformats.org/officeDocument/2006/relationships/hyperlink" Target="https://webagentes.canaldirecto.com.ar/incidents/view/720026-5" TargetMode="External"/><Relationship Id="rId423" Type="http://schemas.openxmlformats.org/officeDocument/2006/relationships/hyperlink" Target="https://webagentes.canaldirecto.com.ar/incidents/view/792643-3" TargetMode="External"/><Relationship Id="rId258" Type="http://schemas.openxmlformats.org/officeDocument/2006/relationships/hyperlink" Target="https://webagentes.canaldirecto.com.ar/incidents/view/737269-6" TargetMode="External"/><Relationship Id="rId465" Type="http://schemas.openxmlformats.org/officeDocument/2006/relationships/hyperlink" Target="https://webagentes.canaldirecto.com.ar/incidents/view/809404-1" TargetMode="External"/><Relationship Id="rId22" Type="http://schemas.openxmlformats.org/officeDocument/2006/relationships/hyperlink" Target="http://webagentes.canaldirecto.com.ar/incidents/view/656692-4" TargetMode="External"/><Relationship Id="rId64" Type="http://schemas.openxmlformats.org/officeDocument/2006/relationships/hyperlink" Target="https://webagentes.canaldirecto.com.ar/incidents/view/668837-8" TargetMode="External"/><Relationship Id="rId118" Type="http://schemas.openxmlformats.org/officeDocument/2006/relationships/hyperlink" Target="https://webagentes.canaldirecto.com.ar/incidents/view/685586-4" TargetMode="External"/><Relationship Id="rId325" Type="http://schemas.openxmlformats.org/officeDocument/2006/relationships/hyperlink" Target="https://webagentes.canaldirecto.com.ar/incidents/view/760942-0" TargetMode="External"/><Relationship Id="rId367" Type="http://schemas.openxmlformats.org/officeDocument/2006/relationships/hyperlink" Target="https://webagentes.canaldirecto.com.ar/incidents/view/771703-9" TargetMode="External"/><Relationship Id="rId532" Type="http://schemas.openxmlformats.org/officeDocument/2006/relationships/hyperlink" Target="https://webagentes.canaldirecto.com.ar/incidents/view/829410-0" TargetMode="External"/><Relationship Id="rId171" Type="http://schemas.openxmlformats.org/officeDocument/2006/relationships/hyperlink" Target="https://webagentes.canaldirecto.com.ar/incidents/view/701752-2" TargetMode="External"/><Relationship Id="rId227" Type="http://schemas.openxmlformats.org/officeDocument/2006/relationships/hyperlink" Target="https://webagentes.canaldirecto.com.ar/incidents/view/724725-7" TargetMode="External"/><Relationship Id="rId269" Type="http://schemas.openxmlformats.org/officeDocument/2006/relationships/hyperlink" Target="https://webagentes.canaldirecto.com.ar/incidents/view/740770-7" TargetMode="External"/><Relationship Id="rId434" Type="http://schemas.openxmlformats.org/officeDocument/2006/relationships/hyperlink" Target="https://webagentes.canaldirecto.com.ar/incidents/view/796305-4" TargetMode="External"/><Relationship Id="rId476" Type="http://schemas.openxmlformats.org/officeDocument/2006/relationships/hyperlink" Target="https://webagentes.canaldirecto.com.ar/incidents/view/811682-0" TargetMode="External"/><Relationship Id="rId33" Type="http://schemas.openxmlformats.org/officeDocument/2006/relationships/hyperlink" Target="http://webagentes.canaldirecto.com.ar/incidents/view/660055-6" TargetMode="External"/><Relationship Id="rId129" Type="http://schemas.openxmlformats.org/officeDocument/2006/relationships/hyperlink" Target="https://webagentes.canaldirecto.com.ar/incidents/view/690270-0" TargetMode="External"/><Relationship Id="rId280" Type="http://schemas.openxmlformats.org/officeDocument/2006/relationships/hyperlink" Target="https://webagentes.canaldirecto.com.ar/incidents/view/745119-7" TargetMode="External"/><Relationship Id="rId336" Type="http://schemas.openxmlformats.org/officeDocument/2006/relationships/hyperlink" Target="https://webagentes.canaldirecto.com.ar/incidents/view/763041-1" TargetMode="External"/><Relationship Id="rId501" Type="http://schemas.openxmlformats.org/officeDocument/2006/relationships/hyperlink" Target="https://webagentes.canaldirecto.com.ar/incidents/view/818512-1" TargetMode="External"/><Relationship Id="rId75" Type="http://schemas.openxmlformats.org/officeDocument/2006/relationships/hyperlink" Target="https://webagentes.canaldirecto.com.ar/incidents/view/670915-8" TargetMode="External"/><Relationship Id="rId140" Type="http://schemas.openxmlformats.org/officeDocument/2006/relationships/hyperlink" Target="https://webagentes.canaldirecto.com.ar/incidents/view/692043-2" TargetMode="External"/><Relationship Id="rId182" Type="http://schemas.openxmlformats.org/officeDocument/2006/relationships/hyperlink" Target="https://webagentes.canaldirecto.com.ar/incidents/view/705279-2" TargetMode="External"/><Relationship Id="rId378" Type="http://schemas.openxmlformats.org/officeDocument/2006/relationships/hyperlink" Target="https://webagentes.canaldirecto.com.ar/incidents/view/778786-1" TargetMode="External"/><Relationship Id="rId403" Type="http://schemas.openxmlformats.org/officeDocument/2006/relationships/hyperlink" Target="https://webagentes.canaldirecto.com.ar/incidents/view/786386-0" TargetMode="External"/><Relationship Id="rId6" Type="http://schemas.openxmlformats.org/officeDocument/2006/relationships/hyperlink" Target="http://webagentes.canaldirecto.com.ar/incidents/view/652429-2" TargetMode="External"/><Relationship Id="rId238" Type="http://schemas.openxmlformats.org/officeDocument/2006/relationships/hyperlink" Target="https://webagentes.canaldirecto.com.ar/incidents/view/729988-9" TargetMode="External"/><Relationship Id="rId445" Type="http://schemas.openxmlformats.org/officeDocument/2006/relationships/hyperlink" Target="https://webagentes.canaldirecto.com.ar/incidents/view/799500-8" TargetMode="External"/><Relationship Id="rId487" Type="http://schemas.openxmlformats.org/officeDocument/2006/relationships/hyperlink" Target="https://webagentes.canaldirecto.com.ar/incidents/view/815679-4" TargetMode="External"/><Relationship Id="rId291" Type="http://schemas.openxmlformats.org/officeDocument/2006/relationships/hyperlink" Target="https://webagentes.canaldirecto.com.ar/incidents/view/747732-6" TargetMode="External"/><Relationship Id="rId305" Type="http://schemas.openxmlformats.org/officeDocument/2006/relationships/hyperlink" Target="https://webagentes.canaldirecto.com.ar/incidents/view/750992-6" TargetMode="External"/><Relationship Id="rId347" Type="http://schemas.openxmlformats.org/officeDocument/2006/relationships/hyperlink" Target="https://webagentes.canaldirecto.com.ar/incidents/view/768124-8" TargetMode="External"/><Relationship Id="rId512" Type="http://schemas.openxmlformats.org/officeDocument/2006/relationships/hyperlink" Target="https://webagentes.canaldirecto.com.ar/incidents/view/819691-4" TargetMode="External"/><Relationship Id="rId44" Type="http://schemas.openxmlformats.org/officeDocument/2006/relationships/hyperlink" Target="https://webagentes.canaldirecto.com.ar/incidents/view/662601-3" TargetMode="External"/><Relationship Id="rId86" Type="http://schemas.openxmlformats.org/officeDocument/2006/relationships/hyperlink" Target="https://webagentes.canaldirecto.com.ar/incidents/view/674618-6" TargetMode="External"/><Relationship Id="rId151" Type="http://schemas.openxmlformats.org/officeDocument/2006/relationships/hyperlink" Target="https://webagentes.canaldirecto.com.ar/incidents/view/694762-4" TargetMode="External"/><Relationship Id="rId389" Type="http://schemas.openxmlformats.org/officeDocument/2006/relationships/hyperlink" Target="https://webagentes.canaldirecto.com.ar/incidents/view/781197-3" TargetMode="External"/><Relationship Id="rId193" Type="http://schemas.openxmlformats.org/officeDocument/2006/relationships/hyperlink" Target="https://webagentes.canaldirecto.com.ar/incidents/view/707355-5" TargetMode="External"/><Relationship Id="rId207" Type="http://schemas.openxmlformats.org/officeDocument/2006/relationships/hyperlink" Target="https://webagentes.canaldirecto.com.ar/incidents/view/714547-2" TargetMode="External"/><Relationship Id="rId249" Type="http://schemas.openxmlformats.org/officeDocument/2006/relationships/hyperlink" Target="https://webagentes.canaldirecto.com.ar/incidents/view/736067-3" TargetMode="External"/><Relationship Id="rId414" Type="http://schemas.openxmlformats.org/officeDocument/2006/relationships/hyperlink" Target="https://webagentes.canaldirecto.com.ar/incidents/view/791211-1" TargetMode="External"/><Relationship Id="rId456" Type="http://schemas.openxmlformats.org/officeDocument/2006/relationships/hyperlink" Target="https://webagentes.canaldirecto.com.ar/incidents/view/803491-5" TargetMode="External"/><Relationship Id="rId498" Type="http://schemas.openxmlformats.org/officeDocument/2006/relationships/hyperlink" Target="https://webagentes.canaldirecto.com.ar/incidents/view/818793-4" TargetMode="External"/><Relationship Id="rId13" Type="http://schemas.openxmlformats.org/officeDocument/2006/relationships/hyperlink" Target="http://webagentes.canaldirecto.com.ar/incidents/view/652749-3" TargetMode="External"/><Relationship Id="rId109" Type="http://schemas.openxmlformats.org/officeDocument/2006/relationships/hyperlink" Target="https://webagentes.canaldirecto.com.ar/incidents/view/683703-5" TargetMode="External"/><Relationship Id="rId260" Type="http://schemas.openxmlformats.org/officeDocument/2006/relationships/hyperlink" Target="https://webagentes.canaldirecto.com.ar/incidents/view/736941-6" TargetMode="External"/><Relationship Id="rId316" Type="http://schemas.openxmlformats.org/officeDocument/2006/relationships/hyperlink" Target="https://webagentes.canaldirecto.com.ar/incidents/view/754898-9" TargetMode="External"/><Relationship Id="rId523" Type="http://schemas.openxmlformats.org/officeDocument/2006/relationships/hyperlink" Target="https://webagentes.canaldirecto.com.ar/incidents/view/827925-3" TargetMode="External"/><Relationship Id="rId55" Type="http://schemas.openxmlformats.org/officeDocument/2006/relationships/hyperlink" Target="https://webagentes.canaldirecto.com.ar/incidents/view/665348-8" TargetMode="External"/><Relationship Id="rId97" Type="http://schemas.openxmlformats.org/officeDocument/2006/relationships/hyperlink" Target="https://webagentes.canaldirecto.com.ar/incidents/view/677942-1" TargetMode="External"/><Relationship Id="rId120" Type="http://schemas.openxmlformats.org/officeDocument/2006/relationships/hyperlink" Target="https://webagentes.canaldirecto.com.ar/incidents/view/687518-7" TargetMode="External"/><Relationship Id="rId358" Type="http://schemas.openxmlformats.org/officeDocument/2006/relationships/hyperlink" Target="https://webagentes.canaldirecto.com.ar/incidents/view/773589-5" TargetMode="External"/><Relationship Id="rId162" Type="http://schemas.openxmlformats.org/officeDocument/2006/relationships/hyperlink" Target="https://webagentes.canaldirecto.com.ar/incidents/view/698167-3" TargetMode="External"/><Relationship Id="rId218" Type="http://schemas.openxmlformats.org/officeDocument/2006/relationships/hyperlink" Target="https://webagentes.canaldirecto.com.ar/incidents/view/720621-4" TargetMode="External"/><Relationship Id="rId425" Type="http://schemas.openxmlformats.org/officeDocument/2006/relationships/hyperlink" Target="https://webagentes.canaldirecto.com.ar/incidents/view/792603-5" TargetMode="External"/><Relationship Id="rId467" Type="http://schemas.openxmlformats.org/officeDocument/2006/relationships/hyperlink" Target="https://webagentes.canaldirecto.com.ar/incidents/view/809013-3" TargetMode="External"/><Relationship Id="rId271" Type="http://schemas.openxmlformats.org/officeDocument/2006/relationships/hyperlink" Target="https://webagentes.canaldirecto.com.ar/incidents/view/742931-0" TargetMode="External"/><Relationship Id="rId24" Type="http://schemas.openxmlformats.org/officeDocument/2006/relationships/hyperlink" Target="http://webagentes.canaldirecto.com.ar/incidents/view/656682-7" TargetMode="External"/><Relationship Id="rId66" Type="http://schemas.openxmlformats.org/officeDocument/2006/relationships/hyperlink" Target="https://webagentes.canaldirecto.com.ar/incidents/view/668511-3" TargetMode="External"/><Relationship Id="rId131" Type="http://schemas.openxmlformats.org/officeDocument/2006/relationships/hyperlink" Target="https://webagentes.canaldirecto.com.ar/incidents/view/688515-7" TargetMode="External"/><Relationship Id="rId327" Type="http://schemas.openxmlformats.org/officeDocument/2006/relationships/hyperlink" Target="https://webagentes.canaldirecto.com.ar/incidents/view/761008-2" TargetMode="External"/><Relationship Id="rId369" Type="http://schemas.openxmlformats.org/officeDocument/2006/relationships/hyperlink" Target="https://webagentes.canaldirecto.com.ar/incidents/view/776912-0" TargetMode="External"/><Relationship Id="rId534" Type="http://schemas.openxmlformats.org/officeDocument/2006/relationships/hyperlink" Target="https://webagentes.canaldirecto.com.ar/incidents/view/829799-4" TargetMode="External"/><Relationship Id="rId173" Type="http://schemas.openxmlformats.org/officeDocument/2006/relationships/hyperlink" Target="https://webagentes.canaldirecto.com.ar/incidents/view/702537-2" TargetMode="External"/><Relationship Id="rId229" Type="http://schemas.openxmlformats.org/officeDocument/2006/relationships/hyperlink" Target="https://webagentes.canaldirecto.com.ar/incidents/view/723014-1" TargetMode="External"/><Relationship Id="rId380" Type="http://schemas.openxmlformats.org/officeDocument/2006/relationships/hyperlink" Target="https://webagentes.canaldirecto.com.ar/incidents/view/777805-8" TargetMode="External"/><Relationship Id="rId436" Type="http://schemas.openxmlformats.org/officeDocument/2006/relationships/hyperlink" Target="https://webagentes.canaldirecto.com.ar/incidents/view/795351-6" TargetMode="External"/><Relationship Id="rId240" Type="http://schemas.openxmlformats.org/officeDocument/2006/relationships/hyperlink" Target="https://webagentes.canaldirecto.com.ar/incidents/view/730363-2" TargetMode="External"/><Relationship Id="rId478" Type="http://schemas.openxmlformats.org/officeDocument/2006/relationships/hyperlink" Target="https://webagentes.canaldirecto.com.ar/incidents/view/811128-7" TargetMode="External"/><Relationship Id="rId35" Type="http://schemas.openxmlformats.org/officeDocument/2006/relationships/hyperlink" Target="https://webagentes.canaldirecto.com.ar/incidents/view/661190-5" TargetMode="External"/><Relationship Id="rId77" Type="http://schemas.openxmlformats.org/officeDocument/2006/relationships/hyperlink" Target="https://webagentes.canaldirecto.com.ar/incidents/view/670623-0" TargetMode="External"/><Relationship Id="rId100" Type="http://schemas.openxmlformats.org/officeDocument/2006/relationships/hyperlink" Target="https://webagentes.canaldirecto.com.ar/incidents/view/679635-8" TargetMode="External"/><Relationship Id="rId282" Type="http://schemas.openxmlformats.org/officeDocument/2006/relationships/hyperlink" Target="https://webagentes.canaldirecto.com.ar/incidents/view/744591-0" TargetMode="External"/><Relationship Id="rId338" Type="http://schemas.openxmlformats.org/officeDocument/2006/relationships/hyperlink" Target="https://webagentes.canaldirecto.com.ar/incidents/view/766771-6" TargetMode="External"/><Relationship Id="rId503" Type="http://schemas.openxmlformats.org/officeDocument/2006/relationships/hyperlink" Target="https://webagentes.canaldirecto.com.ar/incidents/view/816724-0" TargetMode="External"/><Relationship Id="rId8" Type="http://schemas.openxmlformats.org/officeDocument/2006/relationships/hyperlink" Target="http://webagentes.canaldirecto.com.ar/incidents/view/652058-8" TargetMode="External"/><Relationship Id="rId142" Type="http://schemas.openxmlformats.org/officeDocument/2006/relationships/hyperlink" Target="https://webagentes.canaldirecto.com.ar/incidents/view/692563-1" TargetMode="External"/><Relationship Id="rId184" Type="http://schemas.openxmlformats.org/officeDocument/2006/relationships/hyperlink" Target="https://webagentes.canaldirecto.com.ar/incidents/view/705902-3" TargetMode="External"/><Relationship Id="rId391" Type="http://schemas.openxmlformats.org/officeDocument/2006/relationships/hyperlink" Target="https://webagentes.canaldirecto.com.ar/incidents/view/780928-8" TargetMode="External"/><Relationship Id="rId405" Type="http://schemas.openxmlformats.org/officeDocument/2006/relationships/hyperlink" Target="https://webagentes.canaldirecto.com.ar/incidents/view/785999-1" TargetMode="External"/><Relationship Id="rId447" Type="http://schemas.openxmlformats.org/officeDocument/2006/relationships/hyperlink" Target="https://webagentes.canaldirecto.com.ar/incidents/view/800837-2" TargetMode="External"/><Relationship Id="rId251" Type="http://schemas.openxmlformats.org/officeDocument/2006/relationships/hyperlink" Target="https://webagentes.canaldirecto.com.ar/incidents/view/735612-0" TargetMode="External"/><Relationship Id="rId489" Type="http://schemas.openxmlformats.org/officeDocument/2006/relationships/hyperlink" Target="https://webagentes.canaldirecto.com.ar/incidents/view/814519-6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dir/Av.+Bordabehere+3811,+S2002+KNC,+Santa+Fe/Bartolom%C3%A9+Mitre+293,+San+Nicol%C3%A1s+de+Los+Arroyos,+Provincia+de+Buenos+Aires/Av.+Bordabehere+3811,+S2002+KNC,+Santa+Fe/@-33.1413132,-60.8011623,10z/data=!3m1!4b1!4m20!4m19!1m5!1m1!1s0x95b7ab55726d7baf:0xff0f95afeea1648d!2m2!1d-60.6737505!2d-32.9335742!1m5!1m1!1s0x95b7678e7896cf9b:0x9ef2c7330e1a2a7b!2m2!1d-60.2207509!2d-33.3321237!1m5!1m1!1s0x95b7ab55726d7baf:0xff0f95afeea1648d!2m2!1d-60.6737505!2d-32.9335742!3e0?entry=ttu" TargetMode="External"/><Relationship Id="rId13" Type="http://schemas.openxmlformats.org/officeDocument/2006/relationships/hyperlink" Target="https://www.google.com/maps/dir/Av.+Bordabehere+3811,+S2002+KNC,+Santa+Fe/20+920,+S2505+Las+Parejas,+Santa+Fe/Av.+Bordabehere+3811,+S2002+KNC,+Santa+Fe/@-32.8139286,-61.3945248,10z/data=!3m1!4b1!4m20!4m19!1m5!1m1!1s0x95b7ab55726d7baf:0xff0f95afeea1648d!2m2!1d-60.6737762!2d-32.9335525!1m5!1m1!1s0x95c9ef866a7e3d9f:0x4c3d415800965065!2m2!1d-61.518!2d-32.6804!1m5!1m1!1s0x95b7ab55726d7baf:0xff0f95afeea1648d!2m2!1d-60.6737762!2d-32.9335525!3e0" TargetMode="External"/><Relationship Id="rId18" Type="http://schemas.openxmlformats.org/officeDocument/2006/relationships/hyperlink" Target="https://www.google.com/maps/dir/Av.+Bordabehere+3811,+S2002+KNC,+Santa+Fe/Marfrig+Group+Planta+Arroyo+Seco,+Salk+945,+S2128+Arroyo+Seco,+Santa+Fe/Av.+Bordabehere+3811,+S2002+KNC,+Santa+Fe/@-33.0506321,-60.7754,11z/data=!3m1!4b1!4m20!4m19!1m5!1m1!1s0x95b7ab55726d7baf:0xff0f95afeea1648d!2m2!1d-60.6737651!2d-32.9335712!1m5!1m1!1s0x95b70b91c4c3bd23:0xc5e609e45c419ce!2m2!1d-60.4972548!2d-33.1575648!1m5!1m1!1s0x95b7ab55726d7baf:0xff0f95afeea1648d!2m2!1d-60.6737651!2d-32.9335712!3e0?entry=ttu&amp;g_ep=EgoyMDI1MDUyOC4wIKXMDSoASAFQAw%3D%3D" TargetMode="External"/><Relationship Id="rId26" Type="http://schemas.openxmlformats.org/officeDocument/2006/relationships/hyperlink" Target="https://www.google.com/maps/dir/Urquiza+4703,+Santa+Fe+de+la+Vera+Cruz,+Santa+Fe/OCA+Sucursal+Recreo,+Avellaneda,+Recreo,+Santa+Fe/Urquiza+4703,+S3002EKZ+Santa+Fe+de+la+Vera+Cruz,+Santa+Fe/@-31.577994,-60.7422451,13578m/data=!3m2!1e3!4b1!4m20!4m19!1m5!1m1!1s0x95b5a9db02e31df5:0x14cb4291f5edb791!2m2!1d-60.7067158!2d-31.6229663!1m5!1m1!1s0x95b5050068690b13:0xfd2a4c24745a10f9!2m2!1d-60.7156805!2d-31.5332834!1m5!1m1!1s0x95b5a9db02e31df5:0x14cb4291f5edb791!2m2!1d-60.7067158!2d-31.6229663!3e0?entry=ttu&amp;g_ep=EgoyMDI1MTIwOS4wIKXMDSoASAFQAw%3D%3D" TargetMode="External"/><Relationship Id="rId3" Type="http://schemas.openxmlformats.org/officeDocument/2006/relationships/hyperlink" Target="https://www.google.com/maps/dir/Avenida+Bordabehere+3811,+KNC,+Santa+Fe/Pellegrini+224,+San+Nicol%C3%A1s+de+Los+Arroyos,+Provincia+de+Buenos+Aires/Av.+Bordabehere+3811,+S2002PBP+S2002PBP+S2002PBP,+Santa+Fe/@" TargetMode="External"/><Relationship Id="rId21" Type="http://schemas.openxmlformats.org/officeDocument/2006/relationships/hyperlink" Target="mailto:google.com/maps/dir/Av.+Bordabehere+3811,+S2002+KNC,+Santa+Fe/Supermercados+DIA,+Av.+San+Mart&#237;n+1081,+S2919+Villa+Constituci&#243;n,+Santa+Fe/Av.+Bordabehere+3811,+S2002+KNC,+Santa+Fe/@-33.1303545,-60.6539148,53389m/data=!3m1!1e3!4m20!4m19!1m5!1m1!1s0x95b7ab55726d7baf:0xff0f95afeea1648d!2m2!1d-60.6737651!2d-32.9335712!1m5!1m1!1s0x95b76c43c4f0fc17:0xb0f35a28ab418da4!2m2!1d-60.3325114!2d-33.2255647!1m5!1m1!1s0x95b7ab55726d7baf:0xff0f95afeea1648d!2m2!1d-60.6737651!2d-32.9335712!3e0?entry=ttu&amp;g_ep=EgoyMDI1MDgyNS4wIKXMDSoASAFQAw%3D%3D" TargetMode="External"/><Relationship Id="rId7" Type="http://schemas.openxmlformats.org/officeDocument/2006/relationships/hyperlink" Target="https://www.google.com/maps/dir/Av.+Bordabehere+3811,+S2002+KNC,+Santa+Fe/Profertil,+Doctor+Rom%C3%A1n+Subiza,+San+Nicol%C3%A1s+de+Los+Arroyos,+Provincia+de+Buenos+Aires/Av.+Bordabehere+3811,+S2002+KNC,+Santa+Fe/@-33.1618262,-60.6164733,11z/data=!3m1!4b1!4m20!4m19!1m5!1m1!1s0x95b7ab55726d7baf:0xff0f95afeea1648d!2m2!1d-60.6737505!2d-32.9335742!1m5!1m1!1s0x95b75db948f2c64d:0x2b7fd641bb7c690f!2m2!1d-60.1819038!2d-33.3528709!1m5!1m1!1s0x95b7ab55726d7baf:0xff0f95afeea1648d!2m2!1d-60.6737505!2d-32.9335742!3e0?entry=ttu&amp;g_ep=EgoyMDI0MTIwMy4wIKXMDSoASAFQAw%3D%3D" TargetMode="External"/><Relationship Id="rId12" Type="http://schemas.openxmlformats.org/officeDocument/2006/relationships/hyperlink" Target="https://www.google.com/maps/dir/Av.+Bordabehere+3811,+S2002+KNC,+Santa+Fe/Avenida+Santa+Fe+1594,+Funes,+Santa+Fe/Av.+Bordabehere+3811,+S2002+KNC,+Santa+Fe/@-32.9340037,-60.8293862,12z/data=!3m1!4b1!4m20!4m19!1m5!1m1!1s0x95b7ab55726d7baf:0xff0f95afeea1648d!2m2!1d-60.6737651!2d-32.9335712!1m5!1m1!1s0x95b64dac47863505:0x77642d6c0035dc53!2m2!1d-60.8099632!2d-32.9182737!1m5!1m1!1s0x95b7ab55726d7baf:0xff0f95afeea1648d!2m2!1d-60.6737651!2d-32.9335712!3e0?entry=ttu&amp;g_ep=EgoyMDI1MDQwMi4xIKXMDSoJLDEwMjExNDU1SAFQAw%3D%3D" TargetMode="External"/><Relationship Id="rId17" Type="http://schemas.openxmlformats.org/officeDocument/2006/relationships/hyperlink" Target="https://www.google.com/maps/dir/Av.+Bordabehere+3811,+S2002+KNC,+Santa+Fe/ADM+AGRO,+Libertad,+Arroyo+Seco,+Santa+Fe/Av.+Bordabehere+3811,+S2002+KNC,+Santa+Fe/@-33.0506321,-60.7803706,11z/data=!3m1!4b1!4m20!4m19!1m5!1m1!1s0x95b7ab55726d7baf:0xff0f95afeea1648d!2m2!1d-60.6737651!2d-32.9335712!1m5!1m1!1s0x95b70b9a74d6002b:0xd49834f723712387!2m2!1d-60.5086034!2d-33.1509507!1m5!1m1!1s0x95b7ab55726d7baf:0xff0f95afeea1648d!2m2!1d-60.6737651!2d-32.9335712!3e0?entry=ttu&amp;g_ep=EgoyMDI1MDUyOC4wIKXMDSoASAFQAw%3D%3D" TargetMode="External"/><Relationship Id="rId25" Type="http://schemas.openxmlformats.org/officeDocument/2006/relationships/hyperlink" Target="mailto:google.com/maps/dir/Urquiza+4703,+Santa+Fe+de+la+Vera+Cruz,+Santa+Fe/Grupo+Macua,+Santa+Fe/Urquiza+4703,+S3002EKZ+Santa+Fe+de+la+Vera+Cruz,+Santa+Fe/@-31.6449531,-60.8091811,13569m/data=!3m1!1e3!4m20!4m19!1m5!1m1!1s0x95b5a9db02e31df5:0x14cb4291f5edb791!2m2!1d-60.7067158!2d-31.6229663!1m5!1m1!1s0x95b5a7c5a657d10b:0x3ce58a71b5781550!2m2!1d-60.8259296!2d-31.6632469!1m5!1m1!1s0x95b5a9db02e31df5:0x14cb4291f5edb791!2m2!1d-60.7067158!2d-31.6229663!3e0?entry=ttu&amp;g_ep=EgoyMDI1MTIwOS4wIKXMDSoASAFQAw%3D%3D" TargetMode="External"/><Relationship Id="rId2" Type="http://schemas.openxmlformats.org/officeDocument/2006/relationships/hyperlink" Target="https://www.google.com/maps/dir/Avenida+Bordabehere+3811,+KNC,+Santa+Fe/Bartolom%C3%A9+Mitre+483,+San+Nicol%C3%A1s+de+Los+Arroyos,+Provincia+de+Buenos+Aires/Av.+Bordabehere+3811,+S2002PBP+S2002PBP+S2002PBP,+Santa+Fe/@" TargetMode="External"/><Relationship Id="rId16" Type="http://schemas.openxmlformats.org/officeDocument/2006/relationships/hyperlink" Target="https://www.google.com/maps/dir/Av.+Bordabehere+3811,+S2002+KNC,+Santa+Fe/AAF,+Boulevard+Urquiza+699,+San+Lorenzo,+Santa+Fe/Av.+Bordabehere+3811,+S2002+KNC,+Santa+Fe/@-32.8423639,-60.856016,11z/data=!3m1!4b1!4m20!4m19!1m5!1m1!1s0x95b7ab55726d7baf:0xff0f95afeea1648d!2m2!1d-60.6737762!2d-32.9335525!1m5!1m1!1s0x95b65ae4ee6d9f19:0x3dfcd6a300d5a69e!2m2!1d-60.7351215!2d-32.7480347!1m5!1m1!1s0x95b7ab55726d7baf:0xff0f95afeea1648d!2m2!1d-60.6737762!2d-32.9335525!3e0" TargetMode="External"/><Relationship Id="rId20" Type="http://schemas.openxmlformats.org/officeDocument/2006/relationships/hyperlink" Target="https://www.google.com/maps/dir/Av.+Bordabehere+3811,+S2002+KNC,+Santa+Fe/Supermercados+DIA,+Pellegrini+328,+B2900+San+Nicol%C3%A1s+de+Los+Arroyos,+Provincia+de+Buenos+Aires/Av.+Bordabehere+3811,+S2002+KNC,+Santa+Fe/@-33.141351,-60.6353588,53382m/data=!3m2!1e3!4b1!4m20!4m19!1m5!1m1!1s0x95b7ab55726d7baf:0xff0f95afeea1648d!2m2!1d-60.6737651!2d-32.9335712!1m5!1m1!1s0x95b7678f1a5b0797:0x77c1faccf62b9f97!2m2!1d-60.218638!2d-33.3347195!1m5!1m1!1s0x95b7ab55726d7baf:0xff0f95afeea1648d!2m2!1d-60.6737651!2d-32.9335712!3e0?entry=ttu&amp;g_ep=EgoyMDI1MDgyNS4wIKXMDSoASAFQAw%3D%3D" TargetMode="External"/><Relationship Id="rId29" Type="http://schemas.openxmlformats.org/officeDocument/2006/relationships/hyperlink" Target="https://www.google.com/maps/dir/Av.+Bordabehere+3811,+S2000+Rosario,+Santa+Fe/Riccheri+564,+S2200+San+Lorenzo,+Santa+Fe/Av.+Bordabehere+3811,+S2002PBP+S2002PBP+S2002PBP,+Santa+Fe/@-32.8415843,-60.8807434,53564m/data=!3m1!1e3!4m50!4m49!1m35!1m1!1s0x95b7ab557268ff5d:0x5adfe9a40e5af534!2m2!1d-60.6737505!2d-32.9335742!3m4!1m2!1d-60.6766975!2d-32.9295619!3s0x95b65355a7398a53:0x33bdc042d0ef1ec1!3m4!1m2!1d-60.6749241!2d-32.9293718!3s0x95b654aa80eeb013:0xf70ac086712e9f98!3m4!1m2!1d-60.6799492!2d-32.926685!3s0x95b65356bc4c1de1:0xa1c5cf21a48265f8!3m4!1m2!1d-60.6830243!2d-32.9243479!3s0x95b653509391b6ed:0xde3289f736c44861!3m4!1m2!1d-60.6915726!2d-32.9142906!3s0x95b65369e88213c9:0xc610f9935ebaab84!3m4!1m2!1d-60.7030999!2d-32.9025809!3s0x95b6530bf233336f:0x16a446346d6a838!1m5!1m1!1s0x95b65ae52a27e897:0xc8205f09ec7460ab!2m2!1d-60.7334147!2d-32.7486241!1m5!1m1!1s0x95b7ab557222f8f5:0x712180d3c2c8239f!2m2!1d-60.6738161!2d-32.9336395!3e0?entry=ttu&amp;g_ep=EgoyMDI2MDEyOC4wIKXMDSoASAFQAw%3D%3D" TargetMode="External"/><Relationship Id="rId1" Type="http://schemas.openxmlformats.org/officeDocument/2006/relationships/hyperlink" Target="https://www.google.com/maps/dir/Avenida+Bordabehere+3811,+KNC,+Santa+Fe/Buenos+Aires+902,+Firmat,+Santa+Fe/Av.+Bordabehere+3811,+S2002PBP+S2002PBP+S2002PBP,+Santa+Fe/@" TargetMode="External"/><Relationship Id="rId6" Type="http://schemas.openxmlformats.org/officeDocument/2006/relationships/hyperlink" Target="https://www.google.com.ar/maps/dir/Avenida+Bordabehere+3811,+KNC,+Provincia+de+Santa+Fe/Juan+XXIII+3185,+S2124+Villa+Gdor.+Galvez,+Santa+Fe/Av.+Bordabehere+3811,+S2002+KNC,+Santa+Fe/@-32.9875285,-60.7290729,13z/data=!3m1!4b1!4m20!4m19!1m5!1m1!1s0x95b7ab55726d7baf:0xff0f95afeea1648d!2m2!1d-60.6737505!2d-32.9335742!1m5!1m1!1s0x95b7a93af3a474b5:0x1a536bab0457cdf0!2m2!1d-60.6616347!2d-33.0406566!1m5!1m1!1s0x95b7ab55726d7baf:0xff0f95afeea1648d!2m2!1d-60.6737505!2d-32.9335742!3e0?entry=ttu&amp;g_ep=EgoyMDI0MTEwNS4wIKXMDSoASAFQAw%3D%3D" TargetMode="External"/><Relationship Id="rId11" Type="http://schemas.openxmlformats.org/officeDocument/2006/relationships/hyperlink" Target="https://www.google.com/maps/dir/Av.+Bordabehere+3811,+S2002+KNC,+Santa+Fe/Bartolom%C3%A9+Mitre+201,+San+Nicol%C3%A1s+de+Los+Arroyos,+Provincia+de+Buenos+Aires/Av.+Bordabehere+3811,+S2002+KNC,+Santa+Fe/@-33.1478348,-60.8000595,10z/data=!3m1!4b1!4m20!4m19!1m5!1m1!1s0x95b7ab55726d7baf:0xff0f95afeea1648d!2m2!1d-60.6737505!2d-32.9335742!1m5!1m1!1s0x95b7678c37c0f9af:0xc1bb5e9ccb6b9aa2!2m2!1d-60.2191711!2d-33.3303382!1m5!1m1!1s0x95b7ab55726d7baf:0xff0f95afeea1648d!2m2!1d-60.6737505!2d-32.9335742!3e0?entry=ttu" TargetMode="External"/><Relationship Id="rId24" Type="http://schemas.openxmlformats.org/officeDocument/2006/relationships/hyperlink" Target="https://www.google.com/maps/dir/CCM,+Alvear+391,+Rafaela,+Santa+Fe/Ilolay+Productos+Lacteos,+El+Trebol,+Santa+Fe/Clinica+Mayo,+CCL,+Alvear+247,+S2300+Rafaela,+Santa+Fe/@-31.7169766,-62.2589684,216929m/data=!3m2!1e3!4b1!4m20!4m19!1m5!1m1!1s0x95caae470cdd3d25:0xad2a71c255fc1902!2m2!1d-61.4887207!2d-31.2495334!1m5!1m1!1s0x95ca1750df01ea61:0x4b1ce40157631fb0!2m2!1d-61.7006351!2d-32.1907585!1m5!1m1!1s0x95caae4797682b53:0xdeb4283d5447248!2m2!1d-61.4890834!2d-31.250842!3e0?entry=ttu&amp;g_ep=EgoyMDI1MTEwMi4wIKXMDSoASAFQAw%3D%3D" TargetMode="External"/><Relationship Id="rId32" Type="http://schemas.openxmlformats.org/officeDocument/2006/relationships/printerSettings" Target="../printerSettings/printerSettings3.bin"/><Relationship Id="rId5" Type="http://schemas.openxmlformats.org/officeDocument/2006/relationships/hyperlink" Target="https://www.google.com/maps/dir/Av.+Bordabehere+3811,+S2002+KNC,+Santa+Fe/Albanesi+-+Planta+Generadora+Timbues,+San+Lorenzo,+Santa+Fe/Av.+Bordabehere+3811,+S2002+KNC,+Santa+Fe/@-32.7618532,-60.9149835,11z/data=!3m1!4b1!4m20!4m19!1m5!1m1!1s0x95b7ab55726d7baf:0xff0f95afeea1648d!2m2!1d-60.6737505!2d-32.9335742!1m5!1m1!1s0x95b6688b211a3681:0x6d5af55957059e61!2m2!1d-60.7932392!2d-32.587258!1m5!1m1!1s0x95b7ab55726d7baf:0xff0f95afeea1648d!2m2!1d-60.6737505!2d-32.9335742!3e0?entry=ttu&amp;g_ep=EgoyMDI0MTEwNS4wIKXMDSoASAFQAw%3D%3D" TargetMode="External"/><Relationship Id="rId15" Type="http://schemas.openxmlformats.org/officeDocument/2006/relationships/hyperlink" Target="https://www.google.com/maps/dir/Av.+Bordabehere+3811,+S2002+KNC,+Santa+Fe/Avenida+San+Mart%C3%ADn+144,+Puerto+General+San+Martin,+Santa+Fe/Av.+Bordabehere+3811,+S2002+KNC,+Santa+Fe/@-32.8246209,-60.8590941,11z/data=!3m1!4b1!4m20!4m19!1m5!1m1!1s0x95b7ab55726d7baf:0xff0f95afeea1648d!2m2!1d-60.6737762!2d-32.9335525!1m5!1m1!1s0x95b65b72e8fbd31f:0x5ef2b1c97ed4eb85!2m2!1d-60.7310362!2d-32.7180641!1m5!1m1!1s0x95b7ab55726d7baf:0xff0f95afeea1648d!2m2!1d-60.6737762!2d-32.9335525!3e0" TargetMode="External"/><Relationship Id="rId23" Type="http://schemas.openxmlformats.org/officeDocument/2006/relationships/hyperlink" Target="https://www.google.com/maps/dir/Av.+Bordabehere+3811,+S2002+KNC,+Santa+Fe/Angelome+2066,+Funes,+Santa+Fe/Av.+Bordabehere+3811,+S2002+KNC,+Santa+Fe/@-32.9346161,-60.7882704,13377m/data=!3m2!1e3!4b1!4m20!4m19!1m5!1m1!1s0x95b7ab55720d5f5d:0xe0e43ecb8b36d805!2m2!1d-60.6737651!2d-32.9335712!1m5!1m1!1s0x95b64dab625a5cc3:0xc2babbd633cc65d5!2m2!1d-60.8124638!2d-32.9208046!1m5!1m1!1s0x95b7ab55720d5f5d:0xe0e43ecb8b36d805!2m2!1d-60.6737651!2d-32.9335712!3e0?entry=ttu&amp;g_ep=EgoyMDI1MTEwMi4wIKXMDSoASAFQAw%3D%3D" TargetMode="External"/><Relationship Id="rId28" Type="http://schemas.openxmlformats.org/officeDocument/2006/relationships/hyperlink" Target="https://www.google.com/maps/dir/CCM,+Alvear+391,+Rafaela,+Santa+Fe/Teniente+General+Ricchieri+369,+Sunchales,+Santa+Fe/Clinica+Mayo,+CCL,+Alvear+247,+S2300+Rafaela,+Santa+Fe/@-31.0951385,-61.6779939,54593m/data=!3m2!1e3!4b1!4m20!4m19!1m5!1m1!1s0x95caae470cdd3d25:0xad2a71c255fc1902!2m2!1d-61.4887207!2d-31.2495334!1m5!1m1!1s0x94354451e49dd705:0x29313697c4fd5c7a!2m2!1d-61.5716359!2d-30.9406092!1m5!1m1!1s0x95caae4797682b53:0xdeb4283d5447248!2m2!1d-61.4890818!2d-31.2508362!3e0?entry=ttu&amp;g_ep=EgoyMDI1MTIwOS4wIKXMDSoASAFQAw%3D%3D" TargetMode="External"/><Relationship Id="rId10" Type="http://schemas.openxmlformats.org/officeDocument/2006/relationships/hyperlink" Target="https://www.google.com/maps/dir/Av.+Bordabehere+3811,+S2002+KNC,+Santa+Fe/Saint-Gobain+Argentina+S.A.+(Weber),+Rosario,+Santa+Fe/Av.+Bordabehere+3811,+S2002+KNC,+Santa+Fe/@-33.008281,-60.7612347,12z/data=!4m25!4m24!1m10!1m1!1s0x95b7ab55726d7baf:0xff0f95afeea1648d!2m2!1d-60.6737505!2d-32.9335742!3m4!1m2!1d-60.6839713!2d-32.95797!3s0x95b7ac99a8fefb3f:0xf8d5944d06f53647!1m5!1m1!1s0x95b7a883bb6d03bd:0xe92b7c3ac6fcd0e6!2m2!1d-60.6363669!2d-33.0830388!1m5!1m1!1s0x95b7ab55726d7baf:0xff0f95afeea1648d!2m2!1d-60.6737505!2d-32.9335742!3e0?entry=ttu&amp;g_ep=EgoyMDI1MDEyOS4xIKXMDSoASAFQAw%3D%3D" TargetMode="External"/><Relationship Id="rId19" Type="http://schemas.openxmlformats.org/officeDocument/2006/relationships/hyperlink" Target="https://www.google.com/maps/dir/Urquiza+4703,+Santa+Fe+de+la+Vera+Cruz,+Santa+Fe/Oca,+Recreo,+Santa+Fe/Urquiza+4703,+S3002EKZ+Santa+Fe+de+la+Vera+Cruz,+Santa+Fe/@-31.5779742,-60.742249,13z/data=!3m1!4b1!4m20!4m19!1m5!1m1!1s0x95b5a9db02e31df5:0x14cb4291f5edb791!2m2!1d-60.7067158!2d-31.6229663!1m5!1m1!1s0x95b5042a017d1909:0xd9bcd0cf4275e29f!2m2!1d-60.7158469!2d-31.5332573!1m5!1m1!1s0x95b5a9db02e31df5:0x14cb4291f5edb791!2m2!1d-60.7067158!2d-31.6229663!3e0?entry=ttu&amp;g_ep=EgoyMDI0MDkwMy4wIKXMDSoASAFQAw%3D%3D" TargetMode="External"/><Relationship Id="rId31" Type="http://schemas.openxmlformats.org/officeDocument/2006/relationships/hyperlink" Target="https://www.google.com/maps/dir/CCM,+Alvear+391,+S2300+Rafaela,+Santa+Fe/Banco+Credicoop+El+Tr%C3%A9bol,+Blvd.+Am%C3%A9rica+963,+S2535+El+Trebol,+Santa+Fe/Clinica+Mayo,+CCL,+Alvear+247,+S2300+Rafaela,+Santa+Fe/@-31.7190744,-62.258238,216924m/data=!3m1!1e3!4m20!4m19!1m5!1m1!1s0x95caae470cdd3d25:0xad2a71c255fc1902!2m2!1d-61.4887207!2d-31.2495334!1m5!1m1!1s0x95ca3fb03f3f8ea9:0x574668730267fb7e!2m2!1d-61.7006565!2d-32.2006824!1m5!1m1!1s0x95caae4797682b53:0xdeb4283d5447248!2m2!1d-61.4890818!2d-31.2508362!3e0?entry=ttu&amp;g_ep=EgoyMDI2MDUwMi4wIKXMDSoASAFQAw%3D%3D" TargetMode="External"/><Relationship Id="rId4" Type="http://schemas.openxmlformats.org/officeDocument/2006/relationships/hyperlink" Target="https://www.google.com/maps/dir/Av.+Bordabehere+3811,+S2002+KNC,+Santa+Fe/Avenida+Savio+2900,+San+Nicol%C3%A1s+de+Los+Arroyos,+Provincia+de+Buenos+Aires/Av.+Bordabehere+3811,+S2002+KNC,+Santa+Fe/@-33.161213,-60.7712918,10z/data=!3m1!4b1!4m20!4m19!1m5!1m1!1s0x95b7ab55726d7baf:0xff0f95afeea1648d!2m2!1d-60.6737505!2d-32.9335742!1m5!1m1!1s0x95b75e81ec045f7f:0xd559d636d78aba07!2m2!1d-60.1600338!2d-33.373199!1m5!1m1!1s0x95b7ab55726d7baf:0xff0f95afeea1648d!2m2!1d-60.6737505!2d-32.9335742!3e0?entry=ttu&amp;g_ep=EgoyMDI0MTAyOS4wIKXMDSoASAFQAw%3D%3D" TargetMode="External"/><Relationship Id="rId9" Type="http://schemas.openxmlformats.org/officeDocument/2006/relationships/hyperlink" Target="https://www.google.com/maps/dir/Av.+Bordabehere+3811,+S2002+KNC,+Santa+Fe/Nutrien+Ag+Solutions+-+Casilda.,+Ruta+Nacional+33,+Casilda,+Santa+Fe/Av.+Bordabehere+3811,+S2002+KNC,+Santa+Fe/@-33.0295148,-61.1004685,12.25z/data=!4m20!4m19!1m5!1m1!1s0x95b7ab55726d7baf:0xff0f95afeea1648d!2m2!1d-60.6737505!2d-32.9335742!1m5!1m1!1s0x95b633f121531e2d:0x5ca4c393b9cab942!2m2!1d-61.1326404!2d-33.0391772!1m5!1m1!1s0x95b7ab55726d7baf:0xff0f95afeea1648d!2m2!1d-60.6737505!2d-32.9335742!3e0?entry=ttu&amp;g_ep=EgoyMDI0MTIwMy4wIKXMDSoASAFQAw%3D%3D" TargetMode="External"/><Relationship Id="rId14" Type="http://schemas.openxmlformats.org/officeDocument/2006/relationships/hyperlink" Target="https://www.google.com/maps/dir/Av.+Bordabehere+3811,+S2002+KNC,+Santa+Fe/Rafaela+alimentos+S.A.,+Ruta+Nacional+33,+Casilda,+Santa+Fe/Av.+Bordabehere+3811,+S2002+KNC,+Santa+Fe/@-32.9661909,-61.0640473,11z/data=!3m1!4b1!4m20!4m19!1m5!1m1!1s0x95b7ab55726d7baf:0xff0f95afeea1648d!2m2!1d-60.6737762!2d-32.9335525!1m5!1m1!1s0x95b62d01b8c86dbf:0x6f191765e9707cd6!2m2!1d-61.146728!2d-33.0471857!1m5!1m1!1s0x95b7ab55726d7baf:0xff0f95afeea1648d!2m2!1d-60.6737762!2d-32.9335525!3e0" TargetMode="External"/><Relationship Id="rId22" Type="http://schemas.openxmlformats.org/officeDocument/2006/relationships/hyperlink" Target="https://www.google.com/maps/dir/Urquiza+4703,+Santa+Fe+de+la+Vera+Cruz,+Santa+Fe/Mendoza+3343,+Santa+Fe+de+la+Vera+Cruz,+Santa+Fe/Urquiza+4703,+S3002EKZ+Santa+Fe+de+la+Vera+Cruz,+Santa+Fe/@-31.6355159,-60.7224705,15z/data=!3m1!4b1!4m20!4m19!1m5!1m1!1s0x95b5a9db02e31df5:0x14cb4291f5edb791!2m2!1d-60.7067158!2d-31.6229663!1m5!1m1!1s0x95b5a9b23e44066d:0x5d9dcb5f9213f958!2m2!1d-60.7168333!2d-31.6469693!1m5!1m1!1s0x95b5a9db02e31df5:0x14cb4291f5edb791!2m2!1d-60.7067158!2d-31.6229663!3e0?entry=ttu&amp;g_ep=EgoyMDI1MDkzMC4wIKXMDSoASAFQAw%3D%3D" TargetMode="External"/><Relationship Id="rId27" Type="http://schemas.openxmlformats.org/officeDocument/2006/relationships/hyperlink" Target="https://www.google.com/maps/dir/Urquiza+4703,+Santa+Fe+de+la+Vera+Cruz,+Santa+Fe/Conectar,+Avda+Independencia+135,+S2322EEF,+Sunchales,+Santa+Fe/Urquiza+4703,+S3002EKZ+Santa+Fe+de+la+Vera+Cruz,+Santa+Fe/@-31.3056381,-61.4667286,108943m/data=!3m2!1e3!4b1!4m20!4m19!1m5!1m1!1s0x95b5a9db02e31df5:0x14cb4291f5edb791!2m2!1d-60.7067158!2d-31.6229663!1m5!1m1!1s0x943545c14a322a8f:0xbfabc7c8b270f2a1!2m2!1d-61.5645977!2d-30.9456896!1m5!1m1!1s0x95b5a9db02e31df5:0x14cb4291f5edb791!2m2!1d-60.7067158!2d-31.6229663!3e0?entry=ttu&amp;g_ep=EgoyMDI1MTIwOS4wIKXMDSoASAFQAw%3D%3D" TargetMode="External"/><Relationship Id="rId30" Type="http://schemas.openxmlformats.org/officeDocument/2006/relationships/hyperlink" Target="https://www.google.com/maps/dir/Av.+Bordabehere+3811,+S2000+Rosario,+Santa+Fe/Nutrien+Ag+Solutions+-+Casilda.,+RN33+745,+Casilda,+Santa+Fe/Av.+Bordabehere+3811,+S2000+Rosario,+Santa+Fe/@-33.030205,-61.1341093,13362m/data=!3m1!1e3!4m20!4m19!1m5!1m1!1s0x95b7ab557268ff5d:0x5adfe9a40e5af534!2m2!1d-60.6737505!2d-32.9335742!1m5!1m1!1s0x95b633f121531e2d:0x5ca4c393b9cab942!2m2!1d-61.1326094!2d-33.0391882!1m5!1m1!1s0x95b7ab557268ff5d:0x5adfe9a40e5af534!2m2!1d-60.6737505!2d-32.9335742!3e0?entry=ttu&amp;g_ep=EgoyMDI2MDEyOC4wIKXMDSoASAFQAw%3D%3D" TargetMode="External"/></Relationships>
</file>

<file path=xl/worksheets/_rels/sheet4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ebagentes.canaldirecto.com.ar/incidents/view/747734-4" TargetMode="External"/><Relationship Id="rId3182" Type="http://schemas.openxmlformats.org/officeDocument/2006/relationships/hyperlink" Target="https://webagentes.canaldirecto.com.ar/incidents/view/805766-0" TargetMode="External"/><Relationship Id="rId3042" Type="http://schemas.openxmlformats.org/officeDocument/2006/relationships/hyperlink" Target="https://webagentes.canaldirecto.com.ar/incidents/view/799631-7" TargetMode="External"/><Relationship Id="rId170" Type="http://schemas.openxmlformats.org/officeDocument/2006/relationships/hyperlink" Target="https://webagentes.canaldirecto.com.ar/incidents/view/672488-3" TargetMode="External"/><Relationship Id="rId3859" Type="http://schemas.openxmlformats.org/officeDocument/2006/relationships/hyperlink" Target="https://webagentes.canaldirecto.com.ar/incidents/view/826116-6" TargetMode="External"/><Relationship Id="rId987" Type="http://schemas.openxmlformats.org/officeDocument/2006/relationships/hyperlink" Target="https://webagentes.canaldirecto.com.ar/incidents/view/709972-0" TargetMode="External"/><Relationship Id="rId2668" Type="http://schemas.openxmlformats.org/officeDocument/2006/relationships/hyperlink" Target="https://webagentes.canaldirecto.com.ar/incidents/view/789230-3" TargetMode="External"/><Relationship Id="rId2875" Type="http://schemas.openxmlformats.org/officeDocument/2006/relationships/hyperlink" Target="https://webagentes.canaldirecto.com.ar/incidents/view/792468-4" TargetMode="External"/><Relationship Id="rId3719" Type="http://schemas.openxmlformats.org/officeDocument/2006/relationships/hyperlink" Target="https://webagentes.canaldirecto.com.ar/incidents/view/818439-9" TargetMode="External"/><Relationship Id="rId3926" Type="http://schemas.openxmlformats.org/officeDocument/2006/relationships/hyperlink" Target="https://webagentes.canaldirecto.com.ar/incidents/view/829814-2" TargetMode="External"/><Relationship Id="rId847" Type="http://schemas.openxmlformats.org/officeDocument/2006/relationships/hyperlink" Target="https://webagentes.canaldirecto.com.ar/incidents/view/708531-0" TargetMode="External"/><Relationship Id="rId1477" Type="http://schemas.openxmlformats.org/officeDocument/2006/relationships/hyperlink" Target="https://webagentes.canaldirecto.com.ar/incidents/view/737869-0" TargetMode="External"/><Relationship Id="rId1684" Type="http://schemas.openxmlformats.org/officeDocument/2006/relationships/hyperlink" Target="https://webagentes.canaldirecto.com.ar/incidents/view/746318-3" TargetMode="External"/><Relationship Id="rId1891" Type="http://schemas.openxmlformats.org/officeDocument/2006/relationships/hyperlink" Target="https://webagentes.canaldirecto.com.ar/incidents/view/749482-8" TargetMode="External"/><Relationship Id="rId2528" Type="http://schemas.openxmlformats.org/officeDocument/2006/relationships/hyperlink" Target="https://webagentes.canaldirecto.com.ar/incidents/view/781664-0" TargetMode="External"/><Relationship Id="rId2735" Type="http://schemas.openxmlformats.org/officeDocument/2006/relationships/hyperlink" Target="https://webagentes.canaldirecto.com.ar/incidents/view/791453-5" TargetMode="External"/><Relationship Id="rId2942" Type="http://schemas.openxmlformats.org/officeDocument/2006/relationships/hyperlink" Target="https://webagentes.canaldirecto.com.ar/incidents/view/796016-3" TargetMode="External"/><Relationship Id="rId707" Type="http://schemas.openxmlformats.org/officeDocument/2006/relationships/hyperlink" Target="https://webagentes.canaldirecto.com.ar/incidents/view/703825-1" TargetMode="External"/><Relationship Id="rId914" Type="http://schemas.openxmlformats.org/officeDocument/2006/relationships/hyperlink" Target="https://webagentes.canaldirecto.com.ar/incidents/view/712482-2" TargetMode="External"/><Relationship Id="rId1337" Type="http://schemas.openxmlformats.org/officeDocument/2006/relationships/hyperlink" Target="https://webagentes.canaldirecto.com.ar/incidents/view/729016-1" TargetMode="External"/><Relationship Id="rId1544" Type="http://schemas.openxmlformats.org/officeDocument/2006/relationships/hyperlink" Target="https://webagentes.canaldirecto.com.ar/incidents/view/739779-2" TargetMode="External"/><Relationship Id="rId1751" Type="http://schemas.openxmlformats.org/officeDocument/2006/relationships/hyperlink" Target="https://webagentes.canaldirecto.com.ar/incidents/view/744622-9" TargetMode="External"/><Relationship Id="rId2802" Type="http://schemas.openxmlformats.org/officeDocument/2006/relationships/hyperlink" Target="https://webagentes.canaldirecto.com.ar/incidents/view/794558-0" TargetMode="External"/><Relationship Id="rId43" Type="http://schemas.openxmlformats.org/officeDocument/2006/relationships/hyperlink" Target="https://webagentes.canaldirecto.com.ar/incidents/view/662117-9" TargetMode="External"/><Relationship Id="rId1404" Type="http://schemas.openxmlformats.org/officeDocument/2006/relationships/hyperlink" Target="https://webagentes.canaldirecto.com.ar/incidents/view/731492-0" TargetMode="External"/><Relationship Id="rId1611" Type="http://schemas.openxmlformats.org/officeDocument/2006/relationships/hyperlink" Target="https://webagentes.canaldirecto.com.ar/incidents/view/743521-4" TargetMode="External"/><Relationship Id="rId3369" Type="http://schemas.openxmlformats.org/officeDocument/2006/relationships/hyperlink" Target="https://webagentes.canaldirecto.com.ar/incidents/view/811719-3" TargetMode="External"/><Relationship Id="rId3576" Type="http://schemas.openxmlformats.org/officeDocument/2006/relationships/hyperlink" Target="https://webagentes.canaldirecto.com.ar/incidents/view/817872-3" TargetMode="External"/><Relationship Id="rId497" Type="http://schemas.openxmlformats.org/officeDocument/2006/relationships/hyperlink" Target="https://webagentes.canaldirecto.com.ar/incidents/view/689382-8" TargetMode="External"/><Relationship Id="rId2178" Type="http://schemas.openxmlformats.org/officeDocument/2006/relationships/hyperlink" Target="https://webagentes.canaldirecto.com.ar/incidents/view/764108-2" TargetMode="External"/><Relationship Id="rId2385" Type="http://schemas.openxmlformats.org/officeDocument/2006/relationships/hyperlink" Target="https://webagentes.canaldirecto.com.ar/incidents/view/780122-2" TargetMode="External"/><Relationship Id="rId3229" Type="http://schemas.openxmlformats.org/officeDocument/2006/relationships/hyperlink" Target="https://webagentes.canaldirecto.com.ar/incidents/view/809936-5" TargetMode="External"/><Relationship Id="rId3783" Type="http://schemas.openxmlformats.org/officeDocument/2006/relationships/hyperlink" Target="https://webagentes.canaldirecto.com.ar/incidents/view/823411-7" TargetMode="External"/><Relationship Id="rId357" Type="http://schemas.openxmlformats.org/officeDocument/2006/relationships/hyperlink" Target="https://webagentes.canaldirecto.com.ar/incidents/view/678239-1" TargetMode="External"/><Relationship Id="rId1194" Type="http://schemas.openxmlformats.org/officeDocument/2006/relationships/hyperlink" Target="https://webagentes.canaldirecto.com.ar/incidents/view/721829-1" TargetMode="External"/><Relationship Id="rId2038" Type="http://schemas.openxmlformats.org/officeDocument/2006/relationships/hyperlink" Target="https://webagentes.canaldirecto.com.ar/incidents/view/760872-2" TargetMode="External"/><Relationship Id="rId2592" Type="http://schemas.openxmlformats.org/officeDocument/2006/relationships/hyperlink" Target="https://webagentes.canaldirecto.com.ar/incidents/view/783088-0" TargetMode="External"/><Relationship Id="rId3436" Type="http://schemas.openxmlformats.org/officeDocument/2006/relationships/hyperlink" Target="https://webagentes.canaldirecto.com.ar/incidents/view/816692-2" TargetMode="External"/><Relationship Id="rId3643" Type="http://schemas.openxmlformats.org/officeDocument/2006/relationships/hyperlink" Target="https://webagentes.canaldirecto.com.ar/incidents/view/822491-6" TargetMode="External"/><Relationship Id="rId3850" Type="http://schemas.openxmlformats.org/officeDocument/2006/relationships/hyperlink" Target="https://webagentes.canaldirecto.com.ar/incidents/view/826334-0" TargetMode="External"/><Relationship Id="rId217" Type="http://schemas.openxmlformats.org/officeDocument/2006/relationships/hyperlink" Target="https://webagentes.canaldirecto.com.ar/incidents/view/669608-5" TargetMode="External"/><Relationship Id="rId564" Type="http://schemas.openxmlformats.org/officeDocument/2006/relationships/hyperlink" Target="https://webagentes.canaldirecto.com.ar/incidents/view/691370-6" TargetMode="External"/><Relationship Id="rId771" Type="http://schemas.openxmlformats.org/officeDocument/2006/relationships/hyperlink" Target="https://webagentes.canaldirecto.com.ar/incidents/view/705691-0" TargetMode="External"/><Relationship Id="rId2245" Type="http://schemas.openxmlformats.org/officeDocument/2006/relationships/hyperlink" Target="https://webagentes.canaldirecto.com.ar/incidents/view/770416-9" TargetMode="External"/><Relationship Id="rId2452" Type="http://schemas.openxmlformats.org/officeDocument/2006/relationships/hyperlink" Target="https://webagentes.canaldirecto.com.ar/incidents/view/778202-4" TargetMode="External"/><Relationship Id="rId3503" Type="http://schemas.openxmlformats.org/officeDocument/2006/relationships/hyperlink" Target="https://webagentes.canaldirecto.com.ar/incidents/view/811974-8" TargetMode="External"/><Relationship Id="rId3710" Type="http://schemas.openxmlformats.org/officeDocument/2006/relationships/hyperlink" Target="https://webagentes.canaldirecto.com.ar/incidents/view/819936-4" TargetMode="External"/><Relationship Id="rId424" Type="http://schemas.openxmlformats.org/officeDocument/2006/relationships/hyperlink" Target="https://webagentes.canaldirecto.com.ar/incidents/view/679195-5" TargetMode="External"/><Relationship Id="rId631" Type="http://schemas.openxmlformats.org/officeDocument/2006/relationships/hyperlink" Target="https://webagentes.canaldirecto.com.ar/incidents/view/692362-4" TargetMode="External"/><Relationship Id="rId1054" Type="http://schemas.openxmlformats.org/officeDocument/2006/relationships/hyperlink" Target="https://webagentes.canaldirecto.com.ar/incidents/view/716283-1" TargetMode="External"/><Relationship Id="rId1261" Type="http://schemas.openxmlformats.org/officeDocument/2006/relationships/hyperlink" Target="https://webagentes.canaldirecto.com.ar/incidents/view/728281-6" TargetMode="External"/><Relationship Id="rId2105" Type="http://schemas.openxmlformats.org/officeDocument/2006/relationships/hyperlink" Target="https://webagentes.canaldirecto.com.ar/incidents/view/763517-9" TargetMode="External"/><Relationship Id="rId2312" Type="http://schemas.openxmlformats.org/officeDocument/2006/relationships/hyperlink" Target="https://webagentes.canaldirecto.com.ar/incidents/view/772591-3" TargetMode="External"/><Relationship Id="rId1121" Type="http://schemas.openxmlformats.org/officeDocument/2006/relationships/hyperlink" Target="https://webagentes.canaldirecto.com.ar/incidents/view/720017-7" TargetMode="External"/><Relationship Id="rId3086" Type="http://schemas.openxmlformats.org/officeDocument/2006/relationships/hyperlink" Target="https://webagentes.canaldirecto.com.ar/incidents/view/797032-8" TargetMode="External"/><Relationship Id="rId3293" Type="http://schemas.openxmlformats.org/officeDocument/2006/relationships/hyperlink" Target="https://webagentes.canaldirecto.com.ar/incidents/view/804954-6" TargetMode="External"/><Relationship Id="rId1938" Type="http://schemas.openxmlformats.org/officeDocument/2006/relationships/hyperlink" Target="https://webagentes.canaldirecto.com.ar/incidents/view/752723-2" TargetMode="External"/><Relationship Id="rId3153" Type="http://schemas.openxmlformats.org/officeDocument/2006/relationships/hyperlink" Target="https://webagentes.canaldirecto.com.ar/incidents/view/800660-2" TargetMode="External"/><Relationship Id="rId3360" Type="http://schemas.openxmlformats.org/officeDocument/2006/relationships/hyperlink" Target="https://webagentes.canaldirecto.com.ar/incidents/view/811867-9" TargetMode="External"/><Relationship Id="rId281" Type="http://schemas.openxmlformats.org/officeDocument/2006/relationships/hyperlink" Target="https://webagentes.canaldirecto.com.ar/incidents/view/674864-3" TargetMode="External"/><Relationship Id="rId3013" Type="http://schemas.openxmlformats.org/officeDocument/2006/relationships/hyperlink" Target="https://webagentes.canaldirecto.com.ar/incidents/view/799977-6" TargetMode="External"/><Relationship Id="rId141" Type="http://schemas.openxmlformats.org/officeDocument/2006/relationships/hyperlink" Target="https://webagentes.canaldirecto.com.ar/incidents/view/667922-8" TargetMode="External"/><Relationship Id="rId3220" Type="http://schemas.openxmlformats.org/officeDocument/2006/relationships/hyperlink" Target="https://webagentes.canaldirecto.com.ar/incidents/view/803491-5" TargetMode="External"/><Relationship Id="rId7" Type="http://schemas.openxmlformats.org/officeDocument/2006/relationships/hyperlink" Target="https://webagentes.canaldirecto.com.ar/incidents/view/662840-0" TargetMode="External"/><Relationship Id="rId2779" Type="http://schemas.openxmlformats.org/officeDocument/2006/relationships/hyperlink" Target="https://webagentes.canaldirecto.com.ar/incidents/view/791334-1" TargetMode="External"/><Relationship Id="rId2986" Type="http://schemas.openxmlformats.org/officeDocument/2006/relationships/hyperlink" Target="https://webagentes.canaldirecto.com.ar/incidents/view/794900-9" TargetMode="External"/><Relationship Id="rId958" Type="http://schemas.openxmlformats.org/officeDocument/2006/relationships/hyperlink" Target="https://webagentes.canaldirecto.com.ar/incidents/view/711967-1" TargetMode="External"/><Relationship Id="rId1588" Type="http://schemas.openxmlformats.org/officeDocument/2006/relationships/hyperlink" Target="https://webagentes.canaldirecto.com.ar/incidents/view/744009-4" TargetMode="External"/><Relationship Id="rId1795" Type="http://schemas.openxmlformats.org/officeDocument/2006/relationships/hyperlink" Target="https://webagentes.canaldirecto.com.ar/incidents/view/748622-7" TargetMode="External"/><Relationship Id="rId2639" Type="http://schemas.openxmlformats.org/officeDocument/2006/relationships/hyperlink" Target="https://webagentes.canaldirecto.com.ar/incidents/view/786386-0" TargetMode="External"/><Relationship Id="rId2846" Type="http://schemas.openxmlformats.org/officeDocument/2006/relationships/hyperlink" Target="https://webagentes.canaldirecto.com.ar/incidents/view/793495-5" TargetMode="External"/><Relationship Id="rId87" Type="http://schemas.openxmlformats.org/officeDocument/2006/relationships/hyperlink" Target="https://webagentes.canaldirecto.com.ar/incidents/view/663947-9" TargetMode="External"/><Relationship Id="rId818" Type="http://schemas.openxmlformats.org/officeDocument/2006/relationships/hyperlink" Target="https://webagentes.canaldirecto.com.ar/incidents/view/710186-7" TargetMode="External"/><Relationship Id="rId1448" Type="http://schemas.openxmlformats.org/officeDocument/2006/relationships/hyperlink" Target="https://webagentes.canaldirecto.com.ar/incidents/view/734366-7" TargetMode="External"/><Relationship Id="rId1655" Type="http://schemas.openxmlformats.org/officeDocument/2006/relationships/hyperlink" Target="https://webagentes.canaldirecto.com.ar/incidents/view/741391-1" TargetMode="External"/><Relationship Id="rId2706" Type="http://schemas.openxmlformats.org/officeDocument/2006/relationships/hyperlink" Target="https://webagentes.canaldirecto.com.ar/incidents/view/788278-6" TargetMode="External"/><Relationship Id="rId1308" Type="http://schemas.openxmlformats.org/officeDocument/2006/relationships/hyperlink" Target="https://webagentes.canaldirecto.com.ar/incidents/view/730654-1" TargetMode="External"/><Relationship Id="rId1862" Type="http://schemas.openxmlformats.org/officeDocument/2006/relationships/hyperlink" Target="https://webagentes.canaldirecto.com.ar/incidents/view/751359-4" TargetMode="External"/><Relationship Id="rId2913" Type="http://schemas.openxmlformats.org/officeDocument/2006/relationships/hyperlink" Target="https://webagentes.canaldirecto.com.ar/incidents/view/797414-8" TargetMode="External"/><Relationship Id="rId1515" Type="http://schemas.openxmlformats.org/officeDocument/2006/relationships/hyperlink" Target="https://webagentes.canaldirecto.com.ar/incidents/view/741291-2" TargetMode="External"/><Relationship Id="rId1722" Type="http://schemas.openxmlformats.org/officeDocument/2006/relationships/hyperlink" Target="https://webagentes.canaldirecto.com.ar/incidents/view/745745-6" TargetMode="External"/><Relationship Id="rId14" Type="http://schemas.openxmlformats.org/officeDocument/2006/relationships/hyperlink" Target="https://webagentes.canaldirecto.com.ar/incidents/view/662710-0" TargetMode="External"/><Relationship Id="rId3687" Type="http://schemas.openxmlformats.org/officeDocument/2006/relationships/hyperlink" Target="https://webagentes.canaldirecto.com.ar/incidents/view/821056-0" TargetMode="External"/><Relationship Id="rId3894" Type="http://schemas.openxmlformats.org/officeDocument/2006/relationships/hyperlink" Target="https://webagentes.canaldirecto.com.ar/incidents/view/831679-4" TargetMode="External"/><Relationship Id="rId2289" Type="http://schemas.openxmlformats.org/officeDocument/2006/relationships/hyperlink" Target="https://webagentes.canaldirecto.com.ar/incidents/view/774010-7" TargetMode="External"/><Relationship Id="rId2496" Type="http://schemas.openxmlformats.org/officeDocument/2006/relationships/hyperlink" Target="https://webagentes.canaldirecto.com.ar/incidents/view/782325-1" TargetMode="External"/><Relationship Id="rId3547" Type="http://schemas.openxmlformats.org/officeDocument/2006/relationships/hyperlink" Target="https://webagentes.canaldirecto.com.ar/incidents/view/818517-6" TargetMode="External"/><Relationship Id="rId3754" Type="http://schemas.openxmlformats.org/officeDocument/2006/relationships/hyperlink" Target="https://webagentes.canaldirecto.com.ar/incidents/view/824343-4" TargetMode="External"/><Relationship Id="rId3961" Type="http://schemas.openxmlformats.org/officeDocument/2006/relationships/hyperlink" Target="https://webagentes.canaldirecto.com.ar/incidents/view/828915-3" TargetMode="External"/><Relationship Id="rId468" Type="http://schemas.openxmlformats.org/officeDocument/2006/relationships/hyperlink" Target="https://webagentes.canaldirecto.com.ar/incidents/view/684164-9" TargetMode="External"/><Relationship Id="rId675" Type="http://schemas.openxmlformats.org/officeDocument/2006/relationships/hyperlink" Target="https://webagentes.canaldirecto.com.ar/incidents/view/699992-8" TargetMode="External"/><Relationship Id="rId882" Type="http://schemas.openxmlformats.org/officeDocument/2006/relationships/hyperlink" Target="https://webagentes.canaldirecto.com.ar/incidents/view/713622-5" TargetMode="External"/><Relationship Id="rId1098" Type="http://schemas.openxmlformats.org/officeDocument/2006/relationships/hyperlink" Target="https://webagentes.canaldirecto.com.ar/incidents/view/720623-2" TargetMode="External"/><Relationship Id="rId2149" Type="http://schemas.openxmlformats.org/officeDocument/2006/relationships/hyperlink" Target="https://webagentes.canaldirecto.com.ar/incidents/view/760558-5" TargetMode="External"/><Relationship Id="rId2356" Type="http://schemas.openxmlformats.org/officeDocument/2006/relationships/hyperlink" Target="https://webagentes.canaldirecto.com.ar/incidents/view/775691-3" TargetMode="External"/><Relationship Id="rId2563" Type="http://schemas.openxmlformats.org/officeDocument/2006/relationships/hyperlink" Target="https://webagentes.canaldirecto.com.ar/incidents/view/784825-0" TargetMode="External"/><Relationship Id="rId2770" Type="http://schemas.openxmlformats.org/officeDocument/2006/relationships/hyperlink" Target="https://webagentes.canaldirecto.com.ar/incidents/view/789475-4" TargetMode="External"/><Relationship Id="rId3407" Type="http://schemas.openxmlformats.org/officeDocument/2006/relationships/hyperlink" Target="https://webagentes.canaldirecto.com.ar/incidents/view/810832-6" TargetMode="External"/><Relationship Id="rId3614" Type="http://schemas.openxmlformats.org/officeDocument/2006/relationships/hyperlink" Target="https://webagentes.canaldirecto.com.ar/incidents/view/816854-0" TargetMode="External"/><Relationship Id="rId3821" Type="http://schemas.openxmlformats.org/officeDocument/2006/relationships/hyperlink" Target="https://webagentes.canaldirecto.com.ar/incidents/view/827557-6" TargetMode="External"/><Relationship Id="rId328" Type="http://schemas.openxmlformats.org/officeDocument/2006/relationships/hyperlink" Target="https://webagentes.canaldirecto.com.ar/incidents/view/664512-4" TargetMode="External"/><Relationship Id="rId535" Type="http://schemas.openxmlformats.org/officeDocument/2006/relationships/hyperlink" Target="https://webagentes.canaldirecto.com.ar/incidents/view/687986-4" TargetMode="External"/><Relationship Id="rId742" Type="http://schemas.openxmlformats.org/officeDocument/2006/relationships/hyperlink" Target="https://webagentes.canaldirecto.com.ar/incidents/view/701443-7" TargetMode="External"/><Relationship Id="rId1165" Type="http://schemas.openxmlformats.org/officeDocument/2006/relationships/hyperlink" Target="https://webagentes.canaldirecto.com.ar/incidents/view/697008-4" TargetMode="External"/><Relationship Id="rId1372" Type="http://schemas.openxmlformats.org/officeDocument/2006/relationships/hyperlink" Target="https://webagentes.canaldirecto.com.ar/incidents/view/732795-1" TargetMode="External"/><Relationship Id="rId2009" Type="http://schemas.openxmlformats.org/officeDocument/2006/relationships/hyperlink" Target="https://webagentes.canaldirecto.com.ar/incidents/view/759063-6" TargetMode="External"/><Relationship Id="rId2216" Type="http://schemas.openxmlformats.org/officeDocument/2006/relationships/hyperlink" Target="https://webagentes.canaldirecto.com.ar/incidents/view/766810-4" TargetMode="External"/><Relationship Id="rId2423" Type="http://schemas.openxmlformats.org/officeDocument/2006/relationships/hyperlink" Target="https://webagentes.canaldirecto.com.ar/incidents/view/779270-2" TargetMode="External"/><Relationship Id="rId2630" Type="http://schemas.openxmlformats.org/officeDocument/2006/relationships/hyperlink" Target="https://webagentes.canaldirecto.com.ar/incidents/view/786865-2" TargetMode="External"/><Relationship Id="rId602" Type="http://schemas.openxmlformats.org/officeDocument/2006/relationships/hyperlink" Target="https://webagentes.canaldirecto.com.ar/incidents/view/694957-0" TargetMode="External"/><Relationship Id="rId1025" Type="http://schemas.openxmlformats.org/officeDocument/2006/relationships/hyperlink" Target="https://webagentes.canaldirecto.com.ar/incidents/view/716811-8" TargetMode="External"/><Relationship Id="rId1232" Type="http://schemas.openxmlformats.org/officeDocument/2006/relationships/hyperlink" Target="https://webagentes.canaldirecto.com.ar/incidents/view/723517-3" TargetMode="External"/><Relationship Id="rId3197" Type="http://schemas.openxmlformats.org/officeDocument/2006/relationships/hyperlink" Target="https://webagentes.canaldirecto.com.ar/incidents/view/805002-9" TargetMode="External"/><Relationship Id="rId3057" Type="http://schemas.openxmlformats.org/officeDocument/2006/relationships/hyperlink" Target="https://webagentes.canaldirecto.com.ar/incidents/view/798984-9" TargetMode="External"/><Relationship Id="rId185" Type="http://schemas.openxmlformats.org/officeDocument/2006/relationships/hyperlink" Target="https://webagentes.canaldirecto.com.ar/incidents/view/670930-7" TargetMode="External"/><Relationship Id="rId1909" Type="http://schemas.openxmlformats.org/officeDocument/2006/relationships/hyperlink" Target="https://webagentes.canaldirecto.com.ar/incidents/view/749082-2" TargetMode="External"/><Relationship Id="rId3264" Type="http://schemas.openxmlformats.org/officeDocument/2006/relationships/hyperlink" Target="https://webagentes.canaldirecto.com.ar/incidents/view/808533-5" TargetMode="External"/><Relationship Id="rId3471" Type="http://schemas.openxmlformats.org/officeDocument/2006/relationships/hyperlink" Target="https://webagentes.canaldirecto.com.ar/incidents/view/814957-2" TargetMode="External"/><Relationship Id="rId392" Type="http://schemas.openxmlformats.org/officeDocument/2006/relationships/hyperlink" Target="https://webagentes.canaldirecto.com.ar/incidents/view/676242-1" TargetMode="External"/><Relationship Id="rId2073" Type="http://schemas.openxmlformats.org/officeDocument/2006/relationships/hyperlink" Target="https://webagentes.canaldirecto.com.ar/incidents/view/760046-5" TargetMode="External"/><Relationship Id="rId2280" Type="http://schemas.openxmlformats.org/officeDocument/2006/relationships/hyperlink" Target="https://webagentes.canaldirecto.com.ar/incidents/view/774417-6" TargetMode="External"/><Relationship Id="rId3124" Type="http://schemas.openxmlformats.org/officeDocument/2006/relationships/hyperlink" Target="https://webagentes.canaldirecto.com.ar/incidents/view/802411-2" TargetMode="External"/><Relationship Id="rId3331" Type="http://schemas.openxmlformats.org/officeDocument/2006/relationships/hyperlink" Target="https://webagentes.canaldirecto.com.ar/incidents/view/812691-5" TargetMode="External"/><Relationship Id="rId252" Type="http://schemas.openxmlformats.org/officeDocument/2006/relationships/hyperlink" Target="https://webagentes.canaldirecto.com.ar/incidents/view/676196-3" TargetMode="External"/><Relationship Id="rId2140" Type="http://schemas.openxmlformats.org/officeDocument/2006/relationships/hyperlink" Target="https://webagentes.canaldirecto.com.ar/incidents/view/761108-1" TargetMode="External"/><Relationship Id="rId112" Type="http://schemas.openxmlformats.org/officeDocument/2006/relationships/hyperlink" Target="https://webagentes.canaldirecto.com.ar/incidents/view/669378-7" TargetMode="External"/><Relationship Id="rId1699" Type="http://schemas.openxmlformats.org/officeDocument/2006/relationships/hyperlink" Target="https://webagentes.canaldirecto.com.ar/incidents/view/746251-9" TargetMode="External"/><Relationship Id="rId2000" Type="http://schemas.openxmlformats.org/officeDocument/2006/relationships/hyperlink" Target="https://webagentes.canaldirecto.com.ar/incidents/view/759072-4" TargetMode="External"/><Relationship Id="rId2957" Type="http://schemas.openxmlformats.org/officeDocument/2006/relationships/hyperlink" Target="https://webagentes.canaldirecto.com.ar/incidents/view/795868-1" TargetMode="External"/><Relationship Id="rId929" Type="http://schemas.openxmlformats.org/officeDocument/2006/relationships/hyperlink" Target="https://webagentes.canaldirecto.com.ar/incidents/view/712188-9" TargetMode="External"/><Relationship Id="rId1559" Type="http://schemas.openxmlformats.org/officeDocument/2006/relationships/hyperlink" Target="https://webagentes.canaldirecto.com.ar/incidents/view/744294-0" TargetMode="External"/><Relationship Id="rId1766" Type="http://schemas.openxmlformats.org/officeDocument/2006/relationships/hyperlink" Target="https://webagentes.canaldirecto.com.ar/incidents/view/749316-6" TargetMode="External"/><Relationship Id="rId1973" Type="http://schemas.openxmlformats.org/officeDocument/2006/relationships/hyperlink" Target="https://webagentes.canaldirecto.com.ar/incidents/view/755181-3" TargetMode="External"/><Relationship Id="rId2817" Type="http://schemas.openxmlformats.org/officeDocument/2006/relationships/hyperlink" Target="https://webagentes.canaldirecto.com.ar/incidents/view/794388-3" TargetMode="External"/><Relationship Id="rId58" Type="http://schemas.openxmlformats.org/officeDocument/2006/relationships/hyperlink" Target="https://webagentes.canaldirecto.com.ar/incidents/view/666877-2" TargetMode="External"/><Relationship Id="rId1419" Type="http://schemas.openxmlformats.org/officeDocument/2006/relationships/hyperlink" Target="https://webagentes.canaldirecto.com.ar/incidents/view/736245-9" TargetMode="External"/><Relationship Id="rId1626" Type="http://schemas.openxmlformats.org/officeDocument/2006/relationships/hyperlink" Target="https://webagentes.canaldirecto.com.ar/incidents/view/743469-5" TargetMode="External"/><Relationship Id="rId1833" Type="http://schemas.openxmlformats.org/officeDocument/2006/relationships/hyperlink" Target="https://webagentes.canaldirecto.com.ar/incidents/view/747032-3" TargetMode="External"/><Relationship Id="rId1900" Type="http://schemas.openxmlformats.org/officeDocument/2006/relationships/hyperlink" Target="https://webagentes.canaldirecto.com.ar/incidents/view/749092-9" TargetMode="External"/><Relationship Id="rId3798" Type="http://schemas.openxmlformats.org/officeDocument/2006/relationships/hyperlink" Target="https://webagentes.canaldirecto.com.ar/incidents/view/822704-7" TargetMode="External"/><Relationship Id="rId3658" Type="http://schemas.openxmlformats.org/officeDocument/2006/relationships/hyperlink" Target="https://webagentes.canaldirecto.com.ar/incidents/view/822059-4" TargetMode="External"/><Relationship Id="rId3865" Type="http://schemas.openxmlformats.org/officeDocument/2006/relationships/hyperlink" Target="https://webagentes.canaldirecto.com.ar/incidents/view/825952-3" TargetMode="External"/><Relationship Id="rId579" Type="http://schemas.openxmlformats.org/officeDocument/2006/relationships/hyperlink" Target="https://webagentes.canaldirecto.com.ar/incidents/view/690401-8" TargetMode="External"/><Relationship Id="rId786" Type="http://schemas.openxmlformats.org/officeDocument/2006/relationships/hyperlink" Target="https://webagentes.canaldirecto.com.ar/incidents/view/704968-2" TargetMode="External"/><Relationship Id="rId993" Type="http://schemas.openxmlformats.org/officeDocument/2006/relationships/hyperlink" Target="https://webagentes.canaldirecto.com.ar/incidents/view/717280-1" TargetMode="External"/><Relationship Id="rId2467" Type="http://schemas.openxmlformats.org/officeDocument/2006/relationships/hyperlink" Target="https://webagentes.canaldirecto.com.ar/incidents/view/777324-8" TargetMode="External"/><Relationship Id="rId2674" Type="http://schemas.openxmlformats.org/officeDocument/2006/relationships/hyperlink" Target="https://webagentes.canaldirecto.com.ar/incidents/view/789128-9" TargetMode="External"/><Relationship Id="rId3518" Type="http://schemas.openxmlformats.org/officeDocument/2006/relationships/hyperlink" Target="https://webagentes.canaldirecto.com.ar/incidents/view/819568-7" TargetMode="External"/><Relationship Id="rId439" Type="http://schemas.openxmlformats.org/officeDocument/2006/relationships/hyperlink" Target="https://webagentes.canaldirecto.com.ar/incidents/view/686014-9" TargetMode="External"/><Relationship Id="rId646" Type="http://schemas.openxmlformats.org/officeDocument/2006/relationships/hyperlink" Target="https://webagentes.canaldirecto.com.ar/incidents/view/697264-8" TargetMode="External"/><Relationship Id="rId1069" Type="http://schemas.openxmlformats.org/officeDocument/2006/relationships/hyperlink" Target="https://webagentes.canaldirecto.com.ar/incidents/view/716124-9" TargetMode="External"/><Relationship Id="rId1276" Type="http://schemas.openxmlformats.org/officeDocument/2006/relationships/hyperlink" Target="https://webagentes.canaldirecto.com.ar/incidents/view/727244-8" TargetMode="External"/><Relationship Id="rId1483" Type="http://schemas.openxmlformats.org/officeDocument/2006/relationships/hyperlink" Target="https://webagentes.canaldirecto.com.ar/incidents/view/737510-7" TargetMode="External"/><Relationship Id="rId2327" Type="http://schemas.openxmlformats.org/officeDocument/2006/relationships/hyperlink" Target="https://webagentes.canaldirecto.com.ar/incidents/view/771234-4" TargetMode="External"/><Relationship Id="rId2881" Type="http://schemas.openxmlformats.org/officeDocument/2006/relationships/hyperlink" Target="https://webagentes.canaldirecto.com.ar/incidents/view/792448-0" TargetMode="External"/><Relationship Id="rId3725" Type="http://schemas.openxmlformats.org/officeDocument/2006/relationships/hyperlink" Target="https://webagentes.canaldirecto.com.ar/incidents/view/818423-8" TargetMode="External"/><Relationship Id="rId3932" Type="http://schemas.openxmlformats.org/officeDocument/2006/relationships/hyperlink" Target="https://webagentes.canaldirecto.com.ar/incidents/view/829666-7" TargetMode="External"/><Relationship Id="rId506" Type="http://schemas.openxmlformats.org/officeDocument/2006/relationships/hyperlink" Target="https://webagentes.canaldirecto.com.ar/incidents/view/689373-0" TargetMode="External"/><Relationship Id="rId853" Type="http://schemas.openxmlformats.org/officeDocument/2006/relationships/hyperlink" Target="https://webagentes.canaldirecto.com.ar/incidents/view/708279-3" TargetMode="External"/><Relationship Id="rId1136" Type="http://schemas.openxmlformats.org/officeDocument/2006/relationships/hyperlink" Target="https://webagentes.canaldirecto.com.ar/incidents/view/718931-5" TargetMode="External"/><Relationship Id="rId1690" Type="http://schemas.openxmlformats.org/officeDocument/2006/relationships/hyperlink" Target="https://webagentes.canaldirecto.com.ar/incidents/view/746260-7" TargetMode="External"/><Relationship Id="rId2534" Type="http://schemas.openxmlformats.org/officeDocument/2006/relationships/hyperlink" Target="https://webagentes.canaldirecto.com.ar/incidents/view/781198-2" TargetMode="External"/><Relationship Id="rId2741" Type="http://schemas.openxmlformats.org/officeDocument/2006/relationships/hyperlink" Target="https://webagentes.canaldirecto.com.ar/incidents/view/791334-1" TargetMode="External"/><Relationship Id="rId713" Type="http://schemas.openxmlformats.org/officeDocument/2006/relationships/hyperlink" Target="https://webagentes.canaldirecto.com.ar/incidents/view/703349-6" TargetMode="External"/><Relationship Id="rId920" Type="http://schemas.openxmlformats.org/officeDocument/2006/relationships/hyperlink" Target="https://webagentes.canaldirecto.com.ar/incidents/view/712401-7" TargetMode="External"/><Relationship Id="rId1343" Type="http://schemas.openxmlformats.org/officeDocument/2006/relationships/hyperlink" Target="https://webagentes.canaldirecto.com.ar/incidents/view/728715-8" TargetMode="External"/><Relationship Id="rId1550" Type="http://schemas.openxmlformats.org/officeDocument/2006/relationships/hyperlink" Target="https://webagentes.canaldirecto.com.ar/incidents/view/739204-3" TargetMode="External"/><Relationship Id="rId2601" Type="http://schemas.openxmlformats.org/officeDocument/2006/relationships/hyperlink" Target="https://webagentes.canaldirecto.com.ar/incidents/view/782904-2" TargetMode="External"/><Relationship Id="rId1203" Type="http://schemas.openxmlformats.org/officeDocument/2006/relationships/hyperlink" Target="https://webagentes.canaldirecto.com.ar/incidents/view/720820-3" TargetMode="External"/><Relationship Id="rId1410" Type="http://schemas.openxmlformats.org/officeDocument/2006/relationships/hyperlink" Target="https://webagentes.canaldirecto.com.ar/incidents/view/736327-2" TargetMode="External"/><Relationship Id="rId3168" Type="http://schemas.openxmlformats.org/officeDocument/2006/relationships/hyperlink" Target="https://webagentes.canaldirecto.com.ar/incidents/view/806327-2" TargetMode="External"/><Relationship Id="rId3375" Type="http://schemas.openxmlformats.org/officeDocument/2006/relationships/hyperlink" Target="https://webagentes.canaldirecto.com.ar/incidents/view/811520-1" TargetMode="External"/><Relationship Id="rId3582" Type="http://schemas.openxmlformats.org/officeDocument/2006/relationships/hyperlink" Target="https://webagentes.canaldirecto.com.ar/incidents/view/817735-3" TargetMode="External"/><Relationship Id="rId296" Type="http://schemas.openxmlformats.org/officeDocument/2006/relationships/hyperlink" Target="https://webagentes.canaldirecto.com.ar/incidents/view/674618-6" TargetMode="External"/><Relationship Id="rId2184" Type="http://schemas.openxmlformats.org/officeDocument/2006/relationships/hyperlink" Target="https://webagentes.canaldirecto.com.ar/incidents/view/763041-1" TargetMode="External"/><Relationship Id="rId2391" Type="http://schemas.openxmlformats.org/officeDocument/2006/relationships/hyperlink" Target="https://webagentes.canaldirecto.com.ar/incidents/view/779818-6" TargetMode="External"/><Relationship Id="rId3028" Type="http://schemas.openxmlformats.org/officeDocument/2006/relationships/hyperlink" Target="https://webagentes.canaldirecto.com.ar/incidents/view/799770-5" TargetMode="External"/><Relationship Id="rId3235" Type="http://schemas.openxmlformats.org/officeDocument/2006/relationships/hyperlink" Target="https://webagentes.canaldirecto.com.ar/incidents/view/809578-5" TargetMode="External"/><Relationship Id="rId3442" Type="http://schemas.openxmlformats.org/officeDocument/2006/relationships/hyperlink" Target="https://webagentes.canaldirecto.com.ar/incidents/view/816261-6" TargetMode="External"/><Relationship Id="rId156" Type="http://schemas.openxmlformats.org/officeDocument/2006/relationships/hyperlink" Target="https://webagentes.canaldirecto.com.ar/incidents/view/673497-8" TargetMode="External"/><Relationship Id="rId363" Type="http://schemas.openxmlformats.org/officeDocument/2006/relationships/hyperlink" Target="https://webagentes.canaldirecto.com.ar/incidents/view/678232-8" TargetMode="External"/><Relationship Id="rId570" Type="http://schemas.openxmlformats.org/officeDocument/2006/relationships/hyperlink" Target="https://webagentes.canaldirecto.com.ar/incidents/view/690842-1" TargetMode="External"/><Relationship Id="rId2044" Type="http://schemas.openxmlformats.org/officeDocument/2006/relationships/hyperlink" Target="https://webagentes.canaldirecto.com.ar/incidents/view/760815-7" TargetMode="External"/><Relationship Id="rId2251" Type="http://schemas.openxmlformats.org/officeDocument/2006/relationships/hyperlink" Target="https://webagentes.canaldirecto.com.ar/incidents/view/770156-0" TargetMode="External"/><Relationship Id="rId3302" Type="http://schemas.openxmlformats.org/officeDocument/2006/relationships/hyperlink" Target="https://webagentes.canaldirecto.com.ar/incidents/view/813622-2" TargetMode="External"/><Relationship Id="rId223" Type="http://schemas.openxmlformats.org/officeDocument/2006/relationships/hyperlink" Target="https://webagentes.canaldirecto.com.ar/incidents/view/677732-6" TargetMode="External"/><Relationship Id="rId430" Type="http://schemas.openxmlformats.org/officeDocument/2006/relationships/hyperlink" Target="https://webagentes.canaldirecto.com.ar/incidents/view/686944-1" TargetMode="External"/><Relationship Id="rId1060" Type="http://schemas.openxmlformats.org/officeDocument/2006/relationships/hyperlink" Target="https://webagentes.canaldirecto.com.ar/incidents/view/716253-0" TargetMode="External"/><Relationship Id="rId2111" Type="http://schemas.openxmlformats.org/officeDocument/2006/relationships/hyperlink" Target="https://webagentes.canaldirecto.com.ar/incidents/view/762934-5" TargetMode="External"/><Relationship Id="rId1877" Type="http://schemas.openxmlformats.org/officeDocument/2006/relationships/hyperlink" Target="https://webagentes.canaldirecto.com.ar/incidents/view/750238-5" TargetMode="External"/><Relationship Id="rId2928" Type="http://schemas.openxmlformats.org/officeDocument/2006/relationships/hyperlink" Target="https://webagentes.canaldirecto.com.ar/incidents/view/796472-5" TargetMode="External"/><Relationship Id="rId1737" Type="http://schemas.openxmlformats.org/officeDocument/2006/relationships/hyperlink" Target="https://webagentes.canaldirecto.com.ar/incidents/view/745505-0" TargetMode="External"/><Relationship Id="rId1944" Type="http://schemas.openxmlformats.org/officeDocument/2006/relationships/hyperlink" Target="https://webagentes.canaldirecto.com.ar/incidents/view/751383-1" TargetMode="External"/><Relationship Id="rId3092" Type="http://schemas.openxmlformats.org/officeDocument/2006/relationships/hyperlink" Target="https://webagentes.canaldirecto.com.ar/incidents/view/794404-0" TargetMode="External"/><Relationship Id="rId29" Type="http://schemas.openxmlformats.org/officeDocument/2006/relationships/hyperlink" Target="https://webagentes.canaldirecto.com.ar/incidents/view/662424-6" TargetMode="External"/><Relationship Id="rId1804" Type="http://schemas.openxmlformats.org/officeDocument/2006/relationships/hyperlink" Target="https://webagentes.canaldirecto.com.ar/incidents/view/748508-8" TargetMode="External"/><Relationship Id="rId3769" Type="http://schemas.openxmlformats.org/officeDocument/2006/relationships/hyperlink" Target="https://webagentes.canaldirecto.com.ar/incidents/view/824128-7" TargetMode="External"/><Relationship Id="rId897" Type="http://schemas.openxmlformats.org/officeDocument/2006/relationships/hyperlink" Target="https://webagentes.canaldirecto.com.ar/incidents/view/712763-4" TargetMode="External"/><Relationship Id="rId2578" Type="http://schemas.openxmlformats.org/officeDocument/2006/relationships/hyperlink" Target="https://webagentes.canaldirecto.com.ar/incidents/view/783477-0" TargetMode="External"/><Relationship Id="rId2785" Type="http://schemas.openxmlformats.org/officeDocument/2006/relationships/hyperlink" Target="https://webagentes.canaldirecto.com.ar/incidents/view/790251-2" TargetMode="External"/><Relationship Id="rId2992" Type="http://schemas.openxmlformats.org/officeDocument/2006/relationships/hyperlink" Target="https://webagentes.canaldirecto.com.ar/incidents/view/794672-9" TargetMode="External"/><Relationship Id="rId3629" Type="http://schemas.openxmlformats.org/officeDocument/2006/relationships/hyperlink" Target="https://webagentes.canaldirecto.com.ar/incidents/view/816564-0" TargetMode="External"/><Relationship Id="rId3836" Type="http://schemas.openxmlformats.org/officeDocument/2006/relationships/hyperlink" Target="https://webagentes.canaldirecto.com.ar/incidents/view/827103-9" TargetMode="External"/><Relationship Id="rId757" Type="http://schemas.openxmlformats.org/officeDocument/2006/relationships/hyperlink" Target="https://webagentes.canaldirecto.com.ar/incidents/view/706710-1" TargetMode="External"/><Relationship Id="rId964" Type="http://schemas.openxmlformats.org/officeDocument/2006/relationships/hyperlink" Target="https://webagentes.canaldirecto.com.ar/incidents/view/711680-5" TargetMode="External"/><Relationship Id="rId1387" Type="http://schemas.openxmlformats.org/officeDocument/2006/relationships/hyperlink" Target="https://webagentes.canaldirecto.com.ar/incidents/view/732583-8" TargetMode="External"/><Relationship Id="rId1594" Type="http://schemas.openxmlformats.org/officeDocument/2006/relationships/hyperlink" Target="https://webagentes.canaldirecto.com.ar/incidents/view/744003-0" TargetMode="External"/><Relationship Id="rId2438" Type="http://schemas.openxmlformats.org/officeDocument/2006/relationships/hyperlink" Target="https://webagentes.canaldirecto.com.ar/incidents/view/779138-7" TargetMode="External"/><Relationship Id="rId2645" Type="http://schemas.openxmlformats.org/officeDocument/2006/relationships/hyperlink" Target="https://webagentes.canaldirecto.com.ar/incidents/view/786128-8" TargetMode="External"/><Relationship Id="rId2852" Type="http://schemas.openxmlformats.org/officeDocument/2006/relationships/hyperlink" Target="https://webagentes.canaldirecto.com.ar/incidents/view/793116-1" TargetMode="External"/><Relationship Id="rId3903" Type="http://schemas.openxmlformats.org/officeDocument/2006/relationships/hyperlink" Target="https://webagentes.canaldirecto.com.ar/incidents/view/830431-9" TargetMode="External"/><Relationship Id="rId93" Type="http://schemas.openxmlformats.org/officeDocument/2006/relationships/hyperlink" Target="https://webagentes.canaldirecto.com.ar/incidents/view/669980-6" TargetMode="External"/><Relationship Id="rId617" Type="http://schemas.openxmlformats.org/officeDocument/2006/relationships/hyperlink" Target="https://webagentes.canaldirecto.com.ar/incidents/view/693709-8" TargetMode="External"/><Relationship Id="rId824" Type="http://schemas.openxmlformats.org/officeDocument/2006/relationships/hyperlink" Target="https://webagentes.canaldirecto.com.ar/incidents/view/709970-2" TargetMode="External"/><Relationship Id="rId1247" Type="http://schemas.openxmlformats.org/officeDocument/2006/relationships/hyperlink" Target="https://webagentes.canaldirecto.com.ar/incidents/view/720127-3" TargetMode="External"/><Relationship Id="rId1454" Type="http://schemas.openxmlformats.org/officeDocument/2006/relationships/hyperlink" Target="https://webagentes.canaldirecto.com.ar/incidents/view/734052-7" TargetMode="External"/><Relationship Id="rId1661" Type="http://schemas.openxmlformats.org/officeDocument/2006/relationships/hyperlink" Target="https://webagentes.canaldirecto.com.ar/incidents/view/746815-1" TargetMode="External"/><Relationship Id="rId2505" Type="http://schemas.openxmlformats.org/officeDocument/2006/relationships/hyperlink" Target="https://webagentes.canaldirecto.com.ar/incidents/view/782233-1" TargetMode="External"/><Relationship Id="rId2712" Type="http://schemas.openxmlformats.org/officeDocument/2006/relationships/hyperlink" Target="https://webagentes.canaldirecto.com.ar/incidents/view/788095-5" TargetMode="External"/><Relationship Id="rId1107" Type="http://schemas.openxmlformats.org/officeDocument/2006/relationships/hyperlink" Target="https://webagentes.canaldirecto.com.ar/incidents/view/720435-9" TargetMode="External"/><Relationship Id="rId1314" Type="http://schemas.openxmlformats.org/officeDocument/2006/relationships/hyperlink" Target="https://webagentes.canaldirecto.com.ar/incidents/view/730648-0" TargetMode="External"/><Relationship Id="rId1521" Type="http://schemas.openxmlformats.org/officeDocument/2006/relationships/hyperlink" Target="https://webagentes.canaldirecto.com.ar/incidents/view/741190-4" TargetMode="External"/><Relationship Id="rId3279" Type="http://schemas.openxmlformats.org/officeDocument/2006/relationships/hyperlink" Target="https://webagentes.canaldirecto.com.ar/incidents/view/807392-3" TargetMode="External"/><Relationship Id="rId3486" Type="http://schemas.openxmlformats.org/officeDocument/2006/relationships/hyperlink" Target="https://webagentes.canaldirecto.com.ar/incidents/view/814450-4" TargetMode="External"/><Relationship Id="rId3693" Type="http://schemas.openxmlformats.org/officeDocument/2006/relationships/hyperlink" Target="https://webagentes.canaldirecto.com.ar/incidents/view/820853-8" TargetMode="External"/><Relationship Id="rId20" Type="http://schemas.openxmlformats.org/officeDocument/2006/relationships/hyperlink" Target="https://webagentes.canaldirecto.com.ar/incidents/view/662636-9" TargetMode="External"/><Relationship Id="rId2088" Type="http://schemas.openxmlformats.org/officeDocument/2006/relationships/hyperlink" Target="https://webagentes.canaldirecto.com.ar/incidents/view/759531-2" TargetMode="External"/><Relationship Id="rId2295" Type="http://schemas.openxmlformats.org/officeDocument/2006/relationships/hyperlink" Target="https://webagentes.canaldirecto.com.ar/incidents/view/773293-1" TargetMode="External"/><Relationship Id="rId3139" Type="http://schemas.openxmlformats.org/officeDocument/2006/relationships/hyperlink" Target="https://webagentes.canaldirecto.com.ar/incidents/view/801458-6" TargetMode="External"/><Relationship Id="rId3346" Type="http://schemas.openxmlformats.org/officeDocument/2006/relationships/hyperlink" Target="https://webagentes.canaldirecto.com.ar/incidents/view/812353-8" TargetMode="External"/><Relationship Id="rId267" Type="http://schemas.openxmlformats.org/officeDocument/2006/relationships/hyperlink" Target="https://webagentes.canaldirecto.com.ar/incidents/view/675612-9" TargetMode="External"/><Relationship Id="rId474" Type="http://schemas.openxmlformats.org/officeDocument/2006/relationships/hyperlink" Target="https://webagentes.canaldirecto.com.ar/incidents/view/683551-4" TargetMode="External"/><Relationship Id="rId2155" Type="http://schemas.openxmlformats.org/officeDocument/2006/relationships/hyperlink" Target="https://webagentes.canaldirecto.com.ar/incidents/view/766198-9" TargetMode="External"/><Relationship Id="rId3553" Type="http://schemas.openxmlformats.org/officeDocument/2006/relationships/hyperlink" Target="https://webagentes.canaldirecto.com.ar/incidents/view/818482-1" TargetMode="External"/><Relationship Id="rId3760" Type="http://schemas.openxmlformats.org/officeDocument/2006/relationships/hyperlink" Target="https://webagentes.canaldirecto.com.ar/incidents/view/824138-4" TargetMode="External"/><Relationship Id="rId127" Type="http://schemas.openxmlformats.org/officeDocument/2006/relationships/hyperlink" Target="https://webagentes.canaldirecto.com.ar/incidents/view/668768-9" TargetMode="External"/><Relationship Id="rId681" Type="http://schemas.openxmlformats.org/officeDocument/2006/relationships/hyperlink" Target="https://webagentes.canaldirecto.com.ar/incidents/view/699454-3" TargetMode="External"/><Relationship Id="rId2362" Type="http://schemas.openxmlformats.org/officeDocument/2006/relationships/hyperlink" Target="https://webagentes.canaldirecto.com.ar/incidents/view/774634-1" TargetMode="External"/><Relationship Id="rId3206" Type="http://schemas.openxmlformats.org/officeDocument/2006/relationships/hyperlink" Target="https://webagentes.canaldirecto.com.ar/incidents/view/804584-1" TargetMode="External"/><Relationship Id="rId3413" Type="http://schemas.openxmlformats.org/officeDocument/2006/relationships/hyperlink" Target="https://webagentes.canaldirecto.com.ar/incidents/view/810419-9" TargetMode="External"/><Relationship Id="rId3620" Type="http://schemas.openxmlformats.org/officeDocument/2006/relationships/hyperlink" Target="https://webagentes.canaldirecto.com.ar/incidents/view/816845-2" TargetMode="External"/><Relationship Id="rId334" Type="http://schemas.openxmlformats.org/officeDocument/2006/relationships/hyperlink" Target="https://webagentes.canaldirecto.com.ar/incidents/view/680004-0" TargetMode="External"/><Relationship Id="rId541" Type="http://schemas.openxmlformats.org/officeDocument/2006/relationships/hyperlink" Target="https://webagentes.canaldirecto.com.ar/incidents/view/687530-9" TargetMode="External"/><Relationship Id="rId1171" Type="http://schemas.openxmlformats.org/officeDocument/2006/relationships/hyperlink" Target="https://webagentes.canaldirecto.com.ar/incidents/view/722510-3" TargetMode="External"/><Relationship Id="rId2015" Type="http://schemas.openxmlformats.org/officeDocument/2006/relationships/hyperlink" Target="https://webagentes.canaldirecto.com.ar/incidents/view/758255-8" TargetMode="External"/><Relationship Id="rId2222" Type="http://schemas.openxmlformats.org/officeDocument/2006/relationships/hyperlink" Target="https://webagentes.canaldirecto.com.ar/incidents/view/771634-0" TargetMode="External"/><Relationship Id="rId401" Type="http://schemas.openxmlformats.org/officeDocument/2006/relationships/hyperlink" Target="https://webagentes.canaldirecto.com.ar/incidents/view/683572-7" TargetMode="External"/><Relationship Id="rId1031" Type="http://schemas.openxmlformats.org/officeDocument/2006/relationships/hyperlink" Target="https://webagentes.canaldirecto.com.ar/incidents/view/716514-8" TargetMode="External"/><Relationship Id="rId1988" Type="http://schemas.openxmlformats.org/officeDocument/2006/relationships/hyperlink" Target="https://webagentes.canaldirecto.com.ar/incidents/view/754753-7" TargetMode="External"/><Relationship Id="rId1848" Type="http://schemas.openxmlformats.org/officeDocument/2006/relationships/hyperlink" Target="https://webagentes.canaldirecto.com.ar/incidents/view/751584-8" TargetMode="External"/><Relationship Id="rId3063" Type="http://schemas.openxmlformats.org/officeDocument/2006/relationships/hyperlink" Target="https://webagentes.canaldirecto.com.ar/incidents/view/798687-9" TargetMode="External"/><Relationship Id="rId3270" Type="http://schemas.openxmlformats.org/officeDocument/2006/relationships/hyperlink" Target="https://webagentes.canaldirecto.com.ar/incidents/view/807616-0" TargetMode="External"/><Relationship Id="rId191" Type="http://schemas.openxmlformats.org/officeDocument/2006/relationships/hyperlink" Target="https://webagentes.canaldirecto.com.ar/incidents/view/670915-8" TargetMode="External"/><Relationship Id="rId1708" Type="http://schemas.openxmlformats.org/officeDocument/2006/relationships/hyperlink" Target="https://webagentes.canaldirecto.com.ar/incidents/view/745995-9" TargetMode="External"/><Relationship Id="rId1915" Type="http://schemas.openxmlformats.org/officeDocument/2006/relationships/hyperlink" Target="https://webagentes.canaldirecto.com.ar/incidents/view/754085-3" TargetMode="External"/><Relationship Id="rId3130" Type="http://schemas.openxmlformats.org/officeDocument/2006/relationships/hyperlink" Target="https://webagentes.canaldirecto.com.ar/incidents/view/801957-2" TargetMode="External"/><Relationship Id="rId2689" Type="http://schemas.openxmlformats.org/officeDocument/2006/relationships/hyperlink" Target="https://webagentes.canaldirecto.com.ar/incidents/view/788347-5" TargetMode="External"/><Relationship Id="rId2896" Type="http://schemas.openxmlformats.org/officeDocument/2006/relationships/hyperlink" Target="https://webagentes.canaldirecto.com.ar/incidents/view/791287-4" TargetMode="External"/><Relationship Id="rId3947" Type="http://schemas.openxmlformats.org/officeDocument/2006/relationships/hyperlink" Target="https://webagentes.canaldirecto.com.ar/incidents/view/829497-9" TargetMode="External"/><Relationship Id="rId868" Type="http://schemas.openxmlformats.org/officeDocument/2006/relationships/hyperlink" Target="https://webagentes.canaldirecto.com.ar/incidents/view/706732-3" TargetMode="External"/><Relationship Id="rId1498" Type="http://schemas.openxmlformats.org/officeDocument/2006/relationships/hyperlink" Target="https://webagentes.canaldirecto.com.ar/incidents/view/736826-8" TargetMode="External"/><Relationship Id="rId2549" Type="http://schemas.openxmlformats.org/officeDocument/2006/relationships/hyperlink" Target="https://webagentes.canaldirecto.com.ar/incidents/view/780339-0" TargetMode="External"/><Relationship Id="rId2756" Type="http://schemas.openxmlformats.org/officeDocument/2006/relationships/hyperlink" Target="https://webagentes.canaldirecto.com.ar/incidents/view/789947-6" TargetMode="External"/><Relationship Id="rId2963" Type="http://schemas.openxmlformats.org/officeDocument/2006/relationships/hyperlink" Target="https://webagentes.canaldirecto.com.ar/incidents/view/795588-8" TargetMode="External"/><Relationship Id="rId3807" Type="http://schemas.openxmlformats.org/officeDocument/2006/relationships/hyperlink" Target="https://webagentes.canaldirecto.com.ar/incidents/view/828026-8" TargetMode="External"/><Relationship Id="rId728" Type="http://schemas.openxmlformats.org/officeDocument/2006/relationships/hyperlink" Target="https://webagentes.canaldirecto.com.ar/incidents/view/702378-1" TargetMode="External"/><Relationship Id="rId935" Type="http://schemas.openxmlformats.org/officeDocument/2006/relationships/hyperlink" Target="https://webagentes.canaldirecto.com.ar/incidents/view/712045-5" TargetMode="External"/><Relationship Id="rId1358" Type="http://schemas.openxmlformats.org/officeDocument/2006/relationships/hyperlink" Target="https://webagentes.canaldirecto.com.ar/incidents/view/733062-7" TargetMode="External"/><Relationship Id="rId1565" Type="http://schemas.openxmlformats.org/officeDocument/2006/relationships/hyperlink" Target="https://webagentes.canaldirecto.com.ar/incidents/view/744280-7" TargetMode="External"/><Relationship Id="rId1772" Type="http://schemas.openxmlformats.org/officeDocument/2006/relationships/hyperlink" Target="https://webagentes.canaldirecto.com.ar/incidents/view/749196-4" TargetMode="External"/><Relationship Id="rId2409" Type="http://schemas.openxmlformats.org/officeDocument/2006/relationships/hyperlink" Target="https://webagentes.canaldirecto.com.ar/incidents/view/779288-1" TargetMode="External"/><Relationship Id="rId2616" Type="http://schemas.openxmlformats.org/officeDocument/2006/relationships/hyperlink" Target="https://webagentes.canaldirecto.com.ar/incidents/view/787119-7" TargetMode="External"/><Relationship Id="rId64" Type="http://schemas.openxmlformats.org/officeDocument/2006/relationships/hyperlink" Target="https://webagentes.canaldirecto.com.ar/incidents/view/666593-3" TargetMode="External"/><Relationship Id="rId1218" Type="http://schemas.openxmlformats.org/officeDocument/2006/relationships/hyperlink" Target="https://webagentes.canaldirecto.com.ar/incidents/view/725305-4" TargetMode="External"/><Relationship Id="rId1425" Type="http://schemas.openxmlformats.org/officeDocument/2006/relationships/hyperlink" Target="https://webagentes.canaldirecto.com.ar/incidents/view/735625-4" TargetMode="External"/><Relationship Id="rId2823" Type="http://schemas.openxmlformats.org/officeDocument/2006/relationships/hyperlink" Target="https://webagentes.canaldirecto.com.ar/incidents/view/794382-9" TargetMode="External"/><Relationship Id="rId1632" Type="http://schemas.openxmlformats.org/officeDocument/2006/relationships/hyperlink" Target="https://webagentes.canaldirecto.com.ar/incidents/view/743296-1" TargetMode="External"/><Relationship Id="rId2199" Type="http://schemas.openxmlformats.org/officeDocument/2006/relationships/hyperlink" Target="https://webagentes.canaldirecto.com.ar/incidents/view/767456-7" TargetMode="External"/><Relationship Id="rId3597" Type="http://schemas.openxmlformats.org/officeDocument/2006/relationships/hyperlink" Target="https://webagentes.canaldirecto.com.ar/incidents/view/817546-1" TargetMode="External"/><Relationship Id="rId3457" Type="http://schemas.openxmlformats.org/officeDocument/2006/relationships/hyperlink" Target="https://webagentes.canaldirecto.com.ar/incidents/view/815718-2" TargetMode="External"/><Relationship Id="rId3664" Type="http://schemas.openxmlformats.org/officeDocument/2006/relationships/hyperlink" Target="https://webagentes.canaldirecto.com.ar/incidents/view/821937-6" TargetMode="External"/><Relationship Id="rId3871" Type="http://schemas.openxmlformats.org/officeDocument/2006/relationships/hyperlink" Target="https://webagentes.canaldirecto.com.ar/incidents/view/825873-7" TargetMode="External"/><Relationship Id="rId378" Type="http://schemas.openxmlformats.org/officeDocument/2006/relationships/hyperlink" Target="https://webagentes.canaldirecto.com.ar/incidents/view/677929-0" TargetMode="External"/><Relationship Id="rId585" Type="http://schemas.openxmlformats.org/officeDocument/2006/relationships/hyperlink" Target="https://webagentes.canaldirecto.com.ar/incidents/view/690269-4" TargetMode="External"/><Relationship Id="rId792" Type="http://schemas.openxmlformats.org/officeDocument/2006/relationships/hyperlink" Target="https://webagentes.canaldirecto.com.ar/incidents/view/704477-5" TargetMode="External"/><Relationship Id="rId2059" Type="http://schemas.openxmlformats.org/officeDocument/2006/relationships/hyperlink" Target="https://webagentes.canaldirecto.com.ar/incidents/view/760795-4" TargetMode="External"/><Relationship Id="rId2266" Type="http://schemas.openxmlformats.org/officeDocument/2006/relationships/hyperlink" Target="https://webagentes.canaldirecto.com.ar/incidents/view/769390-6" TargetMode="External"/><Relationship Id="rId2473" Type="http://schemas.openxmlformats.org/officeDocument/2006/relationships/hyperlink" Target="https://webagentes.canaldirecto.com.ar/incidents/view/782769-1" TargetMode="External"/><Relationship Id="rId2680" Type="http://schemas.openxmlformats.org/officeDocument/2006/relationships/hyperlink" Target="https://webagentes.canaldirecto.com.ar/incidents/view/788357-2" TargetMode="External"/><Relationship Id="rId3317" Type="http://schemas.openxmlformats.org/officeDocument/2006/relationships/hyperlink" Target="https://webagentes.canaldirecto.com.ar/incidents/view/812861-2" TargetMode="External"/><Relationship Id="rId3524" Type="http://schemas.openxmlformats.org/officeDocument/2006/relationships/hyperlink" Target="https://webagentes.canaldirecto.com.ar/incidents/view/819527-0" TargetMode="External"/><Relationship Id="rId3731" Type="http://schemas.openxmlformats.org/officeDocument/2006/relationships/hyperlink" Target="https://webagentes.canaldirecto.com.ar/incidents/view/824943-8" TargetMode="External"/><Relationship Id="rId238" Type="http://schemas.openxmlformats.org/officeDocument/2006/relationships/hyperlink" Target="https://webagentes.canaldirecto.com.ar/incidents/view/676800-9" TargetMode="External"/><Relationship Id="rId445" Type="http://schemas.openxmlformats.org/officeDocument/2006/relationships/hyperlink" Target="https://webagentes.canaldirecto.com.ar/incidents/view/686007-9" TargetMode="External"/><Relationship Id="rId652" Type="http://schemas.openxmlformats.org/officeDocument/2006/relationships/hyperlink" Target="https://webagentes.canaldirecto.com.ar/incidents/view/696568-4" TargetMode="External"/><Relationship Id="rId1075" Type="http://schemas.openxmlformats.org/officeDocument/2006/relationships/hyperlink" Target="https://webagentes.canaldirecto.com.ar/incidents/view/715410-6" TargetMode="External"/><Relationship Id="rId1282" Type="http://schemas.openxmlformats.org/officeDocument/2006/relationships/hyperlink" Target="https://webagentes.canaldirecto.com.ar/incidents/view/727130-6" TargetMode="External"/><Relationship Id="rId2126" Type="http://schemas.openxmlformats.org/officeDocument/2006/relationships/hyperlink" Target="https://webagentes.canaldirecto.com.ar/incidents/view/762252-8" TargetMode="External"/><Relationship Id="rId2333" Type="http://schemas.openxmlformats.org/officeDocument/2006/relationships/hyperlink" Target="https://webagentes.canaldirecto.com.ar/incidents/view/776920-9" TargetMode="External"/><Relationship Id="rId2540" Type="http://schemas.openxmlformats.org/officeDocument/2006/relationships/hyperlink" Target="https://webagentes.canaldirecto.com.ar/incidents/view/780751-8" TargetMode="External"/><Relationship Id="rId305" Type="http://schemas.openxmlformats.org/officeDocument/2006/relationships/hyperlink" Target="https://webagentes.canaldirecto.com.ar/incidents/view/674154-3" TargetMode="External"/><Relationship Id="rId512" Type="http://schemas.openxmlformats.org/officeDocument/2006/relationships/hyperlink" Target="https://webagentes.canaldirecto.com.ar/incidents/view/689215-7" TargetMode="External"/><Relationship Id="rId1142" Type="http://schemas.openxmlformats.org/officeDocument/2006/relationships/hyperlink" Target="https://webagentes.canaldirecto.com.ar/incidents/view/718756-6" TargetMode="External"/><Relationship Id="rId2400" Type="http://schemas.openxmlformats.org/officeDocument/2006/relationships/hyperlink" Target="https://webagentes.canaldirecto.com.ar/incidents/view/779740-6" TargetMode="External"/><Relationship Id="rId1002" Type="http://schemas.openxmlformats.org/officeDocument/2006/relationships/hyperlink" Target="https://webagentes.canaldirecto.com.ar/incidents/view/717057-5" TargetMode="External"/><Relationship Id="rId1959" Type="http://schemas.openxmlformats.org/officeDocument/2006/relationships/hyperlink" Target="https://webagentes.canaldirecto.com.ar/incidents/view/755946-2" TargetMode="External"/><Relationship Id="rId3174" Type="http://schemas.openxmlformats.org/officeDocument/2006/relationships/hyperlink" Target="https://webagentes.canaldirecto.com.ar/incidents/view/806255-6" TargetMode="External"/><Relationship Id="rId1819" Type="http://schemas.openxmlformats.org/officeDocument/2006/relationships/hyperlink" Target="https://webagentes.canaldirecto.com.ar/incidents/view/747935-1" TargetMode="External"/><Relationship Id="rId3381" Type="http://schemas.openxmlformats.org/officeDocument/2006/relationships/hyperlink" Target="https://webagentes.canaldirecto.com.ar/incidents/view/811393-9" TargetMode="External"/><Relationship Id="rId2190" Type="http://schemas.openxmlformats.org/officeDocument/2006/relationships/hyperlink" Target="https://webagentes.canaldirecto.com.ar/incidents/view/768124-8" TargetMode="External"/><Relationship Id="rId3034" Type="http://schemas.openxmlformats.org/officeDocument/2006/relationships/hyperlink" Target="https://webagentes.canaldirecto.com.ar/incidents/view/799757-4" TargetMode="External"/><Relationship Id="rId3241" Type="http://schemas.openxmlformats.org/officeDocument/2006/relationships/hyperlink" Target="https://webagentes.canaldirecto.com.ar/incidents/view/809382-0" TargetMode="External"/><Relationship Id="rId162" Type="http://schemas.openxmlformats.org/officeDocument/2006/relationships/hyperlink" Target="https://webagentes.canaldirecto.com.ar/incidents/view/672852-4" TargetMode="External"/><Relationship Id="rId2050" Type="http://schemas.openxmlformats.org/officeDocument/2006/relationships/hyperlink" Target="https://webagentes.canaldirecto.com.ar/incidents/view/760804-1" TargetMode="External"/><Relationship Id="rId3101" Type="http://schemas.openxmlformats.org/officeDocument/2006/relationships/hyperlink" Target="https://webagentes.canaldirecto.com.ar/incidents/view/803158-3" TargetMode="External"/><Relationship Id="rId979" Type="http://schemas.openxmlformats.org/officeDocument/2006/relationships/hyperlink" Target="https://webagentes.canaldirecto.com.ar/incidents/view/711612-4" TargetMode="External"/><Relationship Id="rId839" Type="http://schemas.openxmlformats.org/officeDocument/2006/relationships/hyperlink" Target="https://webagentes.canaldirecto.com.ar/incidents/view/709019-0" TargetMode="External"/><Relationship Id="rId1469" Type="http://schemas.openxmlformats.org/officeDocument/2006/relationships/hyperlink" Target="https://webagentes.canaldirecto.com.ar/incidents/view/732098-5" TargetMode="External"/><Relationship Id="rId2867" Type="http://schemas.openxmlformats.org/officeDocument/2006/relationships/hyperlink" Target="https://webagentes.canaldirecto.com.ar/incidents/view/792604-4" TargetMode="External"/><Relationship Id="rId3918" Type="http://schemas.openxmlformats.org/officeDocument/2006/relationships/hyperlink" Target="https://webagentes.canaldirecto.com.ar/incidents/view/829909-9" TargetMode="External"/><Relationship Id="rId1676" Type="http://schemas.openxmlformats.org/officeDocument/2006/relationships/hyperlink" Target="https://webagentes.canaldirecto.com.ar/incidents/view/746435-9" TargetMode="External"/><Relationship Id="rId1883" Type="http://schemas.openxmlformats.org/officeDocument/2006/relationships/hyperlink" Target="https://webagentes.canaldirecto.com.ar/incidents/view/749775-5" TargetMode="External"/><Relationship Id="rId2727" Type="http://schemas.openxmlformats.org/officeDocument/2006/relationships/hyperlink" Target="https://webagentes.canaldirecto.com.ar/incidents/view/791760-2" TargetMode="External"/><Relationship Id="rId2934" Type="http://schemas.openxmlformats.org/officeDocument/2006/relationships/hyperlink" Target="https://webagentes.canaldirecto.com.ar/incidents/view/796145-4" TargetMode="External"/><Relationship Id="rId906" Type="http://schemas.openxmlformats.org/officeDocument/2006/relationships/hyperlink" Target="https://webagentes.canaldirecto.com.ar/incidents/view/712496-5" TargetMode="External"/><Relationship Id="rId1329" Type="http://schemas.openxmlformats.org/officeDocument/2006/relationships/hyperlink" Target="https://webagentes.canaldirecto.com.ar/incidents/view/729988-9" TargetMode="External"/><Relationship Id="rId1536" Type="http://schemas.openxmlformats.org/officeDocument/2006/relationships/hyperlink" Target="https://webagentes.canaldirecto.com.ar/incidents/view/740428-7" TargetMode="External"/><Relationship Id="rId1743" Type="http://schemas.openxmlformats.org/officeDocument/2006/relationships/hyperlink" Target="https://webagentes.canaldirecto.com.ar/incidents/view/744958-1" TargetMode="External"/><Relationship Id="rId1950" Type="http://schemas.openxmlformats.org/officeDocument/2006/relationships/hyperlink" Target="https://webagentes.canaldirecto.com.ar/incidents/view/756936-2" TargetMode="External"/><Relationship Id="rId35" Type="http://schemas.openxmlformats.org/officeDocument/2006/relationships/hyperlink" Target="https://webagentes.canaldirecto.com.ar/incidents/view/662361-8" TargetMode="External"/><Relationship Id="rId1603" Type="http://schemas.openxmlformats.org/officeDocument/2006/relationships/hyperlink" Target="https://webagentes.canaldirecto.com.ar/incidents/view/743955-7" TargetMode="External"/><Relationship Id="rId1810" Type="http://schemas.openxmlformats.org/officeDocument/2006/relationships/hyperlink" Target="https://webagentes.canaldirecto.com.ar/incidents/view/748500-6" TargetMode="External"/><Relationship Id="rId3568" Type="http://schemas.openxmlformats.org/officeDocument/2006/relationships/hyperlink" Target="https://webagentes.canaldirecto.com.ar/incidents/view/817994-4" TargetMode="External"/><Relationship Id="rId3775" Type="http://schemas.openxmlformats.org/officeDocument/2006/relationships/hyperlink" Target="https://webagentes.canaldirecto.com.ar/incidents/view/824118-0" TargetMode="External"/><Relationship Id="rId489" Type="http://schemas.openxmlformats.org/officeDocument/2006/relationships/hyperlink" Target="https://webagentes.canaldirecto.com.ar/incidents/view/689537-6" TargetMode="External"/><Relationship Id="rId696" Type="http://schemas.openxmlformats.org/officeDocument/2006/relationships/hyperlink" Target="https://webagentes.canaldirecto.com.ar/incidents/view/697770-4" TargetMode="External"/><Relationship Id="rId2377" Type="http://schemas.openxmlformats.org/officeDocument/2006/relationships/hyperlink" Target="https://webagentes.canaldirecto.com.ar/incidents/view/780239-1" TargetMode="External"/><Relationship Id="rId2584" Type="http://schemas.openxmlformats.org/officeDocument/2006/relationships/hyperlink" Target="https://webagentes.canaldirecto.com.ar/incidents/view/783101-0" TargetMode="External"/><Relationship Id="rId2791" Type="http://schemas.openxmlformats.org/officeDocument/2006/relationships/hyperlink" Target="https://webagentes.canaldirecto.com.ar/incidents/view/789825-5" TargetMode="External"/><Relationship Id="rId3428" Type="http://schemas.openxmlformats.org/officeDocument/2006/relationships/hyperlink" Target="https://webagentes.canaldirecto.com.ar/incidents/view/808392-0" TargetMode="External"/><Relationship Id="rId3635" Type="http://schemas.openxmlformats.org/officeDocument/2006/relationships/hyperlink" Target="https://webagentes.canaldirecto.com.ar/incidents/view/811860-6" TargetMode="External"/><Relationship Id="rId349" Type="http://schemas.openxmlformats.org/officeDocument/2006/relationships/hyperlink" Target="https://webagentes.canaldirecto.com.ar/incidents/view/678933-0" TargetMode="External"/><Relationship Id="rId556" Type="http://schemas.openxmlformats.org/officeDocument/2006/relationships/hyperlink" Target="https://webagentes.canaldirecto.com.ar/incidents/view/692030-8" TargetMode="External"/><Relationship Id="rId763" Type="http://schemas.openxmlformats.org/officeDocument/2006/relationships/hyperlink" Target="https://webagentes.canaldirecto.com.ar/incidents/view/706081-6" TargetMode="External"/><Relationship Id="rId1186" Type="http://schemas.openxmlformats.org/officeDocument/2006/relationships/hyperlink" Target="https://webagentes.canaldirecto.com.ar/incidents/view/721875-0" TargetMode="External"/><Relationship Id="rId1393" Type="http://schemas.openxmlformats.org/officeDocument/2006/relationships/hyperlink" Target="https://webagentes.canaldirecto.com.ar/incidents/view/731605-2" TargetMode="External"/><Relationship Id="rId2237" Type="http://schemas.openxmlformats.org/officeDocument/2006/relationships/hyperlink" Target="https://webagentes.canaldirecto.com.ar/incidents/view/770619-4" TargetMode="External"/><Relationship Id="rId2444" Type="http://schemas.openxmlformats.org/officeDocument/2006/relationships/hyperlink" Target="https://webagentes.canaldirecto.com.ar/incidents/view/779021-8" TargetMode="External"/><Relationship Id="rId3842" Type="http://schemas.openxmlformats.org/officeDocument/2006/relationships/hyperlink" Target="https://webagentes.canaldirecto.com.ar/incidents/view/826662-0" TargetMode="External"/><Relationship Id="rId209" Type="http://schemas.openxmlformats.org/officeDocument/2006/relationships/hyperlink" Target="https://webagentes.canaldirecto.com.ar/incidents/view/670100-4" TargetMode="External"/><Relationship Id="rId416" Type="http://schemas.openxmlformats.org/officeDocument/2006/relationships/hyperlink" Target="https://webagentes.canaldirecto.com.ar/incidents/view/681785-5" TargetMode="External"/><Relationship Id="rId970" Type="http://schemas.openxmlformats.org/officeDocument/2006/relationships/hyperlink" Target="https://webagentes.canaldirecto.com.ar/incidents/view/711626-7" TargetMode="External"/><Relationship Id="rId1046" Type="http://schemas.openxmlformats.org/officeDocument/2006/relationships/hyperlink" Target="https://webagentes.canaldirecto.com.ar/incidents/view/716426-4" TargetMode="External"/><Relationship Id="rId1253" Type="http://schemas.openxmlformats.org/officeDocument/2006/relationships/hyperlink" Target="https://webagentes.canaldirecto.com.ar/incidents/view/728292-2" TargetMode="External"/><Relationship Id="rId2651" Type="http://schemas.openxmlformats.org/officeDocument/2006/relationships/hyperlink" Target="https://webagentes.canaldirecto.com.ar/incidents/view/785895-6" TargetMode="External"/><Relationship Id="rId3702" Type="http://schemas.openxmlformats.org/officeDocument/2006/relationships/hyperlink" Target="https://webagentes.canaldirecto.com.ar/incidents/view/820257-0" TargetMode="External"/><Relationship Id="rId623" Type="http://schemas.openxmlformats.org/officeDocument/2006/relationships/hyperlink" Target="https://webagentes.canaldirecto.com.ar/incidents/view/693382-5" TargetMode="External"/><Relationship Id="rId830" Type="http://schemas.openxmlformats.org/officeDocument/2006/relationships/hyperlink" Target="https://webagentes.canaldirecto.com.ar/incidents/view/709596-4" TargetMode="External"/><Relationship Id="rId1460" Type="http://schemas.openxmlformats.org/officeDocument/2006/relationships/hyperlink" Target="https://webagentes.canaldirecto.com.ar/incidents/view/734018-3" TargetMode="External"/><Relationship Id="rId2304" Type="http://schemas.openxmlformats.org/officeDocument/2006/relationships/hyperlink" Target="https://webagentes.canaldirecto.com.ar/incidents/view/772819-6" TargetMode="External"/><Relationship Id="rId2511" Type="http://schemas.openxmlformats.org/officeDocument/2006/relationships/hyperlink" Target="https://webagentes.canaldirecto.com.ar/incidents/view/782125-3" TargetMode="External"/><Relationship Id="rId1113" Type="http://schemas.openxmlformats.org/officeDocument/2006/relationships/hyperlink" Target="https://webagentes.canaldirecto.com.ar/incidents/view/720025-6" TargetMode="External"/><Relationship Id="rId1320" Type="http://schemas.openxmlformats.org/officeDocument/2006/relationships/hyperlink" Target="https://webagentes.canaldirecto.com.ar/incidents/view/730476-5" TargetMode="External"/><Relationship Id="rId3078" Type="http://schemas.openxmlformats.org/officeDocument/2006/relationships/hyperlink" Target="https://webagentes.canaldirecto.com.ar/incidents/view/798245-7" TargetMode="External"/><Relationship Id="rId3285" Type="http://schemas.openxmlformats.org/officeDocument/2006/relationships/hyperlink" Target="https://webagentes.canaldirecto.com.ar/incidents/view/807100-4" TargetMode="External"/><Relationship Id="rId3492" Type="http://schemas.openxmlformats.org/officeDocument/2006/relationships/hyperlink" Target="https://webagentes.canaldirecto.com.ar/incidents/view/814042-9" TargetMode="External"/><Relationship Id="rId2094" Type="http://schemas.openxmlformats.org/officeDocument/2006/relationships/hyperlink" Target="https://webagentes.canaldirecto.com.ar/incidents/view/758400-6" TargetMode="External"/><Relationship Id="rId3145" Type="http://schemas.openxmlformats.org/officeDocument/2006/relationships/hyperlink" Target="https://webagentes.canaldirecto.com.ar/incidents/view/801219-9" TargetMode="External"/><Relationship Id="rId3352" Type="http://schemas.openxmlformats.org/officeDocument/2006/relationships/hyperlink" Target="https://webagentes.canaldirecto.com.ar/incidents/view/812169-1" TargetMode="External"/><Relationship Id="rId273" Type="http://schemas.openxmlformats.org/officeDocument/2006/relationships/hyperlink" Target="https://webagentes.canaldirecto.com.ar/incidents/view/675346-9" TargetMode="External"/><Relationship Id="rId480" Type="http://schemas.openxmlformats.org/officeDocument/2006/relationships/hyperlink" Target="https://webagentes.canaldirecto.com.ar/incidents/view/683544-4" TargetMode="External"/><Relationship Id="rId2161" Type="http://schemas.openxmlformats.org/officeDocument/2006/relationships/hyperlink" Target="https://webagentes.canaldirecto.com.ar/incidents/view/765888-8" TargetMode="External"/><Relationship Id="rId3005" Type="http://schemas.openxmlformats.org/officeDocument/2006/relationships/hyperlink" Target="https://webagentes.canaldirecto.com.ar/incidents/view/800033-4" TargetMode="External"/><Relationship Id="rId3212" Type="http://schemas.openxmlformats.org/officeDocument/2006/relationships/hyperlink" Target="https://webagentes.canaldirecto.com.ar/incidents/view/804323-2" TargetMode="External"/><Relationship Id="rId133" Type="http://schemas.openxmlformats.org/officeDocument/2006/relationships/hyperlink" Target="https://webagentes.canaldirecto.com.ar/incidents/view/668511-3" TargetMode="External"/><Relationship Id="rId340" Type="http://schemas.openxmlformats.org/officeDocument/2006/relationships/hyperlink" Target="https://webagentes.canaldirecto.com.ar/incidents/view/679417-4" TargetMode="External"/><Relationship Id="rId2021" Type="http://schemas.openxmlformats.org/officeDocument/2006/relationships/hyperlink" Target="https://webagentes.canaldirecto.com.ar/incidents/view/757316-1" TargetMode="External"/><Relationship Id="rId200" Type="http://schemas.openxmlformats.org/officeDocument/2006/relationships/hyperlink" Target="https://webagentes.canaldirecto.com.ar/incidents/view/670373-8" TargetMode="External"/><Relationship Id="rId2978" Type="http://schemas.openxmlformats.org/officeDocument/2006/relationships/hyperlink" Target="https://webagentes.canaldirecto.com.ar/incidents/view/795571-8" TargetMode="External"/><Relationship Id="rId1787" Type="http://schemas.openxmlformats.org/officeDocument/2006/relationships/hyperlink" Target="https://webagentes.canaldirecto.com.ar/incidents/view/748681-0" TargetMode="External"/><Relationship Id="rId1994" Type="http://schemas.openxmlformats.org/officeDocument/2006/relationships/hyperlink" Target="https://webagentes.canaldirecto.com.ar/incidents/view/754285-1" TargetMode="External"/><Relationship Id="rId2838" Type="http://schemas.openxmlformats.org/officeDocument/2006/relationships/hyperlink" Target="https://webagentes.canaldirecto.com.ar/incidents/view/793829-8" TargetMode="External"/><Relationship Id="rId79" Type="http://schemas.openxmlformats.org/officeDocument/2006/relationships/hyperlink" Target="https://webagentes.canaldirecto.com.ar/incidents/view/665125-9" TargetMode="External"/><Relationship Id="rId1647" Type="http://schemas.openxmlformats.org/officeDocument/2006/relationships/hyperlink" Target="https://webagentes.canaldirecto.com.ar/incidents/view/742367-1" TargetMode="External"/><Relationship Id="rId1854" Type="http://schemas.openxmlformats.org/officeDocument/2006/relationships/hyperlink" Target="https://webagentes.canaldirecto.com.ar/incidents/view/751386-8" TargetMode="External"/><Relationship Id="rId2905" Type="http://schemas.openxmlformats.org/officeDocument/2006/relationships/hyperlink" Target="https://webagentes.canaldirecto.com.ar/incidents/view/797548-4" TargetMode="External"/><Relationship Id="rId1507" Type="http://schemas.openxmlformats.org/officeDocument/2006/relationships/hyperlink" Target="https://webagentes.canaldirecto.com.ar/incidents/view/736258-3" TargetMode="External"/><Relationship Id="rId1714" Type="http://schemas.openxmlformats.org/officeDocument/2006/relationships/hyperlink" Target="https://webagentes.canaldirecto.com.ar/incidents/view/745852-5" TargetMode="External"/><Relationship Id="rId1921" Type="http://schemas.openxmlformats.org/officeDocument/2006/relationships/hyperlink" Target="https://webagentes.canaldirecto.com.ar/incidents/view/753128-0" TargetMode="External"/><Relationship Id="rId3679" Type="http://schemas.openxmlformats.org/officeDocument/2006/relationships/hyperlink" Target="https://webagentes.canaldirecto.com.ar/incidents/view/821209-0" TargetMode="External"/><Relationship Id="rId2488" Type="http://schemas.openxmlformats.org/officeDocument/2006/relationships/hyperlink" Target="https://webagentes.canaldirecto.com.ar/incidents/view/782736-3" TargetMode="External"/><Relationship Id="rId3886" Type="http://schemas.openxmlformats.org/officeDocument/2006/relationships/hyperlink" Target="https://webagentes.canaldirecto.com.ar/incidents/view/749161-8" TargetMode="External"/><Relationship Id="rId1297" Type="http://schemas.openxmlformats.org/officeDocument/2006/relationships/hyperlink" Target="https://webagentes.canaldirecto.com.ar/incidents/view/726187-7" TargetMode="External"/><Relationship Id="rId2695" Type="http://schemas.openxmlformats.org/officeDocument/2006/relationships/hyperlink" Target="https://webagentes.canaldirecto.com.ar/incidents/view/788341-1" TargetMode="External"/><Relationship Id="rId3539" Type="http://schemas.openxmlformats.org/officeDocument/2006/relationships/hyperlink" Target="https://webagentes.canaldirecto.com.ar/incidents/view/818675-9" TargetMode="External"/><Relationship Id="rId3746" Type="http://schemas.openxmlformats.org/officeDocument/2006/relationships/hyperlink" Target="https://webagentes.canaldirecto.com.ar/incidents/view/824670-5" TargetMode="External"/><Relationship Id="rId3953" Type="http://schemas.openxmlformats.org/officeDocument/2006/relationships/hyperlink" Target="https://webagentes.canaldirecto.com.ar/incidents/view/829263-4" TargetMode="External"/><Relationship Id="rId667" Type="http://schemas.openxmlformats.org/officeDocument/2006/relationships/hyperlink" Target="https://webagentes.canaldirecto.com.ar/incidents/view/700518-3" TargetMode="External"/><Relationship Id="rId874" Type="http://schemas.openxmlformats.org/officeDocument/2006/relationships/hyperlink" Target="https://webagentes.canaldirecto.com.ar/incidents/view/705881-1" TargetMode="External"/><Relationship Id="rId2348" Type="http://schemas.openxmlformats.org/officeDocument/2006/relationships/hyperlink" Target="https://webagentes.canaldirecto.com.ar/incidents/view/776024-4" TargetMode="External"/><Relationship Id="rId2555" Type="http://schemas.openxmlformats.org/officeDocument/2006/relationships/hyperlink" Target="https://webagentes.canaldirecto.com.ar/incidents/view/778104-3" TargetMode="External"/><Relationship Id="rId2762" Type="http://schemas.openxmlformats.org/officeDocument/2006/relationships/hyperlink" Target="https://webagentes.canaldirecto.com.ar/incidents/view/789941-2" TargetMode="External"/><Relationship Id="rId3606" Type="http://schemas.openxmlformats.org/officeDocument/2006/relationships/hyperlink" Target="https://webagentes.canaldirecto.com.ar/incidents/view/817166-9" TargetMode="External"/><Relationship Id="rId3813" Type="http://schemas.openxmlformats.org/officeDocument/2006/relationships/hyperlink" Target="https://webagentes.canaldirecto.com.ar/incidents/view/827921-7" TargetMode="External"/><Relationship Id="rId527" Type="http://schemas.openxmlformats.org/officeDocument/2006/relationships/hyperlink" Target="https://webagentes.canaldirecto.com.ar/incidents/view/688077-2" TargetMode="External"/><Relationship Id="rId734" Type="http://schemas.openxmlformats.org/officeDocument/2006/relationships/hyperlink" Target="https://webagentes.canaldirecto.com.ar/incidents/view/701891-0" TargetMode="External"/><Relationship Id="rId941" Type="http://schemas.openxmlformats.org/officeDocument/2006/relationships/hyperlink" Target="https://webagentes.canaldirecto.com.ar/incidents/view/712039-4" TargetMode="External"/><Relationship Id="rId1157" Type="http://schemas.openxmlformats.org/officeDocument/2006/relationships/hyperlink" Target="https://webagentes.canaldirecto.com.ar/incidents/view/717530-3" TargetMode="External"/><Relationship Id="rId1364" Type="http://schemas.openxmlformats.org/officeDocument/2006/relationships/hyperlink" Target="https://webagentes.canaldirecto.com.ar/incidents/view/732803-9" TargetMode="External"/><Relationship Id="rId1571" Type="http://schemas.openxmlformats.org/officeDocument/2006/relationships/hyperlink" Target="https://webagentes.canaldirecto.com.ar/incidents/view/744274-6" TargetMode="External"/><Relationship Id="rId2208" Type="http://schemas.openxmlformats.org/officeDocument/2006/relationships/hyperlink" Target="https://webagentes.canaldirecto.com.ar/incidents/view/767185-2" TargetMode="External"/><Relationship Id="rId2415" Type="http://schemas.openxmlformats.org/officeDocument/2006/relationships/hyperlink" Target="https://webagentes.canaldirecto.com.ar/incidents/view/779280-9" TargetMode="External"/><Relationship Id="rId2622" Type="http://schemas.openxmlformats.org/officeDocument/2006/relationships/hyperlink" Target="https://webagentes.canaldirecto.com.ar/incidents/view/787016-1" TargetMode="External"/><Relationship Id="rId70" Type="http://schemas.openxmlformats.org/officeDocument/2006/relationships/hyperlink" Target="https://webagentes.canaldirecto.com.ar/incidents/view/665439-9" TargetMode="External"/><Relationship Id="rId801" Type="http://schemas.openxmlformats.org/officeDocument/2006/relationships/hyperlink" Target="https://webagentes.canaldirecto.com.ar/incidents/view/704167-1" TargetMode="External"/><Relationship Id="rId1017" Type="http://schemas.openxmlformats.org/officeDocument/2006/relationships/hyperlink" Target="https://webagentes.canaldirecto.com.ar/incidents/view/716877-4" TargetMode="External"/><Relationship Id="rId1224" Type="http://schemas.openxmlformats.org/officeDocument/2006/relationships/hyperlink" Target="https://webagentes.canaldirecto.com.ar/incidents/view/724725-7" TargetMode="External"/><Relationship Id="rId1431" Type="http://schemas.openxmlformats.org/officeDocument/2006/relationships/hyperlink" Target="https://webagentes.canaldirecto.com.ar/incidents/view/735617-5" TargetMode="External"/><Relationship Id="rId3189" Type="http://schemas.openxmlformats.org/officeDocument/2006/relationships/hyperlink" Target="https://webagentes.canaldirecto.com.ar/incidents/view/805519-4" TargetMode="External"/><Relationship Id="rId3396" Type="http://schemas.openxmlformats.org/officeDocument/2006/relationships/hyperlink" Target="https://webagentes.canaldirecto.com.ar/incidents/view/810988-4" TargetMode="External"/><Relationship Id="rId3049" Type="http://schemas.openxmlformats.org/officeDocument/2006/relationships/hyperlink" Target="https://webagentes.canaldirecto.com.ar/incidents/view/799338-3" TargetMode="External"/><Relationship Id="rId3256" Type="http://schemas.openxmlformats.org/officeDocument/2006/relationships/hyperlink" Target="https://webagentes.canaldirecto.com.ar/incidents/view/808958-0" TargetMode="External"/><Relationship Id="rId3463" Type="http://schemas.openxmlformats.org/officeDocument/2006/relationships/hyperlink" Target="https://webagentes.canaldirecto.com.ar/incidents/view/815590-8" TargetMode="External"/><Relationship Id="rId177" Type="http://schemas.openxmlformats.org/officeDocument/2006/relationships/hyperlink" Target="https://webagentes.canaldirecto.com.ar/incidents/view/672104-4" TargetMode="External"/><Relationship Id="rId384" Type="http://schemas.openxmlformats.org/officeDocument/2006/relationships/hyperlink" Target="https://webagentes.canaldirecto.com.ar/incidents/view/677718-6" TargetMode="External"/><Relationship Id="rId591" Type="http://schemas.openxmlformats.org/officeDocument/2006/relationships/hyperlink" Target="https://webagentes.canaldirecto.com.ar/incidents/view/690055-3" TargetMode="External"/><Relationship Id="rId2065" Type="http://schemas.openxmlformats.org/officeDocument/2006/relationships/hyperlink" Target="https://webagentes.canaldirecto.com.ar/incidents/view/760535-4" TargetMode="External"/><Relationship Id="rId2272" Type="http://schemas.openxmlformats.org/officeDocument/2006/relationships/hyperlink" Target="https://webagentes.canaldirecto.com.ar/incidents/view/768865-8" TargetMode="External"/><Relationship Id="rId3116" Type="http://schemas.openxmlformats.org/officeDocument/2006/relationships/hyperlink" Target="https://webagentes.canaldirecto.com.ar/incidents/view/802423-7" TargetMode="External"/><Relationship Id="rId3670" Type="http://schemas.openxmlformats.org/officeDocument/2006/relationships/hyperlink" Target="https://webagentes.canaldirecto.com.ar/incidents/view/821827-0" TargetMode="External"/><Relationship Id="rId244" Type="http://schemas.openxmlformats.org/officeDocument/2006/relationships/hyperlink" Target="https://webagentes.canaldirecto.com.ar/incidents/view/676206-9" TargetMode="External"/><Relationship Id="rId1081" Type="http://schemas.openxmlformats.org/officeDocument/2006/relationships/hyperlink" Target="https://webagentes.canaldirecto.com.ar/incidents/view/714468-6" TargetMode="External"/><Relationship Id="rId3323" Type="http://schemas.openxmlformats.org/officeDocument/2006/relationships/hyperlink" Target="https://webagentes.canaldirecto.com.ar/incidents/view/812855-1" TargetMode="External"/><Relationship Id="rId3530" Type="http://schemas.openxmlformats.org/officeDocument/2006/relationships/hyperlink" Target="https://webagentes.canaldirecto.com.ar/incidents/view/818907-5" TargetMode="External"/><Relationship Id="rId451" Type="http://schemas.openxmlformats.org/officeDocument/2006/relationships/hyperlink" Target="https://webagentes.canaldirecto.com.ar/incidents/view/685160-0" TargetMode="External"/><Relationship Id="rId2132" Type="http://schemas.openxmlformats.org/officeDocument/2006/relationships/hyperlink" Target="https://webagentes.canaldirecto.com.ar/incidents/view/761921-4" TargetMode="External"/><Relationship Id="rId104" Type="http://schemas.openxmlformats.org/officeDocument/2006/relationships/hyperlink" Target="https://webagentes.canaldirecto.com.ar/incidents/view/669386-6" TargetMode="External"/><Relationship Id="rId311" Type="http://schemas.openxmlformats.org/officeDocument/2006/relationships/hyperlink" Target="https://webagentes.canaldirecto.com.ar/incidents/view/674042-9" TargetMode="External"/><Relationship Id="rId1898" Type="http://schemas.openxmlformats.org/officeDocument/2006/relationships/hyperlink" Target="https://webagentes.canaldirecto.com.ar/incidents/view/749098-3" TargetMode="External"/><Relationship Id="rId2949" Type="http://schemas.openxmlformats.org/officeDocument/2006/relationships/hyperlink" Target="https://webagentes.canaldirecto.com.ar/incidents/view/795877-9" TargetMode="External"/><Relationship Id="rId1758" Type="http://schemas.openxmlformats.org/officeDocument/2006/relationships/hyperlink" Target="https://webagentes.canaldirecto.com.ar/incidents/view/739547-5" TargetMode="External"/><Relationship Id="rId2809" Type="http://schemas.openxmlformats.org/officeDocument/2006/relationships/hyperlink" Target="https://webagentes.canaldirecto.com.ar/incidents/view/794408-6" TargetMode="External"/><Relationship Id="rId1965" Type="http://schemas.openxmlformats.org/officeDocument/2006/relationships/hyperlink" Target="https://webagentes.canaldirecto.com.ar/incidents/view/755586-4" TargetMode="External"/><Relationship Id="rId3180" Type="http://schemas.openxmlformats.org/officeDocument/2006/relationships/hyperlink" Target="https://webagentes.canaldirecto.com.ar/incidents/view/805944-6" TargetMode="External"/><Relationship Id="rId1618" Type="http://schemas.openxmlformats.org/officeDocument/2006/relationships/hyperlink" Target="https://webagentes.canaldirecto.com.ar/incidents/view/743492-3" TargetMode="External"/><Relationship Id="rId1825" Type="http://schemas.openxmlformats.org/officeDocument/2006/relationships/hyperlink" Target="https://webagentes.canaldirecto.com.ar/incidents/view/747788-5" TargetMode="External"/><Relationship Id="rId3040" Type="http://schemas.openxmlformats.org/officeDocument/2006/relationships/hyperlink" Target="https://webagentes.canaldirecto.com.ar/incidents/view/799704-2" TargetMode="External"/><Relationship Id="rId2599" Type="http://schemas.openxmlformats.org/officeDocument/2006/relationships/hyperlink" Target="https://webagentes.canaldirecto.com.ar/incidents/view/782993-6" TargetMode="External"/><Relationship Id="rId3857" Type="http://schemas.openxmlformats.org/officeDocument/2006/relationships/hyperlink" Target="https://webagentes.canaldirecto.com.ar/incidents/view/826118-4" TargetMode="External"/><Relationship Id="rId778" Type="http://schemas.openxmlformats.org/officeDocument/2006/relationships/hyperlink" Target="https://webagentes.canaldirecto.com.ar/incidents/view/705430-1" TargetMode="External"/><Relationship Id="rId985" Type="http://schemas.openxmlformats.org/officeDocument/2006/relationships/hyperlink" Target="https://webagentes.canaldirecto.com.ar/incidents/view/710785-2" TargetMode="External"/><Relationship Id="rId2459" Type="http://schemas.openxmlformats.org/officeDocument/2006/relationships/hyperlink" Target="https://webagentes.canaldirecto.com.ar/incidents/view/777808-5" TargetMode="External"/><Relationship Id="rId2666" Type="http://schemas.openxmlformats.org/officeDocument/2006/relationships/hyperlink" Target="https://webagentes.canaldirecto.com.ar/incidents/view/784828-7" TargetMode="External"/><Relationship Id="rId2873" Type="http://schemas.openxmlformats.org/officeDocument/2006/relationships/hyperlink" Target="https://webagentes.canaldirecto.com.ar/incidents/view/792482-4" TargetMode="External"/><Relationship Id="rId3717" Type="http://schemas.openxmlformats.org/officeDocument/2006/relationships/hyperlink" Target="https://webagentes.canaldirecto.com.ar/incidents/view/818471-5" TargetMode="External"/><Relationship Id="rId3924" Type="http://schemas.openxmlformats.org/officeDocument/2006/relationships/hyperlink" Target="https://webagentes.canaldirecto.com.ar/incidents/view/829872-6" TargetMode="External"/><Relationship Id="rId638" Type="http://schemas.openxmlformats.org/officeDocument/2006/relationships/hyperlink" Target="https://webagentes.canaldirecto.com.ar/incidents/view/691256-7" TargetMode="External"/><Relationship Id="rId845" Type="http://schemas.openxmlformats.org/officeDocument/2006/relationships/hyperlink" Target="https://webagentes.canaldirecto.com.ar/incidents/view/708680-5" TargetMode="External"/><Relationship Id="rId1268" Type="http://schemas.openxmlformats.org/officeDocument/2006/relationships/hyperlink" Target="https://webagentes.canaldirecto.com.ar/incidents/view/727656-9" TargetMode="External"/><Relationship Id="rId1475" Type="http://schemas.openxmlformats.org/officeDocument/2006/relationships/hyperlink" Target="https://webagentes.canaldirecto.com.ar/incidents/view/738121-4" TargetMode="External"/><Relationship Id="rId1682" Type="http://schemas.openxmlformats.org/officeDocument/2006/relationships/hyperlink" Target="https://webagentes.canaldirecto.com.ar/incidents/view/746426-1" TargetMode="External"/><Relationship Id="rId2319" Type="http://schemas.openxmlformats.org/officeDocument/2006/relationships/hyperlink" Target="https://webagentes.canaldirecto.com.ar/incidents/view/772179-5" TargetMode="External"/><Relationship Id="rId2526" Type="http://schemas.openxmlformats.org/officeDocument/2006/relationships/hyperlink" Target="https://webagentes.canaldirecto.com.ar/incidents/view/781666-8" TargetMode="External"/><Relationship Id="rId2733" Type="http://schemas.openxmlformats.org/officeDocument/2006/relationships/hyperlink" Target="https://webagentes.canaldirecto.com.ar/incidents/view/791699-5" TargetMode="External"/><Relationship Id="rId705" Type="http://schemas.openxmlformats.org/officeDocument/2006/relationships/hyperlink" Target="https://webagentes.canaldirecto.com.ar/incidents/view/703950-6" TargetMode="External"/><Relationship Id="rId1128" Type="http://schemas.openxmlformats.org/officeDocument/2006/relationships/hyperlink" Target="https://webagentes.canaldirecto.com.ar/incidents/view/719746-6" TargetMode="External"/><Relationship Id="rId1335" Type="http://schemas.openxmlformats.org/officeDocument/2006/relationships/hyperlink" Target="https://webagentes.canaldirecto.com.ar/incidents/view/729152-2" TargetMode="External"/><Relationship Id="rId1542" Type="http://schemas.openxmlformats.org/officeDocument/2006/relationships/hyperlink" Target="https://webagentes.canaldirecto.com.ar/incidents/view/740043-0" TargetMode="External"/><Relationship Id="rId2940" Type="http://schemas.openxmlformats.org/officeDocument/2006/relationships/hyperlink" Target="https://webagentes.canaldirecto.com.ar/incidents/view/796052-5" TargetMode="External"/><Relationship Id="rId912" Type="http://schemas.openxmlformats.org/officeDocument/2006/relationships/hyperlink" Target="https://webagentes.canaldirecto.com.ar/incidents/view/712486-8" TargetMode="External"/><Relationship Id="rId2800" Type="http://schemas.openxmlformats.org/officeDocument/2006/relationships/hyperlink" Target="https://webagentes.canaldirecto.com.ar/incidents/view/794694-1" TargetMode="External"/><Relationship Id="rId41" Type="http://schemas.openxmlformats.org/officeDocument/2006/relationships/hyperlink" Target="https://webagentes.canaldirecto.com.ar/incidents/view/662250-3" TargetMode="External"/><Relationship Id="rId1402" Type="http://schemas.openxmlformats.org/officeDocument/2006/relationships/hyperlink" Target="https://webagentes.canaldirecto.com.ar/incidents/view/731494-8" TargetMode="External"/><Relationship Id="rId288" Type="http://schemas.openxmlformats.org/officeDocument/2006/relationships/hyperlink" Target="https://webagentes.canaldirecto.com.ar/incidents/view/674853-7" TargetMode="External"/><Relationship Id="rId3367" Type="http://schemas.openxmlformats.org/officeDocument/2006/relationships/hyperlink" Target="https://webagentes.canaldirecto.com.ar/incidents/view/811721-8" TargetMode="External"/><Relationship Id="rId3574" Type="http://schemas.openxmlformats.org/officeDocument/2006/relationships/hyperlink" Target="https://webagentes.canaldirecto.com.ar/incidents/view/817874-1" TargetMode="External"/><Relationship Id="rId3781" Type="http://schemas.openxmlformats.org/officeDocument/2006/relationships/hyperlink" Target="https://webagentes.canaldirecto.com.ar/incidents/view/823460-3" TargetMode="External"/><Relationship Id="rId495" Type="http://schemas.openxmlformats.org/officeDocument/2006/relationships/hyperlink" Target="https://webagentes.canaldirecto.com.ar/incidents/view/689531-2" TargetMode="External"/><Relationship Id="rId2176" Type="http://schemas.openxmlformats.org/officeDocument/2006/relationships/hyperlink" Target="https://webagentes.canaldirecto.com.ar/incidents/view/764122-2" TargetMode="External"/><Relationship Id="rId2383" Type="http://schemas.openxmlformats.org/officeDocument/2006/relationships/hyperlink" Target="https://webagentes.canaldirecto.com.ar/incidents/view/780124-0" TargetMode="External"/><Relationship Id="rId2590" Type="http://schemas.openxmlformats.org/officeDocument/2006/relationships/hyperlink" Target="https://webagentes.canaldirecto.com.ar/incidents/view/783090-5" TargetMode="External"/><Relationship Id="rId3227" Type="http://schemas.openxmlformats.org/officeDocument/2006/relationships/hyperlink" Target="https://webagentes.canaldirecto.com.ar/incidents/view/801019-1" TargetMode="External"/><Relationship Id="rId3434" Type="http://schemas.openxmlformats.org/officeDocument/2006/relationships/hyperlink" Target="https://webagentes.canaldirecto.com.ar/incidents/view/816694-0" TargetMode="External"/><Relationship Id="rId3641" Type="http://schemas.openxmlformats.org/officeDocument/2006/relationships/hyperlink" Target="https://webagentes.canaldirecto.com.ar/incidents/view/822601-1" TargetMode="External"/><Relationship Id="rId148" Type="http://schemas.openxmlformats.org/officeDocument/2006/relationships/hyperlink" Target="https://webagentes.canaldirecto.com.ar/incidents/view/667606-3" TargetMode="External"/><Relationship Id="rId355" Type="http://schemas.openxmlformats.org/officeDocument/2006/relationships/hyperlink" Target="https://webagentes.canaldirecto.com.ar/incidents/view/678340-6" TargetMode="External"/><Relationship Id="rId562" Type="http://schemas.openxmlformats.org/officeDocument/2006/relationships/hyperlink" Target="https://webagentes.canaldirecto.com.ar/incidents/view/691542-1" TargetMode="External"/><Relationship Id="rId1192" Type="http://schemas.openxmlformats.org/officeDocument/2006/relationships/hyperlink" Target="https://webagentes.canaldirecto.com.ar/incidents/view/721867-1" TargetMode="External"/><Relationship Id="rId2036" Type="http://schemas.openxmlformats.org/officeDocument/2006/relationships/hyperlink" Target="https://webagentes.canaldirecto.com.ar/incidents/view/760959-0" TargetMode="External"/><Relationship Id="rId2243" Type="http://schemas.openxmlformats.org/officeDocument/2006/relationships/hyperlink" Target="https://webagentes.canaldirecto.com.ar/incidents/view/770418-7" TargetMode="External"/><Relationship Id="rId2450" Type="http://schemas.openxmlformats.org/officeDocument/2006/relationships/hyperlink" Target="https://webagentes.canaldirecto.com.ar/incidents/view/778658-9" TargetMode="External"/><Relationship Id="rId3501" Type="http://schemas.openxmlformats.org/officeDocument/2006/relationships/hyperlink" Target="https://webagentes.canaldirecto.com.ar/incidents/view/813033-4" TargetMode="External"/><Relationship Id="rId215" Type="http://schemas.openxmlformats.org/officeDocument/2006/relationships/hyperlink" Target="https://webagentes.canaldirecto.com.ar/incidents/view/669756-1" TargetMode="External"/><Relationship Id="rId422" Type="http://schemas.openxmlformats.org/officeDocument/2006/relationships/hyperlink" Target="https://webagentes.canaldirecto.com.ar/incidents/view/679711-7" TargetMode="External"/><Relationship Id="rId1052" Type="http://schemas.openxmlformats.org/officeDocument/2006/relationships/hyperlink" Target="https://webagentes.canaldirecto.com.ar/incidents/view/716387-6" TargetMode="External"/><Relationship Id="rId2103" Type="http://schemas.openxmlformats.org/officeDocument/2006/relationships/hyperlink" Target="https://webagentes.canaldirecto.com.ar/incidents/view/763632-7" TargetMode="External"/><Relationship Id="rId2310" Type="http://schemas.openxmlformats.org/officeDocument/2006/relationships/hyperlink" Target="https://webagentes.canaldirecto.com.ar/incidents/view/772762-9" TargetMode="External"/><Relationship Id="rId1869" Type="http://schemas.openxmlformats.org/officeDocument/2006/relationships/hyperlink" Target="https://webagentes.canaldirecto.com.ar/incidents/view/750982-9" TargetMode="External"/><Relationship Id="rId3084" Type="http://schemas.openxmlformats.org/officeDocument/2006/relationships/hyperlink" Target="https://webagentes.canaldirecto.com.ar/incidents/view/797259-3" TargetMode="External"/><Relationship Id="rId3291" Type="http://schemas.openxmlformats.org/officeDocument/2006/relationships/hyperlink" Target="https://webagentes.canaldirecto.com.ar/incidents/view/806474-9" TargetMode="External"/><Relationship Id="rId1729" Type="http://schemas.openxmlformats.org/officeDocument/2006/relationships/hyperlink" Target="https://webagentes.canaldirecto.com.ar/incidents/view/745703-0" TargetMode="External"/><Relationship Id="rId1936" Type="http://schemas.openxmlformats.org/officeDocument/2006/relationships/hyperlink" Target="https://webagentes.canaldirecto.com.ar/incidents/view/752880-6" TargetMode="External"/><Relationship Id="rId3151" Type="http://schemas.openxmlformats.org/officeDocument/2006/relationships/hyperlink" Target="https://webagentes.canaldirecto.com.ar/incidents/view/800837-2" TargetMode="External"/><Relationship Id="rId3011" Type="http://schemas.openxmlformats.org/officeDocument/2006/relationships/hyperlink" Target="https://webagentes.canaldirecto.com.ar/incidents/view/799981-9" TargetMode="External"/><Relationship Id="rId3968" Type="http://schemas.openxmlformats.org/officeDocument/2006/relationships/hyperlink" Target="https://webagentes.canaldirecto.com.ar/incidents/view/827474-4" TargetMode="External"/><Relationship Id="rId5" Type="http://schemas.openxmlformats.org/officeDocument/2006/relationships/hyperlink" Target="https://webagentes.canaldirecto.com.ar/incidents/view/663072-4" TargetMode="External"/><Relationship Id="rId889" Type="http://schemas.openxmlformats.org/officeDocument/2006/relationships/hyperlink" Target="https://webagentes.canaldirecto.com.ar/incidents/view/712866-0" TargetMode="External"/><Relationship Id="rId2777" Type="http://schemas.openxmlformats.org/officeDocument/2006/relationships/hyperlink" Target="https://webagentes.canaldirecto.com.ar/incidents/view/791453-5" TargetMode="External"/><Relationship Id="rId749" Type="http://schemas.openxmlformats.org/officeDocument/2006/relationships/hyperlink" Target="https://webagentes.canaldirecto.com.ar/incidents/view/700641-0" TargetMode="External"/><Relationship Id="rId1379" Type="http://schemas.openxmlformats.org/officeDocument/2006/relationships/hyperlink" Target="https://webagentes.canaldirecto.com.ar/incidents/view/732788-1" TargetMode="External"/><Relationship Id="rId1586" Type="http://schemas.openxmlformats.org/officeDocument/2006/relationships/hyperlink" Target="https://webagentes.canaldirecto.com.ar/incidents/view/744127-9" TargetMode="External"/><Relationship Id="rId2984" Type="http://schemas.openxmlformats.org/officeDocument/2006/relationships/hyperlink" Target="https://webagentes.canaldirecto.com.ar/incidents/view/795334-9" TargetMode="External"/><Relationship Id="rId3828" Type="http://schemas.openxmlformats.org/officeDocument/2006/relationships/hyperlink" Target="https://webagentes.canaldirecto.com.ar/incidents/view/827470-8" TargetMode="External"/><Relationship Id="rId609" Type="http://schemas.openxmlformats.org/officeDocument/2006/relationships/hyperlink" Target="https://webagentes.canaldirecto.com.ar/incidents/view/694762-4" TargetMode="External"/><Relationship Id="rId956" Type="http://schemas.openxmlformats.org/officeDocument/2006/relationships/hyperlink" Target="https://webagentes.canaldirecto.com.ar/incidents/view/711969-9" TargetMode="External"/><Relationship Id="rId1239" Type="http://schemas.openxmlformats.org/officeDocument/2006/relationships/hyperlink" Target="https://webagentes.canaldirecto.com.ar/incidents/view/722252-2" TargetMode="External"/><Relationship Id="rId1793" Type="http://schemas.openxmlformats.org/officeDocument/2006/relationships/hyperlink" Target="https://webagentes.canaldirecto.com.ar/incidents/view/748624-5" TargetMode="External"/><Relationship Id="rId2637" Type="http://schemas.openxmlformats.org/officeDocument/2006/relationships/hyperlink" Target="https://webagentes.canaldirecto.com.ar/incidents/view/786457-7" TargetMode="External"/><Relationship Id="rId2844" Type="http://schemas.openxmlformats.org/officeDocument/2006/relationships/hyperlink" Target="https://webagentes.canaldirecto.com.ar/incidents/view/793526-4" TargetMode="External"/><Relationship Id="rId85" Type="http://schemas.openxmlformats.org/officeDocument/2006/relationships/hyperlink" Target="https://webagentes.canaldirecto.com.ar/incidents/view/664092-5" TargetMode="External"/><Relationship Id="rId816" Type="http://schemas.openxmlformats.org/officeDocument/2006/relationships/hyperlink" Target="https://webagentes.canaldirecto.com.ar/incidents/view/710396-2" TargetMode="External"/><Relationship Id="rId1446" Type="http://schemas.openxmlformats.org/officeDocument/2006/relationships/hyperlink" Target="https://webagentes.canaldirecto.com.ar/incidents/view/734451-4" TargetMode="External"/><Relationship Id="rId1653" Type="http://schemas.openxmlformats.org/officeDocument/2006/relationships/hyperlink" Target="https://webagentes.canaldirecto.com.ar/incidents/view/741893-4" TargetMode="External"/><Relationship Id="rId1860" Type="http://schemas.openxmlformats.org/officeDocument/2006/relationships/hyperlink" Target="https://webagentes.canaldirecto.com.ar/incidents/view/751361-9" TargetMode="External"/><Relationship Id="rId2704" Type="http://schemas.openxmlformats.org/officeDocument/2006/relationships/hyperlink" Target="https://webagentes.canaldirecto.com.ar/incidents/view/788308-6" TargetMode="External"/><Relationship Id="rId2911" Type="http://schemas.openxmlformats.org/officeDocument/2006/relationships/hyperlink" Target="https://webagentes.canaldirecto.com.ar/incidents/view/797418-4" TargetMode="External"/><Relationship Id="rId1306" Type="http://schemas.openxmlformats.org/officeDocument/2006/relationships/hyperlink" Target="https://webagentes.canaldirecto.com.ar/incidents/view/730658-7" TargetMode="External"/><Relationship Id="rId1513" Type="http://schemas.openxmlformats.org/officeDocument/2006/relationships/hyperlink" Target="https://webagentes.canaldirecto.com.ar/incidents/view/741293-0" TargetMode="External"/><Relationship Id="rId1720" Type="http://schemas.openxmlformats.org/officeDocument/2006/relationships/hyperlink" Target="https://webagentes.canaldirecto.com.ar/incidents/view/745747-4" TargetMode="External"/><Relationship Id="rId12" Type="http://schemas.openxmlformats.org/officeDocument/2006/relationships/hyperlink" Target="https://webagentes.canaldirecto.com.ar/incidents/view/662712-8" TargetMode="External"/><Relationship Id="rId3478" Type="http://schemas.openxmlformats.org/officeDocument/2006/relationships/hyperlink" Target="https://webagentes.canaldirecto.com.ar/incidents/view/814517-8" TargetMode="External"/><Relationship Id="rId3685" Type="http://schemas.openxmlformats.org/officeDocument/2006/relationships/hyperlink" Target="https://webagentes.canaldirecto.com.ar/incidents/view/821199-4" TargetMode="External"/><Relationship Id="rId3892" Type="http://schemas.openxmlformats.org/officeDocument/2006/relationships/hyperlink" Target="https://webagentes.canaldirecto.com.ar/incidents/view/831681-9" TargetMode="External"/><Relationship Id="rId399" Type="http://schemas.openxmlformats.org/officeDocument/2006/relationships/hyperlink" Target="https://webagentes.canaldirecto.com.ar/incidents/view/683703-5" TargetMode="External"/><Relationship Id="rId2287" Type="http://schemas.openxmlformats.org/officeDocument/2006/relationships/hyperlink" Target="https://webagentes.canaldirecto.com.ar/incidents/view/774099-4" TargetMode="External"/><Relationship Id="rId2494" Type="http://schemas.openxmlformats.org/officeDocument/2006/relationships/hyperlink" Target="https://webagentes.canaldirecto.com.ar/incidents/view/782677-1" TargetMode="External"/><Relationship Id="rId3338" Type="http://schemas.openxmlformats.org/officeDocument/2006/relationships/hyperlink" Target="https://webagentes.canaldirecto.com.ar/incidents/view/812490-8" TargetMode="External"/><Relationship Id="rId3545" Type="http://schemas.openxmlformats.org/officeDocument/2006/relationships/hyperlink" Target="https://webagentes.canaldirecto.com.ar/incidents/view/818522-8" TargetMode="External"/><Relationship Id="rId3752" Type="http://schemas.openxmlformats.org/officeDocument/2006/relationships/hyperlink" Target="https://webagentes.canaldirecto.com.ar/incidents/view/824664-4" TargetMode="External"/><Relationship Id="rId259" Type="http://schemas.openxmlformats.org/officeDocument/2006/relationships/hyperlink" Target="https://webagentes.canaldirecto.com.ar/incidents/view/675620-8" TargetMode="External"/><Relationship Id="rId466" Type="http://schemas.openxmlformats.org/officeDocument/2006/relationships/hyperlink" Target="https://webagentes.canaldirecto.com.ar/incidents/view/684286-0" TargetMode="External"/><Relationship Id="rId673" Type="http://schemas.openxmlformats.org/officeDocument/2006/relationships/hyperlink" Target="https://webagentes.canaldirecto.com.ar/incidents/view/700079-9" TargetMode="External"/><Relationship Id="rId880" Type="http://schemas.openxmlformats.org/officeDocument/2006/relationships/hyperlink" Target="https://webagentes.canaldirecto.com.ar/incidents/view/713899-5" TargetMode="External"/><Relationship Id="rId1096" Type="http://schemas.openxmlformats.org/officeDocument/2006/relationships/hyperlink" Target="https://webagentes.canaldirecto.com.ar/incidents/view/720638-4" TargetMode="External"/><Relationship Id="rId2147" Type="http://schemas.openxmlformats.org/officeDocument/2006/relationships/hyperlink" Target="https://webagentes.canaldirecto.com.ar/incidents/view/760813-9" TargetMode="External"/><Relationship Id="rId2354" Type="http://schemas.openxmlformats.org/officeDocument/2006/relationships/hyperlink" Target="https://webagentes.canaldirecto.com.ar/incidents/view/775787-9" TargetMode="External"/><Relationship Id="rId2561" Type="http://schemas.openxmlformats.org/officeDocument/2006/relationships/hyperlink" Target="https://webagentes.canaldirecto.com.ar/incidents/view/785171-3" TargetMode="External"/><Relationship Id="rId3405" Type="http://schemas.openxmlformats.org/officeDocument/2006/relationships/hyperlink" Target="https://webagentes.canaldirecto.com.ar/incidents/view/810840-5" TargetMode="External"/><Relationship Id="rId119" Type="http://schemas.openxmlformats.org/officeDocument/2006/relationships/hyperlink" Target="https://webagentes.canaldirecto.com.ar/incidents/view/669248-7" TargetMode="External"/><Relationship Id="rId326" Type="http://schemas.openxmlformats.org/officeDocument/2006/relationships/hyperlink" Target="https://webagentes.canaldirecto.com.ar/incidents/view/664516-0" TargetMode="External"/><Relationship Id="rId533" Type="http://schemas.openxmlformats.org/officeDocument/2006/relationships/hyperlink" Target="https://webagentes.canaldirecto.com.ar/incidents/view/687988-2" TargetMode="External"/><Relationship Id="rId1163" Type="http://schemas.openxmlformats.org/officeDocument/2006/relationships/hyperlink" Target="https://webagentes.canaldirecto.com.ar/incidents/view/717272-2" TargetMode="External"/><Relationship Id="rId1370" Type="http://schemas.openxmlformats.org/officeDocument/2006/relationships/hyperlink" Target="https://webagentes.canaldirecto.com.ar/incidents/view/732797-9" TargetMode="External"/><Relationship Id="rId2007" Type="http://schemas.openxmlformats.org/officeDocument/2006/relationships/hyperlink" Target="https://webagentes.canaldirecto.com.ar/incidents/view/759065-4" TargetMode="External"/><Relationship Id="rId2214" Type="http://schemas.openxmlformats.org/officeDocument/2006/relationships/hyperlink" Target="https://webagentes.canaldirecto.com.ar/incidents/view/766879-7" TargetMode="External"/><Relationship Id="rId3612" Type="http://schemas.openxmlformats.org/officeDocument/2006/relationships/hyperlink" Target="https://webagentes.canaldirecto.com.ar/incidents/view/816856-8" TargetMode="External"/><Relationship Id="rId740" Type="http://schemas.openxmlformats.org/officeDocument/2006/relationships/hyperlink" Target="https://webagentes.canaldirecto.com.ar/incidents/view/701775-3" TargetMode="External"/><Relationship Id="rId1023" Type="http://schemas.openxmlformats.org/officeDocument/2006/relationships/hyperlink" Target="https://webagentes.canaldirecto.com.ar/incidents/view/716814-5" TargetMode="External"/><Relationship Id="rId2421" Type="http://schemas.openxmlformats.org/officeDocument/2006/relationships/hyperlink" Target="https://webagentes.canaldirecto.com.ar/incidents/view/779273-9" TargetMode="External"/><Relationship Id="rId600" Type="http://schemas.openxmlformats.org/officeDocument/2006/relationships/hyperlink" Target="https://webagentes.canaldirecto.com.ar/incidents/view/695012-3" TargetMode="External"/><Relationship Id="rId1230" Type="http://schemas.openxmlformats.org/officeDocument/2006/relationships/hyperlink" Target="https://webagentes.canaldirecto.com.ar/incidents/view/723780-7" TargetMode="External"/><Relationship Id="rId3195" Type="http://schemas.openxmlformats.org/officeDocument/2006/relationships/hyperlink" Target="https://webagentes.canaldirecto.com.ar/incidents/view/805014-4" TargetMode="External"/><Relationship Id="rId3055" Type="http://schemas.openxmlformats.org/officeDocument/2006/relationships/hyperlink" Target="https://webagentes.canaldirecto.com.ar/incidents/view/799031-3" TargetMode="External"/><Relationship Id="rId3262" Type="http://schemas.openxmlformats.org/officeDocument/2006/relationships/hyperlink" Target="https://webagentes.canaldirecto.com.ar/incidents/view/808568-1" TargetMode="External"/><Relationship Id="rId183" Type="http://schemas.openxmlformats.org/officeDocument/2006/relationships/hyperlink" Target="https://webagentes.canaldirecto.com.ar/incidents/view/671934-0" TargetMode="External"/><Relationship Id="rId390" Type="http://schemas.openxmlformats.org/officeDocument/2006/relationships/hyperlink" Target="https://webagentes.canaldirecto.com.ar/incidents/view/676823-0" TargetMode="External"/><Relationship Id="rId1907" Type="http://schemas.openxmlformats.org/officeDocument/2006/relationships/hyperlink" Target="https://webagentes.canaldirecto.com.ar/incidents/view/749084-0" TargetMode="External"/><Relationship Id="rId2071" Type="http://schemas.openxmlformats.org/officeDocument/2006/relationships/hyperlink" Target="https://webagentes.canaldirecto.com.ar/incidents/view/760115-4" TargetMode="External"/><Relationship Id="rId3122" Type="http://schemas.openxmlformats.org/officeDocument/2006/relationships/hyperlink" Target="https://webagentes.canaldirecto.com.ar/incidents/view/802413-0" TargetMode="External"/><Relationship Id="rId250" Type="http://schemas.openxmlformats.org/officeDocument/2006/relationships/hyperlink" Target="https://webagentes.canaldirecto.com.ar/incidents/view/676198-1" TargetMode="External"/><Relationship Id="rId110" Type="http://schemas.openxmlformats.org/officeDocument/2006/relationships/hyperlink" Target="https://webagentes.canaldirecto.com.ar/incidents/view/669380-2" TargetMode="External"/><Relationship Id="rId2888" Type="http://schemas.openxmlformats.org/officeDocument/2006/relationships/hyperlink" Target="https://webagentes.canaldirecto.com.ar/incidents/view/792076-7" TargetMode="External"/><Relationship Id="rId3939" Type="http://schemas.openxmlformats.org/officeDocument/2006/relationships/hyperlink" Target="https://webagentes.canaldirecto.com.ar/incidents/view/829505-7" TargetMode="External"/><Relationship Id="rId1697" Type="http://schemas.openxmlformats.org/officeDocument/2006/relationships/hyperlink" Target="https://webagentes.canaldirecto.com.ar/incidents/view/746253-7" TargetMode="External"/><Relationship Id="rId2748" Type="http://schemas.openxmlformats.org/officeDocument/2006/relationships/hyperlink" Target="https://webagentes.canaldirecto.com.ar/incidents/view/790378-8" TargetMode="External"/><Relationship Id="rId2955" Type="http://schemas.openxmlformats.org/officeDocument/2006/relationships/hyperlink" Target="https://webagentes.canaldirecto.com.ar/incidents/view/795870-6" TargetMode="External"/><Relationship Id="rId927" Type="http://schemas.openxmlformats.org/officeDocument/2006/relationships/hyperlink" Target="https://webagentes.canaldirecto.com.ar/incidents/view/712190-4" TargetMode="External"/><Relationship Id="rId1557" Type="http://schemas.openxmlformats.org/officeDocument/2006/relationships/hyperlink" Target="https://webagentes.canaldirecto.com.ar/incidents/view/744533-6" TargetMode="External"/><Relationship Id="rId1764" Type="http://schemas.openxmlformats.org/officeDocument/2006/relationships/hyperlink" Target="https://webagentes.canaldirecto.com.ar/incidents/view/749318-4" TargetMode="External"/><Relationship Id="rId1971" Type="http://schemas.openxmlformats.org/officeDocument/2006/relationships/hyperlink" Target="https://webagentes.canaldirecto.com.ar/incidents/view/755183-1" TargetMode="External"/><Relationship Id="rId2608" Type="http://schemas.openxmlformats.org/officeDocument/2006/relationships/hyperlink" Target="https://webagentes.canaldirecto.com.ar/incidents/view/782280-9" TargetMode="External"/><Relationship Id="rId2815" Type="http://schemas.openxmlformats.org/officeDocument/2006/relationships/hyperlink" Target="https://webagentes.canaldirecto.com.ar/incidents/view/794390-8" TargetMode="External"/><Relationship Id="rId56" Type="http://schemas.openxmlformats.org/officeDocument/2006/relationships/hyperlink" Target="https://webagentes.canaldirecto.com.ar/incidents/view/667017-5" TargetMode="External"/><Relationship Id="rId1417" Type="http://schemas.openxmlformats.org/officeDocument/2006/relationships/hyperlink" Target="https://webagentes.canaldirecto.com.ar/incidents/view/736248-6" TargetMode="External"/><Relationship Id="rId1624" Type="http://schemas.openxmlformats.org/officeDocument/2006/relationships/hyperlink" Target="https://webagentes.canaldirecto.com.ar/incidents/view/743482-6" TargetMode="External"/><Relationship Id="rId1831" Type="http://schemas.openxmlformats.org/officeDocument/2006/relationships/hyperlink" Target="https://webagentes.canaldirecto.com.ar/incidents/view/747062-4" TargetMode="External"/><Relationship Id="rId3077" Type="http://schemas.openxmlformats.org/officeDocument/2006/relationships/hyperlink" Target="https://webagentes.canaldirecto.com.ar/incidents/view/798249-3" TargetMode="External"/><Relationship Id="rId3284" Type="http://schemas.openxmlformats.org/officeDocument/2006/relationships/hyperlink" Target="https://webagentes.canaldirecto.com.ar/incidents/view/807113-8" TargetMode="External"/><Relationship Id="rId1929" Type="http://schemas.openxmlformats.org/officeDocument/2006/relationships/hyperlink" Target="https://webagentes.canaldirecto.com.ar/incidents/view/752890-3" TargetMode="External"/><Relationship Id="rId2093" Type="http://schemas.openxmlformats.org/officeDocument/2006/relationships/hyperlink" Target="https://webagentes.canaldirecto.com.ar/incidents/view/758668-8" TargetMode="External"/><Relationship Id="rId3491" Type="http://schemas.openxmlformats.org/officeDocument/2006/relationships/hyperlink" Target="https://webagentes.canaldirecto.com.ar/incidents/view/814051-7" TargetMode="External"/><Relationship Id="rId3589" Type="http://schemas.openxmlformats.org/officeDocument/2006/relationships/hyperlink" Target="https://webagentes.canaldirecto.com.ar/incidents/view/817724-7" TargetMode="External"/><Relationship Id="rId3796" Type="http://schemas.openxmlformats.org/officeDocument/2006/relationships/hyperlink" Target="https://webagentes.canaldirecto.com.ar/incidents/view/822799-5" TargetMode="External"/><Relationship Id="rId2398" Type="http://schemas.openxmlformats.org/officeDocument/2006/relationships/hyperlink" Target="https://webagentes.canaldirecto.com.ar/incidents/view/779742-4" TargetMode="External"/><Relationship Id="rId3144" Type="http://schemas.openxmlformats.org/officeDocument/2006/relationships/hyperlink" Target="https://webagentes.canaldirecto.com.ar/incidents/view/801332-9" TargetMode="External"/><Relationship Id="rId3351" Type="http://schemas.openxmlformats.org/officeDocument/2006/relationships/hyperlink" Target="https://webagentes.canaldirecto.com.ar/incidents/view/812176-1" TargetMode="External"/><Relationship Id="rId3449" Type="http://schemas.openxmlformats.org/officeDocument/2006/relationships/hyperlink" Target="https://webagentes.canaldirecto.com.ar/incidents/view/816252-8" TargetMode="External"/><Relationship Id="rId272" Type="http://schemas.openxmlformats.org/officeDocument/2006/relationships/hyperlink" Target="https://webagentes.canaldirecto.com.ar/incidents/view/675555-5" TargetMode="External"/><Relationship Id="rId577" Type="http://schemas.openxmlformats.org/officeDocument/2006/relationships/hyperlink" Target="https://webagentes.canaldirecto.com.ar/incidents/view/690403-6" TargetMode="External"/><Relationship Id="rId2160" Type="http://schemas.openxmlformats.org/officeDocument/2006/relationships/hyperlink" Target="https://webagentes.canaldirecto.com.ar/incidents/view/765922-1" TargetMode="External"/><Relationship Id="rId2258" Type="http://schemas.openxmlformats.org/officeDocument/2006/relationships/hyperlink" Target="https://webagentes.canaldirecto.com.ar/incidents/view/769864-6" TargetMode="External"/><Relationship Id="rId3004" Type="http://schemas.openxmlformats.org/officeDocument/2006/relationships/hyperlink" Target="https://webagentes.canaldirecto.com.ar/incidents/view/800118-4" TargetMode="External"/><Relationship Id="rId3211" Type="http://schemas.openxmlformats.org/officeDocument/2006/relationships/hyperlink" Target="https://webagentes.canaldirecto.com.ar/incidents/view/804324-1" TargetMode="External"/><Relationship Id="rId3656" Type="http://schemas.openxmlformats.org/officeDocument/2006/relationships/hyperlink" Target="https://webagentes.canaldirecto.com.ar/incidents/view/822070-7" TargetMode="External"/><Relationship Id="rId3863" Type="http://schemas.openxmlformats.org/officeDocument/2006/relationships/hyperlink" Target="https://webagentes.canaldirecto.com.ar/incidents/view/825956-9" TargetMode="External"/><Relationship Id="rId132" Type="http://schemas.openxmlformats.org/officeDocument/2006/relationships/hyperlink" Target="https://webagentes.canaldirecto.com.ar/incidents/view/668592-8" TargetMode="External"/><Relationship Id="rId784" Type="http://schemas.openxmlformats.org/officeDocument/2006/relationships/hyperlink" Target="https://webagentes.canaldirecto.com.ar/incidents/view/705058-1" TargetMode="External"/><Relationship Id="rId991" Type="http://schemas.openxmlformats.org/officeDocument/2006/relationships/hyperlink" Target="https://webagentes.canaldirecto.com.ar/incidents/view/717429-8" TargetMode="External"/><Relationship Id="rId1067" Type="http://schemas.openxmlformats.org/officeDocument/2006/relationships/hyperlink" Target="https://webagentes.canaldirecto.com.ar/incidents/view/716131-9" TargetMode="External"/><Relationship Id="rId2020" Type="http://schemas.openxmlformats.org/officeDocument/2006/relationships/hyperlink" Target="https://webagentes.canaldirecto.com.ar/incidents/view/757486-9" TargetMode="External"/><Relationship Id="rId2465" Type="http://schemas.openxmlformats.org/officeDocument/2006/relationships/hyperlink" Target="https://webagentes.canaldirecto.com.ar/incidents/view/777405-2" TargetMode="External"/><Relationship Id="rId2672" Type="http://schemas.openxmlformats.org/officeDocument/2006/relationships/hyperlink" Target="https://webagentes.canaldirecto.com.ar/incidents/view/789225-1" TargetMode="External"/><Relationship Id="rId3309" Type="http://schemas.openxmlformats.org/officeDocument/2006/relationships/hyperlink" Target="https://webagentes.canaldirecto.com.ar/incidents/view/813008-8" TargetMode="External"/><Relationship Id="rId3516" Type="http://schemas.openxmlformats.org/officeDocument/2006/relationships/hyperlink" Target="https://webagentes.canaldirecto.com.ar/incidents/view/819579-3" TargetMode="External"/><Relationship Id="rId3723" Type="http://schemas.openxmlformats.org/officeDocument/2006/relationships/hyperlink" Target="https://webagentes.canaldirecto.com.ar/incidents/view/818425-6" TargetMode="External"/><Relationship Id="rId3930" Type="http://schemas.openxmlformats.org/officeDocument/2006/relationships/hyperlink" Target="https://webagentes.canaldirecto.com.ar/incidents/view/829808-1" TargetMode="External"/><Relationship Id="rId437" Type="http://schemas.openxmlformats.org/officeDocument/2006/relationships/hyperlink" Target="https://webagentes.canaldirecto.com.ar/incidents/view/686017-6" TargetMode="External"/><Relationship Id="rId644" Type="http://schemas.openxmlformats.org/officeDocument/2006/relationships/hyperlink" Target="https://webagentes.canaldirecto.com.ar/incidents/view/697441-5" TargetMode="External"/><Relationship Id="rId851" Type="http://schemas.openxmlformats.org/officeDocument/2006/relationships/hyperlink" Target="https://webagentes.canaldirecto.com.ar/incidents/view/708352-5" TargetMode="External"/><Relationship Id="rId1274" Type="http://schemas.openxmlformats.org/officeDocument/2006/relationships/hyperlink" Target="https://webagentes.canaldirecto.com.ar/incidents/view/727324-3" TargetMode="External"/><Relationship Id="rId1481" Type="http://schemas.openxmlformats.org/officeDocument/2006/relationships/hyperlink" Target="https://webagentes.canaldirecto.com.ar/incidents/view/737512-5" TargetMode="External"/><Relationship Id="rId1579" Type="http://schemas.openxmlformats.org/officeDocument/2006/relationships/hyperlink" Target="https://webagentes.canaldirecto.com.ar/incidents/view/744266-7" TargetMode="External"/><Relationship Id="rId2118" Type="http://schemas.openxmlformats.org/officeDocument/2006/relationships/hyperlink" Target="https://webagentes.canaldirecto.com.ar/incidents/view/762493-3" TargetMode="External"/><Relationship Id="rId2325" Type="http://schemas.openxmlformats.org/officeDocument/2006/relationships/hyperlink" Target="https://webagentes.canaldirecto.com.ar/incidents/view/771703-9" TargetMode="External"/><Relationship Id="rId2532" Type="http://schemas.openxmlformats.org/officeDocument/2006/relationships/hyperlink" Target="https://webagentes.canaldirecto.com.ar/incidents/view/781230-7" TargetMode="External"/><Relationship Id="rId2977" Type="http://schemas.openxmlformats.org/officeDocument/2006/relationships/hyperlink" Target="https://webagentes.canaldirecto.com.ar/incidents/view/795572-7" TargetMode="External"/><Relationship Id="rId504" Type="http://schemas.openxmlformats.org/officeDocument/2006/relationships/hyperlink" Target="https://webagentes.canaldirecto.com.ar/incidents/view/689375-8" TargetMode="External"/><Relationship Id="rId711" Type="http://schemas.openxmlformats.org/officeDocument/2006/relationships/hyperlink" Target="https://webagentes.canaldirecto.com.ar/incidents/view/703445-9" TargetMode="External"/><Relationship Id="rId949" Type="http://schemas.openxmlformats.org/officeDocument/2006/relationships/hyperlink" Target="https://webagentes.canaldirecto.com.ar/incidents/view/712031-2" TargetMode="External"/><Relationship Id="rId1134" Type="http://schemas.openxmlformats.org/officeDocument/2006/relationships/hyperlink" Target="https://webagentes.canaldirecto.com.ar/incidents/view/719084-3" TargetMode="External"/><Relationship Id="rId1341" Type="http://schemas.openxmlformats.org/officeDocument/2006/relationships/hyperlink" Target="https://webagentes.canaldirecto.com.ar/incidents/view/728717-6" TargetMode="External"/><Relationship Id="rId1786" Type="http://schemas.openxmlformats.org/officeDocument/2006/relationships/hyperlink" Target="https://webagentes.canaldirecto.com.ar/incidents/view/748682-9" TargetMode="External"/><Relationship Id="rId1993" Type="http://schemas.openxmlformats.org/officeDocument/2006/relationships/hyperlink" Target="https://webagentes.canaldirecto.com.ar/incidents/view/754356-8" TargetMode="External"/><Relationship Id="rId2837" Type="http://schemas.openxmlformats.org/officeDocument/2006/relationships/hyperlink" Target="https://webagentes.canaldirecto.com.ar/incidents/view/793916-3" TargetMode="External"/><Relationship Id="rId78" Type="http://schemas.openxmlformats.org/officeDocument/2006/relationships/hyperlink" Target="https://webagentes.canaldirecto.com.ar/incidents/view/665197-6" TargetMode="External"/><Relationship Id="rId809" Type="http://schemas.openxmlformats.org/officeDocument/2006/relationships/hyperlink" Target="https://webagentes.canaldirecto.com.ar/incidents/view/711310-9" TargetMode="External"/><Relationship Id="rId1201" Type="http://schemas.openxmlformats.org/officeDocument/2006/relationships/hyperlink" Target="https://webagentes.canaldirecto.com.ar/incidents/view/721297-8" TargetMode="External"/><Relationship Id="rId1439" Type="http://schemas.openxmlformats.org/officeDocument/2006/relationships/hyperlink" Target="https://webagentes.canaldirecto.com.ar/incidents/view/735356-7" TargetMode="External"/><Relationship Id="rId1646" Type="http://schemas.openxmlformats.org/officeDocument/2006/relationships/hyperlink" Target="https://webagentes.canaldirecto.com.ar/incidents/view/742587-3" TargetMode="External"/><Relationship Id="rId1853" Type="http://schemas.openxmlformats.org/officeDocument/2006/relationships/hyperlink" Target="https://webagentes.canaldirecto.com.ar/incidents/view/751535-2" TargetMode="External"/><Relationship Id="rId2904" Type="http://schemas.openxmlformats.org/officeDocument/2006/relationships/hyperlink" Target="https://webagentes.canaldirecto.com.ar/incidents/view/797549-3" TargetMode="External"/><Relationship Id="rId3099" Type="http://schemas.openxmlformats.org/officeDocument/2006/relationships/hyperlink" Target="https://webagentes.canaldirecto.com.ar/incidents/view/803257-3" TargetMode="External"/><Relationship Id="rId1506" Type="http://schemas.openxmlformats.org/officeDocument/2006/relationships/hyperlink" Target="https://webagentes.canaldirecto.com.ar/incidents/view/736259-2" TargetMode="External"/><Relationship Id="rId1713" Type="http://schemas.openxmlformats.org/officeDocument/2006/relationships/hyperlink" Target="https://webagentes.canaldirecto.com.ar/incidents/view/745853-4" TargetMode="External"/><Relationship Id="rId1920" Type="http://schemas.openxmlformats.org/officeDocument/2006/relationships/hyperlink" Target="https://webagentes.canaldirecto.com.ar/incidents/view/753242-9" TargetMode="External"/><Relationship Id="rId3166" Type="http://schemas.openxmlformats.org/officeDocument/2006/relationships/hyperlink" Target="https://webagentes.canaldirecto.com.ar/incidents/view/796062-2" TargetMode="External"/><Relationship Id="rId3373" Type="http://schemas.openxmlformats.org/officeDocument/2006/relationships/hyperlink" Target="https://webagentes.canaldirecto.com.ar/incidents/view/811682-0" TargetMode="External"/><Relationship Id="rId3580" Type="http://schemas.openxmlformats.org/officeDocument/2006/relationships/hyperlink" Target="https://webagentes.canaldirecto.com.ar/incidents/view/817868-0" TargetMode="External"/><Relationship Id="rId294" Type="http://schemas.openxmlformats.org/officeDocument/2006/relationships/hyperlink" Target="https://webagentes.canaldirecto.com.ar/incidents/view/674650-2" TargetMode="External"/><Relationship Id="rId2182" Type="http://schemas.openxmlformats.org/officeDocument/2006/relationships/hyperlink" Target="https://webagentes.canaldirecto.com.ar/incidents/view/763642-4" TargetMode="External"/><Relationship Id="rId3026" Type="http://schemas.openxmlformats.org/officeDocument/2006/relationships/hyperlink" Target="https://webagentes.canaldirecto.com.ar/incidents/view/799772-3" TargetMode="External"/><Relationship Id="rId3233" Type="http://schemas.openxmlformats.org/officeDocument/2006/relationships/hyperlink" Target="https://webagentes.canaldirecto.com.ar/incidents/view/809580-0" TargetMode="External"/><Relationship Id="rId3678" Type="http://schemas.openxmlformats.org/officeDocument/2006/relationships/hyperlink" Target="https://webagentes.canaldirecto.com.ar/incidents/view/821565-3" TargetMode="External"/><Relationship Id="rId3885" Type="http://schemas.openxmlformats.org/officeDocument/2006/relationships/hyperlink" Target="https://webagentes.canaldirecto.com.ar/incidents/view/820859-2" TargetMode="External"/><Relationship Id="rId154" Type="http://schemas.openxmlformats.org/officeDocument/2006/relationships/hyperlink" Target="https://webagentes.canaldirecto.com.ar/incidents/view/673499-6" TargetMode="External"/><Relationship Id="rId361" Type="http://schemas.openxmlformats.org/officeDocument/2006/relationships/hyperlink" Target="https://webagentes.canaldirecto.com.ar/incidents/view/678235-5" TargetMode="External"/><Relationship Id="rId599" Type="http://schemas.openxmlformats.org/officeDocument/2006/relationships/hyperlink" Target="https://webagentes.canaldirecto.com.ar/incidents/view/695070-7" TargetMode="External"/><Relationship Id="rId2042" Type="http://schemas.openxmlformats.org/officeDocument/2006/relationships/hyperlink" Target="https://webagentes.canaldirecto.com.ar/incidents/view/760865-2" TargetMode="External"/><Relationship Id="rId2487" Type="http://schemas.openxmlformats.org/officeDocument/2006/relationships/hyperlink" Target="https://webagentes.canaldirecto.com.ar/incidents/view/782737-2" TargetMode="External"/><Relationship Id="rId2694" Type="http://schemas.openxmlformats.org/officeDocument/2006/relationships/hyperlink" Target="https://webagentes.canaldirecto.com.ar/incidents/view/788342-0" TargetMode="External"/><Relationship Id="rId3440" Type="http://schemas.openxmlformats.org/officeDocument/2006/relationships/hyperlink" Target="https://webagentes.canaldirecto.com.ar/incidents/view/816285-6" TargetMode="External"/><Relationship Id="rId3538" Type="http://schemas.openxmlformats.org/officeDocument/2006/relationships/hyperlink" Target="https://webagentes.canaldirecto.com.ar/incidents/view/818676-8" TargetMode="External"/><Relationship Id="rId3745" Type="http://schemas.openxmlformats.org/officeDocument/2006/relationships/hyperlink" Target="https://webagentes.canaldirecto.com.ar/incidents/view/824671-4" TargetMode="External"/><Relationship Id="rId459" Type="http://schemas.openxmlformats.org/officeDocument/2006/relationships/hyperlink" Target="https://webagentes.canaldirecto.com.ar/incidents/view/684414-1" TargetMode="External"/><Relationship Id="rId666" Type="http://schemas.openxmlformats.org/officeDocument/2006/relationships/hyperlink" Target="https://webagentes.canaldirecto.com.ar/incidents/view/700970-9" TargetMode="External"/><Relationship Id="rId873" Type="http://schemas.openxmlformats.org/officeDocument/2006/relationships/hyperlink" Target="https://webagentes.canaldirecto.com.ar/incidents/view/706316-9" TargetMode="External"/><Relationship Id="rId1089" Type="http://schemas.openxmlformats.org/officeDocument/2006/relationships/hyperlink" Target="https://webagentes.canaldirecto.com.ar/incidents/view/720777-2" TargetMode="External"/><Relationship Id="rId1296" Type="http://schemas.openxmlformats.org/officeDocument/2006/relationships/hyperlink" Target="https://webagentes.canaldirecto.com.ar/incidents/view/726205-2" TargetMode="External"/><Relationship Id="rId2347" Type="http://schemas.openxmlformats.org/officeDocument/2006/relationships/hyperlink" Target="https://webagentes.canaldirecto.com.ar/incidents/view/776025-3" TargetMode="External"/><Relationship Id="rId2554" Type="http://schemas.openxmlformats.org/officeDocument/2006/relationships/hyperlink" Target="https://webagentes.canaldirecto.com.ar/incidents/view/779268-7" TargetMode="External"/><Relationship Id="rId2999" Type="http://schemas.openxmlformats.org/officeDocument/2006/relationships/hyperlink" Target="https://webagentes.canaldirecto.com.ar/incidents/view/800342-9" TargetMode="External"/><Relationship Id="rId3300" Type="http://schemas.openxmlformats.org/officeDocument/2006/relationships/hyperlink" Target="https://webagentes.canaldirecto.com.ar/incidents/view/813624-0" TargetMode="External"/><Relationship Id="rId3952" Type="http://schemas.openxmlformats.org/officeDocument/2006/relationships/hyperlink" Target="https://webagentes.canaldirecto.com.ar/incidents/view/829410-0" TargetMode="External"/><Relationship Id="rId221" Type="http://schemas.openxmlformats.org/officeDocument/2006/relationships/hyperlink" Target="https://webagentes.canaldirecto.com.ar/incidents/view/662359-3" TargetMode="External"/><Relationship Id="rId319" Type="http://schemas.openxmlformats.org/officeDocument/2006/relationships/hyperlink" Target="https://webagentes.canaldirecto.com.ar/incidents/view/673636-5" TargetMode="External"/><Relationship Id="rId526" Type="http://schemas.openxmlformats.org/officeDocument/2006/relationships/hyperlink" Target="https://webagentes.canaldirecto.com.ar/incidents/view/688078-1" TargetMode="External"/><Relationship Id="rId1156" Type="http://schemas.openxmlformats.org/officeDocument/2006/relationships/hyperlink" Target="https://webagentes.canaldirecto.com.ar/incidents/view/717662-1" TargetMode="External"/><Relationship Id="rId1363" Type="http://schemas.openxmlformats.org/officeDocument/2006/relationships/hyperlink" Target="https://webagentes.canaldirecto.com.ar/incidents/view/732804-8" TargetMode="External"/><Relationship Id="rId2207" Type="http://schemas.openxmlformats.org/officeDocument/2006/relationships/hyperlink" Target="https://webagentes.canaldirecto.com.ar/incidents/view/767255-0" TargetMode="External"/><Relationship Id="rId2761" Type="http://schemas.openxmlformats.org/officeDocument/2006/relationships/hyperlink" Target="https://webagentes.canaldirecto.com.ar/incidents/view/789942-1" TargetMode="External"/><Relationship Id="rId2859" Type="http://schemas.openxmlformats.org/officeDocument/2006/relationships/hyperlink" Target="https://webagentes.canaldirecto.com.ar/incidents/view/792878-7" TargetMode="External"/><Relationship Id="rId3605" Type="http://schemas.openxmlformats.org/officeDocument/2006/relationships/hyperlink" Target="https://webagentes.canaldirecto.com.ar/incidents/view/817318-0" TargetMode="External"/><Relationship Id="rId3812" Type="http://schemas.openxmlformats.org/officeDocument/2006/relationships/hyperlink" Target="https://webagentes.canaldirecto.com.ar/incidents/view/827922-6" TargetMode="External"/><Relationship Id="rId733" Type="http://schemas.openxmlformats.org/officeDocument/2006/relationships/hyperlink" Target="https://webagentes.canaldirecto.com.ar/incidents/view/701994-6" TargetMode="External"/><Relationship Id="rId940" Type="http://schemas.openxmlformats.org/officeDocument/2006/relationships/hyperlink" Target="https://webagentes.canaldirecto.com.ar/incidents/view/712040-0" TargetMode="External"/><Relationship Id="rId1016" Type="http://schemas.openxmlformats.org/officeDocument/2006/relationships/hyperlink" Target="https://webagentes.canaldirecto.com.ar/incidents/view/716888-0" TargetMode="External"/><Relationship Id="rId1570" Type="http://schemas.openxmlformats.org/officeDocument/2006/relationships/hyperlink" Target="https://webagentes.canaldirecto.com.ar/incidents/view/744275-5" TargetMode="External"/><Relationship Id="rId1668" Type="http://schemas.openxmlformats.org/officeDocument/2006/relationships/hyperlink" Target="https://webagentes.canaldirecto.com.ar/incidents/view/746801-8" TargetMode="External"/><Relationship Id="rId1875" Type="http://schemas.openxmlformats.org/officeDocument/2006/relationships/hyperlink" Target="https://webagentes.canaldirecto.com.ar/incidents/view/750685-9" TargetMode="External"/><Relationship Id="rId2414" Type="http://schemas.openxmlformats.org/officeDocument/2006/relationships/hyperlink" Target="https://webagentes.canaldirecto.com.ar/incidents/view/779283-6" TargetMode="External"/><Relationship Id="rId2621" Type="http://schemas.openxmlformats.org/officeDocument/2006/relationships/hyperlink" Target="https://webagentes.canaldirecto.com.ar/incidents/view/787017-0" TargetMode="External"/><Relationship Id="rId2719" Type="http://schemas.openxmlformats.org/officeDocument/2006/relationships/hyperlink" Target="https://webagentes.canaldirecto.com.ar/incidents/view/787333-5" TargetMode="External"/><Relationship Id="rId800" Type="http://schemas.openxmlformats.org/officeDocument/2006/relationships/hyperlink" Target="https://webagentes.canaldirecto.com.ar/incidents/view/704191-8" TargetMode="External"/><Relationship Id="rId1223" Type="http://schemas.openxmlformats.org/officeDocument/2006/relationships/hyperlink" Target="https://webagentes.canaldirecto.com.ar/incidents/view/724857-5" TargetMode="External"/><Relationship Id="rId1430" Type="http://schemas.openxmlformats.org/officeDocument/2006/relationships/hyperlink" Target="https://webagentes.canaldirecto.com.ar/incidents/view/735618-4" TargetMode="External"/><Relationship Id="rId1528" Type="http://schemas.openxmlformats.org/officeDocument/2006/relationships/hyperlink" Target="https://webagentes.canaldirecto.com.ar/incidents/view/741182-5" TargetMode="External"/><Relationship Id="rId2926" Type="http://schemas.openxmlformats.org/officeDocument/2006/relationships/hyperlink" Target="https://webagentes.canaldirecto.com.ar/incidents/view/796882-8" TargetMode="External"/><Relationship Id="rId3090" Type="http://schemas.openxmlformats.org/officeDocument/2006/relationships/hyperlink" Target="https://webagentes.canaldirecto.com.ar/incidents/view/794406-8" TargetMode="External"/><Relationship Id="rId1735" Type="http://schemas.openxmlformats.org/officeDocument/2006/relationships/hyperlink" Target="https://webagentes.canaldirecto.com.ar/incidents/view/745583-8" TargetMode="External"/><Relationship Id="rId1942" Type="http://schemas.openxmlformats.org/officeDocument/2006/relationships/hyperlink" Target="https://webagentes.canaldirecto.com.ar/incidents/view/751776-7" TargetMode="External"/><Relationship Id="rId3188" Type="http://schemas.openxmlformats.org/officeDocument/2006/relationships/hyperlink" Target="https://webagentes.canaldirecto.com.ar/incidents/view/805536-1" TargetMode="External"/><Relationship Id="rId3395" Type="http://schemas.openxmlformats.org/officeDocument/2006/relationships/hyperlink" Target="https://webagentes.canaldirecto.com.ar/incidents/view/810989-3" TargetMode="External"/><Relationship Id="rId27" Type="http://schemas.openxmlformats.org/officeDocument/2006/relationships/hyperlink" Target="https://webagentes.canaldirecto.com.ar/incidents/view/662513-9" TargetMode="External"/><Relationship Id="rId1802" Type="http://schemas.openxmlformats.org/officeDocument/2006/relationships/hyperlink" Target="https://webagentes.canaldirecto.com.ar/incidents/view/748510-3" TargetMode="External"/><Relationship Id="rId3048" Type="http://schemas.openxmlformats.org/officeDocument/2006/relationships/hyperlink" Target="https://webagentes.canaldirecto.com.ar/incidents/view/799346-2" TargetMode="External"/><Relationship Id="rId3255" Type="http://schemas.openxmlformats.org/officeDocument/2006/relationships/hyperlink" Target="https://webagentes.canaldirecto.com.ar/incidents/view/808959-9" TargetMode="External"/><Relationship Id="rId3462" Type="http://schemas.openxmlformats.org/officeDocument/2006/relationships/hyperlink" Target="https://webagentes.canaldirecto.com.ar/incidents/view/815673-0" TargetMode="External"/><Relationship Id="rId176" Type="http://schemas.openxmlformats.org/officeDocument/2006/relationships/hyperlink" Target="https://webagentes.canaldirecto.com.ar/incidents/view/672105-3" TargetMode="External"/><Relationship Id="rId383" Type="http://schemas.openxmlformats.org/officeDocument/2006/relationships/hyperlink" Target="https://webagentes.canaldirecto.com.ar/incidents/view/677719-5" TargetMode="External"/><Relationship Id="rId590" Type="http://schemas.openxmlformats.org/officeDocument/2006/relationships/hyperlink" Target="https://webagentes.canaldirecto.com.ar/incidents/view/690263-0" TargetMode="External"/><Relationship Id="rId2064" Type="http://schemas.openxmlformats.org/officeDocument/2006/relationships/hyperlink" Target="https://webagentes.canaldirecto.com.ar/incidents/view/760774-1" TargetMode="External"/><Relationship Id="rId2271" Type="http://schemas.openxmlformats.org/officeDocument/2006/relationships/hyperlink" Target="https://webagentes.canaldirecto.com.ar/incidents/view/768876-4" TargetMode="External"/><Relationship Id="rId3115" Type="http://schemas.openxmlformats.org/officeDocument/2006/relationships/hyperlink" Target="https://webagentes.canaldirecto.com.ar/incidents/view/802466-2" TargetMode="External"/><Relationship Id="rId3322" Type="http://schemas.openxmlformats.org/officeDocument/2006/relationships/hyperlink" Target="https://webagentes.canaldirecto.com.ar/incidents/view/812856-0" TargetMode="External"/><Relationship Id="rId3767" Type="http://schemas.openxmlformats.org/officeDocument/2006/relationships/hyperlink" Target="https://webagentes.canaldirecto.com.ar/incidents/view/824130-2" TargetMode="External"/><Relationship Id="rId3974" Type="http://schemas.openxmlformats.org/officeDocument/2006/relationships/printerSettings" Target="../printerSettings/printerSettings4.bin"/><Relationship Id="rId243" Type="http://schemas.openxmlformats.org/officeDocument/2006/relationships/hyperlink" Target="https://webagentes.canaldirecto.com.ar/incidents/view/676747-1" TargetMode="External"/><Relationship Id="rId450" Type="http://schemas.openxmlformats.org/officeDocument/2006/relationships/hyperlink" Target="https://webagentes.canaldirecto.com.ar/incidents/view/685193-8" TargetMode="External"/><Relationship Id="rId688" Type="http://schemas.openxmlformats.org/officeDocument/2006/relationships/hyperlink" Target="https://webagentes.canaldirecto.com.ar/incidents/view/698819-9" TargetMode="External"/><Relationship Id="rId895" Type="http://schemas.openxmlformats.org/officeDocument/2006/relationships/hyperlink" Target="https://webagentes.canaldirecto.com.ar/incidents/view/712860-6" TargetMode="External"/><Relationship Id="rId1080" Type="http://schemas.openxmlformats.org/officeDocument/2006/relationships/hyperlink" Target="https://webagentes.canaldirecto.com.ar/incidents/view/714538-4" TargetMode="External"/><Relationship Id="rId2131" Type="http://schemas.openxmlformats.org/officeDocument/2006/relationships/hyperlink" Target="https://webagentes.canaldirecto.com.ar/incidents/view/761972-8" TargetMode="External"/><Relationship Id="rId2369" Type="http://schemas.openxmlformats.org/officeDocument/2006/relationships/hyperlink" Target="https://webagentes.canaldirecto.com.ar/incidents/view/780443-2" TargetMode="External"/><Relationship Id="rId2576" Type="http://schemas.openxmlformats.org/officeDocument/2006/relationships/hyperlink" Target="https://webagentes.canaldirecto.com.ar/incidents/view/783612-1" TargetMode="External"/><Relationship Id="rId2783" Type="http://schemas.openxmlformats.org/officeDocument/2006/relationships/hyperlink" Target="https://webagentes.canaldirecto.com.ar/incidents/view/791173-2" TargetMode="External"/><Relationship Id="rId2990" Type="http://schemas.openxmlformats.org/officeDocument/2006/relationships/hyperlink" Target="https://webagentes.canaldirecto.com.ar/incidents/view/794764-9" TargetMode="External"/><Relationship Id="rId3627" Type="http://schemas.openxmlformats.org/officeDocument/2006/relationships/hyperlink" Target="https://webagentes.canaldirecto.com.ar/incidents/view/816724-0" TargetMode="External"/><Relationship Id="rId3834" Type="http://schemas.openxmlformats.org/officeDocument/2006/relationships/hyperlink" Target="https://webagentes.canaldirecto.com.ar/incidents/view/827144-6" TargetMode="External"/><Relationship Id="rId103" Type="http://schemas.openxmlformats.org/officeDocument/2006/relationships/hyperlink" Target="https://webagentes.canaldirecto.com.ar/incidents/view/669387-5" TargetMode="External"/><Relationship Id="rId310" Type="http://schemas.openxmlformats.org/officeDocument/2006/relationships/hyperlink" Target="https://webagentes.canaldirecto.com.ar/incidents/view/674125-1" TargetMode="External"/><Relationship Id="rId548" Type="http://schemas.openxmlformats.org/officeDocument/2006/relationships/hyperlink" Target="https://webagentes.canaldirecto.com.ar/incidents/view/686430-3" TargetMode="External"/><Relationship Id="rId755" Type="http://schemas.openxmlformats.org/officeDocument/2006/relationships/hyperlink" Target="https://webagentes.canaldirecto.com.ar/incidents/view/692616-2" TargetMode="External"/><Relationship Id="rId962" Type="http://schemas.openxmlformats.org/officeDocument/2006/relationships/hyperlink" Target="https://webagentes.canaldirecto.com.ar/incidents/view/711784-0" TargetMode="External"/><Relationship Id="rId1178" Type="http://schemas.openxmlformats.org/officeDocument/2006/relationships/hyperlink" Target="https://webagentes.canaldirecto.com.ar/incidents/view/722060-3" TargetMode="External"/><Relationship Id="rId1385" Type="http://schemas.openxmlformats.org/officeDocument/2006/relationships/hyperlink" Target="https://webagentes.canaldirecto.com.ar/incidents/view/732642-0" TargetMode="External"/><Relationship Id="rId1592" Type="http://schemas.openxmlformats.org/officeDocument/2006/relationships/hyperlink" Target="https://webagentes.canaldirecto.com.ar/incidents/view/744005-8" TargetMode="External"/><Relationship Id="rId2229" Type="http://schemas.openxmlformats.org/officeDocument/2006/relationships/hyperlink" Target="https://webagentes.canaldirecto.com.ar/incidents/view/771082-3" TargetMode="External"/><Relationship Id="rId2436" Type="http://schemas.openxmlformats.org/officeDocument/2006/relationships/hyperlink" Target="https://webagentes.canaldirecto.com.ar/incidents/view/779141-1" TargetMode="External"/><Relationship Id="rId2643" Type="http://schemas.openxmlformats.org/officeDocument/2006/relationships/hyperlink" Target="https://webagentes.canaldirecto.com.ar/incidents/view/786152-5" TargetMode="External"/><Relationship Id="rId2850" Type="http://schemas.openxmlformats.org/officeDocument/2006/relationships/hyperlink" Target="https://webagentes.canaldirecto.com.ar/incidents/view/793301-7" TargetMode="External"/><Relationship Id="rId91" Type="http://schemas.openxmlformats.org/officeDocument/2006/relationships/hyperlink" Target="https://webagentes.canaldirecto.com.ar/incidents/view/670082-9" TargetMode="External"/><Relationship Id="rId408" Type="http://schemas.openxmlformats.org/officeDocument/2006/relationships/hyperlink" Target="https://webagentes.canaldirecto.com.ar/incidents/view/682753-3" TargetMode="External"/><Relationship Id="rId615" Type="http://schemas.openxmlformats.org/officeDocument/2006/relationships/hyperlink" Target="https://webagentes.canaldirecto.com.ar/incidents/view/693810-3" TargetMode="External"/><Relationship Id="rId822" Type="http://schemas.openxmlformats.org/officeDocument/2006/relationships/hyperlink" Target="https://webagentes.canaldirecto.com.ar/incidents/view/710114-0" TargetMode="External"/><Relationship Id="rId1038" Type="http://schemas.openxmlformats.org/officeDocument/2006/relationships/hyperlink" Target="https://webagentes.canaldirecto.com.ar/incidents/view/716442-2" TargetMode="External"/><Relationship Id="rId1245" Type="http://schemas.openxmlformats.org/officeDocument/2006/relationships/hyperlink" Target="https://webagentes.canaldirecto.com.ar/incidents/view/720131-6" TargetMode="External"/><Relationship Id="rId1452" Type="http://schemas.openxmlformats.org/officeDocument/2006/relationships/hyperlink" Target="https://webagentes.canaldirecto.com.ar/incidents/view/734165-0" TargetMode="External"/><Relationship Id="rId1897" Type="http://schemas.openxmlformats.org/officeDocument/2006/relationships/hyperlink" Target="https://webagentes.canaldirecto.com.ar/incidents/view/749106-1" TargetMode="External"/><Relationship Id="rId2503" Type="http://schemas.openxmlformats.org/officeDocument/2006/relationships/hyperlink" Target="https://webagentes.canaldirecto.com.ar/incidents/view/782235-9" TargetMode="External"/><Relationship Id="rId2948" Type="http://schemas.openxmlformats.org/officeDocument/2006/relationships/hyperlink" Target="https://webagentes.canaldirecto.com.ar/incidents/view/795878-8" TargetMode="External"/><Relationship Id="rId3901" Type="http://schemas.openxmlformats.org/officeDocument/2006/relationships/hyperlink" Target="https://webagentes.canaldirecto.com.ar/incidents/view/830467-4" TargetMode="External"/><Relationship Id="rId1105" Type="http://schemas.openxmlformats.org/officeDocument/2006/relationships/hyperlink" Target="https://webagentes.canaldirecto.com.ar/incidents/view/720478-4" TargetMode="External"/><Relationship Id="rId1312" Type="http://schemas.openxmlformats.org/officeDocument/2006/relationships/hyperlink" Target="https://webagentes.canaldirecto.com.ar/incidents/view/730650-5" TargetMode="External"/><Relationship Id="rId1757" Type="http://schemas.openxmlformats.org/officeDocument/2006/relationships/hyperlink" Target="https://webagentes.canaldirecto.com.ar/incidents/view/741181-6" TargetMode="External"/><Relationship Id="rId1964" Type="http://schemas.openxmlformats.org/officeDocument/2006/relationships/hyperlink" Target="https://webagentes.canaldirecto.com.ar/incidents/view/755596-1" TargetMode="External"/><Relationship Id="rId2710" Type="http://schemas.openxmlformats.org/officeDocument/2006/relationships/hyperlink" Target="https://webagentes.canaldirecto.com.ar/incidents/view/788187-5" TargetMode="External"/><Relationship Id="rId2808" Type="http://schemas.openxmlformats.org/officeDocument/2006/relationships/hyperlink" Target="https://webagentes.canaldirecto.com.ar/incidents/view/794409-5" TargetMode="External"/><Relationship Id="rId49" Type="http://schemas.openxmlformats.org/officeDocument/2006/relationships/hyperlink" Target="https://webagentes.canaldirecto.com.ar/incidents/view/661610-4" TargetMode="External"/><Relationship Id="rId1617" Type="http://schemas.openxmlformats.org/officeDocument/2006/relationships/hyperlink" Target="https://webagentes.canaldirecto.com.ar/incidents/view/743493-2" TargetMode="External"/><Relationship Id="rId1824" Type="http://schemas.openxmlformats.org/officeDocument/2006/relationships/hyperlink" Target="https://webagentes.canaldirecto.com.ar/incidents/view/747816-7" TargetMode="External"/><Relationship Id="rId3277" Type="http://schemas.openxmlformats.org/officeDocument/2006/relationships/hyperlink" Target="https://webagentes.canaldirecto.com.ar/incidents/view/807456-0" TargetMode="External"/><Relationship Id="rId198" Type="http://schemas.openxmlformats.org/officeDocument/2006/relationships/hyperlink" Target="https://webagentes.canaldirecto.com.ar/incidents/view/670606-3" TargetMode="External"/><Relationship Id="rId2086" Type="http://schemas.openxmlformats.org/officeDocument/2006/relationships/hyperlink" Target="https://webagentes.canaldirecto.com.ar/incidents/view/759546-4" TargetMode="External"/><Relationship Id="rId3484" Type="http://schemas.openxmlformats.org/officeDocument/2006/relationships/hyperlink" Target="https://webagentes.canaldirecto.com.ar/incidents/view/814511-4" TargetMode="External"/><Relationship Id="rId3691" Type="http://schemas.openxmlformats.org/officeDocument/2006/relationships/hyperlink" Target="https://webagentes.canaldirecto.com.ar/incidents/view/820860-8" TargetMode="External"/><Relationship Id="rId3789" Type="http://schemas.openxmlformats.org/officeDocument/2006/relationships/hyperlink" Target="https://webagentes.canaldirecto.com.ar/incidents/view/823118-3" TargetMode="External"/><Relationship Id="rId2293" Type="http://schemas.openxmlformats.org/officeDocument/2006/relationships/hyperlink" Target="https://webagentes.canaldirecto.com.ar/incidents/view/773469-2" TargetMode="External"/><Relationship Id="rId2598" Type="http://schemas.openxmlformats.org/officeDocument/2006/relationships/hyperlink" Target="https://webagentes.canaldirecto.com.ar/incidents/view/783073-8" TargetMode="External"/><Relationship Id="rId3137" Type="http://schemas.openxmlformats.org/officeDocument/2006/relationships/hyperlink" Target="https://webagentes.canaldirecto.com.ar/incidents/view/801478-0" TargetMode="External"/><Relationship Id="rId3344" Type="http://schemas.openxmlformats.org/officeDocument/2006/relationships/hyperlink" Target="https://webagentes.canaldirecto.com.ar/incidents/view/812378-7" TargetMode="External"/><Relationship Id="rId3551" Type="http://schemas.openxmlformats.org/officeDocument/2006/relationships/hyperlink" Target="https://webagentes.canaldirecto.com.ar/incidents/view/818513-0" TargetMode="External"/><Relationship Id="rId265" Type="http://schemas.openxmlformats.org/officeDocument/2006/relationships/hyperlink" Target="https://webagentes.canaldirecto.com.ar/incidents/view/675614-7" TargetMode="External"/><Relationship Id="rId472" Type="http://schemas.openxmlformats.org/officeDocument/2006/relationships/hyperlink" Target="https://webagentes.canaldirecto.com.ar/incidents/view/683553-2" TargetMode="External"/><Relationship Id="rId2153" Type="http://schemas.openxmlformats.org/officeDocument/2006/relationships/hyperlink" Target="https://webagentes.canaldirecto.com.ar/incidents/view/766451-5" TargetMode="External"/><Relationship Id="rId2360" Type="http://schemas.openxmlformats.org/officeDocument/2006/relationships/hyperlink" Target="https://webagentes.canaldirecto.com.ar/incidents/view/774991-3" TargetMode="External"/><Relationship Id="rId3204" Type="http://schemas.openxmlformats.org/officeDocument/2006/relationships/hyperlink" Target="https://webagentes.canaldirecto.com.ar/incidents/view/804700-7" TargetMode="External"/><Relationship Id="rId3411" Type="http://schemas.openxmlformats.org/officeDocument/2006/relationships/hyperlink" Target="https://webagentes.canaldirecto.com.ar/incidents/view/810442-7" TargetMode="External"/><Relationship Id="rId3649" Type="http://schemas.openxmlformats.org/officeDocument/2006/relationships/hyperlink" Target="https://webagentes.canaldirecto.com.ar/incidents/view/822185-8" TargetMode="External"/><Relationship Id="rId3856" Type="http://schemas.openxmlformats.org/officeDocument/2006/relationships/hyperlink" Target="https://webagentes.canaldirecto.com.ar/incidents/view/826144-9" TargetMode="External"/><Relationship Id="rId125" Type="http://schemas.openxmlformats.org/officeDocument/2006/relationships/hyperlink" Target="https://webagentes.canaldirecto.com.ar/incidents/view/668837-8" TargetMode="External"/><Relationship Id="rId332" Type="http://schemas.openxmlformats.org/officeDocument/2006/relationships/hyperlink" Target="https://webagentes.canaldirecto.com.ar/incidents/view/680661-9" TargetMode="External"/><Relationship Id="rId777" Type="http://schemas.openxmlformats.org/officeDocument/2006/relationships/hyperlink" Target="https://webagentes.canaldirecto.com.ar/incidents/view/705431-0" TargetMode="External"/><Relationship Id="rId984" Type="http://schemas.openxmlformats.org/officeDocument/2006/relationships/hyperlink" Target="https://webagentes.canaldirecto.com.ar/incidents/view/710786-1" TargetMode="External"/><Relationship Id="rId2013" Type="http://schemas.openxmlformats.org/officeDocument/2006/relationships/hyperlink" Target="https://webagentes.canaldirecto.com.ar/incidents/view/758586-5" TargetMode="External"/><Relationship Id="rId2220" Type="http://schemas.openxmlformats.org/officeDocument/2006/relationships/hyperlink" Target="https://webagentes.canaldirecto.com.ar/incidents/view/766409-2" TargetMode="External"/><Relationship Id="rId2458" Type="http://schemas.openxmlformats.org/officeDocument/2006/relationships/hyperlink" Target="https://webagentes.canaldirecto.com.ar/incidents/view/777809-4" TargetMode="External"/><Relationship Id="rId2665" Type="http://schemas.openxmlformats.org/officeDocument/2006/relationships/hyperlink" Target="https://webagentes.canaldirecto.com.ar/incidents/view/785143-0" TargetMode="External"/><Relationship Id="rId2872" Type="http://schemas.openxmlformats.org/officeDocument/2006/relationships/hyperlink" Target="https://webagentes.canaldirecto.com.ar/incidents/view/792483-3" TargetMode="External"/><Relationship Id="rId3509" Type="http://schemas.openxmlformats.org/officeDocument/2006/relationships/hyperlink" Target="https://webagentes.canaldirecto.com.ar/incidents/view/819956-8" TargetMode="External"/><Relationship Id="rId3716" Type="http://schemas.openxmlformats.org/officeDocument/2006/relationships/hyperlink" Target="https://webagentes.canaldirecto.com.ar/incidents/view/818472-4" TargetMode="External"/><Relationship Id="rId3923" Type="http://schemas.openxmlformats.org/officeDocument/2006/relationships/hyperlink" Target="https://webagentes.canaldirecto.com.ar/incidents/view/829875-3" TargetMode="External"/><Relationship Id="rId637" Type="http://schemas.openxmlformats.org/officeDocument/2006/relationships/hyperlink" Target="https://webagentes.canaldirecto.com.ar/incidents/view/691257-6" TargetMode="External"/><Relationship Id="rId844" Type="http://schemas.openxmlformats.org/officeDocument/2006/relationships/hyperlink" Target="https://webagentes.canaldirecto.com.ar/incidents/view/708939-8" TargetMode="External"/><Relationship Id="rId1267" Type="http://schemas.openxmlformats.org/officeDocument/2006/relationships/hyperlink" Target="https://webagentes.canaldirecto.com.ar/incidents/view/727679-0" TargetMode="External"/><Relationship Id="rId1474" Type="http://schemas.openxmlformats.org/officeDocument/2006/relationships/hyperlink" Target="https://webagentes.canaldirecto.com.ar/incidents/view/738132-0" TargetMode="External"/><Relationship Id="rId1681" Type="http://schemas.openxmlformats.org/officeDocument/2006/relationships/hyperlink" Target="https://webagentes.canaldirecto.com.ar/incidents/view/746430-4" TargetMode="External"/><Relationship Id="rId2318" Type="http://schemas.openxmlformats.org/officeDocument/2006/relationships/hyperlink" Target="https://webagentes.canaldirecto.com.ar/incidents/view/772180-1" TargetMode="External"/><Relationship Id="rId2525" Type="http://schemas.openxmlformats.org/officeDocument/2006/relationships/hyperlink" Target="https://webagentes.canaldirecto.com.ar/incidents/view/781667-7" TargetMode="External"/><Relationship Id="rId2732" Type="http://schemas.openxmlformats.org/officeDocument/2006/relationships/hyperlink" Target="https://webagentes.canaldirecto.com.ar/incidents/view/791754-1" TargetMode="External"/><Relationship Id="rId704" Type="http://schemas.openxmlformats.org/officeDocument/2006/relationships/hyperlink" Target="https://webagentes.canaldirecto.com.ar/incidents/view/688075-4" TargetMode="External"/><Relationship Id="rId911" Type="http://schemas.openxmlformats.org/officeDocument/2006/relationships/hyperlink" Target="https://webagentes.canaldirecto.com.ar/incidents/view/712488-6" TargetMode="External"/><Relationship Id="rId1127" Type="http://schemas.openxmlformats.org/officeDocument/2006/relationships/hyperlink" Target="https://webagentes.canaldirecto.com.ar/incidents/view/719771-2" TargetMode="External"/><Relationship Id="rId1334" Type="http://schemas.openxmlformats.org/officeDocument/2006/relationships/hyperlink" Target="https://webagentes.canaldirecto.com.ar/incidents/view/729736-8" TargetMode="External"/><Relationship Id="rId1541" Type="http://schemas.openxmlformats.org/officeDocument/2006/relationships/hyperlink" Target="https://webagentes.canaldirecto.com.ar/incidents/view/740206-7" TargetMode="External"/><Relationship Id="rId1779" Type="http://schemas.openxmlformats.org/officeDocument/2006/relationships/hyperlink" Target="https://webagentes.canaldirecto.com.ar/incidents/view/749045-1" TargetMode="External"/><Relationship Id="rId1986" Type="http://schemas.openxmlformats.org/officeDocument/2006/relationships/hyperlink" Target="https://webagentes.canaldirecto.com.ar/incidents/view/754755-5" TargetMode="External"/><Relationship Id="rId40" Type="http://schemas.openxmlformats.org/officeDocument/2006/relationships/hyperlink" Target="https://webagentes.canaldirecto.com.ar/incidents/view/662293-8" TargetMode="External"/><Relationship Id="rId1401" Type="http://schemas.openxmlformats.org/officeDocument/2006/relationships/hyperlink" Target="https://webagentes.canaldirecto.com.ar/incidents/view/731495-7" TargetMode="External"/><Relationship Id="rId1639" Type="http://schemas.openxmlformats.org/officeDocument/2006/relationships/hyperlink" Target="https://webagentes.canaldirecto.com.ar/incidents/view/742961-1" TargetMode="External"/><Relationship Id="rId1846" Type="http://schemas.openxmlformats.org/officeDocument/2006/relationships/hyperlink" Target="https://webagentes.canaldirecto.com.ar/incidents/view/751586-6" TargetMode="External"/><Relationship Id="rId3061" Type="http://schemas.openxmlformats.org/officeDocument/2006/relationships/hyperlink" Target="https://webagentes.canaldirecto.com.ar/incidents/view/798755-9" TargetMode="External"/><Relationship Id="rId3299" Type="http://schemas.openxmlformats.org/officeDocument/2006/relationships/hyperlink" Target="https://webagentes.canaldirecto.com.ar/incidents/view/813862-8" TargetMode="External"/><Relationship Id="rId1706" Type="http://schemas.openxmlformats.org/officeDocument/2006/relationships/hyperlink" Target="https://webagentes.canaldirecto.com.ar/incidents/view/745997-7" TargetMode="External"/><Relationship Id="rId1913" Type="http://schemas.openxmlformats.org/officeDocument/2006/relationships/hyperlink" Target="https://webagentes.canaldirecto.com.ar/incidents/view/748779-4" TargetMode="External"/><Relationship Id="rId3159" Type="http://schemas.openxmlformats.org/officeDocument/2006/relationships/hyperlink" Target="https://webagentes.canaldirecto.com.ar/incidents/view/800246-6" TargetMode="External"/><Relationship Id="rId3366" Type="http://schemas.openxmlformats.org/officeDocument/2006/relationships/hyperlink" Target="https://webagentes.canaldirecto.com.ar/incidents/view/811722-7" TargetMode="External"/><Relationship Id="rId3573" Type="http://schemas.openxmlformats.org/officeDocument/2006/relationships/hyperlink" Target="https://webagentes.canaldirecto.com.ar/incidents/view/817875-0" TargetMode="External"/><Relationship Id="rId287" Type="http://schemas.openxmlformats.org/officeDocument/2006/relationships/hyperlink" Target="https://webagentes.canaldirecto.com.ar/incidents/view/674854-6" TargetMode="External"/><Relationship Id="rId494" Type="http://schemas.openxmlformats.org/officeDocument/2006/relationships/hyperlink" Target="https://webagentes.canaldirecto.com.ar/incidents/view/689532-1" TargetMode="External"/><Relationship Id="rId2175" Type="http://schemas.openxmlformats.org/officeDocument/2006/relationships/hyperlink" Target="https://webagentes.canaldirecto.com.ar/incidents/view/764130-1" TargetMode="External"/><Relationship Id="rId2382" Type="http://schemas.openxmlformats.org/officeDocument/2006/relationships/hyperlink" Target="https://webagentes.canaldirecto.com.ar/incidents/view/780125-9" TargetMode="External"/><Relationship Id="rId3019" Type="http://schemas.openxmlformats.org/officeDocument/2006/relationships/hyperlink" Target="https://webagentes.canaldirecto.com.ar/incidents/view/799971-2" TargetMode="External"/><Relationship Id="rId3226" Type="http://schemas.openxmlformats.org/officeDocument/2006/relationships/hyperlink" Target="https://webagentes.canaldirecto.com.ar/incidents/view/801020-7" TargetMode="External"/><Relationship Id="rId3780" Type="http://schemas.openxmlformats.org/officeDocument/2006/relationships/hyperlink" Target="https://webagentes.canaldirecto.com.ar/incidents/view/823468-5" TargetMode="External"/><Relationship Id="rId3878" Type="http://schemas.openxmlformats.org/officeDocument/2006/relationships/hyperlink" Target="https://webagentes.canaldirecto.com.ar/incidents/view/825178-9" TargetMode="External"/><Relationship Id="rId147" Type="http://schemas.openxmlformats.org/officeDocument/2006/relationships/hyperlink" Target="https://webagentes.canaldirecto.com.ar/incidents/view/667611-5" TargetMode="External"/><Relationship Id="rId354" Type="http://schemas.openxmlformats.org/officeDocument/2006/relationships/hyperlink" Target="https://webagentes.canaldirecto.com.ar/incidents/view/678341-5" TargetMode="External"/><Relationship Id="rId799" Type="http://schemas.openxmlformats.org/officeDocument/2006/relationships/hyperlink" Target="https://webagentes.canaldirecto.com.ar/incidents/view/704192-7" TargetMode="External"/><Relationship Id="rId1191" Type="http://schemas.openxmlformats.org/officeDocument/2006/relationships/hyperlink" Target="https://webagentes.canaldirecto.com.ar/incidents/view/721868-0" TargetMode="External"/><Relationship Id="rId2035" Type="http://schemas.openxmlformats.org/officeDocument/2006/relationships/hyperlink" Target="https://webagentes.canaldirecto.com.ar/incidents/view/761107-2" TargetMode="External"/><Relationship Id="rId2687" Type="http://schemas.openxmlformats.org/officeDocument/2006/relationships/hyperlink" Target="https://webagentes.canaldirecto.com.ar/incidents/view/788349-3" TargetMode="External"/><Relationship Id="rId2894" Type="http://schemas.openxmlformats.org/officeDocument/2006/relationships/hyperlink" Target="https://webagentes.canaldirecto.com.ar/incidents/view/791794-9" TargetMode="External"/><Relationship Id="rId3433" Type="http://schemas.openxmlformats.org/officeDocument/2006/relationships/hyperlink" Target="https://webagentes.canaldirecto.com.ar/incidents/view/793265-6" TargetMode="External"/><Relationship Id="rId3640" Type="http://schemas.openxmlformats.org/officeDocument/2006/relationships/hyperlink" Target="https://webagentes.canaldirecto.com.ar/incidents/view/822604-8" TargetMode="External"/><Relationship Id="rId3738" Type="http://schemas.openxmlformats.org/officeDocument/2006/relationships/hyperlink" Target="https://webagentes.canaldirecto.com.ar/incidents/view/824826-2" TargetMode="External"/><Relationship Id="rId561" Type="http://schemas.openxmlformats.org/officeDocument/2006/relationships/hyperlink" Target="https://webagentes.canaldirecto.com.ar/incidents/view/691759-9" TargetMode="External"/><Relationship Id="rId659" Type="http://schemas.openxmlformats.org/officeDocument/2006/relationships/hyperlink" Target="https://webagentes.canaldirecto.com.ar/incidents/view/695705-6" TargetMode="External"/><Relationship Id="rId866" Type="http://schemas.openxmlformats.org/officeDocument/2006/relationships/hyperlink" Target="https://webagentes.canaldirecto.com.ar/incidents/view/706853-5" TargetMode="External"/><Relationship Id="rId1289" Type="http://schemas.openxmlformats.org/officeDocument/2006/relationships/hyperlink" Target="https://webagentes.canaldirecto.com.ar/incidents/view/727118-4" TargetMode="External"/><Relationship Id="rId1496" Type="http://schemas.openxmlformats.org/officeDocument/2006/relationships/hyperlink" Target="https://webagentes.canaldirecto.com.ar/incidents/view/736941-6" TargetMode="External"/><Relationship Id="rId2242" Type="http://schemas.openxmlformats.org/officeDocument/2006/relationships/hyperlink" Target="https://webagentes.canaldirecto.com.ar/incidents/view/770428-4" TargetMode="External"/><Relationship Id="rId2547" Type="http://schemas.openxmlformats.org/officeDocument/2006/relationships/hyperlink" Target="https://webagentes.canaldirecto.com.ar/incidents/view/780344-2" TargetMode="External"/><Relationship Id="rId3500" Type="http://schemas.openxmlformats.org/officeDocument/2006/relationships/hyperlink" Target="https://webagentes.canaldirecto.com.ar/incidents/view/813034-3" TargetMode="External"/><Relationship Id="rId3945" Type="http://schemas.openxmlformats.org/officeDocument/2006/relationships/hyperlink" Target="https://webagentes.canaldirecto.com.ar/incidents/view/829499-7" TargetMode="External"/><Relationship Id="rId214" Type="http://schemas.openxmlformats.org/officeDocument/2006/relationships/hyperlink" Target="https://webagentes.canaldirecto.com.ar/incidents/view/669762-2" TargetMode="External"/><Relationship Id="rId421" Type="http://schemas.openxmlformats.org/officeDocument/2006/relationships/hyperlink" Target="https://webagentes.canaldirecto.com.ar/incidents/view/679876-3" TargetMode="External"/><Relationship Id="rId519" Type="http://schemas.openxmlformats.org/officeDocument/2006/relationships/hyperlink" Target="https://webagentes.canaldirecto.com.ar/incidents/view/688193-9" TargetMode="External"/><Relationship Id="rId1051" Type="http://schemas.openxmlformats.org/officeDocument/2006/relationships/hyperlink" Target="https://webagentes.canaldirecto.com.ar/incidents/view/716413-0" TargetMode="External"/><Relationship Id="rId1149" Type="http://schemas.openxmlformats.org/officeDocument/2006/relationships/hyperlink" Target="https://webagentes.canaldirecto.com.ar/incidents/view/718418-9" TargetMode="External"/><Relationship Id="rId1356" Type="http://schemas.openxmlformats.org/officeDocument/2006/relationships/hyperlink" Target="https://webagentes.canaldirecto.com.ar/incidents/view/733109-7" TargetMode="External"/><Relationship Id="rId2102" Type="http://schemas.openxmlformats.org/officeDocument/2006/relationships/hyperlink" Target="https://webagentes.canaldirecto.com.ar/incidents/view/763643-3" TargetMode="External"/><Relationship Id="rId2754" Type="http://schemas.openxmlformats.org/officeDocument/2006/relationships/hyperlink" Target="https://webagentes.canaldirecto.com.ar/incidents/view/789949-4" TargetMode="External"/><Relationship Id="rId2961" Type="http://schemas.openxmlformats.org/officeDocument/2006/relationships/hyperlink" Target="https://webagentes.canaldirecto.com.ar/incidents/view/795590-3" TargetMode="External"/><Relationship Id="rId3805" Type="http://schemas.openxmlformats.org/officeDocument/2006/relationships/hyperlink" Target="https://webagentes.canaldirecto.com.ar/incidents/view/828264-6" TargetMode="External"/><Relationship Id="rId726" Type="http://schemas.openxmlformats.org/officeDocument/2006/relationships/hyperlink" Target="https://webagentes.canaldirecto.com.ar/incidents/view/702437-3" TargetMode="External"/><Relationship Id="rId933" Type="http://schemas.openxmlformats.org/officeDocument/2006/relationships/hyperlink" Target="https://webagentes.canaldirecto.com.ar/incidents/view/712062-2" TargetMode="External"/><Relationship Id="rId1009" Type="http://schemas.openxmlformats.org/officeDocument/2006/relationships/hyperlink" Target="https://webagentes.canaldirecto.com.ar/incidents/view/717049-6" TargetMode="External"/><Relationship Id="rId1563" Type="http://schemas.openxmlformats.org/officeDocument/2006/relationships/hyperlink" Target="https://webagentes.canaldirecto.com.ar/incidents/view/744283-4" TargetMode="External"/><Relationship Id="rId1770" Type="http://schemas.openxmlformats.org/officeDocument/2006/relationships/hyperlink" Target="https://webagentes.canaldirecto.com.ar/incidents/view/749198-2" TargetMode="External"/><Relationship Id="rId1868" Type="http://schemas.openxmlformats.org/officeDocument/2006/relationships/hyperlink" Target="https://webagentes.canaldirecto.com.ar/incidents/view/750992-6" TargetMode="External"/><Relationship Id="rId2407" Type="http://schemas.openxmlformats.org/officeDocument/2006/relationships/hyperlink" Target="https://webagentes.canaldirecto.com.ar/incidents/view/779410-8" TargetMode="External"/><Relationship Id="rId2614" Type="http://schemas.openxmlformats.org/officeDocument/2006/relationships/hyperlink" Target="https://webagentes.canaldirecto.com.ar/incidents/view/787121-2" TargetMode="External"/><Relationship Id="rId2821" Type="http://schemas.openxmlformats.org/officeDocument/2006/relationships/hyperlink" Target="https://webagentes.canaldirecto.com.ar/incidents/view/794384-7" TargetMode="External"/><Relationship Id="rId62" Type="http://schemas.openxmlformats.org/officeDocument/2006/relationships/hyperlink" Target="https://webagentes.canaldirecto.com.ar/incidents/view/666606-6" TargetMode="External"/><Relationship Id="rId1216" Type="http://schemas.openxmlformats.org/officeDocument/2006/relationships/hyperlink" Target="https://webagentes.canaldirecto.com.ar/incidents/view/725756-4" TargetMode="External"/><Relationship Id="rId1423" Type="http://schemas.openxmlformats.org/officeDocument/2006/relationships/hyperlink" Target="https://webagentes.canaldirecto.com.ar/incidents/view/736111-3" TargetMode="External"/><Relationship Id="rId1630" Type="http://schemas.openxmlformats.org/officeDocument/2006/relationships/hyperlink" Target="https://webagentes.canaldirecto.com.ar/incidents/view/743342-9" TargetMode="External"/><Relationship Id="rId2919" Type="http://schemas.openxmlformats.org/officeDocument/2006/relationships/hyperlink" Target="https://webagentes.canaldirecto.com.ar/incidents/view/797312-1" TargetMode="External"/><Relationship Id="rId3083" Type="http://schemas.openxmlformats.org/officeDocument/2006/relationships/hyperlink" Target="https://webagentes.canaldirecto.com.ar/incidents/view/797554-5" TargetMode="External"/><Relationship Id="rId3290" Type="http://schemas.openxmlformats.org/officeDocument/2006/relationships/hyperlink" Target="https://webagentes.canaldirecto.com.ar/incidents/view/806725-0" TargetMode="External"/><Relationship Id="rId1728" Type="http://schemas.openxmlformats.org/officeDocument/2006/relationships/hyperlink" Target="https://webagentes.canaldirecto.com.ar/incidents/view/745704-9" TargetMode="External"/><Relationship Id="rId1935" Type="http://schemas.openxmlformats.org/officeDocument/2006/relationships/hyperlink" Target="https://webagentes.canaldirecto.com.ar/incidents/view/752881-5" TargetMode="External"/><Relationship Id="rId3150" Type="http://schemas.openxmlformats.org/officeDocument/2006/relationships/hyperlink" Target="https://webagentes.canaldirecto.com.ar/incidents/view/800938-0" TargetMode="External"/><Relationship Id="rId3388" Type="http://schemas.openxmlformats.org/officeDocument/2006/relationships/hyperlink" Target="https://webagentes.canaldirecto.com.ar/incidents/view/811022-4" TargetMode="External"/><Relationship Id="rId3595" Type="http://schemas.openxmlformats.org/officeDocument/2006/relationships/hyperlink" Target="https://webagentes.canaldirecto.com.ar/incidents/view/817630-9" TargetMode="External"/><Relationship Id="rId2197" Type="http://schemas.openxmlformats.org/officeDocument/2006/relationships/hyperlink" Target="https://webagentes.canaldirecto.com.ar/incidents/view/767682-0" TargetMode="External"/><Relationship Id="rId3010" Type="http://schemas.openxmlformats.org/officeDocument/2006/relationships/hyperlink" Target="https://webagentes.canaldirecto.com.ar/incidents/view/799982-8" TargetMode="External"/><Relationship Id="rId3248" Type="http://schemas.openxmlformats.org/officeDocument/2006/relationships/hyperlink" Target="https://webagentes.canaldirecto.com.ar/incidents/view/809072-6" TargetMode="External"/><Relationship Id="rId3455" Type="http://schemas.openxmlformats.org/officeDocument/2006/relationships/hyperlink" Target="https://webagentes.canaldirecto.com.ar/incidents/view/815720-7" TargetMode="External"/><Relationship Id="rId3662" Type="http://schemas.openxmlformats.org/officeDocument/2006/relationships/hyperlink" Target="https://webagentes.canaldirecto.com.ar/incidents/view/821973-8" TargetMode="External"/><Relationship Id="rId169" Type="http://schemas.openxmlformats.org/officeDocument/2006/relationships/hyperlink" Target="https://webagentes.canaldirecto.com.ar/incidents/view/672497-1" TargetMode="External"/><Relationship Id="rId376" Type="http://schemas.openxmlformats.org/officeDocument/2006/relationships/hyperlink" Target="https://webagentes.canaldirecto.com.ar/incidents/view/677942-1" TargetMode="External"/><Relationship Id="rId583" Type="http://schemas.openxmlformats.org/officeDocument/2006/relationships/hyperlink" Target="https://webagentes.canaldirecto.com.ar/incidents/view/690351-4" TargetMode="External"/><Relationship Id="rId790" Type="http://schemas.openxmlformats.org/officeDocument/2006/relationships/hyperlink" Target="https://webagentes.canaldirecto.com.ar/incidents/view/704663-0" TargetMode="External"/><Relationship Id="rId2057" Type="http://schemas.openxmlformats.org/officeDocument/2006/relationships/hyperlink" Target="https://webagentes.canaldirecto.com.ar/incidents/view/760797-2" TargetMode="External"/><Relationship Id="rId2264" Type="http://schemas.openxmlformats.org/officeDocument/2006/relationships/hyperlink" Target="https://webagentes.canaldirecto.com.ar/incidents/view/769636-5" TargetMode="External"/><Relationship Id="rId2471" Type="http://schemas.openxmlformats.org/officeDocument/2006/relationships/hyperlink" Target="https://webagentes.canaldirecto.com.ar/incidents/view/776870-5" TargetMode="External"/><Relationship Id="rId3108" Type="http://schemas.openxmlformats.org/officeDocument/2006/relationships/hyperlink" Target="https://webagentes.canaldirecto.com.ar/incidents/view/802538-8" TargetMode="External"/><Relationship Id="rId3315" Type="http://schemas.openxmlformats.org/officeDocument/2006/relationships/hyperlink" Target="https://webagentes.canaldirecto.com.ar/incidents/view/812941-7" TargetMode="External"/><Relationship Id="rId3522" Type="http://schemas.openxmlformats.org/officeDocument/2006/relationships/hyperlink" Target="https://webagentes.canaldirecto.com.ar/incidents/view/819529-8" TargetMode="External"/><Relationship Id="rId3967" Type="http://schemas.openxmlformats.org/officeDocument/2006/relationships/hyperlink" Target="https://webagentes.canaldirecto.com.ar/incidents/view/827802-3" TargetMode="External"/><Relationship Id="rId4" Type="http://schemas.openxmlformats.org/officeDocument/2006/relationships/hyperlink" Target="https://webagentes.canaldirecto.com.ar/incidents/view/663096-4" TargetMode="External"/><Relationship Id="rId236" Type="http://schemas.openxmlformats.org/officeDocument/2006/relationships/hyperlink" Target="https://webagentes.canaldirecto.com.ar/incidents/view/676920-2" TargetMode="External"/><Relationship Id="rId443" Type="http://schemas.openxmlformats.org/officeDocument/2006/relationships/hyperlink" Target="https://webagentes.canaldirecto.com.ar/incidents/view/686009-7" TargetMode="External"/><Relationship Id="rId650" Type="http://schemas.openxmlformats.org/officeDocument/2006/relationships/hyperlink" Target="https://webagentes.canaldirecto.com.ar/incidents/view/696931-6" TargetMode="External"/><Relationship Id="rId888" Type="http://schemas.openxmlformats.org/officeDocument/2006/relationships/hyperlink" Target="https://webagentes.canaldirecto.com.ar/incidents/view/712867-9" TargetMode="External"/><Relationship Id="rId1073" Type="http://schemas.openxmlformats.org/officeDocument/2006/relationships/hyperlink" Target="https://webagentes.canaldirecto.com.ar/incidents/view/715643-2" TargetMode="External"/><Relationship Id="rId1280" Type="http://schemas.openxmlformats.org/officeDocument/2006/relationships/hyperlink" Target="https://webagentes.canaldirecto.com.ar/incidents/view/727166-1" TargetMode="External"/><Relationship Id="rId2124" Type="http://schemas.openxmlformats.org/officeDocument/2006/relationships/hyperlink" Target="https://webagentes.canaldirecto.com.ar/incidents/view/762263-4" TargetMode="External"/><Relationship Id="rId2331" Type="http://schemas.openxmlformats.org/officeDocument/2006/relationships/hyperlink" Target="https://webagentes.canaldirecto.com.ar/incidents/view/732175-3" TargetMode="External"/><Relationship Id="rId2569" Type="http://schemas.openxmlformats.org/officeDocument/2006/relationships/hyperlink" Target="https://webagentes.canaldirecto.com.ar/incidents/view/784397-2" TargetMode="External"/><Relationship Id="rId2776" Type="http://schemas.openxmlformats.org/officeDocument/2006/relationships/hyperlink" Target="https://webagentes.canaldirecto.com.ar/incidents/view/791470-2" TargetMode="External"/><Relationship Id="rId2983" Type="http://schemas.openxmlformats.org/officeDocument/2006/relationships/hyperlink" Target="https://webagentes.canaldirecto.com.ar/incidents/view/795348-2" TargetMode="External"/><Relationship Id="rId3827" Type="http://schemas.openxmlformats.org/officeDocument/2006/relationships/hyperlink" Target="https://webagentes.canaldirecto.com.ar/incidents/view/827471-7" TargetMode="External"/><Relationship Id="rId303" Type="http://schemas.openxmlformats.org/officeDocument/2006/relationships/hyperlink" Target="https://webagentes.canaldirecto.com.ar/incidents/view/674275-5" TargetMode="External"/><Relationship Id="rId748" Type="http://schemas.openxmlformats.org/officeDocument/2006/relationships/hyperlink" Target="https://webagentes.canaldirecto.com.ar/incidents/view/700887-0" TargetMode="External"/><Relationship Id="rId955" Type="http://schemas.openxmlformats.org/officeDocument/2006/relationships/hyperlink" Target="https://webagentes.canaldirecto.com.ar/incidents/view/711970-5" TargetMode="External"/><Relationship Id="rId1140" Type="http://schemas.openxmlformats.org/officeDocument/2006/relationships/hyperlink" Target="https://webagentes.canaldirecto.com.ar/incidents/view/718779-7" TargetMode="External"/><Relationship Id="rId1378" Type="http://schemas.openxmlformats.org/officeDocument/2006/relationships/hyperlink" Target="https://webagentes.canaldirecto.com.ar/incidents/view/732789-0" TargetMode="External"/><Relationship Id="rId1585" Type="http://schemas.openxmlformats.org/officeDocument/2006/relationships/hyperlink" Target="https://webagentes.canaldirecto.com.ar/incidents/view/744156-1" TargetMode="External"/><Relationship Id="rId1792" Type="http://schemas.openxmlformats.org/officeDocument/2006/relationships/hyperlink" Target="https://webagentes.canaldirecto.com.ar/incidents/view/748625-4" TargetMode="External"/><Relationship Id="rId2429" Type="http://schemas.openxmlformats.org/officeDocument/2006/relationships/hyperlink" Target="https://webagentes.canaldirecto.com.ar/incidents/view/779263-2" TargetMode="External"/><Relationship Id="rId2636" Type="http://schemas.openxmlformats.org/officeDocument/2006/relationships/hyperlink" Target="https://webagentes.canaldirecto.com.ar/incidents/view/786538-1" TargetMode="External"/><Relationship Id="rId2843" Type="http://schemas.openxmlformats.org/officeDocument/2006/relationships/hyperlink" Target="https://webagentes.canaldirecto.com.ar/incidents/view/793699-9" TargetMode="External"/><Relationship Id="rId84" Type="http://schemas.openxmlformats.org/officeDocument/2006/relationships/hyperlink" Target="https://webagentes.canaldirecto.com.ar/incidents/view/664529-4" TargetMode="External"/><Relationship Id="rId510" Type="http://schemas.openxmlformats.org/officeDocument/2006/relationships/hyperlink" Target="https://webagentes.canaldirecto.com.ar/incidents/view/689369-7" TargetMode="External"/><Relationship Id="rId608" Type="http://schemas.openxmlformats.org/officeDocument/2006/relationships/hyperlink" Target="https://webagentes.canaldirecto.com.ar/incidents/view/694765-1" TargetMode="External"/><Relationship Id="rId815" Type="http://schemas.openxmlformats.org/officeDocument/2006/relationships/hyperlink" Target="https://webagentes.canaldirecto.com.ar/incidents/view/710401-3" TargetMode="External"/><Relationship Id="rId1238" Type="http://schemas.openxmlformats.org/officeDocument/2006/relationships/hyperlink" Target="https://webagentes.canaldirecto.com.ar/incidents/view/723014-1" TargetMode="External"/><Relationship Id="rId1445" Type="http://schemas.openxmlformats.org/officeDocument/2006/relationships/hyperlink" Target="https://webagentes.canaldirecto.com.ar/incidents/view/734815-8" TargetMode="External"/><Relationship Id="rId1652" Type="http://schemas.openxmlformats.org/officeDocument/2006/relationships/hyperlink" Target="https://webagentes.canaldirecto.com.ar/incidents/view/741894-3" TargetMode="External"/><Relationship Id="rId1000" Type="http://schemas.openxmlformats.org/officeDocument/2006/relationships/hyperlink" Target="https://webagentes.canaldirecto.com.ar/incidents/view/717059-3" TargetMode="External"/><Relationship Id="rId1305" Type="http://schemas.openxmlformats.org/officeDocument/2006/relationships/hyperlink" Target="https://webagentes.canaldirecto.com.ar/incidents/view/730659-6" TargetMode="External"/><Relationship Id="rId1957" Type="http://schemas.openxmlformats.org/officeDocument/2006/relationships/hyperlink" Target="https://webagentes.canaldirecto.com.ar/incidents/view/756131-5" TargetMode="External"/><Relationship Id="rId2703" Type="http://schemas.openxmlformats.org/officeDocument/2006/relationships/hyperlink" Target="https://webagentes.canaldirecto.com.ar/incidents/view/788319-2" TargetMode="External"/><Relationship Id="rId2910" Type="http://schemas.openxmlformats.org/officeDocument/2006/relationships/hyperlink" Target="https://webagentes.canaldirecto.com.ar/incidents/view/797419-3" TargetMode="External"/><Relationship Id="rId1512" Type="http://schemas.openxmlformats.org/officeDocument/2006/relationships/hyperlink" Target="https://webagentes.canaldirecto.com.ar/incidents/view/734545-2" TargetMode="External"/><Relationship Id="rId1817" Type="http://schemas.openxmlformats.org/officeDocument/2006/relationships/hyperlink" Target="https://webagentes.canaldirecto.com.ar/incidents/view/748139-2" TargetMode="External"/><Relationship Id="rId3172" Type="http://schemas.openxmlformats.org/officeDocument/2006/relationships/hyperlink" Target="https://webagentes.canaldirecto.com.ar/incidents/view/806321-8" TargetMode="External"/><Relationship Id="rId11" Type="http://schemas.openxmlformats.org/officeDocument/2006/relationships/hyperlink" Target="https://webagentes.canaldirecto.com.ar/incidents/view/662713-7" TargetMode="External"/><Relationship Id="rId398" Type="http://schemas.openxmlformats.org/officeDocument/2006/relationships/hyperlink" Target="https://webagentes.canaldirecto.com.ar/incidents/view/684096-9" TargetMode="External"/><Relationship Id="rId2079" Type="http://schemas.openxmlformats.org/officeDocument/2006/relationships/hyperlink" Target="https://webagentes.canaldirecto.com.ar/incidents/view/760040-1" TargetMode="External"/><Relationship Id="rId3032" Type="http://schemas.openxmlformats.org/officeDocument/2006/relationships/hyperlink" Target="https://webagentes.canaldirecto.com.ar/incidents/view/799762-6" TargetMode="External"/><Relationship Id="rId3477" Type="http://schemas.openxmlformats.org/officeDocument/2006/relationships/hyperlink" Target="https://webagentes.canaldirecto.com.ar/incidents/view/814518-7" TargetMode="External"/><Relationship Id="rId3684" Type="http://schemas.openxmlformats.org/officeDocument/2006/relationships/hyperlink" Target="https://webagentes.canaldirecto.com.ar/incidents/view/821201-8" TargetMode="External"/><Relationship Id="rId3891" Type="http://schemas.openxmlformats.org/officeDocument/2006/relationships/hyperlink" Target="https://webagentes.canaldirecto.com.ar/incidents/view/831692-5" TargetMode="External"/><Relationship Id="rId160" Type="http://schemas.openxmlformats.org/officeDocument/2006/relationships/hyperlink" Target="https://webagentes.canaldirecto.com.ar/incidents/view/673123-6" TargetMode="External"/><Relationship Id="rId2286" Type="http://schemas.openxmlformats.org/officeDocument/2006/relationships/hyperlink" Target="https://webagentes.canaldirecto.com.ar/incidents/view/774411-2" TargetMode="External"/><Relationship Id="rId2493" Type="http://schemas.openxmlformats.org/officeDocument/2006/relationships/hyperlink" Target="https://webagentes.canaldirecto.com.ar/incidents/view/782729-3" TargetMode="External"/><Relationship Id="rId3337" Type="http://schemas.openxmlformats.org/officeDocument/2006/relationships/hyperlink" Target="https://webagentes.canaldirecto.com.ar/incidents/view/812492-6" TargetMode="External"/><Relationship Id="rId3544" Type="http://schemas.openxmlformats.org/officeDocument/2006/relationships/hyperlink" Target="https://webagentes.canaldirecto.com.ar/incidents/view/818543-1" TargetMode="External"/><Relationship Id="rId3751" Type="http://schemas.openxmlformats.org/officeDocument/2006/relationships/hyperlink" Target="https://webagentes.canaldirecto.com.ar/incidents/view/824665-3" TargetMode="External"/><Relationship Id="rId258" Type="http://schemas.openxmlformats.org/officeDocument/2006/relationships/hyperlink" Target="https://webagentes.canaldirecto.com.ar/incidents/view/675624-4" TargetMode="External"/><Relationship Id="rId465" Type="http://schemas.openxmlformats.org/officeDocument/2006/relationships/hyperlink" Target="https://webagentes.canaldirecto.com.ar/incidents/view/684295-8" TargetMode="External"/><Relationship Id="rId672" Type="http://schemas.openxmlformats.org/officeDocument/2006/relationships/hyperlink" Target="https://webagentes.canaldirecto.com.ar/incidents/view/700111-4" TargetMode="External"/><Relationship Id="rId1095" Type="http://schemas.openxmlformats.org/officeDocument/2006/relationships/hyperlink" Target="https://webagentes.canaldirecto.com.ar/incidents/view/720639-3" TargetMode="External"/><Relationship Id="rId2146" Type="http://schemas.openxmlformats.org/officeDocument/2006/relationships/hyperlink" Target="https://webagentes.canaldirecto.com.ar/incidents/view/760814-8" TargetMode="External"/><Relationship Id="rId2353" Type="http://schemas.openxmlformats.org/officeDocument/2006/relationships/hyperlink" Target="https://webagentes.canaldirecto.com.ar/incidents/view/775788-8" TargetMode="External"/><Relationship Id="rId2560" Type="http://schemas.openxmlformats.org/officeDocument/2006/relationships/hyperlink" Target="https://webagentes.canaldirecto.com.ar/incidents/view/785251-8" TargetMode="External"/><Relationship Id="rId2798" Type="http://schemas.openxmlformats.org/officeDocument/2006/relationships/hyperlink" Target="https://webagentes.canaldirecto.com.ar/incidents/view/785013-0" TargetMode="External"/><Relationship Id="rId3404" Type="http://schemas.openxmlformats.org/officeDocument/2006/relationships/hyperlink" Target="https://webagentes.canaldirecto.com.ar/incidents/view/810843-2" TargetMode="External"/><Relationship Id="rId3611" Type="http://schemas.openxmlformats.org/officeDocument/2006/relationships/hyperlink" Target="https://webagentes.canaldirecto.com.ar/incidents/view/816857-7" TargetMode="External"/><Relationship Id="rId3849" Type="http://schemas.openxmlformats.org/officeDocument/2006/relationships/hyperlink" Target="https://webagentes.canaldirecto.com.ar/incidents/view/826335-9" TargetMode="External"/><Relationship Id="rId118" Type="http://schemas.openxmlformats.org/officeDocument/2006/relationships/hyperlink" Target="https://webagentes.canaldirecto.com.ar/incidents/view/669252-0" TargetMode="External"/><Relationship Id="rId325" Type="http://schemas.openxmlformats.org/officeDocument/2006/relationships/hyperlink" Target="https://webagentes.canaldirecto.com.ar/incidents/view/664518-8" TargetMode="External"/><Relationship Id="rId532" Type="http://schemas.openxmlformats.org/officeDocument/2006/relationships/hyperlink" Target="https://webagentes.canaldirecto.com.ar/incidents/view/687989-1" TargetMode="External"/><Relationship Id="rId977" Type="http://schemas.openxmlformats.org/officeDocument/2006/relationships/hyperlink" Target="https://webagentes.canaldirecto.com.ar/incidents/view/711614-2" TargetMode="External"/><Relationship Id="rId1162" Type="http://schemas.openxmlformats.org/officeDocument/2006/relationships/hyperlink" Target="https://webagentes.canaldirecto.com.ar/incidents/view/717289-2" TargetMode="External"/><Relationship Id="rId2006" Type="http://schemas.openxmlformats.org/officeDocument/2006/relationships/hyperlink" Target="https://webagentes.canaldirecto.com.ar/incidents/view/759066-3" TargetMode="External"/><Relationship Id="rId2213" Type="http://schemas.openxmlformats.org/officeDocument/2006/relationships/hyperlink" Target="https://webagentes.canaldirecto.com.ar/incidents/view/767044-6" TargetMode="External"/><Relationship Id="rId2420" Type="http://schemas.openxmlformats.org/officeDocument/2006/relationships/hyperlink" Target="https://webagentes.canaldirecto.com.ar/incidents/view/779274-8" TargetMode="External"/><Relationship Id="rId2658" Type="http://schemas.openxmlformats.org/officeDocument/2006/relationships/hyperlink" Target="https://webagentes.canaldirecto.com.ar/incidents/view/785572-8" TargetMode="External"/><Relationship Id="rId2865" Type="http://schemas.openxmlformats.org/officeDocument/2006/relationships/hyperlink" Target="https://webagentes.canaldirecto.com.ar/incidents/view/792638-1" TargetMode="External"/><Relationship Id="rId3709" Type="http://schemas.openxmlformats.org/officeDocument/2006/relationships/hyperlink" Target="https://webagentes.canaldirecto.com.ar/incidents/view/819937-3" TargetMode="External"/><Relationship Id="rId3916" Type="http://schemas.openxmlformats.org/officeDocument/2006/relationships/hyperlink" Target="https://webagentes.canaldirecto.com.ar/incidents/view/830004-9" TargetMode="External"/><Relationship Id="rId837" Type="http://schemas.openxmlformats.org/officeDocument/2006/relationships/hyperlink" Target="https://webagentes.canaldirecto.com.ar/incidents/view/709168-5" TargetMode="External"/><Relationship Id="rId1022" Type="http://schemas.openxmlformats.org/officeDocument/2006/relationships/hyperlink" Target="https://webagentes.canaldirecto.com.ar/incidents/view/716815-4" TargetMode="External"/><Relationship Id="rId1467" Type="http://schemas.openxmlformats.org/officeDocument/2006/relationships/hyperlink" Target="https://webagentes.canaldirecto.com.ar/incidents/view/732823-3" TargetMode="External"/><Relationship Id="rId1674" Type="http://schemas.openxmlformats.org/officeDocument/2006/relationships/hyperlink" Target="https://webagentes.canaldirecto.com.ar/incidents/view/746439-5" TargetMode="External"/><Relationship Id="rId1881" Type="http://schemas.openxmlformats.org/officeDocument/2006/relationships/hyperlink" Target="https://webagentes.canaldirecto.com.ar/incidents/view/749779-1" TargetMode="External"/><Relationship Id="rId2518" Type="http://schemas.openxmlformats.org/officeDocument/2006/relationships/hyperlink" Target="https://webagentes.canaldirecto.com.ar/incidents/view/782093-5" TargetMode="External"/><Relationship Id="rId2725" Type="http://schemas.openxmlformats.org/officeDocument/2006/relationships/hyperlink" Target="https://webagentes.canaldirecto.com.ar/incidents/view/791762-0" TargetMode="External"/><Relationship Id="rId2932" Type="http://schemas.openxmlformats.org/officeDocument/2006/relationships/hyperlink" Target="https://webagentes.canaldirecto.com.ar/incidents/view/796305-4" TargetMode="External"/><Relationship Id="rId904" Type="http://schemas.openxmlformats.org/officeDocument/2006/relationships/hyperlink" Target="https://webagentes.canaldirecto.com.ar/incidents/view/712498-3" TargetMode="External"/><Relationship Id="rId1327" Type="http://schemas.openxmlformats.org/officeDocument/2006/relationships/hyperlink" Target="https://webagentes.canaldirecto.com.ar/incidents/view/730056-5" TargetMode="External"/><Relationship Id="rId1534" Type="http://schemas.openxmlformats.org/officeDocument/2006/relationships/hyperlink" Target="https://webagentes.canaldirecto.com.ar/incidents/view/740662-9" TargetMode="External"/><Relationship Id="rId1741" Type="http://schemas.openxmlformats.org/officeDocument/2006/relationships/hyperlink" Target="https://webagentes.canaldirecto.com.ar/incidents/view/745136-4" TargetMode="External"/><Relationship Id="rId1979" Type="http://schemas.openxmlformats.org/officeDocument/2006/relationships/hyperlink" Target="https://webagentes.canaldirecto.com.ar/incidents/view/755175-2" TargetMode="External"/><Relationship Id="rId3194" Type="http://schemas.openxmlformats.org/officeDocument/2006/relationships/hyperlink" Target="https://webagentes.canaldirecto.com.ar/incidents/view/805015-3" TargetMode="External"/><Relationship Id="rId33" Type="http://schemas.openxmlformats.org/officeDocument/2006/relationships/hyperlink" Target="https://webagentes.canaldirecto.com.ar/incidents/view/662375-1" TargetMode="External"/><Relationship Id="rId1601" Type="http://schemas.openxmlformats.org/officeDocument/2006/relationships/hyperlink" Target="https://webagentes.canaldirecto.com.ar/incidents/view/743996-4" TargetMode="External"/><Relationship Id="rId1839" Type="http://schemas.openxmlformats.org/officeDocument/2006/relationships/hyperlink" Target="https://webagentes.canaldirecto.com.ar/incidents/view/746366-0" TargetMode="External"/><Relationship Id="rId3054" Type="http://schemas.openxmlformats.org/officeDocument/2006/relationships/hyperlink" Target="https://webagentes.canaldirecto.com.ar/incidents/view/799037-7" TargetMode="External"/><Relationship Id="rId3499" Type="http://schemas.openxmlformats.org/officeDocument/2006/relationships/hyperlink" Target="https://webagentes.canaldirecto.com.ar/incidents/view/813035-2" TargetMode="External"/><Relationship Id="rId182" Type="http://schemas.openxmlformats.org/officeDocument/2006/relationships/hyperlink" Target="https://webagentes.canaldirecto.com.ar/incidents/view/671935-9" TargetMode="External"/><Relationship Id="rId1906" Type="http://schemas.openxmlformats.org/officeDocument/2006/relationships/hyperlink" Target="https://webagentes.canaldirecto.com.ar/incidents/view/749085-9" TargetMode="External"/><Relationship Id="rId3261" Type="http://schemas.openxmlformats.org/officeDocument/2006/relationships/hyperlink" Target="https://webagentes.canaldirecto.com.ar/incidents/view/808924-3" TargetMode="External"/><Relationship Id="rId3359" Type="http://schemas.openxmlformats.org/officeDocument/2006/relationships/hyperlink" Target="https://webagentes.canaldirecto.com.ar/incidents/view/812059-5" TargetMode="External"/><Relationship Id="rId3566" Type="http://schemas.openxmlformats.org/officeDocument/2006/relationships/hyperlink" Target="https://webagentes.canaldirecto.com.ar/incidents/view/818428-3" TargetMode="External"/><Relationship Id="rId487" Type="http://schemas.openxmlformats.org/officeDocument/2006/relationships/hyperlink" Target="https://webagentes.canaldirecto.com.ar/incidents/view/689644-5" TargetMode="External"/><Relationship Id="rId694" Type="http://schemas.openxmlformats.org/officeDocument/2006/relationships/hyperlink" Target="https://webagentes.canaldirecto.com.ar/incidents/view/697772-2" TargetMode="External"/><Relationship Id="rId2070" Type="http://schemas.openxmlformats.org/officeDocument/2006/relationships/hyperlink" Target="https://webagentes.canaldirecto.com.ar/incidents/view/760196-9" TargetMode="External"/><Relationship Id="rId2168" Type="http://schemas.openxmlformats.org/officeDocument/2006/relationships/hyperlink" Target="https://webagentes.canaldirecto.com.ar/incidents/view/765077-0" TargetMode="External"/><Relationship Id="rId2375" Type="http://schemas.openxmlformats.org/officeDocument/2006/relationships/hyperlink" Target="https://webagentes.canaldirecto.com.ar/incidents/view/780351-2" TargetMode="External"/><Relationship Id="rId3121" Type="http://schemas.openxmlformats.org/officeDocument/2006/relationships/hyperlink" Target="https://webagentes.canaldirecto.com.ar/incidents/view/802414-9" TargetMode="External"/><Relationship Id="rId3219" Type="http://schemas.openxmlformats.org/officeDocument/2006/relationships/hyperlink" Target="https://webagentes.canaldirecto.com.ar/incidents/view/803852-2" TargetMode="External"/><Relationship Id="rId3773" Type="http://schemas.openxmlformats.org/officeDocument/2006/relationships/hyperlink" Target="https://webagentes.canaldirecto.com.ar/incidents/view/824120-5" TargetMode="External"/><Relationship Id="rId347" Type="http://schemas.openxmlformats.org/officeDocument/2006/relationships/hyperlink" Target="https://webagentes.canaldirecto.com.ar/incidents/view/678993-2" TargetMode="External"/><Relationship Id="rId999" Type="http://schemas.openxmlformats.org/officeDocument/2006/relationships/hyperlink" Target="https://webagentes.canaldirecto.com.ar/incidents/view/717060-9" TargetMode="External"/><Relationship Id="rId1184" Type="http://schemas.openxmlformats.org/officeDocument/2006/relationships/hyperlink" Target="https://webagentes.canaldirecto.com.ar/incidents/view/721877-8" TargetMode="External"/><Relationship Id="rId2028" Type="http://schemas.openxmlformats.org/officeDocument/2006/relationships/hyperlink" Target="https://webagentes.canaldirecto.com.ar/incidents/view/756407-5" TargetMode="External"/><Relationship Id="rId2582" Type="http://schemas.openxmlformats.org/officeDocument/2006/relationships/hyperlink" Target="https://webagentes.canaldirecto.com.ar/incidents/view/783105-6" TargetMode="External"/><Relationship Id="rId2887" Type="http://schemas.openxmlformats.org/officeDocument/2006/relationships/hyperlink" Target="https://webagentes.canaldirecto.com.ar/incidents/view/792106-7" TargetMode="External"/><Relationship Id="rId3426" Type="http://schemas.openxmlformats.org/officeDocument/2006/relationships/hyperlink" Target="https://webagentes.canaldirecto.com.ar/incidents/view/809151-2" TargetMode="External"/><Relationship Id="rId3633" Type="http://schemas.openxmlformats.org/officeDocument/2006/relationships/hyperlink" Target="https://webagentes.canaldirecto.com.ar/incidents/view/813012-1" TargetMode="External"/><Relationship Id="rId3840" Type="http://schemas.openxmlformats.org/officeDocument/2006/relationships/hyperlink" Target="https://webagentes.canaldirecto.com.ar/incidents/view/826857-6" TargetMode="External"/><Relationship Id="rId554" Type="http://schemas.openxmlformats.org/officeDocument/2006/relationships/hyperlink" Target="https://webagentes.canaldirecto.com.ar/incidents/view/692051-1" TargetMode="External"/><Relationship Id="rId761" Type="http://schemas.openxmlformats.org/officeDocument/2006/relationships/hyperlink" Target="https://webagentes.canaldirecto.com.ar/incidents/view/706175-4" TargetMode="External"/><Relationship Id="rId859" Type="http://schemas.openxmlformats.org/officeDocument/2006/relationships/hyperlink" Target="https://webagentes.canaldirecto.com.ar/incidents/view/708010-2" TargetMode="External"/><Relationship Id="rId1391" Type="http://schemas.openxmlformats.org/officeDocument/2006/relationships/hyperlink" Target="https://webagentes.canaldirecto.com.ar/incidents/view/731918-3" TargetMode="External"/><Relationship Id="rId1489" Type="http://schemas.openxmlformats.org/officeDocument/2006/relationships/hyperlink" Target="https://webagentes.canaldirecto.com.ar/incidents/view/737330-3" TargetMode="External"/><Relationship Id="rId1696" Type="http://schemas.openxmlformats.org/officeDocument/2006/relationships/hyperlink" Target="https://webagentes.canaldirecto.com.ar/incidents/view/746254-6" TargetMode="External"/><Relationship Id="rId2235" Type="http://schemas.openxmlformats.org/officeDocument/2006/relationships/hyperlink" Target="https://webagentes.canaldirecto.com.ar/incidents/view/770792-6" TargetMode="External"/><Relationship Id="rId2442" Type="http://schemas.openxmlformats.org/officeDocument/2006/relationships/hyperlink" Target="https://webagentes.canaldirecto.com.ar/incidents/view/779134-1" TargetMode="External"/><Relationship Id="rId3700" Type="http://schemas.openxmlformats.org/officeDocument/2006/relationships/hyperlink" Target="https://webagentes.canaldirecto.com.ar/incidents/view/820360-3" TargetMode="External"/><Relationship Id="rId3938" Type="http://schemas.openxmlformats.org/officeDocument/2006/relationships/hyperlink" Target="https://webagentes.canaldirecto.com.ar/incidents/view/829637-5" TargetMode="External"/><Relationship Id="rId207" Type="http://schemas.openxmlformats.org/officeDocument/2006/relationships/hyperlink" Target="https://webagentes.canaldirecto.com.ar/incidents/view/670211-9" TargetMode="External"/><Relationship Id="rId414" Type="http://schemas.openxmlformats.org/officeDocument/2006/relationships/hyperlink" Target="https://webagentes.canaldirecto.com.ar/incidents/view/681863-2" TargetMode="External"/><Relationship Id="rId621" Type="http://schemas.openxmlformats.org/officeDocument/2006/relationships/hyperlink" Target="https://webagentes.canaldirecto.com.ar/incidents/view/693465-7" TargetMode="External"/><Relationship Id="rId1044" Type="http://schemas.openxmlformats.org/officeDocument/2006/relationships/hyperlink" Target="https://webagentes.canaldirecto.com.ar/incidents/view/716428-2" TargetMode="External"/><Relationship Id="rId1251" Type="http://schemas.openxmlformats.org/officeDocument/2006/relationships/hyperlink" Target="https://webagentes.canaldirecto.com.ar/incidents/view/728366-6" TargetMode="External"/><Relationship Id="rId1349" Type="http://schemas.openxmlformats.org/officeDocument/2006/relationships/hyperlink" Target="https://webagentes.canaldirecto.com.ar/incidents/view/726881-6" TargetMode="External"/><Relationship Id="rId2302" Type="http://schemas.openxmlformats.org/officeDocument/2006/relationships/hyperlink" Target="https://webagentes.canaldirecto.com.ar/incidents/view/772829-3" TargetMode="External"/><Relationship Id="rId2747" Type="http://schemas.openxmlformats.org/officeDocument/2006/relationships/hyperlink" Target="https://webagentes.canaldirecto.com.ar/incidents/view/791173-2" TargetMode="External"/><Relationship Id="rId2954" Type="http://schemas.openxmlformats.org/officeDocument/2006/relationships/hyperlink" Target="https://webagentes.canaldirecto.com.ar/incidents/view/795872-4" TargetMode="External"/><Relationship Id="rId719" Type="http://schemas.openxmlformats.org/officeDocument/2006/relationships/hyperlink" Target="https://webagentes.canaldirecto.com.ar/incidents/view/702933-2" TargetMode="External"/><Relationship Id="rId926" Type="http://schemas.openxmlformats.org/officeDocument/2006/relationships/hyperlink" Target="https://webagentes.canaldirecto.com.ar/incidents/view/712191-3" TargetMode="External"/><Relationship Id="rId1111" Type="http://schemas.openxmlformats.org/officeDocument/2006/relationships/hyperlink" Target="https://webagentes.canaldirecto.com.ar/incidents/view/720064-5" TargetMode="External"/><Relationship Id="rId1556" Type="http://schemas.openxmlformats.org/officeDocument/2006/relationships/hyperlink" Target="https://webagentes.canaldirecto.com.ar/incidents/view/744535-4" TargetMode="External"/><Relationship Id="rId1763" Type="http://schemas.openxmlformats.org/officeDocument/2006/relationships/hyperlink" Target="https://webagentes.canaldirecto.com.ar/incidents/view/749356-4" TargetMode="External"/><Relationship Id="rId1970" Type="http://schemas.openxmlformats.org/officeDocument/2006/relationships/hyperlink" Target="https://webagentes.canaldirecto.com.ar/incidents/view/755184-0" TargetMode="External"/><Relationship Id="rId2607" Type="http://schemas.openxmlformats.org/officeDocument/2006/relationships/hyperlink" Target="https://webagentes.canaldirecto.com.ar/incidents/view/782652-2" TargetMode="External"/><Relationship Id="rId2814" Type="http://schemas.openxmlformats.org/officeDocument/2006/relationships/hyperlink" Target="https://webagentes.canaldirecto.com.ar/incidents/view/794391-7" TargetMode="External"/><Relationship Id="rId55" Type="http://schemas.openxmlformats.org/officeDocument/2006/relationships/hyperlink" Target="https://webagentes.canaldirecto.com.ar/incidents/view/655485-9" TargetMode="External"/><Relationship Id="rId1209" Type="http://schemas.openxmlformats.org/officeDocument/2006/relationships/hyperlink" Target="https://webagentes.canaldirecto.com.ar/incidents/view/719633-3" TargetMode="External"/><Relationship Id="rId1416" Type="http://schemas.openxmlformats.org/officeDocument/2006/relationships/hyperlink" Target="https://webagentes.canaldirecto.com.ar/incidents/view/736249-5" TargetMode="External"/><Relationship Id="rId1623" Type="http://schemas.openxmlformats.org/officeDocument/2006/relationships/hyperlink" Target="https://webagentes.canaldirecto.com.ar/incidents/view/743483-5" TargetMode="External"/><Relationship Id="rId1830" Type="http://schemas.openxmlformats.org/officeDocument/2006/relationships/hyperlink" Target="https://webagentes.canaldirecto.com.ar/incidents/view/747442-6" TargetMode="External"/><Relationship Id="rId3076" Type="http://schemas.openxmlformats.org/officeDocument/2006/relationships/hyperlink" Target="https://webagentes.canaldirecto.com.ar/incidents/view/798259-0" TargetMode="External"/><Relationship Id="rId3283" Type="http://schemas.openxmlformats.org/officeDocument/2006/relationships/hyperlink" Target="https://webagentes.canaldirecto.com.ar/incidents/view/807170-3" TargetMode="External"/><Relationship Id="rId3490" Type="http://schemas.openxmlformats.org/officeDocument/2006/relationships/hyperlink" Target="https://webagentes.canaldirecto.com.ar/incidents/view/814267-6" TargetMode="External"/><Relationship Id="rId1928" Type="http://schemas.openxmlformats.org/officeDocument/2006/relationships/hyperlink" Target="https://webagentes.canaldirecto.com.ar/incidents/view/752891-2" TargetMode="External"/><Relationship Id="rId2092" Type="http://schemas.openxmlformats.org/officeDocument/2006/relationships/hyperlink" Target="https://webagentes.canaldirecto.com.ar/incidents/view/758784-5" TargetMode="External"/><Relationship Id="rId3143" Type="http://schemas.openxmlformats.org/officeDocument/2006/relationships/hyperlink" Target="https://webagentes.canaldirecto.com.ar/incidents/view/801336-5" TargetMode="External"/><Relationship Id="rId3350" Type="http://schemas.openxmlformats.org/officeDocument/2006/relationships/hyperlink" Target="https://webagentes.canaldirecto.com.ar/incidents/view/812186-8" TargetMode="External"/><Relationship Id="rId3588" Type="http://schemas.openxmlformats.org/officeDocument/2006/relationships/hyperlink" Target="https://webagentes.canaldirecto.com.ar/incidents/view/817725-6" TargetMode="External"/><Relationship Id="rId3795" Type="http://schemas.openxmlformats.org/officeDocument/2006/relationships/hyperlink" Target="https://webagentes.canaldirecto.com.ar/incidents/view/823112-9" TargetMode="External"/><Relationship Id="rId271" Type="http://schemas.openxmlformats.org/officeDocument/2006/relationships/hyperlink" Target="https://webagentes.canaldirecto.com.ar/incidents/view/675604-0" TargetMode="External"/><Relationship Id="rId2397" Type="http://schemas.openxmlformats.org/officeDocument/2006/relationships/hyperlink" Target="https://webagentes.canaldirecto.com.ar/incidents/view/779743-3" TargetMode="External"/><Relationship Id="rId3003" Type="http://schemas.openxmlformats.org/officeDocument/2006/relationships/hyperlink" Target="https://webagentes.canaldirecto.com.ar/incidents/view/800131-5" TargetMode="External"/><Relationship Id="rId3448" Type="http://schemas.openxmlformats.org/officeDocument/2006/relationships/hyperlink" Target="https://webagentes.canaldirecto.com.ar/incidents/view/816254-6" TargetMode="External"/><Relationship Id="rId3655" Type="http://schemas.openxmlformats.org/officeDocument/2006/relationships/hyperlink" Target="https://webagentes.canaldirecto.com.ar/incidents/view/822071-6" TargetMode="External"/><Relationship Id="rId3862" Type="http://schemas.openxmlformats.org/officeDocument/2006/relationships/hyperlink" Target="https://webagentes.canaldirecto.com.ar/incidents/view/825965-7" TargetMode="External"/><Relationship Id="rId131" Type="http://schemas.openxmlformats.org/officeDocument/2006/relationships/hyperlink" Target="https://webagentes.canaldirecto.com.ar/incidents/view/668596-4" TargetMode="External"/><Relationship Id="rId369" Type="http://schemas.openxmlformats.org/officeDocument/2006/relationships/hyperlink" Target="https://webagentes.canaldirecto.com.ar/incidents/view/678087-0" TargetMode="External"/><Relationship Id="rId576" Type="http://schemas.openxmlformats.org/officeDocument/2006/relationships/hyperlink" Target="https://webagentes.canaldirecto.com.ar/incidents/view/690404-5" TargetMode="External"/><Relationship Id="rId783" Type="http://schemas.openxmlformats.org/officeDocument/2006/relationships/hyperlink" Target="https://webagentes.canaldirecto.com.ar/incidents/view/705070-3" TargetMode="External"/><Relationship Id="rId990" Type="http://schemas.openxmlformats.org/officeDocument/2006/relationships/hyperlink" Target="https://webagentes.canaldirecto.com.ar/incidents/view/717505-7" TargetMode="External"/><Relationship Id="rId2257" Type="http://schemas.openxmlformats.org/officeDocument/2006/relationships/hyperlink" Target="https://webagentes.canaldirecto.com.ar/incidents/view/769885-9" TargetMode="External"/><Relationship Id="rId2464" Type="http://schemas.openxmlformats.org/officeDocument/2006/relationships/hyperlink" Target="https://webagentes.canaldirecto.com.ar/incidents/view/777739-6" TargetMode="External"/><Relationship Id="rId2671" Type="http://schemas.openxmlformats.org/officeDocument/2006/relationships/hyperlink" Target="https://webagentes.canaldirecto.com.ar/incidents/view/789226-0" TargetMode="External"/><Relationship Id="rId3210" Type="http://schemas.openxmlformats.org/officeDocument/2006/relationships/hyperlink" Target="https://webagentes.canaldirecto.com.ar/incidents/view/804325-0" TargetMode="External"/><Relationship Id="rId3308" Type="http://schemas.openxmlformats.org/officeDocument/2006/relationships/hyperlink" Target="https://webagentes.canaldirecto.com.ar/incidents/view/813221-7" TargetMode="External"/><Relationship Id="rId3515" Type="http://schemas.openxmlformats.org/officeDocument/2006/relationships/hyperlink" Target="https://webagentes.canaldirecto.com.ar/incidents/view/819621-5" TargetMode="External"/><Relationship Id="rId229" Type="http://schemas.openxmlformats.org/officeDocument/2006/relationships/hyperlink" Target="https://webagentes.canaldirecto.com.ar/incidents/view/676928-4" TargetMode="External"/><Relationship Id="rId436" Type="http://schemas.openxmlformats.org/officeDocument/2006/relationships/hyperlink" Target="https://webagentes.canaldirecto.com.ar/incidents/view/686033-4" TargetMode="External"/><Relationship Id="rId643" Type="http://schemas.openxmlformats.org/officeDocument/2006/relationships/hyperlink" Target="https://webagentes.canaldirecto.com.ar/incidents/view/697607-9" TargetMode="External"/><Relationship Id="rId1066" Type="http://schemas.openxmlformats.org/officeDocument/2006/relationships/hyperlink" Target="https://webagentes.canaldirecto.com.ar/incidents/view/716185-0" TargetMode="External"/><Relationship Id="rId1273" Type="http://schemas.openxmlformats.org/officeDocument/2006/relationships/hyperlink" Target="https://webagentes.canaldirecto.com.ar/incidents/view/727419-0" TargetMode="External"/><Relationship Id="rId1480" Type="http://schemas.openxmlformats.org/officeDocument/2006/relationships/hyperlink" Target="https://webagentes.canaldirecto.com.ar/incidents/view/737769-1" TargetMode="External"/><Relationship Id="rId2117" Type="http://schemas.openxmlformats.org/officeDocument/2006/relationships/hyperlink" Target="https://webagentes.canaldirecto.com.ar/incidents/view/762540-0" TargetMode="External"/><Relationship Id="rId2324" Type="http://schemas.openxmlformats.org/officeDocument/2006/relationships/hyperlink" Target="https://webagentes.canaldirecto.com.ar/incidents/view/771898-6" TargetMode="External"/><Relationship Id="rId2769" Type="http://schemas.openxmlformats.org/officeDocument/2006/relationships/hyperlink" Target="https://webagentes.canaldirecto.com.ar/incidents/view/789543-4" TargetMode="External"/><Relationship Id="rId2976" Type="http://schemas.openxmlformats.org/officeDocument/2006/relationships/hyperlink" Target="https://webagentes.canaldirecto.com.ar/incidents/view/795573-6" TargetMode="External"/><Relationship Id="rId3722" Type="http://schemas.openxmlformats.org/officeDocument/2006/relationships/hyperlink" Target="https://webagentes.canaldirecto.com.ar/incidents/view/818426-5" TargetMode="External"/><Relationship Id="rId850" Type="http://schemas.openxmlformats.org/officeDocument/2006/relationships/hyperlink" Target="https://webagentes.canaldirecto.com.ar/incidents/view/708353-4" TargetMode="External"/><Relationship Id="rId948" Type="http://schemas.openxmlformats.org/officeDocument/2006/relationships/hyperlink" Target="https://webagentes.canaldirecto.com.ar/incidents/view/712032-1" TargetMode="External"/><Relationship Id="rId1133" Type="http://schemas.openxmlformats.org/officeDocument/2006/relationships/hyperlink" Target="https://webagentes.canaldirecto.com.ar/incidents/view/719166-6" TargetMode="External"/><Relationship Id="rId1578" Type="http://schemas.openxmlformats.org/officeDocument/2006/relationships/hyperlink" Target="https://webagentes.canaldirecto.com.ar/incidents/view/744267-6" TargetMode="External"/><Relationship Id="rId1785" Type="http://schemas.openxmlformats.org/officeDocument/2006/relationships/hyperlink" Target="https://webagentes.canaldirecto.com.ar/incidents/view/748683-8" TargetMode="External"/><Relationship Id="rId1992" Type="http://schemas.openxmlformats.org/officeDocument/2006/relationships/hyperlink" Target="https://webagentes.canaldirecto.com.ar/incidents/view/754359-5" TargetMode="External"/><Relationship Id="rId2531" Type="http://schemas.openxmlformats.org/officeDocument/2006/relationships/hyperlink" Target="https://webagentes.canaldirecto.com.ar/incidents/view/781631-2" TargetMode="External"/><Relationship Id="rId2629" Type="http://schemas.openxmlformats.org/officeDocument/2006/relationships/hyperlink" Target="https://webagentes.canaldirecto.com.ar/incidents/view/787007-3" TargetMode="External"/><Relationship Id="rId2836" Type="http://schemas.openxmlformats.org/officeDocument/2006/relationships/hyperlink" Target="https://webagentes.canaldirecto.com.ar/incidents/view/793946-4" TargetMode="External"/><Relationship Id="rId77" Type="http://schemas.openxmlformats.org/officeDocument/2006/relationships/hyperlink" Target="https://webagentes.canaldirecto.com.ar/incidents/view/665254-0" TargetMode="External"/><Relationship Id="rId503" Type="http://schemas.openxmlformats.org/officeDocument/2006/relationships/hyperlink" Target="https://webagentes.canaldirecto.com.ar/incidents/view/689376-7" TargetMode="External"/><Relationship Id="rId710" Type="http://schemas.openxmlformats.org/officeDocument/2006/relationships/hyperlink" Target="https://webagentes.canaldirecto.com.ar/incidents/view/703478-7" TargetMode="External"/><Relationship Id="rId808" Type="http://schemas.openxmlformats.org/officeDocument/2006/relationships/hyperlink" Target="https://webagentes.canaldirecto.com.ar/incidents/view/711311-8" TargetMode="External"/><Relationship Id="rId1340" Type="http://schemas.openxmlformats.org/officeDocument/2006/relationships/hyperlink" Target="https://webagentes.canaldirecto.com.ar/incidents/view/728718-5" TargetMode="External"/><Relationship Id="rId1438" Type="http://schemas.openxmlformats.org/officeDocument/2006/relationships/hyperlink" Target="https://webagentes.canaldirecto.com.ar/incidents/view/735396-5" TargetMode="External"/><Relationship Id="rId1645" Type="http://schemas.openxmlformats.org/officeDocument/2006/relationships/hyperlink" Target="https://webagentes.canaldirecto.com.ar/incidents/view/742676-6" TargetMode="External"/><Relationship Id="rId3098" Type="http://schemas.openxmlformats.org/officeDocument/2006/relationships/hyperlink" Target="https://webagentes.canaldirecto.com.ar/incidents/view/803258-2" TargetMode="External"/><Relationship Id="rId1200" Type="http://schemas.openxmlformats.org/officeDocument/2006/relationships/hyperlink" Target="https://webagentes.canaldirecto.com.ar/incidents/view/721536-4" TargetMode="External"/><Relationship Id="rId1852" Type="http://schemas.openxmlformats.org/officeDocument/2006/relationships/hyperlink" Target="https://webagentes.canaldirecto.com.ar/incidents/view/751536-1" TargetMode="External"/><Relationship Id="rId2903" Type="http://schemas.openxmlformats.org/officeDocument/2006/relationships/hyperlink" Target="https://webagentes.canaldirecto.com.ar/incidents/view/797550-9" TargetMode="External"/><Relationship Id="rId1505" Type="http://schemas.openxmlformats.org/officeDocument/2006/relationships/hyperlink" Target="https://webagentes.canaldirecto.com.ar/incidents/view/736260-8" TargetMode="External"/><Relationship Id="rId1712" Type="http://schemas.openxmlformats.org/officeDocument/2006/relationships/hyperlink" Target="https://webagentes.canaldirecto.com.ar/incidents/view/745924-1" TargetMode="External"/><Relationship Id="rId3165" Type="http://schemas.openxmlformats.org/officeDocument/2006/relationships/hyperlink" Target="https://webagentes.canaldirecto.com.ar/incidents/view/796557-5" TargetMode="External"/><Relationship Id="rId3372" Type="http://schemas.openxmlformats.org/officeDocument/2006/relationships/hyperlink" Target="https://webagentes.canaldirecto.com.ar/incidents/view/811715-7" TargetMode="External"/><Relationship Id="rId293" Type="http://schemas.openxmlformats.org/officeDocument/2006/relationships/hyperlink" Target="https://webagentes.canaldirecto.com.ar/incidents/view/674659-3" TargetMode="External"/><Relationship Id="rId2181" Type="http://schemas.openxmlformats.org/officeDocument/2006/relationships/hyperlink" Target="https://webagentes.canaldirecto.com.ar/incidents/view/764081-6" TargetMode="External"/><Relationship Id="rId3025" Type="http://schemas.openxmlformats.org/officeDocument/2006/relationships/hyperlink" Target="https://webagentes.canaldirecto.com.ar/incidents/view/799773-2" TargetMode="External"/><Relationship Id="rId3232" Type="http://schemas.openxmlformats.org/officeDocument/2006/relationships/hyperlink" Target="https://webagentes.canaldirecto.com.ar/incidents/view/809631-3" TargetMode="External"/><Relationship Id="rId3677" Type="http://schemas.openxmlformats.org/officeDocument/2006/relationships/hyperlink" Target="https://webagentes.canaldirecto.com.ar/incidents/view/821767-9" TargetMode="External"/><Relationship Id="rId3884" Type="http://schemas.openxmlformats.org/officeDocument/2006/relationships/hyperlink" Target="https://webagentes.canaldirecto.com.ar/incidents/view/822069-1" TargetMode="External"/><Relationship Id="rId153" Type="http://schemas.openxmlformats.org/officeDocument/2006/relationships/hyperlink" Target="https://webagentes.canaldirecto.com.ar/incidents/view/674324-0" TargetMode="External"/><Relationship Id="rId360" Type="http://schemas.openxmlformats.org/officeDocument/2006/relationships/hyperlink" Target="https://webagentes.canaldirecto.com.ar/incidents/view/678236-4" TargetMode="External"/><Relationship Id="rId598" Type="http://schemas.openxmlformats.org/officeDocument/2006/relationships/hyperlink" Target="https://webagentes.canaldirecto.com.ar/incidents/view/695088-6" TargetMode="External"/><Relationship Id="rId2041" Type="http://schemas.openxmlformats.org/officeDocument/2006/relationships/hyperlink" Target="https://webagentes.canaldirecto.com.ar/incidents/view/760866-1" TargetMode="External"/><Relationship Id="rId2279" Type="http://schemas.openxmlformats.org/officeDocument/2006/relationships/hyperlink" Target="https://webagentes.canaldirecto.com.ar/incidents/view/774418-5" TargetMode="External"/><Relationship Id="rId2486" Type="http://schemas.openxmlformats.org/officeDocument/2006/relationships/hyperlink" Target="https://webagentes.canaldirecto.com.ar/incidents/view/782739-0" TargetMode="External"/><Relationship Id="rId2693" Type="http://schemas.openxmlformats.org/officeDocument/2006/relationships/hyperlink" Target="https://webagentes.canaldirecto.com.ar/incidents/view/788343-9" TargetMode="External"/><Relationship Id="rId3537" Type="http://schemas.openxmlformats.org/officeDocument/2006/relationships/hyperlink" Target="https://webagentes.canaldirecto.com.ar/incidents/view/818677-7" TargetMode="External"/><Relationship Id="rId3744" Type="http://schemas.openxmlformats.org/officeDocument/2006/relationships/hyperlink" Target="https://webagentes.canaldirecto.com.ar/incidents/view/824672-3" TargetMode="External"/><Relationship Id="rId3951" Type="http://schemas.openxmlformats.org/officeDocument/2006/relationships/hyperlink" Target="https://webagentes.canaldirecto.com.ar/incidents/view/829482-7" TargetMode="External"/><Relationship Id="rId220" Type="http://schemas.openxmlformats.org/officeDocument/2006/relationships/hyperlink" Target="https://webagentes.canaldirecto.com.ar/incidents/view/662360-9" TargetMode="External"/><Relationship Id="rId458" Type="http://schemas.openxmlformats.org/officeDocument/2006/relationships/hyperlink" Target="https://webagentes.canaldirecto.com.ar/incidents/view/684534-4" TargetMode="External"/><Relationship Id="rId665" Type="http://schemas.openxmlformats.org/officeDocument/2006/relationships/hyperlink" Target="https://webagentes.canaldirecto.com.ar/incidents/view/701123-6" TargetMode="External"/><Relationship Id="rId872" Type="http://schemas.openxmlformats.org/officeDocument/2006/relationships/hyperlink" Target="https://webagentes.canaldirecto.com.ar/incidents/view/706389-5" TargetMode="External"/><Relationship Id="rId1088" Type="http://schemas.openxmlformats.org/officeDocument/2006/relationships/hyperlink" Target="https://webagentes.canaldirecto.com.ar/incidents/view/710781-6" TargetMode="External"/><Relationship Id="rId1295" Type="http://schemas.openxmlformats.org/officeDocument/2006/relationships/hyperlink" Target="https://webagentes.canaldirecto.com.ar/incidents/view/726561-5" TargetMode="External"/><Relationship Id="rId2139" Type="http://schemas.openxmlformats.org/officeDocument/2006/relationships/hyperlink" Target="https://webagentes.canaldirecto.com.ar/incidents/view/761328-3" TargetMode="External"/><Relationship Id="rId2346" Type="http://schemas.openxmlformats.org/officeDocument/2006/relationships/hyperlink" Target="https://webagentes.canaldirecto.com.ar/incidents/view/776032-3" TargetMode="External"/><Relationship Id="rId2553" Type="http://schemas.openxmlformats.org/officeDocument/2006/relationships/hyperlink" Target="https://webagentes.canaldirecto.com.ar/incidents/view/779496-8" TargetMode="External"/><Relationship Id="rId2760" Type="http://schemas.openxmlformats.org/officeDocument/2006/relationships/hyperlink" Target="https://webagentes.canaldirecto.com.ar/incidents/view/789943-0" TargetMode="External"/><Relationship Id="rId2998" Type="http://schemas.openxmlformats.org/officeDocument/2006/relationships/hyperlink" Target="https://webagentes.canaldirecto.com.ar/incidents/view/800427-9" TargetMode="External"/><Relationship Id="rId3604" Type="http://schemas.openxmlformats.org/officeDocument/2006/relationships/hyperlink" Target="https://webagentes.canaldirecto.com.ar/incidents/view/817539-1" TargetMode="External"/><Relationship Id="rId3811" Type="http://schemas.openxmlformats.org/officeDocument/2006/relationships/hyperlink" Target="https://webagentes.canaldirecto.com.ar/incidents/view/827925-3" TargetMode="External"/><Relationship Id="rId318" Type="http://schemas.openxmlformats.org/officeDocument/2006/relationships/hyperlink" Target="https://webagentes.canaldirecto.com.ar/incidents/view/673686-0" TargetMode="External"/><Relationship Id="rId525" Type="http://schemas.openxmlformats.org/officeDocument/2006/relationships/hyperlink" Target="https://webagentes.canaldirecto.com.ar/incidents/view/688152-2" TargetMode="External"/><Relationship Id="rId732" Type="http://schemas.openxmlformats.org/officeDocument/2006/relationships/hyperlink" Target="https://webagentes.canaldirecto.com.ar/incidents/view/702220-5" TargetMode="External"/><Relationship Id="rId1155" Type="http://schemas.openxmlformats.org/officeDocument/2006/relationships/hyperlink" Target="https://webagentes.canaldirecto.com.ar/incidents/view/717790-3" TargetMode="External"/><Relationship Id="rId1362" Type="http://schemas.openxmlformats.org/officeDocument/2006/relationships/hyperlink" Target="https://webagentes.canaldirecto.com.ar/incidents/view/732805-7" TargetMode="External"/><Relationship Id="rId2206" Type="http://schemas.openxmlformats.org/officeDocument/2006/relationships/hyperlink" Target="https://webagentes.canaldirecto.com.ar/incidents/view/767265-7" TargetMode="External"/><Relationship Id="rId2413" Type="http://schemas.openxmlformats.org/officeDocument/2006/relationships/hyperlink" Target="https://webagentes.canaldirecto.com.ar/incidents/view/779284-5" TargetMode="External"/><Relationship Id="rId2620" Type="http://schemas.openxmlformats.org/officeDocument/2006/relationships/hyperlink" Target="https://webagentes.canaldirecto.com.ar/incidents/view/787018-9" TargetMode="External"/><Relationship Id="rId2858" Type="http://schemas.openxmlformats.org/officeDocument/2006/relationships/hyperlink" Target="https://webagentes.canaldirecto.com.ar/incidents/view/792879-6" TargetMode="External"/><Relationship Id="rId3909" Type="http://schemas.openxmlformats.org/officeDocument/2006/relationships/hyperlink" Target="https://webagentes.canaldirecto.com.ar/incidents/view/830025-2" TargetMode="External"/><Relationship Id="rId99" Type="http://schemas.openxmlformats.org/officeDocument/2006/relationships/hyperlink" Target="https://webagentes.canaldirecto.com.ar/incidents/view/669556-3" TargetMode="External"/><Relationship Id="rId1015" Type="http://schemas.openxmlformats.org/officeDocument/2006/relationships/hyperlink" Target="https://webagentes.canaldirecto.com.ar/incidents/view/716914-4" TargetMode="External"/><Relationship Id="rId1222" Type="http://schemas.openxmlformats.org/officeDocument/2006/relationships/hyperlink" Target="https://webagentes.canaldirecto.com.ar/incidents/view/725129-6" TargetMode="External"/><Relationship Id="rId1667" Type="http://schemas.openxmlformats.org/officeDocument/2006/relationships/hyperlink" Target="https://webagentes.canaldirecto.com.ar/incidents/view/746805-4" TargetMode="External"/><Relationship Id="rId1874" Type="http://schemas.openxmlformats.org/officeDocument/2006/relationships/hyperlink" Target="https://webagentes.canaldirecto.com.ar/incidents/view/750687-7" TargetMode="External"/><Relationship Id="rId2718" Type="http://schemas.openxmlformats.org/officeDocument/2006/relationships/hyperlink" Target="https://webagentes.canaldirecto.com.ar/incidents/view/787334-4" TargetMode="External"/><Relationship Id="rId2925" Type="http://schemas.openxmlformats.org/officeDocument/2006/relationships/hyperlink" Target="https://webagentes.canaldirecto.com.ar/incidents/view/797099-3" TargetMode="External"/><Relationship Id="rId1527" Type="http://schemas.openxmlformats.org/officeDocument/2006/relationships/hyperlink" Target="https://webagentes.canaldirecto.com.ar/incidents/view/741183-4" TargetMode="External"/><Relationship Id="rId1734" Type="http://schemas.openxmlformats.org/officeDocument/2006/relationships/hyperlink" Target="https://webagentes.canaldirecto.com.ar/incidents/view/745598-0" TargetMode="External"/><Relationship Id="rId1941" Type="http://schemas.openxmlformats.org/officeDocument/2006/relationships/hyperlink" Target="https://webagentes.canaldirecto.com.ar/incidents/view/751849-2" TargetMode="External"/><Relationship Id="rId3187" Type="http://schemas.openxmlformats.org/officeDocument/2006/relationships/hyperlink" Target="https://webagentes.canaldirecto.com.ar/incidents/view/805551-0" TargetMode="External"/><Relationship Id="rId3394" Type="http://schemas.openxmlformats.org/officeDocument/2006/relationships/hyperlink" Target="https://webagentes.canaldirecto.com.ar/incidents/view/810990-9" TargetMode="External"/><Relationship Id="rId26" Type="http://schemas.openxmlformats.org/officeDocument/2006/relationships/hyperlink" Target="https://webagentes.canaldirecto.com.ar/incidents/view/662514-8" TargetMode="External"/><Relationship Id="rId3047" Type="http://schemas.openxmlformats.org/officeDocument/2006/relationships/hyperlink" Target="https://webagentes.canaldirecto.com.ar/incidents/view/799357-8" TargetMode="External"/><Relationship Id="rId3699" Type="http://schemas.openxmlformats.org/officeDocument/2006/relationships/hyperlink" Target="https://webagentes.canaldirecto.com.ar/incidents/view/820460-2" TargetMode="External"/><Relationship Id="rId175" Type="http://schemas.openxmlformats.org/officeDocument/2006/relationships/hyperlink" Target="https://webagentes.canaldirecto.com.ar/incidents/view/672146-0" TargetMode="External"/><Relationship Id="rId1801" Type="http://schemas.openxmlformats.org/officeDocument/2006/relationships/hyperlink" Target="https://webagentes.canaldirecto.com.ar/incidents/view/748511-2" TargetMode="External"/><Relationship Id="rId3254" Type="http://schemas.openxmlformats.org/officeDocument/2006/relationships/hyperlink" Target="https://webagentes.canaldirecto.com.ar/incidents/view/808961-4" TargetMode="External"/><Relationship Id="rId3461" Type="http://schemas.openxmlformats.org/officeDocument/2006/relationships/hyperlink" Target="https://webagentes.canaldirecto.com.ar/incidents/view/815674-9" TargetMode="External"/><Relationship Id="rId3559" Type="http://schemas.openxmlformats.org/officeDocument/2006/relationships/hyperlink" Target="https://webagentes.canaldirecto.com.ar/incidents/view/818459-3" TargetMode="External"/><Relationship Id="rId382" Type="http://schemas.openxmlformats.org/officeDocument/2006/relationships/hyperlink" Target="https://webagentes.canaldirecto.com.ar/incidents/view/677724-7" TargetMode="External"/><Relationship Id="rId687" Type="http://schemas.openxmlformats.org/officeDocument/2006/relationships/hyperlink" Target="https://webagentes.canaldirecto.com.ar/incidents/view/698820-5" TargetMode="External"/><Relationship Id="rId2063" Type="http://schemas.openxmlformats.org/officeDocument/2006/relationships/hyperlink" Target="https://webagentes.canaldirecto.com.ar/incidents/view/760789-3" TargetMode="External"/><Relationship Id="rId2270" Type="http://schemas.openxmlformats.org/officeDocument/2006/relationships/hyperlink" Target="https://webagentes.canaldirecto.com.ar/incidents/view/768925-9" TargetMode="External"/><Relationship Id="rId2368" Type="http://schemas.openxmlformats.org/officeDocument/2006/relationships/hyperlink" Target="https://webagentes.canaldirecto.com.ar/incidents/view/780444-1" TargetMode="External"/><Relationship Id="rId3114" Type="http://schemas.openxmlformats.org/officeDocument/2006/relationships/hyperlink" Target="https://webagentes.canaldirecto.com.ar/incidents/view/802474-1" TargetMode="External"/><Relationship Id="rId3321" Type="http://schemas.openxmlformats.org/officeDocument/2006/relationships/hyperlink" Target="https://webagentes.canaldirecto.com.ar/incidents/view/812857-9" TargetMode="External"/><Relationship Id="rId3766" Type="http://schemas.openxmlformats.org/officeDocument/2006/relationships/hyperlink" Target="https://webagentes.canaldirecto.com.ar/incidents/view/824131-1" TargetMode="External"/><Relationship Id="rId3973" Type="http://schemas.openxmlformats.org/officeDocument/2006/relationships/hyperlink" Target="https://webagentes.canaldirecto.com.ar/incidents/view/811742-1" TargetMode="External"/><Relationship Id="rId242" Type="http://schemas.openxmlformats.org/officeDocument/2006/relationships/hyperlink" Target="https://webagentes.canaldirecto.com.ar/incidents/view/676748-0" TargetMode="External"/><Relationship Id="rId894" Type="http://schemas.openxmlformats.org/officeDocument/2006/relationships/hyperlink" Target="https://webagentes.canaldirecto.com.ar/incidents/view/712861-5" TargetMode="External"/><Relationship Id="rId1177" Type="http://schemas.openxmlformats.org/officeDocument/2006/relationships/hyperlink" Target="https://webagentes.canaldirecto.com.ar/incidents/view/722084-3" TargetMode="External"/><Relationship Id="rId2130" Type="http://schemas.openxmlformats.org/officeDocument/2006/relationships/hyperlink" Target="https://webagentes.canaldirecto.com.ar/incidents/view/762100-6" TargetMode="External"/><Relationship Id="rId2575" Type="http://schemas.openxmlformats.org/officeDocument/2006/relationships/hyperlink" Target="https://webagentes.canaldirecto.com.ar/incidents/view/783910-0" TargetMode="External"/><Relationship Id="rId2782" Type="http://schemas.openxmlformats.org/officeDocument/2006/relationships/hyperlink" Target="https://webagentes.canaldirecto.com.ar/incidents/view/791179-6" TargetMode="External"/><Relationship Id="rId3419" Type="http://schemas.openxmlformats.org/officeDocument/2006/relationships/hyperlink" Target="https://webagentes.canaldirecto.com.ar/incidents/view/809799-6" TargetMode="External"/><Relationship Id="rId3626" Type="http://schemas.openxmlformats.org/officeDocument/2006/relationships/hyperlink" Target="https://webagentes.canaldirecto.com.ar/incidents/view/816766-6" TargetMode="External"/><Relationship Id="rId3833" Type="http://schemas.openxmlformats.org/officeDocument/2006/relationships/hyperlink" Target="https://webagentes.canaldirecto.com.ar/incidents/view/827245-4" TargetMode="External"/><Relationship Id="rId102" Type="http://schemas.openxmlformats.org/officeDocument/2006/relationships/hyperlink" Target="https://webagentes.canaldirecto.com.ar/incidents/view/669388-4" TargetMode="External"/><Relationship Id="rId547" Type="http://schemas.openxmlformats.org/officeDocument/2006/relationships/hyperlink" Target="https://webagentes.canaldirecto.com.ar/incidents/view/686659-6" TargetMode="External"/><Relationship Id="rId754" Type="http://schemas.openxmlformats.org/officeDocument/2006/relationships/hyperlink" Target="https://webagentes.canaldirecto.com.ar/incidents/view/692617-1" TargetMode="External"/><Relationship Id="rId961" Type="http://schemas.openxmlformats.org/officeDocument/2006/relationships/hyperlink" Target="https://webagentes.canaldirecto.com.ar/incidents/view/711800-7" TargetMode="External"/><Relationship Id="rId1384" Type="http://schemas.openxmlformats.org/officeDocument/2006/relationships/hyperlink" Target="https://webagentes.canaldirecto.com.ar/incidents/view/732646-6" TargetMode="External"/><Relationship Id="rId1591" Type="http://schemas.openxmlformats.org/officeDocument/2006/relationships/hyperlink" Target="https://webagentes.canaldirecto.com.ar/incidents/view/744006-7" TargetMode="External"/><Relationship Id="rId1689" Type="http://schemas.openxmlformats.org/officeDocument/2006/relationships/hyperlink" Target="https://webagentes.canaldirecto.com.ar/incidents/view/746306-8" TargetMode="External"/><Relationship Id="rId2228" Type="http://schemas.openxmlformats.org/officeDocument/2006/relationships/hyperlink" Target="https://webagentes.canaldirecto.com.ar/incidents/view/771093-9" TargetMode="External"/><Relationship Id="rId2435" Type="http://schemas.openxmlformats.org/officeDocument/2006/relationships/hyperlink" Target="https://webagentes.canaldirecto.com.ar/incidents/view/779142-0" TargetMode="External"/><Relationship Id="rId2642" Type="http://schemas.openxmlformats.org/officeDocument/2006/relationships/hyperlink" Target="https://webagentes.canaldirecto.com.ar/incidents/view/786163-1" TargetMode="External"/><Relationship Id="rId3900" Type="http://schemas.openxmlformats.org/officeDocument/2006/relationships/hyperlink" Target="https://webagentes.canaldirecto.com.ar/incidents/view/830570-7" TargetMode="External"/><Relationship Id="rId90" Type="http://schemas.openxmlformats.org/officeDocument/2006/relationships/hyperlink" Target="https://webagentes.canaldirecto.com.ar/incidents/view/670921-9" TargetMode="External"/><Relationship Id="rId407" Type="http://schemas.openxmlformats.org/officeDocument/2006/relationships/hyperlink" Target="https://webagentes.canaldirecto.com.ar/incidents/view/682906-3" TargetMode="External"/><Relationship Id="rId614" Type="http://schemas.openxmlformats.org/officeDocument/2006/relationships/hyperlink" Target="https://webagentes.canaldirecto.com.ar/incidents/view/694074-6" TargetMode="External"/><Relationship Id="rId821" Type="http://schemas.openxmlformats.org/officeDocument/2006/relationships/hyperlink" Target="https://webagentes.canaldirecto.com.ar/incidents/view/710141-4" TargetMode="External"/><Relationship Id="rId1037" Type="http://schemas.openxmlformats.org/officeDocument/2006/relationships/hyperlink" Target="https://webagentes.canaldirecto.com.ar/incidents/view/716443-1" TargetMode="External"/><Relationship Id="rId1244" Type="http://schemas.openxmlformats.org/officeDocument/2006/relationships/hyperlink" Target="https://webagentes.canaldirecto.com.ar/incidents/view/720132-5" TargetMode="External"/><Relationship Id="rId1451" Type="http://schemas.openxmlformats.org/officeDocument/2006/relationships/hyperlink" Target="https://webagentes.canaldirecto.com.ar/incidents/view/734191-5" TargetMode="External"/><Relationship Id="rId1896" Type="http://schemas.openxmlformats.org/officeDocument/2006/relationships/hyperlink" Target="https://webagentes.canaldirecto.com.ar/incidents/view/749121-0" TargetMode="External"/><Relationship Id="rId2502" Type="http://schemas.openxmlformats.org/officeDocument/2006/relationships/hyperlink" Target="https://webagentes.canaldirecto.com.ar/incidents/view/782236-8" TargetMode="External"/><Relationship Id="rId2947" Type="http://schemas.openxmlformats.org/officeDocument/2006/relationships/hyperlink" Target="https://webagentes.canaldirecto.com.ar/incidents/view/795879-7" TargetMode="External"/><Relationship Id="rId919" Type="http://schemas.openxmlformats.org/officeDocument/2006/relationships/hyperlink" Target="https://webagentes.canaldirecto.com.ar/incidents/view/712475-2" TargetMode="External"/><Relationship Id="rId1104" Type="http://schemas.openxmlformats.org/officeDocument/2006/relationships/hyperlink" Target="https://webagentes.canaldirecto.com.ar/incidents/view/720479-3" TargetMode="External"/><Relationship Id="rId1311" Type="http://schemas.openxmlformats.org/officeDocument/2006/relationships/hyperlink" Target="https://webagentes.canaldirecto.com.ar/incidents/view/730651-4" TargetMode="External"/><Relationship Id="rId1549" Type="http://schemas.openxmlformats.org/officeDocument/2006/relationships/hyperlink" Target="https://webagentes.canaldirecto.com.ar/incidents/view/739310-3" TargetMode="External"/><Relationship Id="rId1756" Type="http://schemas.openxmlformats.org/officeDocument/2006/relationships/hyperlink" Target="https://webagentes.canaldirecto.com.ar/incidents/view/741895-2" TargetMode="External"/><Relationship Id="rId1963" Type="http://schemas.openxmlformats.org/officeDocument/2006/relationships/hyperlink" Target="https://webagentes.canaldirecto.com.ar/incidents/view/755597-0" TargetMode="External"/><Relationship Id="rId2807" Type="http://schemas.openxmlformats.org/officeDocument/2006/relationships/hyperlink" Target="https://webagentes.canaldirecto.com.ar/incidents/view/794410-1" TargetMode="External"/><Relationship Id="rId48" Type="http://schemas.openxmlformats.org/officeDocument/2006/relationships/hyperlink" Target="https://webagentes.canaldirecto.com.ar/incidents/view/661717-6" TargetMode="External"/><Relationship Id="rId1409" Type="http://schemas.openxmlformats.org/officeDocument/2006/relationships/hyperlink" Target="https://webagentes.canaldirecto.com.ar/incidents/view/730335-9" TargetMode="External"/><Relationship Id="rId1616" Type="http://schemas.openxmlformats.org/officeDocument/2006/relationships/hyperlink" Target="https://webagentes.canaldirecto.com.ar/incidents/view/743494-1" TargetMode="External"/><Relationship Id="rId1823" Type="http://schemas.openxmlformats.org/officeDocument/2006/relationships/hyperlink" Target="https://webagentes.canaldirecto.com.ar/incidents/view/747839-8" TargetMode="External"/><Relationship Id="rId3069" Type="http://schemas.openxmlformats.org/officeDocument/2006/relationships/hyperlink" Target="https://webagentes.canaldirecto.com.ar/incidents/view/798489-9" TargetMode="External"/><Relationship Id="rId3276" Type="http://schemas.openxmlformats.org/officeDocument/2006/relationships/hyperlink" Target="https://webagentes.canaldirecto.com.ar/incidents/view/807457-9" TargetMode="External"/><Relationship Id="rId3483" Type="http://schemas.openxmlformats.org/officeDocument/2006/relationships/hyperlink" Target="https://webagentes.canaldirecto.com.ar/incidents/view/814512-3" TargetMode="External"/><Relationship Id="rId3690" Type="http://schemas.openxmlformats.org/officeDocument/2006/relationships/hyperlink" Target="https://webagentes.canaldirecto.com.ar/incidents/view/820861-7" TargetMode="External"/><Relationship Id="rId197" Type="http://schemas.openxmlformats.org/officeDocument/2006/relationships/hyperlink" Target="https://webagentes.canaldirecto.com.ar/incidents/view/670623-0" TargetMode="External"/><Relationship Id="rId2085" Type="http://schemas.openxmlformats.org/officeDocument/2006/relationships/hyperlink" Target="https://webagentes.canaldirecto.com.ar/incidents/view/759553-4" TargetMode="External"/><Relationship Id="rId2292" Type="http://schemas.openxmlformats.org/officeDocument/2006/relationships/hyperlink" Target="https://webagentes.canaldirecto.com.ar/incidents/view/773589-5" TargetMode="External"/><Relationship Id="rId3136" Type="http://schemas.openxmlformats.org/officeDocument/2006/relationships/hyperlink" Target="https://webagentes.canaldirecto.com.ar/incidents/view/801479-9" TargetMode="External"/><Relationship Id="rId3343" Type="http://schemas.openxmlformats.org/officeDocument/2006/relationships/hyperlink" Target="https://webagentes.canaldirecto.com.ar/incidents/view/812379-6" TargetMode="External"/><Relationship Id="rId3788" Type="http://schemas.openxmlformats.org/officeDocument/2006/relationships/hyperlink" Target="https://webagentes.canaldirecto.com.ar/incidents/view/823119-2" TargetMode="External"/><Relationship Id="rId264" Type="http://schemas.openxmlformats.org/officeDocument/2006/relationships/hyperlink" Target="https://webagentes.canaldirecto.com.ar/incidents/view/675615-6" TargetMode="External"/><Relationship Id="rId471" Type="http://schemas.openxmlformats.org/officeDocument/2006/relationships/hyperlink" Target="https://webagentes.canaldirecto.com.ar/incidents/view/683583-3" TargetMode="External"/><Relationship Id="rId2152" Type="http://schemas.openxmlformats.org/officeDocument/2006/relationships/hyperlink" Target="https://webagentes.canaldirecto.com.ar/incidents/view/766528-6" TargetMode="External"/><Relationship Id="rId2597" Type="http://schemas.openxmlformats.org/officeDocument/2006/relationships/hyperlink" Target="https://webagentes.canaldirecto.com.ar/incidents/view/783080-8" TargetMode="External"/><Relationship Id="rId3550" Type="http://schemas.openxmlformats.org/officeDocument/2006/relationships/hyperlink" Target="https://webagentes.canaldirecto.com.ar/incidents/view/818514-9" TargetMode="External"/><Relationship Id="rId3648" Type="http://schemas.openxmlformats.org/officeDocument/2006/relationships/hyperlink" Target="https://webagentes.canaldirecto.com.ar/incidents/view/822305-0" TargetMode="External"/><Relationship Id="rId3855" Type="http://schemas.openxmlformats.org/officeDocument/2006/relationships/hyperlink" Target="https://webagentes.canaldirecto.com.ar/incidents/view/826148-5" TargetMode="External"/><Relationship Id="rId124" Type="http://schemas.openxmlformats.org/officeDocument/2006/relationships/hyperlink" Target="https://webagentes.canaldirecto.com.ar/incidents/view/668871-2" TargetMode="External"/><Relationship Id="rId569" Type="http://schemas.openxmlformats.org/officeDocument/2006/relationships/hyperlink" Target="https://webagentes.canaldirecto.com.ar/incidents/view/690857-3" TargetMode="External"/><Relationship Id="rId776" Type="http://schemas.openxmlformats.org/officeDocument/2006/relationships/hyperlink" Target="https://webagentes.canaldirecto.com.ar/incidents/view/705432-9" TargetMode="External"/><Relationship Id="rId983" Type="http://schemas.openxmlformats.org/officeDocument/2006/relationships/hyperlink" Target="https://webagentes.canaldirecto.com.ar/incidents/view/711294-2" TargetMode="External"/><Relationship Id="rId1199" Type="http://schemas.openxmlformats.org/officeDocument/2006/relationships/hyperlink" Target="https://webagentes.canaldirecto.com.ar/incidents/view/721623-9" TargetMode="External"/><Relationship Id="rId2457" Type="http://schemas.openxmlformats.org/officeDocument/2006/relationships/hyperlink" Target="https://webagentes.canaldirecto.com.ar/incidents/view/777810-0" TargetMode="External"/><Relationship Id="rId2664" Type="http://schemas.openxmlformats.org/officeDocument/2006/relationships/hyperlink" Target="https://webagentes.canaldirecto.com.ar/incidents/view/785231-4" TargetMode="External"/><Relationship Id="rId3203" Type="http://schemas.openxmlformats.org/officeDocument/2006/relationships/hyperlink" Target="https://webagentes.canaldirecto.com.ar/incidents/view/804947-6" TargetMode="External"/><Relationship Id="rId3410" Type="http://schemas.openxmlformats.org/officeDocument/2006/relationships/hyperlink" Target="https://webagentes.canaldirecto.com.ar/incidents/view/810508-2" TargetMode="External"/><Relationship Id="rId3508" Type="http://schemas.openxmlformats.org/officeDocument/2006/relationships/hyperlink" Target="https://webagentes.canaldirecto.com.ar/incidents/view/820004-0" TargetMode="External"/><Relationship Id="rId331" Type="http://schemas.openxmlformats.org/officeDocument/2006/relationships/hyperlink" Target="https://webagentes.canaldirecto.com.ar/incidents/view/664509-0" TargetMode="External"/><Relationship Id="rId429" Type="http://schemas.openxmlformats.org/officeDocument/2006/relationships/hyperlink" Target="https://webagentes.canaldirecto.com.ar/incidents/view/686963-6" TargetMode="External"/><Relationship Id="rId636" Type="http://schemas.openxmlformats.org/officeDocument/2006/relationships/hyperlink" Target="https://webagentes.canaldirecto.com.ar/incidents/view/691258-5" TargetMode="External"/><Relationship Id="rId1059" Type="http://schemas.openxmlformats.org/officeDocument/2006/relationships/hyperlink" Target="https://webagentes.canaldirecto.com.ar/incidents/view/716254-9" TargetMode="External"/><Relationship Id="rId1266" Type="http://schemas.openxmlformats.org/officeDocument/2006/relationships/hyperlink" Target="https://webagentes.canaldirecto.com.ar/incidents/view/727776-2" TargetMode="External"/><Relationship Id="rId1473" Type="http://schemas.openxmlformats.org/officeDocument/2006/relationships/hyperlink" Target="https://webagentes.canaldirecto.com.ar/incidents/view/738237-4" TargetMode="External"/><Relationship Id="rId2012" Type="http://schemas.openxmlformats.org/officeDocument/2006/relationships/hyperlink" Target="https://webagentes.canaldirecto.com.ar/incidents/view/758729-8" TargetMode="External"/><Relationship Id="rId2317" Type="http://schemas.openxmlformats.org/officeDocument/2006/relationships/hyperlink" Target="https://webagentes.canaldirecto.com.ar/incidents/view/772185-6" TargetMode="External"/><Relationship Id="rId2871" Type="http://schemas.openxmlformats.org/officeDocument/2006/relationships/hyperlink" Target="https://webagentes.canaldirecto.com.ar/incidents/view/792516-0" TargetMode="External"/><Relationship Id="rId2969" Type="http://schemas.openxmlformats.org/officeDocument/2006/relationships/hyperlink" Target="https://webagentes.canaldirecto.com.ar/incidents/view/795582-4" TargetMode="External"/><Relationship Id="rId3715" Type="http://schemas.openxmlformats.org/officeDocument/2006/relationships/hyperlink" Target="https://webagentes.canaldirecto.com.ar/incidents/view/819691-4" TargetMode="External"/><Relationship Id="rId3922" Type="http://schemas.openxmlformats.org/officeDocument/2006/relationships/hyperlink" Target="https://webagentes.canaldirecto.com.ar/incidents/view/829904-4" TargetMode="External"/><Relationship Id="rId843" Type="http://schemas.openxmlformats.org/officeDocument/2006/relationships/hyperlink" Target="https://webagentes.canaldirecto.com.ar/incidents/view/709013-6" TargetMode="External"/><Relationship Id="rId1126" Type="http://schemas.openxmlformats.org/officeDocument/2006/relationships/hyperlink" Target="https://webagentes.canaldirecto.com.ar/incidents/view/719853-5" TargetMode="External"/><Relationship Id="rId1680" Type="http://schemas.openxmlformats.org/officeDocument/2006/relationships/hyperlink" Target="https://webagentes.canaldirecto.com.ar/incidents/view/746431-3" TargetMode="External"/><Relationship Id="rId1778" Type="http://schemas.openxmlformats.org/officeDocument/2006/relationships/hyperlink" Target="https://webagentes.canaldirecto.com.ar/incidents/view/749046-0" TargetMode="External"/><Relationship Id="rId1985" Type="http://schemas.openxmlformats.org/officeDocument/2006/relationships/hyperlink" Target="https://webagentes.canaldirecto.com.ar/incidents/view/754756-4" TargetMode="External"/><Relationship Id="rId2524" Type="http://schemas.openxmlformats.org/officeDocument/2006/relationships/hyperlink" Target="https://webagentes.canaldirecto.com.ar/incidents/view/781720-5" TargetMode="External"/><Relationship Id="rId2731" Type="http://schemas.openxmlformats.org/officeDocument/2006/relationships/hyperlink" Target="https://webagentes.canaldirecto.com.ar/incidents/view/791755-0" TargetMode="External"/><Relationship Id="rId2829" Type="http://schemas.openxmlformats.org/officeDocument/2006/relationships/hyperlink" Target="https://webagentes.canaldirecto.com.ar/incidents/view/794230-7" TargetMode="External"/><Relationship Id="rId703" Type="http://schemas.openxmlformats.org/officeDocument/2006/relationships/hyperlink" Target="https://webagentes.canaldirecto.com.ar/incidents/view/692251-9" TargetMode="External"/><Relationship Id="rId910" Type="http://schemas.openxmlformats.org/officeDocument/2006/relationships/hyperlink" Target="https://webagentes.canaldirecto.com.ar/incidents/view/712489-5" TargetMode="External"/><Relationship Id="rId1333" Type="http://schemas.openxmlformats.org/officeDocument/2006/relationships/hyperlink" Target="https://webagentes.canaldirecto.com.ar/incidents/view/729797-9" TargetMode="External"/><Relationship Id="rId1540" Type="http://schemas.openxmlformats.org/officeDocument/2006/relationships/hyperlink" Target="https://webagentes.canaldirecto.com.ar/incidents/view/740218-2" TargetMode="External"/><Relationship Id="rId1638" Type="http://schemas.openxmlformats.org/officeDocument/2006/relationships/hyperlink" Target="https://webagentes.canaldirecto.com.ar/incidents/view/742983-3" TargetMode="External"/><Relationship Id="rId1400" Type="http://schemas.openxmlformats.org/officeDocument/2006/relationships/hyperlink" Target="https://webagentes.canaldirecto.com.ar/incidents/view/731496-6" TargetMode="External"/><Relationship Id="rId1845" Type="http://schemas.openxmlformats.org/officeDocument/2006/relationships/hyperlink" Target="https://webagentes.canaldirecto.com.ar/incidents/view/751587-5" TargetMode="External"/><Relationship Id="rId3060" Type="http://schemas.openxmlformats.org/officeDocument/2006/relationships/hyperlink" Target="https://webagentes.canaldirecto.com.ar/incidents/view/798786-9" TargetMode="External"/><Relationship Id="rId3298" Type="http://schemas.openxmlformats.org/officeDocument/2006/relationships/hyperlink" Target="https://webagentes.canaldirecto.com.ar/incidents/view/813976-0" TargetMode="External"/><Relationship Id="rId1705" Type="http://schemas.openxmlformats.org/officeDocument/2006/relationships/hyperlink" Target="https://webagentes.canaldirecto.com.ar/incidents/view/746046-9" TargetMode="External"/><Relationship Id="rId1912" Type="http://schemas.openxmlformats.org/officeDocument/2006/relationships/hyperlink" Target="https://webagentes.canaldirecto.com.ar/incidents/view/748788-2" TargetMode="External"/><Relationship Id="rId3158" Type="http://schemas.openxmlformats.org/officeDocument/2006/relationships/hyperlink" Target="https://webagentes.canaldirecto.com.ar/incidents/view/800267-9" TargetMode="External"/><Relationship Id="rId3365" Type="http://schemas.openxmlformats.org/officeDocument/2006/relationships/hyperlink" Target="https://webagentes.canaldirecto.com.ar/incidents/view/811857-2" TargetMode="External"/><Relationship Id="rId3572" Type="http://schemas.openxmlformats.org/officeDocument/2006/relationships/hyperlink" Target="https://webagentes.canaldirecto.com.ar/incidents/view/817876-9" TargetMode="External"/><Relationship Id="rId286" Type="http://schemas.openxmlformats.org/officeDocument/2006/relationships/hyperlink" Target="https://webagentes.canaldirecto.com.ar/incidents/view/674855-5" TargetMode="External"/><Relationship Id="rId493" Type="http://schemas.openxmlformats.org/officeDocument/2006/relationships/hyperlink" Target="https://webagentes.canaldirecto.com.ar/incidents/view/689533-0" TargetMode="External"/><Relationship Id="rId2174" Type="http://schemas.openxmlformats.org/officeDocument/2006/relationships/hyperlink" Target="https://webagentes.canaldirecto.com.ar/incidents/view/764255-9" TargetMode="External"/><Relationship Id="rId2381" Type="http://schemas.openxmlformats.org/officeDocument/2006/relationships/hyperlink" Target="https://webagentes.canaldirecto.com.ar/incidents/view/780128-6" TargetMode="External"/><Relationship Id="rId3018" Type="http://schemas.openxmlformats.org/officeDocument/2006/relationships/hyperlink" Target="https://webagentes.canaldirecto.com.ar/incidents/view/799972-1" TargetMode="External"/><Relationship Id="rId3225" Type="http://schemas.openxmlformats.org/officeDocument/2006/relationships/hyperlink" Target="https://webagentes.canaldirecto.com.ar/incidents/view/801021-6" TargetMode="External"/><Relationship Id="rId3432" Type="http://schemas.openxmlformats.org/officeDocument/2006/relationships/hyperlink" Target="https://webagentes.canaldirecto.com.ar/incidents/view/802424-6" TargetMode="External"/><Relationship Id="rId3877" Type="http://schemas.openxmlformats.org/officeDocument/2006/relationships/hyperlink" Target="https://webagentes.canaldirecto.com.ar/incidents/view/825450-0" TargetMode="External"/><Relationship Id="rId146" Type="http://schemas.openxmlformats.org/officeDocument/2006/relationships/hyperlink" Target="https://webagentes.canaldirecto.com.ar/incidents/view/667676-2" TargetMode="External"/><Relationship Id="rId353" Type="http://schemas.openxmlformats.org/officeDocument/2006/relationships/hyperlink" Target="https://webagentes.canaldirecto.com.ar/incidents/view/678342-4" TargetMode="External"/><Relationship Id="rId560" Type="http://schemas.openxmlformats.org/officeDocument/2006/relationships/hyperlink" Target="https://webagentes.canaldirecto.com.ar/incidents/view/691841-9" TargetMode="External"/><Relationship Id="rId798" Type="http://schemas.openxmlformats.org/officeDocument/2006/relationships/hyperlink" Target="https://webagentes.canaldirecto.com.ar/incidents/view/704195-4" TargetMode="External"/><Relationship Id="rId1190" Type="http://schemas.openxmlformats.org/officeDocument/2006/relationships/hyperlink" Target="https://webagentes.canaldirecto.com.ar/incidents/view/721870-5" TargetMode="External"/><Relationship Id="rId2034" Type="http://schemas.openxmlformats.org/officeDocument/2006/relationships/hyperlink" Target="https://webagentes.canaldirecto.com.ar/incidents/view/761295-6" TargetMode="External"/><Relationship Id="rId2241" Type="http://schemas.openxmlformats.org/officeDocument/2006/relationships/hyperlink" Target="https://webagentes.canaldirecto.com.ar/incidents/view/770448-8" TargetMode="External"/><Relationship Id="rId2479" Type="http://schemas.openxmlformats.org/officeDocument/2006/relationships/hyperlink" Target="https://webagentes.canaldirecto.com.ar/incidents/view/782747-9" TargetMode="External"/><Relationship Id="rId2686" Type="http://schemas.openxmlformats.org/officeDocument/2006/relationships/hyperlink" Target="https://webagentes.canaldirecto.com.ar/incidents/view/788351-8" TargetMode="External"/><Relationship Id="rId2893" Type="http://schemas.openxmlformats.org/officeDocument/2006/relationships/hyperlink" Target="https://webagentes.canaldirecto.com.ar/incidents/view/791795-8" TargetMode="External"/><Relationship Id="rId3737" Type="http://schemas.openxmlformats.org/officeDocument/2006/relationships/hyperlink" Target="https://webagentes.canaldirecto.com.ar/incidents/view/824827-1" TargetMode="External"/><Relationship Id="rId3944" Type="http://schemas.openxmlformats.org/officeDocument/2006/relationships/hyperlink" Target="https://webagentes.canaldirecto.com.ar/incidents/view/829500-2" TargetMode="External"/><Relationship Id="rId213" Type="http://schemas.openxmlformats.org/officeDocument/2006/relationships/hyperlink" Target="https://webagentes.canaldirecto.com.ar/incidents/view/669763-1" TargetMode="External"/><Relationship Id="rId420" Type="http://schemas.openxmlformats.org/officeDocument/2006/relationships/hyperlink" Target="https://webagentes.canaldirecto.com.ar/incidents/view/680694-7" TargetMode="External"/><Relationship Id="rId658" Type="http://schemas.openxmlformats.org/officeDocument/2006/relationships/hyperlink" Target="https://webagentes.canaldirecto.com.ar/incidents/view/695858-7" TargetMode="External"/><Relationship Id="rId865" Type="http://schemas.openxmlformats.org/officeDocument/2006/relationships/hyperlink" Target="https://webagentes.canaldirecto.com.ar/incidents/view/706854-4" TargetMode="External"/><Relationship Id="rId1050" Type="http://schemas.openxmlformats.org/officeDocument/2006/relationships/hyperlink" Target="https://webagentes.canaldirecto.com.ar/incidents/view/716421-9" TargetMode="External"/><Relationship Id="rId1288" Type="http://schemas.openxmlformats.org/officeDocument/2006/relationships/hyperlink" Target="https://webagentes.canaldirecto.com.ar/incidents/view/727120-9" TargetMode="External"/><Relationship Id="rId1495" Type="http://schemas.openxmlformats.org/officeDocument/2006/relationships/hyperlink" Target="https://webagentes.canaldirecto.com.ar/incidents/view/736990-2" TargetMode="External"/><Relationship Id="rId2101" Type="http://schemas.openxmlformats.org/officeDocument/2006/relationships/hyperlink" Target="https://webagentes.canaldirecto.com.ar/incidents/view/763672-5" TargetMode="External"/><Relationship Id="rId2339" Type="http://schemas.openxmlformats.org/officeDocument/2006/relationships/hyperlink" Target="https://webagentes.canaldirecto.com.ar/incidents/view/776445-3" TargetMode="External"/><Relationship Id="rId2546" Type="http://schemas.openxmlformats.org/officeDocument/2006/relationships/hyperlink" Target="https://webagentes.canaldirecto.com.ar/incidents/view/780345-1" TargetMode="External"/><Relationship Id="rId2753" Type="http://schemas.openxmlformats.org/officeDocument/2006/relationships/hyperlink" Target="https://webagentes.canaldirecto.com.ar/incidents/view/789951-9" TargetMode="External"/><Relationship Id="rId2960" Type="http://schemas.openxmlformats.org/officeDocument/2006/relationships/hyperlink" Target="https://webagentes.canaldirecto.com.ar/incidents/view/795591-2" TargetMode="External"/><Relationship Id="rId3804" Type="http://schemas.openxmlformats.org/officeDocument/2006/relationships/hyperlink" Target="https://webagentes.canaldirecto.com.ar/incidents/view/828684-6" TargetMode="External"/><Relationship Id="rId518" Type="http://schemas.openxmlformats.org/officeDocument/2006/relationships/hyperlink" Target="https://webagentes.canaldirecto.com.ar/incidents/view/688286-8" TargetMode="External"/><Relationship Id="rId725" Type="http://schemas.openxmlformats.org/officeDocument/2006/relationships/hyperlink" Target="https://webagentes.canaldirecto.com.ar/incidents/view/702537-2" TargetMode="External"/><Relationship Id="rId932" Type="http://schemas.openxmlformats.org/officeDocument/2006/relationships/hyperlink" Target="https://webagentes.canaldirecto.com.ar/incidents/view/712063-1" TargetMode="External"/><Relationship Id="rId1148" Type="http://schemas.openxmlformats.org/officeDocument/2006/relationships/hyperlink" Target="https://webagentes.canaldirecto.com.ar/incidents/view/718442-6" TargetMode="External"/><Relationship Id="rId1355" Type="http://schemas.openxmlformats.org/officeDocument/2006/relationships/hyperlink" Target="https://webagentes.canaldirecto.com.ar/incidents/view/733110-3" TargetMode="External"/><Relationship Id="rId1562" Type="http://schemas.openxmlformats.org/officeDocument/2006/relationships/hyperlink" Target="https://webagentes.canaldirecto.com.ar/incidents/view/744289-8" TargetMode="External"/><Relationship Id="rId2406" Type="http://schemas.openxmlformats.org/officeDocument/2006/relationships/hyperlink" Target="https://webagentes.canaldirecto.com.ar/incidents/view/779437-5" TargetMode="External"/><Relationship Id="rId2613" Type="http://schemas.openxmlformats.org/officeDocument/2006/relationships/hyperlink" Target="https://webagentes.canaldirecto.com.ar/incidents/view/787122-1" TargetMode="External"/><Relationship Id="rId1008" Type="http://schemas.openxmlformats.org/officeDocument/2006/relationships/hyperlink" Target="https://webagentes.canaldirecto.com.ar/incidents/view/717050-2" TargetMode="External"/><Relationship Id="rId1215" Type="http://schemas.openxmlformats.org/officeDocument/2006/relationships/hyperlink" Target="https://webagentes.canaldirecto.com.ar/incidents/view/725775-9" TargetMode="External"/><Relationship Id="rId1422" Type="http://schemas.openxmlformats.org/officeDocument/2006/relationships/hyperlink" Target="https://webagentes.canaldirecto.com.ar/incidents/view/736242-2" TargetMode="External"/><Relationship Id="rId1867" Type="http://schemas.openxmlformats.org/officeDocument/2006/relationships/hyperlink" Target="https://webagentes.canaldirecto.com.ar/incidents/view/751015-3" TargetMode="External"/><Relationship Id="rId2820" Type="http://schemas.openxmlformats.org/officeDocument/2006/relationships/hyperlink" Target="https://webagentes.canaldirecto.com.ar/incidents/view/794385-6" TargetMode="External"/><Relationship Id="rId2918" Type="http://schemas.openxmlformats.org/officeDocument/2006/relationships/hyperlink" Target="https://webagentes.canaldirecto.com.ar/incidents/view/797313-0" TargetMode="External"/><Relationship Id="rId61" Type="http://schemas.openxmlformats.org/officeDocument/2006/relationships/hyperlink" Target="https://webagentes.canaldirecto.com.ar/incidents/view/666627-9" TargetMode="External"/><Relationship Id="rId1727" Type="http://schemas.openxmlformats.org/officeDocument/2006/relationships/hyperlink" Target="https://webagentes.canaldirecto.com.ar/incidents/view/745708-5" TargetMode="External"/><Relationship Id="rId1934" Type="http://schemas.openxmlformats.org/officeDocument/2006/relationships/hyperlink" Target="https://webagentes.canaldirecto.com.ar/incidents/view/752884-2" TargetMode="External"/><Relationship Id="rId3082" Type="http://schemas.openxmlformats.org/officeDocument/2006/relationships/hyperlink" Target="https://webagentes.canaldirecto.com.ar/incidents/view/797937-4" TargetMode="External"/><Relationship Id="rId3387" Type="http://schemas.openxmlformats.org/officeDocument/2006/relationships/hyperlink" Target="https://webagentes.canaldirecto.com.ar/incidents/view/811039-4" TargetMode="External"/><Relationship Id="rId19" Type="http://schemas.openxmlformats.org/officeDocument/2006/relationships/hyperlink" Target="https://webagentes.canaldirecto.com.ar/incidents/view/662691-6" TargetMode="External"/><Relationship Id="rId2196" Type="http://schemas.openxmlformats.org/officeDocument/2006/relationships/hyperlink" Target="https://webagentes.canaldirecto.com.ar/incidents/view/767705-0" TargetMode="External"/><Relationship Id="rId3594" Type="http://schemas.openxmlformats.org/officeDocument/2006/relationships/hyperlink" Target="https://webagentes.canaldirecto.com.ar/incidents/view/817719-5" TargetMode="External"/><Relationship Id="rId3899" Type="http://schemas.openxmlformats.org/officeDocument/2006/relationships/hyperlink" Target="https://webagentes.canaldirecto.com.ar/incidents/view/830642-3" TargetMode="External"/><Relationship Id="rId168" Type="http://schemas.openxmlformats.org/officeDocument/2006/relationships/hyperlink" Target="https://webagentes.canaldirecto.com.ar/incidents/view/672641-0" TargetMode="External"/><Relationship Id="rId3247" Type="http://schemas.openxmlformats.org/officeDocument/2006/relationships/hyperlink" Target="https://webagentes.canaldirecto.com.ar/incidents/view/809243-2" TargetMode="External"/><Relationship Id="rId3454" Type="http://schemas.openxmlformats.org/officeDocument/2006/relationships/hyperlink" Target="https://webagentes.canaldirecto.com.ar/incidents/view/815721-6" TargetMode="External"/><Relationship Id="rId3661" Type="http://schemas.openxmlformats.org/officeDocument/2006/relationships/hyperlink" Target="https://webagentes.canaldirecto.com.ar/incidents/view/821974-7" TargetMode="External"/><Relationship Id="rId375" Type="http://schemas.openxmlformats.org/officeDocument/2006/relationships/hyperlink" Target="https://webagentes.canaldirecto.com.ar/incidents/view/677947-6" TargetMode="External"/><Relationship Id="rId582" Type="http://schemas.openxmlformats.org/officeDocument/2006/relationships/hyperlink" Target="https://webagentes.canaldirecto.com.ar/incidents/view/690396-7" TargetMode="External"/><Relationship Id="rId2056" Type="http://schemas.openxmlformats.org/officeDocument/2006/relationships/hyperlink" Target="https://webagentes.canaldirecto.com.ar/incidents/view/760798-1" TargetMode="External"/><Relationship Id="rId2263" Type="http://schemas.openxmlformats.org/officeDocument/2006/relationships/hyperlink" Target="https://webagentes.canaldirecto.com.ar/incidents/view/769643-5" TargetMode="External"/><Relationship Id="rId2470" Type="http://schemas.openxmlformats.org/officeDocument/2006/relationships/hyperlink" Target="https://webagentes.canaldirecto.com.ar/incidents/view/776894-5" TargetMode="External"/><Relationship Id="rId3107" Type="http://schemas.openxmlformats.org/officeDocument/2006/relationships/hyperlink" Target="https://webagentes.canaldirecto.com.ar/incidents/view/802539-7" TargetMode="External"/><Relationship Id="rId3314" Type="http://schemas.openxmlformats.org/officeDocument/2006/relationships/hyperlink" Target="https://webagentes.canaldirecto.com.ar/incidents/view/812942-6" TargetMode="External"/><Relationship Id="rId3521" Type="http://schemas.openxmlformats.org/officeDocument/2006/relationships/hyperlink" Target="https://webagentes.canaldirecto.com.ar/incidents/view/819530-4" TargetMode="External"/><Relationship Id="rId3759" Type="http://schemas.openxmlformats.org/officeDocument/2006/relationships/hyperlink" Target="https://webagentes.canaldirecto.com.ar/incidents/view/824139-3" TargetMode="External"/><Relationship Id="rId3966" Type="http://schemas.openxmlformats.org/officeDocument/2006/relationships/hyperlink" Target="https://webagentes.canaldirecto.com.ar/incidents/view/828707-6" TargetMode="External"/><Relationship Id="rId3" Type="http://schemas.openxmlformats.org/officeDocument/2006/relationships/hyperlink" Target="https://webagentes.canaldirecto.com.ar/incidents/view/663357-2" TargetMode="External"/><Relationship Id="rId235" Type="http://schemas.openxmlformats.org/officeDocument/2006/relationships/hyperlink" Target="https://webagentes.canaldirecto.com.ar/incidents/view/676921-1" TargetMode="External"/><Relationship Id="rId442" Type="http://schemas.openxmlformats.org/officeDocument/2006/relationships/hyperlink" Target="https://webagentes.canaldirecto.com.ar/incidents/view/686011-2" TargetMode="External"/><Relationship Id="rId887" Type="http://schemas.openxmlformats.org/officeDocument/2006/relationships/hyperlink" Target="https://webagentes.canaldirecto.com.ar/incidents/view/712868-8" TargetMode="External"/><Relationship Id="rId1072" Type="http://schemas.openxmlformats.org/officeDocument/2006/relationships/hyperlink" Target="https://webagentes.canaldirecto.com.ar/incidents/view/715650-2" TargetMode="External"/><Relationship Id="rId2123" Type="http://schemas.openxmlformats.org/officeDocument/2006/relationships/hyperlink" Target="https://webagentes.canaldirecto.com.ar/incidents/view/762305-9" TargetMode="External"/><Relationship Id="rId2330" Type="http://schemas.openxmlformats.org/officeDocument/2006/relationships/hyperlink" Target="https://webagentes.canaldirecto.com.ar/incidents/view/732177-1" TargetMode="External"/><Relationship Id="rId2568" Type="http://schemas.openxmlformats.org/officeDocument/2006/relationships/hyperlink" Target="https://webagentes.canaldirecto.com.ar/incidents/view/784542-0" TargetMode="External"/><Relationship Id="rId2775" Type="http://schemas.openxmlformats.org/officeDocument/2006/relationships/hyperlink" Target="https://webagentes.canaldirecto.com.ar/incidents/view/791699-5" TargetMode="External"/><Relationship Id="rId2982" Type="http://schemas.openxmlformats.org/officeDocument/2006/relationships/hyperlink" Target="https://webagentes.canaldirecto.com.ar/incidents/view/795351-6" TargetMode="External"/><Relationship Id="rId3619" Type="http://schemas.openxmlformats.org/officeDocument/2006/relationships/hyperlink" Target="https://webagentes.canaldirecto.com.ar/incidents/view/816846-1" TargetMode="External"/><Relationship Id="rId3826" Type="http://schemas.openxmlformats.org/officeDocument/2006/relationships/hyperlink" Target="https://webagentes.canaldirecto.com.ar/incidents/view/827472-6" TargetMode="External"/><Relationship Id="rId302" Type="http://schemas.openxmlformats.org/officeDocument/2006/relationships/hyperlink" Target="https://webagentes.canaldirecto.com.ar/incidents/view/674324-0" TargetMode="External"/><Relationship Id="rId747" Type="http://schemas.openxmlformats.org/officeDocument/2006/relationships/hyperlink" Target="https://webagentes.canaldirecto.com.ar/incidents/view/700970-9" TargetMode="External"/><Relationship Id="rId954" Type="http://schemas.openxmlformats.org/officeDocument/2006/relationships/hyperlink" Target="https://webagentes.canaldirecto.com.ar/incidents/view/711971-4" TargetMode="External"/><Relationship Id="rId1377" Type="http://schemas.openxmlformats.org/officeDocument/2006/relationships/hyperlink" Target="https://webagentes.canaldirecto.com.ar/incidents/view/732790-6" TargetMode="External"/><Relationship Id="rId1584" Type="http://schemas.openxmlformats.org/officeDocument/2006/relationships/hyperlink" Target="https://webagentes.canaldirecto.com.ar/incidents/view/744162-2" TargetMode="External"/><Relationship Id="rId1791" Type="http://schemas.openxmlformats.org/officeDocument/2006/relationships/hyperlink" Target="https://webagentes.canaldirecto.com.ar/incidents/view/748670-4" TargetMode="External"/><Relationship Id="rId2428" Type="http://schemas.openxmlformats.org/officeDocument/2006/relationships/hyperlink" Target="https://webagentes.canaldirecto.com.ar/incidents/view/779264-1" TargetMode="External"/><Relationship Id="rId2635" Type="http://schemas.openxmlformats.org/officeDocument/2006/relationships/hyperlink" Target="https://webagentes.canaldirecto.com.ar/incidents/view/786619-5" TargetMode="External"/><Relationship Id="rId2842" Type="http://schemas.openxmlformats.org/officeDocument/2006/relationships/hyperlink" Target="https://webagentes.canaldirecto.com.ar/incidents/view/793822-5" TargetMode="External"/><Relationship Id="rId83" Type="http://schemas.openxmlformats.org/officeDocument/2006/relationships/hyperlink" Target="https://webagentes.canaldirecto.com.ar/incidents/view/664610-5" TargetMode="External"/><Relationship Id="rId607" Type="http://schemas.openxmlformats.org/officeDocument/2006/relationships/hyperlink" Target="https://webagentes.canaldirecto.com.ar/incidents/view/694839-5" TargetMode="External"/><Relationship Id="rId814" Type="http://schemas.openxmlformats.org/officeDocument/2006/relationships/hyperlink" Target="https://webagentes.canaldirecto.com.ar/incidents/view/710617-2" TargetMode="External"/><Relationship Id="rId1237" Type="http://schemas.openxmlformats.org/officeDocument/2006/relationships/hyperlink" Target="https://webagentes.canaldirecto.com.ar/incidents/view/723351-9" TargetMode="External"/><Relationship Id="rId1444" Type="http://schemas.openxmlformats.org/officeDocument/2006/relationships/hyperlink" Target="https://webagentes.canaldirecto.com.ar/incidents/view/734828-2" TargetMode="External"/><Relationship Id="rId1651" Type="http://schemas.openxmlformats.org/officeDocument/2006/relationships/hyperlink" Target="https://webagentes.canaldirecto.com.ar/incidents/view/742055-9" TargetMode="External"/><Relationship Id="rId1889" Type="http://schemas.openxmlformats.org/officeDocument/2006/relationships/hyperlink" Target="https://webagentes.canaldirecto.com.ar/incidents/view/749613-6" TargetMode="External"/><Relationship Id="rId2702" Type="http://schemas.openxmlformats.org/officeDocument/2006/relationships/hyperlink" Target="https://webagentes.canaldirecto.com.ar/incidents/view/788333-2" TargetMode="External"/><Relationship Id="rId1304" Type="http://schemas.openxmlformats.org/officeDocument/2006/relationships/hyperlink" Target="https://webagentes.canaldirecto.com.ar/incidents/view/730660-2" TargetMode="External"/><Relationship Id="rId1511" Type="http://schemas.openxmlformats.org/officeDocument/2006/relationships/hyperlink" Target="https://webagentes.canaldirecto.com.ar/incidents/view/734721-0" TargetMode="External"/><Relationship Id="rId1749" Type="http://schemas.openxmlformats.org/officeDocument/2006/relationships/hyperlink" Target="https://webagentes.canaldirecto.com.ar/incidents/view/744716-7" TargetMode="External"/><Relationship Id="rId1956" Type="http://schemas.openxmlformats.org/officeDocument/2006/relationships/hyperlink" Target="https://webagentes.canaldirecto.com.ar/incidents/view/756132-4" TargetMode="External"/><Relationship Id="rId3171" Type="http://schemas.openxmlformats.org/officeDocument/2006/relationships/hyperlink" Target="https://webagentes.canaldirecto.com.ar/incidents/view/806322-7" TargetMode="External"/><Relationship Id="rId1609" Type="http://schemas.openxmlformats.org/officeDocument/2006/relationships/hyperlink" Target="https://webagentes.canaldirecto.com.ar/incidents/view/743577-3" TargetMode="External"/><Relationship Id="rId1816" Type="http://schemas.openxmlformats.org/officeDocument/2006/relationships/hyperlink" Target="https://webagentes.canaldirecto.com.ar/incidents/view/748143-5" TargetMode="External"/><Relationship Id="rId3269" Type="http://schemas.openxmlformats.org/officeDocument/2006/relationships/hyperlink" Target="https://webagentes.canaldirecto.com.ar/incidents/view/807780-4" TargetMode="External"/><Relationship Id="rId3476" Type="http://schemas.openxmlformats.org/officeDocument/2006/relationships/hyperlink" Target="https://webagentes.canaldirecto.com.ar/incidents/view/814519-6" TargetMode="External"/><Relationship Id="rId3683" Type="http://schemas.openxmlformats.org/officeDocument/2006/relationships/hyperlink" Target="https://webagentes.canaldirecto.com.ar/incidents/view/821205-4" TargetMode="External"/><Relationship Id="rId10" Type="http://schemas.openxmlformats.org/officeDocument/2006/relationships/hyperlink" Target="https://webagentes.canaldirecto.com.ar/incidents/view/662714-6" TargetMode="External"/><Relationship Id="rId397" Type="http://schemas.openxmlformats.org/officeDocument/2006/relationships/hyperlink" Target="https://webagentes.canaldirecto.com.ar/incidents/view/684124-1" TargetMode="External"/><Relationship Id="rId2078" Type="http://schemas.openxmlformats.org/officeDocument/2006/relationships/hyperlink" Target="https://webagentes.canaldirecto.com.ar/incidents/view/760041-0" TargetMode="External"/><Relationship Id="rId2285" Type="http://schemas.openxmlformats.org/officeDocument/2006/relationships/hyperlink" Target="https://webagentes.canaldirecto.com.ar/incidents/view/774412-1" TargetMode="External"/><Relationship Id="rId2492" Type="http://schemas.openxmlformats.org/officeDocument/2006/relationships/hyperlink" Target="https://webagentes.canaldirecto.com.ar/incidents/view/782731-8" TargetMode="External"/><Relationship Id="rId3031" Type="http://schemas.openxmlformats.org/officeDocument/2006/relationships/hyperlink" Target="https://webagentes.canaldirecto.com.ar/incidents/view/799763-5" TargetMode="External"/><Relationship Id="rId3129" Type="http://schemas.openxmlformats.org/officeDocument/2006/relationships/hyperlink" Target="https://webagentes.canaldirecto.com.ar/incidents/view/801997-0" TargetMode="External"/><Relationship Id="rId3336" Type="http://schemas.openxmlformats.org/officeDocument/2006/relationships/hyperlink" Target="https://webagentes.canaldirecto.com.ar/incidents/view/812493-5" TargetMode="External"/><Relationship Id="rId3890" Type="http://schemas.openxmlformats.org/officeDocument/2006/relationships/hyperlink" Target="https://webagentes.canaldirecto.com.ar/incidents/view/831914-4" TargetMode="External"/><Relationship Id="rId257" Type="http://schemas.openxmlformats.org/officeDocument/2006/relationships/hyperlink" Target="https://webagentes.canaldirecto.com.ar/incidents/view/675712-8" TargetMode="External"/><Relationship Id="rId464" Type="http://schemas.openxmlformats.org/officeDocument/2006/relationships/hyperlink" Target="https://webagentes.canaldirecto.com.ar/incidents/view/684341-6" TargetMode="External"/><Relationship Id="rId1094" Type="http://schemas.openxmlformats.org/officeDocument/2006/relationships/hyperlink" Target="https://webagentes.canaldirecto.com.ar/incidents/view/720772-7" TargetMode="External"/><Relationship Id="rId2145" Type="http://schemas.openxmlformats.org/officeDocument/2006/relationships/hyperlink" Target="https://webagentes.canaldirecto.com.ar/incidents/view/760817-5" TargetMode="External"/><Relationship Id="rId2797" Type="http://schemas.openxmlformats.org/officeDocument/2006/relationships/hyperlink" Target="https://webagentes.canaldirecto.com.ar/incidents/view/788928-4" TargetMode="External"/><Relationship Id="rId3543" Type="http://schemas.openxmlformats.org/officeDocument/2006/relationships/hyperlink" Target="https://webagentes.canaldirecto.com.ar/incidents/view/818544-0" TargetMode="External"/><Relationship Id="rId3750" Type="http://schemas.openxmlformats.org/officeDocument/2006/relationships/hyperlink" Target="https://webagentes.canaldirecto.com.ar/incidents/view/824666-2" TargetMode="External"/><Relationship Id="rId3848" Type="http://schemas.openxmlformats.org/officeDocument/2006/relationships/hyperlink" Target="https://webagentes.canaldirecto.com.ar/incidents/view/826336-8" TargetMode="External"/><Relationship Id="rId117" Type="http://schemas.openxmlformats.org/officeDocument/2006/relationships/hyperlink" Target="https://webagentes.canaldirecto.com.ar/incidents/view/669268-1" TargetMode="External"/><Relationship Id="rId671" Type="http://schemas.openxmlformats.org/officeDocument/2006/relationships/hyperlink" Target="https://webagentes.canaldirecto.com.ar/incidents/view/700234-4" TargetMode="External"/><Relationship Id="rId769" Type="http://schemas.openxmlformats.org/officeDocument/2006/relationships/hyperlink" Target="https://webagentes.canaldirecto.com.ar/incidents/view/705776-0" TargetMode="External"/><Relationship Id="rId976" Type="http://schemas.openxmlformats.org/officeDocument/2006/relationships/hyperlink" Target="https://webagentes.canaldirecto.com.ar/incidents/view/711617-9" TargetMode="External"/><Relationship Id="rId1399" Type="http://schemas.openxmlformats.org/officeDocument/2006/relationships/hyperlink" Target="https://webagentes.canaldirecto.com.ar/incidents/view/731497-5" TargetMode="External"/><Relationship Id="rId2352" Type="http://schemas.openxmlformats.org/officeDocument/2006/relationships/hyperlink" Target="https://webagentes.canaldirecto.com.ar/incidents/view/775815-1" TargetMode="External"/><Relationship Id="rId2657" Type="http://schemas.openxmlformats.org/officeDocument/2006/relationships/hyperlink" Target="https://webagentes.canaldirecto.com.ar/incidents/view/785600-0" TargetMode="External"/><Relationship Id="rId3403" Type="http://schemas.openxmlformats.org/officeDocument/2006/relationships/hyperlink" Target="https://webagentes.canaldirecto.com.ar/incidents/view/810844-1" TargetMode="External"/><Relationship Id="rId3610" Type="http://schemas.openxmlformats.org/officeDocument/2006/relationships/hyperlink" Target="https://webagentes.canaldirecto.com.ar/incidents/view/816866-5" TargetMode="External"/><Relationship Id="rId324" Type="http://schemas.openxmlformats.org/officeDocument/2006/relationships/hyperlink" Target="https://webagentes.canaldirecto.com.ar/incidents/view/664520-3" TargetMode="External"/><Relationship Id="rId531" Type="http://schemas.openxmlformats.org/officeDocument/2006/relationships/hyperlink" Target="https://webagentes.canaldirecto.com.ar/incidents/view/688012-5" TargetMode="External"/><Relationship Id="rId629" Type="http://schemas.openxmlformats.org/officeDocument/2006/relationships/hyperlink" Target="https://webagentes.canaldirecto.com.ar/incidents/view/692571-0" TargetMode="External"/><Relationship Id="rId1161" Type="http://schemas.openxmlformats.org/officeDocument/2006/relationships/hyperlink" Target="https://webagentes.canaldirecto.com.ar/incidents/view/717290-8" TargetMode="External"/><Relationship Id="rId1259" Type="http://schemas.openxmlformats.org/officeDocument/2006/relationships/hyperlink" Target="https://webagentes.canaldirecto.com.ar/incidents/view/728283-4" TargetMode="External"/><Relationship Id="rId1466" Type="http://schemas.openxmlformats.org/officeDocument/2006/relationships/hyperlink" Target="https://webagentes.canaldirecto.com.ar/incidents/view/733255-5" TargetMode="External"/><Relationship Id="rId2005" Type="http://schemas.openxmlformats.org/officeDocument/2006/relationships/hyperlink" Target="https://webagentes.canaldirecto.com.ar/incidents/view/759067-2" TargetMode="External"/><Relationship Id="rId2212" Type="http://schemas.openxmlformats.org/officeDocument/2006/relationships/hyperlink" Target="https://webagentes.canaldirecto.com.ar/incidents/view/767056-1" TargetMode="External"/><Relationship Id="rId2864" Type="http://schemas.openxmlformats.org/officeDocument/2006/relationships/hyperlink" Target="https://webagentes.canaldirecto.com.ar/incidents/view/792640-6" TargetMode="External"/><Relationship Id="rId3708" Type="http://schemas.openxmlformats.org/officeDocument/2006/relationships/hyperlink" Target="https://webagentes.canaldirecto.com.ar/incidents/view/820018-3" TargetMode="External"/><Relationship Id="rId3915" Type="http://schemas.openxmlformats.org/officeDocument/2006/relationships/hyperlink" Target="https://webagentes.canaldirecto.com.ar/incidents/view/830014-6" TargetMode="External"/><Relationship Id="rId836" Type="http://schemas.openxmlformats.org/officeDocument/2006/relationships/hyperlink" Target="https://webagentes.canaldirecto.com.ar/incidents/view/709186-1" TargetMode="External"/><Relationship Id="rId1021" Type="http://schemas.openxmlformats.org/officeDocument/2006/relationships/hyperlink" Target="https://webagentes.canaldirecto.com.ar/incidents/view/716816-3" TargetMode="External"/><Relationship Id="rId1119" Type="http://schemas.openxmlformats.org/officeDocument/2006/relationships/hyperlink" Target="https://webagentes.canaldirecto.com.ar/incidents/view/720019-5" TargetMode="External"/><Relationship Id="rId1673" Type="http://schemas.openxmlformats.org/officeDocument/2006/relationships/hyperlink" Target="https://webagentes.canaldirecto.com.ar/incidents/view/746477-5" TargetMode="External"/><Relationship Id="rId1880" Type="http://schemas.openxmlformats.org/officeDocument/2006/relationships/hyperlink" Target="https://webagentes.canaldirecto.com.ar/incidents/view/749854-1" TargetMode="External"/><Relationship Id="rId1978" Type="http://schemas.openxmlformats.org/officeDocument/2006/relationships/hyperlink" Target="https://webagentes.canaldirecto.com.ar/incidents/view/755176-1" TargetMode="External"/><Relationship Id="rId2517" Type="http://schemas.openxmlformats.org/officeDocument/2006/relationships/hyperlink" Target="https://webagentes.canaldirecto.com.ar/incidents/view/782116-5" TargetMode="External"/><Relationship Id="rId2724" Type="http://schemas.openxmlformats.org/officeDocument/2006/relationships/hyperlink" Target="https://webagentes.canaldirecto.com.ar/incidents/view/791763-9" TargetMode="External"/><Relationship Id="rId2931" Type="http://schemas.openxmlformats.org/officeDocument/2006/relationships/hyperlink" Target="https://webagentes.canaldirecto.com.ar/incidents/view/796377-1" TargetMode="External"/><Relationship Id="rId903" Type="http://schemas.openxmlformats.org/officeDocument/2006/relationships/hyperlink" Target="https://webagentes.canaldirecto.com.ar/incidents/view/712499-2" TargetMode="External"/><Relationship Id="rId1326" Type="http://schemas.openxmlformats.org/officeDocument/2006/relationships/hyperlink" Target="https://webagentes.canaldirecto.com.ar/incidents/view/730094-5" TargetMode="External"/><Relationship Id="rId1533" Type="http://schemas.openxmlformats.org/officeDocument/2006/relationships/hyperlink" Target="https://webagentes.canaldirecto.com.ar/incidents/view/740678-0" TargetMode="External"/><Relationship Id="rId1740" Type="http://schemas.openxmlformats.org/officeDocument/2006/relationships/hyperlink" Target="https://webagentes.canaldirecto.com.ar/incidents/view/745146-1" TargetMode="External"/><Relationship Id="rId3193" Type="http://schemas.openxmlformats.org/officeDocument/2006/relationships/hyperlink" Target="https://webagentes.canaldirecto.com.ar/incidents/view/805019-9" TargetMode="External"/><Relationship Id="rId32" Type="http://schemas.openxmlformats.org/officeDocument/2006/relationships/hyperlink" Target="https://webagentes.canaldirecto.com.ar/incidents/view/662421-9" TargetMode="External"/><Relationship Id="rId1600" Type="http://schemas.openxmlformats.org/officeDocument/2006/relationships/hyperlink" Target="https://webagentes.canaldirecto.com.ar/incidents/view/743997-3" TargetMode="External"/><Relationship Id="rId1838" Type="http://schemas.openxmlformats.org/officeDocument/2006/relationships/hyperlink" Target="https://webagentes.canaldirecto.com.ar/incidents/view/746367-9" TargetMode="External"/><Relationship Id="rId3053" Type="http://schemas.openxmlformats.org/officeDocument/2006/relationships/hyperlink" Target="https://webagentes.canaldirecto.com.ar/incidents/view/799083-6" TargetMode="External"/><Relationship Id="rId3260" Type="http://schemas.openxmlformats.org/officeDocument/2006/relationships/hyperlink" Target="https://webagentes.canaldirecto.com.ar/incidents/view/808952-6" TargetMode="External"/><Relationship Id="rId3498" Type="http://schemas.openxmlformats.org/officeDocument/2006/relationships/hyperlink" Target="https://webagentes.canaldirecto.com.ar/incidents/view/813846-0" TargetMode="External"/><Relationship Id="rId181" Type="http://schemas.openxmlformats.org/officeDocument/2006/relationships/hyperlink" Target="https://webagentes.canaldirecto.com.ar/incidents/view/671937-7" TargetMode="External"/><Relationship Id="rId1905" Type="http://schemas.openxmlformats.org/officeDocument/2006/relationships/hyperlink" Target="https://webagentes.canaldirecto.com.ar/incidents/view/749086-8" TargetMode="External"/><Relationship Id="rId3120" Type="http://schemas.openxmlformats.org/officeDocument/2006/relationships/hyperlink" Target="https://webagentes.canaldirecto.com.ar/incidents/view/802415-8" TargetMode="External"/><Relationship Id="rId3358" Type="http://schemas.openxmlformats.org/officeDocument/2006/relationships/hyperlink" Target="https://webagentes.canaldirecto.com.ar/incidents/view/812060-1" TargetMode="External"/><Relationship Id="rId3565" Type="http://schemas.openxmlformats.org/officeDocument/2006/relationships/hyperlink" Target="https://webagentes.canaldirecto.com.ar/incidents/view/818429-2" TargetMode="External"/><Relationship Id="rId3772" Type="http://schemas.openxmlformats.org/officeDocument/2006/relationships/hyperlink" Target="https://webagentes.canaldirecto.com.ar/incidents/view/824121-4" TargetMode="External"/><Relationship Id="rId279" Type="http://schemas.openxmlformats.org/officeDocument/2006/relationships/hyperlink" Target="https://webagentes.canaldirecto.com.ar/incidents/view/674924-4" TargetMode="External"/><Relationship Id="rId486" Type="http://schemas.openxmlformats.org/officeDocument/2006/relationships/hyperlink" Target="https://webagentes.canaldirecto.com.ar/incidents/view/689853-1" TargetMode="External"/><Relationship Id="rId693" Type="http://schemas.openxmlformats.org/officeDocument/2006/relationships/hyperlink" Target="https://webagentes.canaldirecto.com.ar/incidents/view/697773-1" TargetMode="External"/><Relationship Id="rId2167" Type="http://schemas.openxmlformats.org/officeDocument/2006/relationships/hyperlink" Target="https://webagentes.canaldirecto.com.ar/incidents/view/765177-9" TargetMode="External"/><Relationship Id="rId2374" Type="http://schemas.openxmlformats.org/officeDocument/2006/relationships/hyperlink" Target="https://webagentes.canaldirecto.com.ar/incidents/view/780352-1" TargetMode="External"/><Relationship Id="rId2581" Type="http://schemas.openxmlformats.org/officeDocument/2006/relationships/hyperlink" Target="https://webagentes.canaldirecto.com.ar/incidents/view/783298-5" TargetMode="External"/><Relationship Id="rId3218" Type="http://schemas.openxmlformats.org/officeDocument/2006/relationships/hyperlink" Target="https://webagentes.canaldirecto.com.ar/incidents/view/804079-4" TargetMode="External"/><Relationship Id="rId3425" Type="http://schemas.openxmlformats.org/officeDocument/2006/relationships/hyperlink" Target="https://webagentes.canaldirecto.com.ar/incidents/view/809152-1" TargetMode="External"/><Relationship Id="rId3632" Type="http://schemas.openxmlformats.org/officeDocument/2006/relationships/hyperlink" Target="https://webagentes.canaldirecto.com.ar/incidents/view/813013-0" TargetMode="External"/><Relationship Id="rId139" Type="http://schemas.openxmlformats.org/officeDocument/2006/relationships/hyperlink" Target="https://webagentes.canaldirecto.com.ar/incidents/view/668127-8" TargetMode="External"/><Relationship Id="rId346" Type="http://schemas.openxmlformats.org/officeDocument/2006/relationships/hyperlink" Target="https://webagentes.canaldirecto.com.ar/incidents/view/679024-8" TargetMode="External"/><Relationship Id="rId553" Type="http://schemas.openxmlformats.org/officeDocument/2006/relationships/hyperlink" Target="https://webagentes.canaldirecto.com.ar/incidents/view/692357-2" TargetMode="External"/><Relationship Id="rId760" Type="http://schemas.openxmlformats.org/officeDocument/2006/relationships/hyperlink" Target="https://webagentes.canaldirecto.com.ar/incidents/view/706477-9" TargetMode="External"/><Relationship Id="rId998" Type="http://schemas.openxmlformats.org/officeDocument/2006/relationships/hyperlink" Target="https://webagentes.canaldirecto.com.ar/incidents/view/717061-8" TargetMode="External"/><Relationship Id="rId1183" Type="http://schemas.openxmlformats.org/officeDocument/2006/relationships/hyperlink" Target="https://webagentes.canaldirecto.com.ar/incidents/view/721878-7" TargetMode="External"/><Relationship Id="rId1390" Type="http://schemas.openxmlformats.org/officeDocument/2006/relationships/hyperlink" Target="https://webagentes.canaldirecto.com.ar/incidents/view/731999-8" TargetMode="External"/><Relationship Id="rId2027" Type="http://schemas.openxmlformats.org/officeDocument/2006/relationships/hyperlink" Target="https://webagentes.canaldirecto.com.ar/incidents/view/756915-9" TargetMode="External"/><Relationship Id="rId2234" Type="http://schemas.openxmlformats.org/officeDocument/2006/relationships/hyperlink" Target="https://webagentes.canaldirecto.com.ar/incidents/view/770851-8" TargetMode="External"/><Relationship Id="rId2441" Type="http://schemas.openxmlformats.org/officeDocument/2006/relationships/hyperlink" Target="https://webagentes.canaldirecto.com.ar/incidents/view/779135-0" TargetMode="External"/><Relationship Id="rId2679" Type="http://schemas.openxmlformats.org/officeDocument/2006/relationships/hyperlink" Target="https://webagentes.canaldirecto.com.ar/incidents/view/788374-9" TargetMode="External"/><Relationship Id="rId2886" Type="http://schemas.openxmlformats.org/officeDocument/2006/relationships/hyperlink" Target="https://webagentes.canaldirecto.com.ar/incidents/view/792107-6" TargetMode="External"/><Relationship Id="rId3937" Type="http://schemas.openxmlformats.org/officeDocument/2006/relationships/hyperlink" Target="https://webagentes.canaldirecto.com.ar/incidents/view/829661-2" TargetMode="External"/><Relationship Id="rId206" Type="http://schemas.openxmlformats.org/officeDocument/2006/relationships/hyperlink" Target="https://webagentes.canaldirecto.com.ar/incidents/view/670227-0" TargetMode="External"/><Relationship Id="rId413" Type="http://schemas.openxmlformats.org/officeDocument/2006/relationships/hyperlink" Target="https://webagentes.canaldirecto.com.ar/incidents/view/681901-1" TargetMode="External"/><Relationship Id="rId858" Type="http://schemas.openxmlformats.org/officeDocument/2006/relationships/hyperlink" Target="https://webagentes.canaldirecto.com.ar/incidents/view/708011-1" TargetMode="External"/><Relationship Id="rId1043" Type="http://schemas.openxmlformats.org/officeDocument/2006/relationships/hyperlink" Target="https://webagentes.canaldirecto.com.ar/incidents/view/716429-1" TargetMode="External"/><Relationship Id="rId1488" Type="http://schemas.openxmlformats.org/officeDocument/2006/relationships/hyperlink" Target="https://webagentes.canaldirecto.com.ar/incidents/view/737353-4" TargetMode="External"/><Relationship Id="rId1695" Type="http://schemas.openxmlformats.org/officeDocument/2006/relationships/hyperlink" Target="https://webagentes.canaldirecto.com.ar/incidents/view/746255-5" TargetMode="External"/><Relationship Id="rId2539" Type="http://schemas.openxmlformats.org/officeDocument/2006/relationships/hyperlink" Target="https://webagentes.canaldirecto.com.ar/incidents/view/780928-8" TargetMode="External"/><Relationship Id="rId2746" Type="http://schemas.openxmlformats.org/officeDocument/2006/relationships/hyperlink" Target="https://webagentes.canaldirecto.com.ar/incidents/view/791179-6" TargetMode="External"/><Relationship Id="rId2953" Type="http://schemas.openxmlformats.org/officeDocument/2006/relationships/hyperlink" Target="https://webagentes.canaldirecto.com.ar/incidents/view/795873-3" TargetMode="External"/><Relationship Id="rId620" Type="http://schemas.openxmlformats.org/officeDocument/2006/relationships/hyperlink" Target="https://webagentes.canaldirecto.com.ar/incidents/view/693578-0" TargetMode="External"/><Relationship Id="rId718" Type="http://schemas.openxmlformats.org/officeDocument/2006/relationships/hyperlink" Target="https://webagentes.canaldirecto.com.ar/incidents/view/703158-6" TargetMode="External"/><Relationship Id="rId925" Type="http://schemas.openxmlformats.org/officeDocument/2006/relationships/hyperlink" Target="https://webagentes.canaldirecto.com.ar/incidents/view/712192-2" TargetMode="External"/><Relationship Id="rId1250" Type="http://schemas.openxmlformats.org/officeDocument/2006/relationships/hyperlink" Target="https://webagentes.canaldirecto.com.ar/incidents/view/728368-4" TargetMode="External"/><Relationship Id="rId1348" Type="http://schemas.openxmlformats.org/officeDocument/2006/relationships/hyperlink" Target="https://webagentes.canaldirecto.com.ar/incidents/view/728060-5" TargetMode="External"/><Relationship Id="rId1555" Type="http://schemas.openxmlformats.org/officeDocument/2006/relationships/hyperlink" Target="https://webagentes.canaldirecto.com.ar/incidents/view/744536-3" TargetMode="External"/><Relationship Id="rId1762" Type="http://schemas.openxmlformats.org/officeDocument/2006/relationships/hyperlink" Target="https://webagentes.canaldirecto.com.ar/incidents/view/746309-5" TargetMode="External"/><Relationship Id="rId2301" Type="http://schemas.openxmlformats.org/officeDocument/2006/relationships/hyperlink" Target="https://webagentes.canaldirecto.com.ar/incidents/view/772832-7" TargetMode="External"/><Relationship Id="rId2606" Type="http://schemas.openxmlformats.org/officeDocument/2006/relationships/hyperlink" Target="https://webagentes.canaldirecto.com.ar/incidents/view/782754-9" TargetMode="External"/><Relationship Id="rId1110" Type="http://schemas.openxmlformats.org/officeDocument/2006/relationships/hyperlink" Target="https://webagentes.canaldirecto.com.ar/incidents/view/720074-2" TargetMode="External"/><Relationship Id="rId1208" Type="http://schemas.openxmlformats.org/officeDocument/2006/relationships/hyperlink" Target="https://webagentes.canaldirecto.com.ar/incidents/view/719860-5" TargetMode="External"/><Relationship Id="rId1415" Type="http://schemas.openxmlformats.org/officeDocument/2006/relationships/hyperlink" Target="https://webagentes.canaldirecto.com.ar/incidents/view/736253-8" TargetMode="External"/><Relationship Id="rId2813" Type="http://schemas.openxmlformats.org/officeDocument/2006/relationships/hyperlink" Target="https://webagentes.canaldirecto.com.ar/incidents/view/794392-6" TargetMode="External"/><Relationship Id="rId54" Type="http://schemas.openxmlformats.org/officeDocument/2006/relationships/hyperlink" Target="https://webagentes.canaldirecto.com.ar/incidents/view/660701-8" TargetMode="External"/><Relationship Id="rId1622" Type="http://schemas.openxmlformats.org/officeDocument/2006/relationships/hyperlink" Target="https://webagentes.canaldirecto.com.ar/incidents/view/743484-4" TargetMode="External"/><Relationship Id="rId1927" Type="http://schemas.openxmlformats.org/officeDocument/2006/relationships/hyperlink" Target="https://webagentes.canaldirecto.com.ar/incidents/view/752892-1" TargetMode="External"/><Relationship Id="rId3075" Type="http://schemas.openxmlformats.org/officeDocument/2006/relationships/hyperlink" Target="https://webagentes.canaldirecto.com.ar/incidents/view/798264-2" TargetMode="External"/><Relationship Id="rId3282" Type="http://schemas.openxmlformats.org/officeDocument/2006/relationships/hyperlink" Target="https://webagentes.canaldirecto.com.ar/incidents/view/807176-7" TargetMode="External"/><Relationship Id="rId2091" Type="http://schemas.openxmlformats.org/officeDocument/2006/relationships/hyperlink" Target="https://webagentes.canaldirecto.com.ar/incidents/view/758861-3" TargetMode="External"/><Relationship Id="rId2189" Type="http://schemas.openxmlformats.org/officeDocument/2006/relationships/hyperlink" Target="https://webagentes.canaldirecto.com.ar/incidents/view/768337-0" TargetMode="External"/><Relationship Id="rId3142" Type="http://schemas.openxmlformats.org/officeDocument/2006/relationships/hyperlink" Target="https://webagentes.canaldirecto.com.ar/incidents/view/801372-7" TargetMode="External"/><Relationship Id="rId3587" Type="http://schemas.openxmlformats.org/officeDocument/2006/relationships/hyperlink" Target="https://webagentes.canaldirecto.com.ar/incidents/view/817726-5" TargetMode="External"/><Relationship Id="rId3794" Type="http://schemas.openxmlformats.org/officeDocument/2006/relationships/hyperlink" Target="https://webagentes.canaldirecto.com.ar/incidents/view/823113-8" TargetMode="External"/><Relationship Id="rId270" Type="http://schemas.openxmlformats.org/officeDocument/2006/relationships/hyperlink" Target="https://webagentes.canaldirecto.com.ar/incidents/view/675605-9" TargetMode="External"/><Relationship Id="rId2396" Type="http://schemas.openxmlformats.org/officeDocument/2006/relationships/hyperlink" Target="https://webagentes.canaldirecto.com.ar/incidents/view/779744-2" TargetMode="External"/><Relationship Id="rId3002" Type="http://schemas.openxmlformats.org/officeDocument/2006/relationships/hyperlink" Target="https://webagentes.canaldirecto.com.ar/incidents/view/800169-8" TargetMode="External"/><Relationship Id="rId3447" Type="http://schemas.openxmlformats.org/officeDocument/2006/relationships/hyperlink" Target="https://webagentes.canaldirecto.com.ar/incidents/view/816256-4" TargetMode="External"/><Relationship Id="rId3654" Type="http://schemas.openxmlformats.org/officeDocument/2006/relationships/hyperlink" Target="https://webagentes.canaldirecto.com.ar/incidents/view/822072-5" TargetMode="External"/><Relationship Id="rId3861" Type="http://schemas.openxmlformats.org/officeDocument/2006/relationships/hyperlink" Target="https://webagentes.canaldirecto.com.ar/incidents/view/826114-8" TargetMode="External"/><Relationship Id="rId130" Type="http://schemas.openxmlformats.org/officeDocument/2006/relationships/hyperlink" Target="https://webagentes.canaldirecto.com.ar/incidents/view/668599-1" TargetMode="External"/><Relationship Id="rId368" Type="http://schemas.openxmlformats.org/officeDocument/2006/relationships/hyperlink" Target="https://webagentes.canaldirecto.com.ar/incidents/view/678088-9" TargetMode="External"/><Relationship Id="rId575" Type="http://schemas.openxmlformats.org/officeDocument/2006/relationships/hyperlink" Target="https://webagentes.canaldirecto.com.ar/incidents/view/690405-4" TargetMode="External"/><Relationship Id="rId782" Type="http://schemas.openxmlformats.org/officeDocument/2006/relationships/hyperlink" Target="https://webagentes.canaldirecto.com.ar/incidents/view/705230-3" TargetMode="External"/><Relationship Id="rId2049" Type="http://schemas.openxmlformats.org/officeDocument/2006/relationships/hyperlink" Target="https://webagentes.canaldirecto.com.ar/incidents/view/760805-0" TargetMode="External"/><Relationship Id="rId2256" Type="http://schemas.openxmlformats.org/officeDocument/2006/relationships/hyperlink" Target="https://webagentes.canaldirecto.com.ar/incidents/view/770021-5" TargetMode="External"/><Relationship Id="rId2463" Type="http://schemas.openxmlformats.org/officeDocument/2006/relationships/hyperlink" Target="https://webagentes.canaldirecto.com.ar/incidents/view/777740-2" TargetMode="External"/><Relationship Id="rId2670" Type="http://schemas.openxmlformats.org/officeDocument/2006/relationships/hyperlink" Target="https://webagentes.canaldirecto.com.ar/incidents/view/789227-9" TargetMode="External"/><Relationship Id="rId3307" Type="http://schemas.openxmlformats.org/officeDocument/2006/relationships/hyperlink" Target="https://webagentes.canaldirecto.com.ar/incidents/view/813387-2" TargetMode="External"/><Relationship Id="rId3514" Type="http://schemas.openxmlformats.org/officeDocument/2006/relationships/hyperlink" Target="https://webagentes.canaldirecto.com.ar/incidents/view/819660-4" TargetMode="External"/><Relationship Id="rId3721" Type="http://schemas.openxmlformats.org/officeDocument/2006/relationships/hyperlink" Target="https://webagentes.canaldirecto.com.ar/incidents/view/818437-1" TargetMode="External"/><Relationship Id="rId3959" Type="http://schemas.openxmlformats.org/officeDocument/2006/relationships/hyperlink" Target="https://webagentes.canaldirecto.com.ar/incidents/view/828917-1" TargetMode="External"/><Relationship Id="rId228" Type="http://schemas.openxmlformats.org/officeDocument/2006/relationships/hyperlink" Target="https://webagentes.canaldirecto.com.ar/incidents/view/677256-1" TargetMode="External"/><Relationship Id="rId435" Type="http://schemas.openxmlformats.org/officeDocument/2006/relationships/hyperlink" Target="https://webagentes.canaldirecto.com.ar/incidents/view/686069-9" TargetMode="External"/><Relationship Id="rId642" Type="http://schemas.openxmlformats.org/officeDocument/2006/relationships/hyperlink" Target="https://webagentes.canaldirecto.com.ar/incidents/view/698159-4" TargetMode="External"/><Relationship Id="rId1065" Type="http://schemas.openxmlformats.org/officeDocument/2006/relationships/hyperlink" Target="https://webagentes.canaldirecto.com.ar/incidents/view/716248-8" TargetMode="External"/><Relationship Id="rId1272" Type="http://schemas.openxmlformats.org/officeDocument/2006/relationships/hyperlink" Target="https://webagentes.canaldirecto.com.ar/incidents/view/727489-9" TargetMode="External"/><Relationship Id="rId2116" Type="http://schemas.openxmlformats.org/officeDocument/2006/relationships/hyperlink" Target="https://webagentes.canaldirecto.com.ar/incidents/view/762580-8" TargetMode="External"/><Relationship Id="rId2323" Type="http://schemas.openxmlformats.org/officeDocument/2006/relationships/hyperlink" Target="https://webagentes.canaldirecto.com.ar/incidents/view/771987-9" TargetMode="External"/><Relationship Id="rId2530" Type="http://schemas.openxmlformats.org/officeDocument/2006/relationships/hyperlink" Target="https://webagentes.canaldirecto.com.ar/incidents/view/781662-2" TargetMode="External"/><Relationship Id="rId2768" Type="http://schemas.openxmlformats.org/officeDocument/2006/relationships/hyperlink" Target="https://webagentes.canaldirecto.com.ar/incidents/view/789650-3" TargetMode="External"/><Relationship Id="rId2975" Type="http://schemas.openxmlformats.org/officeDocument/2006/relationships/hyperlink" Target="https://webagentes.canaldirecto.com.ar/incidents/view/795574-5" TargetMode="External"/><Relationship Id="rId3819" Type="http://schemas.openxmlformats.org/officeDocument/2006/relationships/hyperlink" Target="https://webagentes.canaldirecto.com.ar/incidents/view/827629-2" TargetMode="External"/><Relationship Id="rId502" Type="http://schemas.openxmlformats.org/officeDocument/2006/relationships/hyperlink" Target="https://webagentes.canaldirecto.com.ar/incidents/view/689377-6" TargetMode="External"/><Relationship Id="rId947" Type="http://schemas.openxmlformats.org/officeDocument/2006/relationships/hyperlink" Target="https://webagentes.canaldirecto.com.ar/incidents/view/712033-0" TargetMode="External"/><Relationship Id="rId1132" Type="http://schemas.openxmlformats.org/officeDocument/2006/relationships/hyperlink" Target="https://webagentes.canaldirecto.com.ar/incidents/view/719209-0" TargetMode="External"/><Relationship Id="rId1577" Type="http://schemas.openxmlformats.org/officeDocument/2006/relationships/hyperlink" Target="https://webagentes.canaldirecto.com.ar/incidents/view/744268-5" TargetMode="External"/><Relationship Id="rId1784" Type="http://schemas.openxmlformats.org/officeDocument/2006/relationships/hyperlink" Target="https://webagentes.canaldirecto.com.ar/incidents/view/748701-3" TargetMode="External"/><Relationship Id="rId1991" Type="http://schemas.openxmlformats.org/officeDocument/2006/relationships/hyperlink" Target="https://webagentes.canaldirecto.com.ar/incidents/view/754739-7" TargetMode="External"/><Relationship Id="rId2628" Type="http://schemas.openxmlformats.org/officeDocument/2006/relationships/hyperlink" Target="https://webagentes.canaldirecto.com.ar/incidents/view/787008-2" TargetMode="External"/><Relationship Id="rId2835" Type="http://schemas.openxmlformats.org/officeDocument/2006/relationships/hyperlink" Target="https://webagentes.canaldirecto.com.ar/incidents/view/794036-3" TargetMode="External"/><Relationship Id="rId76" Type="http://schemas.openxmlformats.org/officeDocument/2006/relationships/hyperlink" Target="https://webagentes.canaldirecto.com.ar/incidents/view/665260-1" TargetMode="External"/><Relationship Id="rId807" Type="http://schemas.openxmlformats.org/officeDocument/2006/relationships/hyperlink" Target="https://webagentes.canaldirecto.com.ar/incidents/view/711425-0" TargetMode="External"/><Relationship Id="rId1437" Type="http://schemas.openxmlformats.org/officeDocument/2006/relationships/hyperlink" Target="https://webagentes.canaldirecto.com.ar/incidents/view/735610-2" TargetMode="External"/><Relationship Id="rId1644" Type="http://schemas.openxmlformats.org/officeDocument/2006/relationships/hyperlink" Target="https://webagentes.canaldirecto.com.ar/incidents/view/742722-4" TargetMode="External"/><Relationship Id="rId1851" Type="http://schemas.openxmlformats.org/officeDocument/2006/relationships/hyperlink" Target="https://webagentes.canaldirecto.com.ar/incidents/view/751581-1" TargetMode="External"/><Relationship Id="rId2902" Type="http://schemas.openxmlformats.org/officeDocument/2006/relationships/hyperlink" Target="https://webagentes.canaldirecto.com.ar/incidents/view/797551-8" TargetMode="External"/><Relationship Id="rId3097" Type="http://schemas.openxmlformats.org/officeDocument/2006/relationships/hyperlink" Target="https://webagentes.canaldirecto.com.ar/incidents/view/803260-7" TargetMode="External"/><Relationship Id="rId1504" Type="http://schemas.openxmlformats.org/officeDocument/2006/relationships/hyperlink" Target="https://webagentes.canaldirecto.com.ar/incidents/view/736301-4" TargetMode="External"/><Relationship Id="rId1711" Type="http://schemas.openxmlformats.org/officeDocument/2006/relationships/hyperlink" Target="https://webagentes.canaldirecto.com.ar/incidents/view/745927-8" TargetMode="External"/><Relationship Id="rId1949" Type="http://schemas.openxmlformats.org/officeDocument/2006/relationships/hyperlink" Target="https://webagentes.canaldirecto.com.ar/incidents/view/757084-5" TargetMode="External"/><Relationship Id="rId3164" Type="http://schemas.openxmlformats.org/officeDocument/2006/relationships/hyperlink" Target="https://webagentes.canaldirecto.com.ar/incidents/view/796558-4" TargetMode="External"/><Relationship Id="rId292" Type="http://schemas.openxmlformats.org/officeDocument/2006/relationships/hyperlink" Target="https://webagentes.canaldirecto.com.ar/incidents/view/674660-9" TargetMode="External"/><Relationship Id="rId1809" Type="http://schemas.openxmlformats.org/officeDocument/2006/relationships/hyperlink" Target="https://webagentes.canaldirecto.com.ar/incidents/view/748501-5" TargetMode="External"/><Relationship Id="rId3371" Type="http://schemas.openxmlformats.org/officeDocument/2006/relationships/hyperlink" Target="https://webagentes.canaldirecto.com.ar/incidents/view/811716-6" TargetMode="External"/><Relationship Id="rId3469" Type="http://schemas.openxmlformats.org/officeDocument/2006/relationships/hyperlink" Target="https://webagentes.canaldirecto.com.ar/incidents/view/814959-0" TargetMode="External"/><Relationship Id="rId3676" Type="http://schemas.openxmlformats.org/officeDocument/2006/relationships/hyperlink" Target="https://webagentes.canaldirecto.com.ar/incidents/view/821801-2" TargetMode="External"/><Relationship Id="rId597" Type="http://schemas.openxmlformats.org/officeDocument/2006/relationships/hyperlink" Target="https://webagentes.canaldirecto.com.ar/incidents/view/695160-9" TargetMode="External"/><Relationship Id="rId2180" Type="http://schemas.openxmlformats.org/officeDocument/2006/relationships/hyperlink" Target="https://webagentes.canaldirecto.com.ar/incidents/view/764105-5" TargetMode="External"/><Relationship Id="rId2278" Type="http://schemas.openxmlformats.org/officeDocument/2006/relationships/hyperlink" Target="https://webagentes.canaldirecto.com.ar/incidents/view/774545-8" TargetMode="External"/><Relationship Id="rId2485" Type="http://schemas.openxmlformats.org/officeDocument/2006/relationships/hyperlink" Target="https://webagentes.canaldirecto.com.ar/incidents/view/782740-6" TargetMode="External"/><Relationship Id="rId3024" Type="http://schemas.openxmlformats.org/officeDocument/2006/relationships/hyperlink" Target="https://webagentes.canaldirecto.com.ar/incidents/view/799845-8" TargetMode="External"/><Relationship Id="rId3231" Type="http://schemas.openxmlformats.org/officeDocument/2006/relationships/hyperlink" Target="https://webagentes.canaldirecto.com.ar/incidents/view/809702-0" TargetMode="External"/><Relationship Id="rId3329" Type="http://schemas.openxmlformats.org/officeDocument/2006/relationships/hyperlink" Target="https://webagentes.canaldirecto.com.ar/incidents/view/812849-0" TargetMode="External"/><Relationship Id="rId3883" Type="http://schemas.openxmlformats.org/officeDocument/2006/relationships/hyperlink" Target="https://webagentes.canaldirecto.com.ar/incidents/view/822073-4" TargetMode="External"/><Relationship Id="rId152" Type="http://schemas.openxmlformats.org/officeDocument/2006/relationships/hyperlink" Target="https://webagentes.canaldirecto.com.ar/incidents/view/665779-4" TargetMode="External"/><Relationship Id="rId457" Type="http://schemas.openxmlformats.org/officeDocument/2006/relationships/hyperlink" Target="https://webagentes.canaldirecto.com.ar/incidents/view/684632-5" TargetMode="External"/><Relationship Id="rId1087" Type="http://schemas.openxmlformats.org/officeDocument/2006/relationships/hyperlink" Target="https://webagentes.canaldirecto.com.ar/incidents/view/710782-5" TargetMode="External"/><Relationship Id="rId1294" Type="http://schemas.openxmlformats.org/officeDocument/2006/relationships/hyperlink" Target="https://webagentes.canaldirecto.com.ar/incidents/view/726620-7" TargetMode="External"/><Relationship Id="rId2040" Type="http://schemas.openxmlformats.org/officeDocument/2006/relationships/hyperlink" Target="https://webagentes.canaldirecto.com.ar/incidents/view/760870-4" TargetMode="External"/><Relationship Id="rId2138" Type="http://schemas.openxmlformats.org/officeDocument/2006/relationships/hyperlink" Target="https://webagentes.canaldirecto.com.ar/incidents/view/761373-3" TargetMode="External"/><Relationship Id="rId2692" Type="http://schemas.openxmlformats.org/officeDocument/2006/relationships/hyperlink" Target="https://webagentes.canaldirecto.com.ar/incidents/view/788344-8" TargetMode="External"/><Relationship Id="rId2997" Type="http://schemas.openxmlformats.org/officeDocument/2006/relationships/hyperlink" Target="https://webagentes.canaldirecto.com.ar/incidents/view/794220-0" TargetMode="External"/><Relationship Id="rId3536" Type="http://schemas.openxmlformats.org/officeDocument/2006/relationships/hyperlink" Target="https://webagentes.canaldirecto.com.ar/incidents/view/818678-6" TargetMode="External"/><Relationship Id="rId3743" Type="http://schemas.openxmlformats.org/officeDocument/2006/relationships/hyperlink" Target="https://webagentes.canaldirecto.com.ar/incidents/view/824673-2" TargetMode="External"/><Relationship Id="rId3950" Type="http://schemas.openxmlformats.org/officeDocument/2006/relationships/hyperlink" Target="https://webagentes.canaldirecto.com.ar/incidents/view/829494-2" TargetMode="External"/><Relationship Id="rId664" Type="http://schemas.openxmlformats.org/officeDocument/2006/relationships/hyperlink" Target="https://webagentes.canaldirecto.com.ar/incidents/view/701179-5" TargetMode="External"/><Relationship Id="rId871" Type="http://schemas.openxmlformats.org/officeDocument/2006/relationships/hyperlink" Target="https://webagentes.canaldirecto.com.ar/incidents/view/706619-3" TargetMode="External"/><Relationship Id="rId969" Type="http://schemas.openxmlformats.org/officeDocument/2006/relationships/hyperlink" Target="https://webagentes.canaldirecto.com.ar/incidents/view/711627-6" TargetMode="External"/><Relationship Id="rId1599" Type="http://schemas.openxmlformats.org/officeDocument/2006/relationships/hyperlink" Target="https://webagentes.canaldirecto.com.ar/incidents/view/743998-2" TargetMode="External"/><Relationship Id="rId2345" Type="http://schemas.openxmlformats.org/officeDocument/2006/relationships/hyperlink" Target="https://webagentes.canaldirecto.com.ar/incidents/view/776051-8" TargetMode="External"/><Relationship Id="rId2552" Type="http://schemas.openxmlformats.org/officeDocument/2006/relationships/hyperlink" Target="https://webagentes.canaldirecto.com.ar/incidents/view/780126-8" TargetMode="External"/><Relationship Id="rId3603" Type="http://schemas.openxmlformats.org/officeDocument/2006/relationships/hyperlink" Target="https://webagentes.canaldirecto.com.ar/incidents/view/817540-7" TargetMode="External"/><Relationship Id="rId3810" Type="http://schemas.openxmlformats.org/officeDocument/2006/relationships/hyperlink" Target="https://webagentes.canaldirecto.com.ar/incidents/view/827926-2" TargetMode="External"/><Relationship Id="rId317" Type="http://schemas.openxmlformats.org/officeDocument/2006/relationships/hyperlink" Target="https://webagentes.canaldirecto.com.ar/incidents/view/673869-1" TargetMode="External"/><Relationship Id="rId524" Type="http://schemas.openxmlformats.org/officeDocument/2006/relationships/hyperlink" Target="https://webagentes.canaldirecto.com.ar/incidents/view/688187-8" TargetMode="External"/><Relationship Id="rId731" Type="http://schemas.openxmlformats.org/officeDocument/2006/relationships/hyperlink" Target="https://webagentes.canaldirecto.com.ar/incidents/view/702227-8" TargetMode="External"/><Relationship Id="rId1154" Type="http://schemas.openxmlformats.org/officeDocument/2006/relationships/hyperlink" Target="https://webagentes.canaldirecto.com.ar/incidents/view/717791-2" TargetMode="External"/><Relationship Id="rId1361" Type="http://schemas.openxmlformats.org/officeDocument/2006/relationships/hyperlink" Target="https://webagentes.canaldirecto.com.ar/incidents/view/732815-4" TargetMode="External"/><Relationship Id="rId1459" Type="http://schemas.openxmlformats.org/officeDocument/2006/relationships/hyperlink" Target="https://webagentes.canaldirecto.com.ar/incidents/view/734019-2" TargetMode="External"/><Relationship Id="rId2205" Type="http://schemas.openxmlformats.org/officeDocument/2006/relationships/hyperlink" Target="https://webagentes.canaldirecto.com.ar/incidents/view/767299-4" TargetMode="External"/><Relationship Id="rId2412" Type="http://schemas.openxmlformats.org/officeDocument/2006/relationships/hyperlink" Target="https://webagentes.canaldirecto.com.ar/incidents/view/779285-4" TargetMode="External"/><Relationship Id="rId2857" Type="http://schemas.openxmlformats.org/officeDocument/2006/relationships/hyperlink" Target="https://webagentes.canaldirecto.com.ar/incidents/view/792887-5" TargetMode="External"/><Relationship Id="rId3908" Type="http://schemas.openxmlformats.org/officeDocument/2006/relationships/hyperlink" Target="https://webagentes.canaldirecto.com.ar/incidents/view/830191-4" TargetMode="External"/><Relationship Id="rId98" Type="http://schemas.openxmlformats.org/officeDocument/2006/relationships/hyperlink" Target="https://webagentes.canaldirecto.com.ar/incidents/view/669754-3" TargetMode="External"/><Relationship Id="rId829" Type="http://schemas.openxmlformats.org/officeDocument/2006/relationships/hyperlink" Target="https://webagentes.canaldirecto.com.ar/incidents/view/709647-7" TargetMode="External"/><Relationship Id="rId1014" Type="http://schemas.openxmlformats.org/officeDocument/2006/relationships/hyperlink" Target="https://webagentes.canaldirecto.com.ar/incidents/view/716994-0" TargetMode="External"/><Relationship Id="rId1221" Type="http://schemas.openxmlformats.org/officeDocument/2006/relationships/hyperlink" Target="https://webagentes.canaldirecto.com.ar/incidents/view/725130-2" TargetMode="External"/><Relationship Id="rId1666" Type="http://schemas.openxmlformats.org/officeDocument/2006/relationships/hyperlink" Target="https://webagentes.canaldirecto.com.ar/incidents/view/746807-2" TargetMode="External"/><Relationship Id="rId1873" Type="http://schemas.openxmlformats.org/officeDocument/2006/relationships/hyperlink" Target="https://webagentes.canaldirecto.com.ar/incidents/view/750760-9" TargetMode="External"/><Relationship Id="rId2717" Type="http://schemas.openxmlformats.org/officeDocument/2006/relationships/hyperlink" Target="https://webagentes.canaldirecto.com.ar/incidents/view/787805-7" TargetMode="External"/><Relationship Id="rId2924" Type="http://schemas.openxmlformats.org/officeDocument/2006/relationships/hyperlink" Target="https://webagentes.canaldirecto.com.ar/incidents/view/797105-3" TargetMode="External"/><Relationship Id="rId1319" Type="http://schemas.openxmlformats.org/officeDocument/2006/relationships/hyperlink" Target="https://webagentes.canaldirecto.com.ar/incidents/view/730618-9" TargetMode="External"/><Relationship Id="rId1526" Type="http://schemas.openxmlformats.org/officeDocument/2006/relationships/hyperlink" Target="https://webagentes.canaldirecto.com.ar/incidents/view/741184-3" TargetMode="External"/><Relationship Id="rId1733" Type="http://schemas.openxmlformats.org/officeDocument/2006/relationships/hyperlink" Target="https://webagentes.canaldirecto.com.ar/incidents/view/745599-9" TargetMode="External"/><Relationship Id="rId1940" Type="http://schemas.openxmlformats.org/officeDocument/2006/relationships/hyperlink" Target="https://webagentes.canaldirecto.com.ar/incidents/view/752164-5" TargetMode="External"/><Relationship Id="rId3186" Type="http://schemas.openxmlformats.org/officeDocument/2006/relationships/hyperlink" Target="https://webagentes.canaldirecto.com.ar/incidents/view/805663-4" TargetMode="External"/><Relationship Id="rId3393" Type="http://schemas.openxmlformats.org/officeDocument/2006/relationships/hyperlink" Target="https://webagentes.canaldirecto.com.ar/incidents/view/810991-8" TargetMode="External"/><Relationship Id="rId25" Type="http://schemas.openxmlformats.org/officeDocument/2006/relationships/hyperlink" Target="https://webagentes.canaldirecto.com.ar/incidents/view/662515-7" TargetMode="External"/><Relationship Id="rId1800" Type="http://schemas.openxmlformats.org/officeDocument/2006/relationships/hyperlink" Target="https://webagentes.canaldirecto.com.ar/incidents/view/748523-7" TargetMode="External"/><Relationship Id="rId3046" Type="http://schemas.openxmlformats.org/officeDocument/2006/relationships/hyperlink" Target="https://webagentes.canaldirecto.com.ar/incidents/view/799372-7" TargetMode="External"/><Relationship Id="rId3253" Type="http://schemas.openxmlformats.org/officeDocument/2006/relationships/hyperlink" Target="https://webagentes.canaldirecto.com.ar/incidents/view/808962-3" TargetMode="External"/><Relationship Id="rId3460" Type="http://schemas.openxmlformats.org/officeDocument/2006/relationships/hyperlink" Target="https://webagentes.canaldirecto.com.ar/incidents/view/815678-5" TargetMode="External"/><Relationship Id="rId3698" Type="http://schemas.openxmlformats.org/officeDocument/2006/relationships/hyperlink" Target="https://webagentes.canaldirecto.com.ar/incidents/view/820596-6" TargetMode="External"/><Relationship Id="rId174" Type="http://schemas.openxmlformats.org/officeDocument/2006/relationships/hyperlink" Target="https://webagentes.canaldirecto.com.ar/incidents/view/672468-9" TargetMode="External"/><Relationship Id="rId381" Type="http://schemas.openxmlformats.org/officeDocument/2006/relationships/hyperlink" Target="https://webagentes.canaldirecto.com.ar/incidents/view/677725-6" TargetMode="External"/><Relationship Id="rId2062" Type="http://schemas.openxmlformats.org/officeDocument/2006/relationships/hyperlink" Target="https://webagentes.canaldirecto.com.ar/incidents/view/760790-9" TargetMode="External"/><Relationship Id="rId3113" Type="http://schemas.openxmlformats.org/officeDocument/2006/relationships/hyperlink" Target="https://webagentes.canaldirecto.com.ar/incidents/view/802484-8" TargetMode="External"/><Relationship Id="rId3558" Type="http://schemas.openxmlformats.org/officeDocument/2006/relationships/hyperlink" Target="https://webagentes.canaldirecto.com.ar/incidents/view/818477-9" TargetMode="External"/><Relationship Id="rId3765" Type="http://schemas.openxmlformats.org/officeDocument/2006/relationships/hyperlink" Target="https://webagentes.canaldirecto.com.ar/incidents/view/824132-0" TargetMode="External"/><Relationship Id="rId3972" Type="http://schemas.openxmlformats.org/officeDocument/2006/relationships/hyperlink" Target="https://webagentes.canaldirecto.com.ar/incidents/view/813463-1" TargetMode="External"/><Relationship Id="rId241" Type="http://schemas.openxmlformats.org/officeDocument/2006/relationships/hyperlink" Target="https://webagentes.canaldirecto.com.ar/incidents/view/676751-4" TargetMode="External"/><Relationship Id="rId479" Type="http://schemas.openxmlformats.org/officeDocument/2006/relationships/hyperlink" Target="https://webagentes.canaldirecto.com.ar/incidents/view/683545-3" TargetMode="External"/><Relationship Id="rId686" Type="http://schemas.openxmlformats.org/officeDocument/2006/relationships/hyperlink" Target="https://webagentes.canaldirecto.com.ar/incidents/view/698961-1" TargetMode="External"/><Relationship Id="rId893" Type="http://schemas.openxmlformats.org/officeDocument/2006/relationships/hyperlink" Target="https://webagentes.canaldirecto.com.ar/incidents/view/712862-4" TargetMode="External"/><Relationship Id="rId2367" Type="http://schemas.openxmlformats.org/officeDocument/2006/relationships/hyperlink" Target="https://webagentes.canaldirecto.com.ar/incidents/view/774192-0" TargetMode="External"/><Relationship Id="rId2574" Type="http://schemas.openxmlformats.org/officeDocument/2006/relationships/hyperlink" Target="https://webagentes.canaldirecto.com.ar/incidents/view/784090-2" TargetMode="External"/><Relationship Id="rId2781" Type="http://schemas.openxmlformats.org/officeDocument/2006/relationships/hyperlink" Target="https://webagentes.canaldirecto.com.ar/incidents/view/791211-1" TargetMode="External"/><Relationship Id="rId3320" Type="http://schemas.openxmlformats.org/officeDocument/2006/relationships/hyperlink" Target="https://webagentes.canaldirecto.com.ar/incidents/view/812858-8" TargetMode="External"/><Relationship Id="rId3418" Type="http://schemas.openxmlformats.org/officeDocument/2006/relationships/hyperlink" Target="https://webagentes.canaldirecto.com.ar/incidents/view/809800-1" TargetMode="External"/><Relationship Id="rId3625" Type="http://schemas.openxmlformats.org/officeDocument/2006/relationships/hyperlink" Target="https://webagentes.canaldirecto.com.ar/incidents/view/816795-8" TargetMode="External"/><Relationship Id="rId339" Type="http://schemas.openxmlformats.org/officeDocument/2006/relationships/hyperlink" Target="https://webagentes.canaldirecto.com.ar/incidents/view/679438-7" TargetMode="External"/><Relationship Id="rId546" Type="http://schemas.openxmlformats.org/officeDocument/2006/relationships/hyperlink" Target="https://webagentes.canaldirecto.com.ar/incidents/view/686803-5" TargetMode="External"/><Relationship Id="rId753" Type="http://schemas.openxmlformats.org/officeDocument/2006/relationships/hyperlink" Target="https://webagentes.canaldirecto.com.ar/incidents/view/699991-9" TargetMode="External"/><Relationship Id="rId1176" Type="http://schemas.openxmlformats.org/officeDocument/2006/relationships/hyperlink" Target="https://webagentes.canaldirecto.com.ar/incidents/view/722167-5" TargetMode="External"/><Relationship Id="rId1383" Type="http://schemas.openxmlformats.org/officeDocument/2006/relationships/hyperlink" Target="https://webagentes.canaldirecto.com.ar/incidents/view/732784-5" TargetMode="External"/><Relationship Id="rId2227" Type="http://schemas.openxmlformats.org/officeDocument/2006/relationships/hyperlink" Target="https://webagentes.canaldirecto.com.ar/incidents/view/771102-6" TargetMode="External"/><Relationship Id="rId2434" Type="http://schemas.openxmlformats.org/officeDocument/2006/relationships/hyperlink" Target="https://webagentes.canaldirecto.com.ar/incidents/view/779160-6" TargetMode="External"/><Relationship Id="rId2879" Type="http://schemas.openxmlformats.org/officeDocument/2006/relationships/hyperlink" Target="https://webagentes.canaldirecto.com.ar/incidents/view/792453-2" TargetMode="External"/><Relationship Id="rId3832" Type="http://schemas.openxmlformats.org/officeDocument/2006/relationships/hyperlink" Target="https://webagentes.canaldirecto.com.ar/incidents/view/827466-5" TargetMode="External"/><Relationship Id="rId101" Type="http://schemas.openxmlformats.org/officeDocument/2006/relationships/hyperlink" Target="https://webagentes.canaldirecto.com.ar/incidents/view/669393-6" TargetMode="External"/><Relationship Id="rId406" Type="http://schemas.openxmlformats.org/officeDocument/2006/relationships/hyperlink" Target="https://webagentes.canaldirecto.com.ar/incidents/view/682920-3" TargetMode="External"/><Relationship Id="rId960" Type="http://schemas.openxmlformats.org/officeDocument/2006/relationships/hyperlink" Target="https://webagentes.canaldirecto.com.ar/incidents/view/711891-9" TargetMode="External"/><Relationship Id="rId1036" Type="http://schemas.openxmlformats.org/officeDocument/2006/relationships/hyperlink" Target="https://webagentes.canaldirecto.com.ar/incidents/view/716444-0" TargetMode="External"/><Relationship Id="rId1243" Type="http://schemas.openxmlformats.org/officeDocument/2006/relationships/hyperlink" Target="https://webagentes.canaldirecto.com.ar/incidents/view/720133-4" TargetMode="External"/><Relationship Id="rId1590" Type="http://schemas.openxmlformats.org/officeDocument/2006/relationships/hyperlink" Target="https://webagentes.canaldirecto.com.ar/incidents/view/744007-6" TargetMode="External"/><Relationship Id="rId1688" Type="http://schemas.openxmlformats.org/officeDocument/2006/relationships/hyperlink" Target="https://webagentes.canaldirecto.com.ar/incidents/view/746307-7" TargetMode="External"/><Relationship Id="rId1895" Type="http://schemas.openxmlformats.org/officeDocument/2006/relationships/hyperlink" Target="https://webagentes.canaldirecto.com.ar/incidents/view/749151-1" TargetMode="External"/><Relationship Id="rId2641" Type="http://schemas.openxmlformats.org/officeDocument/2006/relationships/hyperlink" Target="https://webagentes.canaldirecto.com.ar/incidents/view/786287-0" TargetMode="External"/><Relationship Id="rId2739" Type="http://schemas.openxmlformats.org/officeDocument/2006/relationships/hyperlink" Target="https://webagentes.canaldirecto.com.ar/incidents/view/791403-0" TargetMode="External"/><Relationship Id="rId2946" Type="http://schemas.openxmlformats.org/officeDocument/2006/relationships/hyperlink" Target="https://webagentes.canaldirecto.com.ar/incidents/view/795880-3" TargetMode="External"/><Relationship Id="rId613" Type="http://schemas.openxmlformats.org/officeDocument/2006/relationships/hyperlink" Target="https://webagentes.canaldirecto.com.ar/incidents/view/694284-1" TargetMode="External"/><Relationship Id="rId820" Type="http://schemas.openxmlformats.org/officeDocument/2006/relationships/hyperlink" Target="https://webagentes.canaldirecto.com.ar/incidents/view/710184-9" TargetMode="External"/><Relationship Id="rId918" Type="http://schemas.openxmlformats.org/officeDocument/2006/relationships/hyperlink" Target="https://webagentes.canaldirecto.com.ar/incidents/view/712476-1" TargetMode="External"/><Relationship Id="rId1450" Type="http://schemas.openxmlformats.org/officeDocument/2006/relationships/hyperlink" Target="https://webagentes.canaldirecto.com.ar/incidents/view/734268-6" TargetMode="External"/><Relationship Id="rId1548" Type="http://schemas.openxmlformats.org/officeDocument/2006/relationships/hyperlink" Target="https://webagentes.canaldirecto.com.ar/incidents/view/739448-5" TargetMode="External"/><Relationship Id="rId1755" Type="http://schemas.openxmlformats.org/officeDocument/2006/relationships/hyperlink" Target="https://webagentes.canaldirecto.com.ar/incidents/view/744180-8" TargetMode="External"/><Relationship Id="rId2501" Type="http://schemas.openxmlformats.org/officeDocument/2006/relationships/hyperlink" Target="https://webagentes.canaldirecto.com.ar/incidents/view/782237-7" TargetMode="External"/><Relationship Id="rId1103" Type="http://schemas.openxmlformats.org/officeDocument/2006/relationships/hyperlink" Target="https://webagentes.canaldirecto.com.ar/incidents/view/720481-8" TargetMode="External"/><Relationship Id="rId1310" Type="http://schemas.openxmlformats.org/officeDocument/2006/relationships/hyperlink" Target="https://webagentes.canaldirecto.com.ar/incidents/view/730652-3" TargetMode="External"/><Relationship Id="rId1408" Type="http://schemas.openxmlformats.org/officeDocument/2006/relationships/hyperlink" Target="https://webagentes.canaldirecto.com.ar/incidents/view/731136-7" TargetMode="External"/><Relationship Id="rId1962" Type="http://schemas.openxmlformats.org/officeDocument/2006/relationships/hyperlink" Target="https://webagentes.canaldirecto.com.ar/incidents/view/755620-7" TargetMode="External"/><Relationship Id="rId2806" Type="http://schemas.openxmlformats.org/officeDocument/2006/relationships/hyperlink" Target="https://webagentes.canaldirecto.com.ar/incidents/view/794456-3" TargetMode="External"/><Relationship Id="rId47" Type="http://schemas.openxmlformats.org/officeDocument/2006/relationships/hyperlink" Target="https://webagentes.canaldirecto.com.ar/incidents/view/661767-1" TargetMode="External"/><Relationship Id="rId1615" Type="http://schemas.openxmlformats.org/officeDocument/2006/relationships/hyperlink" Target="https://webagentes.canaldirecto.com.ar/incidents/view/743499-6" TargetMode="External"/><Relationship Id="rId1822" Type="http://schemas.openxmlformats.org/officeDocument/2006/relationships/hyperlink" Target="https://webagentes.canaldirecto.com.ar/incidents/view/747840-4" TargetMode="External"/><Relationship Id="rId3068" Type="http://schemas.openxmlformats.org/officeDocument/2006/relationships/hyperlink" Target="https://webagentes.canaldirecto.com.ar/incidents/view/798681-5" TargetMode="External"/><Relationship Id="rId3275" Type="http://schemas.openxmlformats.org/officeDocument/2006/relationships/hyperlink" Target="https://webagentes.canaldirecto.com.ar/incidents/view/807611-5" TargetMode="External"/><Relationship Id="rId3482" Type="http://schemas.openxmlformats.org/officeDocument/2006/relationships/hyperlink" Target="https://webagentes.canaldirecto.com.ar/incidents/view/814513-2" TargetMode="External"/><Relationship Id="rId196" Type="http://schemas.openxmlformats.org/officeDocument/2006/relationships/hyperlink" Target="https://webagentes.canaldirecto.com.ar/incidents/view/670661-0" TargetMode="External"/><Relationship Id="rId2084" Type="http://schemas.openxmlformats.org/officeDocument/2006/relationships/hyperlink" Target="https://webagentes.canaldirecto.com.ar/incidents/view/759799-4" TargetMode="External"/><Relationship Id="rId2291" Type="http://schemas.openxmlformats.org/officeDocument/2006/relationships/hyperlink" Target="https://webagentes.canaldirecto.com.ar/incidents/view/773642-3" TargetMode="External"/><Relationship Id="rId3135" Type="http://schemas.openxmlformats.org/officeDocument/2006/relationships/hyperlink" Target="https://webagentes.canaldirecto.com.ar/incidents/view/801480-5" TargetMode="External"/><Relationship Id="rId3342" Type="http://schemas.openxmlformats.org/officeDocument/2006/relationships/hyperlink" Target="https://webagentes.canaldirecto.com.ar/incidents/view/812383-9" TargetMode="External"/><Relationship Id="rId3787" Type="http://schemas.openxmlformats.org/officeDocument/2006/relationships/hyperlink" Target="https://webagentes.canaldirecto.com.ar/incidents/view/823120-8" TargetMode="External"/><Relationship Id="rId263" Type="http://schemas.openxmlformats.org/officeDocument/2006/relationships/hyperlink" Target="https://webagentes.canaldirecto.com.ar/incidents/view/675616-5" TargetMode="External"/><Relationship Id="rId470" Type="http://schemas.openxmlformats.org/officeDocument/2006/relationships/hyperlink" Target="https://webagentes.canaldirecto.com.ar/incidents/view/683696-6" TargetMode="External"/><Relationship Id="rId2151" Type="http://schemas.openxmlformats.org/officeDocument/2006/relationships/hyperlink" Target="https://webagentes.canaldirecto.com.ar/incidents/view/766660-1" TargetMode="External"/><Relationship Id="rId2389" Type="http://schemas.openxmlformats.org/officeDocument/2006/relationships/hyperlink" Target="https://webagentes.canaldirecto.com.ar/incidents/view/779820-1" TargetMode="External"/><Relationship Id="rId2596" Type="http://schemas.openxmlformats.org/officeDocument/2006/relationships/hyperlink" Target="https://webagentes.canaldirecto.com.ar/incidents/view/783083-5" TargetMode="External"/><Relationship Id="rId3202" Type="http://schemas.openxmlformats.org/officeDocument/2006/relationships/hyperlink" Target="https://webagentes.canaldirecto.com.ar/incidents/view/804948-5" TargetMode="External"/><Relationship Id="rId3647" Type="http://schemas.openxmlformats.org/officeDocument/2006/relationships/hyperlink" Target="https://webagentes.canaldirecto.com.ar/incidents/view/822484-6" TargetMode="External"/><Relationship Id="rId3854" Type="http://schemas.openxmlformats.org/officeDocument/2006/relationships/hyperlink" Target="https://webagentes.canaldirecto.com.ar/incidents/view/826271-2" TargetMode="External"/><Relationship Id="rId123" Type="http://schemas.openxmlformats.org/officeDocument/2006/relationships/hyperlink" Target="https://webagentes.canaldirecto.com.ar/incidents/view/669009-0" TargetMode="External"/><Relationship Id="rId330" Type="http://schemas.openxmlformats.org/officeDocument/2006/relationships/hyperlink" Target="https://webagentes.canaldirecto.com.ar/incidents/view/664510-6" TargetMode="External"/><Relationship Id="rId568" Type="http://schemas.openxmlformats.org/officeDocument/2006/relationships/hyperlink" Target="https://webagentes.canaldirecto.com.ar/incidents/view/691032-9" TargetMode="External"/><Relationship Id="rId775" Type="http://schemas.openxmlformats.org/officeDocument/2006/relationships/hyperlink" Target="https://webagentes.canaldirecto.com.ar/incidents/view/705433-8" TargetMode="External"/><Relationship Id="rId982" Type="http://schemas.openxmlformats.org/officeDocument/2006/relationships/hyperlink" Target="https://webagentes.canaldirecto.com.ar/incidents/view/711401-0" TargetMode="External"/><Relationship Id="rId1198" Type="http://schemas.openxmlformats.org/officeDocument/2006/relationships/hyperlink" Target="https://webagentes.canaldirecto.com.ar/incidents/view/721702-5" TargetMode="External"/><Relationship Id="rId2011" Type="http://schemas.openxmlformats.org/officeDocument/2006/relationships/hyperlink" Target="https://webagentes.canaldirecto.com.ar/incidents/view/758867-7" TargetMode="External"/><Relationship Id="rId2249" Type="http://schemas.openxmlformats.org/officeDocument/2006/relationships/hyperlink" Target="https://webagentes.canaldirecto.com.ar/incidents/view/770232-9" TargetMode="External"/><Relationship Id="rId2456" Type="http://schemas.openxmlformats.org/officeDocument/2006/relationships/hyperlink" Target="https://webagentes.canaldirecto.com.ar/incidents/view/778058-5" TargetMode="External"/><Relationship Id="rId2663" Type="http://schemas.openxmlformats.org/officeDocument/2006/relationships/hyperlink" Target="https://webagentes.canaldirecto.com.ar/incidents/view/785367-8" TargetMode="External"/><Relationship Id="rId2870" Type="http://schemas.openxmlformats.org/officeDocument/2006/relationships/hyperlink" Target="https://webagentes.canaldirecto.com.ar/incidents/view/792581-4" TargetMode="External"/><Relationship Id="rId3507" Type="http://schemas.openxmlformats.org/officeDocument/2006/relationships/hyperlink" Target="https://webagentes.canaldirecto.com.ar/incidents/view/820022-6" TargetMode="External"/><Relationship Id="rId3714" Type="http://schemas.openxmlformats.org/officeDocument/2006/relationships/hyperlink" Target="https://webagentes.canaldirecto.com.ar/incidents/view/819872-7" TargetMode="External"/><Relationship Id="rId3921" Type="http://schemas.openxmlformats.org/officeDocument/2006/relationships/hyperlink" Target="https://webagentes.canaldirecto.com.ar/incidents/view/829905-3" TargetMode="External"/><Relationship Id="rId428" Type="http://schemas.openxmlformats.org/officeDocument/2006/relationships/hyperlink" Target="https://webagentes.canaldirecto.com.ar/incidents/view/687056-2" TargetMode="External"/><Relationship Id="rId635" Type="http://schemas.openxmlformats.org/officeDocument/2006/relationships/hyperlink" Target="https://webagentes.canaldirecto.com.ar/incidents/view/691259-4" TargetMode="External"/><Relationship Id="rId842" Type="http://schemas.openxmlformats.org/officeDocument/2006/relationships/hyperlink" Target="https://webagentes.canaldirecto.com.ar/incidents/view/709014-5" TargetMode="External"/><Relationship Id="rId1058" Type="http://schemas.openxmlformats.org/officeDocument/2006/relationships/hyperlink" Target="https://webagentes.canaldirecto.com.ar/incidents/view/716255-8" TargetMode="External"/><Relationship Id="rId1265" Type="http://schemas.openxmlformats.org/officeDocument/2006/relationships/hyperlink" Target="https://webagentes.canaldirecto.com.ar/incidents/view/727824-8" TargetMode="External"/><Relationship Id="rId1472" Type="http://schemas.openxmlformats.org/officeDocument/2006/relationships/hyperlink" Target="https://webagentes.canaldirecto.com.ar/incidents/view/738502-5" TargetMode="External"/><Relationship Id="rId2109" Type="http://schemas.openxmlformats.org/officeDocument/2006/relationships/hyperlink" Target="https://webagentes.canaldirecto.com.ar/incidents/view/763003-1" TargetMode="External"/><Relationship Id="rId2316" Type="http://schemas.openxmlformats.org/officeDocument/2006/relationships/hyperlink" Target="https://webagentes.canaldirecto.com.ar/incidents/view/772211-0" TargetMode="External"/><Relationship Id="rId2523" Type="http://schemas.openxmlformats.org/officeDocument/2006/relationships/hyperlink" Target="https://webagentes.canaldirecto.com.ar/incidents/view/781728-7" TargetMode="External"/><Relationship Id="rId2730" Type="http://schemas.openxmlformats.org/officeDocument/2006/relationships/hyperlink" Target="https://webagentes.canaldirecto.com.ar/incidents/view/791756-9" TargetMode="External"/><Relationship Id="rId2968" Type="http://schemas.openxmlformats.org/officeDocument/2006/relationships/hyperlink" Target="https://webagentes.canaldirecto.com.ar/incidents/view/795583-3" TargetMode="External"/><Relationship Id="rId702" Type="http://schemas.openxmlformats.org/officeDocument/2006/relationships/hyperlink" Target="https://webagentes.canaldirecto.com.ar/incidents/view/696978-7" TargetMode="External"/><Relationship Id="rId1125" Type="http://schemas.openxmlformats.org/officeDocument/2006/relationships/hyperlink" Target="https://webagentes.canaldirecto.com.ar/incidents/view/719885-4" TargetMode="External"/><Relationship Id="rId1332" Type="http://schemas.openxmlformats.org/officeDocument/2006/relationships/hyperlink" Target="https://webagentes.canaldirecto.com.ar/incidents/view/729862-2" TargetMode="External"/><Relationship Id="rId1777" Type="http://schemas.openxmlformats.org/officeDocument/2006/relationships/hyperlink" Target="https://webagentes.canaldirecto.com.ar/incidents/view/749128-3" TargetMode="External"/><Relationship Id="rId1984" Type="http://schemas.openxmlformats.org/officeDocument/2006/relationships/hyperlink" Target="https://webagentes.canaldirecto.com.ar/incidents/view/754759-1" TargetMode="External"/><Relationship Id="rId2828" Type="http://schemas.openxmlformats.org/officeDocument/2006/relationships/hyperlink" Target="https://webagentes.canaldirecto.com.ar/incidents/view/794231-6" TargetMode="External"/><Relationship Id="rId69" Type="http://schemas.openxmlformats.org/officeDocument/2006/relationships/hyperlink" Target="https://webagentes.canaldirecto.com.ar/incidents/view/665447-8" TargetMode="External"/><Relationship Id="rId1637" Type="http://schemas.openxmlformats.org/officeDocument/2006/relationships/hyperlink" Target="https://webagentes.canaldirecto.com.ar/incidents/view/742984-2" TargetMode="External"/><Relationship Id="rId1844" Type="http://schemas.openxmlformats.org/officeDocument/2006/relationships/hyperlink" Target="https://webagentes.canaldirecto.com.ar/incidents/view/751614-8" TargetMode="External"/><Relationship Id="rId3297" Type="http://schemas.openxmlformats.org/officeDocument/2006/relationships/hyperlink" Target="https://webagentes.canaldirecto.com.ar/incidents/view/804949-4" TargetMode="External"/><Relationship Id="rId1704" Type="http://schemas.openxmlformats.org/officeDocument/2006/relationships/hyperlink" Target="https://webagentes.canaldirecto.com.ar/incidents/view/746121-9" TargetMode="External"/><Relationship Id="rId3157" Type="http://schemas.openxmlformats.org/officeDocument/2006/relationships/hyperlink" Target="https://webagentes.canaldirecto.com.ar/incidents/view/800425-1" TargetMode="External"/><Relationship Id="rId285" Type="http://schemas.openxmlformats.org/officeDocument/2006/relationships/hyperlink" Target="https://webagentes.canaldirecto.com.ar/incidents/view/674856-4" TargetMode="External"/><Relationship Id="rId1911" Type="http://schemas.openxmlformats.org/officeDocument/2006/relationships/hyperlink" Target="https://webagentes.canaldirecto.com.ar/incidents/view/749080-4" TargetMode="External"/><Relationship Id="rId3364" Type="http://schemas.openxmlformats.org/officeDocument/2006/relationships/hyperlink" Target="https://webagentes.canaldirecto.com.ar/incidents/view/811863-3" TargetMode="External"/><Relationship Id="rId3571" Type="http://schemas.openxmlformats.org/officeDocument/2006/relationships/hyperlink" Target="https://webagentes.canaldirecto.com.ar/incidents/view/817981-0" TargetMode="External"/><Relationship Id="rId3669" Type="http://schemas.openxmlformats.org/officeDocument/2006/relationships/hyperlink" Target="https://webagentes.canaldirecto.com.ar/incidents/view/821833-1" TargetMode="External"/><Relationship Id="rId492" Type="http://schemas.openxmlformats.org/officeDocument/2006/relationships/hyperlink" Target="https://webagentes.canaldirecto.com.ar/incidents/view/689534-9" TargetMode="External"/><Relationship Id="rId797" Type="http://schemas.openxmlformats.org/officeDocument/2006/relationships/hyperlink" Target="https://webagentes.canaldirecto.com.ar/incidents/view/704282-9" TargetMode="External"/><Relationship Id="rId2173" Type="http://schemas.openxmlformats.org/officeDocument/2006/relationships/hyperlink" Target="https://webagentes.canaldirecto.com.ar/incidents/view/764653-7" TargetMode="External"/><Relationship Id="rId2380" Type="http://schemas.openxmlformats.org/officeDocument/2006/relationships/hyperlink" Target="https://webagentes.canaldirecto.com.ar/incidents/view/780236-4" TargetMode="External"/><Relationship Id="rId2478" Type="http://schemas.openxmlformats.org/officeDocument/2006/relationships/hyperlink" Target="https://webagentes.canaldirecto.com.ar/incidents/view/782748-8" TargetMode="External"/><Relationship Id="rId3017" Type="http://schemas.openxmlformats.org/officeDocument/2006/relationships/hyperlink" Target="https://webagentes.canaldirecto.com.ar/incidents/view/799973-0" TargetMode="External"/><Relationship Id="rId3224" Type="http://schemas.openxmlformats.org/officeDocument/2006/relationships/hyperlink" Target="https://webagentes.canaldirecto.com.ar/incidents/view/802542-1" TargetMode="External"/><Relationship Id="rId3431" Type="http://schemas.openxmlformats.org/officeDocument/2006/relationships/hyperlink" Target="https://webagentes.canaldirecto.com.ar/incidents/view/808080-8" TargetMode="External"/><Relationship Id="rId3876" Type="http://schemas.openxmlformats.org/officeDocument/2006/relationships/hyperlink" Target="https://webagentes.canaldirecto.com.ar/incidents/view/825627-0" TargetMode="External"/><Relationship Id="rId145" Type="http://schemas.openxmlformats.org/officeDocument/2006/relationships/hyperlink" Target="https://webagentes.canaldirecto.com.ar/incidents/view/667699-3" TargetMode="External"/><Relationship Id="rId352" Type="http://schemas.openxmlformats.org/officeDocument/2006/relationships/hyperlink" Target="https://webagentes.canaldirecto.com.ar/incidents/view/678376-1" TargetMode="External"/><Relationship Id="rId1287" Type="http://schemas.openxmlformats.org/officeDocument/2006/relationships/hyperlink" Target="https://webagentes.canaldirecto.com.ar/incidents/view/727121-8" TargetMode="External"/><Relationship Id="rId2033" Type="http://schemas.openxmlformats.org/officeDocument/2006/relationships/hyperlink" Target="https://webagentes.canaldirecto.com.ar/incidents/view/761296-5" TargetMode="External"/><Relationship Id="rId2240" Type="http://schemas.openxmlformats.org/officeDocument/2006/relationships/hyperlink" Target="https://webagentes.canaldirecto.com.ar/incidents/view/770469-1" TargetMode="External"/><Relationship Id="rId2685" Type="http://schemas.openxmlformats.org/officeDocument/2006/relationships/hyperlink" Target="https://webagentes.canaldirecto.com.ar/incidents/view/788352-7" TargetMode="External"/><Relationship Id="rId2892" Type="http://schemas.openxmlformats.org/officeDocument/2006/relationships/hyperlink" Target="https://webagentes.canaldirecto.com.ar/incidents/view/791834-6" TargetMode="External"/><Relationship Id="rId3529" Type="http://schemas.openxmlformats.org/officeDocument/2006/relationships/hyperlink" Target="https://webagentes.canaldirecto.com.ar/incidents/view/818936-7" TargetMode="External"/><Relationship Id="rId3736" Type="http://schemas.openxmlformats.org/officeDocument/2006/relationships/hyperlink" Target="https://webagentes.canaldirecto.com.ar/incidents/view/824830-5" TargetMode="External"/><Relationship Id="rId3943" Type="http://schemas.openxmlformats.org/officeDocument/2006/relationships/hyperlink" Target="https://webagentes.canaldirecto.com.ar/incidents/view/829501-1" TargetMode="External"/><Relationship Id="rId212" Type="http://schemas.openxmlformats.org/officeDocument/2006/relationships/hyperlink" Target="https://webagentes.canaldirecto.com.ar/incidents/view/669764-0" TargetMode="External"/><Relationship Id="rId657" Type="http://schemas.openxmlformats.org/officeDocument/2006/relationships/hyperlink" Target="https://webagentes.canaldirecto.com.ar/incidents/view/695880-6" TargetMode="External"/><Relationship Id="rId864" Type="http://schemas.openxmlformats.org/officeDocument/2006/relationships/hyperlink" Target="https://webagentes.canaldirecto.com.ar/incidents/view/706864-1" TargetMode="External"/><Relationship Id="rId1494" Type="http://schemas.openxmlformats.org/officeDocument/2006/relationships/hyperlink" Target="https://webagentes.canaldirecto.com.ar/incidents/view/736996-6" TargetMode="External"/><Relationship Id="rId1799" Type="http://schemas.openxmlformats.org/officeDocument/2006/relationships/hyperlink" Target="https://webagentes.canaldirecto.com.ar/incidents/view/748547-7" TargetMode="External"/><Relationship Id="rId2100" Type="http://schemas.openxmlformats.org/officeDocument/2006/relationships/hyperlink" Target="https://webagentes.canaldirecto.com.ar/incidents/view/763971-3" TargetMode="External"/><Relationship Id="rId2338" Type="http://schemas.openxmlformats.org/officeDocument/2006/relationships/hyperlink" Target="https://webagentes.canaldirecto.com.ar/incidents/view/776601-7" TargetMode="External"/><Relationship Id="rId2545" Type="http://schemas.openxmlformats.org/officeDocument/2006/relationships/hyperlink" Target="https://webagentes.canaldirecto.com.ar/incidents/view/780347-9" TargetMode="External"/><Relationship Id="rId2752" Type="http://schemas.openxmlformats.org/officeDocument/2006/relationships/hyperlink" Target="https://webagentes.canaldirecto.com.ar/incidents/view/789998-0" TargetMode="External"/><Relationship Id="rId3803" Type="http://schemas.openxmlformats.org/officeDocument/2006/relationships/hyperlink" Target="https://webagentes.canaldirecto.com.ar/incidents/view/801018-2" TargetMode="External"/><Relationship Id="rId517" Type="http://schemas.openxmlformats.org/officeDocument/2006/relationships/hyperlink" Target="https://webagentes.canaldirecto.com.ar/incidents/view/688647-5" TargetMode="External"/><Relationship Id="rId724" Type="http://schemas.openxmlformats.org/officeDocument/2006/relationships/hyperlink" Target="https://webagentes.canaldirecto.com.ar/incidents/view/702559-4" TargetMode="External"/><Relationship Id="rId931" Type="http://schemas.openxmlformats.org/officeDocument/2006/relationships/hyperlink" Target="https://webagentes.canaldirecto.com.ar/incidents/view/712091-4" TargetMode="External"/><Relationship Id="rId1147" Type="http://schemas.openxmlformats.org/officeDocument/2006/relationships/hyperlink" Target="https://webagentes.canaldirecto.com.ar/incidents/view/718513-3" TargetMode="External"/><Relationship Id="rId1354" Type="http://schemas.openxmlformats.org/officeDocument/2006/relationships/hyperlink" Target="https://webagentes.canaldirecto.com.ar/incidents/view/733139-8" TargetMode="External"/><Relationship Id="rId1561" Type="http://schemas.openxmlformats.org/officeDocument/2006/relationships/hyperlink" Target="https://webagentes.canaldirecto.com.ar/incidents/view/744290-4" TargetMode="External"/><Relationship Id="rId2405" Type="http://schemas.openxmlformats.org/officeDocument/2006/relationships/hyperlink" Target="https://webagentes.canaldirecto.com.ar/incidents/view/779686-9" TargetMode="External"/><Relationship Id="rId2612" Type="http://schemas.openxmlformats.org/officeDocument/2006/relationships/hyperlink" Target="https://webagentes.canaldirecto.com.ar/incidents/view/787155-9" TargetMode="External"/><Relationship Id="rId60" Type="http://schemas.openxmlformats.org/officeDocument/2006/relationships/hyperlink" Target="https://webagentes.canaldirecto.com.ar/incidents/view/666822-2" TargetMode="External"/><Relationship Id="rId1007" Type="http://schemas.openxmlformats.org/officeDocument/2006/relationships/hyperlink" Target="https://webagentes.canaldirecto.com.ar/incidents/view/717051-1" TargetMode="External"/><Relationship Id="rId1214" Type="http://schemas.openxmlformats.org/officeDocument/2006/relationships/hyperlink" Target="https://webagentes.canaldirecto.com.ar/incidents/view/725929-8" TargetMode="External"/><Relationship Id="rId1421" Type="http://schemas.openxmlformats.org/officeDocument/2006/relationships/hyperlink" Target="https://webagentes.canaldirecto.com.ar/incidents/view/736243-1" TargetMode="External"/><Relationship Id="rId1659" Type="http://schemas.openxmlformats.org/officeDocument/2006/relationships/hyperlink" Target="https://webagentes.canaldirecto.com.ar/incidents/view/746820-3" TargetMode="External"/><Relationship Id="rId1866" Type="http://schemas.openxmlformats.org/officeDocument/2006/relationships/hyperlink" Target="https://webagentes.canaldirecto.com.ar/incidents/view/751020-5" TargetMode="External"/><Relationship Id="rId2917" Type="http://schemas.openxmlformats.org/officeDocument/2006/relationships/hyperlink" Target="https://webagentes.canaldirecto.com.ar/incidents/view/797314-9" TargetMode="External"/><Relationship Id="rId3081" Type="http://schemas.openxmlformats.org/officeDocument/2006/relationships/hyperlink" Target="https://webagentes.canaldirecto.com.ar/incidents/view/798000-6" TargetMode="External"/><Relationship Id="rId1519" Type="http://schemas.openxmlformats.org/officeDocument/2006/relationships/hyperlink" Target="https://webagentes.canaldirecto.com.ar/incidents/view/741192-2" TargetMode="External"/><Relationship Id="rId1726" Type="http://schemas.openxmlformats.org/officeDocument/2006/relationships/hyperlink" Target="https://webagentes.canaldirecto.com.ar/incidents/view/745740-1" TargetMode="External"/><Relationship Id="rId1933" Type="http://schemas.openxmlformats.org/officeDocument/2006/relationships/hyperlink" Target="https://webagentes.canaldirecto.com.ar/incidents/view/752885-1" TargetMode="External"/><Relationship Id="rId3179" Type="http://schemas.openxmlformats.org/officeDocument/2006/relationships/hyperlink" Target="https://webagentes.canaldirecto.com.ar/incidents/view/806218-5" TargetMode="External"/><Relationship Id="rId3386" Type="http://schemas.openxmlformats.org/officeDocument/2006/relationships/hyperlink" Target="https://webagentes.canaldirecto.com.ar/incidents/view/811128-7" TargetMode="External"/><Relationship Id="rId3593" Type="http://schemas.openxmlformats.org/officeDocument/2006/relationships/hyperlink" Target="https://webagentes.canaldirecto.com.ar/incidents/view/817720-1" TargetMode="External"/><Relationship Id="rId18" Type="http://schemas.openxmlformats.org/officeDocument/2006/relationships/hyperlink" Target="https://webagentes.canaldirecto.com.ar/incidents/view/662705-8" TargetMode="External"/><Relationship Id="rId2195" Type="http://schemas.openxmlformats.org/officeDocument/2006/relationships/hyperlink" Target="https://webagentes.canaldirecto.com.ar/incidents/view/767779-5" TargetMode="External"/><Relationship Id="rId3039" Type="http://schemas.openxmlformats.org/officeDocument/2006/relationships/hyperlink" Target="https://webagentes.canaldirecto.com.ar/incidents/view/799739-8" TargetMode="External"/><Relationship Id="rId3246" Type="http://schemas.openxmlformats.org/officeDocument/2006/relationships/hyperlink" Target="https://webagentes.canaldirecto.com.ar/incidents/view/809377-8" TargetMode="External"/><Relationship Id="rId3453" Type="http://schemas.openxmlformats.org/officeDocument/2006/relationships/hyperlink" Target="https://webagentes.canaldirecto.com.ar/incidents/view/815722-5" TargetMode="External"/><Relationship Id="rId3898" Type="http://schemas.openxmlformats.org/officeDocument/2006/relationships/hyperlink" Target="https://webagentes.canaldirecto.com.ar/incidents/view/830753-8" TargetMode="External"/><Relationship Id="rId167" Type="http://schemas.openxmlformats.org/officeDocument/2006/relationships/hyperlink" Target="https://webagentes.canaldirecto.com.ar/incidents/view/672642-9" TargetMode="External"/><Relationship Id="rId374" Type="http://schemas.openxmlformats.org/officeDocument/2006/relationships/hyperlink" Target="https://webagentes.canaldirecto.com.ar/incidents/view/678032-0" TargetMode="External"/><Relationship Id="rId581" Type="http://schemas.openxmlformats.org/officeDocument/2006/relationships/hyperlink" Target="https://webagentes.canaldirecto.com.ar/incidents/view/690397-6" TargetMode="External"/><Relationship Id="rId2055" Type="http://schemas.openxmlformats.org/officeDocument/2006/relationships/hyperlink" Target="https://webagentes.canaldirecto.com.ar/incidents/view/760799-0" TargetMode="External"/><Relationship Id="rId2262" Type="http://schemas.openxmlformats.org/officeDocument/2006/relationships/hyperlink" Target="https://webagentes.canaldirecto.com.ar/incidents/view/769651-4" TargetMode="External"/><Relationship Id="rId3106" Type="http://schemas.openxmlformats.org/officeDocument/2006/relationships/hyperlink" Target="https://webagentes.canaldirecto.com.ar/incidents/view/802540-3" TargetMode="External"/><Relationship Id="rId3660" Type="http://schemas.openxmlformats.org/officeDocument/2006/relationships/hyperlink" Target="https://webagentes.canaldirecto.com.ar/incidents/view/821975-6" TargetMode="External"/><Relationship Id="rId3758" Type="http://schemas.openxmlformats.org/officeDocument/2006/relationships/hyperlink" Target="https://webagentes.canaldirecto.com.ar/incidents/view/824140-9" TargetMode="External"/><Relationship Id="rId3965" Type="http://schemas.openxmlformats.org/officeDocument/2006/relationships/hyperlink" Target="https://webagentes.canaldirecto.com.ar/incidents/view/828911-7" TargetMode="External"/><Relationship Id="rId234" Type="http://schemas.openxmlformats.org/officeDocument/2006/relationships/hyperlink" Target="https://webagentes.canaldirecto.com.ar/incidents/view/676922-0" TargetMode="External"/><Relationship Id="rId679" Type="http://schemas.openxmlformats.org/officeDocument/2006/relationships/hyperlink" Target="https://webagentes.canaldirecto.com.ar/incidents/view/699535-7" TargetMode="External"/><Relationship Id="rId886" Type="http://schemas.openxmlformats.org/officeDocument/2006/relationships/hyperlink" Target="https://webagentes.canaldirecto.com.ar/incidents/view/712913-7" TargetMode="External"/><Relationship Id="rId2567" Type="http://schemas.openxmlformats.org/officeDocument/2006/relationships/hyperlink" Target="https://webagentes.canaldirecto.com.ar/incidents/view/784583-7" TargetMode="External"/><Relationship Id="rId2774" Type="http://schemas.openxmlformats.org/officeDocument/2006/relationships/hyperlink" Target="https://webagentes.canaldirecto.com.ar/incidents/view/785013-0" TargetMode="External"/><Relationship Id="rId3313" Type="http://schemas.openxmlformats.org/officeDocument/2006/relationships/hyperlink" Target="https://webagentes.canaldirecto.com.ar/incidents/view/812944-4" TargetMode="External"/><Relationship Id="rId3520" Type="http://schemas.openxmlformats.org/officeDocument/2006/relationships/hyperlink" Target="https://webagentes.canaldirecto.com.ar/incidents/view/819531-3" TargetMode="External"/><Relationship Id="rId3618" Type="http://schemas.openxmlformats.org/officeDocument/2006/relationships/hyperlink" Target="https://webagentes.canaldirecto.com.ar/incidents/view/816847-0" TargetMode="External"/><Relationship Id="rId2" Type="http://schemas.openxmlformats.org/officeDocument/2006/relationships/hyperlink" Target="https://webagentes.canaldirecto.com.ar/incidents/view/663594-1" TargetMode="External"/><Relationship Id="rId441" Type="http://schemas.openxmlformats.org/officeDocument/2006/relationships/hyperlink" Target="https://webagentes.canaldirecto.com.ar/incidents/view/686012-1" TargetMode="External"/><Relationship Id="rId539" Type="http://schemas.openxmlformats.org/officeDocument/2006/relationships/hyperlink" Target="https://webagentes.canaldirecto.com.ar/incidents/view/687647-8" TargetMode="External"/><Relationship Id="rId746" Type="http://schemas.openxmlformats.org/officeDocument/2006/relationships/hyperlink" Target="https://webagentes.canaldirecto.com.ar/incidents/view/701123-6" TargetMode="External"/><Relationship Id="rId1071" Type="http://schemas.openxmlformats.org/officeDocument/2006/relationships/hyperlink" Target="https://webagentes.canaldirecto.com.ar/incidents/view/715803-2" TargetMode="External"/><Relationship Id="rId1169" Type="http://schemas.openxmlformats.org/officeDocument/2006/relationships/hyperlink" Target="https://webagentes.canaldirecto.com.ar/incidents/view/722760-6" TargetMode="External"/><Relationship Id="rId1376" Type="http://schemas.openxmlformats.org/officeDocument/2006/relationships/hyperlink" Target="https://webagentes.canaldirecto.com.ar/incidents/view/732791-5" TargetMode="External"/><Relationship Id="rId1583" Type="http://schemas.openxmlformats.org/officeDocument/2006/relationships/hyperlink" Target="https://webagentes.canaldirecto.com.ar/incidents/view/744166-8" TargetMode="External"/><Relationship Id="rId2122" Type="http://schemas.openxmlformats.org/officeDocument/2006/relationships/hyperlink" Target="https://webagentes.canaldirecto.com.ar/incidents/view/762368-8" TargetMode="External"/><Relationship Id="rId2427" Type="http://schemas.openxmlformats.org/officeDocument/2006/relationships/hyperlink" Target="https://webagentes.canaldirecto.com.ar/incidents/view/779265-0" TargetMode="External"/><Relationship Id="rId2981" Type="http://schemas.openxmlformats.org/officeDocument/2006/relationships/hyperlink" Target="https://webagentes.canaldirecto.com.ar/incidents/view/795355-2" TargetMode="External"/><Relationship Id="rId3825" Type="http://schemas.openxmlformats.org/officeDocument/2006/relationships/hyperlink" Target="https://webagentes.canaldirecto.com.ar/incidents/view/827473-5" TargetMode="External"/><Relationship Id="rId301" Type="http://schemas.openxmlformats.org/officeDocument/2006/relationships/hyperlink" Target="https://webagentes.canaldirecto.com.ar/incidents/view/674379-0" TargetMode="External"/><Relationship Id="rId953" Type="http://schemas.openxmlformats.org/officeDocument/2006/relationships/hyperlink" Target="https://webagentes.canaldirecto.com.ar/incidents/view/711972-3" TargetMode="External"/><Relationship Id="rId1029" Type="http://schemas.openxmlformats.org/officeDocument/2006/relationships/hyperlink" Target="https://webagentes.canaldirecto.com.ar/incidents/view/716543-0" TargetMode="External"/><Relationship Id="rId1236" Type="http://schemas.openxmlformats.org/officeDocument/2006/relationships/hyperlink" Target="https://webagentes.canaldirecto.com.ar/incidents/view/723364-3" TargetMode="External"/><Relationship Id="rId1790" Type="http://schemas.openxmlformats.org/officeDocument/2006/relationships/hyperlink" Target="https://webagentes.canaldirecto.com.ar/incidents/view/748678-6" TargetMode="External"/><Relationship Id="rId1888" Type="http://schemas.openxmlformats.org/officeDocument/2006/relationships/hyperlink" Target="https://webagentes.canaldirecto.com.ar/incidents/view/749615-4" TargetMode="External"/><Relationship Id="rId2634" Type="http://schemas.openxmlformats.org/officeDocument/2006/relationships/hyperlink" Target="https://webagentes.canaldirecto.com.ar/incidents/view/786620-1" TargetMode="External"/><Relationship Id="rId2841" Type="http://schemas.openxmlformats.org/officeDocument/2006/relationships/hyperlink" Target="https://webagentes.canaldirecto.com.ar/incidents/view/793823-4" TargetMode="External"/><Relationship Id="rId2939" Type="http://schemas.openxmlformats.org/officeDocument/2006/relationships/hyperlink" Target="https://webagentes.canaldirecto.com.ar/incidents/view/796053-4" TargetMode="External"/><Relationship Id="rId82" Type="http://schemas.openxmlformats.org/officeDocument/2006/relationships/hyperlink" Target="https://webagentes.canaldirecto.com.ar/incidents/view/664690-1" TargetMode="External"/><Relationship Id="rId606" Type="http://schemas.openxmlformats.org/officeDocument/2006/relationships/hyperlink" Target="https://webagentes.canaldirecto.com.ar/incidents/view/694896-0" TargetMode="External"/><Relationship Id="rId813" Type="http://schemas.openxmlformats.org/officeDocument/2006/relationships/hyperlink" Target="https://webagentes.canaldirecto.com.ar/incidents/view/710841-7" TargetMode="External"/><Relationship Id="rId1443" Type="http://schemas.openxmlformats.org/officeDocument/2006/relationships/hyperlink" Target="https://webagentes.canaldirecto.com.ar/incidents/view/734919-3" TargetMode="External"/><Relationship Id="rId1650" Type="http://schemas.openxmlformats.org/officeDocument/2006/relationships/hyperlink" Target="https://webagentes.canaldirecto.com.ar/incidents/view/742082-3" TargetMode="External"/><Relationship Id="rId1748" Type="http://schemas.openxmlformats.org/officeDocument/2006/relationships/hyperlink" Target="https://webagentes.canaldirecto.com.ar/incidents/view/744728-2" TargetMode="External"/><Relationship Id="rId2701" Type="http://schemas.openxmlformats.org/officeDocument/2006/relationships/hyperlink" Target="https://webagentes.canaldirecto.com.ar/incidents/view/788335-0" TargetMode="External"/><Relationship Id="rId1303" Type="http://schemas.openxmlformats.org/officeDocument/2006/relationships/hyperlink" Target="https://webagentes.canaldirecto.com.ar/incidents/view/730661-1" TargetMode="External"/><Relationship Id="rId1510" Type="http://schemas.openxmlformats.org/officeDocument/2006/relationships/hyperlink" Target="https://webagentes.canaldirecto.com.ar/incidents/view/736071-6" TargetMode="External"/><Relationship Id="rId1955" Type="http://schemas.openxmlformats.org/officeDocument/2006/relationships/hyperlink" Target="https://webagentes.canaldirecto.com.ar/incidents/view/756260-6" TargetMode="External"/><Relationship Id="rId3170" Type="http://schemas.openxmlformats.org/officeDocument/2006/relationships/hyperlink" Target="https://webagentes.canaldirecto.com.ar/incidents/view/806324-5" TargetMode="External"/><Relationship Id="rId1608" Type="http://schemas.openxmlformats.org/officeDocument/2006/relationships/hyperlink" Target="https://webagentes.canaldirecto.com.ar/incidents/view/743626-8" TargetMode="External"/><Relationship Id="rId1815" Type="http://schemas.openxmlformats.org/officeDocument/2006/relationships/hyperlink" Target="https://webagentes.canaldirecto.com.ar/incidents/view/748346-0" TargetMode="External"/><Relationship Id="rId3030" Type="http://schemas.openxmlformats.org/officeDocument/2006/relationships/hyperlink" Target="https://webagentes.canaldirecto.com.ar/incidents/view/799765-3" TargetMode="External"/><Relationship Id="rId3268" Type="http://schemas.openxmlformats.org/officeDocument/2006/relationships/hyperlink" Target="https://webagentes.canaldirecto.com.ar/incidents/view/807937-0" TargetMode="External"/><Relationship Id="rId3475" Type="http://schemas.openxmlformats.org/officeDocument/2006/relationships/hyperlink" Target="https://webagentes.canaldirecto.com.ar/incidents/view/814544-2" TargetMode="External"/><Relationship Id="rId3682" Type="http://schemas.openxmlformats.org/officeDocument/2006/relationships/hyperlink" Target="https://webagentes.canaldirecto.com.ar/incidents/view/821206-3" TargetMode="External"/><Relationship Id="rId189" Type="http://schemas.openxmlformats.org/officeDocument/2006/relationships/hyperlink" Target="https://webagentes.canaldirecto.com.ar/incidents/view/670924-6" TargetMode="External"/><Relationship Id="rId396" Type="http://schemas.openxmlformats.org/officeDocument/2006/relationships/hyperlink" Target="https://webagentes.canaldirecto.com.ar/incidents/view/496259-5" TargetMode="External"/><Relationship Id="rId2077" Type="http://schemas.openxmlformats.org/officeDocument/2006/relationships/hyperlink" Target="https://webagentes.canaldirecto.com.ar/incidents/view/760042-9" TargetMode="External"/><Relationship Id="rId2284" Type="http://schemas.openxmlformats.org/officeDocument/2006/relationships/hyperlink" Target="https://webagentes.canaldirecto.com.ar/incidents/view/774413-0" TargetMode="External"/><Relationship Id="rId2491" Type="http://schemas.openxmlformats.org/officeDocument/2006/relationships/hyperlink" Target="https://webagentes.canaldirecto.com.ar/incidents/view/782733-6" TargetMode="External"/><Relationship Id="rId3128" Type="http://schemas.openxmlformats.org/officeDocument/2006/relationships/hyperlink" Target="https://webagentes.canaldirecto.com.ar/incidents/view/801998-9" TargetMode="External"/><Relationship Id="rId3335" Type="http://schemas.openxmlformats.org/officeDocument/2006/relationships/hyperlink" Target="https://webagentes.canaldirecto.com.ar/incidents/view/812502-2" TargetMode="External"/><Relationship Id="rId3542" Type="http://schemas.openxmlformats.org/officeDocument/2006/relationships/hyperlink" Target="https://webagentes.canaldirecto.com.ar/incidents/view/818652-8" TargetMode="External"/><Relationship Id="rId256" Type="http://schemas.openxmlformats.org/officeDocument/2006/relationships/hyperlink" Target="https://webagentes.canaldirecto.com.ar/incidents/view/675713-7" TargetMode="External"/><Relationship Id="rId463" Type="http://schemas.openxmlformats.org/officeDocument/2006/relationships/hyperlink" Target="https://webagentes.canaldirecto.com.ar/incidents/view/684410-5" TargetMode="External"/><Relationship Id="rId670" Type="http://schemas.openxmlformats.org/officeDocument/2006/relationships/hyperlink" Target="https://webagentes.canaldirecto.com.ar/incidents/view/700441-2" TargetMode="External"/><Relationship Id="rId1093" Type="http://schemas.openxmlformats.org/officeDocument/2006/relationships/hyperlink" Target="https://webagentes.canaldirecto.com.ar/incidents/view/720773-6" TargetMode="External"/><Relationship Id="rId2144" Type="http://schemas.openxmlformats.org/officeDocument/2006/relationships/hyperlink" Target="https://webagentes.canaldirecto.com.ar/incidents/view/761008-2" TargetMode="External"/><Relationship Id="rId2351" Type="http://schemas.openxmlformats.org/officeDocument/2006/relationships/hyperlink" Target="https://webagentes.canaldirecto.com.ar/incidents/view/775954-9" TargetMode="External"/><Relationship Id="rId2589" Type="http://schemas.openxmlformats.org/officeDocument/2006/relationships/hyperlink" Target="https://webagentes.canaldirecto.com.ar/incidents/view/783091-4" TargetMode="External"/><Relationship Id="rId2796" Type="http://schemas.openxmlformats.org/officeDocument/2006/relationships/hyperlink" Target="https://webagentes.canaldirecto.com.ar/incidents/view/789142-9" TargetMode="External"/><Relationship Id="rId3402" Type="http://schemas.openxmlformats.org/officeDocument/2006/relationships/hyperlink" Target="https://webagentes.canaldirecto.com.ar/incidents/view/810845-0" TargetMode="External"/><Relationship Id="rId3847" Type="http://schemas.openxmlformats.org/officeDocument/2006/relationships/hyperlink" Target="https://webagentes.canaldirecto.com.ar/incidents/view/826337-7" TargetMode="External"/><Relationship Id="rId116" Type="http://schemas.openxmlformats.org/officeDocument/2006/relationships/hyperlink" Target="https://webagentes.canaldirecto.com.ar/incidents/view/669269-0" TargetMode="External"/><Relationship Id="rId323" Type="http://schemas.openxmlformats.org/officeDocument/2006/relationships/hyperlink" Target="https://webagentes.canaldirecto.com.ar/incidents/view/672638-6" TargetMode="External"/><Relationship Id="rId530" Type="http://schemas.openxmlformats.org/officeDocument/2006/relationships/hyperlink" Target="https://webagentes.canaldirecto.com.ar/incidents/view/688072-7" TargetMode="External"/><Relationship Id="rId768" Type="http://schemas.openxmlformats.org/officeDocument/2006/relationships/hyperlink" Target="https://webagentes.canaldirecto.com.ar/incidents/view/705790-0" TargetMode="External"/><Relationship Id="rId975" Type="http://schemas.openxmlformats.org/officeDocument/2006/relationships/hyperlink" Target="https://webagentes.canaldirecto.com.ar/incidents/view/711618-8" TargetMode="External"/><Relationship Id="rId1160" Type="http://schemas.openxmlformats.org/officeDocument/2006/relationships/hyperlink" Target="https://webagentes.canaldirecto.com.ar/incidents/view/717368-8" TargetMode="External"/><Relationship Id="rId1398" Type="http://schemas.openxmlformats.org/officeDocument/2006/relationships/hyperlink" Target="https://webagentes.canaldirecto.com.ar/incidents/view/731498-4" TargetMode="External"/><Relationship Id="rId2004" Type="http://schemas.openxmlformats.org/officeDocument/2006/relationships/hyperlink" Target="https://webagentes.canaldirecto.com.ar/incidents/view/759068-1" TargetMode="External"/><Relationship Id="rId2211" Type="http://schemas.openxmlformats.org/officeDocument/2006/relationships/hyperlink" Target="https://webagentes.canaldirecto.com.ar/incidents/view/767092-3" TargetMode="External"/><Relationship Id="rId2449" Type="http://schemas.openxmlformats.org/officeDocument/2006/relationships/hyperlink" Target="https://webagentes.canaldirecto.com.ar/incidents/view/778691-4" TargetMode="External"/><Relationship Id="rId2656" Type="http://schemas.openxmlformats.org/officeDocument/2006/relationships/hyperlink" Target="https://webagentes.canaldirecto.com.ar/incidents/view/785611-6" TargetMode="External"/><Relationship Id="rId2863" Type="http://schemas.openxmlformats.org/officeDocument/2006/relationships/hyperlink" Target="https://webagentes.canaldirecto.com.ar/incidents/view/792641-5" TargetMode="External"/><Relationship Id="rId3707" Type="http://schemas.openxmlformats.org/officeDocument/2006/relationships/hyperlink" Target="https://webagentes.canaldirecto.com.ar/incidents/view/820138-6" TargetMode="External"/><Relationship Id="rId3914" Type="http://schemas.openxmlformats.org/officeDocument/2006/relationships/hyperlink" Target="https://webagentes.canaldirecto.com.ar/incidents/view/830015-5" TargetMode="External"/><Relationship Id="rId628" Type="http://schemas.openxmlformats.org/officeDocument/2006/relationships/hyperlink" Target="https://webagentes.canaldirecto.com.ar/incidents/view/692732-9" TargetMode="External"/><Relationship Id="rId835" Type="http://schemas.openxmlformats.org/officeDocument/2006/relationships/hyperlink" Target="https://webagentes.canaldirecto.com.ar/incidents/view/709266-6" TargetMode="External"/><Relationship Id="rId1258" Type="http://schemas.openxmlformats.org/officeDocument/2006/relationships/hyperlink" Target="https://webagentes.canaldirecto.com.ar/incidents/view/728285-2" TargetMode="External"/><Relationship Id="rId1465" Type="http://schemas.openxmlformats.org/officeDocument/2006/relationships/hyperlink" Target="https://webagentes.canaldirecto.com.ar/incidents/view/733274-0" TargetMode="External"/><Relationship Id="rId1672" Type="http://schemas.openxmlformats.org/officeDocument/2006/relationships/hyperlink" Target="https://webagentes.canaldirecto.com.ar/incidents/view/746657-9" TargetMode="External"/><Relationship Id="rId2309" Type="http://schemas.openxmlformats.org/officeDocument/2006/relationships/hyperlink" Target="https://webagentes.canaldirecto.com.ar/incidents/view/772763-8" TargetMode="External"/><Relationship Id="rId2516" Type="http://schemas.openxmlformats.org/officeDocument/2006/relationships/hyperlink" Target="https://webagentes.canaldirecto.com.ar/incidents/view/782117-4" TargetMode="External"/><Relationship Id="rId2723" Type="http://schemas.openxmlformats.org/officeDocument/2006/relationships/hyperlink" Target="https://webagentes.canaldirecto.com.ar/incidents/view/779429-6" TargetMode="External"/><Relationship Id="rId1020" Type="http://schemas.openxmlformats.org/officeDocument/2006/relationships/hyperlink" Target="https://webagentes.canaldirecto.com.ar/incidents/view/716817-2" TargetMode="External"/><Relationship Id="rId1118" Type="http://schemas.openxmlformats.org/officeDocument/2006/relationships/hyperlink" Target="https://webagentes.canaldirecto.com.ar/incidents/view/720020-1" TargetMode="External"/><Relationship Id="rId1325" Type="http://schemas.openxmlformats.org/officeDocument/2006/relationships/hyperlink" Target="https://webagentes.canaldirecto.com.ar/incidents/view/730161-6" TargetMode="External"/><Relationship Id="rId1532" Type="http://schemas.openxmlformats.org/officeDocument/2006/relationships/hyperlink" Target="https://webagentes.canaldirecto.com.ar/incidents/view/740747-9" TargetMode="External"/><Relationship Id="rId1977" Type="http://schemas.openxmlformats.org/officeDocument/2006/relationships/hyperlink" Target="https://webagentes.canaldirecto.com.ar/incidents/view/755177-0" TargetMode="External"/><Relationship Id="rId2930" Type="http://schemas.openxmlformats.org/officeDocument/2006/relationships/hyperlink" Target="https://webagentes.canaldirecto.com.ar/incidents/view/796382-3" TargetMode="External"/><Relationship Id="rId902" Type="http://schemas.openxmlformats.org/officeDocument/2006/relationships/hyperlink" Target="https://webagentes.canaldirecto.com.ar/incidents/view/712500-7" TargetMode="External"/><Relationship Id="rId1837" Type="http://schemas.openxmlformats.org/officeDocument/2006/relationships/hyperlink" Target="https://webagentes.canaldirecto.com.ar/incidents/view/746546-4" TargetMode="External"/><Relationship Id="rId3192" Type="http://schemas.openxmlformats.org/officeDocument/2006/relationships/hyperlink" Target="https://webagentes.canaldirecto.com.ar/incidents/view/805057-9" TargetMode="External"/><Relationship Id="rId3497" Type="http://schemas.openxmlformats.org/officeDocument/2006/relationships/hyperlink" Target="https://webagentes.canaldirecto.com.ar/incidents/view/813866-4" TargetMode="External"/><Relationship Id="rId31" Type="http://schemas.openxmlformats.org/officeDocument/2006/relationships/hyperlink" Target="https://webagentes.canaldirecto.com.ar/incidents/view/662422-8" TargetMode="External"/><Relationship Id="rId2099" Type="http://schemas.openxmlformats.org/officeDocument/2006/relationships/hyperlink" Target="https://webagentes.canaldirecto.com.ar/incidents/view/763972-2" TargetMode="External"/><Relationship Id="rId3052" Type="http://schemas.openxmlformats.org/officeDocument/2006/relationships/hyperlink" Target="https://webagentes.canaldirecto.com.ar/incidents/view/799230-2" TargetMode="External"/><Relationship Id="rId180" Type="http://schemas.openxmlformats.org/officeDocument/2006/relationships/hyperlink" Target="https://webagentes.canaldirecto.com.ar/incidents/view/672100-8" TargetMode="External"/><Relationship Id="rId278" Type="http://schemas.openxmlformats.org/officeDocument/2006/relationships/hyperlink" Target="https://webagentes.canaldirecto.com.ar/incidents/view/674956-3" TargetMode="External"/><Relationship Id="rId1904" Type="http://schemas.openxmlformats.org/officeDocument/2006/relationships/hyperlink" Target="https://webagentes.canaldirecto.com.ar/incidents/view/749087-7" TargetMode="External"/><Relationship Id="rId3357" Type="http://schemas.openxmlformats.org/officeDocument/2006/relationships/hyperlink" Target="https://webagentes.canaldirecto.com.ar/incidents/view/812061-0" TargetMode="External"/><Relationship Id="rId3564" Type="http://schemas.openxmlformats.org/officeDocument/2006/relationships/hyperlink" Target="https://webagentes.canaldirecto.com.ar/incidents/view/818430-8" TargetMode="External"/><Relationship Id="rId3771" Type="http://schemas.openxmlformats.org/officeDocument/2006/relationships/hyperlink" Target="https://webagentes.canaldirecto.com.ar/incidents/view/824122-3" TargetMode="External"/><Relationship Id="rId485" Type="http://schemas.openxmlformats.org/officeDocument/2006/relationships/hyperlink" Target="https://webagentes.canaldirecto.com.ar/incidents/view/689954-9" TargetMode="External"/><Relationship Id="rId692" Type="http://schemas.openxmlformats.org/officeDocument/2006/relationships/hyperlink" Target="https://webagentes.canaldirecto.com.ar/incidents/view/698167-3" TargetMode="External"/><Relationship Id="rId2166" Type="http://schemas.openxmlformats.org/officeDocument/2006/relationships/hyperlink" Target="https://webagentes.canaldirecto.com.ar/incidents/view/765317-5" TargetMode="External"/><Relationship Id="rId2373" Type="http://schemas.openxmlformats.org/officeDocument/2006/relationships/hyperlink" Target="https://webagentes.canaldirecto.com.ar/incidents/view/780423-8" TargetMode="External"/><Relationship Id="rId2580" Type="http://schemas.openxmlformats.org/officeDocument/2006/relationships/hyperlink" Target="https://webagentes.canaldirecto.com.ar/incidents/view/783304-5" TargetMode="External"/><Relationship Id="rId3217" Type="http://schemas.openxmlformats.org/officeDocument/2006/relationships/hyperlink" Target="https://webagentes.canaldirecto.com.ar/incidents/view/804117-3" TargetMode="External"/><Relationship Id="rId3424" Type="http://schemas.openxmlformats.org/officeDocument/2006/relationships/hyperlink" Target="https://webagentes.canaldirecto.com.ar/incidents/view/809153-0" TargetMode="External"/><Relationship Id="rId3631" Type="http://schemas.openxmlformats.org/officeDocument/2006/relationships/hyperlink" Target="https://webagentes.canaldirecto.com.ar/incidents/view/814997-0" TargetMode="External"/><Relationship Id="rId3869" Type="http://schemas.openxmlformats.org/officeDocument/2006/relationships/hyperlink" Target="https://webagentes.canaldirecto.com.ar/incidents/view/825948-0" TargetMode="External"/><Relationship Id="rId138" Type="http://schemas.openxmlformats.org/officeDocument/2006/relationships/hyperlink" Target="https://webagentes.canaldirecto.com.ar/incidents/view/668144-5" TargetMode="External"/><Relationship Id="rId345" Type="http://schemas.openxmlformats.org/officeDocument/2006/relationships/hyperlink" Target="https://webagentes.canaldirecto.com.ar/incidents/view/679137-1" TargetMode="External"/><Relationship Id="rId552" Type="http://schemas.openxmlformats.org/officeDocument/2006/relationships/hyperlink" Target="https://webagentes.canaldirecto.com.ar/incidents/view/692563-1" TargetMode="External"/><Relationship Id="rId997" Type="http://schemas.openxmlformats.org/officeDocument/2006/relationships/hyperlink" Target="https://webagentes.canaldirecto.com.ar/incidents/view/717083-0" TargetMode="External"/><Relationship Id="rId1182" Type="http://schemas.openxmlformats.org/officeDocument/2006/relationships/hyperlink" Target="https://webagentes.canaldirecto.com.ar/incidents/view/721906-9" TargetMode="External"/><Relationship Id="rId2026" Type="http://schemas.openxmlformats.org/officeDocument/2006/relationships/hyperlink" Target="https://webagentes.canaldirecto.com.ar/incidents/view/756997-3" TargetMode="External"/><Relationship Id="rId2233" Type="http://schemas.openxmlformats.org/officeDocument/2006/relationships/hyperlink" Target="https://webagentes.canaldirecto.com.ar/incidents/view/770884-6" TargetMode="External"/><Relationship Id="rId2440" Type="http://schemas.openxmlformats.org/officeDocument/2006/relationships/hyperlink" Target="https://webagentes.canaldirecto.com.ar/incidents/view/779136-9" TargetMode="External"/><Relationship Id="rId2678" Type="http://schemas.openxmlformats.org/officeDocument/2006/relationships/hyperlink" Target="https://webagentes.canaldirecto.com.ar/incidents/view/788481-8" TargetMode="External"/><Relationship Id="rId2885" Type="http://schemas.openxmlformats.org/officeDocument/2006/relationships/hyperlink" Target="https://webagentes.canaldirecto.com.ar/incidents/view/792443-5" TargetMode="External"/><Relationship Id="rId3729" Type="http://schemas.openxmlformats.org/officeDocument/2006/relationships/hyperlink" Target="https://webagentes.canaldirecto.com.ar/incidents/view/825129-3" TargetMode="External"/><Relationship Id="rId3936" Type="http://schemas.openxmlformats.org/officeDocument/2006/relationships/hyperlink" Target="https://webagentes.canaldirecto.com.ar/incidents/view/829662-1" TargetMode="External"/><Relationship Id="rId205" Type="http://schemas.openxmlformats.org/officeDocument/2006/relationships/hyperlink" Target="https://webagentes.canaldirecto.com.ar/incidents/view/670230-4" TargetMode="External"/><Relationship Id="rId412" Type="http://schemas.openxmlformats.org/officeDocument/2006/relationships/hyperlink" Target="https://webagentes.canaldirecto.com.ar/incidents/view/681984-4" TargetMode="External"/><Relationship Id="rId857" Type="http://schemas.openxmlformats.org/officeDocument/2006/relationships/hyperlink" Target="https://webagentes.canaldirecto.com.ar/incidents/view/708024-5" TargetMode="External"/><Relationship Id="rId1042" Type="http://schemas.openxmlformats.org/officeDocument/2006/relationships/hyperlink" Target="https://webagentes.canaldirecto.com.ar/incidents/view/716430-7" TargetMode="External"/><Relationship Id="rId1487" Type="http://schemas.openxmlformats.org/officeDocument/2006/relationships/hyperlink" Target="https://webagentes.canaldirecto.com.ar/incidents/view/737362-2" TargetMode="External"/><Relationship Id="rId1694" Type="http://schemas.openxmlformats.org/officeDocument/2006/relationships/hyperlink" Target="https://webagentes.canaldirecto.com.ar/incidents/view/746256-4" TargetMode="External"/><Relationship Id="rId2300" Type="http://schemas.openxmlformats.org/officeDocument/2006/relationships/hyperlink" Target="https://webagentes.canaldirecto.com.ar/incidents/view/773156-1" TargetMode="External"/><Relationship Id="rId2538" Type="http://schemas.openxmlformats.org/officeDocument/2006/relationships/hyperlink" Target="https://webagentes.canaldirecto.com.ar/incidents/view/781119-5" TargetMode="External"/><Relationship Id="rId2745" Type="http://schemas.openxmlformats.org/officeDocument/2006/relationships/hyperlink" Target="https://webagentes.canaldirecto.com.ar/incidents/view/791211-1" TargetMode="External"/><Relationship Id="rId2952" Type="http://schemas.openxmlformats.org/officeDocument/2006/relationships/hyperlink" Target="https://webagentes.canaldirecto.com.ar/incidents/view/795874-2" TargetMode="External"/><Relationship Id="rId717" Type="http://schemas.openxmlformats.org/officeDocument/2006/relationships/hyperlink" Target="https://webagentes.canaldirecto.com.ar/incidents/view/703169-2" TargetMode="External"/><Relationship Id="rId924" Type="http://schemas.openxmlformats.org/officeDocument/2006/relationships/hyperlink" Target="https://webagentes.canaldirecto.com.ar/incidents/view/712193-1" TargetMode="External"/><Relationship Id="rId1347" Type="http://schemas.openxmlformats.org/officeDocument/2006/relationships/hyperlink" Target="https://webagentes.canaldirecto.com.ar/incidents/view/728185-3" TargetMode="External"/><Relationship Id="rId1554" Type="http://schemas.openxmlformats.org/officeDocument/2006/relationships/hyperlink" Target="https://webagentes.canaldirecto.com.ar/incidents/view/739005-4" TargetMode="External"/><Relationship Id="rId1761" Type="http://schemas.openxmlformats.org/officeDocument/2006/relationships/hyperlink" Target="https://webagentes.canaldirecto.com.ar/incidents/view/746091-9" TargetMode="External"/><Relationship Id="rId1999" Type="http://schemas.openxmlformats.org/officeDocument/2006/relationships/hyperlink" Target="https://webagentes.canaldirecto.com.ar/incidents/view/759073-3" TargetMode="External"/><Relationship Id="rId2605" Type="http://schemas.openxmlformats.org/officeDocument/2006/relationships/hyperlink" Target="https://webagentes.canaldirecto.com.ar/incidents/view/782864-5" TargetMode="External"/><Relationship Id="rId2812" Type="http://schemas.openxmlformats.org/officeDocument/2006/relationships/hyperlink" Target="https://webagentes.canaldirecto.com.ar/incidents/view/794393-5" TargetMode="External"/><Relationship Id="rId53" Type="http://schemas.openxmlformats.org/officeDocument/2006/relationships/hyperlink" Target="https://webagentes.canaldirecto.com.ar/incidents/view/660828-4" TargetMode="External"/><Relationship Id="rId1207" Type="http://schemas.openxmlformats.org/officeDocument/2006/relationships/hyperlink" Target="https://webagentes.canaldirecto.com.ar/incidents/view/720438-6" TargetMode="External"/><Relationship Id="rId1414" Type="http://schemas.openxmlformats.org/officeDocument/2006/relationships/hyperlink" Target="https://webagentes.canaldirecto.com.ar/incidents/view/736254-7" TargetMode="External"/><Relationship Id="rId1621" Type="http://schemas.openxmlformats.org/officeDocument/2006/relationships/hyperlink" Target="https://webagentes.canaldirecto.com.ar/incidents/view/743487-1" TargetMode="External"/><Relationship Id="rId1859" Type="http://schemas.openxmlformats.org/officeDocument/2006/relationships/hyperlink" Target="https://webagentes.canaldirecto.com.ar/incidents/view/751363-7" TargetMode="External"/><Relationship Id="rId3074" Type="http://schemas.openxmlformats.org/officeDocument/2006/relationships/hyperlink" Target="https://webagentes.canaldirecto.com.ar/incidents/view/798299-8" TargetMode="External"/><Relationship Id="rId1719" Type="http://schemas.openxmlformats.org/officeDocument/2006/relationships/hyperlink" Target="https://webagentes.canaldirecto.com.ar/incidents/view/745748-3" TargetMode="External"/><Relationship Id="rId1926" Type="http://schemas.openxmlformats.org/officeDocument/2006/relationships/hyperlink" Target="https://webagentes.canaldirecto.com.ar/incidents/view/752893-0" TargetMode="External"/><Relationship Id="rId3281" Type="http://schemas.openxmlformats.org/officeDocument/2006/relationships/hyperlink" Target="https://webagentes.canaldirecto.com.ar/incidents/view/807208-5" TargetMode="External"/><Relationship Id="rId3379" Type="http://schemas.openxmlformats.org/officeDocument/2006/relationships/hyperlink" Target="https://webagentes.canaldirecto.com.ar/incidents/view/811395-7" TargetMode="External"/><Relationship Id="rId3586" Type="http://schemas.openxmlformats.org/officeDocument/2006/relationships/hyperlink" Target="https://webagentes.canaldirecto.com.ar/incidents/view/817727-4" TargetMode="External"/><Relationship Id="rId3793" Type="http://schemas.openxmlformats.org/officeDocument/2006/relationships/hyperlink" Target="https://webagentes.canaldirecto.com.ar/incidents/view/823114-7" TargetMode="External"/><Relationship Id="rId2090" Type="http://schemas.openxmlformats.org/officeDocument/2006/relationships/hyperlink" Target="https://webagentes.canaldirecto.com.ar/incidents/view/759007-0" TargetMode="External"/><Relationship Id="rId2188" Type="http://schemas.openxmlformats.org/officeDocument/2006/relationships/hyperlink" Target="https://webagentes.canaldirecto.com.ar/incidents/view/768382-0" TargetMode="External"/><Relationship Id="rId2395" Type="http://schemas.openxmlformats.org/officeDocument/2006/relationships/hyperlink" Target="https://webagentes.canaldirecto.com.ar/incidents/view/779745-1" TargetMode="External"/><Relationship Id="rId3141" Type="http://schemas.openxmlformats.org/officeDocument/2006/relationships/hyperlink" Target="https://webagentes.canaldirecto.com.ar/incidents/view/801373-6" TargetMode="External"/><Relationship Id="rId3239" Type="http://schemas.openxmlformats.org/officeDocument/2006/relationships/hyperlink" Target="https://webagentes.canaldirecto.com.ar/incidents/view/809384-8" TargetMode="External"/><Relationship Id="rId3446" Type="http://schemas.openxmlformats.org/officeDocument/2006/relationships/hyperlink" Target="https://webagentes.canaldirecto.com.ar/incidents/view/816257-3" TargetMode="External"/><Relationship Id="rId367" Type="http://schemas.openxmlformats.org/officeDocument/2006/relationships/hyperlink" Target="https://webagentes.canaldirecto.com.ar/incidents/view/678090-4" TargetMode="External"/><Relationship Id="rId574" Type="http://schemas.openxmlformats.org/officeDocument/2006/relationships/hyperlink" Target="https://webagentes.canaldirecto.com.ar/incidents/view/690631-7" TargetMode="External"/><Relationship Id="rId2048" Type="http://schemas.openxmlformats.org/officeDocument/2006/relationships/hyperlink" Target="https://webagentes.canaldirecto.com.ar/incidents/view/760806-9" TargetMode="External"/><Relationship Id="rId2255" Type="http://schemas.openxmlformats.org/officeDocument/2006/relationships/hyperlink" Target="https://webagentes.canaldirecto.com.ar/incidents/view/770052-5" TargetMode="External"/><Relationship Id="rId3001" Type="http://schemas.openxmlformats.org/officeDocument/2006/relationships/hyperlink" Target="https://webagentes.canaldirecto.com.ar/incidents/view/800282-8" TargetMode="External"/><Relationship Id="rId3653" Type="http://schemas.openxmlformats.org/officeDocument/2006/relationships/hyperlink" Target="https://webagentes.canaldirecto.com.ar/incidents/view/822074-3" TargetMode="External"/><Relationship Id="rId3860" Type="http://schemas.openxmlformats.org/officeDocument/2006/relationships/hyperlink" Target="https://webagentes.canaldirecto.com.ar/incidents/view/826115-7" TargetMode="External"/><Relationship Id="rId3958" Type="http://schemas.openxmlformats.org/officeDocument/2006/relationships/hyperlink" Target="https://webagentes.canaldirecto.com.ar/incidents/view/828918-0" TargetMode="External"/><Relationship Id="rId227" Type="http://schemas.openxmlformats.org/officeDocument/2006/relationships/hyperlink" Target="https://webagentes.canaldirecto.com.ar/incidents/view/677419-8" TargetMode="External"/><Relationship Id="rId781" Type="http://schemas.openxmlformats.org/officeDocument/2006/relationships/hyperlink" Target="https://webagentes.canaldirecto.com.ar/incidents/view/705279-2" TargetMode="External"/><Relationship Id="rId879" Type="http://schemas.openxmlformats.org/officeDocument/2006/relationships/hyperlink" Target="https://webagentes.canaldirecto.com.ar/incidents/view/714479-2" TargetMode="External"/><Relationship Id="rId2462" Type="http://schemas.openxmlformats.org/officeDocument/2006/relationships/hyperlink" Target="https://webagentes.canaldirecto.com.ar/incidents/view/777805-8" TargetMode="External"/><Relationship Id="rId2767" Type="http://schemas.openxmlformats.org/officeDocument/2006/relationships/hyperlink" Target="https://webagentes.canaldirecto.com.ar/incidents/view/789825-5" TargetMode="External"/><Relationship Id="rId3306" Type="http://schemas.openxmlformats.org/officeDocument/2006/relationships/hyperlink" Target="https://webagentes.canaldirecto.com.ar/incidents/view/813462-2" TargetMode="External"/><Relationship Id="rId3513" Type="http://schemas.openxmlformats.org/officeDocument/2006/relationships/hyperlink" Target="https://webagentes.canaldirecto.com.ar/incidents/view/819695-0" TargetMode="External"/><Relationship Id="rId3720" Type="http://schemas.openxmlformats.org/officeDocument/2006/relationships/hyperlink" Target="https://webagentes.canaldirecto.com.ar/incidents/view/818438-0" TargetMode="External"/><Relationship Id="rId434" Type="http://schemas.openxmlformats.org/officeDocument/2006/relationships/hyperlink" Target="https://webagentes.canaldirecto.com.ar/incidents/view/686165-2" TargetMode="External"/><Relationship Id="rId641" Type="http://schemas.openxmlformats.org/officeDocument/2006/relationships/hyperlink" Target="https://webagentes.canaldirecto.com.ar/incidents/view/691253-0" TargetMode="External"/><Relationship Id="rId739" Type="http://schemas.openxmlformats.org/officeDocument/2006/relationships/hyperlink" Target="https://webagentes.canaldirecto.com.ar/incidents/view/701777-1" TargetMode="External"/><Relationship Id="rId1064" Type="http://schemas.openxmlformats.org/officeDocument/2006/relationships/hyperlink" Target="https://webagentes.canaldirecto.com.ar/incidents/view/716249-7" TargetMode="External"/><Relationship Id="rId1271" Type="http://schemas.openxmlformats.org/officeDocument/2006/relationships/hyperlink" Target="https://webagentes.canaldirecto.com.ar/incidents/view/727501-0" TargetMode="External"/><Relationship Id="rId1369" Type="http://schemas.openxmlformats.org/officeDocument/2006/relationships/hyperlink" Target="https://webagentes.canaldirecto.com.ar/incidents/view/732798-8" TargetMode="External"/><Relationship Id="rId1576" Type="http://schemas.openxmlformats.org/officeDocument/2006/relationships/hyperlink" Target="https://webagentes.canaldirecto.com.ar/incidents/view/744269-4" TargetMode="External"/><Relationship Id="rId2115" Type="http://schemas.openxmlformats.org/officeDocument/2006/relationships/hyperlink" Target="https://webagentes.canaldirecto.com.ar/incidents/view/762582-6" TargetMode="External"/><Relationship Id="rId2322" Type="http://schemas.openxmlformats.org/officeDocument/2006/relationships/hyperlink" Target="https://webagentes.canaldirecto.com.ar/incidents/view/771997-6" TargetMode="External"/><Relationship Id="rId2974" Type="http://schemas.openxmlformats.org/officeDocument/2006/relationships/hyperlink" Target="https://webagentes.canaldirecto.com.ar/incidents/view/795575-4" TargetMode="External"/><Relationship Id="rId3818" Type="http://schemas.openxmlformats.org/officeDocument/2006/relationships/hyperlink" Target="https://webagentes.canaldirecto.com.ar/incidents/view/827689-4" TargetMode="External"/><Relationship Id="rId501" Type="http://schemas.openxmlformats.org/officeDocument/2006/relationships/hyperlink" Target="https://webagentes.canaldirecto.com.ar/incidents/view/689378-5" TargetMode="External"/><Relationship Id="rId946" Type="http://schemas.openxmlformats.org/officeDocument/2006/relationships/hyperlink" Target="https://webagentes.canaldirecto.com.ar/incidents/view/712034-9" TargetMode="External"/><Relationship Id="rId1131" Type="http://schemas.openxmlformats.org/officeDocument/2006/relationships/hyperlink" Target="https://webagentes.canaldirecto.com.ar/incidents/view/719336-3" TargetMode="External"/><Relationship Id="rId1229" Type="http://schemas.openxmlformats.org/officeDocument/2006/relationships/hyperlink" Target="https://webagentes.canaldirecto.com.ar/incidents/view/723908-1" TargetMode="External"/><Relationship Id="rId1783" Type="http://schemas.openxmlformats.org/officeDocument/2006/relationships/hyperlink" Target="https://webagentes.canaldirecto.com.ar/incidents/view/748735-0" TargetMode="External"/><Relationship Id="rId1990" Type="http://schemas.openxmlformats.org/officeDocument/2006/relationships/hyperlink" Target="https://webagentes.canaldirecto.com.ar/incidents/view/754751-9" TargetMode="External"/><Relationship Id="rId2627" Type="http://schemas.openxmlformats.org/officeDocument/2006/relationships/hyperlink" Target="https://webagentes.canaldirecto.com.ar/incidents/view/787009-1" TargetMode="External"/><Relationship Id="rId2834" Type="http://schemas.openxmlformats.org/officeDocument/2006/relationships/hyperlink" Target="https://webagentes.canaldirecto.com.ar/incidents/view/794221-9" TargetMode="External"/><Relationship Id="rId75" Type="http://schemas.openxmlformats.org/officeDocument/2006/relationships/hyperlink" Target="https://webagentes.canaldirecto.com.ar/incidents/view/665319-6" TargetMode="External"/><Relationship Id="rId806" Type="http://schemas.openxmlformats.org/officeDocument/2006/relationships/hyperlink" Target="https://webagentes.canaldirecto.com.ar/incidents/view/698644-7" TargetMode="External"/><Relationship Id="rId1436" Type="http://schemas.openxmlformats.org/officeDocument/2006/relationships/hyperlink" Target="https://webagentes.canaldirecto.com.ar/incidents/view/735611-1" TargetMode="External"/><Relationship Id="rId1643" Type="http://schemas.openxmlformats.org/officeDocument/2006/relationships/hyperlink" Target="https://webagentes.canaldirecto.com.ar/incidents/view/742852-4" TargetMode="External"/><Relationship Id="rId1850" Type="http://schemas.openxmlformats.org/officeDocument/2006/relationships/hyperlink" Target="https://webagentes.canaldirecto.com.ar/incidents/view/751582-0" TargetMode="External"/><Relationship Id="rId2901" Type="http://schemas.openxmlformats.org/officeDocument/2006/relationships/hyperlink" Target="https://webagentes.canaldirecto.com.ar/incidents/view/797600-3" TargetMode="External"/><Relationship Id="rId3096" Type="http://schemas.openxmlformats.org/officeDocument/2006/relationships/hyperlink" Target="https://webagentes.canaldirecto.com.ar/incidents/view/803261-6" TargetMode="External"/><Relationship Id="rId1503" Type="http://schemas.openxmlformats.org/officeDocument/2006/relationships/hyperlink" Target="https://webagentes.canaldirecto.com.ar/incidents/view/736504-9" TargetMode="External"/><Relationship Id="rId1710" Type="http://schemas.openxmlformats.org/officeDocument/2006/relationships/hyperlink" Target="https://webagentes.canaldirecto.com.ar/incidents/view/745992-2" TargetMode="External"/><Relationship Id="rId1948" Type="http://schemas.openxmlformats.org/officeDocument/2006/relationships/hyperlink" Target="https://webagentes.canaldirecto.com.ar/incidents/view/757086-3" TargetMode="External"/><Relationship Id="rId3163" Type="http://schemas.openxmlformats.org/officeDocument/2006/relationships/hyperlink" Target="https://webagentes.canaldirecto.com.ar/incidents/view/796559-3" TargetMode="External"/><Relationship Id="rId3370" Type="http://schemas.openxmlformats.org/officeDocument/2006/relationships/hyperlink" Target="https://webagentes.canaldirecto.com.ar/incidents/view/811717-5" TargetMode="External"/><Relationship Id="rId291" Type="http://schemas.openxmlformats.org/officeDocument/2006/relationships/hyperlink" Target="https://webagentes.canaldirecto.com.ar/incidents/view/674661-8" TargetMode="External"/><Relationship Id="rId1808" Type="http://schemas.openxmlformats.org/officeDocument/2006/relationships/hyperlink" Target="https://webagentes.canaldirecto.com.ar/incidents/view/748502-4" TargetMode="External"/><Relationship Id="rId3023" Type="http://schemas.openxmlformats.org/officeDocument/2006/relationships/hyperlink" Target="https://webagentes.canaldirecto.com.ar/incidents/view/799846-7" TargetMode="External"/><Relationship Id="rId3468" Type="http://schemas.openxmlformats.org/officeDocument/2006/relationships/hyperlink" Target="https://webagentes.canaldirecto.com.ar/incidents/view/815102-7" TargetMode="External"/><Relationship Id="rId3675" Type="http://schemas.openxmlformats.org/officeDocument/2006/relationships/hyperlink" Target="https://webagentes.canaldirecto.com.ar/incidents/view/821802-1" TargetMode="External"/><Relationship Id="rId3882" Type="http://schemas.openxmlformats.org/officeDocument/2006/relationships/hyperlink" Target="https://webagentes.canaldirecto.com.ar/incidents/view/824123-2" TargetMode="External"/><Relationship Id="rId151" Type="http://schemas.openxmlformats.org/officeDocument/2006/relationships/hyperlink" Target="https://webagentes.canaldirecto.com.ar/incidents/view/665800-3" TargetMode="External"/><Relationship Id="rId389" Type="http://schemas.openxmlformats.org/officeDocument/2006/relationships/hyperlink" Target="https://webagentes.canaldirecto.com.ar/incidents/view/677403-7" TargetMode="External"/><Relationship Id="rId596" Type="http://schemas.openxmlformats.org/officeDocument/2006/relationships/hyperlink" Target="https://webagentes.canaldirecto.com.ar/incidents/view/695161-8" TargetMode="External"/><Relationship Id="rId2277" Type="http://schemas.openxmlformats.org/officeDocument/2006/relationships/hyperlink" Target="https://webagentes.canaldirecto.com.ar/incidents/view/774549-4" TargetMode="External"/><Relationship Id="rId2484" Type="http://schemas.openxmlformats.org/officeDocument/2006/relationships/hyperlink" Target="https://webagentes.canaldirecto.com.ar/incidents/view/782741-5" TargetMode="External"/><Relationship Id="rId2691" Type="http://schemas.openxmlformats.org/officeDocument/2006/relationships/hyperlink" Target="https://webagentes.canaldirecto.com.ar/incidents/view/788345-7" TargetMode="External"/><Relationship Id="rId3230" Type="http://schemas.openxmlformats.org/officeDocument/2006/relationships/hyperlink" Target="https://webagentes.canaldirecto.com.ar/incidents/view/809935-6" TargetMode="External"/><Relationship Id="rId3328" Type="http://schemas.openxmlformats.org/officeDocument/2006/relationships/hyperlink" Target="https://webagentes.canaldirecto.com.ar/incidents/view/812850-6" TargetMode="External"/><Relationship Id="rId3535" Type="http://schemas.openxmlformats.org/officeDocument/2006/relationships/hyperlink" Target="https://webagentes.canaldirecto.com.ar/incidents/view/818679-5" TargetMode="External"/><Relationship Id="rId3742" Type="http://schemas.openxmlformats.org/officeDocument/2006/relationships/hyperlink" Target="https://webagentes.canaldirecto.com.ar/incidents/view/824728-1" TargetMode="External"/><Relationship Id="rId249" Type="http://schemas.openxmlformats.org/officeDocument/2006/relationships/hyperlink" Target="https://webagentes.canaldirecto.com.ar/incidents/view/676199-0" TargetMode="External"/><Relationship Id="rId456" Type="http://schemas.openxmlformats.org/officeDocument/2006/relationships/hyperlink" Target="https://webagentes.canaldirecto.com.ar/incidents/view/684749-4" TargetMode="External"/><Relationship Id="rId663" Type="http://schemas.openxmlformats.org/officeDocument/2006/relationships/hyperlink" Target="https://webagentes.canaldirecto.com.ar/incidents/view/701310-0" TargetMode="External"/><Relationship Id="rId870" Type="http://schemas.openxmlformats.org/officeDocument/2006/relationships/hyperlink" Target="https://webagentes.canaldirecto.com.ar/incidents/view/706620-9" TargetMode="External"/><Relationship Id="rId1086" Type="http://schemas.openxmlformats.org/officeDocument/2006/relationships/hyperlink" Target="https://webagentes.canaldirecto.com.ar/incidents/view/713522-6" TargetMode="External"/><Relationship Id="rId1293" Type="http://schemas.openxmlformats.org/officeDocument/2006/relationships/hyperlink" Target="https://webagentes.canaldirecto.com.ar/incidents/view/726648-3" TargetMode="External"/><Relationship Id="rId2137" Type="http://schemas.openxmlformats.org/officeDocument/2006/relationships/hyperlink" Target="https://webagentes.canaldirecto.com.ar/incidents/view/761469-9" TargetMode="External"/><Relationship Id="rId2344" Type="http://schemas.openxmlformats.org/officeDocument/2006/relationships/hyperlink" Target="https://webagentes.canaldirecto.com.ar/incidents/view/776053-6" TargetMode="External"/><Relationship Id="rId2551" Type="http://schemas.openxmlformats.org/officeDocument/2006/relationships/hyperlink" Target="https://webagentes.canaldirecto.com.ar/incidents/view/780226-7" TargetMode="External"/><Relationship Id="rId2789" Type="http://schemas.openxmlformats.org/officeDocument/2006/relationships/hyperlink" Target="https://webagentes.canaldirecto.com.ar/incidents/view/789883-9" TargetMode="External"/><Relationship Id="rId2996" Type="http://schemas.openxmlformats.org/officeDocument/2006/relationships/hyperlink" Target="https://webagentes.canaldirecto.com.ar/incidents/view/794439-6" TargetMode="External"/><Relationship Id="rId109" Type="http://schemas.openxmlformats.org/officeDocument/2006/relationships/hyperlink" Target="https://webagentes.canaldirecto.com.ar/incidents/view/669381-1" TargetMode="External"/><Relationship Id="rId316" Type="http://schemas.openxmlformats.org/officeDocument/2006/relationships/hyperlink" Target="https://webagentes.canaldirecto.com.ar/incidents/view/673928-3" TargetMode="External"/><Relationship Id="rId523" Type="http://schemas.openxmlformats.org/officeDocument/2006/relationships/hyperlink" Target="https://webagentes.canaldirecto.com.ar/incidents/view/688189-6" TargetMode="External"/><Relationship Id="rId968" Type="http://schemas.openxmlformats.org/officeDocument/2006/relationships/hyperlink" Target="https://webagentes.canaldirecto.com.ar/incidents/view/711674-4" TargetMode="External"/><Relationship Id="rId1153" Type="http://schemas.openxmlformats.org/officeDocument/2006/relationships/hyperlink" Target="https://webagentes.canaldirecto.com.ar/incidents/view/717896-6" TargetMode="External"/><Relationship Id="rId1598" Type="http://schemas.openxmlformats.org/officeDocument/2006/relationships/hyperlink" Target="https://webagentes.canaldirecto.com.ar/incidents/view/743999-1" TargetMode="External"/><Relationship Id="rId2204" Type="http://schemas.openxmlformats.org/officeDocument/2006/relationships/hyperlink" Target="https://webagentes.canaldirecto.com.ar/incidents/view/767343-4" TargetMode="External"/><Relationship Id="rId2649" Type="http://schemas.openxmlformats.org/officeDocument/2006/relationships/hyperlink" Target="https://webagentes.canaldirecto.com.ar/incidents/view/785959-3" TargetMode="External"/><Relationship Id="rId2856" Type="http://schemas.openxmlformats.org/officeDocument/2006/relationships/hyperlink" Target="https://webagentes.canaldirecto.com.ar/incidents/view/792898-1" TargetMode="External"/><Relationship Id="rId3602" Type="http://schemas.openxmlformats.org/officeDocument/2006/relationships/hyperlink" Target="https://webagentes.canaldirecto.com.ar/incidents/view/817541-6" TargetMode="External"/><Relationship Id="rId3907" Type="http://schemas.openxmlformats.org/officeDocument/2006/relationships/hyperlink" Target="https://webagentes.canaldirecto.com.ar/incidents/view/830304-6" TargetMode="External"/><Relationship Id="rId97" Type="http://schemas.openxmlformats.org/officeDocument/2006/relationships/hyperlink" Target="https://webagentes.canaldirecto.com.ar/incidents/view/669755-2" TargetMode="External"/><Relationship Id="rId730" Type="http://schemas.openxmlformats.org/officeDocument/2006/relationships/hyperlink" Target="https://webagentes.canaldirecto.com.ar/incidents/view/702228-7" TargetMode="External"/><Relationship Id="rId828" Type="http://schemas.openxmlformats.org/officeDocument/2006/relationships/hyperlink" Target="https://webagentes.canaldirecto.com.ar/incidents/view/709738-8" TargetMode="External"/><Relationship Id="rId1013" Type="http://schemas.openxmlformats.org/officeDocument/2006/relationships/hyperlink" Target="https://webagentes.canaldirecto.com.ar/incidents/view/716995-9" TargetMode="External"/><Relationship Id="rId1360" Type="http://schemas.openxmlformats.org/officeDocument/2006/relationships/hyperlink" Target="https://webagentes.canaldirecto.com.ar/incidents/view/732834-9" TargetMode="External"/><Relationship Id="rId1458" Type="http://schemas.openxmlformats.org/officeDocument/2006/relationships/hyperlink" Target="https://webagentes.canaldirecto.com.ar/incidents/view/734020-8" TargetMode="External"/><Relationship Id="rId1665" Type="http://schemas.openxmlformats.org/officeDocument/2006/relationships/hyperlink" Target="https://webagentes.canaldirecto.com.ar/incidents/view/746808-1" TargetMode="External"/><Relationship Id="rId1872" Type="http://schemas.openxmlformats.org/officeDocument/2006/relationships/hyperlink" Target="https://webagentes.canaldirecto.com.ar/incidents/view/750773-3" TargetMode="External"/><Relationship Id="rId2411" Type="http://schemas.openxmlformats.org/officeDocument/2006/relationships/hyperlink" Target="https://webagentes.canaldirecto.com.ar/incidents/view/779286-3" TargetMode="External"/><Relationship Id="rId2509" Type="http://schemas.openxmlformats.org/officeDocument/2006/relationships/hyperlink" Target="https://webagentes.canaldirecto.com.ar/incidents/view/782228-9" TargetMode="External"/><Relationship Id="rId2716" Type="http://schemas.openxmlformats.org/officeDocument/2006/relationships/hyperlink" Target="https://webagentes.canaldirecto.com.ar/incidents/view/787822-4" TargetMode="External"/><Relationship Id="rId1220" Type="http://schemas.openxmlformats.org/officeDocument/2006/relationships/hyperlink" Target="https://webagentes.canaldirecto.com.ar/incidents/view/725132-0" TargetMode="External"/><Relationship Id="rId1318" Type="http://schemas.openxmlformats.org/officeDocument/2006/relationships/hyperlink" Target="https://webagentes.canaldirecto.com.ar/incidents/view/730635-6" TargetMode="External"/><Relationship Id="rId1525" Type="http://schemas.openxmlformats.org/officeDocument/2006/relationships/hyperlink" Target="https://webagentes.canaldirecto.com.ar/incidents/view/741185-2" TargetMode="External"/><Relationship Id="rId2923" Type="http://schemas.openxmlformats.org/officeDocument/2006/relationships/hyperlink" Target="https://webagentes.canaldirecto.com.ar/incidents/view/797106-2" TargetMode="External"/><Relationship Id="rId1732" Type="http://schemas.openxmlformats.org/officeDocument/2006/relationships/hyperlink" Target="https://webagentes.canaldirecto.com.ar/incidents/view/745700-3" TargetMode="External"/><Relationship Id="rId3185" Type="http://schemas.openxmlformats.org/officeDocument/2006/relationships/hyperlink" Target="https://webagentes.canaldirecto.com.ar/incidents/view/805664-3" TargetMode="External"/><Relationship Id="rId3392" Type="http://schemas.openxmlformats.org/officeDocument/2006/relationships/hyperlink" Target="https://webagentes.canaldirecto.com.ar/incidents/view/810992-7" TargetMode="External"/><Relationship Id="rId24" Type="http://schemas.openxmlformats.org/officeDocument/2006/relationships/hyperlink" Target="https://webagentes.canaldirecto.com.ar/incidents/view/662562-5" TargetMode="External"/><Relationship Id="rId2299" Type="http://schemas.openxmlformats.org/officeDocument/2006/relationships/hyperlink" Target="https://webagentes.canaldirecto.com.ar/incidents/view/773172-9" TargetMode="External"/><Relationship Id="rId3045" Type="http://schemas.openxmlformats.org/officeDocument/2006/relationships/hyperlink" Target="https://webagentes.canaldirecto.com.ar/incidents/view/799604-3" TargetMode="External"/><Relationship Id="rId3252" Type="http://schemas.openxmlformats.org/officeDocument/2006/relationships/hyperlink" Target="https://webagentes.canaldirecto.com.ar/incidents/view/808965-0" TargetMode="External"/><Relationship Id="rId3697" Type="http://schemas.openxmlformats.org/officeDocument/2006/relationships/hyperlink" Target="https://webagentes.canaldirecto.com.ar/incidents/view/820626-6" TargetMode="External"/><Relationship Id="rId173" Type="http://schemas.openxmlformats.org/officeDocument/2006/relationships/hyperlink" Target="https://webagentes.canaldirecto.com.ar/incidents/view/672485-6" TargetMode="External"/><Relationship Id="rId380" Type="http://schemas.openxmlformats.org/officeDocument/2006/relationships/hyperlink" Target="https://webagentes.canaldirecto.com.ar/incidents/view/677726-5" TargetMode="External"/><Relationship Id="rId2061" Type="http://schemas.openxmlformats.org/officeDocument/2006/relationships/hyperlink" Target="https://webagentes.canaldirecto.com.ar/incidents/view/760791-8" TargetMode="External"/><Relationship Id="rId3112" Type="http://schemas.openxmlformats.org/officeDocument/2006/relationships/hyperlink" Target="https://webagentes.canaldirecto.com.ar/incidents/view/802485-7" TargetMode="External"/><Relationship Id="rId3557" Type="http://schemas.openxmlformats.org/officeDocument/2006/relationships/hyperlink" Target="https://webagentes.canaldirecto.com.ar/incidents/view/818478-8" TargetMode="External"/><Relationship Id="rId3764" Type="http://schemas.openxmlformats.org/officeDocument/2006/relationships/hyperlink" Target="https://webagentes.canaldirecto.com.ar/incidents/view/824133-9" TargetMode="External"/><Relationship Id="rId3971" Type="http://schemas.openxmlformats.org/officeDocument/2006/relationships/hyperlink" Target="https://webagentes.canaldirecto.com.ar/incidents/view/824674-1" TargetMode="External"/><Relationship Id="rId240" Type="http://schemas.openxmlformats.org/officeDocument/2006/relationships/hyperlink" Target="https://webagentes.canaldirecto.com.ar/incidents/view/676797-6" TargetMode="External"/><Relationship Id="rId478" Type="http://schemas.openxmlformats.org/officeDocument/2006/relationships/hyperlink" Target="https://webagentes.canaldirecto.com.ar/incidents/view/683547-1" TargetMode="External"/><Relationship Id="rId685" Type="http://schemas.openxmlformats.org/officeDocument/2006/relationships/hyperlink" Target="https://webagentes.canaldirecto.com.ar/incidents/view/699148-5" TargetMode="External"/><Relationship Id="rId892" Type="http://schemas.openxmlformats.org/officeDocument/2006/relationships/hyperlink" Target="https://webagentes.canaldirecto.com.ar/incidents/view/712863-3" TargetMode="External"/><Relationship Id="rId2159" Type="http://schemas.openxmlformats.org/officeDocument/2006/relationships/hyperlink" Target="https://webagentes.canaldirecto.com.ar/incidents/view/765996-6" TargetMode="External"/><Relationship Id="rId2366" Type="http://schemas.openxmlformats.org/officeDocument/2006/relationships/hyperlink" Target="https://webagentes.canaldirecto.com.ar/incidents/view/774228-4" TargetMode="External"/><Relationship Id="rId2573" Type="http://schemas.openxmlformats.org/officeDocument/2006/relationships/hyperlink" Target="https://webagentes.canaldirecto.com.ar/incidents/view/784092-0" TargetMode="External"/><Relationship Id="rId2780" Type="http://schemas.openxmlformats.org/officeDocument/2006/relationships/hyperlink" Target="https://webagentes.canaldirecto.com.ar/incidents/view/791322-6" TargetMode="External"/><Relationship Id="rId3417" Type="http://schemas.openxmlformats.org/officeDocument/2006/relationships/hyperlink" Target="https://webagentes.canaldirecto.com.ar/incidents/view/810176-7" TargetMode="External"/><Relationship Id="rId3624" Type="http://schemas.openxmlformats.org/officeDocument/2006/relationships/hyperlink" Target="https://webagentes.canaldirecto.com.ar/incidents/view/816841-6" TargetMode="External"/><Relationship Id="rId3831" Type="http://schemas.openxmlformats.org/officeDocument/2006/relationships/hyperlink" Target="https://webagentes.canaldirecto.com.ar/incidents/view/827467-4" TargetMode="External"/><Relationship Id="rId100" Type="http://schemas.openxmlformats.org/officeDocument/2006/relationships/hyperlink" Target="https://webagentes.canaldirecto.com.ar/incidents/view/669409-6" TargetMode="External"/><Relationship Id="rId338" Type="http://schemas.openxmlformats.org/officeDocument/2006/relationships/hyperlink" Target="https://webagentes.canaldirecto.com.ar/incidents/view/679635-8" TargetMode="External"/><Relationship Id="rId545" Type="http://schemas.openxmlformats.org/officeDocument/2006/relationships/hyperlink" Target="https://webagentes.canaldirecto.com.ar/incidents/view/687260-3" TargetMode="External"/><Relationship Id="rId752" Type="http://schemas.openxmlformats.org/officeDocument/2006/relationships/hyperlink" Target="https://webagentes.canaldirecto.com.ar/incidents/view/700093-9" TargetMode="External"/><Relationship Id="rId1175" Type="http://schemas.openxmlformats.org/officeDocument/2006/relationships/hyperlink" Target="https://webagentes.canaldirecto.com.ar/incidents/view/722188-8" TargetMode="External"/><Relationship Id="rId1382" Type="http://schemas.openxmlformats.org/officeDocument/2006/relationships/hyperlink" Target="https://webagentes.canaldirecto.com.ar/incidents/view/732785-4" TargetMode="External"/><Relationship Id="rId2019" Type="http://schemas.openxmlformats.org/officeDocument/2006/relationships/hyperlink" Target="https://webagentes.canaldirecto.com.ar/incidents/view/757687-6" TargetMode="External"/><Relationship Id="rId2226" Type="http://schemas.openxmlformats.org/officeDocument/2006/relationships/hyperlink" Target="https://webagentes.canaldirecto.com.ar/incidents/view/771217-7" TargetMode="External"/><Relationship Id="rId2433" Type="http://schemas.openxmlformats.org/officeDocument/2006/relationships/hyperlink" Target="https://webagentes.canaldirecto.com.ar/incidents/view/779186-4" TargetMode="External"/><Relationship Id="rId2640" Type="http://schemas.openxmlformats.org/officeDocument/2006/relationships/hyperlink" Target="https://webagentes.canaldirecto.com.ar/incidents/view/786366-6" TargetMode="External"/><Relationship Id="rId2878" Type="http://schemas.openxmlformats.org/officeDocument/2006/relationships/hyperlink" Target="https://webagentes.canaldirecto.com.ar/incidents/view/792455-0" TargetMode="External"/><Relationship Id="rId3929" Type="http://schemas.openxmlformats.org/officeDocument/2006/relationships/hyperlink" Target="https://webagentes.canaldirecto.com.ar/incidents/view/829811-5" TargetMode="External"/><Relationship Id="rId405" Type="http://schemas.openxmlformats.org/officeDocument/2006/relationships/hyperlink" Target="https://webagentes.canaldirecto.com.ar/incidents/view/683202-1" TargetMode="External"/><Relationship Id="rId612" Type="http://schemas.openxmlformats.org/officeDocument/2006/relationships/hyperlink" Target="https://webagentes.canaldirecto.com.ar/incidents/view/694298-4" TargetMode="External"/><Relationship Id="rId1035" Type="http://schemas.openxmlformats.org/officeDocument/2006/relationships/hyperlink" Target="https://webagentes.canaldirecto.com.ar/incidents/view/716510-2" TargetMode="External"/><Relationship Id="rId1242" Type="http://schemas.openxmlformats.org/officeDocument/2006/relationships/hyperlink" Target="https://webagentes.canaldirecto.com.ar/incidents/view/720136-1" TargetMode="External"/><Relationship Id="rId1687" Type="http://schemas.openxmlformats.org/officeDocument/2006/relationships/hyperlink" Target="https://webagentes.canaldirecto.com.ar/incidents/view/746310-1" TargetMode="External"/><Relationship Id="rId1894" Type="http://schemas.openxmlformats.org/officeDocument/2006/relationships/hyperlink" Target="https://webagentes.canaldirecto.com.ar/incidents/view/749179-7" TargetMode="External"/><Relationship Id="rId2500" Type="http://schemas.openxmlformats.org/officeDocument/2006/relationships/hyperlink" Target="https://webagentes.canaldirecto.com.ar/incidents/view/782250-8" TargetMode="External"/><Relationship Id="rId2738" Type="http://schemas.openxmlformats.org/officeDocument/2006/relationships/hyperlink" Target="https://webagentes.canaldirecto.com.ar/incidents/view/791404-9" TargetMode="External"/><Relationship Id="rId2945" Type="http://schemas.openxmlformats.org/officeDocument/2006/relationships/hyperlink" Target="https://webagentes.canaldirecto.com.ar/incidents/view/795881-2" TargetMode="External"/><Relationship Id="rId917" Type="http://schemas.openxmlformats.org/officeDocument/2006/relationships/hyperlink" Target="https://webagentes.canaldirecto.com.ar/incidents/view/712477-0" TargetMode="External"/><Relationship Id="rId1102" Type="http://schemas.openxmlformats.org/officeDocument/2006/relationships/hyperlink" Target="https://webagentes.canaldirecto.com.ar/incidents/view/720482-7" TargetMode="External"/><Relationship Id="rId1547" Type="http://schemas.openxmlformats.org/officeDocument/2006/relationships/hyperlink" Target="https://webagentes.canaldirecto.com.ar/incidents/view/739541-1" TargetMode="External"/><Relationship Id="rId1754" Type="http://schemas.openxmlformats.org/officeDocument/2006/relationships/hyperlink" Target="https://webagentes.canaldirecto.com.ar/incidents/view/744417-9" TargetMode="External"/><Relationship Id="rId1961" Type="http://schemas.openxmlformats.org/officeDocument/2006/relationships/hyperlink" Target="https://webagentes.canaldirecto.com.ar/incidents/view/755627-0" TargetMode="External"/><Relationship Id="rId2805" Type="http://schemas.openxmlformats.org/officeDocument/2006/relationships/hyperlink" Target="https://webagentes.canaldirecto.com.ar/incidents/view/794460-6" TargetMode="External"/><Relationship Id="rId46" Type="http://schemas.openxmlformats.org/officeDocument/2006/relationships/hyperlink" Target="https://webagentes.canaldirecto.com.ar/incidents/view/661777-8" TargetMode="External"/><Relationship Id="rId1407" Type="http://schemas.openxmlformats.org/officeDocument/2006/relationships/hyperlink" Target="https://webagentes.canaldirecto.com.ar/incidents/view/731151-6" TargetMode="External"/><Relationship Id="rId1614" Type="http://schemas.openxmlformats.org/officeDocument/2006/relationships/hyperlink" Target="https://webagentes.canaldirecto.com.ar/incidents/view/743500-1" TargetMode="External"/><Relationship Id="rId1821" Type="http://schemas.openxmlformats.org/officeDocument/2006/relationships/hyperlink" Target="https://webagentes.canaldirecto.com.ar/incidents/view/747908-7" TargetMode="External"/><Relationship Id="rId3067" Type="http://schemas.openxmlformats.org/officeDocument/2006/relationships/hyperlink" Target="https://webagentes.canaldirecto.com.ar/incidents/view/798682-4" TargetMode="External"/><Relationship Id="rId3274" Type="http://schemas.openxmlformats.org/officeDocument/2006/relationships/hyperlink" Target="https://webagentes.canaldirecto.com.ar/incidents/view/807612-4" TargetMode="External"/><Relationship Id="rId195" Type="http://schemas.openxmlformats.org/officeDocument/2006/relationships/hyperlink" Target="https://webagentes.canaldirecto.com.ar/incidents/view/670842-3" TargetMode="External"/><Relationship Id="rId1919" Type="http://schemas.openxmlformats.org/officeDocument/2006/relationships/hyperlink" Target="https://webagentes.canaldirecto.com.ar/incidents/view/753304-8" TargetMode="External"/><Relationship Id="rId3481" Type="http://schemas.openxmlformats.org/officeDocument/2006/relationships/hyperlink" Target="https://webagentes.canaldirecto.com.ar/incidents/view/814514-1" TargetMode="External"/><Relationship Id="rId3579" Type="http://schemas.openxmlformats.org/officeDocument/2006/relationships/hyperlink" Target="https://webagentes.canaldirecto.com.ar/incidents/view/817869-9" TargetMode="External"/><Relationship Id="rId3786" Type="http://schemas.openxmlformats.org/officeDocument/2006/relationships/hyperlink" Target="https://webagentes.canaldirecto.com.ar/incidents/view/823121-7" TargetMode="External"/><Relationship Id="rId2083" Type="http://schemas.openxmlformats.org/officeDocument/2006/relationships/hyperlink" Target="https://webagentes.canaldirecto.com.ar/incidents/view/759936-3" TargetMode="External"/><Relationship Id="rId2290" Type="http://schemas.openxmlformats.org/officeDocument/2006/relationships/hyperlink" Target="https://webagentes.canaldirecto.com.ar/incidents/view/773926-2" TargetMode="External"/><Relationship Id="rId2388" Type="http://schemas.openxmlformats.org/officeDocument/2006/relationships/hyperlink" Target="https://webagentes.canaldirecto.com.ar/incidents/view/779821-0" TargetMode="External"/><Relationship Id="rId2595" Type="http://schemas.openxmlformats.org/officeDocument/2006/relationships/hyperlink" Target="https://webagentes.canaldirecto.com.ar/incidents/view/783084-4" TargetMode="External"/><Relationship Id="rId3134" Type="http://schemas.openxmlformats.org/officeDocument/2006/relationships/hyperlink" Target="https://webagentes.canaldirecto.com.ar/incidents/view/801539-0" TargetMode="External"/><Relationship Id="rId3341" Type="http://schemas.openxmlformats.org/officeDocument/2006/relationships/hyperlink" Target="https://webagentes.canaldirecto.com.ar/incidents/view/812434-2" TargetMode="External"/><Relationship Id="rId3439" Type="http://schemas.openxmlformats.org/officeDocument/2006/relationships/hyperlink" Target="https://webagentes.canaldirecto.com.ar/incidents/view/816384-6" TargetMode="External"/><Relationship Id="rId262" Type="http://schemas.openxmlformats.org/officeDocument/2006/relationships/hyperlink" Target="https://webagentes.canaldirecto.com.ar/incidents/view/675617-4" TargetMode="External"/><Relationship Id="rId567" Type="http://schemas.openxmlformats.org/officeDocument/2006/relationships/hyperlink" Target="https://webagentes.canaldirecto.com.ar/incidents/view/691079-0" TargetMode="External"/><Relationship Id="rId1197" Type="http://schemas.openxmlformats.org/officeDocument/2006/relationships/hyperlink" Target="https://webagentes.canaldirecto.com.ar/incidents/view/721740-5" TargetMode="External"/><Relationship Id="rId2150" Type="http://schemas.openxmlformats.org/officeDocument/2006/relationships/hyperlink" Target="https://webagentes.canaldirecto.com.ar/incidents/view/758031-0" TargetMode="External"/><Relationship Id="rId2248" Type="http://schemas.openxmlformats.org/officeDocument/2006/relationships/hyperlink" Target="https://webagentes.canaldirecto.com.ar/incidents/view/770298-5" TargetMode="External"/><Relationship Id="rId3201" Type="http://schemas.openxmlformats.org/officeDocument/2006/relationships/hyperlink" Target="https://webagentes.canaldirecto.com.ar/incidents/view/804968-9" TargetMode="External"/><Relationship Id="rId3646" Type="http://schemas.openxmlformats.org/officeDocument/2006/relationships/hyperlink" Target="https://webagentes.canaldirecto.com.ar/incidents/view/822485-5" TargetMode="External"/><Relationship Id="rId3853" Type="http://schemas.openxmlformats.org/officeDocument/2006/relationships/hyperlink" Target="https://webagentes.canaldirecto.com.ar/incidents/view/826318-2" TargetMode="External"/><Relationship Id="rId122" Type="http://schemas.openxmlformats.org/officeDocument/2006/relationships/hyperlink" Target="https://webagentes.canaldirecto.com.ar/incidents/view/669018-8" TargetMode="External"/><Relationship Id="rId774" Type="http://schemas.openxmlformats.org/officeDocument/2006/relationships/hyperlink" Target="https://webagentes.canaldirecto.com.ar/incidents/view/705551-3" TargetMode="External"/><Relationship Id="rId981" Type="http://schemas.openxmlformats.org/officeDocument/2006/relationships/hyperlink" Target="https://webagentes.canaldirecto.com.ar/incidents/view/711585-1" TargetMode="External"/><Relationship Id="rId1057" Type="http://schemas.openxmlformats.org/officeDocument/2006/relationships/hyperlink" Target="https://webagentes.canaldirecto.com.ar/incidents/view/716257-6" TargetMode="External"/><Relationship Id="rId2010" Type="http://schemas.openxmlformats.org/officeDocument/2006/relationships/hyperlink" Target="https://webagentes.canaldirecto.com.ar/incidents/view/759062-7" TargetMode="External"/><Relationship Id="rId2455" Type="http://schemas.openxmlformats.org/officeDocument/2006/relationships/hyperlink" Target="https://webagentes.canaldirecto.com.ar/incidents/view/778109-8" TargetMode="External"/><Relationship Id="rId2662" Type="http://schemas.openxmlformats.org/officeDocument/2006/relationships/hyperlink" Target="https://webagentes.canaldirecto.com.ar/incidents/view/785432-1" TargetMode="External"/><Relationship Id="rId3506" Type="http://schemas.openxmlformats.org/officeDocument/2006/relationships/hyperlink" Target="https://webagentes.canaldirecto.com.ar/incidents/view/811859-0" TargetMode="External"/><Relationship Id="rId3713" Type="http://schemas.openxmlformats.org/officeDocument/2006/relationships/hyperlink" Target="https://webagentes.canaldirecto.com.ar/incidents/view/819874-5" TargetMode="External"/><Relationship Id="rId3920" Type="http://schemas.openxmlformats.org/officeDocument/2006/relationships/hyperlink" Target="https://webagentes.canaldirecto.com.ar/incidents/view/829906-2" TargetMode="External"/><Relationship Id="rId427" Type="http://schemas.openxmlformats.org/officeDocument/2006/relationships/hyperlink" Target="https://webagentes.canaldirecto.com.ar/incidents/view/687069-6" TargetMode="External"/><Relationship Id="rId634" Type="http://schemas.openxmlformats.org/officeDocument/2006/relationships/hyperlink" Target="https://webagentes.canaldirecto.com.ar/incidents/view/691260-0" TargetMode="External"/><Relationship Id="rId841" Type="http://schemas.openxmlformats.org/officeDocument/2006/relationships/hyperlink" Target="https://webagentes.canaldirecto.com.ar/incidents/view/709017-2" TargetMode="External"/><Relationship Id="rId1264" Type="http://schemas.openxmlformats.org/officeDocument/2006/relationships/hyperlink" Target="https://webagentes.canaldirecto.com.ar/incidents/view/727961-8" TargetMode="External"/><Relationship Id="rId1471" Type="http://schemas.openxmlformats.org/officeDocument/2006/relationships/hyperlink" Target="https://webagentes.canaldirecto.com.ar/incidents/view/738544-1" TargetMode="External"/><Relationship Id="rId1569" Type="http://schemas.openxmlformats.org/officeDocument/2006/relationships/hyperlink" Target="https://webagentes.canaldirecto.com.ar/incidents/view/744276-4" TargetMode="External"/><Relationship Id="rId2108" Type="http://schemas.openxmlformats.org/officeDocument/2006/relationships/hyperlink" Target="https://webagentes.canaldirecto.com.ar/incidents/view/763187-2" TargetMode="External"/><Relationship Id="rId2315" Type="http://schemas.openxmlformats.org/officeDocument/2006/relationships/hyperlink" Target="https://webagentes.canaldirecto.com.ar/incidents/view/772306-7" TargetMode="External"/><Relationship Id="rId2522" Type="http://schemas.openxmlformats.org/officeDocument/2006/relationships/hyperlink" Target="https://webagentes.canaldirecto.com.ar/incidents/view/781808-2" TargetMode="External"/><Relationship Id="rId2967" Type="http://schemas.openxmlformats.org/officeDocument/2006/relationships/hyperlink" Target="https://webagentes.canaldirecto.com.ar/incidents/view/795584-2" TargetMode="External"/><Relationship Id="rId701" Type="http://schemas.openxmlformats.org/officeDocument/2006/relationships/hyperlink" Target="https://webagentes.canaldirecto.com.ar/incidents/view/697584-9" TargetMode="External"/><Relationship Id="rId939" Type="http://schemas.openxmlformats.org/officeDocument/2006/relationships/hyperlink" Target="https://webagentes.canaldirecto.com.ar/incidents/view/712041-9" TargetMode="External"/><Relationship Id="rId1124" Type="http://schemas.openxmlformats.org/officeDocument/2006/relationships/hyperlink" Target="https://webagentes.canaldirecto.com.ar/incidents/view/719886-3" TargetMode="External"/><Relationship Id="rId1331" Type="http://schemas.openxmlformats.org/officeDocument/2006/relationships/hyperlink" Target="https://webagentes.canaldirecto.com.ar/incidents/view/729873-8" TargetMode="External"/><Relationship Id="rId1776" Type="http://schemas.openxmlformats.org/officeDocument/2006/relationships/hyperlink" Target="https://webagentes.canaldirecto.com.ar/incidents/view/749187-6" TargetMode="External"/><Relationship Id="rId1983" Type="http://schemas.openxmlformats.org/officeDocument/2006/relationships/hyperlink" Target="https://webagentes.canaldirecto.com.ar/incidents/view/754896-1" TargetMode="External"/><Relationship Id="rId2827" Type="http://schemas.openxmlformats.org/officeDocument/2006/relationships/hyperlink" Target="https://webagentes.canaldirecto.com.ar/incidents/view/794233-4" TargetMode="External"/><Relationship Id="rId68" Type="http://schemas.openxmlformats.org/officeDocument/2006/relationships/hyperlink" Target="https://webagentes.canaldirecto.com.ar/incidents/view/665766-0" TargetMode="External"/><Relationship Id="rId1429" Type="http://schemas.openxmlformats.org/officeDocument/2006/relationships/hyperlink" Target="https://webagentes.canaldirecto.com.ar/incidents/view/735619-3" TargetMode="External"/><Relationship Id="rId1636" Type="http://schemas.openxmlformats.org/officeDocument/2006/relationships/hyperlink" Target="https://webagentes.canaldirecto.com.ar/incidents/view/742986-0" TargetMode="External"/><Relationship Id="rId1843" Type="http://schemas.openxmlformats.org/officeDocument/2006/relationships/hyperlink" Target="https://webagentes.canaldirecto.com.ar/incidents/view/751772-1" TargetMode="External"/><Relationship Id="rId3089" Type="http://schemas.openxmlformats.org/officeDocument/2006/relationships/hyperlink" Target="https://webagentes.canaldirecto.com.ar/incidents/view/794407-7" TargetMode="External"/><Relationship Id="rId3296" Type="http://schemas.openxmlformats.org/officeDocument/2006/relationships/hyperlink" Target="https://webagentes.canaldirecto.com.ar/incidents/view/804950-0" TargetMode="External"/><Relationship Id="rId1703" Type="http://schemas.openxmlformats.org/officeDocument/2006/relationships/hyperlink" Target="https://webagentes.canaldirecto.com.ar/incidents/view/746188-4" TargetMode="External"/><Relationship Id="rId1910" Type="http://schemas.openxmlformats.org/officeDocument/2006/relationships/hyperlink" Target="https://webagentes.canaldirecto.com.ar/incidents/view/749081-3" TargetMode="External"/><Relationship Id="rId3156" Type="http://schemas.openxmlformats.org/officeDocument/2006/relationships/hyperlink" Target="https://webagentes.canaldirecto.com.ar/incidents/view/800426-0" TargetMode="External"/><Relationship Id="rId3363" Type="http://schemas.openxmlformats.org/officeDocument/2006/relationships/hyperlink" Target="https://webagentes.canaldirecto.com.ar/incidents/view/811864-2" TargetMode="External"/><Relationship Id="rId284" Type="http://schemas.openxmlformats.org/officeDocument/2006/relationships/hyperlink" Target="https://webagentes.canaldirecto.com.ar/incidents/view/674857-3" TargetMode="External"/><Relationship Id="rId491" Type="http://schemas.openxmlformats.org/officeDocument/2006/relationships/hyperlink" Target="https://webagentes.canaldirecto.com.ar/incidents/view/689535-8" TargetMode="External"/><Relationship Id="rId2172" Type="http://schemas.openxmlformats.org/officeDocument/2006/relationships/hyperlink" Target="https://webagentes.canaldirecto.com.ar/incidents/view/764707-7" TargetMode="External"/><Relationship Id="rId3016" Type="http://schemas.openxmlformats.org/officeDocument/2006/relationships/hyperlink" Target="https://webagentes.canaldirecto.com.ar/incidents/view/799974-9" TargetMode="External"/><Relationship Id="rId3223" Type="http://schemas.openxmlformats.org/officeDocument/2006/relationships/hyperlink" Target="https://webagentes.canaldirecto.com.ar/incidents/view/802751-7" TargetMode="External"/><Relationship Id="rId3570" Type="http://schemas.openxmlformats.org/officeDocument/2006/relationships/hyperlink" Target="https://webagentes.canaldirecto.com.ar/incidents/view/817982-9" TargetMode="External"/><Relationship Id="rId3668" Type="http://schemas.openxmlformats.org/officeDocument/2006/relationships/hyperlink" Target="https://webagentes.canaldirecto.com.ar/incidents/view/821834-0" TargetMode="External"/><Relationship Id="rId3875" Type="http://schemas.openxmlformats.org/officeDocument/2006/relationships/hyperlink" Target="https://webagentes.canaldirecto.com.ar/incidents/view/825666-9" TargetMode="External"/><Relationship Id="rId144" Type="http://schemas.openxmlformats.org/officeDocument/2006/relationships/hyperlink" Target="https://webagentes.canaldirecto.com.ar/incidents/view/667719-6" TargetMode="External"/><Relationship Id="rId589" Type="http://schemas.openxmlformats.org/officeDocument/2006/relationships/hyperlink" Target="https://webagentes.canaldirecto.com.ar/incidents/view/690265-8" TargetMode="External"/><Relationship Id="rId796" Type="http://schemas.openxmlformats.org/officeDocument/2006/relationships/hyperlink" Target="https://webagentes.canaldirecto.com.ar/incidents/view/704291-7" TargetMode="External"/><Relationship Id="rId2477" Type="http://schemas.openxmlformats.org/officeDocument/2006/relationships/hyperlink" Target="https://webagentes.canaldirecto.com.ar/incidents/view/782749-7" TargetMode="External"/><Relationship Id="rId2684" Type="http://schemas.openxmlformats.org/officeDocument/2006/relationships/hyperlink" Target="https://webagentes.canaldirecto.com.ar/incidents/view/788353-6" TargetMode="External"/><Relationship Id="rId3430" Type="http://schemas.openxmlformats.org/officeDocument/2006/relationships/hyperlink" Target="https://webagentes.canaldirecto.com.ar/incidents/view/808390-2" TargetMode="External"/><Relationship Id="rId3528" Type="http://schemas.openxmlformats.org/officeDocument/2006/relationships/hyperlink" Target="https://webagentes.canaldirecto.com.ar/incidents/view/818958-9" TargetMode="External"/><Relationship Id="rId3735" Type="http://schemas.openxmlformats.org/officeDocument/2006/relationships/hyperlink" Target="https://webagentes.canaldirecto.com.ar/incidents/view/824857-2" TargetMode="External"/><Relationship Id="rId351" Type="http://schemas.openxmlformats.org/officeDocument/2006/relationships/hyperlink" Target="https://webagentes.canaldirecto.com.ar/incidents/view/678378-9" TargetMode="External"/><Relationship Id="rId449" Type="http://schemas.openxmlformats.org/officeDocument/2006/relationships/hyperlink" Target="https://webagentes.canaldirecto.com.ar/incidents/view/685194-7" TargetMode="External"/><Relationship Id="rId656" Type="http://schemas.openxmlformats.org/officeDocument/2006/relationships/hyperlink" Target="https://webagentes.canaldirecto.com.ar/incidents/view/695927-6" TargetMode="External"/><Relationship Id="rId863" Type="http://schemas.openxmlformats.org/officeDocument/2006/relationships/hyperlink" Target="https://webagentes.canaldirecto.com.ar/incidents/view/707066-4" TargetMode="External"/><Relationship Id="rId1079" Type="http://schemas.openxmlformats.org/officeDocument/2006/relationships/hyperlink" Target="https://webagentes.canaldirecto.com.ar/incidents/view/714547-2" TargetMode="External"/><Relationship Id="rId1286" Type="http://schemas.openxmlformats.org/officeDocument/2006/relationships/hyperlink" Target="https://webagentes.canaldirecto.com.ar/incidents/view/727122-7" TargetMode="External"/><Relationship Id="rId1493" Type="http://schemas.openxmlformats.org/officeDocument/2006/relationships/hyperlink" Target="https://webagentes.canaldirecto.com.ar/incidents/view/737055-5" TargetMode="External"/><Relationship Id="rId2032" Type="http://schemas.openxmlformats.org/officeDocument/2006/relationships/hyperlink" Target="https://webagentes.canaldirecto.com.ar/incidents/view/761374-2" TargetMode="External"/><Relationship Id="rId2337" Type="http://schemas.openxmlformats.org/officeDocument/2006/relationships/hyperlink" Target="https://webagentes.canaldirecto.com.ar/incidents/view/776655-8" TargetMode="External"/><Relationship Id="rId2544" Type="http://schemas.openxmlformats.org/officeDocument/2006/relationships/hyperlink" Target="https://webagentes.canaldirecto.com.ar/incidents/view/780405-2" TargetMode="External"/><Relationship Id="rId2891" Type="http://schemas.openxmlformats.org/officeDocument/2006/relationships/hyperlink" Target="https://webagentes.canaldirecto.com.ar/incidents/view/791897-5" TargetMode="External"/><Relationship Id="rId2989" Type="http://schemas.openxmlformats.org/officeDocument/2006/relationships/hyperlink" Target="https://webagentes.canaldirecto.com.ar/incidents/view/794867-5" TargetMode="External"/><Relationship Id="rId3942" Type="http://schemas.openxmlformats.org/officeDocument/2006/relationships/hyperlink" Target="https://webagentes.canaldirecto.com.ar/incidents/view/829502-0" TargetMode="External"/><Relationship Id="rId211" Type="http://schemas.openxmlformats.org/officeDocument/2006/relationships/hyperlink" Target="https://webagentes.canaldirecto.com.ar/incidents/view/670023-6" TargetMode="External"/><Relationship Id="rId309" Type="http://schemas.openxmlformats.org/officeDocument/2006/relationships/hyperlink" Target="https://webagentes.canaldirecto.com.ar/incidents/view/674128-8" TargetMode="External"/><Relationship Id="rId516" Type="http://schemas.openxmlformats.org/officeDocument/2006/relationships/hyperlink" Target="https://webagentes.canaldirecto.com.ar/incidents/view/688648-4" TargetMode="External"/><Relationship Id="rId1146" Type="http://schemas.openxmlformats.org/officeDocument/2006/relationships/hyperlink" Target="https://webagentes.canaldirecto.com.ar/incidents/view/718514-2" TargetMode="External"/><Relationship Id="rId1798" Type="http://schemas.openxmlformats.org/officeDocument/2006/relationships/hyperlink" Target="https://webagentes.canaldirecto.com.ar/incidents/view/748562-6" TargetMode="External"/><Relationship Id="rId2751" Type="http://schemas.openxmlformats.org/officeDocument/2006/relationships/hyperlink" Target="https://webagentes.canaldirecto.com.ar/incidents/view/790161-0" TargetMode="External"/><Relationship Id="rId2849" Type="http://schemas.openxmlformats.org/officeDocument/2006/relationships/hyperlink" Target="https://webagentes.canaldirecto.com.ar/incidents/view/793416-8" TargetMode="External"/><Relationship Id="rId3802" Type="http://schemas.openxmlformats.org/officeDocument/2006/relationships/hyperlink" Target="https://webagentes.canaldirecto.com.ar/incidents/view/818518-5" TargetMode="External"/><Relationship Id="rId723" Type="http://schemas.openxmlformats.org/officeDocument/2006/relationships/hyperlink" Target="https://webagentes.canaldirecto.com.ar/incidents/view/702678-8" TargetMode="External"/><Relationship Id="rId930" Type="http://schemas.openxmlformats.org/officeDocument/2006/relationships/hyperlink" Target="https://webagentes.canaldirecto.com.ar/incidents/view/712187-0" TargetMode="External"/><Relationship Id="rId1006" Type="http://schemas.openxmlformats.org/officeDocument/2006/relationships/hyperlink" Target="https://webagentes.canaldirecto.com.ar/incidents/view/717053-9" TargetMode="External"/><Relationship Id="rId1353" Type="http://schemas.openxmlformats.org/officeDocument/2006/relationships/hyperlink" Target="https://webagentes.canaldirecto.com.ar/incidents/view/733235-1" TargetMode="External"/><Relationship Id="rId1560" Type="http://schemas.openxmlformats.org/officeDocument/2006/relationships/hyperlink" Target="https://webagentes.canaldirecto.com.ar/incidents/view/744291-3" TargetMode="External"/><Relationship Id="rId1658" Type="http://schemas.openxmlformats.org/officeDocument/2006/relationships/hyperlink" Target="https://webagentes.canaldirecto.com.ar/incidents/view/739447-6" TargetMode="External"/><Relationship Id="rId1865" Type="http://schemas.openxmlformats.org/officeDocument/2006/relationships/hyperlink" Target="https://webagentes.canaldirecto.com.ar/incidents/view/751215-1" TargetMode="External"/><Relationship Id="rId2404" Type="http://schemas.openxmlformats.org/officeDocument/2006/relationships/hyperlink" Target="https://webagentes.canaldirecto.com.ar/incidents/view/779692-0" TargetMode="External"/><Relationship Id="rId2611" Type="http://schemas.openxmlformats.org/officeDocument/2006/relationships/hyperlink" Target="https://webagentes.canaldirecto.com.ar/incidents/view/780342-4" TargetMode="External"/><Relationship Id="rId2709" Type="http://schemas.openxmlformats.org/officeDocument/2006/relationships/hyperlink" Target="https://webagentes.canaldirecto.com.ar/incidents/view/788188-4" TargetMode="External"/><Relationship Id="rId1213" Type="http://schemas.openxmlformats.org/officeDocument/2006/relationships/hyperlink" Target="https://webagentes.canaldirecto.com.ar/incidents/view/725953-5" TargetMode="External"/><Relationship Id="rId1420" Type="http://schemas.openxmlformats.org/officeDocument/2006/relationships/hyperlink" Target="https://webagentes.canaldirecto.com.ar/incidents/view/736244-0" TargetMode="External"/><Relationship Id="rId1518" Type="http://schemas.openxmlformats.org/officeDocument/2006/relationships/hyperlink" Target="https://webagentes.canaldirecto.com.ar/incidents/view/741193-1" TargetMode="External"/><Relationship Id="rId2916" Type="http://schemas.openxmlformats.org/officeDocument/2006/relationships/hyperlink" Target="https://webagentes.canaldirecto.com.ar/incidents/view/797411-1" TargetMode="External"/><Relationship Id="rId3080" Type="http://schemas.openxmlformats.org/officeDocument/2006/relationships/hyperlink" Target="https://webagentes.canaldirecto.com.ar/incidents/view/798043-1" TargetMode="External"/><Relationship Id="rId1725" Type="http://schemas.openxmlformats.org/officeDocument/2006/relationships/hyperlink" Target="https://webagentes.canaldirecto.com.ar/incidents/view/745741-0" TargetMode="External"/><Relationship Id="rId1932" Type="http://schemas.openxmlformats.org/officeDocument/2006/relationships/hyperlink" Target="https://webagentes.canaldirecto.com.ar/incidents/view/752886-0" TargetMode="External"/><Relationship Id="rId3178" Type="http://schemas.openxmlformats.org/officeDocument/2006/relationships/hyperlink" Target="https://webagentes.canaldirecto.com.ar/incidents/view/806219-4" TargetMode="External"/><Relationship Id="rId3385" Type="http://schemas.openxmlformats.org/officeDocument/2006/relationships/hyperlink" Target="https://webagentes.canaldirecto.com.ar/incidents/view/811254-1" TargetMode="External"/><Relationship Id="rId3592" Type="http://schemas.openxmlformats.org/officeDocument/2006/relationships/hyperlink" Target="https://webagentes.canaldirecto.com.ar/incidents/view/817721-0" TargetMode="External"/><Relationship Id="rId17" Type="http://schemas.openxmlformats.org/officeDocument/2006/relationships/hyperlink" Target="https://webagentes.canaldirecto.com.ar/incidents/view/662707-6" TargetMode="External"/><Relationship Id="rId2194" Type="http://schemas.openxmlformats.org/officeDocument/2006/relationships/hyperlink" Target="https://webagentes.canaldirecto.com.ar/incidents/view/767780-1" TargetMode="External"/><Relationship Id="rId3038" Type="http://schemas.openxmlformats.org/officeDocument/2006/relationships/hyperlink" Target="https://webagentes.canaldirecto.com.ar/incidents/view/799751-0" TargetMode="External"/><Relationship Id="rId3245" Type="http://schemas.openxmlformats.org/officeDocument/2006/relationships/hyperlink" Target="https://webagentes.canaldirecto.com.ar/incidents/view/809378-7" TargetMode="External"/><Relationship Id="rId3452" Type="http://schemas.openxmlformats.org/officeDocument/2006/relationships/hyperlink" Target="https://webagentes.canaldirecto.com.ar/incidents/view/815892-3" TargetMode="External"/><Relationship Id="rId3897" Type="http://schemas.openxmlformats.org/officeDocument/2006/relationships/hyperlink" Target="https://webagentes.canaldirecto.com.ar/incidents/view/830754-7" TargetMode="External"/><Relationship Id="rId166" Type="http://schemas.openxmlformats.org/officeDocument/2006/relationships/hyperlink" Target="https://webagentes.canaldirecto.com.ar/incidents/view/672644-7" TargetMode="External"/><Relationship Id="rId373" Type="http://schemas.openxmlformats.org/officeDocument/2006/relationships/hyperlink" Target="https://webagentes.canaldirecto.com.ar/incidents/view/678082-5" TargetMode="External"/><Relationship Id="rId580" Type="http://schemas.openxmlformats.org/officeDocument/2006/relationships/hyperlink" Target="https://webagentes.canaldirecto.com.ar/incidents/view/690400-9" TargetMode="External"/><Relationship Id="rId2054" Type="http://schemas.openxmlformats.org/officeDocument/2006/relationships/hyperlink" Target="https://webagentes.canaldirecto.com.ar/incidents/view/760800-5" TargetMode="External"/><Relationship Id="rId2261" Type="http://schemas.openxmlformats.org/officeDocument/2006/relationships/hyperlink" Target="https://webagentes.canaldirecto.com.ar/incidents/view/769657-8" TargetMode="External"/><Relationship Id="rId2499" Type="http://schemas.openxmlformats.org/officeDocument/2006/relationships/hyperlink" Target="https://webagentes.canaldirecto.com.ar/incidents/view/782259-9" TargetMode="External"/><Relationship Id="rId3105" Type="http://schemas.openxmlformats.org/officeDocument/2006/relationships/hyperlink" Target="https://webagentes.canaldirecto.com.ar/incidents/view/802611-0" TargetMode="External"/><Relationship Id="rId3312" Type="http://schemas.openxmlformats.org/officeDocument/2006/relationships/hyperlink" Target="https://webagentes.canaldirecto.com.ar/incidents/view/813003-3" TargetMode="External"/><Relationship Id="rId3757" Type="http://schemas.openxmlformats.org/officeDocument/2006/relationships/hyperlink" Target="https://webagentes.canaldirecto.com.ar/incidents/view/824154-2" TargetMode="External"/><Relationship Id="rId3964" Type="http://schemas.openxmlformats.org/officeDocument/2006/relationships/hyperlink" Target="https://webagentes.canaldirecto.com.ar/incidents/view/828912-6" TargetMode="External"/><Relationship Id="rId1" Type="http://schemas.openxmlformats.org/officeDocument/2006/relationships/hyperlink" Target="https://webagentes.canaldirecto.com.ar/incidents/view/663989-5" TargetMode="External"/><Relationship Id="rId233" Type="http://schemas.openxmlformats.org/officeDocument/2006/relationships/hyperlink" Target="https://webagentes.canaldirecto.com.ar/incidents/view/676923-9" TargetMode="External"/><Relationship Id="rId440" Type="http://schemas.openxmlformats.org/officeDocument/2006/relationships/hyperlink" Target="https://webagentes.canaldirecto.com.ar/incidents/view/686013-0" TargetMode="External"/><Relationship Id="rId678" Type="http://schemas.openxmlformats.org/officeDocument/2006/relationships/hyperlink" Target="https://webagentes.canaldirecto.com.ar/incidents/view/699658-7" TargetMode="External"/><Relationship Id="rId885" Type="http://schemas.openxmlformats.org/officeDocument/2006/relationships/hyperlink" Target="https://webagentes.canaldirecto.com.ar/incidents/view/713267-2" TargetMode="External"/><Relationship Id="rId1070" Type="http://schemas.openxmlformats.org/officeDocument/2006/relationships/hyperlink" Target="https://webagentes.canaldirecto.com.ar/incidents/view/715942-0" TargetMode="External"/><Relationship Id="rId2121" Type="http://schemas.openxmlformats.org/officeDocument/2006/relationships/hyperlink" Target="https://webagentes.canaldirecto.com.ar/incidents/view/762390-7" TargetMode="External"/><Relationship Id="rId2359" Type="http://schemas.openxmlformats.org/officeDocument/2006/relationships/hyperlink" Target="https://webagentes.canaldirecto.com.ar/incidents/view/775266-1" TargetMode="External"/><Relationship Id="rId2566" Type="http://schemas.openxmlformats.org/officeDocument/2006/relationships/hyperlink" Target="https://webagentes.canaldirecto.com.ar/incidents/view/784822-3" TargetMode="External"/><Relationship Id="rId2773" Type="http://schemas.openxmlformats.org/officeDocument/2006/relationships/hyperlink" Target="https://webagentes.canaldirecto.com.ar/incidents/view/788928-4" TargetMode="External"/><Relationship Id="rId2980" Type="http://schemas.openxmlformats.org/officeDocument/2006/relationships/hyperlink" Target="https://webagentes.canaldirecto.com.ar/incidents/view/795568-4" TargetMode="External"/><Relationship Id="rId3617" Type="http://schemas.openxmlformats.org/officeDocument/2006/relationships/hyperlink" Target="https://webagentes.canaldirecto.com.ar/incidents/view/816848-9" TargetMode="External"/><Relationship Id="rId3824" Type="http://schemas.openxmlformats.org/officeDocument/2006/relationships/hyperlink" Target="https://webagentes.canaldirecto.com.ar/incidents/view/827475-3" TargetMode="External"/><Relationship Id="rId300" Type="http://schemas.openxmlformats.org/officeDocument/2006/relationships/hyperlink" Target="https://webagentes.canaldirecto.com.ar/incidents/view/674427-6" TargetMode="External"/><Relationship Id="rId538" Type="http://schemas.openxmlformats.org/officeDocument/2006/relationships/hyperlink" Target="https://webagentes.canaldirecto.com.ar/incidents/view/687654-8" TargetMode="External"/><Relationship Id="rId745" Type="http://schemas.openxmlformats.org/officeDocument/2006/relationships/hyperlink" Target="https://webagentes.canaldirecto.com.ar/incidents/view/701180-1" TargetMode="External"/><Relationship Id="rId952" Type="http://schemas.openxmlformats.org/officeDocument/2006/relationships/hyperlink" Target="https://webagentes.canaldirecto.com.ar/incidents/view/711973-2" TargetMode="External"/><Relationship Id="rId1168" Type="http://schemas.openxmlformats.org/officeDocument/2006/relationships/hyperlink" Target="https://webagentes.canaldirecto.com.ar/incidents/view/722938-5" TargetMode="External"/><Relationship Id="rId1375" Type="http://schemas.openxmlformats.org/officeDocument/2006/relationships/hyperlink" Target="https://webagentes.canaldirecto.com.ar/incidents/view/732792-4" TargetMode="External"/><Relationship Id="rId1582" Type="http://schemas.openxmlformats.org/officeDocument/2006/relationships/hyperlink" Target="https://webagentes.canaldirecto.com.ar/incidents/view/744236-6" TargetMode="External"/><Relationship Id="rId2219" Type="http://schemas.openxmlformats.org/officeDocument/2006/relationships/hyperlink" Target="https://webagentes.canaldirecto.com.ar/incidents/view/766541-7" TargetMode="External"/><Relationship Id="rId2426" Type="http://schemas.openxmlformats.org/officeDocument/2006/relationships/hyperlink" Target="https://webagentes.canaldirecto.com.ar/incidents/view/779266-9" TargetMode="External"/><Relationship Id="rId2633" Type="http://schemas.openxmlformats.org/officeDocument/2006/relationships/hyperlink" Target="https://webagentes.canaldirecto.com.ar/incidents/view/786621-0" TargetMode="External"/><Relationship Id="rId81" Type="http://schemas.openxmlformats.org/officeDocument/2006/relationships/hyperlink" Target="https://webagentes.canaldirecto.com.ar/incidents/view/665013-5" TargetMode="External"/><Relationship Id="rId605" Type="http://schemas.openxmlformats.org/officeDocument/2006/relationships/hyperlink" Target="https://webagentes.canaldirecto.com.ar/incidents/view/694899-7" TargetMode="External"/><Relationship Id="rId812" Type="http://schemas.openxmlformats.org/officeDocument/2006/relationships/hyperlink" Target="https://webagentes.canaldirecto.com.ar/incidents/view/711241-0" TargetMode="External"/><Relationship Id="rId1028" Type="http://schemas.openxmlformats.org/officeDocument/2006/relationships/hyperlink" Target="https://webagentes.canaldirecto.com.ar/incidents/view/716608-6" TargetMode="External"/><Relationship Id="rId1235" Type="http://schemas.openxmlformats.org/officeDocument/2006/relationships/hyperlink" Target="https://webagentes.canaldirecto.com.ar/incidents/view/723367-0" TargetMode="External"/><Relationship Id="rId1442" Type="http://schemas.openxmlformats.org/officeDocument/2006/relationships/hyperlink" Target="https://webagentes.canaldirecto.com.ar/incidents/view/734965-2" TargetMode="External"/><Relationship Id="rId1887" Type="http://schemas.openxmlformats.org/officeDocument/2006/relationships/hyperlink" Target="https://webagentes.canaldirecto.com.ar/incidents/view/749617-2" TargetMode="External"/><Relationship Id="rId2840" Type="http://schemas.openxmlformats.org/officeDocument/2006/relationships/hyperlink" Target="https://webagentes.canaldirecto.com.ar/incidents/view/793825-2" TargetMode="External"/><Relationship Id="rId2938" Type="http://schemas.openxmlformats.org/officeDocument/2006/relationships/hyperlink" Target="https://webagentes.canaldirecto.com.ar/incidents/view/796059-8" TargetMode="External"/><Relationship Id="rId1302" Type="http://schemas.openxmlformats.org/officeDocument/2006/relationships/hyperlink" Target="https://webagentes.canaldirecto.com.ar/incidents/view/730662-0" TargetMode="External"/><Relationship Id="rId1747" Type="http://schemas.openxmlformats.org/officeDocument/2006/relationships/hyperlink" Target="https://webagentes.canaldirecto.com.ar/incidents/view/744853-7" TargetMode="External"/><Relationship Id="rId1954" Type="http://schemas.openxmlformats.org/officeDocument/2006/relationships/hyperlink" Target="https://webagentes.canaldirecto.com.ar/incidents/view/756261-5" TargetMode="External"/><Relationship Id="rId2700" Type="http://schemas.openxmlformats.org/officeDocument/2006/relationships/hyperlink" Target="https://webagentes.canaldirecto.com.ar/incidents/view/788336-9" TargetMode="External"/><Relationship Id="rId39" Type="http://schemas.openxmlformats.org/officeDocument/2006/relationships/hyperlink" Target="https://webagentes.canaldirecto.com.ar/incidents/view/662355-7" TargetMode="External"/><Relationship Id="rId1607" Type="http://schemas.openxmlformats.org/officeDocument/2006/relationships/hyperlink" Target="https://webagentes.canaldirecto.com.ar/incidents/view/743720-3" TargetMode="External"/><Relationship Id="rId1814" Type="http://schemas.openxmlformats.org/officeDocument/2006/relationships/hyperlink" Target="https://webagentes.canaldirecto.com.ar/incidents/view/748367-3" TargetMode="External"/><Relationship Id="rId3267" Type="http://schemas.openxmlformats.org/officeDocument/2006/relationships/hyperlink" Target="https://webagentes.canaldirecto.com.ar/incidents/view/808196-8" TargetMode="External"/><Relationship Id="rId188" Type="http://schemas.openxmlformats.org/officeDocument/2006/relationships/hyperlink" Target="https://webagentes.canaldirecto.com.ar/incidents/view/670925-5" TargetMode="External"/><Relationship Id="rId395" Type="http://schemas.openxmlformats.org/officeDocument/2006/relationships/hyperlink" Target="https://webagentes.canaldirecto.com.ar/incidents/view/669757-0" TargetMode="External"/><Relationship Id="rId2076" Type="http://schemas.openxmlformats.org/officeDocument/2006/relationships/hyperlink" Target="https://webagentes.canaldirecto.com.ar/incidents/view/760043-8" TargetMode="External"/><Relationship Id="rId3474" Type="http://schemas.openxmlformats.org/officeDocument/2006/relationships/hyperlink" Target="https://webagentes.canaldirecto.com.ar/incidents/view/814545-1" TargetMode="External"/><Relationship Id="rId3681" Type="http://schemas.openxmlformats.org/officeDocument/2006/relationships/hyperlink" Target="https://webagentes.canaldirecto.com.ar/incidents/view/821207-2" TargetMode="External"/><Relationship Id="rId3779" Type="http://schemas.openxmlformats.org/officeDocument/2006/relationships/hyperlink" Target="https://webagentes.canaldirecto.com.ar/incidents/view/823552-3" TargetMode="External"/><Relationship Id="rId2283" Type="http://schemas.openxmlformats.org/officeDocument/2006/relationships/hyperlink" Target="https://webagentes.canaldirecto.com.ar/incidents/view/774414-9" TargetMode="External"/><Relationship Id="rId2490" Type="http://schemas.openxmlformats.org/officeDocument/2006/relationships/hyperlink" Target="https://webagentes.canaldirecto.com.ar/incidents/view/782734-5" TargetMode="External"/><Relationship Id="rId2588" Type="http://schemas.openxmlformats.org/officeDocument/2006/relationships/hyperlink" Target="https://webagentes.canaldirecto.com.ar/incidents/view/783093-2" TargetMode="External"/><Relationship Id="rId3127" Type="http://schemas.openxmlformats.org/officeDocument/2006/relationships/hyperlink" Target="https://webagentes.canaldirecto.com.ar/incidents/view/802173-5" TargetMode="External"/><Relationship Id="rId3334" Type="http://schemas.openxmlformats.org/officeDocument/2006/relationships/hyperlink" Target="https://webagentes.canaldirecto.com.ar/incidents/view/812688-1" TargetMode="External"/><Relationship Id="rId3541" Type="http://schemas.openxmlformats.org/officeDocument/2006/relationships/hyperlink" Target="https://webagentes.canaldirecto.com.ar/incidents/view/818653-7" TargetMode="External"/><Relationship Id="rId255" Type="http://schemas.openxmlformats.org/officeDocument/2006/relationships/hyperlink" Target="https://webagentes.canaldirecto.com.ar/incidents/view/675714-6" TargetMode="External"/><Relationship Id="rId462" Type="http://schemas.openxmlformats.org/officeDocument/2006/relationships/hyperlink" Target="https://webagentes.canaldirecto.com.ar/incidents/view/684411-4" TargetMode="External"/><Relationship Id="rId1092" Type="http://schemas.openxmlformats.org/officeDocument/2006/relationships/hyperlink" Target="https://webagentes.canaldirecto.com.ar/incidents/view/720774-5" TargetMode="External"/><Relationship Id="rId1397" Type="http://schemas.openxmlformats.org/officeDocument/2006/relationships/hyperlink" Target="https://webagentes.canaldirecto.com.ar/incidents/view/731499-3" TargetMode="External"/><Relationship Id="rId2143" Type="http://schemas.openxmlformats.org/officeDocument/2006/relationships/hyperlink" Target="https://webagentes.canaldirecto.com.ar/incidents/view/761100-9" TargetMode="External"/><Relationship Id="rId2350" Type="http://schemas.openxmlformats.org/officeDocument/2006/relationships/hyperlink" Target="https://webagentes.canaldirecto.com.ar/incidents/view/775976-1" TargetMode="External"/><Relationship Id="rId2795" Type="http://schemas.openxmlformats.org/officeDocument/2006/relationships/hyperlink" Target="https://webagentes.canaldirecto.com.ar/incidents/view/789440-8" TargetMode="External"/><Relationship Id="rId3401" Type="http://schemas.openxmlformats.org/officeDocument/2006/relationships/hyperlink" Target="https://webagentes.canaldirecto.com.ar/incidents/view/810850-2" TargetMode="External"/><Relationship Id="rId3639" Type="http://schemas.openxmlformats.org/officeDocument/2006/relationships/hyperlink" Target="https://webagentes.canaldirecto.com.ar/incidents/view/794411-0" TargetMode="External"/><Relationship Id="rId3846" Type="http://schemas.openxmlformats.org/officeDocument/2006/relationships/hyperlink" Target="https://webagentes.canaldirecto.com.ar/incidents/view/826339-5" TargetMode="External"/><Relationship Id="rId115" Type="http://schemas.openxmlformats.org/officeDocument/2006/relationships/hyperlink" Target="https://webagentes.canaldirecto.com.ar/incidents/view/669271-5" TargetMode="External"/><Relationship Id="rId322" Type="http://schemas.openxmlformats.org/officeDocument/2006/relationships/hyperlink" Target="https://webagentes.canaldirecto.com.ar/incidents/view/673125-4" TargetMode="External"/><Relationship Id="rId767" Type="http://schemas.openxmlformats.org/officeDocument/2006/relationships/hyperlink" Target="https://webagentes.canaldirecto.com.ar/incidents/view/705883-9" TargetMode="External"/><Relationship Id="rId974" Type="http://schemas.openxmlformats.org/officeDocument/2006/relationships/hyperlink" Target="https://webagentes.canaldirecto.com.ar/incidents/view/711619-7" TargetMode="External"/><Relationship Id="rId2003" Type="http://schemas.openxmlformats.org/officeDocument/2006/relationships/hyperlink" Target="https://webagentes.canaldirecto.com.ar/incidents/view/759069-0" TargetMode="External"/><Relationship Id="rId2210" Type="http://schemas.openxmlformats.org/officeDocument/2006/relationships/hyperlink" Target="https://webagentes.canaldirecto.com.ar/incidents/view/767102-9" TargetMode="External"/><Relationship Id="rId2448" Type="http://schemas.openxmlformats.org/officeDocument/2006/relationships/hyperlink" Target="https://webagentes.canaldirecto.com.ar/incidents/view/778697-8" TargetMode="External"/><Relationship Id="rId2655" Type="http://schemas.openxmlformats.org/officeDocument/2006/relationships/hyperlink" Target="https://webagentes.canaldirecto.com.ar/incidents/view/785619-8" TargetMode="External"/><Relationship Id="rId2862" Type="http://schemas.openxmlformats.org/officeDocument/2006/relationships/hyperlink" Target="https://webagentes.canaldirecto.com.ar/incidents/view/792642-4" TargetMode="External"/><Relationship Id="rId3706" Type="http://schemas.openxmlformats.org/officeDocument/2006/relationships/hyperlink" Target="https://webagentes.canaldirecto.com.ar/incidents/view/820139-5" TargetMode="External"/><Relationship Id="rId3913" Type="http://schemas.openxmlformats.org/officeDocument/2006/relationships/hyperlink" Target="https://webagentes.canaldirecto.com.ar/incidents/view/830016-4" TargetMode="External"/><Relationship Id="rId627" Type="http://schemas.openxmlformats.org/officeDocument/2006/relationships/hyperlink" Target="https://webagentes.canaldirecto.com.ar/incidents/view/692924-8" TargetMode="External"/><Relationship Id="rId834" Type="http://schemas.openxmlformats.org/officeDocument/2006/relationships/hyperlink" Target="https://webagentes.canaldirecto.com.ar/incidents/view/709267-5" TargetMode="External"/><Relationship Id="rId1257" Type="http://schemas.openxmlformats.org/officeDocument/2006/relationships/hyperlink" Target="https://webagentes.canaldirecto.com.ar/incidents/view/728286-1" TargetMode="External"/><Relationship Id="rId1464" Type="http://schemas.openxmlformats.org/officeDocument/2006/relationships/hyperlink" Target="https://webagentes.canaldirecto.com.ar/incidents/view/733308-6" TargetMode="External"/><Relationship Id="rId1671" Type="http://schemas.openxmlformats.org/officeDocument/2006/relationships/hyperlink" Target="https://webagentes.canaldirecto.com.ar/incidents/view/746761-1" TargetMode="External"/><Relationship Id="rId2308" Type="http://schemas.openxmlformats.org/officeDocument/2006/relationships/hyperlink" Target="https://webagentes.canaldirecto.com.ar/incidents/view/772764-7" TargetMode="External"/><Relationship Id="rId2515" Type="http://schemas.openxmlformats.org/officeDocument/2006/relationships/hyperlink" Target="https://webagentes.canaldirecto.com.ar/incidents/view/782119-2" TargetMode="External"/><Relationship Id="rId2722" Type="http://schemas.openxmlformats.org/officeDocument/2006/relationships/hyperlink" Target="https://webagentes.canaldirecto.com.ar/incidents/view/786609-8" TargetMode="External"/><Relationship Id="rId901" Type="http://schemas.openxmlformats.org/officeDocument/2006/relationships/hyperlink" Target="https://webagentes.canaldirecto.com.ar/incidents/view/712501-6" TargetMode="External"/><Relationship Id="rId1117" Type="http://schemas.openxmlformats.org/officeDocument/2006/relationships/hyperlink" Target="https://webagentes.canaldirecto.com.ar/incidents/view/720021-0" TargetMode="External"/><Relationship Id="rId1324" Type="http://schemas.openxmlformats.org/officeDocument/2006/relationships/hyperlink" Target="https://webagentes.canaldirecto.com.ar/incidents/view/730251-8" TargetMode="External"/><Relationship Id="rId1531" Type="http://schemas.openxmlformats.org/officeDocument/2006/relationships/hyperlink" Target="https://webagentes.canaldirecto.com.ar/incidents/view/740770-7" TargetMode="External"/><Relationship Id="rId1769" Type="http://schemas.openxmlformats.org/officeDocument/2006/relationships/hyperlink" Target="https://webagentes.canaldirecto.com.ar/incidents/view/749199-1" TargetMode="External"/><Relationship Id="rId1976" Type="http://schemas.openxmlformats.org/officeDocument/2006/relationships/hyperlink" Target="https://webagentes.canaldirecto.com.ar/incidents/view/755178-9" TargetMode="External"/><Relationship Id="rId3191" Type="http://schemas.openxmlformats.org/officeDocument/2006/relationships/hyperlink" Target="https://webagentes.canaldirecto.com.ar/incidents/view/805325-7" TargetMode="External"/><Relationship Id="rId30" Type="http://schemas.openxmlformats.org/officeDocument/2006/relationships/hyperlink" Target="https://webagentes.canaldirecto.com.ar/incidents/view/662423-7" TargetMode="External"/><Relationship Id="rId1629" Type="http://schemas.openxmlformats.org/officeDocument/2006/relationships/hyperlink" Target="https://webagentes.canaldirecto.com.ar/incidents/view/743350-8" TargetMode="External"/><Relationship Id="rId1836" Type="http://schemas.openxmlformats.org/officeDocument/2006/relationships/hyperlink" Target="https://webagentes.canaldirecto.com.ar/incidents/view/746680-7" TargetMode="External"/><Relationship Id="rId3289" Type="http://schemas.openxmlformats.org/officeDocument/2006/relationships/hyperlink" Target="https://webagentes.canaldirecto.com.ar/incidents/view/807021-8" TargetMode="External"/><Relationship Id="rId3496" Type="http://schemas.openxmlformats.org/officeDocument/2006/relationships/hyperlink" Target="https://webagentes.canaldirecto.com.ar/incidents/view/813867-3" TargetMode="External"/><Relationship Id="rId1903" Type="http://schemas.openxmlformats.org/officeDocument/2006/relationships/hyperlink" Target="https://webagentes.canaldirecto.com.ar/incidents/view/749088-6" TargetMode="External"/><Relationship Id="rId2098" Type="http://schemas.openxmlformats.org/officeDocument/2006/relationships/hyperlink" Target="https://webagentes.canaldirecto.com.ar/incidents/view/763973-1" TargetMode="External"/><Relationship Id="rId3051" Type="http://schemas.openxmlformats.org/officeDocument/2006/relationships/hyperlink" Target="https://webagentes.canaldirecto.com.ar/incidents/view/799259-7" TargetMode="External"/><Relationship Id="rId3149" Type="http://schemas.openxmlformats.org/officeDocument/2006/relationships/hyperlink" Target="https://webagentes.canaldirecto.com.ar/incidents/view/801016-4" TargetMode="External"/><Relationship Id="rId3356" Type="http://schemas.openxmlformats.org/officeDocument/2006/relationships/hyperlink" Target="https://webagentes.canaldirecto.com.ar/incidents/view/812143-3" TargetMode="External"/><Relationship Id="rId3563" Type="http://schemas.openxmlformats.org/officeDocument/2006/relationships/hyperlink" Target="https://webagentes.canaldirecto.com.ar/incidents/view/818431-7" TargetMode="External"/><Relationship Id="rId277" Type="http://schemas.openxmlformats.org/officeDocument/2006/relationships/hyperlink" Target="https://webagentes.canaldirecto.com.ar/incidents/view/674965-1" TargetMode="External"/><Relationship Id="rId484" Type="http://schemas.openxmlformats.org/officeDocument/2006/relationships/hyperlink" Target="https://webagentes.canaldirecto.com.ar/incidents/view/690258-8" TargetMode="External"/><Relationship Id="rId2165" Type="http://schemas.openxmlformats.org/officeDocument/2006/relationships/hyperlink" Target="https://webagentes.canaldirecto.com.ar/incidents/view/765479-4" TargetMode="External"/><Relationship Id="rId3009" Type="http://schemas.openxmlformats.org/officeDocument/2006/relationships/hyperlink" Target="https://webagentes.canaldirecto.com.ar/incidents/view/799985-5" TargetMode="External"/><Relationship Id="rId3216" Type="http://schemas.openxmlformats.org/officeDocument/2006/relationships/hyperlink" Target="https://webagentes.canaldirecto.com.ar/incidents/view/804132-2" TargetMode="External"/><Relationship Id="rId3770" Type="http://schemas.openxmlformats.org/officeDocument/2006/relationships/hyperlink" Target="https://webagentes.canaldirecto.com.ar/incidents/view/824127-8" TargetMode="External"/><Relationship Id="rId3868" Type="http://schemas.openxmlformats.org/officeDocument/2006/relationships/hyperlink" Target="https://webagentes.canaldirecto.com.ar/incidents/view/825949-9" TargetMode="External"/><Relationship Id="rId137" Type="http://schemas.openxmlformats.org/officeDocument/2006/relationships/hyperlink" Target="https://webagentes.canaldirecto.com.ar/incidents/view/668242-6" TargetMode="External"/><Relationship Id="rId344" Type="http://schemas.openxmlformats.org/officeDocument/2006/relationships/hyperlink" Target="https://webagentes.canaldirecto.com.ar/incidents/view/679148-7" TargetMode="External"/><Relationship Id="rId691" Type="http://schemas.openxmlformats.org/officeDocument/2006/relationships/hyperlink" Target="https://webagentes.canaldirecto.com.ar/incidents/view/698425-4" TargetMode="External"/><Relationship Id="rId789" Type="http://schemas.openxmlformats.org/officeDocument/2006/relationships/hyperlink" Target="https://webagentes.canaldirecto.com.ar/incidents/view/704664-9" TargetMode="External"/><Relationship Id="rId996" Type="http://schemas.openxmlformats.org/officeDocument/2006/relationships/hyperlink" Target="https://webagentes.canaldirecto.com.ar/incidents/view/717163-5" TargetMode="External"/><Relationship Id="rId2025" Type="http://schemas.openxmlformats.org/officeDocument/2006/relationships/hyperlink" Target="https://webagentes.canaldirecto.com.ar/incidents/view/757135-8" TargetMode="External"/><Relationship Id="rId2372" Type="http://schemas.openxmlformats.org/officeDocument/2006/relationships/hyperlink" Target="https://webagentes.canaldirecto.com.ar/incidents/view/780439-9" TargetMode="External"/><Relationship Id="rId2677" Type="http://schemas.openxmlformats.org/officeDocument/2006/relationships/hyperlink" Target="https://webagentes.canaldirecto.com.ar/incidents/view/788540-0" TargetMode="External"/><Relationship Id="rId2884" Type="http://schemas.openxmlformats.org/officeDocument/2006/relationships/hyperlink" Target="https://webagentes.canaldirecto.com.ar/incidents/view/792444-4" TargetMode="External"/><Relationship Id="rId3423" Type="http://schemas.openxmlformats.org/officeDocument/2006/relationships/hyperlink" Target="https://webagentes.canaldirecto.com.ar/incidents/view/809795-0" TargetMode="External"/><Relationship Id="rId3630" Type="http://schemas.openxmlformats.org/officeDocument/2006/relationships/hyperlink" Target="https://webagentes.canaldirecto.com.ar/incidents/view/816255-5" TargetMode="External"/><Relationship Id="rId3728" Type="http://schemas.openxmlformats.org/officeDocument/2006/relationships/hyperlink" Target="https://webagentes.canaldirecto.com.ar/incidents/view/815819-0" TargetMode="External"/><Relationship Id="rId551" Type="http://schemas.openxmlformats.org/officeDocument/2006/relationships/hyperlink" Target="https://webagentes.canaldirecto.com.ar/incidents/view/660276-7" TargetMode="External"/><Relationship Id="rId649" Type="http://schemas.openxmlformats.org/officeDocument/2006/relationships/hyperlink" Target="https://webagentes.canaldirecto.com.ar/incidents/view/696988-4" TargetMode="External"/><Relationship Id="rId856" Type="http://schemas.openxmlformats.org/officeDocument/2006/relationships/hyperlink" Target="https://webagentes.canaldirecto.com.ar/incidents/view/708174-9" TargetMode="External"/><Relationship Id="rId1181" Type="http://schemas.openxmlformats.org/officeDocument/2006/relationships/hyperlink" Target="https://webagentes.canaldirecto.com.ar/incidents/view/721921-8" TargetMode="External"/><Relationship Id="rId1279" Type="http://schemas.openxmlformats.org/officeDocument/2006/relationships/hyperlink" Target="https://webagentes.canaldirecto.com.ar/incidents/view/727167-0" TargetMode="External"/><Relationship Id="rId1486" Type="http://schemas.openxmlformats.org/officeDocument/2006/relationships/hyperlink" Target="https://webagentes.canaldirecto.com.ar/incidents/view/737479-1" TargetMode="External"/><Relationship Id="rId2232" Type="http://schemas.openxmlformats.org/officeDocument/2006/relationships/hyperlink" Target="https://webagentes.canaldirecto.com.ar/incidents/view/770917-3" TargetMode="External"/><Relationship Id="rId2537" Type="http://schemas.openxmlformats.org/officeDocument/2006/relationships/hyperlink" Target="https://webagentes.canaldirecto.com.ar/incidents/view/781120-1" TargetMode="External"/><Relationship Id="rId3935" Type="http://schemas.openxmlformats.org/officeDocument/2006/relationships/hyperlink" Target="https://webagentes.canaldirecto.com.ar/incidents/view/829663-0" TargetMode="External"/><Relationship Id="rId204" Type="http://schemas.openxmlformats.org/officeDocument/2006/relationships/hyperlink" Target="https://webagentes.canaldirecto.com.ar/incidents/view/670272-0" TargetMode="External"/><Relationship Id="rId411" Type="http://schemas.openxmlformats.org/officeDocument/2006/relationships/hyperlink" Target="https://webagentes.canaldirecto.com.ar/incidents/view/682198-2" TargetMode="External"/><Relationship Id="rId509" Type="http://schemas.openxmlformats.org/officeDocument/2006/relationships/hyperlink" Target="https://webagentes.canaldirecto.com.ar/incidents/view/689370-3" TargetMode="External"/><Relationship Id="rId1041" Type="http://schemas.openxmlformats.org/officeDocument/2006/relationships/hyperlink" Target="https://webagentes.canaldirecto.com.ar/incidents/view/716431-6" TargetMode="External"/><Relationship Id="rId1139" Type="http://schemas.openxmlformats.org/officeDocument/2006/relationships/hyperlink" Target="https://webagentes.canaldirecto.com.ar/incidents/view/718831-6" TargetMode="External"/><Relationship Id="rId1346" Type="http://schemas.openxmlformats.org/officeDocument/2006/relationships/hyperlink" Target="https://webagentes.canaldirecto.com.ar/incidents/view/728314-3" TargetMode="External"/><Relationship Id="rId1693" Type="http://schemas.openxmlformats.org/officeDocument/2006/relationships/hyperlink" Target="https://webagentes.canaldirecto.com.ar/incidents/view/746257-3" TargetMode="External"/><Relationship Id="rId1998" Type="http://schemas.openxmlformats.org/officeDocument/2006/relationships/hyperlink" Target="https://webagentes.canaldirecto.com.ar/incidents/view/749612-7" TargetMode="External"/><Relationship Id="rId2744" Type="http://schemas.openxmlformats.org/officeDocument/2006/relationships/hyperlink" Target="https://webagentes.canaldirecto.com.ar/incidents/view/791300-4" TargetMode="External"/><Relationship Id="rId2951" Type="http://schemas.openxmlformats.org/officeDocument/2006/relationships/hyperlink" Target="https://webagentes.canaldirecto.com.ar/incidents/view/795875-1" TargetMode="External"/><Relationship Id="rId716" Type="http://schemas.openxmlformats.org/officeDocument/2006/relationships/hyperlink" Target="https://webagentes.canaldirecto.com.ar/incidents/view/703253-0" TargetMode="External"/><Relationship Id="rId923" Type="http://schemas.openxmlformats.org/officeDocument/2006/relationships/hyperlink" Target="https://webagentes.canaldirecto.com.ar/incidents/view/712194-0" TargetMode="External"/><Relationship Id="rId1553" Type="http://schemas.openxmlformats.org/officeDocument/2006/relationships/hyperlink" Target="https://webagentes.canaldirecto.com.ar/incidents/view/739018-8" TargetMode="External"/><Relationship Id="rId1760" Type="http://schemas.openxmlformats.org/officeDocument/2006/relationships/hyperlink" Target="https://webagentes.canaldirecto.com.ar/incidents/view/739545-7" TargetMode="External"/><Relationship Id="rId1858" Type="http://schemas.openxmlformats.org/officeDocument/2006/relationships/hyperlink" Target="https://webagentes.canaldirecto.com.ar/incidents/view/751365-5" TargetMode="External"/><Relationship Id="rId2604" Type="http://schemas.openxmlformats.org/officeDocument/2006/relationships/hyperlink" Target="https://webagentes.canaldirecto.com.ar/incidents/view/782865-4" TargetMode="External"/><Relationship Id="rId2811" Type="http://schemas.openxmlformats.org/officeDocument/2006/relationships/hyperlink" Target="https://webagentes.canaldirecto.com.ar/incidents/view/794394-4" TargetMode="External"/><Relationship Id="rId52" Type="http://schemas.openxmlformats.org/officeDocument/2006/relationships/hyperlink" Target="https://webagentes.canaldirecto.com.ar/incidents/view/661082-7" TargetMode="External"/><Relationship Id="rId1206" Type="http://schemas.openxmlformats.org/officeDocument/2006/relationships/hyperlink" Target="https://webagentes.canaldirecto.com.ar/incidents/view/720516-3" TargetMode="External"/><Relationship Id="rId1413" Type="http://schemas.openxmlformats.org/officeDocument/2006/relationships/hyperlink" Target="https://webagentes.canaldirecto.com.ar/incidents/view/736255-6" TargetMode="External"/><Relationship Id="rId1620" Type="http://schemas.openxmlformats.org/officeDocument/2006/relationships/hyperlink" Target="https://webagentes.canaldirecto.com.ar/incidents/view/743488-0" TargetMode="External"/><Relationship Id="rId2909" Type="http://schemas.openxmlformats.org/officeDocument/2006/relationships/hyperlink" Target="https://webagentes.canaldirecto.com.ar/incidents/view/797420-9" TargetMode="External"/><Relationship Id="rId3073" Type="http://schemas.openxmlformats.org/officeDocument/2006/relationships/hyperlink" Target="https://webagentes.canaldirecto.com.ar/incidents/view/798300-3" TargetMode="External"/><Relationship Id="rId3280" Type="http://schemas.openxmlformats.org/officeDocument/2006/relationships/hyperlink" Target="https://webagentes.canaldirecto.com.ar/incidents/view/807390-5" TargetMode="External"/><Relationship Id="rId1718" Type="http://schemas.openxmlformats.org/officeDocument/2006/relationships/hyperlink" Target="https://webagentes.canaldirecto.com.ar/incidents/view/745754-4" TargetMode="External"/><Relationship Id="rId1925" Type="http://schemas.openxmlformats.org/officeDocument/2006/relationships/hyperlink" Target="https://webagentes.canaldirecto.com.ar/incidents/view/752954-0" TargetMode="External"/><Relationship Id="rId3140" Type="http://schemas.openxmlformats.org/officeDocument/2006/relationships/hyperlink" Target="https://webagentes.canaldirecto.com.ar/incidents/view/801374-5" TargetMode="External"/><Relationship Id="rId3378" Type="http://schemas.openxmlformats.org/officeDocument/2006/relationships/hyperlink" Target="https://webagentes.canaldirecto.com.ar/incidents/view/811396-6" TargetMode="External"/><Relationship Id="rId3585" Type="http://schemas.openxmlformats.org/officeDocument/2006/relationships/hyperlink" Target="https://webagentes.canaldirecto.com.ar/incidents/view/817729-2" TargetMode="External"/><Relationship Id="rId3792" Type="http://schemas.openxmlformats.org/officeDocument/2006/relationships/hyperlink" Target="https://webagentes.canaldirecto.com.ar/incidents/view/823115-6" TargetMode="External"/><Relationship Id="rId299" Type="http://schemas.openxmlformats.org/officeDocument/2006/relationships/hyperlink" Target="https://webagentes.canaldirecto.com.ar/incidents/view/674428-5" TargetMode="External"/><Relationship Id="rId2187" Type="http://schemas.openxmlformats.org/officeDocument/2006/relationships/hyperlink" Target="https://webagentes.canaldirecto.com.ar/incidents/view/768574-9" TargetMode="External"/><Relationship Id="rId2394" Type="http://schemas.openxmlformats.org/officeDocument/2006/relationships/hyperlink" Target="https://webagentes.canaldirecto.com.ar/incidents/view/779747-9" TargetMode="External"/><Relationship Id="rId3238" Type="http://schemas.openxmlformats.org/officeDocument/2006/relationships/hyperlink" Target="https://webagentes.canaldirecto.com.ar/incidents/view/809385-7" TargetMode="External"/><Relationship Id="rId3445" Type="http://schemas.openxmlformats.org/officeDocument/2006/relationships/hyperlink" Target="https://webagentes.canaldirecto.com.ar/incidents/view/816258-2" TargetMode="External"/><Relationship Id="rId3652" Type="http://schemas.openxmlformats.org/officeDocument/2006/relationships/hyperlink" Target="https://webagentes.canaldirecto.com.ar/incidents/view/822078-9" TargetMode="External"/><Relationship Id="rId159" Type="http://schemas.openxmlformats.org/officeDocument/2006/relationships/hyperlink" Target="https://webagentes.canaldirecto.com.ar/incidents/view/673202-2" TargetMode="External"/><Relationship Id="rId366" Type="http://schemas.openxmlformats.org/officeDocument/2006/relationships/hyperlink" Target="https://webagentes.canaldirecto.com.ar/incidents/view/678114-3" TargetMode="External"/><Relationship Id="rId573" Type="http://schemas.openxmlformats.org/officeDocument/2006/relationships/hyperlink" Target="https://webagentes.canaldirecto.com.ar/incidents/view/690634-4" TargetMode="External"/><Relationship Id="rId780" Type="http://schemas.openxmlformats.org/officeDocument/2006/relationships/hyperlink" Target="https://webagentes.canaldirecto.com.ar/incidents/view/705428-6" TargetMode="External"/><Relationship Id="rId2047" Type="http://schemas.openxmlformats.org/officeDocument/2006/relationships/hyperlink" Target="https://webagentes.canaldirecto.com.ar/incidents/view/760807-8" TargetMode="External"/><Relationship Id="rId2254" Type="http://schemas.openxmlformats.org/officeDocument/2006/relationships/hyperlink" Target="https://webagentes.canaldirecto.com.ar/incidents/view/770067-7" TargetMode="External"/><Relationship Id="rId2461" Type="http://schemas.openxmlformats.org/officeDocument/2006/relationships/hyperlink" Target="https://webagentes.canaldirecto.com.ar/incidents/view/777806-7" TargetMode="External"/><Relationship Id="rId2699" Type="http://schemas.openxmlformats.org/officeDocument/2006/relationships/hyperlink" Target="https://webagentes.canaldirecto.com.ar/incidents/view/788337-8" TargetMode="External"/><Relationship Id="rId3000" Type="http://schemas.openxmlformats.org/officeDocument/2006/relationships/hyperlink" Target="https://webagentes.canaldirecto.com.ar/incidents/view/800304-9" TargetMode="External"/><Relationship Id="rId3305" Type="http://schemas.openxmlformats.org/officeDocument/2006/relationships/hyperlink" Target="https://webagentes.canaldirecto.com.ar/incidents/view/813619-8" TargetMode="External"/><Relationship Id="rId3512" Type="http://schemas.openxmlformats.org/officeDocument/2006/relationships/hyperlink" Target="https://webagentes.canaldirecto.com.ar/incidents/view/819752-4" TargetMode="External"/><Relationship Id="rId3957" Type="http://schemas.openxmlformats.org/officeDocument/2006/relationships/hyperlink" Target="https://webagentes.canaldirecto.com.ar/incidents/view/828953-3" TargetMode="External"/><Relationship Id="rId226" Type="http://schemas.openxmlformats.org/officeDocument/2006/relationships/hyperlink" Target="https://webagentes.canaldirecto.com.ar/incidents/view/677729-2" TargetMode="External"/><Relationship Id="rId433" Type="http://schemas.openxmlformats.org/officeDocument/2006/relationships/hyperlink" Target="https://webagentes.canaldirecto.com.ar/incidents/view/686294-3" TargetMode="External"/><Relationship Id="rId878" Type="http://schemas.openxmlformats.org/officeDocument/2006/relationships/hyperlink" Target="https://webagentes.canaldirecto.com.ar/incidents/view/693396-8" TargetMode="External"/><Relationship Id="rId1063" Type="http://schemas.openxmlformats.org/officeDocument/2006/relationships/hyperlink" Target="https://webagentes.canaldirecto.com.ar/incidents/view/716250-3" TargetMode="External"/><Relationship Id="rId1270" Type="http://schemas.openxmlformats.org/officeDocument/2006/relationships/hyperlink" Target="https://webagentes.canaldirecto.com.ar/incidents/view/727571-9" TargetMode="External"/><Relationship Id="rId2114" Type="http://schemas.openxmlformats.org/officeDocument/2006/relationships/hyperlink" Target="https://webagentes.canaldirecto.com.ar/incidents/view/762707-3" TargetMode="External"/><Relationship Id="rId2559" Type="http://schemas.openxmlformats.org/officeDocument/2006/relationships/hyperlink" Target="https://webagentes.canaldirecto.com.ar/incidents/view/785252-7" TargetMode="External"/><Relationship Id="rId2766" Type="http://schemas.openxmlformats.org/officeDocument/2006/relationships/hyperlink" Target="https://webagentes.canaldirecto.com.ar/incidents/view/789853-8" TargetMode="External"/><Relationship Id="rId2973" Type="http://schemas.openxmlformats.org/officeDocument/2006/relationships/hyperlink" Target="https://webagentes.canaldirecto.com.ar/incidents/view/795577-2" TargetMode="External"/><Relationship Id="rId3817" Type="http://schemas.openxmlformats.org/officeDocument/2006/relationships/hyperlink" Target="https://webagentes.canaldirecto.com.ar/incidents/view/827749-5" TargetMode="External"/><Relationship Id="rId640" Type="http://schemas.openxmlformats.org/officeDocument/2006/relationships/hyperlink" Target="https://webagentes.canaldirecto.com.ar/incidents/view/691254-9" TargetMode="External"/><Relationship Id="rId738" Type="http://schemas.openxmlformats.org/officeDocument/2006/relationships/hyperlink" Target="https://webagentes.canaldirecto.com.ar/incidents/view/701779-9" TargetMode="External"/><Relationship Id="rId945" Type="http://schemas.openxmlformats.org/officeDocument/2006/relationships/hyperlink" Target="https://webagentes.canaldirecto.com.ar/incidents/view/712035-8" TargetMode="External"/><Relationship Id="rId1368" Type="http://schemas.openxmlformats.org/officeDocument/2006/relationships/hyperlink" Target="https://webagentes.canaldirecto.com.ar/incidents/view/732799-7" TargetMode="External"/><Relationship Id="rId1575" Type="http://schemas.openxmlformats.org/officeDocument/2006/relationships/hyperlink" Target="https://webagentes.canaldirecto.com.ar/incidents/view/744270-0" TargetMode="External"/><Relationship Id="rId1782" Type="http://schemas.openxmlformats.org/officeDocument/2006/relationships/hyperlink" Target="https://webagentes.canaldirecto.com.ar/incidents/view/748868-7" TargetMode="External"/><Relationship Id="rId2321" Type="http://schemas.openxmlformats.org/officeDocument/2006/relationships/hyperlink" Target="https://webagentes.canaldirecto.com.ar/incidents/view/772057-4" TargetMode="External"/><Relationship Id="rId2419" Type="http://schemas.openxmlformats.org/officeDocument/2006/relationships/hyperlink" Target="https://webagentes.canaldirecto.com.ar/incidents/view/779275-7" TargetMode="External"/><Relationship Id="rId2626" Type="http://schemas.openxmlformats.org/officeDocument/2006/relationships/hyperlink" Target="https://webagentes.canaldirecto.com.ar/incidents/view/787011-6" TargetMode="External"/><Relationship Id="rId2833" Type="http://schemas.openxmlformats.org/officeDocument/2006/relationships/hyperlink" Target="https://webagentes.canaldirecto.com.ar/incidents/view/794223-7" TargetMode="External"/><Relationship Id="rId74" Type="http://schemas.openxmlformats.org/officeDocument/2006/relationships/hyperlink" Target="https://webagentes.canaldirecto.com.ar/incidents/view/665326-6" TargetMode="External"/><Relationship Id="rId500" Type="http://schemas.openxmlformats.org/officeDocument/2006/relationships/hyperlink" Target="https://webagentes.canaldirecto.com.ar/incidents/view/689379-4" TargetMode="External"/><Relationship Id="rId805" Type="http://schemas.openxmlformats.org/officeDocument/2006/relationships/hyperlink" Target="https://webagentes.canaldirecto.com.ar/incidents/view/701771-7" TargetMode="External"/><Relationship Id="rId1130" Type="http://schemas.openxmlformats.org/officeDocument/2006/relationships/hyperlink" Target="https://webagentes.canaldirecto.com.ar/incidents/view/719338-1" TargetMode="External"/><Relationship Id="rId1228" Type="http://schemas.openxmlformats.org/officeDocument/2006/relationships/hyperlink" Target="https://webagentes.canaldirecto.com.ar/incidents/view/723955-9" TargetMode="External"/><Relationship Id="rId1435" Type="http://schemas.openxmlformats.org/officeDocument/2006/relationships/hyperlink" Target="https://webagentes.canaldirecto.com.ar/incidents/view/735612-0" TargetMode="External"/><Relationship Id="rId1642" Type="http://schemas.openxmlformats.org/officeDocument/2006/relationships/hyperlink" Target="https://webagentes.canaldirecto.com.ar/incidents/view/742854-2" TargetMode="External"/><Relationship Id="rId1947" Type="http://schemas.openxmlformats.org/officeDocument/2006/relationships/hyperlink" Target="https://webagentes.canaldirecto.com.ar/incidents/view/757087-2" TargetMode="External"/><Relationship Id="rId2900" Type="http://schemas.openxmlformats.org/officeDocument/2006/relationships/hyperlink" Target="https://webagentes.canaldirecto.com.ar/incidents/view/781278-7" TargetMode="External"/><Relationship Id="rId3095" Type="http://schemas.openxmlformats.org/officeDocument/2006/relationships/hyperlink" Target="https://webagentes.canaldirecto.com.ar/incidents/view/803284-7" TargetMode="External"/><Relationship Id="rId1502" Type="http://schemas.openxmlformats.org/officeDocument/2006/relationships/hyperlink" Target="https://webagentes.canaldirecto.com.ar/incidents/view/736643-7" TargetMode="External"/><Relationship Id="rId1807" Type="http://schemas.openxmlformats.org/officeDocument/2006/relationships/hyperlink" Target="https://webagentes.canaldirecto.com.ar/incidents/view/748505-1" TargetMode="External"/><Relationship Id="rId3162" Type="http://schemas.openxmlformats.org/officeDocument/2006/relationships/hyperlink" Target="https://webagentes.canaldirecto.com.ar/incidents/view/797415-7" TargetMode="External"/><Relationship Id="rId290" Type="http://schemas.openxmlformats.org/officeDocument/2006/relationships/hyperlink" Target="https://webagentes.canaldirecto.com.ar/incidents/view/674662-7" TargetMode="External"/><Relationship Id="rId388" Type="http://schemas.openxmlformats.org/officeDocument/2006/relationships/hyperlink" Target="https://webagentes.canaldirecto.com.ar/incidents/view/677404-6" TargetMode="External"/><Relationship Id="rId2069" Type="http://schemas.openxmlformats.org/officeDocument/2006/relationships/hyperlink" Target="https://webagentes.canaldirecto.com.ar/incidents/view/760205-6" TargetMode="External"/><Relationship Id="rId3022" Type="http://schemas.openxmlformats.org/officeDocument/2006/relationships/hyperlink" Target="https://webagentes.canaldirecto.com.ar/incidents/view/799850-0" TargetMode="External"/><Relationship Id="rId3467" Type="http://schemas.openxmlformats.org/officeDocument/2006/relationships/hyperlink" Target="https://webagentes.canaldirecto.com.ar/incidents/view/815353-9" TargetMode="External"/><Relationship Id="rId3674" Type="http://schemas.openxmlformats.org/officeDocument/2006/relationships/hyperlink" Target="https://webagentes.canaldirecto.com.ar/incidents/view/821804-9" TargetMode="External"/><Relationship Id="rId3881" Type="http://schemas.openxmlformats.org/officeDocument/2006/relationships/hyperlink" Target="https://webagentes.canaldirecto.com.ar/incidents/view/824126-9" TargetMode="External"/><Relationship Id="rId150" Type="http://schemas.openxmlformats.org/officeDocument/2006/relationships/hyperlink" Target="https://webagentes.canaldirecto.com.ar/incidents/view/666600-2" TargetMode="External"/><Relationship Id="rId595" Type="http://schemas.openxmlformats.org/officeDocument/2006/relationships/hyperlink" Target="https://webagentes.canaldirecto.com.ar/incidents/view/695169-0" TargetMode="External"/><Relationship Id="rId2276" Type="http://schemas.openxmlformats.org/officeDocument/2006/relationships/hyperlink" Target="https://webagentes.canaldirecto.com.ar/incidents/view/767187-0" TargetMode="External"/><Relationship Id="rId2483" Type="http://schemas.openxmlformats.org/officeDocument/2006/relationships/hyperlink" Target="https://webagentes.canaldirecto.com.ar/incidents/view/782742-4" TargetMode="External"/><Relationship Id="rId2690" Type="http://schemas.openxmlformats.org/officeDocument/2006/relationships/hyperlink" Target="https://webagentes.canaldirecto.com.ar/incidents/view/788346-6" TargetMode="External"/><Relationship Id="rId3327" Type="http://schemas.openxmlformats.org/officeDocument/2006/relationships/hyperlink" Target="https://webagentes.canaldirecto.com.ar/incidents/view/812851-5" TargetMode="External"/><Relationship Id="rId3534" Type="http://schemas.openxmlformats.org/officeDocument/2006/relationships/hyperlink" Target="https://webagentes.canaldirecto.com.ar/incidents/view/818688-3" TargetMode="External"/><Relationship Id="rId3741" Type="http://schemas.openxmlformats.org/officeDocument/2006/relationships/hyperlink" Target="https://webagentes.canaldirecto.com.ar/incidents/view/824729-0" TargetMode="External"/><Relationship Id="rId248" Type="http://schemas.openxmlformats.org/officeDocument/2006/relationships/hyperlink" Target="https://webagentes.canaldirecto.com.ar/incidents/view/676201-4" TargetMode="External"/><Relationship Id="rId455" Type="http://schemas.openxmlformats.org/officeDocument/2006/relationships/hyperlink" Target="https://webagentes.canaldirecto.com.ar/incidents/view/684764-3" TargetMode="External"/><Relationship Id="rId662" Type="http://schemas.openxmlformats.org/officeDocument/2006/relationships/hyperlink" Target="https://webagentes.canaldirecto.com.ar/incidents/view/693801-5" TargetMode="External"/><Relationship Id="rId1085" Type="http://schemas.openxmlformats.org/officeDocument/2006/relationships/hyperlink" Target="https://webagentes.canaldirecto.com.ar/incidents/view/713530-5" TargetMode="External"/><Relationship Id="rId1292" Type="http://schemas.openxmlformats.org/officeDocument/2006/relationships/hyperlink" Target="https://webagentes.canaldirecto.com.ar/incidents/view/726671-1" TargetMode="External"/><Relationship Id="rId2136" Type="http://schemas.openxmlformats.org/officeDocument/2006/relationships/hyperlink" Target="https://webagentes.canaldirecto.com.ar/incidents/view/761580-1" TargetMode="External"/><Relationship Id="rId2343" Type="http://schemas.openxmlformats.org/officeDocument/2006/relationships/hyperlink" Target="https://webagentes.canaldirecto.com.ar/incidents/view/776114-6" TargetMode="External"/><Relationship Id="rId2550" Type="http://schemas.openxmlformats.org/officeDocument/2006/relationships/hyperlink" Target="https://webagentes.canaldirecto.com.ar/incidents/view/780297-5" TargetMode="External"/><Relationship Id="rId2788" Type="http://schemas.openxmlformats.org/officeDocument/2006/relationships/hyperlink" Target="https://webagentes.canaldirecto.com.ar/incidents/view/789998-0" TargetMode="External"/><Relationship Id="rId2995" Type="http://schemas.openxmlformats.org/officeDocument/2006/relationships/hyperlink" Target="https://webagentes.canaldirecto.com.ar/incidents/view/794593-3" TargetMode="External"/><Relationship Id="rId3601" Type="http://schemas.openxmlformats.org/officeDocument/2006/relationships/hyperlink" Target="https://webagentes.canaldirecto.com.ar/incidents/view/817542-5" TargetMode="External"/><Relationship Id="rId3839" Type="http://schemas.openxmlformats.org/officeDocument/2006/relationships/hyperlink" Target="https://webagentes.canaldirecto.com.ar/incidents/view/826861-9" TargetMode="External"/><Relationship Id="rId108" Type="http://schemas.openxmlformats.org/officeDocument/2006/relationships/hyperlink" Target="https://webagentes.canaldirecto.com.ar/incidents/view/669382-0" TargetMode="External"/><Relationship Id="rId315" Type="http://schemas.openxmlformats.org/officeDocument/2006/relationships/hyperlink" Target="https://webagentes.canaldirecto.com.ar/incidents/view/673929-2" TargetMode="External"/><Relationship Id="rId522" Type="http://schemas.openxmlformats.org/officeDocument/2006/relationships/hyperlink" Target="https://webagentes.canaldirecto.com.ar/incidents/view/688190-2" TargetMode="External"/><Relationship Id="rId967" Type="http://schemas.openxmlformats.org/officeDocument/2006/relationships/hyperlink" Target="https://webagentes.canaldirecto.com.ar/incidents/view/711677-1" TargetMode="External"/><Relationship Id="rId1152" Type="http://schemas.openxmlformats.org/officeDocument/2006/relationships/hyperlink" Target="https://webagentes.canaldirecto.com.ar/incidents/view/718019-2" TargetMode="External"/><Relationship Id="rId1597" Type="http://schemas.openxmlformats.org/officeDocument/2006/relationships/hyperlink" Target="https://webagentes.canaldirecto.com.ar/incidents/view/744000-3" TargetMode="External"/><Relationship Id="rId2203" Type="http://schemas.openxmlformats.org/officeDocument/2006/relationships/hyperlink" Target="https://webagentes.canaldirecto.com.ar/incidents/view/767448-8" TargetMode="External"/><Relationship Id="rId2410" Type="http://schemas.openxmlformats.org/officeDocument/2006/relationships/hyperlink" Target="https://webagentes.canaldirecto.com.ar/incidents/view/779287-2" TargetMode="External"/><Relationship Id="rId2648" Type="http://schemas.openxmlformats.org/officeDocument/2006/relationships/hyperlink" Target="https://webagentes.canaldirecto.com.ar/incidents/view/785986-7" TargetMode="External"/><Relationship Id="rId2855" Type="http://schemas.openxmlformats.org/officeDocument/2006/relationships/hyperlink" Target="https://webagentes.canaldirecto.com.ar/incidents/view/792931-5" TargetMode="External"/><Relationship Id="rId3906" Type="http://schemas.openxmlformats.org/officeDocument/2006/relationships/hyperlink" Target="https://webagentes.canaldirecto.com.ar/incidents/view/830428-5" TargetMode="External"/><Relationship Id="rId96" Type="http://schemas.openxmlformats.org/officeDocument/2006/relationships/hyperlink" Target="https://webagentes.canaldirecto.com.ar/incidents/view/669760-4" TargetMode="External"/><Relationship Id="rId827" Type="http://schemas.openxmlformats.org/officeDocument/2006/relationships/hyperlink" Target="https://webagentes.canaldirecto.com.ar/incidents/view/709787-4" TargetMode="External"/><Relationship Id="rId1012" Type="http://schemas.openxmlformats.org/officeDocument/2006/relationships/hyperlink" Target="https://webagentes.canaldirecto.com.ar/incidents/view/716996-8" TargetMode="External"/><Relationship Id="rId1457" Type="http://schemas.openxmlformats.org/officeDocument/2006/relationships/hyperlink" Target="https://webagentes.canaldirecto.com.ar/incidents/view/734039-6" TargetMode="External"/><Relationship Id="rId1664" Type="http://schemas.openxmlformats.org/officeDocument/2006/relationships/hyperlink" Target="https://webagentes.canaldirecto.com.ar/incidents/view/746809-0" TargetMode="External"/><Relationship Id="rId1871" Type="http://schemas.openxmlformats.org/officeDocument/2006/relationships/hyperlink" Target="https://webagentes.canaldirecto.com.ar/incidents/view/750913-9" TargetMode="External"/><Relationship Id="rId2508" Type="http://schemas.openxmlformats.org/officeDocument/2006/relationships/hyperlink" Target="https://webagentes.canaldirecto.com.ar/incidents/view/782229-8" TargetMode="External"/><Relationship Id="rId2715" Type="http://schemas.openxmlformats.org/officeDocument/2006/relationships/hyperlink" Target="https://webagentes.canaldirecto.com.ar/incidents/view/787998-6" TargetMode="External"/><Relationship Id="rId2922" Type="http://schemas.openxmlformats.org/officeDocument/2006/relationships/hyperlink" Target="https://webagentes.canaldirecto.com.ar/incidents/view/797107-1" TargetMode="External"/><Relationship Id="rId1317" Type="http://schemas.openxmlformats.org/officeDocument/2006/relationships/hyperlink" Target="https://webagentes.canaldirecto.com.ar/incidents/view/730645-3" TargetMode="External"/><Relationship Id="rId1524" Type="http://schemas.openxmlformats.org/officeDocument/2006/relationships/hyperlink" Target="https://webagentes.canaldirecto.com.ar/incidents/view/741186-1" TargetMode="External"/><Relationship Id="rId1731" Type="http://schemas.openxmlformats.org/officeDocument/2006/relationships/hyperlink" Target="https://webagentes.canaldirecto.com.ar/incidents/view/745701-2" TargetMode="External"/><Relationship Id="rId1969" Type="http://schemas.openxmlformats.org/officeDocument/2006/relationships/hyperlink" Target="https://webagentes.canaldirecto.com.ar/incidents/view/755186-8" TargetMode="External"/><Relationship Id="rId3184" Type="http://schemas.openxmlformats.org/officeDocument/2006/relationships/hyperlink" Target="https://webagentes.canaldirecto.com.ar/incidents/view/805675-9" TargetMode="External"/><Relationship Id="rId23" Type="http://schemas.openxmlformats.org/officeDocument/2006/relationships/hyperlink" Target="https://webagentes.canaldirecto.com.ar/incidents/view/662594-4" TargetMode="External"/><Relationship Id="rId1829" Type="http://schemas.openxmlformats.org/officeDocument/2006/relationships/hyperlink" Target="https://webagentes.canaldirecto.com.ar/incidents/view/747729-2" TargetMode="External"/><Relationship Id="rId3391" Type="http://schemas.openxmlformats.org/officeDocument/2006/relationships/hyperlink" Target="https://webagentes.canaldirecto.com.ar/incidents/view/810993-6" TargetMode="External"/><Relationship Id="rId3489" Type="http://schemas.openxmlformats.org/officeDocument/2006/relationships/hyperlink" Target="https://webagentes.canaldirecto.com.ar/incidents/view/814386-0" TargetMode="External"/><Relationship Id="rId3696" Type="http://schemas.openxmlformats.org/officeDocument/2006/relationships/hyperlink" Target="https://webagentes.canaldirecto.com.ar/incidents/view/820729-2" TargetMode="External"/><Relationship Id="rId2298" Type="http://schemas.openxmlformats.org/officeDocument/2006/relationships/hyperlink" Target="https://webagentes.canaldirecto.com.ar/incidents/view/773264-9" TargetMode="External"/><Relationship Id="rId3044" Type="http://schemas.openxmlformats.org/officeDocument/2006/relationships/hyperlink" Target="https://webagentes.canaldirecto.com.ar/incidents/view/799613-1" TargetMode="External"/><Relationship Id="rId3251" Type="http://schemas.openxmlformats.org/officeDocument/2006/relationships/hyperlink" Target="https://webagentes.canaldirecto.com.ar/incidents/view/808966-9" TargetMode="External"/><Relationship Id="rId3349" Type="http://schemas.openxmlformats.org/officeDocument/2006/relationships/hyperlink" Target="https://webagentes.canaldirecto.com.ar/incidents/view/812344-0" TargetMode="External"/><Relationship Id="rId3556" Type="http://schemas.openxmlformats.org/officeDocument/2006/relationships/hyperlink" Target="https://webagentes.canaldirecto.com.ar/incidents/view/818479-7" TargetMode="External"/><Relationship Id="rId172" Type="http://schemas.openxmlformats.org/officeDocument/2006/relationships/hyperlink" Target="https://webagentes.canaldirecto.com.ar/incidents/view/672486-5" TargetMode="External"/><Relationship Id="rId477" Type="http://schemas.openxmlformats.org/officeDocument/2006/relationships/hyperlink" Target="https://webagentes.canaldirecto.com.ar/incidents/view/683548-0" TargetMode="External"/><Relationship Id="rId684" Type="http://schemas.openxmlformats.org/officeDocument/2006/relationships/hyperlink" Target="https://webagentes.canaldirecto.com.ar/incidents/view/699253-6" TargetMode="External"/><Relationship Id="rId2060" Type="http://schemas.openxmlformats.org/officeDocument/2006/relationships/hyperlink" Target="https://webagentes.canaldirecto.com.ar/incidents/view/760794-5" TargetMode="External"/><Relationship Id="rId2158" Type="http://schemas.openxmlformats.org/officeDocument/2006/relationships/hyperlink" Target="https://webagentes.canaldirecto.com.ar/incidents/view/766021-8" TargetMode="External"/><Relationship Id="rId2365" Type="http://schemas.openxmlformats.org/officeDocument/2006/relationships/hyperlink" Target="https://webagentes.canaldirecto.com.ar/incidents/view/774424-6" TargetMode="External"/><Relationship Id="rId3111" Type="http://schemas.openxmlformats.org/officeDocument/2006/relationships/hyperlink" Target="https://webagentes.canaldirecto.com.ar/incidents/view/802499-0" TargetMode="External"/><Relationship Id="rId3209" Type="http://schemas.openxmlformats.org/officeDocument/2006/relationships/hyperlink" Target="https://webagentes.canaldirecto.com.ar/incidents/view/804326-9" TargetMode="External"/><Relationship Id="rId3763" Type="http://schemas.openxmlformats.org/officeDocument/2006/relationships/hyperlink" Target="https://webagentes.canaldirecto.com.ar/incidents/view/824134-8" TargetMode="External"/><Relationship Id="rId3970" Type="http://schemas.openxmlformats.org/officeDocument/2006/relationships/hyperlink" Target="https://webagentes.canaldirecto.com.ar/incidents/view/825459-1" TargetMode="External"/><Relationship Id="rId337" Type="http://schemas.openxmlformats.org/officeDocument/2006/relationships/hyperlink" Target="https://webagentes.canaldirecto.com.ar/incidents/view/679683-5" TargetMode="External"/><Relationship Id="rId891" Type="http://schemas.openxmlformats.org/officeDocument/2006/relationships/hyperlink" Target="https://webagentes.canaldirecto.com.ar/incidents/view/712864-2" TargetMode="External"/><Relationship Id="rId989" Type="http://schemas.openxmlformats.org/officeDocument/2006/relationships/hyperlink" Target="https://webagentes.canaldirecto.com.ar/incidents/view/709031-2" TargetMode="External"/><Relationship Id="rId2018" Type="http://schemas.openxmlformats.org/officeDocument/2006/relationships/hyperlink" Target="https://webagentes.canaldirecto.com.ar/incidents/view/757735-2" TargetMode="External"/><Relationship Id="rId2572" Type="http://schemas.openxmlformats.org/officeDocument/2006/relationships/hyperlink" Target="https://webagentes.canaldirecto.com.ar/incidents/view/784154-9" TargetMode="External"/><Relationship Id="rId2877" Type="http://schemas.openxmlformats.org/officeDocument/2006/relationships/hyperlink" Target="https://webagentes.canaldirecto.com.ar/incidents/view/792456-9" TargetMode="External"/><Relationship Id="rId3416" Type="http://schemas.openxmlformats.org/officeDocument/2006/relationships/hyperlink" Target="https://webagentes.canaldirecto.com.ar/incidents/view/810179-4" TargetMode="External"/><Relationship Id="rId3623" Type="http://schemas.openxmlformats.org/officeDocument/2006/relationships/hyperlink" Target="https://webagentes.canaldirecto.com.ar/incidents/view/816842-5" TargetMode="External"/><Relationship Id="rId3830" Type="http://schemas.openxmlformats.org/officeDocument/2006/relationships/hyperlink" Target="https://webagentes.canaldirecto.com.ar/incidents/view/827468-3" TargetMode="External"/><Relationship Id="rId544" Type="http://schemas.openxmlformats.org/officeDocument/2006/relationships/hyperlink" Target="https://webagentes.canaldirecto.com.ar/incidents/view/687415-1" TargetMode="External"/><Relationship Id="rId751" Type="http://schemas.openxmlformats.org/officeDocument/2006/relationships/hyperlink" Target="https://webagentes.canaldirecto.com.ar/incidents/view/700234-4" TargetMode="External"/><Relationship Id="rId849" Type="http://schemas.openxmlformats.org/officeDocument/2006/relationships/hyperlink" Target="https://webagentes.canaldirecto.com.ar/incidents/view/708487-0" TargetMode="External"/><Relationship Id="rId1174" Type="http://schemas.openxmlformats.org/officeDocument/2006/relationships/hyperlink" Target="https://webagentes.canaldirecto.com.ar/incidents/view/722410-4" TargetMode="External"/><Relationship Id="rId1381" Type="http://schemas.openxmlformats.org/officeDocument/2006/relationships/hyperlink" Target="https://webagentes.canaldirecto.com.ar/incidents/view/732786-3" TargetMode="External"/><Relationship Id="rId1479" Type="http://schemas.openxmlformats.org/officeDocument/2006/relationships/hyperlink" Target="https://webagentes.canaldirecto.com.ar/incidents/view/737777-0" TargetMode="External"/><Relationship Id="rId1686" Type="http://schemas.openxmlformats.org/officeDocument/2006/relationships/hyperlink" Target="https://webagentes.canaldirecto.com.ar/incidents/view/746311-0" TargetMode="External"/><Relationship Id="rId2225" Type="http://schemas.openxmlformats.org/officeDocument/2006/relationships/hyperlink" Target="https://webagentes.canaldirecto.com.ar/incidents/view/771249-6" TargetMode="External"/><Relationship Id="rId2432" Type="http://schemas.openxmlformats.org/officeDocument/2006/relationships/hyperlink" Target="https://webagentes.canaldirecto.com.ar/incidents/view/779209-4" TargetMode="External"/><Relationship Id="rId3928" Type="http://schemas.openxmlformats.org/officeDocument/2006/relationships/hyperlink" Target="https://webagentes.canaldirecto.com.ar/incidents/view/829812-4" TargetMode="External"/><Relationship Id="rId404" Type="http://schemas.openxmlformats.org/officeDocument/2006/relationships/hyperlink" Target="https://webagentes.canaldirecto.com.ar/incidents/view/683203-0" TargetMode="External"/><Relationship Id="rId611" Type="http://schemas.openxmlformats.org/officeDocument/2006/relationships/hyperlink" Target="https://webagentes.canaldirecto.com.ar/incidents/view/694538-9" TargetMode="External"/><Relationship Id="rId1034" Type="http://schemas.openxmlformats.org/officeDocument/2006/relationships/hyperlink" Target="https://webagentes.canaldirecto.com.ar/incidents/view/716511-1" TargetMode="External"/><Relationship Id="rId1241" Type="http://schemas.openxmlformats.org/officeDocument/2006/relationships/hyperlink" Target="https://webagentes.canaldirecto.com.ar/incidents/view/720137-0" TargetMode="External"/><Relationship Id="rId1339" Type="http://schemas.openxmlformats.org/officeDocument/2006/relationships/hyperlink" Target="https://webagentes.canaldirecto.com.ar/incidents/view/728720-0" TargetMode="External"/><Relationship Id="rId1893" Type="http://schemas.openxmlformats.org/officeDocument/2006/relationships/hyperlink" Target="https://webagentes.canaldirecto.com.ar/incidents/view/749189-4" TargetMode="External"/><Relationship Id="rId2737" Type="http://schemas.openxmlformats.org/officeDocument/2006/relationships/hyperlink" Target="https://webagentes.canaldirecto.com.ar/incidents/view/791405-8" TargetMode="External"/><Relationship Id="rId2944" Type="http://schemas.openxmlformats.org/officeDocument/2006/relationships/hyperlink" Target="https://webagentes.canaldirecto.com.ar/incidents/view/795882-1" TargetMode="External"/><Relationship Id="rId709" Type="http://schemas.openxmlformats.org/officeDocument/2006/relationships/hyperlink" Target="https://webagentes.canaldirecto.com.ar/incidents/view/703488-4" TargetMode="External"/><Relationship Id="rId916" Type="http://schemas.openxmlformats.org/officeDocument/2006/relationships/hyperlink" Target="https://webagentes.canaldirecto.com.ar/incidents/view/712480-4" TargetMode="External"/><Relationship Id="rId1101" Type="http://schemas.openxmlformats.org/officeDocument/2006/relationships/hyperlink" Target="https://webagentes.canaldirecto.com.ar/incidents/view/720581-7" TargetMode="External"/><Relationship Id="rId1546" Type="http://schemas.openxmlformats.org/officeDocument/2006/relationships/hyperlink" Target="https://webagentes.canaldirecto.com.ar/incidents/view/739542-0" TargetMode="External"/><Relationship Id="rId1753" Type="http://schemas.openxmlformats.org/officeDocument/2006/relationships/hyperlink" Target="https://webagentes.canaldirecto.com.ar/incidents/view/744440-7" TargetMode="External"/><Relationship Id="rId1960" Type="http://schemas.openxmlformats.org/officeDocument/2006/relationships/hyperlink" Target="https://webagentes.canaldirecto.com.ar/incidents/view/755848-1" TargetMode="External"/><Relationship Id="rId2804" Type="http://schemas.openxmlformats.org/officeDocument/2006/relationships/hyperlink" Target="https://webagentes.canaldirecto.com.ar/incidents/view/794461-5" TargetMode="External"/><Relationship Id="rId45" Type="http://schemas.openxmlformats.org/officeDocument/2006/relationships/hyperlink" Target="https://webagentes.canaldirecto.com.ar/incidents/view/661778-7" TargetMode="External"/><Relationship Id="rId1406" Type="http://schemas.openxmlformats.org/officeDocument/2006/relationships/hyperlink" Target="https://webagentes.canaldirecto.com.ar/incidents/view/731179-2" TargetMode="External"/><Relationship Id="rId1613" Type="http://schemas.openxmlformats.org/officeDocument/2006/relationships/hyperlink" Target="https://webagentes.canaldirecto.com.ar/incidents/view/743513-5" TargetMode="External"/><Relationship Id="rId1820" Type="http://schemas.openxmlformats.org/officeDocument/2006/relationships/hyperlink" Target="https://webagentes.canaldirecto.com.ar/incidents/view/747909-6" TargetMode="External"/><Relationship Id="rId3066" Type="http://schemas.openxmlformats.org/officeDocument/2006/relationships/hyperlink" Target="https://webagentes.canaldirecto.com.ar/incidents/view/798683-3" TargetMode="External"/><Relationship Id="rId3273" Type="http://schemas.openxmlformats.org/officeDocument/2006/relationships/hyperlink" Target="https://webagentes.canaldirecto.com.ar/incidents/view/807613-3" TargetMode="External"/><Relationship Id="rId3480" Type="http://schemas.openxmlformats.org/officeDocument/2006/relationships/hyperlink" Target="https://webagentes.canaldirecto.com.ar/incidents/view/814515-0" TargetMode="External"/><Relationship Id="rId194" Type="http://schemas.openxmlformats.org/officeDocument/2006/relationships/hyperlink" Target="https://webagentes.canaldirecto.com.ar/incidents/view/670843-2" TargetMode="External"/><Relationship Id="rId1918" Type="http://schemas.openxmlformats.org/officeDocument/2006/relationships/hyperlink" Target="https://webagentes.canaldirecto.com.ar/incidents/view/753309-3" TargetMode="External"/><Relationship Id="rId2082" Type="http://schemas.openxmlformats.org/officeDocument/2006/relationships/hyperlink" Target="https://webagentes.canaldirecto.com.ar/incidents/view/760037-7" TargetMode="External"/><Relationship Id="rId3133" Type="http://schemas.openxmlformats.org/officeDocument/2006/relationships/hyperlink" Target="https://webagentes.canaldirecto.com.ar/incidents/view/801550-3" TargetMode="External"/><Relationship Id="rId3578" Type="http://schemas.openxmlformats.org/officeDocument/2006/relationships/hyperlink" Target="https://webagentes.canaldirecto.com.ar/incidents/view/817870-5" TargetMode="External"/><Relationship Id="rId3785" Type="http://schemas.openxmlformats.org/officeDocument/2006/relationships/hyperlink" Target="https://webagentes.canaldirecto.com.ar/incidents/view/823242-9" TargetMode="External"/><Relationship Id="rId261" Type="http://schemas.openxmlformats.org/officeDocument/2006/relationships/hyperlink" Target="https://webagentes.canaldirecto.com.ar/incidents/view/675618-3" TargetMode="External"/><Relationship Id="rId499" Type="http://schemas.openxmlformats.org/officeDocument/2006/relationships/hyperlink" Target="https://webagentes.canaldirecto.com.ar/incidents/view/689380-0" TargetMode="External"/><Relationship Id="rId2387" Type="http://schemas.openxmlformats.org/officeDocument/2006/relationships/hyperlink" Target="https://webagentes.canaldirecto.com.ar/incidents/view/779822-9" TargetMode="External"/><Relationship Id="rId2594" Type="http://schemas.openxmlformats.org/officeDocument/2006/relationships/hyperlink" Target="https://webagentes.canaldirecto.com.ar/incidents/view/783085-3" TargetMode="External"/><Relationship Id="rId3340" Type="http://schemas.openxmlformats.org/officeDocument/2006/relationships/hyperlink" Target="https://webagentes.canaldirecto.com.ar/incidents/view/812459-1" TargetMode="External"/><Relationship Id="rId3438" Type="http://schemas.openxmlformats.org/officeDocument/2006/relationships/hyperlink" Target="https://webagentes.canaldirecto.com.ar/incidents/view/816567-7" TargetMode="External"/><Relationship Id="rId3645" Type="http://schemas.openxmlformats.org/officeDocument/2006/relationships/hyperlink" Target="https://webagentes.canaldirecto.com.ar/incidents/view/822488-2" TargetMode="External"/><Relationship Id="rId3852" Type="http://schemas.openxmlformats.org/officeDocument/2006/relationships/hyperlink" Target="https://webagentes.canaldirecto.com.ar/incidents/view/826332-2" TargetMode="External"/><Relationship Id="rId359" Type="http://schemas.openxmlformats.org/officeDocument/2006/relationships/hyperlink" Target="https://webagentes.canaldirecto.com.ar/incidents/view/678237-3" TargetMode="External"/><Relationship Id="rId566" Type="http://schemas.openxmlformats.org/officeDocument/2006/relationships/hyperlink" Target="https://webagentes.canaldirecto.com.ar/incidents/view/691107-2" TargetMode="External"/><Relationship Id="rId773" Type="http://schemas.openxmlformats.org/officeDocument/2006/relationships/hyperlink" Target="https://webagentes.canaldirecto.com.ar/incidents/view/705596-6" TargetMode="External"/><Relationship Id="rId1196" Type="http://schemas.openxmlformats.org/officeDocument/2006/relationships/hyperlink" Target="https://webagentes.canaldirecto.com.ar/incidents/view/721805-1" TargetMode="External"/><Relationship Id="rId2247" Type="http://schemas.openxmlformats.org/officeDocument/2006/relationships/hyperlink" Target="https://webagentes.canaldirecto.com.ar/incidents/view/770301-8" TargetMode="External"/><Relationship Id="rId2454" Type="http://schemas.openxmlformats.org/officeDocument/2006/relationships/hyperlink" Target="https://webagentes.canaldirecto.com.ar/incidents/view/778110-4" TargetMode="External"/><Relationship Id="rId2899" Type="http://schemas.openxmlformats.org/officeDocument/2006/relationships/hyperlink" Target="https://webagentes.canaldirecto.com.ar/incidents/view/788334-1" TargetMode="External"/><Relationship Id="rId3200" Type="http://schemas.openxmlformats.org/officeDocument/2006/relationships/hyperlink" Target="https://webagentes.canaldirecto.com.ar/incidents/view/804973-1" TargetMode="External"/><Relationship Id="rId3505" Type="http://schemas.openxmlformats.org/officeDocument/2006/relationships/hyperlink" Target="https://webagentes.canaldirecto.com.ar/incidents/view/811861-5" TargetMode="External"/><Relationship Id="rId121" Type="http://schemas.openxmlformats.org/officeDocument/2006/relationships/hyperlink" Target="https://webagentes.canaldirecto.com.ar/incidents/view/669077-1" TargetMode="External"/><Relationship Id="rId219" Type="http://schemas.openxmlformats.org/officeDocument/2006/relationships/hyperlink" Target="https://webagentes.canaldirecto.com.ar/incidents/view/662362-7" TargetMode="External"/><Relationship Id="rId426" Type="http://schemas.openxmlformats.org/officeDocument/2006/relationships/hyperlink" Target="https://webagentes.canaldirecto.com.ar/incidents/view/687273-7" TargetMode="External"/><Relationship Id="rId633" Type="http://schemas.openxmlformats.org/officeDocument/2006/relationships/hyperlink" Target="https://webagentes.canaldirecto.com.ar/incidents/view/691265-5" TargetMode="External"/><Relationship Id="rId980" Type="http://schemas.openxmlformats.org/officeDocument/2006/relationships/hyperlink" Target="https://webagentes.canaldirecto.com.ar/incidents/view/711611-5" TargetMode="External"/><Relationship Id="rId1056" Type="http://schemas.openxmlformats.org/officeDocument/2006/relationships/hyperlink" Target="https://webagentes.canaldirecto.com.ar/incidents/view/716259-4" TargetMode="External"/><Relationship Id="rId1263" Type="http://schemas.openxmlformats.org/officeDocument/2006/relationships/hyperlink" Target="https://webagentes.canaldirecto.com.ar/incidents/view/728279-1" TargetMode="External"/><Relationship Id="rId2107" Type="http://schemas.openxmlformats.org/officeDocument/2006/relationships/hyperlink" Target="https://webagentes.canaldirecto.com.ar/incidents/view/763432-9" TargetMode="External"/><Relationship Id="rId2314" Type="http://schemas.openxmlformats.org/officeDocument/2006/relationships/hyperlink" Target="https://webagentes.canaldirecto.com.ar/incidents/view/772330-4" TargetMode="External"/><Relationship Id="rId2661" Type="http://schemas.openxmlformats.org/officeDocument/2006/relationships/hyperlink" Target="https://webagentes.canaldirecto.com.ar/incidents/view/785435-8" TargetMode="External"/><Relationship Id="rId2759" Type="http://schemas.openxmlformats.org/officeDocument/2006/relationships/hyperlink" Target="https://webagentes.canaldirecto.com.ar/incidents/view/789944-9" TargetMode="External"/><Relationship Id="rId2966" Type="http://schemas.openxmlformats.org/officeDocument/2006/relationships/hyperlink" Target="https://webagentes.canaldirecto.com.ar/incidents/view/795585-1" TargetMode="External"/><Relationship Id="rId3712" Type="http://schemas.openxmlformats.org/officeDocument/2006/relationships/hyperlink" Target="https://webagentes.canaldirecto.com.ar/incidents/view/819934-6" TargetMode="External"/><Relationship Id="rId840" Type="http://schemas.openxmlformats.org/officeDocument/2006/relationships/hyperlink" Target="https://webagentes.canaldirecto.com.ar/incidents/view/709018-1" TargetMode="External"/><Relationship Id="rId938" Type="http://schemas.openxmlformats.org/officeDocument/2006/relationships/hyperlink" Target="https://webagentes.canaldirecto.com.ar/incidents/view/712042-8" TargetMode="External"/><Relationship Id="rId1470" Type="http://schemas.openxmlformats.org/officeDocument/2006/relationships/hyperlink" Target="https://webagentes.canaldirecto.com.ar/incidents/view/692612-6" TargetMode="External"/><Relationship Id="rId1568" Type="http://schemas.openxmlformats.org/officeDocument/2006/relationships/hyperlink" Target="https://webagentes.canaldirecto.com.ar/incidents/view/744277-3" TargetMode="External"/><Relationship Id="rId1775" Type="http://schemas.openxmlformats.org/officeDocument/2006/relationships/hyperlink" Target="https://webagentes.canaldirecto.com.ar/incidents/view/749193-7" TargetMode="External"/><Relationship Id="rId2521" Type="http://schemas.openxmlformats.org/officeDocument/2006/relationships/hyperlink" Target="https://webagentes.canaldirecto.com.ar/incidents/view/782036-0" TargetMode="External"/><Relationship Id="rId2619" Type="http://schemas.openxmlformats.org/officeDocument/2006/relationships/hyperlink" Target="https://webagentes.canaldirecto.com.ar/incidents/view/787019-8" TargetMode="External"/><Relationship Id="rId2826" Type="http://schemas.openxmlformats.org/officeDocument/2006/relationships/hyperlink" Target="https://webagentes.canaldirecto.com.ar/incidents/view/794234-3" TargetMode="External"/><Relationship Id="rId67" Type="http://schemas.openxmlformats.org/officeDocument/2006/relationships/hyperlink" Target="https://webagentes.canaldirecto.com.ar/incidents/view/665891-5" TargetMode="External"/><Relationship Id="rId700" Type="http://schemas.openxmlformats.org/officeDocument/2006/relationships/hyperlink" Target="https://webagentes.canaldirecto.com.ar/incidents/view/697765-2" TargetMode="External"/><Relationship Id="rId1123" Type="http://schemas.openxmlformats.org/officeDocument/2006/relationships/hyperlink" Target="https://webagentes.canaldirecto.com.ar/incidents/view/720015-9" TargetMode="External"/><Relationship Id="rId1330" Type="http://schemas.openxmlformats.org/officeDocument/2006/relationships/hyperlink" Target="https://webagentes.canaldirecto.com.ar/incidents/view/729984-3" TargetMode="External"/><Relationship Id="rId1428" Type="http://schemas.openxmlformats.org/officeDocument/2006/relationships/hyperlink" Target="https://webagentes.canaldirecto.com.ar/incidents/view/735621-8" TargetMode="External"/><Relationship Id="rId1635" Type="http://schemas.openxmlformats.org/officeDocument/2006/relationships/hyperlink" Target="https://webagentes.canaldirecto.com.ar/incidents/view/742987-9" TargetMode="External"/><Relationship Id="rId1982" Type="http://schemas.openxmlformats.org/officeDocument/2006/relationships/hyperlink" Target="https://webagentes.canaldirecto.com.ar/incidents/view/754898-9" TargetMode="External"/><Relationship Id="rId3088" Type="http://schemas.openxmlformats.org/officeDocument/2006/relationships/hyperlink" Target="https://webagentes.canaldirecto.com.ar/incidents/view/794443-9" TargetMode="External"/><Relationship Id="rId1842" Type="http://schemas.openxmlformats.org/officeDocument/2006/relationships/hyperlink" Target="https://webagentes.canaldirecto.com.ar/incidents/view/751832-2" TargetMode="External"/><Relationship Id="rId3295" Type="http://schemas.openxmlformats.org/officeDocument/2006/relationships/hyperlink" Target="https://webagentes.canaldirecto.com.ar/incidents/view/804951-9" TargetMode="External"/><Relationship Id="rId1702" Type="http://schemas.openxmlformats.org/officeDocument/2006/relationships/hyperlink" Target="https://webagentes.canaldirecto.com.ar/incidents/view/746210-2" TargetMode="External"/><Relationship Id="rId3155" Type="http://schemas.openxmlformats.org/officeDocument/2006/relationships/hyperlink" Target="https://webagentes.canaldirecto.com.ar/incidents/view/800515-3" TargetMode="External"/><Relationship Id="rId3362" Type="http://schemas.openxmlformats.org/officeDocument/2006/relationships/hyperlink" Target="https://webagentes.canaldirecto.com.ar/incidents/view/811865-1" TargetMode="External"/><Relationship Id="rId283" Type="http://schemas.openxmlformats.org/officeDocument/2006/relationships/hyperlink" Target="https://webagentes.canaldirecto.com.ar/incidents/view/674858-2" TargetMode="External"/><Relationship Id="rId490" Type="http://schemas.openxmlformats.org/officeDocument/2006/relationships/hyperlink" Target="https://webagentes.canaldirecto.com.ar/incidents/view/689536-7" TargetMode="External"/><Relationship Id="rId2171" Type="http://schemas.openxmlformats.org/officeDocument/2006/relationships/hyperlink" Target="https://webagentes.canaldirecto.com.ar/incidents/view/764738-7" TargetMode="External"/><Relationship Id="rId3015" Type="http://schemas.openxmlformats.org/officeDocument/2006/relationships/hyperlink" Target="https://webagentes.canaldirecto.com.ar/incidents/view/799975-8" TargetMode="External"/><Relationship Id="rId3222" Type="http://schemas.openxmlformats.org/officeDocument/2006/relationships/hyperlink" Target="https://webagentes.canaldirecto.com.ar/incidents/view/803027-4" TargetMode="External"/><Relationship Id="rId3667" Type="http://schemas.openxmlformats.org/officeDocument/2006/relationships/hyperlink" Target="https://webagentes.canaldirecto.com.ar/incidents/view/821868-7" TargetMode="External"/><Relationship Id="rId3874" Type="http://schemas.openxmlformats.org/officeDocument/2006/relationships/hyperlink" Target="https://webagentes.canaldirecto.com.ar/incidents/view/825679-3" TargetMode="External"/><Relationship Id="rId143" Type="http://schemas.openxmlformats.org/officeDocument/2006/relationships/hyperlink" Target="https://webagentes.canaldirecto.com.ar/incidents/view/667804-3" TargetMode="External"/><Relationship Id="rId350" Type="http://schemas.openxmlformats.org/officeDocument/2006/relationships/hyperlink" Target="https://webagentes.canaldirecto.com.ar/incidents/view/678930-3" TargetMode="External"/><Relationship Id="rId588" Type="http://schemas.openxmlformats.org/officeDocument/2006/relationships/hyperlink" Target="https://webagentes.canaldirecto.com.ar/incidents/view/690266-7" TargetMode="External"/><Relationship Id="rId795" Type="http://schemas.openxmlformats.org/officeDocument/2006/relationships/hyperlink" Target="https://webagentes.canaldirecto.com.ar/incidents/view/704328-0" TargetMode="External"/><Relationship Id="rId2031" Type="http://schemas.openxmlformats.org/officeDocument/2006/relationships/hyperlink" Target="https://webagentes.canaldirecto.com.ar/incidents/view/761454-7" TargetMode="External"/><Relationship Id="rId2269" Type="http://schemas.openxmlformats.org/officeDocument/2006/relationships/hyperlink" Target="https://webagentes.canaldirecto.com.ar/incidents/view/769081-1" TargetMode="External"/><Relationship Id="rId2476" Type="http://schemas.openxmlformats.org/officeDocument/2006/relationships/hyperlink" Target="https://webagentes.canaldirecto.com.ar/incidents/view/782750-3" TargetMode="External"/><Relationship Id="rId2683" Type="http://schemas.openxmlformats.org/officeDocument/2006/relationships/hyperlink" Target="https://webagentes.canaldirecto.com.ar/incidents/view/788354-5" TargetMode="External"/><Relationship Id="rId2890" Type="http://schemas.openxmlformats.org/officeDocument/2006/relationships/hyperlink" Target="https://webagentes.canaldirecto.com.ar/incidents/view/792004-0" TargetMode="External"/><Relationship Id="rId3527" Type="http://schemas.openxmlformats.org/officeDocument/2006/relationships/hyperlink" Target="https://webagentes.canaldirecto.com.ar/incidents/view/819007-1" TargetMode="External"/><Relationship Id="rId3734" Type="http://schemas.openxmlformats.org/officeDocument/2006/relationships/hyperlink" Target="https://webagentes.canaldirecto.com.ar/incidents/view/824858-1" TargetMode="External"/><Relationship Id="rId3941" Type="http://schemas.openxmlformats.org/officeDocument/2006/relationships/hyperlink" Target="https://webagentes.canaldirecto.com.ar/incidents/view/829503-9" TargetMode="External"/><Relationship Id="rId9" Type="http://schemas.openxmlformats.org/officeDocument/2006/relationships/hyperlink" Target="https://webagentes.canaldirecto.com.ar/incidents/view/662775-7" TargetMode="External"/><Relationship Id="rId210" Type="http://schemas.openxmlformats.org/officeDocument/2006/relationships/hyperlink" Target="https://webagentes.canaldirecto.com.ar/incidents/view/670031-5" TargetMode="External"/><Relationship Id="rId448" Type="http://schemas.openxmlformats.org/officeDocument/2006/relationships/hyperlink" Target="https://webagentes.canaldirecto.com.ar/incidents/view/685603-0" TargetMode="External"/><Relationship Id="rId655" Type="http://schemas.openxmlformats.org/officeDocument/2006/relationships/hyperlink" Target="https://webagentes.canaldirecto.com.ar/incidents/view/696058-2" TargetMode="External"/><Relationship Id="rId862" Type="http://schemas.openxmlformats.org/officeDocument/2006/relationships/hyperlink" Target="https://webagentes.canaldirecto.com.ar/incidents/view/707355-5" TargetMode="External"/><Relationship Id="rId1078" Type="http://schemas.openxmlformats.org/officeDocument/2006/relationships/hyperlink" Target="https://webagentes.canaldirecto.com.ar/incidents/view/714629-5" TargetMode="External"/><Relationship Id="rId1285" Type="http://schemas.openxmlformats.org/officeDocument/2006/relationships/hyperlink" Target="https://webagentes.canaldirecto.com.ar/incidents/view/727125-4" TargetMode="External"/><Relationship Id="rId1492" Type="http://schemas.openxmlformats.org/officeDocument/2006/relationships/hyperlink" Target="https://webagentes.canaldirecto.com.ar/incidents/view/737223-4" TargetMode="External"/><Relationship Id="rId2129" Type="http://schemas.openxmlformats.org/officeDocument/2006/relationships/hyperlink" Target="https://webagentes.canaldirecto.com.ar/incidents/view/762174-1" TargetMode="External"/><Relationship Id="rId2336" Type="http://schemas.openxmlformats.org/officeDocument/2006/relationships/hyperlink" Target="https://webagentes.canaldirecto.com.ar/incidents/view/776798-2" TargetMode="External"/><Relationship Id="rId2543" Type="http://schemas.openxmlformats.org/officeDocument/2006/relationships/hyperlink" Target="https://webagentes.canaldirecto.com.ar/incidents/view/780474-2" TargetMode="External"/><Relationship Id="rId2750" Type="http://schemas.openxmlformats.org/officeDocument/2006/relationships/hyperlink" Target="https://webagentes.canaldirecto.com.ar/incidents/view/790162-9" TargetMode="External"/><Relationship Id="rId2988" Type="http://schemas.openxmlformats.org/officeDocument/2006/relationships/hyperlink" Target="https://webagentes.canaldirecto.com.ar/incidents/view/794889-7" TargetMode="External"/><Relationship Id="rId3801" Type="http://schemas.openxmlformats.org/officeDocument/2006/relationships/hyperlink" Target="https://webagentes.canaldirecto.com.ar/incidents/view/818524-6" TargetMode="External"/><Relationship Id="rId308" Type="http://schemas.openxmlformats.org/officeDocument/2006/relationships/hyperlink" Target="https://webagentes.canaldirecto.com.ar/incidents/view/674129-7" TargetMode="External"/><Relationship Id="rId515" Type="http://schemas.openxmlformats.org/officeDocument/2006/relationships/hyperlink" Target="https://webagentes.canaldirecto.com.ar/incidents/view/688784-5" TargetMode="External"/><Relationship Id="rId722" Type="http://schemas.openxmlformats.org/officeDocument/2006/relationships/hyperlink" Target="https://webagentes.canaldirecto.com.ar/incidents/view/702784-8" TargetMode="External"/><Relationship Id="rId1145" Type="http://schemas.openxmlformats.org/officeDocument/2006/relationships/hyperlink" Target="https://webagentes.canaldirecto.com.ar/incidents/view/718752-0" TargetMode="External"/><Relationship Id="rId1352" Type="http://schemas.openxmlformats.org/officeDocument/2006/relationships/hyperlink" Target="https://webagentes.canaldirecto.com.ar/incidents/view/733259-1" TargetMode="External"/><Relationship Id="rId1797" Type="http://schemas.openxmlformats.org/officeDocument/2006/relationships/hyperlink" Target="https://webagentes.canaldirecto.com.ar/incidents/view/748619-3" TargetMode="External"/><Relationship Id="rId2403" Type="http://schemas.openxmlformats.org/officeDocument/2006/relationships/hyperlink" Target="https://webagentes.canaldirecto.com.ar/incidents/view/779737-2" TargetMode="External"/><Relationship Id="rId2848" Type="http://schemas.openxmlformats.org/officeDocument/2006/relationships/hyperlink" Target="https://webagentes.canaldirecto.com.ar/incidents/view/793493-7" TargetMode="External"/><Relationship Id="rId89" Type="http://schemas.openxmlformats.org/officeDocument/2006/relationships/hyperlink" Target="https://webagentes.canaldirecto.com.ar/incidents/view/670922-8" TargetMode="External"/><Relationship Id="rId1005" Type="http://schemas.openxmlformats.org/officeDocument/2006/relationships/hyperlink" Target="https://webagentes.canaldirecto.com.ar/incidents/view/717054-8" TargetMode="External"/><Relationship Id="rId1212" Type="http://schemas.openxmlformats.org/officeDocument/2006/relationships/hyperlink" Target="https://webagentes.canaldirecto.com.ar/incidents/view/726060-1" TargetMode="External"/><Relationship Id="rId1657" Type="http://schemas.openxmlformats.org/officeDocument/2006/relationships/hyperlink" Target="https://webagentes.canaldirecto.com.ar/incidents/view/740877-9" TargetMode="External"/><Relationship Id="rId1864" Type="http://schemas.openxmlformats.org/officeDocument/2006/relationships/hyperlink" Target="https://webagentes.canaldirecto.com.ar/incidents/view/751318-7" TargetMode="External"/><Relationship Id="rId2610" Type="http://schemas.openxmlformats.org/officeDocument/2006/relationships/hyperlink" Target="https://webagentes.canaldirecto.com.ar/incidents/view/781275-0" TargetMode="External"/><Relationship Id="rId2708" Type="http://schemas.openxmlformats.org/officeDocument/2006/relationships/hyperlink" Target="https://webagentes.canaldirecto.com.ar/incidents/view/788204-1" TargetMode="External"/><Relationship Id="rId2915" Type="http://schemas.openxmlformats.org/officeDocument/2006/relationships/hyperlink" Target="https://webagentes.canaldirecto.com.ar/incidents/view/797412-0" TargetMode="External"/><Relationship Id="rId1517" Type="http://schemas.openxmlformats.org/officeDocument/2006/relationships/hyperlink" Target="https://webagentes.canaldirecto.com.ar/incidents/view/741194-0" TargetMode="External"/><Relationship Id="rId1724" Type="http://schemas.openxmlformats.org/officeDocument/2006/relationships/hyperlink" Target="https://webagentes.canaldirecto.com.ar/incidents/view/745742-9" TargetMode="External"/><Relationship Id="rId3177" Type="http://schemas.openxmlformats.org/officeDocument/2006/relationships/hyperlink" Target="https://webagentes.canaldirecto.com.ar/incidents/view/806220-0" TargetMode="External"/><Relationship Id="rId16" Type="http://schemas.openxmlformats.org/officeDocument/2006/relationships/hyperlink" Target="https://webagentes.canaldirecto.com.ar/incidents/view/662708-5" TargetMode="External"/><Relationship Id="rId1931" Type="http://schemas.openxmlformats.org/officeDocument/2006/relationships/hyperlink" Target="https://webagentes.canaldirecto.com.ar/incidents/view/752887-9" TargetMode="External"/><Relationship Id="rId3037" Type="http://schemas.openxmlformats.org/officeDocument/2006/relationships/hyperlink" Target="https://webagentes.canaldirecto.com.ar/incidents/view/799752-9" TargetMode="External"/><Relationship Id="rId3384" Type="http://schemas.openxmlformats.org/officeDocument/2006/relationships/hyperlink" Target="https://webagentes.canaldirecto.com.ar/incidents/view/811255-0" TargetMode="External"/><Relationship Id="rId3591" Type="http://schemas.openxmlformats.org/officeDocument/2006/relationships/hyperlink" Target="https://webagentes.canaldirecto.com.ar/incidents/view/817722-9" TargetMode="External"/><Relationship Id="rId3689" Type="http://schemas.openxmlformats.org/officeDocument/2006/relationships/hyperlink" Target="https://webagentes.canaldirecto.com.ar/incidents/view/820862-6" TargetMode="External"/><Relationship Id="rId3896" Type="http://schemas.openxmlformats.org/officeDocument/2006/relationships/hyperlink" Target="https://webagentes.canaldirecto.com.ar/incidents/view/831002-8" TargetMode="External"/><Relationship Id="rId2193" Type="http://schemas.openxmlformats.org/officeDocument/2006/relationships/hyperlink" Target="https://webagentes.canaldirecto.com.ar/incidents/view/767868-8" TargetMode="External"/><Relationship Id="rId2498" Type="http://schemas.openxmlformats.org/officeDocument/2006/relationships/hyperlink" Target="https://webagentes.canaldirecto.com.ar/incidents/view/782264-1" TargetMode="External"/><Relationship Id="rId3244" Type="http://schemas.openxmlformats.org/officeDocument/2006/relationships/hyperlink" Target="https://webagentes.canaldirecto.com.ar/incidents/view/809379-6" TargetMode="External"/><Relationship Id="rId3451" Type="http://schemas.openxmlformats.org/officeDocument/2006/relationships/hyperlink" Target="https://webagentes.canaldirecto.com.ar/incidents/view/816180-2" TargetMode="External"/><Relationship Id="rId3549" Type="http://schemas.openxmlformats.org/officeDocument/2006/relationships/hyperlink" Target="https://webagentes.canaldirecto.com.ar/incidents/view/818515-8" TargetMode="External"/><Relationship Id="rId165" Type="http://schemas.openxmlformats.org/officeDocument/2006/relationships/hyperlink" Target="https://webagentes.canaldirecto.com.ar/incidents/view/672645-6" TargetMode="External"/><Relationship Id="rId372" Type="http://schemas.openxmlformats.org/officeDocument/2006/relationships/hyperlink" Target="https://webagentes.canaldirecto.com.ar/incidents/view/678083-4" TargetMode="External"/><Relationship Id="rId677" Type="http://schemas.openxmlformats.org/officeDocument/2006/relationships/hyperlink" Target="https://webagentes.canaldirecto.com.ar/incidents/view/699659-6" TargetMode="External"/><Relationship Id="rId2053" Type="http://schemas.openxmlformats.org/officeDocument/2006/relationships/hyperlink" Target="https://webagentes.canaldirecto.com.ar/incidents/view/760801-4" TargetMode="External"/><Relationship Id="rId2260" Type="http://schemas.openxmlformats.org/officeDocument/2006/relationships/hyperlink" Target="https://webagentes.canaldirecto.com.ar/incidents/view/769721-2" TargetMode="External"/><Relationship Id="rId2358" Type="http://schemas.openxmlformats.org/officeDocument/2006/relationships/hyperlink" Target="https://webagentes.canaldirecto.com.ar/incidents/view/775286-5" TargetMode="External"/><Relationship Id="rId3104" Type="http://schemas.openxmlformats.org/officeDocument/2006/relationships/hyperlink" Target="https://webagentes.canaldirecto.com.ar/incidents/view/802816-3" TargetMode="External"/><Relationship Id="rId3311" Type="http://schemas.openxmlformats.org/officeDocument/2006/relationships/hyperlink" Target="https://webagentes.canaldirecto.com.ar/incidents/view/813004-2" TargetMode="External"/><Relationship Id="rId3756" Type="http://schemas.openxmlformats.org/officeDocument/2006/relationships/hyperlink" Target="https://webagentes.canaldirecto.com.ar/incidents/view/824157-9" TargetMode="External"/><Relationship Id="rId3963" Type="http://schemas.openxmlformats.org/officeDocument/2006/relationships/hyperlink" Target="https://webagentes.canaldirecto.com.ar/incidents/view/828913-5" TargetMode="External"/><Relationship Id="rId232" Type="http://schemas.openxmlformats.org/officeDocument/2006/relationships/hyperlink" Target="https://webagentes.canaldirecto.com.ar/incidents/view/676924-8" TargetMode="External"/><Relationship Id="rId884" Type="http://schemas.openxmlformats.org/officeDocument/2006/relationships/hyperlink" Target="https://webagentes.canaldirecto.com.ar/incidents/view/713398-1" TargetMode="External"/><Relationship Id="rId2120" Type="http://schemas.openxmlformats.org/officeDocument/2006/relationships/hyperlink" Target="https://webagentes.canaldirecto.com.ar/incidents/view/762407-6" TargetMode="External"/><Relationship Id="rId2565" Type="http://schemas.openxmlformats.org/officeDocument/2006/relationships/hyperlink" Target="https://webagentes.canaldirecto.com.ar/incidents/view/784823-2" TargetMode="External"/><Relationship Id="rId2772" Type="http://schemas.openxmlformats.org/officeDocument/2006/relationships/hyperlink" Target="https://webagentes.canaldirecto.com.ar/incidents/view/789142-9" TargetMode="External"/><Relationship Id="rId3409" Type="http://schemas.openxmlformats.org/officeDocument/2006/relationships/hyperlink" Target="https://webagentes.canaldirecto.com.ar/incidents/view/810692-0" TargetMode="External"/><Relationship Id="rId3616" Type="http://schemas.openxmlformats.org/officeDocument/2006/relationships/hyperlink" Target="https://webagentes.canaldirecto.com.ar/incidents/view/816850-4" TargetMode="External"/><Relationship Id="rId3823" Type="http://schemas.openxmlformats.org/officeDocument/2006/relationships/hyperlink" Target="https://webagentes.canaldirecto.com.ar/incidents/view/827476-2" TargetMode="External"/><Relationship Id="rId537" Type="http://schemas.openxmlformats.org/officeDocument/2006/relationships/hyperlink" Target="https://webagentes.canaldirecto.com.ar/incidents/view/687704-2" TargetMode="External"/><Relationship Id="rId744" Type="http://schemas.openxmlformats.org/officeDocument/2006/relationships/hyperlink" Target="https://webagentes.canaldirecto.com.ar/incidents/view/701285-5" TargetMode="External"/><Relationship Id="rId951" Type="http://schemas.openxmlformats.org/officeDocument/2006/relationships/hyperlink" Target="https://webagentes.canaldirecto.com.ar/incidents/view/711974-1" TargetMode="External"/><Relationship Id="rId1167" Type="http://schemas.openxmlformats.org/officeDocument/2006/relationships/hyperlink" Target="https://webagentes.canaldirecto.com.ar/incidents/view/723036-3" TargetMode="External"/><Relationship Id="rId1374" Type="http://schemas.openxmlformats.org/officeDocument/2006/relationships/hyperlink" Target="https://webagentes.canaldirecto.com.ar/incidents/view/732793-3" TargetMode="External"/><Relationship Id="rId1581" Type="http://schemas.openxmlformats.org/officeDocument/2006/relationships/hyperlink" Target="https://webagentes.canaldirecto.com.ar/incidents/view/744264-9" TargetMode="External"/><Relationship Id="rId1679" Type="http://schemas.openxmlformats.org/officeDocument/2006/relationships/hyperlink" Target="https://webagentes.canaldirecto.com.ar/incidents/view/746432-2" TargetMode="External"/><Relationship Id="rId2218" Type="http://schemas.openxmlformats.org/officeDocument/2006/relationships/hyperlink" Target="https://webagentes.canaldirecto.com.ar/incidents/view/766635-5" TargetMode="External"/><Relationship Id="rId2425" Type="http://schemas.openxmlformats.org/officeDocument/2006/relationships/hyperlink" Target="https://webagentes.canaldirecto.com.ar/incidents/view/779267-8" TargetMode="External"/><Relationship Id="rId2632" Type="http://schemas.openxmlformats.org/officeDocument/2006/relationships/hyperlink" Target="https://webagentes.canaldirecto.com.ar/incidents/view/786741-3" TargetMode="External"/><Relationship Id="rId80" Type="http://schemas.openxmlformats.org/officeDocument/2006/relationships/hyperlink" Target="https://webagentes.canaldirecto.com.ar/incidents/view/665123-1" TargetMode="External"/><Relationship Id="rId604" Type="http://schemas.openxmlformats.org/officeDocument/2006/relationships/hyperlink" Target="https://webagentes.canaldirecto.com.ar/incidents/view/694914-5" TargetMode="External"/><Relationship Id="rId811" Type="http://schemas.openxmlformats.org/officeDocument/2006/relationships/hyperlink" Target="https://webagentes.canaldirecto.com.ar/incidents/view/711261-4" TargetMode="External"/><Relationship Id="rId1027" Type="http://schemas.openxmlformats.org/officeDocument/2006/relationships/hyperlink" Target="https://webagentes.canaldirecto.com.ar/incidents/view/716640-2" TargetMode="External"/><Relationship Id="rId1234" Type="http://schemas.openxmlformats.org/officeDocument/2006/relationships/hyperlink" Target="https://webagentes.canaldirecto.com.ar/incidents/view/723368-9" TargetMode="External"/><Relationship Id="rId1441" Type="http://schemas.openxmlformats.org/officeDocument/2006/relationships/hyperlink" Target="https://webagentes.canaldirecto.com.ar/incidents/view/734974-0" TargetMode="External"/><Relationship Id="rId1886" Type="http://schemas.openxmlformats.org/officeDocument/2006/relationships/hyperlink" Target="https://webagentes.canaldirecto.com.ar/incidents/view/749620-6" TargetMode="External"/><Relationship Id="rId2937" Type="http://schemas.openxmlformats.org/officeDocument/2006/relationships/hyperlink" Target="https://webagentes.canaldirecto.com.ar/incidents/view/796060-4" TargetMode="External"/><Relationship Id="rId909" Type="http://schemas.openxmlformats.org/officeDocument/2006/relationships/hyperlink" Target="https://webagentes.canaldirecto.com.ar/incidents/view/712490-1" TargetMode="External"/><Relationship Id="rId1301" Type="http://schemas.openxmlformats.org/officeDocument/2006/relationships/hyperlink" Target="https://webagentes.canaldirecto.com.ar/incidents/view/730663-9" TargetMode="External"/><Relationship Id="rId1539" Type="http://schemas.openxmlformats.org/officeDocument/2006/relationships/hyperlink" Target="https://webagentes.canaldirecto.com.ar/incidents/view/740229-8" TargetMode="External"/><Relationship Id="rId1746" Type="http://schemas.openxmlformats.org/officeDocument/2006/relationships/hyperlink" Target="https://webagentes.canaldirecto.com.ar/incidents/view/744914-7" TargetMode="External"/><Relationship Id="rId1953" Type="http://schemas.openxmlformats.org/officeDocument/2006/relationships/hyperlink" Target="https://webagentes.canaldirecto.com.ar/incidents/view/756409-3" TargetMode="External"/><Relationship Id="rId3199" Type="http://schemas.openxmlformats.org/officeDocument/2006/relationships/hyperlink" Target="https://webagentes.canaldirecto.com.ar/incidents/view/804974-0" TargetMode="External"/><Relationship Id="rId38" Type="http://schemas.openxmlformats.org/officeDocument/2006/relationships/hyperlink" Target="https://webagentes.canaldirecto.com.ar/incidents/view/662356-6" TargetMode="External"/><Relationship Id="rId1606" Type="http://schemas.openxmlformats.org/officeDocument/2006/relationships/hyperlink" Target="https://webagentes.canaldirecto.com.ar/incidents/view/743916-8" TargetMode="External"/><Relationship Id="rId1813" Type="http://schemas.openxmlformats.org/officeDocument/2006/relationships/hyperlink" Target="https://webagentes.canaldirecto.com.ar/incidents/view/748428-3" TargetMode="External"/><Relationship Id="rId3059" Type="http://schemas.openxmlformats.org/officeDocument/2006/relationships/hyperlink" Target="https://webagentes.canaldirecto.com.ar/incidents/view/798787-8" TargetMode="External"/><Relationship Id="rId3266" Type="http://schemas.openxmlformats.org/officeDocument/2006/relationships/hyperlink" Target="https://webagentes.canaldirecto.com.ar/incidents/view/808197-7" TargetMode="External"/><Relationship Id="rId3473" Type="http://schemas.openxmlformats.org/officeDocument/2006/relationships/hyperlink" Target="https://webagentes.canaldirecto.com.ar/incidents/view/814546-0" TargetMode="External"/><Relationship Id="rId187" Type="http://schemas.openxmlformats.org/officeDocument/2006/relationships/hyperlink" Target="https://webagentes.canaldirecto.com.ar/incidents/view/670928-2" TargetMode="External"/><Relationship Id="rId394" Type="http://schemas.openxmlformats.org/officeDocument/2006/relationships/hyperlink" Target="https://webagentes.canaldirecto.com.ar/incidents/view/670919-4" TargetMode="External"/><Relationship Id="rId2075" Type="http://schemas.openxmlformats.org/officeDocument/2006/relationships/hyperlink" Target="https://webagentes.canaldirecto.com.ar/incidents/view/760044-7" TargetMode="External"/><Relationship Id="rId2282" Type="http://schemas.openxmlformats.org/officeDocument/2006/relationships/hyperlink" Target="https://webagentes.canaldirecto.com.ar/incidents/view/774415-8" TargetMode="External"/><Relationship Id="rId3126" Type="http://schemas.openxmlformats.org/officeDocument/2006/relationships/hyperlink" Target="https://webagentes.canaldirecto.com.ar/incidents/view/802199-3" TargetMode="External"/><Relationship Id="rId3680" Type="http://schemas.openxmlformats.org/officeDocument/2006/relationships/hyperlink" Target="https://webagentes.canaldirecto.com.ar/incidents/view/821208-1" TargetMode="External"/><Relationship Id="rId3778" Type="http://schemas.openxmlformats.org/officeDocument/2006/relationships/hyperlink" Target="https://webagentes.canaldirecto.com.ar/incidents/view/823660-1" TargetMode="External"/><Relationship Id="rId254" Type="http://schemas.openxmlformats.org/officeDocument/2006/relationships/hyperlink" Target="https://webagentes.canaldirecto.com.ar/incidents/view/675715-5" TargetMode="External"/><Relationship Id="rId699" Type="http://schemas.openxmlformats.org/officeDocument/2006/relationships/hyperlink" Target="https://webagentes.canaldirecto.com.ar/incidents/view/697767-0" TargetMode="External"/><Relationship Id="rId1091" Type="http://schemas.openxmlformats.org/officeDocument/2006/relationships/hyperlink" Target="https://webagentes.canaldirecto.com.ar/incidents/view/720775-4" TargetMode="External"/><Relationship Id="rId2587" Type="http://schemas.openxmlformats.org/officeDocument/2006/relationships/hyperlink" Target="https://webagentes.canaldirecto.com.ar/incidents/view/783095-0" TargetMode="External"/><Relationship Id="rId2794" Type="http://schemas.openxmlformats.org/officeDocument/2006/relationships/hyperlink" Target="https://webagentes.canaldirecto.com.ar/incidents/view/789475-4" TargetMode="External"/><Relationship Id="rId3333" Type="http://schemas.openxmlformats.org/officeDocument/2006/relationships/hyperlink" Target="https://webagentes.canaldirecto.com.ar/incidents/view/812689-0" TargetMode="External"/><Relationship Id="rId3540" Type="http://schemas.openxmlformats.org/officeDocument/2006/relationships/hyperlink" Target="https://webagentes.canaldirecto.com.ar/incidents/view/818674-0" TargetMode="External"/><Relationship Id="rId3638" Type="http://schemas.openxmlformats.org/officeDocument/2006/relationships/hyperlink" Target="https://webagentes.canaldirecto.com.ar/incidents/view/811855-4" TargetMode="External"/><Relationship Id="rId3845" Type="http://schemas.openxmlformats.org/officeDocument/2006/relationships/hyperlink" Target="https://webagentes.canaldirecto.com.ar/incidents/view/826340-1" TargetMode="External"/><Relationship Id="rId114" Type="http://schemas.openxmlformats.org/officeDocument/2006/relationships/hyperlink" Target="https://webagentes.canaldirecto.com.ar/incidents/view/669308-8" TargetMode="External"/><Relationship Id="rId461" Type="http://schemas.openxmlformats.org/officeDocument/2006/relationships/hyperlink" Target="https://webagentes.canaldirecto.com.ar/incidents/view/684412-3" TargetMode="External"/><Relationship Id="rId559" Type="http://schemas.openxmlformats.org/officeDocument/2006/relationships/hyperlink" Target="https://webagentes.canaldirecto.com.ar/incidents/view/691976-4" TargetMode="External"/><Relationship Id="rId766" Type="http://schemas.openxmlformats.org/officeDocument/2006/relationships/hyperlink" Target="https://webagentes.canaldirecto.com.ar/incidents/view/705902-3" TargetMode="External"/><Relationship Id="rId1189" Type="http://schemas.openxmlformats.org/officeDocument/2006/relationships/hyperlink" Target="https://webagentes.canaldirecto.com.ar/incidents/view/721871-4" TargetMode="External"/><Relationship Id="rId1396" Type="http://schemas.openxmlformats.org/officeDocument/2006/relationships/hyperlink" Target="https://webagentes.canaldirecto.com.ar/incidents/view/731500-8" TargetMode="External"/><Relationship Id="rId2142" Type="http://schemas.openxmlformats.org/officeDocument/2006/relationships/hyperlink" Target="https://webagentes.canaldirecto.com.ar/incidents/view/761104-5" TargetMode="External"/><Relationship Id="rId2447" Type="http://schemas.openxmlformats.org/officeDocument/2006/relationships/hyperlink" Target="https://webagentes.canaldirecto.com.ar/incidents/view/778741-8" TargetMode="External"/><Relationship Id="rId3400" Type="http://schemas.openxmlformats.org/officeDocument/2006/relationships/hyperlink" Target="https://webagentes.canaldirecto.com.ar/incidents/view/810982-0" TargetMode="External"/><Relationship Id="rId321" Type="http://schemas.openxmlformats.org/officeDocument/2006/relationships/hyperlink" Target="https://webagentes.canaldirecto.com.ar/incidents/view/673500-1" TargetMode="External"/><Relationship Id="rId419" Type="http://schemas.openxmlformats.org/officeDocument/2006/relationships/hyperlink" Target="https://webagentes.canaldirecto.com.ar/incidents/view/680996-2" TargetMode="External"/><Relationship Id="rId626" Type="http://schemas.openxmlformats.org/officeDocument/2006/relationships/hyperlink" Target="https://webagentes.canaldirecto.com.ar/incidents/view/693098-9" TargetMode="External"/><Relationship Id="rId973" Type="http://schemas.openxmlformats.org/officeDocument/2006/relationships/hyperlink" Target="https://webagentes.canaldirecto.com.ar/incidents/view/711621-2" TargetMode="External"/><Relationship Id="rId1049" Type="http://schemas.openxmlformats.org/officeDocument/2006/relationships/hyperlink" Target="https://webagentes.canaldirecto.com.ar/incidents/view/716422-8" TargetMode="External"/><Relationship Id="rId1256" Type="http://schemas.openxmlformats.org/officeDocument/2006/relationships/hyperlink" Target="https://webagentes.canaldirecto.com.ar/incidents/view/728287-0" TargetMode="External"/><Relationship Id="rId2002" Type="http://schemas.openxmlformats.org/officeDocument/2006/relationships/hyperlink" Target="https://webagentes.canaldirecto.com.ar/incidents/view/759070-6" TargetMode="External"/><Relationship Id="rId2307" Type="http://schemas.openxmlformats.org/officeDocument/2006/relationships/hyperlink" Target="https://webagentes.canaldirecto.com.ar/incidents/view/772766-5" TargetMode="External"/><Relationship Id="rId2654" Type="http://schemas.openxmlformats.org/officeDocument/2006/relationships/hyperlink" Target="https://webagentes.canaldirecto.com.ar/incidents/view/785698-5" TargetMode="External"/><Relationship Id="rId2861" Type="http://schemas.openxmlformats.org/officeDocument/2006/relationships/hyperlink" Target="https://webagentes.canaldirecto.com.ar/incidents/view/792643-3" TargetMode="External"/><Relationship Id="rId2959" Type="http://schemas.openxmlformats.org/officeDocument/2006/relationships/hyperlink" Target="https://webagentes.canaldirecto.com.ar/incidents/view/795736-3" TargetMode="External"/><Relationship Id="rId3705" Type="http://schemas.openxmlformats.org/officeDocument/2006/relationships/hyperlink" Target="https://webagentes.canaldirecto.com.ar/incidents/view/820183-6" TargetMode="External"/><Relationship Id="rId3912" Type="http://schemas.openxmlformats.org/officeDocument/2006/relationships/hyperlink" Target="https://webagentes.canaldirecto.com.ar/incidents/view/830017-3" TargetMode="External"/><Relationship Id="rId833" Type="http://schemas.openxmlformats.org/officeDocument/2006/relationships/hyperlink" Target="https://webagentes.canaldirecto.com.ar/incidents/view/709268-4" TargetMode="External"/><Relationship Id="rId1116" Type="http://schemas.openxmlformats.org/officeDocument/2006/relationships/hyperlink" Target="https://webagentes.canaldirecto.com.ar/incidents/view/720022-9" TargetMode="External"/><Relationship Id="rId1463" Type="http://schemas.openxmlformats.org/officeDocument/2006/relationships/hyperlink" Target="https://webagentes.canaldirecto.com.ar/incidents/view/733547-3" TargetMode="External"/><Relationship Id="rId1670" Type="http://schemas.openxmlformats.org/officeDocument/2006/relationships/hyperlink" Target="https://webagentes.canaldirecto.com.ar/incidents/view/746799-4" TargetMode="External"/><Relationship Id="rId1768" Type="http://schemas.openxmlformats.org/officeDocument/2006/relationships/hyperlink" Target="https://webagentes.canaldirecto.com.ar/incidents/view/749200-6" TargetMode="External"/><Relationship Id="rId2514" Type="http://schemas.openxmlformats.org/officeDocument/2006/relationships/hyperlink" Target="https://webagentes.canaldirecto.com.ar/incidents/view/782121-7" TargetMode="External"/><Relationship Id="rId2721" Type="http://schemas.openxmlformats.org/officeDocument/2006/relationships/hyperlink" Target="https://webagentes.canaldirecto.com.ar/incidents/view/787192-0" TargetMode="External"/><Relationship Id="rId2819" Type="http://schemas.openxmlformats.org/officeDocument/2006/relationships/hyperlink" Target="https://webagentes.canaldirecto.com.ar/incidents/view/794386-5" TargetMode="External"/><Relationship Id="rId900" Type="http://schemas.openxmlformats.org/officeDocument/2006/relationships/hyperlink" Target="https://webagentes.canaldirecto.com.ar/incidents/view/712502-5" TargetMode="External"/><Relationship Id="rId1323" Type="http://schemas.openxmlformats.org/officeDocument/2006/relationships/hyperlink" Target="https://webagentes.canaldirecto.com.ar/incidents/view/730283-7" TargetMode="External"/><Relationship Id="rId1530" Type="http://schemas.openxmlformats.org/officeDocument/2006/relationships/hyperlink" Target="https://webagentes.canaldirecto.com.ar/incidents/view/741082-6" TargetMode="External"/><Relationship Id="rId1628" Type="http://schemas.openxmlformats.org/officeDocument/2006/relationships/hyperlink" Target="https://webagentes.canaldirecto.com.ar/incidents/view/743382-7" TargetMode="External"/><Relationship Id="rId1975" Type="http://schemas.openxmlformats.org/officeDocument/2006/relationships/hyperlink" Target="https://webagentes.canaldirecto.com.ar/incidents/view/755179-8" TargetMode="External"/><Relationship Id="rId3190" Type="http://schemas.openxmlformats.org/officeDocument/2006/relationships/hyperlink" Target="https://webagentes.canaldirecto.com.ar/incidents/view/805487-6" TargetMode="External"/><Relationship Id="rId1835" Type="http://schemas.openxmlformats.org/officeDocument/2006/relationships/hyperlink" Target="https://webagentes.canaldirecto.com.ar/incidents/view/746839-1" TargetMode="External"/><Relationship Id="rId3050" Type="http://schemas.openxmlformats.org/officeDocument/2006/relationships/hyperlink" Target="https://webagentes.canaldirecto.com.ar/incidents/view/799263-0" TargetMode="External"/><Relationship Id="rId3288" Type="http://schemas.openxmlformats.org/officeDocument/2006/relationships/hyperlink" Target="https://webagentes.canaldirecto.com.ar/incidents/view/807034-2" TargetMode="External"/><Relationship Id="rId3495" Type="http://schemas.openxmlformats.org/officeDocument/2006/relationships/hyperlink" Target="https://webagentes.canaldirecto.com.ar/incidents/view/813981-2" TargetMode="External"/><Relationship Id="rId1902" Type="http://schemas.openxmlformats.org/officeDocument/2006/relationships/hyperlink" Target="https://webagentes.canaldirecto.com.ar/incidents/view/749089-5" TargetMode="External"/><Relationship Id="rId2097" Type="http://schemas.openxmlformats.org/officeDocument/2006/relationships/hyperlink" Target="https://webagentes.canaldirecto.com.ar/incidents/view/763974-0" TargetMode="External"/><Relationship Id="rId3148" Type="http://schemas.openxmlformats.org/officeDocument/2006/relationships/hyperlink" Target="https://webagentes.canaldirecto.com.ar/incidents/view/801017-3" TargetMode="External"/><Relationship Id="rId3355" Type="http://schemas.openxmlformats.org/officeDocument/2006/relationships/hyperlink" Target="https://webagentes.canaldirecto.com.ar/incidents/view/812152-1" TargetMode="External"/><Relationship Id="rId3562" Type="http://schemas.openxmlformats.org/officeDocument/2006/relationships/hyperlink" Target="https://webagentes.canaldirecto.com.ar/incidents/view/818433-5" TargetMode="External"/><Relationship Id="rId276" Type="http://schemas.openxmlformats.org/officeDocument/2006/relationships/hyperlink" Target="https://webagentes.canaldirecto.com.ar/incidents/view/675130-0" TargetMode="External"/><Relationship Id="rId483" Type="http://schemas.openxmlformats.org/officeDocument/2006/relationships/hyperlink" Target="https://webagentes.canaldirecto.com.ar/incidents/view/690270-0" TargetMode="External"/><Relationship Id="rId690" Type="http://schemas.openxmlformats.org/officeDocument/2006/relationships/hyperlink" Target="https://webagentes.canaldirecto.com.ar/incidents/view/698426-3" TargetMode="External"/><Relationship Id="rId2164" Type="http://schemas.openxmlformats.org/officeDocument/2006/relationships/hyperlink" Target="https://webagentes.canaldirecto.com.ar/incidents/view/765657-0" TargetMode="External"/><Relationship Id="rId2371" Type="http://schemas.openxmlformats.org/officeDocument/2006/relationships/hyperlink" Target="https://webagentes.canaldirecto.com.ar/incidents/view/780440-5" TargetMode="External"/><Relationship Id="rId3008" Type="http://schemas.openxmlformats.org/officeDocument/2006/relationships/hyperlink" Target="https://webagentes.canaldirecto.com.ar/incidents/view/800026-4" TargetMode="External"/><Relationship Id="rId3215" Type="http://schemas.openxmlformats.org/officeDocument/2006/relationships/hyperlink" Target="https://webagentes.canaldirecto.com.ar/incidents/view/804133-1" TargetMode="External"/><Relationship Id="rId3422" Type="http://schemas.openxmlformats.org/officeDocument/2006/relationships/hyperlink" Target="https://webagentes.canaldirecto.com.ar/incidents/view/809796-9" TargetMode="External"/><Relationship Id="rId3867" Type="http://schemas.openxmlformats.org/officeDocument/2006/relationships/hyperlink" Target="https://webagentes.canaldirecto.com.ar/incidents/view/825950-5" TargetMode="External"/><Relationship Id="rId136" Type="http://schemas.openxmlformats.org/officeDocument/2006/relationships/hyperlink" Target="https://webagentes.canaldirecto.com.ar/incidents/view/668256-9" TargetMode="External"/><Relationship Id="rId343" Type="http://schemas.openxmlformats.org/officeDocument/2006/relationships/hyperlink" Target="https://webagentes.canaldirecto.com.ar/incidents/view/679180-3" TargetMode="External"/><Relationship Id="rId550" Type="http://schemas.openxmlformats.org/officeDocument/2006/relationships/hyperlink" Target="https://webagentes.canaldirecto.com.ar/incidents/view/660280-0" TargetMode="External"/><Relationship Id="rId788" Type="http://schemas.openxmlformats.org/officeDocument/2006/relationships/hyperlink" Target="https://webagentes.canaldirecto.com.ar/incidents/view/704748-0" TargetMode="External"/><Relationship Id="rId995" Type="http://schemas.openxmlformats.org/officeDocument/2006/relationships/hyperlink" Target="https://webagentes.canaldirecto.com.ar/incidents/view/717273-1" TargetMode="External"/><Relationship Id="rId1180" Type="http://schemas.openxmlformats.org/officeDocument/2006/relationships/hyperlink" Target="https://webagentes.canaldirecto.com.ar/incidents/view/721950-0" TargetMode="External"/><Relationship Id="rId2024" Type="http://schemas.openxmlformats.org/officeDocument/2006/relationships/hyperlink" Target="https://webagentes.canaldirecto.com.ar/incidents/view/757136-7" TargetMode="External"/><Relationship Id="rId2231" Type="http://schemas.openxmlformats.org/officeDocument/2006/relationships/hyperlink" Target="https://webagentes.canaldirecto.com.ar/incidents/view/770977-5" TargetMode="External"/><Relationship Id="rId2469" Type="http://schemas.openxmlformats.org/officeDocument/2006/relationships/hyperlink" Target="https://webagentes.canaldirecto.com.ar/incidents/view/776966-1" TargetMode="External"/><Relationship Id="rId2676" Type="http://schemas.openxmlformats.org/officeDocument/2006/relationships/hyperlink" Target="https://webagentes.canaldirecto.com.ar/incidents/view/788634-8" TargetMode="External"/><Relationship Id="rId2883" Type="http://schemas.openxmlformats.org/officeDocument/2006/relationships/hyperlink" Target="https://webagentes.canaldirecto.com.ar/incidents/view/792445-3" TargetMode="External"/><Relationship Id="rId3727" Type="http://schemas.openxmlformats.org/officeDocument/2006/relationships/hyperlink" Target="https://webagentes.canaldirecto.com.ar/incidents/view/815820-6" TargetMode="External"/><Relationship Id="rId3934" Type="http://schemas.openxmlformats.org/officeDocument/2006/relationships/hyperlink" Target="https://webagentes.canaldirecto.com.ar/incidents/view/829664-9" TargetMode="External"/><Relationship Id="rId203" Type="http://schemas.openxmlformats.org/officeDocument/2006/relationships/hyperlink" Target="https://webagentes.canaldirecto.com.ar/incidents/view/670273-9" TargetMode="External"/><Relationship Id="rId648" Type="http://schemas.openxmlformats.org/officeDocument/2006/relationships/hyperlink" Target="https://webagentes.canaldirecto.com.ar/incidents/view/696989-3" TargetMode="External"/><Relationship Id="rId855" Type="http://schemas.openxmlformats.org/officeDocument/2006/relationships/hyperlink" Target="https://webagentes.canaldirecto.com.ar/incidents/view/708213-7" TargetMode="External"/><Relationship Id="rId1040" Type="http://schemas.openxmlformats.org/officeDocument/2006/relationships/hyperlink" Target="https://webagentes.canaldirecto.com.ar/incidents/view/716439-8" TargetMode="External"/><Relationship Id="rId1278" Type="http://schemas.openxmlformats.org/officeDocument/2006/relationships/hyperlink" Target="https://webagentes.canaldirecto.com.ar/incidents/view/727242-0" TargetMode="External"/><Relationship Id="rId1485" Type="http://schemas.openxmlformats.org/officeDocument/2006/relationships/hyperlink" Target="https://webagentes.canaldirecto.com.ar/incidents/view/737508-2" TargetMode="External"/><Relationship Id="rId1692" Type="http://schemas.openxmlformats.org/officeDocument/2006/relationships/hyperlink" Target="https://webagentes.canaldirecto.com.ar/incidents/view/746258-2" TargetMode="External"/><Relationship Id="rId2329" Type="http://schemas.openxmlformats.org/officeDocument/2006/relationships/hyperlink" Target="https://webagentes.canaldirecto.com.ar/incidents/view/732179-9" TargetMode="External"/><Relationship Id="rId2536" Type="http://schemas.openxmlformats.org/officeDocument/2006/relationships/hyperlink" Target="https://webagentes.canaldirecto.com.ar/incidents/view/781121-0" TargetMode="External"/><Relationship Id="rId2743" Type="http://schemas.openxmlformats.org/officeDocument/2006/relationships/hyperlink" Target="https://webagentes.canaldirecto.com.ar/incidents/view/791301-3" TargetMode="External"/><Relationship Id="rId410" Type="http://schemas.openxmlformats.org/officeDocument/2006/relationships/hyperlink" Target="https://webagentes.canaldirecto.com.ar/incidents/view/682257-4" TargetMode="External"/><Relationship Id="rId508" Type="http://schemas.openxmlformats.org/officeDocument/2006/relationships/hyperlink" Target="https://webagentes.canaldirecto.com.ar/incidents/view/689371-2" TargetMode="External"/><Relationship Id="rId715" Type="http://schemas.openxmlformats.org/officeDocument/2006/relationships/hyperlink" Target="https://webagentes.canaldirecto.com.ar/incidents/view/703336-2" TargetMode="External"/><Relationship Id="rId922" Type="http://schemas.openxmlformats.org/officeDocument/2006/relationships/hyperlink" Target="https://webagentes.canaldirecto.com.ar/incidents/view/712196-8" TargetMode="External"/><Relationship Id="rId1138" Type="http://schemas.openxmlformats.org/officeDocument/2006/relationships/hyperlink" Target="https://webagentes.canaldirecto.com.ar/incidents/view/718928-1" TargetMode="External"/><Relationship Id="rId1345" Type="http://schemas.openxmlformats.org/officeDocument/2006/relationships/hyperlink" Target="https://webagentes.canaldirecto.com.ar/incidents/view/728337-4" TargetMode="External"/><Relationship Id="rId1552" Type="http://schemas.openxmlformats.org/officeDocument/2006/relationships/hyperlink" Target="https://webagentes.canaldirecto.com.ar/incidents/view/739074-4" TargetMode="External"/><Relationship Id="rId1997" Type="http://schemas.openxmlformats.org/officeDocument/2006/relationships/hyperlink" Target="https://webagentes.canaldirecto.com.ar/incidents/view/749616-3" TargetMode="External"/><Relationship Id="rId2603" Type="http://schemas.openxmlformats.org/officeDocument/2006/relationships/hyperlink" Target="https://webagentes.canaldirecto.com.ar/incidents/view/782866-3" TargetMode="External"/><Relationship Id="rId2950" Type="http://schemas.openxmlformats.org/officeDocument/2006/relationships/hyperlink" Target="https://webagentes.canaldirecto.com.ar/incidents/view/795876-0" TargetMode="External"/><Relationship Id="rId1205" Type="http://schemas.openxmlformats.org/officeDocument/2006/relationships/hyperlink" Target="https://webagentes.canaldirecto.com.ar/incidents/view/720621-4" TargetMode="External"/><Relationship Id="rId1857" Type="http://schemas.openxmlformats.org/officeDocument/2006/relationships/hyperlink" Target="https://webagentes.canaldirecto.com.ar/incidents/view/751366-4" TargetMode="External"/><Relationship Id="rId2810" Type="http://schemas.openxmlformats.org/officeDocument/2006/relationships/hyperlink" Target="https://webagentes.canaldirecto.com.ar/incidents/view/794402-2" TargetMode="External"/><Relationship Id="rId2908" Type="http://schemas.openxmlformats.org/officeDocument/2006/relationships/hyperlink" Target="https://webagentes.canaldirecto.com.ar/incidents/view/797545-7" TargetMode="External"/><Relationship Id="rId51" Type="http://schemas.openxmlformats.org/officeDocument/2006/relationships/hyperlink" Target="https://webagentes.canaldirecto.com.ar/incidents/view/661189-9" TargetMode="External"/><Relationship Id="rId1412" Type="http://schemas.openxmlformats.org/officeDocument/2006/relationships/hyperlink" Target="https://webagentes.canaldirecto.com.ar/incidents/view/736256-5" TargetMode="External"/><Relationship Id="rId1717" Type="http://schemas.openxmlformats.org/officeDocument/2006/relationships/hyperlink" Target="https://webagentes.canaldirecto.com.ar/incidents/view/745820-6" TargetMode="External"/><Relationship Id="rId1924" Type="http://schemas.openxmlformats.org/officeDocument/2006/relationships/hyperlink" Target="https://webagentes.canaldirecto.com.ar/incidents/view/753039-7" TargetMode="External"/><Relationship Id="rId3072" Type="http://schemas.openxmlformats.org/officeDocument/2006/relationships/hyperlink" Target="https://webagentes.canaldirecto.com.ar/incidents/view/798301-2" TargetMode="External"/><Relationship Id="rId3377" Type="http://schemas.openxmlformats.org/officeDocument/2006/relationships/hyperlink" Target="https://webagentes.canaldirecto.com.ar/incidents/view/811397-5" TargetMode="External"/><Relationship Id="rId298" Type="http://schemas.openxmlformats.org/officeDocument/2006/relationships/hyperlink" Target="https://webagentes.canaldirecto.com.ar/incidents/view/674429-4" TargetMode="External"/><Relationship Id="rId3584" Type="http://schemas.openxmlformats.org/officeDocument/2006/relationships/hyperlink" Target="https://webagentes.canaldirecto.com.ar/incidents/view/817731-7" TargetMode="External"/><Relationship Id="rId3791" Type="http://schemas.openxmlformats.org/officeDocument/2006/relationships/hyperlink" Target="https://webagentes.canaldirecto.com.ar/incidents/view/823116-5" TargetMode="External"/><Relationship Id="rId3889" Type="http://schemas.openxmlformats.org/officeDocument/2006/relationships/hyperlink" Target="https://webagentes.canaldirecto.com.ar/incidents/view/831915-3" TargetMode="External"/><Relationship Id="rId158" Type="http://schemas.openxmlformats.org/officeDocument/2006/relationships/hyperlink" Target="https://webagentes.canaldirecto.com.ar/incidents/view/673339-5" TargetMode="External"/><Relationship Id="rId2186" Type="http://schemas.openxmlformats.org/officeDocument/2006/relationships/hyperlink" Target="https://webagentes.canaldirecto.com.ar/incidents/view/768575-8" TargetMode="External"/><Relationship Id="rId2393" Type="http://schemas.openxmlformats.org/officeDocument/2006/relationships/hyperlink" Target="https://webagentes.canaldirecto.com.ar/incidents/view/779784-0" TargetMode="External"/><Relationship Id="rId2698" Type="http://schemas.openxmlformats.org/officeDocument/2006/relationships/hyperlink" Target="https://webagentes.canaldirecto.com.ar/incidents/view/788338-7" TargetMode="External"/><Relationship Id="rId3237" Type="http://schemas.openxmlformats.org/officeDocument/2006/relationships/hyperlink" Target="https://webagentes.canaldirecto.com.ar/incidents/view/809404-1" TargetMode="External"/><Relationship Id="rId3444" Type="http://schemas.openxmlformats.org/officeDocument/2006/relationships/hyperlink" Target="https://webagentes.canaldirecto.com.ar/incidents/view/816259-1" TargetMode="External"/><Relationship Id="rId3651" Type="http://schemas.openxmlformats.org/officeDocument/2006/relationships/hyperlink" Target="https://webagentes.canaldirecto.com.ar/incidents/view/822183-0" TargetMode="External"/><Relationship Id="rId365" Type="http://schemas.openxmlformats.org/officeDocument/2006/relationships/hyperlink" Target="https://webagentes.canaldirecto.com.ar/incidents/view/678128-6" TargetMode="External"/><Relationship Id="rId572" Type="http://schemas.openxmlformats.org/officeDocument/2006/relationships/hyperlink" Target="https://webagentes.canaldirecto.com.ar/incidents/view/690636-2" TargetMode="External"/><Relationship Id="rId2046" Type="http://schemas.openxmlformats.org/officeDocument/2006/relationships/hyperlink" Target="https://webagentes.canaldirecto.com.ar/incidents/view/760808-7" TargetMode="External"/><Relationship Id="rId2253" Type="http://schemas.openxmlformats.org/officeDocument/2006/relationships/hyperlink" Target="https://webagentes.canaldirecto.com.ar/incidents/view/770068-6" TargetMode="External"/><Relationship Id="rId2460" Type="http://schemas.openxmlformats.org/officeDocument/2006/relationships/hyperlink" Target="https://webagentes.canaldirecto.com.ar/incidents/view/777807-6" TargetMode="External"/><Relationship Id="rId3304" Type="http://schemas.openxmlformats.org/officeDocument/2006/relationships/hyperlink" Target="https://webagentes.canaldirecto.com.ar/incidents/view/813620-4" TargetMode="External"/><Relationship Id="rId3511" Type="http://schemas.openxmlformats.org/officeDocument/2006/relationships/hyperlink" Target="https://webagentes.canaldirecto.com.ar/incidents/view/819763-0" TargetMode="External"/><Relationship Id="rId3749" Type="http://schemas.openxmlformats.org/officeDocument/2006/relationships/hyperlink" Target="https://webagentes.canaldirecto.com.ar/incidents/view/824667-1" TargetMode="External"/><Relationship Id="rId3956" Type="http://schemas.openxmlformats.org/officeDocument/2006/relationships/hyperlink" Target="https://webagentes.canaldirecto.com.ar/incidents/view/829006-1" TargetMode="External"/><Relationship Id="rId225" Type="http://schemas.openxmlformats.org/officeDocument/2006/relationships/hyperlink" Target="https://webagentes.canaldirecto.com.ar/incidents/view/677730-8" TargetMode="External"/><Relationship Id="rId432" Type="http://schemas.openxmlformats.org/officeDocument/2006/relationships/hyperlink" Target="https://webagentes.canaldirecto.com.ar/incidents/view/686295-2" TargetMode="External"/><Relationship Id="rId877" Type="http://schemas.openxmlformats.org/officeDocument/2006/relationships/hyperlink" Target="https://webagentes.canaldirecto.com.ar/incidents/view/704666-7" TargetMode="External"/><Relationship Id="rId1062" Type="http://schemas.openxmlformats.org/officeDocument/2006/relationships/hyperlink" Target="https://webagentes.canaldirecto.com.ar/incidents/view/716251-2" TargetMode="External"/><Relationship Id="rId2113" Type="http://schemas.openxmlformats.org/officeDocument/2006/relationships/hyperlink" Target="https://webagentes.canaldirecto.com.ar/incidents/view/762843-4" TargetMode="External"/><Relationship Id="rId2320" Type="http://schemas.openxmlformats.org/officeDocument/2006/relationships/hyperlink" Target="https://webagentes.canaldirecto.com.ar/incidents/view/772162-5" TargetMode="External"/><Relationship Id="rId2558" Type="http://schemas.openxmlformats.org/officeDocument/2006/relationships/hyperlink" Target="https://webagentes.canaldirecto.com.ar/incidents/view/785317-3" TargetMode="External"/><Relationship Id="rId2765" Type="http://schemas.openxmlformats.org/officeDocument/2006/relationships/hyperlink" Target="https://webagentes.canaldirecto.com.ar/incidents/view/789883-9" TargetMode="External"/><Relationship Id="rId2972" Type="http://schemas.openxmlformats.org/officeDocument/2006/relationships/hyperlink" Target="https://webagentes.canaldirecto.com.ar/incidents/view/795578-1" TargetMode="External"/><Relationship Id="rId3609" Type="http://schemas.openxmlformats.org/officeDocument/2006/relationships/hyperlink" Target="https://webagentes.canaldirecto.com.ar/incidents/view/816910-5" TargetMode="External"/><Relationship Id="rId3816" Type="http://schemas.openxmlformats.org/officeDocument/2006/relationships/hyperlink" Target="https://webagentes.canaldirecto.com.ar/incidents/view/827761-7" TargetMode="External"/><Relationship Id="rId737" Type="http://schemas.openxmlformats.org/officeDocument/2006/relationships/hyperlink" Target="https://webagentes.canaldirecto.com.ar/incidents/view/701814-1" TargetMode="External"/><Relationship Id="rId944" Type="http://schemas.openxmlformats.org/officeDocument/2006/relationships/hyperlink" Target="https://webagentes.canaldirecto.com.ar/incidents/view/712036-7" TargetMode="External"/><Relationship Id="rId1367" Type="http://schemas.openxmlformats.org/officeDocument/2006/relationships/hyperlink" Target="https://webagentes.canaldirecto.com.ar/incidents/view/732800-2" TargetMode="External"/><Relationship Id="rId1574" Type="http://schemas.openxmlformats.org/officeDocument/2006/relationships/hyperlink" Target="https://webagentes.canaldirecto.com.ar/incidents/view/744271-9" TargetMode="External"/><Relationship Id="rId1781" Type="http://schemas.openxmlformats.org/officeDocument/2006/relationships/hyperlink" Target="https://webagentes.canaldirecto.com.ar/incidents/view/749043-3" TargetMode="External"/><Relationship Id="rId2418" Type="http://schemas.openxmlformats.org/officeDocument/2006/relationships/hyperlink" Target="https://webagentes.canaldirecto.com.ar/incidents/view/779276-6" TargetMode="External"/><Relationship Id="rId2625" Type="http://schemas.openxmlformats.org/officeDocument/2006/relationships/hyperlink" Target="https://webagentes.canaldirecto.com.ar/incidents/view/787012-5" TargetMode="External"/><Relationship Id="rId2832" Type="http://schemas.openxmlformats.org/officeDocument/2006/relationships/hyperlink" Target="https://webagentes.canaldirecto.com.ar/incidents/view/794224-6" TargetMode="External"/><Relationship Id="rId73" Type="http://schemas.openxmlformats.org/officeDocument/2006/relationships/hyperlink" Target="https://webagentes.canaldirecto.com.ar/incidents/view/665345-1" TargetMode="External"/><Relationship Id="rId804" Type="http://schemas.openxmlformats.org/officeDocument/2006/relationships/hyperlink" Target="https://webagentes.canaldirecto.com.ar/incidents/view/703621-7" TargetMode="External"/><Relationship Id="rId1227" Type="http://schemas.openxmlformats.org/officeDocument/2006/relationships/hyperlink" Target="https://webagentes.canaldirecto.com.ar/incidents/view/724049-4" TargetMode="External"/><Relationship Id="rId1434" Type="http://schemas.openxmlformats.org/officeDocument/2006/relationships/hyperlink" Target="https://webagentes.canaldirecto.com.ar/incidents/view/735614-8" TargetMode="External"/><Relationship Id="rId1641" Type="http://schemas.openxmlformats.org/officeDocument/2006/relationships/hyperlink" Target="https://webagentes.canaldirecto.com.ar/incidents/view/742916-1" TargetMode="External"/><Relationship Id="rId1879" Type="http://schemas.openxmlformats.org/officeDocument/2006/relationships/hyperlink" Target="https://webagentes.canaldirecto.com.ar/incidents/view/750016-5" TargetMode="External"/><Relationship Id="rId3094" Type="http://schemas.openxmlformats.org/officeDocument/2006/relationships/hyperlink" Target="https://webagentes.canaldirecto.com.ar/incidents/view/785982-1" TargetMode="External"/><Relationship Id="rId1501" Type="http://schemas.openxmlformats.org/officeDocument/2006/relationships/hyperlink" Target="https://webagentes.canaldirecto.com.ar/incidents/view/736736-6" TargetMode="External"/><Relationship Id="rId1739" Type="http://schemas.openxmlformats.org/officeDocument/2006/relationships/hyperlink" Target="https://webagentes.canaldirecto.com.ar/incidents/view/745379-7" TargetMode="External"/><Relationship Id="rId1946" Type="http://schemas.openxmlformats.org/officeDocument/2006/relationships/hyperlink" Target="https://webagentes.canaldirecto.com.ar/incidents/view/750577-1" TargetMode="External"/><Relationship Id="rId3399" Type="http://schemas.openxmlformats.org/officeDocument/2006/relationships/hyperlink" Target="https://webagentes.canaldirecto.com.ar/incidents/view/810983-9" TargetMode="External"/><Relationship Id="rId1806" Type="http://schemas.openxmlformats.org/officeDocument/2006/relationships/hyperlink" Target="https://webagentes.canaldirecto.com.ar/incidents/view/748506-0" TargetMode="External"/><Relationship Id="rId3161" Type="http://schemas.openxmlformats.org/officeDocument/2006/relationships/hyperlink" Target="https://webagentes.canaldirecto.com.ar/incidents/view/797416-6" TargetMode="External"/><Relationship Id="rId3259" Type="http://schemas.openxmlformats.org/officeDocument/2006/relationships/hyperlink" Target="https://webagentes.canaldirecto.com.ar/incidents/view/808953-5" TargetMode="External"/><Relationship Id="rId3466" Type="http://schemas.openxmlformats.org/officeDocument/2006/relationships/hyperlink" Target="https://webagentes.canaldirecto.com.ar/incidents/view/815354-8" TargetMode="External"/><Relationship Id="rId387" Type="http://schemas.openxmlformats.org/officeDocument/2006/relationships/hyperlink" Target="https://webagentes.canaldirecto.com.ar/incidents/view/677405-5" TargetMode="External"/><Relationship Id="rId594" Type="http://schemas.openxmlformats.org/officeDocument/2006/relationships/hyperlink" Target="https://webagentes.canaldirecto.com.ar/incidents/view/688515-7" TargetMode="External"/><Relationship Id="rId2068" Type="http://schemas.openxmlformats.org/officeDocument/2006/relationships/hyperlink" Target="https://webagentes.canaldirecto.com.ar/incidents/view/760296-8" TargetMode="External"/><Relationship Id="rId2275" Type="http://schemas.openxmlformats.org/officeDocument/2006/relationships/hyperlink" Target="https://webagentes.canaldirecto.com.ar/incidents/view/768813-5" TargetMode="External"/><Relationship Id="rId3021" Type="http://schemas.openxmlformats.org/officeDocument/2006/relationships/hyperlink" Target="https://webagentes.canaldirecto.com.ar/incidents/view/799969-7" TargetMode="External"/><Relationship Id="rId3119" Type="http://schemas.openxmlformats.org/officeDocument/2006/relationships/hyperlink" Target="https://webagentes.canaldirecto.com.ar/incidents/view/802416-7" TargetMode="External"/><Relationship Id="rId3326" Type="http://schemas.openxmlformats.org/officeDocument/2006/relationships/hyperlink" Target="https://webagentes.canaldirecto.com.ar/incidents/view/812852-4" TargetMode="External"/><Relationship Id="rId3673" Type="http://schemas.openxmlformats.org/officeDocument/2006/relationships/hyperlink" Target="https://webagentes.canaldirecto.com.ar/incidents/view/821805-8" TargetMode="External"/><Relationship Id="rId3880" Type="http://schemas.openxmlformats.org/officeDocument/2006/relationships/hyperlink" Target="https://webagentes.canaldirecto.com.ar/incidents/view/824717-5" TargetMode="External"/><Relationship Id="rId247" Type="http://schemas.openxmlformats.org/officeDocument/2006/relationships/hyperlink" Target="https://webagentes.canaldirecto.com.ar/incidents/view/676202-3" TargetMode="External"/><Relationship Id="rId899" Type="http://schemas.openxmlformats.org/officeDocument/2006/relationships/hyperlink" Target="https://webagentes.canaldirecto.com.ar/incidents/view/712761-6" TargetMode="External"/><Relationship Id="rId1084" Type="http://schemas.openxmlformats.org/officeDocument/2006/relationships/hyperlink" Target="https://webagentes.canaldirecto.com.ar/incidents/view/713724-2" TargetMode="External"/><Relationship Id="rId2482" Type="http://schemas.openxmlformats.org/officeDocument/2006/relationships/hyperlink" Target="https://webagentes.canaldirecto.com.ar/incidents/view/782743-3" TargetMode="External"/><Relationship Id="rId2787" Type="http://schemas.openxmlformats.org/officeDocument/2006/relationships/hyperlink" Target="https://webagentes.canaldirecto.com.ar/incidents/view/790161-0" TargetMode="External"/><Relationship Id="rId3533" Type="http://schemas.openxmlformats.org/officeDocument/2006/relationships/hyperlink" Target="https://webagentes.canaldirecto.com.ar/incidents/view/818722-6" TargetMode="External"/><Relationship Id="rId3740" Type="http://schemas.openxmlformats.org/officeDocument/2006/relationships/hyperlink" Target="https://webagentes.canaldirecto.com.ar/incidents/view/824824-4" TargetMode="External"/><Relationship Id="rId3838" Type="http://schemas.openxmlformats.org/officeDocument/2006/relationships/hyperlink" Target="https://webagentes.canaldirecto.com.ar/incidents/view/826948-7" TargetMode="External"/><Relationship Id="rId107" Type="http://schemas.openxmlformats.org/officeDocument/2006/relationships/hyperlink" Target="https://webagentes.canaldirecto.com.ar/incidents/view/669383-9" TargetMode="External"/><Relationship Id="rId454" Type="http://schemas.openxmlformats.org/officeDocument/2006/relationships/hyperlink" Target="https://webagentes.canaldirecto.com.ar/incidents/view/684977-5" TargetMode="External"/><Relationship Id="rId661" Type="http://schemas.openxmlformats.org/officeDocument/2006/relationships/hyperlink" Target="https://webagentes.canaldirecto.com.ar/incidents/view/695166-3" TargetMode="External"/><Relationship Id="rId759" Type="http://schemas.openxmlformats.org/officeDocument/2006/relationships/hyperlink" Target="https://webagentes.canaldirecto.com.ar/incidents/view/706615-7" TargetMode="External"/><Relationship Id="rId966" Type="http://schemas.openxmlformats.org/officeDocument/2006/relationships/hyperlink" Target="https://webagentes.canaldirecto.com.ar/incidents/view/711678-0" TargetMode="External"/><Relationship Id="rId1291" Type="http://schemas.openxmlformats.org/officeDocument/2006/relationships/hyperlink" Target="https://webagentes.canaldirecto.com.ar/incidents/view/726682-7" TargetMode="External"/><Relationship Id="rId1389" Type="http://schemas.openxmlformats.org/officeDocument/2006/relationships/hyperlink" Target="https://webagentes.canaldirecto.com.ar/incidents/view/732374-2" TargetMode="External"/><Relationship Id="rId1596" Type="http://schemas.openxmlformats.org/officeDocument/2006/relationships/hyperlink" Target="https://webagentes.canaldirecto.com.ar/incidents/view/744001-2" TargetMode="External"/><Relationship Id="rId2135" Type="http://schemas.openxmlformats.org/officeDocument/2006/relationships/hyperlink" Target="https://webagentes.canaldirecto.com.ar/incidents/view/761588-3" TargetMode="External"/><Relationship Id="rId2342" Type="http://schemas.openxmlformats.org/officeDocument/2006/relationships/hyperlink" Target="https://webagentes.canaldirecto.com.ar/incidents/view/776115-5" TargetMode="External"/><Relationship Id="rId2647" Type="http://schemas.openxmlformats.org/officeDocument/2006/relationships/hyperlink" Target="https://webagentes.canaldirecto.com.ar/incidents/view/785999-1" TargetMode="External"/><Relationship Id="rId2994" Type="http://schemas.openxmlformats.org/officeDocument/2006/relationships/hyperlink" Target="https://webagentes.canaldirecto.com.ar/incidents/view/794594-2" TargetMode="External"/><Relationship Id="rId3600" Type="http://schemas.openxmlformats.org/officeDocument/2006/relationships/hyperlink" Target="https://webagentes.canaldirecto.com.ar/incidents/view/817543-4" TargetMode="External"/><Relationship Id="rId314" Type="http://schemas.openxmlformats.org/officeDocument/2006/relationships/hyperlink" Target="https://webagentes.canaldirecto.com.ar/incidents/view/673930-8" TargetMode="External"/><Relationship Id="rId521" Type="http://schemas.openxmlformats.org/officeDocument/2006/relationships/hyperlink" Target="https://webagentes.canaldirecto.com.ar/incidents/view/688191-1" TargetMode="External"/><Relationship Id="rId619" Type="http://schemas.openxmlformats.org/officeDocument/2006/relationships/hyperlink" Target="https://webagentes.canaldirecto.com.ar/incidents/view/693581-4" TargetMode="External"/><Relationship Id="rId1151" Type="http://schemas.openxmlformats.org/officeDocument/2006/relationships/hyperlink" Target="https://webagentes.canaldirecto.com.ar/incidents/view/718039-6" TargetMode="External"/><Relationship Id="rId1249" Type="http://schemas.openxmlformats.org/officeDocument/2006/relationships/hyperlink" Target="https://webagentes.canaldirecto.com.ar/incidents/view/728369-3" TargetMode="External"/><Relationship Id="rId2202" Type="http://schemas.openxmlformats.org/officeDocument/2006/relationships/hyperlink" Target="https://webagentes.canaldirecto.com.ar/incidents/view/767451-2" TargetMode="External"/><Relationship Id="rId2854" Type="http://schemas.openxmlformats.org/officeDocument/2006/relationships/hyperlink" Target="https://webagentes.canaldirecto.com.ar/incidents/view/792942-1" TargetMode="External"/><Relationship Id="rId3905" Type="http://schemas.openxmlformats.org/officeDocument/2006/relationships/hyperlink" Target="https://webagentes.canaldirecto.com.ar/incidents/view/830429-4" TargetMode="External"/><Relationship Id="rId95" Type="http://schemas.openxmlformats.org/officeDocument/2006/relationships/hyperlink" Target="https://webagentes.canaldirecto.com.ar/incidents/view/669761-3" TargetMode="External"/><Relationship Id="rId826" Type="http://schemas.openxmlformats.org/officeDocument/2006/relationships/hyperlink" Target="https://webagentes.canaldirecto.com.ar/incidents/view/709822-6" TargetMode="External"/><Relationship Id="rId1011" Type="http://schemas.openxmlformats.org/officeDocument/2006/relationships/hyperlink" Target="https://webagentes.canaldirecto.com.ar/incidents/view/716997-7" TargetMode="External"/><Relationship Id="rId1109" Type="http://schemas.openxmlformats.org/officeDocument/2006/relationships/hyperlink" Target="https://webagentes.canaldirecto.com.ar/incidents/view/720149-5" TargetMode="External"/><Relationship Id="rId1456" Type="http://schemas.openxmlformats.org/officeDocument/2006/relationships/hyperlink" Target="https://webagentes.canaldirecto.com.ar/incidents/view/734040-2" TargetMode="External"/><Relationship Id="rId1663" Type="http://schemas.openxmlformats.org/officeDocument/2006/relationships/hyperlink" Target="https://webagentes.canaldirecto.com.ar/incidents/view/746812-4" TargetMode="External"/><Relationship Id="rId1870" Type="http://schemas.openxmlformats.org/officeDocument/2006/relationships/hyperlink" Target="https://webagentes.canaldirecto.com.ar/incidents/view/750914-8" TargetMode="External"/><Relationship Id="rId1968" Type="http://schemas.openxmlformats.org/officeDocument/2006/relationships/hyperlink" Target="https://webagentes.canaldirecto.com.ar/incidents/view/755500-4" TargetMode="External"/><Relationship Id="rId2507" Type="http://schemas.openxmlformats.org/officeDocument/2006/relationships/hyperlink" Target="https://webagentes.canaldirecto.com.ar/incidents/view/782230-4" TargetMode="External"/><Relationship Id="rId2714" Type="http://schemas.openxmlformats.org/officeDocument/2006/relationships/hyperlink" Target="https://webagentes.canaldirecto.com.ar/incidents/view/788078-8" TargetMode="External"/><Relationship Id="rId2921" Type="http://schemas.openxmlformats.org/officeDocument/2006/relationships/hyperlink" Target="https://webagentes.canaldirecto.com.ar/incidents/view/797108-0" TargetMode="External"/><Relationship Id="rId1316" Type="http://schemas.openxmlformats.org/officeDocument/2006/relationships/hyperlink" Target="https://webagentes.canaldirecto.com.ar/incidents/view/730646-2" TargetMode="External"/><Relationship Id="rId1523" Type="http://schemas.openxmlformats.org/officeDocument/2006/relationships/hyperlink" Target="https://webagentes.canaldirecto.com.ar/incidents/view/741187-0" TargetMode="External"/><Relationship Id="rId1730" Type="http://schemas.openxmlformats.org/officeDocument/2006/relationships/hyperlink" Target="https://webagentes.canaldirecto.com.ar/incidents/view/745702-1" TargetMode="External"/><Relationship Id="rId3183" Type="http://schemas.openxmlformats.org/officeDocument/2006/relationships/hyperlink" Target="https://webagentes.canaldirecto.com.ar/incidents/view/805688-3" TargetMode="External"/><Relationship Id="rId3390" Type="http://schemas.openxmlformats.org/officeDocument/2006/relationships/hyperlink" Target="https://webagentes.canaldirecto.com.ar/incidents/view/810994-5" TargetMode="External"/><Relationship Id="rId22" Type="http://schemas.openxmlformats.org/officeDocument/2006/relationships/hyperlink" Target="https://webagentes.canaldirecto.com.ar/incidents/view/662601-3" TargetMode="External"/><Relationship Id="rId1828" Type="http://schemas.openxmlformats.org/officeDocument/2006/relationships/hyperlink" Target="https://webagentes.canaldirecto.com.ar/incidents/view/747732-6" TargetMode="External"/><Relationship Id="rId3043" Type="http://schemas.openxmlformats.org/officeDocument/2006/relationships/hyperlink" Target="https://webagentes.canaldirecto.com.ar/incidents/view/799621-0" TargetMode="External"/><Relationship Id="rId3250" Type="http://schemas.openxmlformats.org/officeDocument/2006/relationships/hyperlink" Target="https://webagentes.canaldirecto.com.ar/incidents/view/809000-9" TargetMode="External"/><Relationship Id="rId3488" Type="http://schemas.openxmlformats.org/officeDocument/2006/relationships/hyperlink" Target="https://webagentes.canaldirecto.com.ar/incidents/view/814448-9" TargetMode="External"/><Relationship Id="rId3695" Type="http://schemas.openxmlformats.org/officeDocument/2006/relationships/hyperlink" Target="https://webagentes.canaldirecto.com.ar/incidents/view/820793-7" TargetMode="External"/><Relationship Id="rId171" Type="http://schemas.openxmlformats.org/officeDocument/2006/relationships/hyperlink" Target="https://webagentes.canaldirecto.com.ar/incidents/view/672487-4" TargetMode="External"/><Relationship Id="rId2297" Type="http://schemas.openxmlformats.org/officeDocument/2006/relationships/hyperlink" Target="https://webagentes.canaldirecto.com.ar/incidents/view/773285-2" TargetMode="External"/><Relationship Id="rId3348" Type="http://schemas.openxmlformats.org/officeDocument/2006/relationships/hyperlink" Target="https://webagentes.canaldirecto.com.ar/incidents/view/812351-0" TargetMode="External"/><Relationship Id="rId3555" Type="http://schemas.openxmlformats.org/officeDocument/2006/relationships/hyperlink" Target="https://webagentes.canaldirecto.com.ar/incidents/view/818480-3" TargetMode="External"/><Relationship Id="rId3762" Type="http://schemas.openxmlformats.org/officeDocument/2006/relationships/hyperlink" Target="https://webagentes.canaldirecto.com.ar/incidents/view/824135-7" TargetMode="External"/><Relationship Id="rId269" Type="http://schemas.openxmlformats.org/officeDocument/2006/relationships/hyperlink" Target="https://webagentes.canaldirecto.com.ar/incidents/view/675607-7" TargetMode="External"/><Relationship Id="rId476" Type="http://schemas.openxmlformats.org/officeDocument/2006/relationships/hyperlink" Target="https://webagentes.canaldirecto.com.ar/incidents/view/683549-9" TargetMode="External"/><Relationship Id="rId683" Type="http://schemas.openxmlformats.org/officeDocument/2006/relationships/hyperlink" Target="https://webagentes.canaldirecto.com.ar/incidents/view/699263-3" TargetMode="External"/><Relationship Id="rId890" Type="http://schemas.openxmlformats.org/officeDocument/2006/relationships/hyperlink" Target="https://webagentes.canaldirecto.com.ar/incidents/view/712865-1" TargetMode="External"/><Relationship Id="rId2157" Type="http://schemas.openxmlformats.org/officeDocument/2006/relationships/hyperlink" Target="https://webagentes.canaldirecto.com.ar/incidents/view/766060-7" TargetMode="External"/><Relationship Id="rId2364" Type="http://schemas.openxmlformats.org/officeDocument/2006/relationships/hyperlink" Target="https://webagentes.canaldirecto.com.ar/incidents/view/774570-4" TargetMode="External"/><Relationship Id="rId2571" Type="http://schemas.openxmlformats.org/officeDocument/2006/relationships/hyperlink" Target="https://webagentes.canaldirecto.com.ar/incidents/view/784223-8" TargetMode="External"/><Relationship Id="rId3110" Type="http://schemas.openxmlformats.org/officeDocument/2006/relationships/hyperlink" Target="https://webagentes.canaldirecto.com.ar/incidents/view/802535-1" TargetMode="External"/><Relationship Id="rId3208" Type="http://schemas.openxmlformats.org/officeDocument/2006/relationships/hyperlink" Target="https://webagentes.canaldirecto.com.ar/incidents/view/804581-4" TargetMode="External"/><Relationship Id="rId3415" Type="http://schemas.openxmlformats.org/officeDocument/2006/relationships/hyperlink" Target="https://webagentes.canaldirecto.com.ar/incidents/view/810389-9" TargetMode="External"/><Relationship Id="rId129" Type="http://schemas.openxmlformats.org/officeDocument/2006/relationships/hyperlink" Target="https://webagentes.canaldirecto.com.ar/incidents/view/668712-0" TargetMode="External"/><Relationship Id="rId336" Type="http://schemas.openxmlformats.org/officeDocument/2006/relationships/hyperlink" Target="https://webagentes.canaldirecto.com.ar/incidents/view/679891-2" TargetMode="External"/><Relationship Id="rId543" Type="http://schemas.openxmlformats.org/officeDocument/2006/relationships/hyperlink" Target="https://webagentes.canaldirecto.com.ar/incidents/view/687518-7" TargetMode="External"/><Relationship Id="rId988" Type="http://schemas.openxmlformats.org/officeDocument/2006/relationships/hyperlink" Target="https://webagentes.canaldirecto.com.ar/incidents/view/709032-1" TargetMode="External"/><Relationship Id="rId1173" Type="http://schemas.openxmlformats.org/officeDocument/2006/relationships/hyperlink" Target="https://webagentes.canaldirecto.com.ar/incidents/view/722485-8" TargetMode="External"/><Relationship Id="rId1380" Type="http://schemas.openxmlformats.org/officeDocument/2006/relationships/hyperlink" Target="https://webagentes.canaldirecto.com.ar/incidents/view/732787-2" TargetMode="External"/><Relationship Id="rId2017" Type="http://schemas.openxmlformats.org/officeDocument/2006/relationships/hyperlink" Target="https://webagentes.canaldirecto.com.ar/incidents/view/758091-2" TargetMode="External"/><Relationship Id="rId2224" Type="http://schemas.openxmlformats.org/officeDocument/2006/relationships/hyperlink" Target="https://webagentes.canaldirecto.com.ar/incidents/view/771366-2" TargetMode="External"/><Relationship Id="rId2669" Type="http://schemas.openxmlformats.org/officeDocument/2006/relationships/hyperlink" Target="https://webagentes.canaldirecto.com.ar/incidents/view/789229-7" TargetMode="External"/><Relationship Id="rId2876" Type="http://schemas.openxmlformats.org/officeDocument/2006/relationships/hyperlink" Target="https://webagentes.canaldirecto.com.ar/incidents/view/792467-5" TargetMode="External"/><Relationship Id="rId3622" Type="http://schemas.openxmlformats.org/officeDocument/2006/relationships/hyperlink" Target="https://webagentes.canaldirecto.com.ar/incidents/view/816843-4" TargetMode="External"/><Relationship Id="rId3927" Type="http://schemas.openxmlformats.org/officeDocument/2006/relationships/hyperlink" Target="https://webagentes.canaldirecto.com.ar/incidents/view/829813-3" TargetMode="External"/><Relationship Id="rId403" Type="http://schemas.openxmlformats.org/officeDocument/2006/relationships/hyperlink" Target="https://webagentes.canaldirecto.com.ar/incidents/view/683237-7" TargetMode="External"/><Relationship Id="rId750" Type="http://schemas.openxmlformats.org/officeDocument/2006/relationships/hyperlink" Target="https://webagentes.canaldirecto.com.ar/incidents/view/700421-8" TargetMode="External"/><Relationship Id="rId848" Type="http://schemas.openxmlformats.org/officeDocument/2006/relationships/hyperlink" Target="https://webagentes.canaldirecto.com.ar/incidents/view/708529-5" TargetMode="External"/><Relationship Id="rId1033" Type="http://schemas.openxmlformats.org/officeDocument/2006/relationships/hyperlink" Target="https://webagentes.canaldirecto.com.ar/incidents/view/716512-0" TargetMode="External"/><Relationship Id="rId1478" Type="http://schemas.openxmlformats.org/officeDocument/2006/relationships/hyperlink" Target="https://webagentes.canaldirecto.com.ar/incidents/view/737821-0" TargetMode="External"/><Relationship Id="rId1685" Type="http://schemas.openxmlformats.org/officeDocument/2006/relationships/hyperlink" Target="https://webagentes.canaldirecto.com.ar/incidents/view/746317-4" TargetMode="External"/><Relationship Id="rId1892" Type="http://schemas.openxmlformats.org/officeDocument/2006/relationships/hyperlink" Target="https://webagentes.canaldirecto.com.ar/incidents/view/749279-6" TargetMode="External"/><Relationship Id="rId2431" Type="http://schemas.openxmlformats.org/officeDocument/2006/relationships/hyperlink" Target="https://webagentes.canaldirecto.com.ar/incidents/view/779255-3" TargetMode="External"/><Relationship Id="rId2529" Type="http://schemas.openxmlformats.org/officeDocument/2006/relationships/hyperlink" Target="https://webagentes.canaldirecto.com.ar/incidents/view/781663-1" TargetMode="External"/><Relationship Id="rId2736" Type="http://schemas.openxmlformats.org/officeDocument/2006/relationships/hyperlink" Target="https://webagentes.canaldirecto.com.ar/incidents/view/791406-7" TargetMode="External"/><Relationship Id="rId610" Type="http://schemas.openxmlformats.org/officeDocument/2006/relationships/hyperlink" Target="https://webagentes.canaldirecto.com.ar/incidents/view/694659-1" TargetMode="External"/><Relationship Id="rId708" Type="http://schemas.openxmlformats.org/officeDocument/2006/relationships/hyperlink" Target="https://webagentes.canaldirecto.com.ar/incidents/view/703620-8" TargetMode="External"/><Relationship Id="rId915" Type="http://schemas.openxmlformats.org/officeDocument/2006/relationships/hyperlink" Target="https://webagentes.canaldirecto.com.ar/incidents/view/712481-3" TargetMode="External"/><Relationship Id="rId1240" Type="http://schemas.openxmlformats.org/officeDocument/2006/relationships/hyperlink" Target="https://webagentes.canaldirecto.com.ar/incidents/view/720138-9" TargetMode="External"/><Relationship Id="rId1338" Type="http://schemas.openxmlformats.org/officeDocument/2006/relationships/hyperlink" Target="https://webagentes.canaldirecto.com.ar/incidents/view/728721-9" TargetMode="External"/><Relationship Id="rId1545" Type="http://schemas.openxmlformats.org/officeDocument/2006/relationships/hyperlink" Target="https://webagentes.canaldirecto.com.ar/incidents/view/739754-3" TargetMode="External"/><Relationship Id="rId2943" Type="http://schemas.openxmlformats.org/officeDocument/2006/relationships/hyperlink" Target="https://webagentes.canaldirecto.com.ar/incidents/view/795883-0" TargetMode="External"/><Relationship Id="rId1100" Type="http://schemas.openxmlformats.org/officeDocument/2006/relationships/hyperlink" Target="https://webagentes.canaldirecto.com.ar/incidents/view/720582-6" TargetMode="External"/><Relationship Id="rId1405" Type="http://schemas.openxmlformats.org/officeDocument/2006/relationships/hyperlink" Target="https://webagentes.canaldirecto.com.ar/incidents/view/731358-7" TargetMode="External"/><Relationship Id="rId1752" Type="http://schemas.openxmlformats.org/officeDocument/2006/relationships/hyperlink" Target="https://webagentes.canaldirecto.com.ar/incidents/view/744591-0" TargetMode="External"/><Relationship Id="rId2803" Type="http://schemas.openxmlformats.org/officeDocument/2006/relationships/hyperlink" Target="https://webagentes.canaldirecto.com.ar/incidents/view/794492-5" TargetMode="External"/><Relationship Id="rId44" Type="http://schemas.openxmlformats.org/officeDocument/2006/relationships/hyperlink" Target="https://webagentes.canaldirecto.com.ar/incidents/view/662116-0" TargetMode="External"/><Relationship Id="rId1612" Type="http://schemas.openxmlformats.org/officeDocument/2006/relationships/hyperlink" Target="https://webagentes.canaldirecto.com.ar/incidents/view/743520-5" TargetMode="External"/><Relationship Id="rId1917" Type="http://schemas.openxmlformats.org/officeDocument/2006/relationships/hyperlink" Target="https://webagentes.canaldirecto.com.ar/incidents/view/753470-0" TargetMode="External"/><Relationship Id="rId3065" Type="http://schemas.openxmlformats.org/officeDocument/2006/relationships/hyperlink" Target="https://webagentes.canaldirecto.com.ar/incidents/view/798684-2" TargetMode="External"/><Relationship Id="rId3272" Type="http://schemas.openxmlformats.org/officeDocument/2006/relationships/hyperlink" Target="https://webagentes.canaldirecto.com.ar/incidents/view/807614-2" TargetMode="External"/><Relationship Id="rId193" Type="http://schemas.openxmlformats.org/officeDocument/2006/relationships/hyperlink" Target="https://webagentes.canaldirecto.com.ar/incidents/view/670844-1" TargetMode="External"/><Relationship Id="rId498" Type="http://schemas.openxmlformats.org/officeDocument/2006/relationships/hyperlink" Target="https://webagentes.canaldirecto.com.ar/incidents/view/689381-9" TargetMode="External"/><Relationship Id="rId2081" Type="http://schemas.openxmlformats.org/officeDocument/2006/relationships/hyperlink" Target="https://webagentes.canaldirecto.com.ar/incidents/view/760038-6" TargetMode="External"/><Relationship Id="rId2179" Type="http://schemas.openxmlformats.org/officeDocument/2006/relationships/hyperlink" Target="https://webagentes.canaldirecto.com.ar/incidents/view/764106-4" TargetMode="External"/><Relationship Id="rId3132" Type="http://schemas.openxmlformats.org/officeDocument/2006/relationships/hyperlink" Target="https://webagentes.canaldirecto.com.ar/incidents/view/801644-1" TargetMode="External"/><Relationship Id="rId3577" Type="http://schemas.openxmlformats.org/officeDocument/2006/relationships/hyperlink" Target="https://webagentes.canaldirecto.com.ar/incidents/view/817871-4" TargetMode="External"/><Relationship Id="rId3784" Type="http://schemas.openxmlformats.org/officeDocument/2006/relationships/hyperlink" Target="https://webagentes.canaldirecto.com.ar/incidents/view/823291-5" TargetMode="External"/><Relationship Id="rId260" Type="http://schemas.openxmlformats.org/officeDocument/2006/relationships/hyperlink" Target="https://webagentes.canaldirecto.com.ar/incidents/view/675619-2" TargetMode="External"/><Relationship Id="rId2386" Type="http://schemas.openxmlformats.org/officeDocument/2006/relationships/hyperlink" Target="https://webagentes.canaldirecto.com.ar/incidents/view/779955-6" TargetMode="External"/><Relationship Id="rId2593" Type="http://schemas.openxmlformats.org/officeDocument/2006/relationships/hyperlink" Target="https://webagentes.canaldirecto.com.ar/incidents/view/783086-2" TargetMode="External"/><Relationship Id="rId3437" Type="http://schemas.openxmlformats.org/officeDocument/2006/relationships/hyperlink" Target="https://webagentes.canaldirecto.com.ar/incidents/view/816584-4" TargetMode="External"/><Relationship Id="rId3644" Type="http://schemas.openxmlformats.org/officeDocument/2006/relationships/hyperlink" Target="https://webagentes.canaldirecto.com.ar/incidents/view/822490-7" TargetMode="External"/><Relationship Id="rId3851" Type="http://schemas.openxmlformats.org/officeDocument/2006/relationships/hyperlink" Target="https://webagentes.canaldirecto.com.ar/incidents/view/826333-1" TargetMode="External"/><Relationship Id="rId120" Type="http://schemas.openxmlformats.org/officeDocument/2006/relationships/hyperlink" Target="https://webagentes.canaldirecto.com.ar/incidents/view/669078-0" TargetMode="External"/><Relationship Id="rId358" Type="http://schemas.openxmlformats.org/officeDocument/2006/relationships/hyperlink" Target="https://webagentes.canaldirecto.com.ar/incidents/view/678238-2" TargetMode="External"/><Relationship Id="rId565" Type="http://schemas.openxmlformats.org/officeDocument/2006/relationships/hyperlink" Target="https://webagentes.canaldirecto.com.ar/incidents/view/691151-3" TargetMode="External"/><Relationship Id="rId772" Type="http://schemas.openxmlformats.org/officeDocument/2006/relationships/hyperlink" Target="https://webagentes.canaldirecto.com.ar/incidents/view/705684-0" TargetMode="External"/><Relationship Id="rId1195" Type="http://schemas.openxmlformats.org/officeDocument/2006/relationships/hyperlink" Target="https://webagentes.canaldirecto.com.ar/incidents/view/721823-7" TargetMode="External"/><Relationship Id="rId2039" Type="http://schemas.openxmlformats.org/officeDocument/2006/relationships/hyperlink" Target="https://webagentes.canaldirecto.com.ar/incidents/view/760871-3" TargetMode="External"/><Relationship Id="rId2246" Type="http://schemas.openxmlformats.org/officeDocument/2006/relationships/hyperlink" Target="https://webagentes.canaldirecto.com.ar/incidents/view/770385-0" TargetMode="External"/><Relationship Id="rId2453" Type="http://schemas.openxmlformats.org/officeDocument/2006/relationships/hyperlink" Target="https://webagentes.canaldirecto.com.ar/incidents/view/778121-0" TargetMode="External"/><Relationship Id="rId2660" Type="http://schemas.openxmlformats.org/officeDocument/2006/relationships/hyperlink" Target="https://webagentes.canaldirecto.com.ar/incidents/view/785495-0" TargetMode="External"/><Relationship Id="rId2898" Type="http://schemas.openxmlformats.org/officeDocument/2006/relationships/hyperlink" Target="https://webagentes.canaldirecto.com.ar/incidents/view/790890-5" TargetMode="External"/><Relationship Id="rId3504" Type="http://schemas.openxmlformats.org/officeDocument/2006/relationships/hyperlink" Target="https://webagentes.canaldirecto.com.ar/incidents/view/811936-8" TargetMode="External"/><Relationship Id="rId3711" Type="http://schemas.openxmlformats.org/officeDocument/2006/relationships/hyperlink" Target="https://webagentes.canaldirecto.com.ar/incidents/view/819935-5" TargetMode="External"/><Relationship Id="rId3949" Type="http://schemas.openxmlformats.org/officeDocument/2006/relationships/hyperlink" Target="https://webagentes.canaldirecto.com.ar/incidents/view/829495-1" TargetMode="External"/><Relationship Id="rId218" Type="http://schemas.openxmlformats.org/officeDocument/2006/relationships/hyperlink" Target="https://webagentes.canaldirecto.com.ar/incidents/view/662364-5" TargetMode="External"/><Relationship Id="rId425" Type="http://schemas.openxmlformats.org/officeDocument/2006/relationships/hyperlink" Target="https://webagentes.canaldirecto.com.ar/incidents/view/671056-1" TargetMode="External"/><Relationship Id="rId632" Type="http://schemas.openxmlformats.org/officeDocument/2006/relationships/hyperlink" Target="https://webagentes.canaldirecto.com.ar/incidents/view/691744-7" TargetMode="External"/><Relationship Id="rId1055" Type="http://schemas.openxmlformats.org/officeDocument/2006/relationships/hyperlink" Target="https://webagentes.canaldirecto.com.ar/incidents/view/716260-0" TargetMode="External"/><Relationship Id="rId1262" Type="http://schemas.openxmlformats.org/officeDocument/2006/relationships/hyperlink" Target="https://webagentes.canaldirecto.com.ar/incidents/view/728280-7" TargetMode="External"/><Relationship Id="rId2106" Type="http://schemas.openxmlformats.org/officeDocument/2006/relationships/hyperlink" Target="https://webagentes.canaldirecto.com.ar/incidents/view/763516-0" TargetMode="External"/><Relationship Id="rId2313" Type="http://schemas.openxmlformats.org/officeDocument/2006/relationships/hyperlink" Target="https://webagentes.canaldirecto.com.ar/incidents/view/772479-2" TargetMode="External"/><Relationship Id="rId2520" Type="http://schemas.openxmlformats.org/officeDocument/2006/relationships/hyperlink" Target="https://webagentes.canaldirecto.com.ar/incidents/view/782040-3" TargetMode="External"/><Relationship Id="rId2758" Type="http://schemas.openxmlformats.org/officeDocument/2006/relationships/hyperlink" Target="https://webagentes.canaldirecto.com.ar/incidents/view/789945-8" TargetMode="External"/><Relationship Id="rId2965" Type="http://schemas.openxmlformats.org/officeDocument/2006/relationships/hyperlink" Target="https://webagentes.canaldirecto.com.ar/incidents/view/795586-0" TargetMode="External"/><Relationship Id="rId3809" Type="http://schemas.openxmlformats.org/officeDocument/2006/relationships/hyperlink" Target="https://webagentes.canaldirecto.com.ar/incidents/view/827927-1" TargetMode="External"/><Relationship Id="rId937" Type="http://schemas.openxmlformats.org/officeDocument/2006/relationships/hyperlink" Target="https://webagentes.canaldirecto.com.ar/incidents/view/712043-7" TargetMode="External"/><Relationship Id="rId1122" Type="http://schemas.openxmlformats.org/officeDocument/2006/relationships/hyperlink" Target="https://webagentes.canaldirecto.com.ar/incidents/view/720016-8" TargetMode="External"/><Relationship Id="rId1567" Type="http://schemas.openxmlformats.org/officeDocument/2006/relationships/hyperlink" Target="https://webagentes.canaldirecto.com.ar/incidents/view/744278-2" TargetMode="External"/><Relationship Id="rId1774" Type="http://schemas.openxmlformats.org/officeDocument/2006/relationships/hyperlink" Target="https://webagentes.canaldirecto.com.ar/incidents/view/749194-6" TargetMode="External"/><Relationship Id="rId1981" Type="http://schemas.openxmlformats.org/officeDocument/2006/relationships/hyperlink" Target="https://webagentes.canaldirecto.com.ar/incidents/view/755165-5" TargetMode="External"/><Relationship Id="rId2618" Type="http://schemas.openxmlformats.org/officeDocument/2006/relationships/hyperlink" Target="https://webagentes.canaldirecto.com.ar/incidents/view/787020-4" TargetMode="External"/><Relationship Id="rId2825" Type="http://schemas.openxmlformats.org/officeDocument/2006/relationships/hyperlink" Target="https://webagentes.canaldirecto.com.ar/incidents/view/794235-2" TargetMode="External"/><Relationship Id="rId66" Type="http://schemas.openxmlformats.org/officeDocument/2006/relationships/hyperlink" Target="https://webagentes.canaldirecto.com.ar/incidents/view/665905-7" TargetMode="External"/><Relationship Id="rId1427" Type="http://schemas.openxmlformats.org/officeDocument/2006/relationships/hyperlink" Target="https://webagentes.canaldirecto.com.ar/incidents/view/735623-6" TargetMode="External"/><Relationship Id="rId1634" Type="http://schemas.openxmlformats.org/officeDocument/2006/relationships/hyperlink" Target="https://webagentes.canaldirecto.com.ar/incidents/view/742988-8" TargetMode="External"/><Relationship Id="rId1841" Type="http://schemas.openxmlformats.org/officeDocument/2006/relationships/hyperlink" Target="https://webagentes.canaldirecto.com.ar/incidents/view/745903-8" TargetMode="External"/><Relationship Id="rId3087" Type="http://schemas.openxmlformats.org/officeDocument/2006/relationships/hyperlink" Target="https://webagentes.canaldirecto.com.ar/incidents/view/796581-2" TargetMode="External"/><Relationship Id="rId3294" Type="http://schemas.openxmlformats.org/officeDocument/2006/relationships/hyperlink" Target="https://webagentes.canaldirecto.com.ar/incidents/view/804952-8" TargetMode="External"/><Relationship Id="rId1939" Type="http://schemas.openxmlformats.org/officeDocument/2006/relationships/hyperlink" Target="https://webagentes.canaldirecto.com.ar/incidents/view/752643-7" TargetMode="External"/><Relationship Id="rId3599" Type="http://schemas.openxmlformats.org/officeDocument/2006/relationships/hyperlink" Target="https://webagentes.canaldirecto.com.ar/incidents/view/817544-3" TargetMode="External"/><Relationship Id="rId1701" Type="http://schemas.openxmlformats.org/officeDocument/2006/relationships/hyperlink" Target="https://webagentes.canaldirecto.com.ar/incidents/view/746211-1" TargetMode="External"/><Relationship Id="rId3154" Type="http://schemas.openxmlformats.org/officeDocument/2006/relationships/hyperlink" Target="https://webagentes.canaldirecto.com.ar/incidents/view/800550-6" TargetMode="External"/><Relationship Id="rId3361" Type="http://schemas.openxmlformats.org/officeDocument/2006/relationships/hyperlink" Target="https://webagentes.canaldirecto.com.ar/incidents/view/811866-0" TargetMode="External"/><Relationship Id="rId3459" Type="http://schemas.openxmlformats.org/officeDocument/2006/relationships/hyperlink" Target="https://webagentes.canaldirecto.com.ar/incidents/view/815679-4" TargetMode="External"/><Relationship Id="rId3666" Type="http://schemas.openxmlformats.org/officeDocument/2006/relationships/hyperlink" Target="https://webagentes.canaldirecto.com.ar/incidents/view/821922-4" TargetMode="External"/><Relationship Id="rId282" Type="http://schemas.openxmlformats.org/officeDocument/2006/relationships/hyperlink" Target="https://webagentes.canaldirecto.com.ar/incidents/view/674861-6" TargetMode="External"/><Relationship Id="rId587" Type="http://schemas.openxmlformats.org/officeDocument/2006/relationships/hyperlink" Target="https://webagentes.canaldirecto.com.ar/incidents/view/690267-6" TargetMode="External"/><Relationship Id="rId2170" Type="http://schemas.openxmlformats.org/officeDocument/2006/relationships/hyperlink" Target="https://webagentes.canaldirecto.com.ar/incidents/view/764840-1" TargetMode="External"/><Relationship Id="rId2268" Type="http://schemas.openxmlformats.org/officeDocument/2006/relationships/hyperlink" Target="https://webagentes.canaldirecto.com.ar/incidents/view/769223-5" TargetMode="External"/><Relationship Id="rId3014" Type="http://schemas.openxmlformats.org/officeDocument/2006/relationships/hyperlink" Target="https://webagentes.canaldirecto.com.ar/incidents/view/799976-7" TargetMode="External"/><Relationship Id="rId3221" Type="http://schemas.openxmlformats.org/officeDocument/2006/relationships/hyperlink" Target="https://webagentes.canaldirecto.com.ar/incidents/view/803356-3" TargetMode="External"/><Relationship Id="rId3319" Type="http://schemas.openxmlformats.org/officeDocument/2006/relationships/hyperlink" Target="https://webagentes.canaldirecto.com.ar/incidents/view/812859-7" TargetMode="External"/><Relationship Id="rId3873" Type="http://schemas.openxmlformats.org/officeDocument/2006/relationships/hyperlink" Target="https://webagentes.canaldirecto.com.ar/incidents/view/825838-4" TargetMode="External"/><Relationship Id="rId8" Type="http://schemas.openxmlformats.org/officeDocument/2006/relationships/hyperlink" Target="https://webagentes.canaldirecto.com.ar/incidents/view/662828-8" TargetMode="External"/><Relationship Id="rId142" Type="http://schemas.openxmlformats.org/officeDocument/2006/relationships/hyperlink" Target="https://webagentes.canaldirecto.com.ar/incidents/view/667805-2" TargetMode="External"/><Relationship Id="rId447" Type="http://schemas.openxmlformats.org/officeDocument/2006/relationships/hyperlink" Target="https://webagentes.canaldirecto.com.ar/incidents/view/685756-1" TargetMode="External"/><Relationship Id="rId794" Type="http://schemas.openxmlformats.org/officeDocument/2006/relationships/hyperlink" Target="https://webagentes.canaldirecto.com.ar/incidents/view/704426-1" TargetMode="External"/><Relationship Id="rId1077" Type="http://schemas.openxmlformats.org/officeDocument/2006/relationships/hyperlink" Target="https://webagentes.canaldirecto.com.ar/incidents/view/714930-8" TargetMode="External"/><Relationship Id="rId2030" Type="http://schemas.openxmlformats.org/officeDocument/2006/relationships/hyperlink" Target="https://webagentes.canaldirecto.com.ar/incidents/view/755385-7" TargetMode="External"/><Relationship Id="rId2128" Type="http://schemas.openxmlformats.org/officeDocument/2006/relationships/hyperlink" Target="https://webagentes.canaldirecto.com.ar/incidents/view/762218-4" TargetMode="External"/><Relationship Id="rId2475" Type="http://schemas.openxmlformats.org/officeDocument/2006/relationships/hyperlink" Target="https://webagentes.canaldirecto.com.ar/incidents/view/782751-2" TargetMode="External"/><Relationship Id="rId2682" Type="http://schemas.openxmlformats.org/officeDocument/2006/relationships/hyperlink" Target="https://webagentes.canaldirecto.com.ar/incidents/view/788355-4" TargetMode="External"/><Relationship Id="rId2987" Type="http://schemas.openxmlformats.org/officeDocument/2006/relationships/hyperlink" Target="https://webagentes.canaldirecto.com.ar/incidents/view/794890-3" TargetMode="External"/><Relationship Id="rId3526" Type="http://schemas.openxmlformats.org/officeDocument/2006/relationships/hyperlink" Target="https://webagentes.canaldirecto.com.ar/incidents/view/819213-0" TargetMode="External"/><Relationship Id="rId3733" Type="http://schemas.openxmlformats.org/officeDocument/2006/relationships/hyperlink" Target="https://webagentes.canaldirecto.com.ar/incidents/view/824860-6" TargetMode="External"/><Relationship Id="rId3940" Type="http://schemas.openxmlformats.org/officeDocument/2006/relationships/hyperlink" Target="https://webagentes.canaldirecto.com.ar/incidents/view/829504-8" TargetMode="External"/><Relationship Id="rId654" Type="http://schemas.openxmlformats.org/officeDocument/2006/relationships/hyperlink" Target="https://webagentes.canaldirecto.com.ar/incidents/view/696257-1" TargetMode="External"/><Relationship Id="rId861" Type="http://schemas.openxmlformats.org/officeDocument/2006/relationships/hyperlink" Target="https://webagentes.canaldirecto.com.ar/incidents/view/707395-3" TargetMode="External"/><Relationship Id="rId959" Type="http://schemas.openxmlformats.org/officeDocument/2006/relationships/hyperlink" Target="https://webagentes.canaldirecto.com.ar/incidents/view/711947-7" TargetMode="External"/><Relationship Id="rId1284" Type="http://schemas.openxmlformats.org/officeDocument/2006/relationships/hyperlink" Target="https://webagentes.canaldirecto.com.ar/incidents/view/727126-3" TargetMode="External"/><Relationship Id="rId1491" Type="http://schemas.openxmlformats.org/officeDocument/2006/relationships/hyperlink" Target="https://webagentes.canaldirecto.com.ar/incidents/view/737269-6" TargetMode="External"/><Relationship Id="rId1589" Type="http://schemas.openxmlformats.org/officeDocument/2006/relationships/hyperlink" Target="https://webagentes.canaldirecto.com.ar/incidents/view/744008-5" TargetMode="External"/><Relationship Id="rId2335" Type="http://schemas.openxmlformats.org/officeDocument/2006/relationships/hyperlink" Target="https://webagentes.canaldirecto.com.ar/incidents/view/776853-8" TargetMode="External"/><Relationship Id="rId2542" Type="http://schemas.openxmlformats.org/officeDocument/2006/relationships/hyperlink" Target="https://webagentes.canaldirecto.com.ar/incidents/view/780535-2" TargetMode="External"/><Relationship Id="rId3800" Type="http://schemas.openxmlformats.org/officeDocument/2006/relationships/hyperlink" Target="https://webagentes.canaldirecto.com.ar/incidents/view/821768-8" TargetMode="External"/><Relationship Id="rId307" Type="http://schemas.openxmlformats.org/officeDocument/2006/relationships/hyperlink" Target="https://webagentes.canaldirecto.com.ar/incidents/view/674130-3" TargetMode="External"/><Relationship Id="rId514" Type="http://schemas.openxmlformats.org/officeDocument/2006/relationships/hyperlink" Target="https://webagentes.canaldirecto.com.ar/incidents/view/688899-6" TargetMode="External"/><Relationship Id="rId721" Type="http://schemas.openxmlformats.org/officeDocument/2006/relationships/hyperlink" Target="https://webagentes.canaldirecto.com.ar/incidents/view/702845-8" TargetMode="External"/><Relationship Id="rId1144" Type="http://schemas.openxmlformats.org/officeDocument/2006/relationships/hyperlink" Target="https://webagentes.canaldirecto.com.ar/incidents/view/718753-9" TargetMode="External"/><Relationship Id="rId1351" Type="http://schemas.openxmlformats.org/officeDocument/2006/relationships/hyperlink" Target="https://webagentes.canaldirecto.com.ar/incidents/view/733268-9" TargetMode="External"/><Relationship Id="rId1449" Type="http://schemas.openxmlformats.org/officeDocument/2006/relationships/hyperlink" Target="https://webagentes.canaldirecto.com.ar/incidents/view/734320-5" TargetMode="External"/><Relationship Id="rId1796" Type="http://schemas.openxmlformats.org/officeDocument/2006/relationships/hyperlink" Target="https://webagentes.canaldirecto.com.ar/incidents/view/748621-8" TargetMode="External"/><Relationship Id="rId2402" Type="http://schemas.openxmlformats.org/officeDocument/2006/relationships/hyperlink" Target="https://webagentes.canaldirecto.com.ar/incidents/view/779738-1" TargetMode="External"/><Relationship Id="rId2847" Type="http://schemas.openxmlformats.org/officeDocument/2006/relationships/hyperlink" Target="https://webagentes.canaldirecto.com.ar/incidents/view/793494-6" TargetMode="External"/><Relationship Id="rId88" Type="http://schemas.openxmlformats.org/officeDocument/2006/relationships/hyperlink" Target="https://webagentes.canaldirecto.com.ar/incidents/view/662706-7" TargetMode="External"/><Relationship Id="rId819" Type="http://schemas.openxmlformats.org/officeDocument/2006/relationships/hyperlink" Target="https://webagentes.canaldirecto.com.ar/incidents/view/710185-8" TargetMode="External"/><Relationship Id="rId1004" Type="http://schemas.openxmlformats.org/officeDocument/2006/relationships/hyperlink" Target="https://webagentes.canaldirecto.com.ar/incidents/view/717055-7" TargetMode="External"/><Relationship Id="rId1211" Type="http://schemas.openxmlformats.org/officeDocument/2006/relationships/hyperlink" Target="https://webagentes.canaldirecto.com.ar/incidents/view/726134-5" TargetMode="External"/><Relationship Id="rId1656" Type="http://schemas.openxmlformats.org/officeDocument/2006/relationships/hyperlink" Target="https://webagentes.canaldirecto.com.ar/incidents/view/741262-0" TargetMode="External"/><Relationship Id="rId1863" Type="http://schemas.openxmlformats.org/officeDocument/2006/relationships/hyperlink" Target="https://webagentes.canaldirecto.com.ar/incidents/view/751358-5" TargetMode="External"/><Relationship Id="rId2707" Type="http://schemas.openxmlformats.org/officeDocument/2006/relationships/hyperlink" Target="https://webagentes.canaldirecto.com.ar/incidents/view/788253-7" TargetMode="External"/><Relationship Id="rId2914" Type="http://schemas.openxmlformats.org/officeDocument/2006/relationships/hyperlink" Target="https://webagentes.canaldirecto.com.ar/incidents/view/797413-9" TargetMode="External"/><Relationship Id="rId1309" Type="http://schemas.openxmlformats.org/officeDocument/2006/relationships/hyperlink" Target="https://webagentes.canaldirecto.com.ar/incidents/view/730653-2" TargetMode="External"/><Relationship Id="rId1516" Type="http://schemas.openxmlformats.org/officeDocument/2006/relationships/hyperlink" Target="https://webagentes.canaldirecto.com.ar/incidents/view/741196-8" TargetMode="External"/><Relationship Id="rId1723" Type="http://schemas.openxmlformats.org/officeDocument/2006/relationships/hyperlink" Target="https://webagentes.canaldirecto.com.ar/incidents/view/745743-8" TargetMode="External"/><Relationship Id="rId1930" Type="http://schemas.openxmlformats.org/officeDocument/2006/relationships/hyperlink" Target="https://webagentes.canaldirecto.com.ar/incidents/view/752888-8" TargetMode="External"/><Relationship Id="rId3176" Type="http://schemas.openxmlformats.org/officeDocument/2006/relationships/hyperlink" Target="https://webagentes.canaldirecto.com.ar/incidents/view/806221-9" TargetMode="External"/><Relationship Id="rId3383" Type="http://schemas.openxmlformats.org/officeDocument/2006/relationships/hyperlink" Target="https://webagentes.canaldirecto.com.ar/incidents/view/811256-9" TargetMode="External"/><Relationship Id="rId3590" Type="http://schemas.openxmlformats.org/officeDocument/2006/relationships/hyperlink" Target="https://webagentes.canaldirecto.com.ar/incidents/view/817723-8" TargetMode="External"/><Relationship Id="rId15" Type="http://schemas.openxmlformats.org/officeDocument/2006/relationships/hyperlink" Target="https://webagentes.canaldirecto.com.ar/incidents/view/662709-4" TargetMode="External"/><Relationship Id="rId2192" Type="http://schemas.openxmlformats.org/officeDocument/2006/relationships/hyperlink" Target="https://webagentes.canaldirecto.com.ar/incidents/view/768010-6" TargetMode="External"/><Relationship Id="rId3036" Type="http://schemas.openxmlformats.org/officeDocument/2006/relationships/hyperlink" Target="https://webagentes.canaldirecto.com.ar/incidents/view/799755-6" TargetMode="External"/><Relationship Id="rId3243" Type="http://schemas.openxmlformats.org/officeDocument/2006/relationships/hyperlink" Target="https://webagentes.canaldirecto.com.ar/incidents/view/809380-2" TargetMode="External"/><Relationship Id="rId3688" Type="http://schemas.openxmlformats.org/officeDocument/2006/relationships/hyperlink" Target="https://webagentes.canaldirecto.com.ar/incidents/view/820984-7" TargetMode="External"/><Relationship Id="rId3895" Type="http://schemas.openxmlformats.org/officeDocument/2006/relationships/hyperlink" Target="https://webagentes.canaldirecto.com.ar/incidents/view/831033-8" TargetMode="External"/><Relationship Id="rId164" Type="http://schemas.openxmlformats.org/officeDocument/2006/relationships/hyperlink" Target="https://webagentes.canaldirecto.com.ar/incidents/view/672774-7" TargetMode="External"/><Relationship Id="rId371" Type="http://schemas.openxmlformats.org/officeDocument/2006/relationships/hyperlink" Target="https://webagentes.canaldirecto.com.ar/incidents/view/678084-3" TargetMode="External"/><Relationship Id="rId2052" Type="http://schemas.openxmlformats.org/officeDocument/2006/relationships/hyperlink" Target="https://webagentes.canaldirecto.com.ar/incidents/view/760802-3" TargetMode="External"/><Relationship Id="rId2497" Type="http://schemas.openxmlformats.org/officeDocument/2006/relationships/hyperlink" Target="https://webagentes.canaldirecto.com.ar/incidents/view/782290-6" TargetMode="External"/><Relationship Id="rId3450" Type="http://schemas.openxmlformats.org/officeDocument/2006/relationships/hyperlink" Target="https://webagentes.canaldirecto.com.ar/incidents/view/816251-9" TargetMode="External"/><Relationship Id="rId3548" Type="http://schemas.openxmlformats.org/officeDocument/2006/relationships/hyperlink" Target="https://webagentes.canaldirecto.com.ar/incidents/view/818516-7" TargetMode="External"/><Relationship Id="rId3755" Type="http://schemas.openxmlformats.org/officeDocument/2006/relationships/hyperlink" Target="https://webagentes.canaldirecto.com.ar/incidents/view/824306-3" TargetMode="External"/><Relationship Id="rId469" Type="http://schemas.openxmlformats.org/officeDocument/2006/relationships/hyperlink" Target="https://webagentes.canaldirecto.com.ar/incidents/view/683825-6" TargetMode="External"/><Relationship Id="rId676" Type="http://schemas.openxmlformats.org/officeDocument/2006/relationships/hyperlink" Target="https://webagentes.canaldirecto.com.ar/incidents/view/699776-2" TargetMode="External"/><Relationship Id="rId883" Type="http://schemas.openxmlformats.org/officeDocument/2006/relationships/hyperlink" Target="https://webagentes.canaldirecto.com.ar/incidents/view/713491-7" TargetMode="External"/><Relationship Id="rId1099" Type="http://schemas.openxmlformats.org/officeDocument/2006/relationships/hyperlink" Target="https://webagentes.canaldirecto.com.ar/incidents/view/720583-5" TargetMode="External"/><Relationship Id="rId2357" Type="http://schemas.openxmlformats.org/officeDocument/2006/relationships/hyperlink" Target="https://webagentes.canaldirecto.com.ar/incidents/view/775293-5" TargetMode="External"/><Relationship Id="rId2564" Type="http://schemas.openxmlformats.org/officeDocument/2006/relationships/hyperlink" Target="https://webagentes.canaldirecto.com.ar/incidents/view/784824-1" TargetMode="External"/><Relationship Id="rId3103" Type="http://schemas.openxmlformats.org/officeDocument/2006/relationships/hyperlink" Target="https://webagentes.canaldirecto.com.ar/incidents/view/802962-1" TargetMode="External"/><Relationship Id="rId3310" Type="http://schemas.openxmlformats.org/officeDocument/2006/relationships/hyperlink" Target="https://webagentes.canaldirecto.com.ar/incidents/view/813005-1" TargetMode="External"/><Relationship Id="rId3408" Type="http://schemas.openxmlformats.org/officeDocument/2006/relationships/hyperlink" Target="https://webagentes.canaldirecto.com.ar/incidents/view/810831-7" TargetMode="External"/><Relationship Id="rId3615" Type="http://schemas.openxmlformats.org/officeDocument/2006/relationships/hyperlink" Target="https://webagentes.canaldirecto.com.ar/incidents/view/816851-3" TargetMode="External"/><Relationship Id="rId3962" Type="http://schemas.openxmlformats.org/officeDocument/2006/relationships/hyperlink" Target="https://webagentes.canaldirecto.com.ar/incidents/view/828914-4" TargetMode="External"/><Relationship Id="rId231" Type="http://schemas.openxmlformats.org/officeDocument/2006/relationships/hyperlink" Target="https://webagentes.canaldirecto.com.ar/incidents/view/676925-7" TargetMode="External"/><Relationship Id="rId329" Type="http://schemas.openxmlformats.org/officeDocument/2006/relationships/hyperlink" Target="https://webagentes.canaldirecto.com.ar/incidents/view/664511-5" TargetMode="External"/><Relationship Id="rId536" Type="http://schemas.openxmlformats.org/officeDocument/2006/relationships/hyperlink" Target="https://webagentes.canaldirecto.com.ar/incidents/view/687985-5" TargetMode="External"/><Relationship Id="rId1166" Type="http://schemas.openxmlformats.org/officeDocument/2006/relationships/hyperlink" Target="https://webagentes.canaldirecto.com.ar/incidents/view/723257-4" TargetMode="External"/><Relationship Id="rId1373" Type="http://schemas.openxmlformats.org/officeDocument/2006/relationships/hyperlink" Target="https://webagentes.canaldirecto.com.ar/incidents/view/732794-2" TargetMode="External"/><Relationship Id="rId2217" Type="http://schemas.openxmlformats.org/officeDocument/2006/relationships/hyperlink" Target="https://webagentes.canaldirecto.com.ar/incidents/view/766771-6" TargetMode="External"/><Relationship Id="rId2771" Type="http://schemas.openxmlformats.org/officeDocument/2006/relationships/hyperlink" Target="https://webagentes.canaldirecto.com.ar/incidents/view/789440-8" TargetMode="External"/><Relationship Id="rId2869" Type="http://schemas.openxmlformats.org/officeDocument/2006/relationships/hyperlink" Target="https://webagentes.canaldirecto.com.ar/incidents/view/792583-2" TargetMode="External"/><Relationship Id="rId3822" Type="http://schemas.openxmlformats.org/officeDocument/2006/relationships/hyperlink" Target="https://webagentes.canaldirecto.com.ar/incidents/view/827477-1" TargetMode="External"/><Relationship Id="rId743" Type="http://schemas.openxmlformats.org/officeDocument/2006/relationships/hyperlink" Target="https://webagentes.canaldirecto.com.ar/incidents/view/701310-0" TargetMode="External"/><Relationship Id="rId950" Type="http://schemas.openxmlformats.org/officeDocument/2006/relationships/hyperlink" Target="https://webagentes.canaldirecto.com.ar/incidents/view/711975-0" TargetMode="External"/><Relationship Id="rId1026" Type="http://schemas.openxmlformats.org/officeDocument/2006/relationships/hyperlink" Target="https://webagentes.canaldirecto.com.ar/incidents/view/716810-9" TargetMode="External"/><Relationship Id="rId1580" Type="http://schemas.openxmlformats.org/officeDocument/2006/relationships/hyperlink" Target="https://webagentes.canaldirecto.com.ar/incidents/view/744265-8" TargetMode="External"/><Relationship Id="rId1678" Type="http://schemas.openxmlformats.org/officeDocument/2006/relationships/hyperlink" Target="https://webagentes.canaldirecto.com.ar/incidents/view/746433-1" TargetMode="External"/><Relationship Id="rId1885" Type="http://schemas.openxmlformats.org/officeDocument/2006/relationships/hyperlink" Target="https://webagentes.canaldirecto.com.ar/incidents/view/749663-1" TargetMode="External"/><Relationship Id="rId2424" Type="http://schemas.openxmlformats.org/officeDocument/2006/relationships/hyperlink" Target="https://webagentes.canaldirecto.com.ar/incidents/view/779269-6" TargetMode="External"/><Relationship Id="rId2631" Type="http://schemas.openxmlformats.org/officeDocument/2006/relationships/hyperlink" Target="https://webagentes.canaldirecto.com.ar/incidents/view/786742-2" TargetMode="External"/><Relationship Id="rId2729" Type="http://schemas.openxmlformats.org/officeDocument/2006/relationships/hyperlink" Target="https://webagentes.canaldirecto.com.ar/incidents/view/791757-8" TargetMode="External"/><Relationship Id="rId2936" Type="http://schemas.openxmlformats.org/officeDocument/2006/relationships/hyperlink" Target="https://webagentes.canaldirecto.com.ar/incidents/view/796063-1" TargetMode="External"/><Relationship Id="rId603" Type="http://schemas.openxmlformats.org/officeDocument/2006/relationships/hyperlink" Target="https://webagentes.canaldirecto.com.ar/incidents/view/694931-2" TargetMode="External"/><Relationship Id="rId810" Type="http://schemas.openxmlformats.org/officeDocument/2006/relationships/hyperlink" Target="https://webagentes.canaldirecto.com.ar/incidents/view/711309-3" TargetMode="External"/><Relationship Id="rId908" Type="http://schemas.openxmlformats.org/officeDocument/2006/relationships/hyperlink" Target="https://webagentes.canaldirecto.com.ar/incidents/view/712491-0" TargetMode="External"/><Relationship Id="rId1233" Type="http://schemas.openxmlformats.org/officeDocument/2006/relationships/hyperlink" Target="https://webagentes.canaldirecto.com.ar/incidents/view/723373-1" TargetMode="External"/><Relationship Id="rId1440" Type="http://schemas.openxmlformats.org/officeDocument/2006/relationships/hyperlink" Target="https://webagentes.canaldirecto.com.ar/incidents/view/735349-7" TargetMode="External"/><Relationship Id="rId1538" Type="http://schemas.openxmlformats.org/officeDocument/2006/relationships/hyperlink" Target="https://webagentes.canaldirecto.com.ar/incidents/view/740278-4" TargetMode="External"/><Relationship Id="rId1300" Type="http://schemas.openxmlformats.org/officeDocument/2006/relationships/hyperlink" Target="https://webagentes.canaldirecto.com.ar/incidents/view/730684-2" TargetMode="External"/><Relationship Id="rId1745" Type="http://schemas.openxmlformats.org/officeDocument/2006/relationships/hyperlink" Target="https://webagentes.canaldirecto.com.ar/incidents/view/744944-8" TargetMode="External"/><Relationship Id="rId1952" Type="http://schemas.openxmlformats.org/officeDocument/2006/relationships/hyperlink" Target="https://webagentes.canaldirecto.com.ar/incidents/view/756780-5" TargetMode="External"/><Relationship Id="rId3198" Type="http://schemas.openxmlformats.org/officeDocument/2006/relationships/hyperlink" Target="https://webagentes.canaldirecto.com.ar/incidents/view/804982-9" TargetMode="External"/><Relationship Id="rId37" Type="http://schemas.openxmlformats.org/officeDocument/2006/relationships/hyperlink" Target="https://webagentes.canaldirecto.com.ar/incidents/view/662357-5" TargetMode="External"/><Relationship Id="rId1605" Type="http://schemas.openxmlformats.org/officeDocument/2006/relationships/hyperlink" Target="https://webagentes.canaldirecto.com.ar/incidents/view/743917-7" TargetMode="External"/><Relationship Id="rId1812" Type="http://schemas.openxmlformats.org/officeDocument/2006/relationships/hyperlink" Target="https://webagentes.canaldirecto.com.ar/incidents/view/748430-8" TargetMode="External"/><Relationship Id="rId3058" Type="http://schemas.openxmlformats.org/officeDocument/2006/relationships/hyperlink" Target="https://webagentes.canaldirecto.com.ar/incidents/view/798940-5" TargetMode="External"/><Relationship Id="rId3265" Type="http://schemas.openxmlformats.org/officeDocument/2006/relationships/hyperlink" Target="https://webagentes.canaldirecto.com.ar/incidents/view/808268-4" TargetMode="External"/><Relationship Id="rId3472" Type="http://schemas.openxmlformats.org/officeDocument/2006/relationships/hyperlink" Target="https://webagentes.canaldirecto.com.ar/incidents/view/814812-0" TargetMode="External"/><Relationship Id="rId186" Type="http://schemas.openxmlformats.org/officeDocument/2006/relationships/hyperlink" Target="https://webagentes.canaldirecto.com.ar/incidents/view/670929-1" TargetMode="External"/><Relationship Id="rId393" Type="http://schemas.openxmlformats.org/officeDocument/2006/relationships/hyperlink" Target="https://webagentes.canaldirecto.com.ar/incidents/view/670920-0" TargetMode="External"/><Relationship Id="rId2074" Type="http://schemas.openxmlformats.org/officeDocument/2006/relationships/hyperlink" Target="https://webagentes.canaldirecto.com.ar/incidents/view/760045-6" TargetMode="External"/><Relationship Id="rId2281" Type="http://schemas.openxmlformats.org/officeDocument/2006/relationships/hyperlink" Target="https://webagentes.canaldirecto.com.ar/incidents/view/774416-7" TargetMode="External"/><Relationship Id="rId3125" Type="http://schemas.openxmlformats.org/officeDocument/2006/relationships/hyperlink" Target="https://webagentes.canaldirecto.com.ar/incidents/view/802329-2" TargetMode="External"/><Relationship Id="rId3332" Type="http://schemas.openxmlformats.org/officeDocument/2006/relationships/hyperlink" Target="https://webagentes.canaldirecto.com.ar/incidents/view/812690-6" TargetMode="External"/><Relationship Id="rId3777" Type="http://schemas.openxmlformats.org/officeDocument/2006/relationships/hyperlink" Target="https://webagentes.canaldirecto.com.ar/incidents/view/823819-5" TargetMode="External"/><Relationship Id="rId253" Type="http://schemas.openxmlformats.org/officeDocument/2006/relationships/hyperlink" Target="https://webagentes.canaldirecto.com.ar/incidents/view/675716-4" TargetMode="External"/><Relationship Id="rId460" Type="http://schemas.openxmlformats.org/officeDocument/2006/relationships/hyperlink" Target="https://webagentes.canaldirecto.com.ar/incidents/view/684413-2" TargetMode="External"/><Relationship Id="rId698" Type="http://schemas.openxmlformats.org/officeDocument/2006/relationships/hyperlink" Target="https://webagentes.canaldirecto.com.ar/incidents/view/697768-9" TargetMode="External"/><Relationship Id="rId1090" Type="http://schemas.openxmlformats.org/officeDocument/2006/relationships/hyperlink" Target="https://webagentes.canaldirecto.com.ar/incidents/view/720776-3" TargetMode="External"/><Relationship Id="rId2141" Type="http://schemas.openxmlformats.org/officeDocument/2006/relationships/hyperlink" Target="https://webagentes.canaldirecto.com.ar/incidents/view/761106-3" TargetMode="External"/><Relationship Id="rId2379" Type="http://schemas.openxmlformats.org/officeDocument/2006/relationships/hyperlink" Target="https://webagentes.canaldirecto.com.ar/incidents/view/780237-3" TargetMode="External"/><Relationship Id="rId2586" Type="http://schemas.openxmlformats.org/officeDocument/2006/relationships/hyperlink" Target="https://webagentes.canaldirecto.com.ar/incidents/view/783096-9" TargetMode="External"/><Relationship Id="rId2793" Type="http://schemas.openxmlformats.org/officeDocument/2006/relationships/hyperlink" Target="https://webagentes.canaldirecto.com.ar/incidents/view/789543-4" TargetMode="External"/><Relationship Id="rId3637" Type="http://schemas.openxmlformats.org/officeDocument/2006/relationships/hyperlink" Target="https://webagentes.canaldirecto.com.ar/incidents/view/811856-3" TargetMode="External"/><Relationship Id="rId3844" Type="http://schemas.openxmlformats.org/officeDocument/2006/relationships/hyperlink" Target="https://webagentes.canaldirecto.com.ar/incidents/view/826341-0" TargetMode="External"/><Relationship Id="rId113" Type="http://schemas.openxmlformats.org/officeDocument/2006/relationships/hyperlink" Target="https://webagentes.canaldirecto.com.ar/incidents/view/669377-8" TargetMode="External"/><Relationship Id="rId320" Type="http://schemas.openxmlformats.org/officeDocument/2006/relationships/hyperlink" Target="https://webagentes.canaldirecto.com.ar/incidents/view/673635-6" TargetMode="External"/><Relationship Id="rId558" Type="http://schemas.openxmlformats.org/officeDocument/2006/relationships/hyperlink" Target="https://webagentes.canaldirecto.com.ar/incidents/view/691978-2" TargetMode="External"/><Relationship Id="rId765" Type="http://schemas.openxmlformats.org/officeDocument/2006/relationships/hyperlink" Target="https://webagentes.canaldirecto.com.ar/incidents/view/705992-6" TargetMode="External"/><Relationship Id="rId972" Type="http://schemas.openxmlformats.org/officeDocument/2006/relationships/hyperlink" Target="https://webagentes.canaldirecto.com.ar/incidents/view/711622-1" TargetMode="External"/><Relationship Id="rId1188" Type="http://schemas.openxmlformats.org/officeDocument/2006/relationships/hyperlink" Target="https://webagentes.canaldirecto.com.ar/incidents/view/721873-2" TargetMode="External"/><Relationship Id="rId1395" Type="http://schemas.openxmlformats.org/officeDocument/2006/relationships/hyperlink" Target="https://webagentes.canaldirecto.com.ar/incidents/view/731501-7" TargetMode="External"/><Relationship Id="rId2001" Type="http://schemas.openxmlformats.org/officeDocument/2006/relationships/hyperlink" Target="https://webagentes.canaldirecto.com.ar/incidents/view/759071-5" TargetMode="External"/><Relationship Id="rId2239" Type="http://schemas.openxmlformats.org/officeDocument/2006/relationships/hyperlink" Target="https://webagentes.canaldirecto.com.ar/incidents/view/770512-2" TargetMode="External"/><Relationship Id="rId2446" Type="http://schemas.openxmlformats.org/officeDocument/2006/relationships/hyperlink" Target="https://webagentes.canaldirecto.com.ar/incidents/view/778786-1" TargetMode="External"/><Relationship Id="rId2653" Type="http://schemas.openxmlformats.org/officeDocument/2006/relationships/hyperlink" Target="https://webagentes.canaldirecto.com.ar/incidents/view/785823-9" TargetMode="External"/><Relationship Id="rId2860" Type="http://schemas.openxmlformats.org/officeDocument/2006/relationships/hyperlink" Target="https://webagentes.canaldirecto.com.ar/incidents/view/792689-5" TargetMode="External"/><Relationship Id="rId3704" Type="http://schemas.openxmlformats.org/officeDocument/2006/relationships/hyperlink" Target="https://webagentes.canaldirecto.com.ar/incidents/view/820184-5" TargetMode="External"/><Relationship Id="rId418" Type="http://schemas.openxmlformats.org/officeDocument/2006/relationships/hyperlink" Target="https://webagentes.canaldirecto.com.ar/incidents/view/681341-5" TargetMode="External"/><Relationship Id="rId625" Type="http://schemas.openxmlformats.org/officeDocument/2006/relationships/hyperlink" Target="https://webagentes.canaldirecto.com.ar/incidents/view/693137-7" TargetMode="External"/><Relationship Id="rId832" Type="http://schemas.openxmlformats.org/officeDocument/2006/relationships/hyperlink" Target="https://webagentes.canaldirecto.com.ar/incidents/view/709472-5" TargetMode="External"/><Relationship Id="rId1048" Type="http://schemas.openxmlformats.org/officeDocument/2006/relationships/hyperlink" Target="https://webagentes.canaldirecto.com.ar/incidents/view/716423-7" TargetMode="External"/><Relationship Id="rId1255" Type="http://schemas.openxmlformats.org/officeDocument/2006/relationships/hyperlink" Target="https://webagentes.canaldirecto.com.ar/incidents/view/728290-4" TargetMode="External"/><Relationship Id="rId1462" Type="http://schemas.openxmlformats.org/officeDocument/2006/relationships/hyperlink" Target="https://webagentes.canaldirecto.com.ar/incidents/view/733622-3" TargetMode="External"/><Relationship Id="rId2306" Type="http://schemas.openxmlformats.org/officeDocument/2006/relationships/hyperlink" Target="https://webagentes.canaldirecto.com.ar/incidents/view/772782-3" TargetMode="External"/><Relationship Id="rId2513" Type="http://schemas.openxmlformats.org/officeDocument/2006/relationships/hyperlink" Target="https://webagentes.canaldirecto.com.ar/incidents/view/782122-6" TargetMode="External"/><Relationship Id="rId2958" Type="http://schemas.openxmlformats.org/officeDocument/2006/relationships/hyperlink" Target="https://webagentes.canaldirecto.com.ar/incidents/view/795743-3" TargetMode="External"/><Relationship Id="rId3911" Type="http://schemas.openxmlformats.org/officeDocument/2006/relationships/hyperlink" Target="https://webagentes.canaldirecto.com.ar/incidents/view/830020-7" TargetMode="External"/><Relationship Id="rId1115" Type="http://schemas.openxmlformats.org/officeDocument/2006/relationships/hyperlink" Target="https://webagentes.canaldirecto.com.ar/incidents/view/720023-8" TargetMode="External"/><Relationship Id="rId1322" Type="http://schemas.openxmlformats.org/officeDocument/2006/relationships/hyperlink" Target="https://webagentes.canaldirecto.com.ar/incidents/view/730363-2" TargetMode="External"/><Relationship Id="rId1767" Type="http://schemas.openxmlformats.org/officeDocument/2006/relationships/hyperlink" Target="https://webagentes.canaldirecto.com.ar/incidents/view/749272-3" TargetMode="External"/><Relationship Id="rId1974" Type="http://schemas.openxmlformats.org/officeDocument/2006/relationships/hyperlink" Target="https://webagentes.canaldirecto.com.ar/incidents/view/755180-4" TargetMode="External"/><Relationship Id="rId2720" Type="http://schemas.openxmlformats.org/officeDocument/2006/relationships/hyperlink" Target="https://webagentes.canaldirecto.com.ar/incidents/view/787202-6" TargetMode="External"/><Relationship Id="rId2818" Type="http://schemas.openxmlformats.org/officeDocument/2006/relationships/hyperlink" Target="https://webagentes.canaldirecto.com.ar/incidents/view/794387-4" TargetMode="External"/><Relationship Id="rId59" Type="http://schemas.openxmlformats.org/officeDocument/2006/relationships/hyperlink" Target="https://webagentes.canaldirecto.com.ar/incidents/view/666876-3" TargetMode="External"/><Relationship Id="rId1627" Type="http://schemas.openxmlformats.org/officeDocument/2006/relationships/hyperlink" Target="https://webagentes.canaldirecto.com.ar/incidents/view/743438-5" TargetMode="External"/><Relationship Id="rId1834" Type="http://schemas.openxmlformats.org/officeDocument/2006/relationships/hyperlink" Target="https://webagentes.canaldirecto.com.ar/incidents/view/746951-2" TargetMode="External"/><Relationship Id="rId3287" Type="http://schemas.openxmlformats.org/officeDocument/2006/relationships/hyperlink" Target="https://webagentes.canaldirecto.com.ar/incidents/view/807055-5" TargetMode="External"/><Relationship Id="rId2096" Type="http://schemas.openxmlformats.org/officeDocument/2006/relationships/hyperlink" Target="https://webagentes.canaldirecto.com.ar/incidents/view/764097-7" TargetMode="External"/><Relationship Id="rId3494" Type="http://schemas.openxmlformats.org/officeDocument/2006/relationships/hyperlink" Target="https://webagentes.canaldirecto.com.ar/incidents/view/813982-1" TargetMode="External"/><Relationship Id="rId3799" Type="http://schemas.openxmlformats.org/officeDocument/2006/relationships/hyperlink" Target="https://webagentes.canaldirecto.com.ar/incidents/view/822486-4" TargetMode="External"/><Relationship Id="rId1901" Type="http://schemas.openxmlformats.org/officeDocument/2006/relationships/hyperlink" Target="https://webagentes.canaldirecto.com.ar/incidents/view/749091-0" TargetMode="External"/><Relationship Id="rId3147" Type="http://schemas.openxmlformats.org/officeDocument/2006/relationships/hyperlink" Target="https://webagentes.canaldirecto.com.ar/incidents/view/801112-7" TargetMode="External"/><Relationship Id="rId3354" Type="http://schemas.openxmlformats.org/officeDocument/2006/relationships/hyperlink" Target="https://webagentes.canaldirecto.com.ar/incidents/view/812167-3" TargetMode="External"/><Relationship Id="rId3561" Type="http://schemas.openxmlformats.org/officeDocument/2006/relationships/hyperlink" Target="https://webagentes.canaldirecto.com.ar/incidents/view/818447-8" TargetMode="External"/><Relationship Id="rId3659" Type="http://schemas.openxmlformats.org/officeDocument/2006/relationships/hyperlink" Target="https://webagentes.canaldirecto.com.ar/incidents/view/821977-4" TargetMode="External"/><Relationship Id="rId275" Type="http://schemas.openxmlformats.org/officeDocument/2006/relationships/hyperlink" Target="https://webagentes.canaldirecto.com.ar/incidents/view/675213-2" TargetMode="External"/><Relationship Id="rId482" Type="http://schemas.openxmlformats.org/officeDocument/2006/relationships/hyperlink" Target="https://webagentes.canaldirecto.com.ar/incidents/view/690271-9" TargetMode="External"/><Relationship Id="rId2163" Type="http://schemas.openxmlformats.org/officeDocument/2006/relationships/hyperlink" Target="https://webagentes.canaldirecto.com.ar/incidents/view/765718-0" TargetMode="External"/><Relationship Id="rId2370" Type="http://schemas.openxmlformats.org/officeDocument/2006/relationships/hyperlink" Target="https://webagentes.canaldirecto.com.ar/incidents/view/780442-3" TargetMode="External"/><Relationship Id="rId3007" Type="http://schemas.openxmlformats.org/officeDocument/2006/relationships/hyperlink" Target="https://webagentes.canaldirecto.com.ar/incidents/view/800029-1" TargetMode="External"/><Relationship Id="rId3214" Type="http://schemas.openxmlformats.org/officeDocument/2006/relationships/hyperlink" Target="https://webagentes.canaldirecto.com.ar/incidents/view/804180-9" TargetMode="External"/><Relationship Id="rId3421" Type="http://schemas.openxmlformats.org/officeDocument/2006/relationships/hyperlink" Target="https://webagentes.canaldirecto.com.ar/incidents/view/809797-8" TargetMode="External"/><Relationship Id="rId3866" Type="http://schemas.openxmlformats.org/officeDocument/2006/relationships/hyperlink" Target="https://webagentes.canaldirecto.com.ar/incidents/view/825951-4" TargetMode="External"/><Relationship Id="rId135" Type="http://schemas.openxmlformats.org/officeDocument/2006/relationships/hyperlink" Target="https://webagentes.canaldirecto.com.ar/incidents/view/668345-2" TargetMode="External"/><Relationship Id="rId342" Type="http://schemas.openxmlformats.org/officeDocument/2006/relationships/hyperlink" Target="https://webagentes.canaldirecto.com.ar/incidents/view/679209-7" TargetMode="External"/><Relationship Id="rId787" Type="http://schemas.openxmlformats.org/officeDocument/2006/relationships/hyperlink" Target="https://webagentes.canaldirecto.com.ar/incidents/view/704965-5" TargetMode="External"/><Relationship Id="rId994" Type="http://schemas.openxmlformats.org/officeDocument/2006/relationships/hyperlink" Target="https://webagentes.canaldirecto.com.ar/incidents/view/717275-9" TargetMode="External"/><Relationship Id="rId2023" Type="http://schemas.openxmlformats.org/officeDocument/2006/relationships/hyperlink" Target="https://webagentes.canaldirecto.com.ar/incidents/view/757194-1" TargetMode="External"/><Relationship Id="rId2230" Type="http://schemas.openxmlformats.org/officeDocument/2006/relationships/hyperlink" Target="https://webagentes.canaldirecto.com.ar/incidents/view/770983-6" TargetMode="External"/><Relationship Id="rId2468" Type="http://schemas.openxmlformats.org/officeDocument/2006/relationships/hyperlink" Target="https://webagentes.canaldirecto.com.ar/incidents/view/777259-5" TargetMode="External"/><Relationship Id="rId2675" Type="http://schemas.openxmlformats.org/officeDocument/2006/relationships/hyperlink" Target="https://webagentes.canaldirecto.com.ar/incidents/view/789116-4" TargetMode="External"/><Relationship Id="rId2882" Type="http://schemas.openxmlformats.org/officeDocument/2006/relationships/hyperlink" Target="https://webagentes.canaldirecto.com.ar/incidents/view/792446-2" TargetMode="External"/><Relationship Id="rId3519" Type="http://schemas.openxmlformats.org/officeDocument/2006/relationships/hyperlink" Target="https://webagentes.canaldirecto.com.ar/incidents/view/819540-1" TargetMode="External"/><Relationship Id="rId3726" Type="http://schemas.openxmlformats.org/officeDocument/2006/relationships/hyperlink" Target="https://webagentes.canaldirecto.com.ar/incidents/view/815821-5" TargetMode="External"/><Relationship Id="rId3933" Type="http://schemas.openxmlformats.org/officeDocument/2006/relationships/hyperlink" Target="https://webagentes.canaldirecto.com.ar/incidents/view/829665-8" TargetMode="External"/><Relationship Id="rId202" Type="http://schemas.openxmlformats.org/officeDocument/2006/relationships/hyperlink" Target="https://webagentes.canaldirecto.com.ar/incidents/view/670274-8" TargetMode="External"/><Relationship Id="rId647" Type="http://schemas.openxmlformats.org/officeDocument/2006/relationships/hyperlink" Target="https://webagentes.canaldirecto.com.ar/incidents/view/697173-7" TargetMode="External"/><Relationship Id="rId854" Type="http://schemas.openxmlformats.org/officeDocument/2006/relationships/hyperlink" Target="https://webagentes.canaldirecto.com.ar/incidents/view/708277-5" TargetMode="External"/><Relationship Id="rId1277" Type="http://schemas.openxmlformats.org/officeDocument/2006/relationships/hyperlink" Target="https://webagentes.canaldirecto.com.ar/incidents/view/727243-9" TargetMode="External"/><Relationship Id="rId1484" Type="http://schemas.openxmlformats.org/officeDocument/2006/relationships/hyperlink" Target="https://webagentes.canaldirecto.com.ar/incidents/view/737509-1" TargetMode="External"/><Relationship Id="rId1691" Type="http://schemas.openxmlformats.org/officeDocument/2006/relationships/hyperlink" Target="https://webagentes.canaldirecto.com.ar/incidents/view/746259-1" TargetMode="External"/><Relationship Id="rId2328" Type="http://schemas.openxmlformats.org/officeDocument/2006/relationships/hyperlink" Target="https://webagentes.canaldirecto.com.ar/incidents/view/770841-1" TargetMode="External"/><Relationship Id="rId2535" Type="http://schemas.openxmlformats.org/officeDocument/2006/relationships/hyperlink" Target="https://webagentes.canaldirecto.com.ar/incidents/view/781197-3" TargetMode="External"/><Relationship Id="rId2742" Type="http://schemas.openxmlformats.org/officeDocument/2006/relationships/hyperlink" Target="https://webagentes.canaldirecto.com.ar/incidents/view/791322-6" TargetMode="External"/><Relationship Id="rId507" Type="http://schemas.openxmlformats.org/officeDocument/2006/relationships/hyperlink" Target="https://webagentes.canaldirecto.com.ar/incidents/view/689372-1" TargetMode="External"/><Relationship Id="rId714" Type="http://schemas.openxmlformats.org/officeDocument/2006/relationships/hyperlink" Target="https://webagentes.canaldirecto.com.ar/incidents/view/703340-5" TargetMode="External"/><Relationship Id="rId921" Type="http://schemas.openxmlformats.org/officeDocument/2006/relationships/hyperlink" Target="https://webagentes.canaldirecto.com.ar/incidents/view/712199-5" TargetMode="External"/><Relationship Id="rId1137" Type="http://schemas.openxmlformats.org/officeDocument/2006/relationships/hyperlink" Target="https://webagentes.canaldirecto.com.ar/incidents/view/718930-6" TargetMode="External"/><Relationship Id="rId1344" Type="http://schemas.openxmlformats.org/officeDocument/2006/relationships/hyperlink" Target="https://webagentes.canaldirecto.com.ar/incidents/view/728683-0" TargetMode="External"/><Relationship Id="rId1551" Type="http://schemas.openxmlformats.org/officeDocument/2006/relationships/hyperlink" Target="https://webagentes.canaldirecto.com.ar/incidents/view/739122-0" TargetMode="External"/><Relationship Id="rId1789" Type="http://schemas.openxmlformats.org/officeDocument/2006/relationships/hyperlink" Target="https://webagentes.canaldirecto.com.ar/incidents/view/748679-5" TargetMode="External"/><Relationship Id="rId1996" Type="http://schemas.openxmlformats.org/officeDocument/2006/relationships/hyperlink" Target="https://webagentes.canaldirecto.com.ar/incidents/view/753975-0" TargetMode="External"/><Relationship Id="rId2602" Type="http://schemas.openxmlformats.org/officeDocument/2006/relationships/hyperlink" Target="https://webagentes.canaldirecto.com.ar/incidents/view/782875-1" TargetMode="External"/><Relationship Id="rId50" Type="http://schemas.openxmlformats.org/officeDocument/2006/relationships/hyperlink" Target="https://webagentes.canaldirecto.com.ar/incidents/view/661190-5" TargetMode="External"/><Relationship Id="rId1204" Type="http://schemas.openxmlformats.org/officeDocument/2006/relationships/hyperlink" Target="https://webagentes.canaldirecto.com.ar/incidents/view/720782-4" TargetMode="External"/><Relationship Id="rId1411" Type="http://schemas.openxmlformats.org/officeDocument/2006/relationships/hyperlink" Target="https://webagentes.canaldirecto.com.ar/incidents/view/736257-4" TargetMode="External"/><Relationship Id="rId1649" Type="http://schemas.openxmlformats.org/officeDocument/2006/relationships/hyperlink" Target="https://webagentes.canaldirecto.com.ar/incidents/view/742161-9" TargetMode="External"/><Relationship Id="rId1856" Type="http://schemas.openxmlformats.org/officeDocument/2006/relationships/hyperlink" Target="https://webagentes.canaldirecto.com.ar/incidents/view/751367-3" TargetMode="External"/><Relationship Id="rId2907" Type="http://schemas.openxmlformats.org/officeDocument/2006/relationships/hyperlink" Target="https://webagentes.canaldirecto.com.ar/incidents/view/797546-6" TargetMode="External"/><Relationship Id="rId3071" Type="http://schemas.openxmlformats.org/officeDocument/2006/relationships/hyperlink" Target="https://webagentes.canaldirecto.com.ar/incidents/view/798330-4" TargetMode="External"/><Relationship Id="rId1509" Type="http://schemas.openxmlformats.org/officeDocument/2006/relationships/hyperlink" Target="https://webagentes.canaldirecto.com.ar/incidents/view/736146-9" TargetMode="External"/><Relationship Id="rId1716" Type="http://schemas.openxmlformats.org/officeDocument/2006/relationships/hyperlink" Target="https://webagentes.canaldirecto.com.ar/incidents/view/745850-7" TargetMode="External"/><Relationship Id="rId1923" Type="http://schemas.openxmlformats.org/officeDocument/2006/relationships/hyperlink" Target="https://webagentes.canaldirecto.com.ar/incidents/view/753047-6" TargetMode="External"/><Relationship Id="rId3169" Type="http://schemas.openxmlformats.org/officeDocument/2006/relationships/hyperlink" Target="https://webagentes.canaldirecto.com.ar/incidents/view/806326-3" TargetMode="External"/><Relationship Id="rId3376" Type="http://schemas.openxmlformats.org/officeDocument/2006/relationships/hyperlink" Target="https://webagentes.canaldirecto.com.ar/incidents/view/811398-4" TargetMode="External"/><Relationship Id="rId3583" Type="http://schemas.openxmlformats.org/officeDocument/2006/relationships/hyperlink" Target="https://webagentes.canaldirecto.com.ar/incidents/view/817732-6" TargetMode="External"/><Relationship Id="rId297" Type="http://schemas.openxmlformats.org/officeDocument/2006/relationships/hyperlink" Target="https://webagentes.canaldirecto.com.ar/incidents/view/674430-0" TargetMode="External"/><Relationship Id="rId2185" Type="http://schemas.openxmlformats.org/officeDocument/2006/relationships/hyperlink" Target="https://webagentes.canaldirecto.com.ar/incidents/view/763038-7" TargetMode="External"/><Relationship Id="rId2392" Type="http://schemas.openxmlformats.org/officeDocument/2006/relationships/hyperlink" Target="https://webagentes.canaldirecto.com.ar/incidents/view/779817-7" TargetMode="External"/><Relationship Id="rId3029" Type="http://schemas.openxmlformats.org/officeDocument/2006/relationships/hyperlink" Target="https://webagentes.canaldirecto.com.ar/incidents/view/799769-9" TargetMode="External"/><Relationship Id="rId3236" Type="http://schemas.openxmlformats.org/officeDocument/2006/relationships/hyperlink" Target="https://webagentes.canaldirecto.com.ar/incidents/view/809453-7" TargetMode="External"/><Relationship Id="rId3790" Type="http://schemas.openxmlformats.org/officeDocument/2006/relationships/hyperlink" Target="https://webagentes.canaldirecto.com.ar/incidents/view/823117-4" TargetMode="External"/><Relationship Id="rId3888" Type="http://schemas.openxmlformats.org/officeDocument/2006/relationships/hyperlink" Target="https://webagentes.canaldirecto.com.ar/incidents/view/831916-2" TargetMode="External"/><Relationship Id="rId157" Type="http://schemas.openxmlformats.org/officeDocument/2006/relationships/hyperlink" Target="https://webagentes.canaldirecto.com.ar/incidents/view/673496-9" TargetMode="External"/><Relationship Id="rId364" Type="http://schemas.openxmlformats.org/officeDocument/2006/relationships/hyperlink" Target="https://webagentes.canaldirecto.com.ar/incidents/view/678231-9" TargetMode="External"/><Relationship Id="rId2045" Type="http://schemas.openxmlformats.org/officeDocument/2006/relationships/hyperlink" Target="https://webagentes.canaldirecto.com.ar/incidents/view/760810-2" TargetMode="External"/><Relationship Id="rId2697" Type="http://schemas.openxmlformats.org/officeDocument/2006/relationships/hyperlink" Target="https://webagentes.canaldirecto.com.ar/incidents/view/788339-6" TargetMode="External"/><Relationship Id="rId3443" Type="http://schemas.openxmlformats.org/officeDocument/2006/relationships/hyperlink" Target="https://webagentes.canaldirecto.com.ar/incidents/view/816260-7" TargetMode="External"/><Relationship Id="rId3650" Type="http://schemas.openxmlformats.org/officeDocument/2006/relationships/hyperlink" Target="https://webagentes.canaldirecto.com.ar/incidents/view/822184-9" TargetMode="External"/><Relationship Id="rId3748" Type="http://schemas.openxmlformats.org/officeDocument/2006/relationships/hyperlink" Target="https://webagentes.canaldirecto.com.ar/incidents/view/824668-0" TargetMode="External"/><Relationship Id="rId571" Type="http://schemas.openxmlformats.org/officeDocument/2006/relationships/hyperlink" Target="https://webagentes.canaldirecto.com.ar/incidents/view/690638-0" TargetMode="External"/><Relationship Id="rId669" Type="http://schemas.openxmlformats.org/officeDocument/2006/relationships/hyperlink" Target="https://webagentes.canaldirecto.com.ar/incidents/view/700491-7" TargetMode="External"/><Relationship Id="rId876" Type="http://schemas.openxmlformats.org/officeDocument/2006/relationships/hyperlink" Target="https://webagentes.canaldirecto.com.ar/incidents/view/704667-6" TargetMode="External"/><Relationship Id="rId1299" Type="http://schemas.openxmlformats.org/officeDocument/2006/relationships/hyperlink" Target="https://webagentes.canaldirecto.com.ar/incidents/view/730685-1" TargetMode="External"/><Relationship Id="rId2252" Type="http://schemas.openxmlformats.org/officeDocument/2006/relationships/hyperlink" Target="https://webagentes.canaldirecto.com.ar/incidents/view/770132-0" TargetMode="External"/><Relationship Id="rId2557" Type="http://schemas.openxmlformats.org/officeDocument/2006/relationships/hyperlink" Target="https://webagentes.canaldirecto.com.ar/incidents/view/785318-2" TargetMode="External"/><Relationship Id="rId3303" Type="http://schemas.openxmlformats.org/officeDocument/2006/relationships/hyperlink" Target="https://webagentes.canaldirecto.com.ar/incidents/view/813621-3" TargetMode="External"/><Relationship Id="rId3510" Type="http://schemas.openxmlformats.org/officeDocument/2006/relationships/hyperlink" Target="https://webagentes.canaldirecto.com.ar/incidents/view/819955-9" TargetMode="External"/><Relationship Id="rId3608" Type="http://schemas.openxmlformats.org/officeDocument/2006/relationships/hyperlink" Target="https://webagentes.canaldirecto.com.ar/incidents/view/817075-8" TargetMode="External"/><Relationship Id="rId3955" Type="http://schemas.openxmlformats.org/officeDocument/2006/relationships/hyperlink" Target="https://webagentes.canaldirecto.com.ar/incidents/view/829010-4" TargetMode="External"/><Relationship Id="rId224" Type="http://schemas.openxmlformats.org/officeDocument/2006/relationships/hyperlink" Target="https://webagentes.canaldirecto.com.ar/incidents/view/677731-7" TargetMode="External"/><Relationship Id="rId431" Type="http://schemas.openxmlformats.org/officeDocument/2006/relationships/hyperlink" Target="https://webagentes.canaldirecto.com.ar/incidents/view/686644-4" TargetMode="External"/><Relationship Id="rId529" Type="http://schemas.openxmlformats.org/officeDocument/2006/relationships/hyperlink" Target="https://webagentes.canaldirecto.com.ar/incidents/view/688074-5" TargetMode="External"/><Relationship Id="rId736" Type="http://schemas.openxmlformats.org/officeDocument/2006/relationships/hyperlink" Target="https://webagentes.canaldirecto.com.ar/incidents/view/701871-6" TargetMode="External"/><Relationship Id="rId1061" Type="http://schemas.openxmlformats.org/officeDocument/2006/relationships/hyperlink" Target="https://webagentes.canaldirecto.com.ar/incidents/view/716252-1" TargetMode="External"/><Relationship Id="rId1159" Type="http://schemas.openxmlformats.org/officeDocument/2006/relationships/hyperlink" Target="https://webagentes.canaldirecto.com.ar/incidents/view/717495-1" TargetMode="External"/><Relationship Id="rId1366" Type="http://schemas.openxmlformats.org/officeDocument/2006/relationships/hyperlink" Target="https://webagentes.canaldirecto.com.ar/incidents/view/732801-1" TargetMode="External"/><Relationship Id="rId2112" Type="http://schemas.openxmlformats.org/officeDocument/2006/relationships/hyperlink" Target="https://webagentes.canaldirecto.com.ar/incidents/view/762932-7" TargetMode="External"/><Relationship Id="rId2417" Type="http://schemas.openxmlformats.org/officeDocument/2006/relationships/hyperlink" Target="https://webagentes.canaldirecto.com.ar/incidents/view/779277-5" TargetMode="External"/><Relationship Id="rId2764" Type="http://schemas.openxmlformats.org/officeDocument/2006/relationships/hyperlink" Target="https://webagentes.canaldirecto.com.ar/incidents/view/789939-7" TargetMode="External"/><Relationship Id="rId2971" Type="http://schemas.openxmlformats.org/officeDocument/2006/relationships/hyperlink" Target="https://webagentes.canaldirecto.com.ar/incidents/view/795579-0" TargetMode="External"/><Relationship Id="rId3815" Type="http://schemas.openxmlformats.org/officeDocument/2006/relationships/hyperlink" Target="https://webagentes.canaldirecto.com.ar/incidents/view/827787-5" TargetMode="External"/><Relationship Id="rId943" Type="http://schemas.openxmlformats.org/officeDocument/2006/relationships/hyperlink" Target="https://webagentes.canaldirecto.com.ar/incidents/view/712037-6" TargetMode="External"/><Relationship Id="rId1019" Type="http://schemas.openxmlformats.org/officeDocument/2006/relationships/hyperlink" Target="https://webagentes.canaldirecto.com.ar/incidents/view/716822-4" TargetMode="External"/><Relationship Id="rId1573" Type="http://schemas.openxmlformats.org/officeDocument/2006/relationships/hyperlink" Target="https://webagentes.canaldirecto.com.ar/incidents/view/744272-8" TargetMode="External"/><Relationship Id="rId1780" Type="http://schemas.openxmlformats.org/officeDocument/2006/relationships/hyperlink" Target="https://webagentes.canaldirecto.com.ar/incidents/view/749044-2" TargetMode="External"/><Relationship Id="rId1878" Type="http://schemas.openxmlformats.org/officeDocument/2006/relationships/hyperlink" Target="https://webagentes.canaldirecto.com.ar/incidents/view/750054-5" TargetMode="External"/><Relationship Id="rId2624" Type="http://schemas.openxmlformats.org/officeDocument/2006/relationships/hyperlink" Target="https://webagentes.canaldirecto.com.ar/incidents/view/787013-4" TargetMode="External"/><Relationship Id="rId2831" Type="http://schemas.openxmlformats.org/officeDocument/2006/relationships/hyperlink" Target="https://webagentes.canaldirecto.com.ar/incidents/view/794226-4" TargetMode="External"/><Relationship Id="rId2929" Type="http://schemas.openxmlformats.org/officeDocument/2006/relationships/hyperlink" Target="https://webagentes.canaldirecto.com.ar/incidents/view/796443-3" TargetMode="External"/><Relationship Id="rId72" Type="http://schemas.openxmlformats.org/officeDocument/2006/relationships/hyperlink" Target="https://webagentes.canaldirecto.com.ar/incidents/view/665348-8" TargetMode="External"/><Relationship Id="rId803" Type="http://schemas.openxmlformats.org/officeDocument/2006/relationships/hyperlink" Target="https://webagentes.canaldirecto.com.ar/incidents/view/703699-8" TargetMode="External"/><Relationship Id="rId1226" Type="http://schemas.openxmlformats.org/officeDocument/2006/relationships/hyperlink" Target="https://webagentes.canaldirecto.com.ar/incidents/view/724421-4" TargetMode="External"/><Relationship Id="rId1433" Type="http://schemas.openxmlformats.org/officeDocument/2006/relationships/hyperlink" Target="https://webagentes.canaldirecto.com.ar/incidents/view/735615-7" TargetMode="External"/><Relationship Id="rId1640" Type="http://schemas.openxmlformats.org/officeDocument/2006/relationships/hyperlink" Target="https://webagentes.canaldirecto.com.ar/incidents/view/742931-0" TargetMode="External"/><Relationship Id="rId1738" Type="http://schemas.openxmlformats.org/officeDocument/2006/relationships/hyperlink" Target="https://webagentes.canaldirecto.com.ar/incidents/view/745433-4" TargetMode="External"/><Relationship Id="rId3093" Type="http://schemas.openxmlformats.org/officeDocument/2006/relationships/hyperlink" Target="https://webagentes.canaldirecto.com.ar/incidents/view/794403-1" TargetMode="External"/><Relationship Id="rId1500" Type="http://schemas.openxmlformats.org/officeDocument/2006/relationships/hyperlink" Target="https://webagentes.canaldirecto.com.ar/incidents/view/736753-3" TargetMode="External"/><Relationship Id="rId1945" Type="http://schemas.openxmlformats.org/officeDocument/2006/relationships/hyperlink" Target="https://webagentes.canaldirecto.com.ar/incidents/view/751023-2" TargetMode="External"/><Relationship Id="rId3160" Type="http://schemas.openxmlformats.org/officeDocument/2006/relationships/hyperlink" Target="https://webagentes.canaldirecto.com.ar/incidents/view/799500-8" TargetMode="External"/><Relationship Id="rId3398" Type="http://schemas.openxmlformats.org/officeDocument/2006/relationships/hyperlink" Target="https://webagentes.canaldirecto.com.ar/incidents/view/810984-8" TargetMode="External"/><Relationship Id="rId1805" Type="http://schemas.openxmlformats.org/officeDocument/2006/relationships/hyperlink" Target="https://webagentes.canaldirecto.com.ar/incidents/view/748507-9" TargetMode="External"/><Relationship Id="rId3020" Type="http://schemas.openxmlformats.org/officeDocument/2006/relationships/hyperlink" Target="https://webagentes.canaldirecto.com.ar/incidents/view/799970-3" TargetMode="External"/><Relationship Id="rId3258" Type="http://schemas.openxmlformats.org/officeDocument/2006/relationships/hyperlink" Target="https://webagentes.canaldirecto.com.ar/incidents/view/808956-2" TargetMode="External"/><Relationship Id="rId3465" Type="http://schemas.openxmlformats.org/officeDocument/2006/relationships/hyperlink" Target="https://webagentes.canaldirecto.com.ar/incidents/view/815355-7" TargetMode="External"/><Relationship Id="rId3672" Type="http://schemas.openxmlformats.org/officeDocument/2006/relationships/hyperlink" Target="https://webagentes.canaldirecto.com.ar/incidents/view/821806-7" TargetMode="External"/><Relationship Id="rId179" Type="http://schemas.openxmlformats.org/officeDocument/2006/relationships/hyperlink" Target="https://webagentes.canaldirecto.com.ar/incidents/view/672102-6" TargetMode="External"/><Relationship Id="rId386" Type="http://schemas.openxmlformats.org/officeDocument/2006/relationships/hyperlink" Target="https://webagentes.canaldirecto.com.ar/incidents/view/677406-4" TargetMode="External"/><Relationship Id="rId593" Type="http://schemas.openxmlformats.org/officeDocument/2006/relationships/hyperlink" Target="https://webagentes.canaldirecto.com.ar/incidents/view/689246-7" TargetMode="External"/><Relationship Id="rId2067" Type="http://schemas.openxmlformats.org/officeDocument/2006/relationships/hyperlink" Target="https://webagentes.canaldirecto.com.ar/incidents/view/760297-7" TargetMode="External"/><Relationship Id="rId2274" Type="http://schemas.openxmlformats.org/officeDocument/2006/relationships/hyperlink" Target="https://webagentes.canaldirecto.com.ar/incidents/view/768828-7" TargetMode="External"/><Relationship Id="rId2481" Type="http://schemas.openxmlformats.org/officeDocument/2006/relationships/hyperlink" Target="https://webagentes.canaldirecto.com.ar/incidents/view/782744-2" TargetMode="External"/><Relationship Id="rId3118" Type="http://schemas.openxmlformats.org/officeDocument/2006/relationships/hyperlink" Target="https://webagentes.canaldirecto.com.ar/incidents/view/802417-6" TargetMode="External"/><Relationship Id="rId3325" Type="http://schemas.openxmlformats.org/officeDocument/2006/relationships/hyperlink" Target="https://webagentes.canaldirecto.com.ar/incidents/view/812853-3" TargetMode="External"/><Relationship Id="rId3532" Type="http://schemas.openxmlformats.org/officeDocument/2006/relationships/hyperlink" Target="https://webagentes.canaldirecto.com.ar/incidents/view/818792-5" TargetMode="External"/><Relationship Id="rId246" Type="http://schemas.openxmlformats.org/officeDocument/2006/relationships/hyperlink" Target="https://webagentes.canaldirecto.com.ar/incidents/view/676204-1" TargetMode="External"/><Relationship Id="rId453" Type="http://schemas.openxmlformats.org/officeDocument/2006/relationships/hyperlink" Target="https://webagentes.canaldirecto.com.ar/incidents/view/685079-9" TargetMode="External"/><Relationship Id="rId660" Type="http://schemas.openxmlformats.org/officeDocument/2006/relationships/hyperlink" Target="https://webagentes.canaldirecto.com.ar/incidents/view/695167-2" TargetMode="External"/><Relationship Id="rId898" Type="http://schemas.openxmlformats.org/officeDocument/2006/relationships/hyperlink" Target="https://webagentes.canaldirecto.com.ar/incidents/view/712762-5" TargetMode="External"/><Relationship Id="rId1083" Type="http://schemas.openxmlformats.org/officeDocument/2006/relationships/hyperlink" Target="https://webagentes.canaldirecto.com.ar/incidents/view/714259-0" TargetMode="External"/><Relationship Id="rId1290" Type="http://schemas.openxmlformats.org/officeDocument/2006/relationships/hyperlink" Target="https://webagentes.canaldirecto.com.ar/incidents/view/727117-5" TargetMode="External"/><Relationship Id="rId2134" Type="http://schemas.openxmlformats.org/officeDocument/2006/relationships/hyperlink" Target="https://webagentes.canaldirecto.com.ar/incidents/view/761616-5" TargetMode="External"/><Relationship Id="rId2341" Type="http://schemas.openxmlformats.org/officeDocument/2006/relationships/hyperlink" Target="https://webagentes.canaldirecto.com.ar/incidents/view/776185-4" TargetMode="External"/><Relationship Id="rId2579" Type="http://schemas.openxmlformats.org/officeDocument/2006/relationships/hyperlink" Target="https://webagentes.canaldirecto.com.ar/incidents/view/783468-2" TargetMode="External"/><Relationship Id="rId2786" Type="http://schemas.openxmlformats.org/officeDocument/2006/relationships/hyperlink" Target="https://webagentes.canaldirecto.com.ar/incidents/view/790162-9" TargetMode="External"/><Relationship Id="rId2993" Type="http://schemas.openxmlformats.org/officeDocument/2006/relationships/hyperlink" Target="https://webagentes.canaldirecto.com.ar/incidents/view/794595-1" TargetMode="External"/><Relationship Id="rId3837" Type="http://schemas.openxmlformats.org/officeDocument/2006/relationships/hyperlink" Target="https://webagentes.canaldirecto.com.ar/incidents/view/827001-2" TargetMode="External"/><Relationship Id="rId106" Type="http://schemas.openxmlformats.org/officeDocument/2006/relationships/hyperlink" Target="https://webagentes.canaldirecto.com.ar/incidents/view/669384-8" TargetMode="External"/><Relationship Id="rId313" Type="http://schemas.openxmlformats.org/officeDocument/2006/relationships/hyperlink" Target="https://webagentes.canaldirecto.com.ar/incidents/view/673931-7" TargetMode="External"/><Relationship Id="rId758" Type="http://schemas.openxmlformats.org/officeDocument/2006/relationships/hyperlink" Target="https://webagentes.canaldirecto.com.ar/incidents/view/706664-3" TargetMode="External"/><Relationship Id="rId965" Type="http://schemas.openxmlformats.org/officeDocument/2006/relationships/hyperlink" Target="https://webagentes.canaldirecto.com.ar/incidents/view/711679-9" TargetMode="External"/><Relationship Id="rId1150" Type="http://schemas.openxmlformats.org/officeDocument/2006/relationships/hyperlink" Target="https://webagentes.canaldirecto.com.ar/incidents/view/718129-8" TargetMode="External"/><Relationship Id="rId1388" Type="http://schemas.openxmlformats.org/officeDocument/2006/relationships/hyperlink" Target="https://webagentes.canaldirecto.com.ar/incidents/view/732393-7" TargetMode="External"/><Relationship Id="rId1595" Type="http://schemas.openxmlformats.org/officeDocument/2006/relationships/hyperlink" Target="https://webagentes.canaldirecto.com.ar/incidents/view/744002-1" TargetMode="External"/><Relationship Id="rId2439" Type="http://schemas.openxmlformats.org/officeDocument/2006/relationships/hyperlink" Target="https://webagentes.canaldirecto.com.ar/incidents/view/779137-8" TargetMode="External"/><Relationship Id="rId2646" Type="http://schemas.openxmlformats.org/officeDocument/2006/relationships/hyperlink" Target="https://webagentes.canaldirecto.com.ar/incidents/view/786085-4" TargetMode="External"/><Relationship Id="rId2853" Type="http://schemas.openxmlformats.org/officeDocument/2006/relationships/hyperlink" Target="https://webagentes.canaldirecto.com.ar/incidents/view/792970-4" TargetMode="External"/><Relationship Id="rId3904" Type="http://schemas.openxmlformats.org/officeDocument/2006/relationships/hyperlink" Target="https://webagentes.canaldirecto.com.ar/incidents/view/830430-0" TargetMode="External"/><Relationship Id="rId94" Type="http://schemas.openxmlformats.org/officeDocument/2006/relationships/hyperlink" Target="https://webagentes.canaldirecto.com.ar/incidents/view/669893-1" TargetMode="External"/><Relationship Id="rId520" Type="http://schemas.openxmlformats.org/officeDocument/2006/relationships/hyperlink" Target="https://webagentes.canaldirecto.com.ar/incidents/view/688192-0" TargetMode="External"/><Relationship Id="rId618" Type="http://schemas.openxmlformats.org/officeDocument/2006/relationships/hyperlink" Target="https://webagentes.canaldirecto.com.ar/incidents/view/693593-9" TargetMode="External"/><Relationship Id="rId825" Type="http://schemas.openxmlformats.org/officeDocument/2006/relationships/hyperlink" Target="https://webagentes.canaldirecto.com.ar/incidents/view/709908-5" TargetMode="External"/><Relationship Id="rId1248" Type="http://schemas.openxmlformats.org/officeDocument/2006/relationships/hyperlink" Target="https://webagentes.canaldirecto.com.ar/incidents/view/728375-4" TargetMode="External"/><Relationship Id="rId1455" Type="http://schemas.openxmlformats.org/officeDocument/2006/relationships/hyperlink" Target="https://webagentes.canaldirecto.com.ar/incidents/view/734041-1" TargetMode="External"/><Relationship Id="rId1662" Type="http://schemas.openxmlformats.org/officeDocument/2006/relationships/hyperlink" Target="https://webagentes.canaldirecto.com.ar/incidents/view/746814-2" TargetMode="External"/><Relationship Id="rId2201" Type="http://schemas.openxmlformats.org/officeDocument/2006/relationships/hyperlink" Target="https://webagentes.canaldirecto.com.ar/incidents/view/767452-1" TargetMode="External"/><Relationship Id="rId2506" Type="http://schemas.openxmlformats.org/officeDocument/2006/relationships/hyperlink" Target="https://webagentes.canaldirecto.com.ar/incidents/view/782231-3" TargetMode="External"/><Relationship Id="rId1010" Type="http://schemas.openxmlformats.org/officeDocument/2006/relationships/hyperlink" Target="https://webagentes.canaldirecto.com.ar/incidents/view/716999-5" TargetMode="External"/><Relationship Id="rId1108" Type="http://schemas.openxmlformats.org/officeDocument/2006/relationships/hyperlink" Target="https://webagentes.canaldirecto.com.ar/incidents/view/720392-5" TargetMode="External"/><Relationship Id="rId1315" Type="http://schemas.openxmlformats.org/officeDocument/2006/relationships/hyperlink" Target="https://webagentes.canaldirecto.com.ar/incidents/view/730647-1" TargetMode="External"/><Relationship Id="rId1967" Type="http://schemas.openxmlformats.org/officeDocument/2006/relationships/hyperlink" Target="https://webagentes.canaldirecto.com.ar/incidents/view/755538-7" TargetMode="External"/><Relationship Id="rId2713" Type="http://schemas.openxmlformats.org/officeDocument/2006/relationships/hyperlink" Target="https://webagentes.canaldirecto.com.ar/incidents/view/788088-5" TargetMode="External"/><Relationship Id="rId2920" Type="http://schemas.openxmlformats.org/officeDocument/2006/relationships/hyperlink" Target="https://webagentes.canaldirecto.com.ar/incidents/view/797109-9" TargetMode="External"/><Relationship Id="rId1522" Type="http://schemas.openxmlformats.org/officeDocument/2006/relationships/hyperlink" Target="https://webagentes.canaldirecto.com.ar/incidents/view/741188-9" TargetMode="External"/><Relationship Id="rId21" Type="http://schemas.openxmlformats.org/officeDocument/2006/relationships/hyperlink" Target="https://webagentes.canaldirecto.com.ar/incidents/view/662602-2" TargetMode="External"/><Relationship Id="rId2089" Type="http://schemas.openxmlformats.org/officeDocument/2006/relationships/hyperlink" Target="https://webagentes.canaldirecto.com.ar/incidents/view/759244-9" TargetMode="External"/><Relationship Id="rId3487" Type="http://schemas.openxmlformats.org/officeDocument/2006/relationships/hyperlink" Target="https://webagentes.canaldirecto.com.ar/incidents/view/814449-8" TargetMode="External"/><Relationship Id="rId3694" Type="http://schemas.openxmlformats.org/officeDocument/2006/relationships/hyperlink" Target="https://webagentes.canaldirecto.com.ar/incidents/view/820852-9" TargetMode="External"/><Relationship Id="rId2296" Type="http://schemas.openxmlformats.org/officeDocument/2006/relationships/hyperlink" Target="https://webagentes.canaldirecto.com.ar/incidents/view/773286-1" TargetMode="External"/><Relationship Id="rId3347" Type="http://schemas.openxmlformats.org/officeDocument/2006/relationships/hyperlink" Target="https://webagentes.canaldirecto.com.ar/incidents/view/812352-9" TargetMode="External"/><Relationship Id="rId3554" Type="http://schemas.openxmlformats.org/officeDocument/2006/relationships/hyperlink" Target="https://webagentes.canaldirecto.com.ar/incidents/view/818481-2" TargetMode="External"/><Relationship Id="rId3761" Type="http://schemas.openxmlformats.org/officeDocument/2006/relationships/hyperlink" Target="https://webagentes.canaldirecto.com.ar/incidents/view/824136-6" TargetMode="External"/><Relationship Id="rId268" Type="http://schemas.openxmlformats.org/officeDocument/2006/relationships/hyperlink" Target="https://webagentes.canaldirecto.com.ar/incidents/view/675608-6" TargetMode="External"/><Relationship Id="rId475" Type="http://schemas.openxmlformats.org/officeDocument/2006/relationships/hyperlink" Target="https://webagentes.canaldirecto.com.ar/incidents/view/683550-5" TargetMode="External"/><Relationship Id="rId682" Type="http://schemas.openxmlformats.org/officeDocument/2006/relationships/hyperlink" Target="https://webagentes.canaldirecto.com.ar/incidents/view/699365-0" TargetMode="External"/><Relationship Id="rId2156" Type="http://schemas.openxmlformats.org/officeDocument/2006/relationships/hyperlink" Target="https://webagentes.canaldirecto.com.ar/incidents/view/766154-5" TargetMode="External"/><Relationship Id="rId2363" Type="http://schemas.openxmlformats.org/officeDocument/2006/relationships/hyperlink" Target="https://webagentes.canaldirecto.com.ar/incidents/view/774582-9" TargetMode="External"/><Relationship Id="rId2570" Type="http://schemas.openxmlformats.org/officeDocument/2006/relationships/hyperlink" Target="https://webagentes.canaldirecto.com.ar/incidents/view/784348-6" TargetMode="External"/><Relationship Id="rId3207" Type="http://schemas.openxmlformats.org/officeDocument/2006/relationships/hyperlink" Target="https://webagentes.canaldirecto.com.ar/incidents/view/804582-3" TargetMode="External"/><Relationship Id="rId3414" Type="http://schemas.openxmlformats.org/officeDocument/2006/relationships/hyperlink" Target="https://webagentes.canaldirecto.com.ar/incidents/view/810418-0" TargetMode="External"/><Relationship Id="rId3621" Type="http://schemas.openxmlformats.org/officeDocument/2006/relationships/hyperlink" Target="https://webagentes.canaldirecto.com.ar/incidents/view/816844-3" TargetMode="External"/><Relationship Id="rId128" Type="http://schemas.openxmlformats.org/officeDocument/2006/relationships/hyperlink" Target="https://webagentes.canaldirecto.com.ar/incidents/view/668746-7" TargetMode="External"/><Relationship Id="rId335" Type="http://schemas.openxmlformats.org/officeDocument/2006/relationships/hyperlink" Target="https://webagentes.canaldirecto.com.ar/incidents/view/679894-9" TargetMode="External"/><Relationship Id="rId542" Type="http://schemas.openxmlformats.org/officeDocument/2006/relationships/hyperlink" Target="https://webagentes.canaldirecto.com.ar/incidents/view/687519-6" TargetMode="External"/><Relationship Id="rId1172" Type="http://schemas.openxmlformats.org/officeDocument/2006/relationships/hyperlink" Target="https://webagentes.canaldirecto.com.ar/incidents/view/722509-7" TargetMode="External"/><Relationship Id="rId2016" Type="http://schemas.openxmlformats.org/officeDocument/2006/relationships/hyperlink" Target="https://webagentes.canaldirecto.com.ar/incidents/view/758213-2" TargetMode="External"/><Relationship Id="rId2223" Type="http://schemas.openxmlformats.org/officeDocument/2006/relationships/hyperlink" Target="https://webagentes.canaldirecto.com.ar/incidents/view/771417-5" TargetMode="External"/><Relationship Id="rId2430" Type="http://schemas.openxmlformats.org/officeDocument/2006/relationships/hyperlink" Target="https://webagentes.canaldirecto.com.ar/incidents/view/779260-5" TargetMode="External"/><Relationship Id="rId402" Type="http://schemas.openxmlformats.org/officeDocument/2006/relationships/hyperlink" Target="https://webagentes.canaldirecto.com.ar/incidents/view/683566-6" TargetMode="External"/><Relationship Id="rId1032" Type="http://schemas.openxmlformats.org/officeDocument/2006/relationships/hyperlink" Target="https://webagentes.canaldirecto.com.ar/incidents/view/716513-9" TargetMode="External"/><Relationship Id="rId1989" Type="http://schemas.openxmlformats.org/officeDocument/2006/relationships/hyperlink" Target="https://webagentes.canaldirecto.com.ar/incidents/view/754752-8" TargetMode="External"/><Relationship Id="rId1849" Type="http://schemas.openxmlformats.org/officeDocument/2006/relationships/hyperlink" Target="https://webagentes.canaldirecto.com.ar/incidents/view/751583-9" TargetMode="External"/><Relationship Id="rId3064" Type="http://schemas.openxmlformats.org/officeDocument/2006/relationships/hyperlink" Target="https://webagentes.canaldirecto.com.ar/incidents/view/798686-0" TargetMode="External"/><Relationship Id="rId192" Type="http://schemas.openxmlformats.org/officeDocument/2006/relationships/hyperlink" Target="https://webagentes.canaldirecto.com.ar/incidents/view/670845-0" TargetMode="External"/><Relationship Id="rId1709" Type="http://schemas.openxmlformats.org/officeDocument/2006/relationships/hyperlink" Target="https://webagentes.canaldirecto.com.ar/incidents/view/745994-0" TargetMode="External"/><Relationship Id="rId1916" Type="http://schemas.openxmlformats.org/officeDocument/2006/relationships/hyperlink" Target="https://webagentes.canaldirecto.com.ar/incidents/view/753640-7" TargetMode="External"/><Relationship Id="rId3271" Type="http://schemas.openxmlformats.org/officeDocument/2006/relationships/hyperlink" Target="https://webagentes.canaldirecto.com.ar/incidents/view/807615-1" TargetMode="External"/><Relationship Id="rId2080" Type="http://schemas.openxmlformats.org/officeDocument/2006/relationships/hyperlink" Target="https://webagentes.canaldirecto.com.ar/incidents/view/760039-5" TargetMode="External"/><Relationship Id="rId3131" Type="http://schemas.openxmlformats.org/officeDocument/2006/relationships/hyperlink" Target="https://webagentes.canaldirecto.com.ar/incidents/view/801929-9" TargetMode="External"/><Relationship Id="rId2897" Type="http://schemas.openxmlformats.org/officeDocument/2006/relationships/hyperlink" Target="https://webagentes.canaldirecto.com.ar/incidents/view/791242-1" TargetMode="External"/><Relationship Id="rId3948" Type="http://schemas.openxmlformats.org/officeDocument/2006/relationships/hyperlink" Target="https://webagentes.canaldirecto.com.ar/incidents/view/829496-0" TargetMode="External"/><Relationship Id="rId869" Type="http://schemas.openxmlformats.org/officeDocument/2006/relationships/hyperlink" Target="https://webagentes.canaldirecto.com.ar/incidents/view/706634-2" TargetMode="External"/><Relationship Id="rId1499" Type="http://schemas.openxmlformats.org/officeDocument/2006/relationships/hyperlink" Target="https://webagentes.canaldirecto.com.ar/incidents/view/736797-7" TargetMode="External"/><Relationship Id="rId729" Type="http://schemas.openxmlformats.org/officeDocument/2006/relationships/hyperlink" Target="https://webagentes.canaldirecto.com.ar/incidents/view/702373-6" TargetMode="External"/><Relationship Id="rId1359" Type="http://schemas.openxmlformats.org/officeDocument/2006/relationships/hyperlink" Target="https://webagentes.canaldirecto.com.ar/incidents/view/732841-9" TargetMode="External"/><Relationship Id="rId2757" Type="http://schemas.openxmlformats.org/officeDocument/2006/relationships/hyperlink" Target="https://webagentes.canaldirecto.com.ar/incidents/view/789946-7" TargetMode="External"/><Relationship Id="rId2964" Type="http://schemas.openxmlformats.org/officeDocument/2006/relationships/hyperlink" Target="https://webagentes.canaldirecto.com.ar/incidents/view/795587-9" TargetMode="External"/><Relationship Id="rId3808" Type="http://schemas.openxmlformats.org/officeDocument/2006/relationships/hyperlink" Target="https://webagentes.canaldirecto.com.ar/incidents/view/827970-3" TargetMode="External"/><Relationship Id="rId936" Type="http://schemas.openxmlformats.org/officeDocument/2006/relationships/hyperlink" Target="https://webagentes.canaldirecto.com.ar/incidents/view/712044-6" TargetMode="External"/><Relationship Id="rId1219" Type="http://schemas.openxmlformats.org/officeDocument/2006/relationships/hyperlink" Target="https://webagentes.canaldirecto.com.ar/incidents/view/725134-8" TargetMode="External"/><Relationship Id="rId1566" Type="http://schemas.openxmlformats.org/officeDocument/2006/relationships/hyperlink" Target="https://webagentes.canaldirecto.com.ar/incidents/view/744279-1" TargetMode="External"/><Relationship Id="rId1773" Type="http://schemas.openxmlformats.org/officeDocument/2006/relationships/hyperlink" Target="https://webagentes.canaldirecto.com.ar/incidents/view/749195-5" TargetMode="External"/><Relationship Id="rId1980" Type="http://schemas.openxmlformats.org/officeDocument/2006/relationships/hyperlink" Target="https://webagentes.canaldirecto.com.ar/incidents/view/755174-3" TargetMode="External"/><Relationship Id="rId2617" Type="http://schemas.openxmlformats.org/officeDocument/2006/relationships/hyperlink" Target="https://webagentes.canaldirecto.com.ar/incidents/view/787021-3" TargetMode="External"/><Relationship Id="rId2824" Type="http://schemas.openxmlformats.org/officeDocument/2006/relationships/hyperlink" Target="https://webagentes.canaldirecto.com.ar/incidents/view/794381-0" TargetMode="External"/><Relationship Id="rId65" Type="http://schemas.openxmlformats.org/officeDocument/2006/relationships/hyperlink" Target="https://webagentes.canaldirecto.com.ar/incidents/view/666578-4" TargetMode="External"/><Relationship Id="rId1426" Type="http://schemas.openxmlformats.org/officeDocument/2006/relationships/hyperlink" Target="https://webagentes.canaldirecto.com.ar/incidents/view/735624-5" TargetMode="External"/><Relationship Id="rId1633" Type="http://schemas.openxmlformats.org/officeDocument/2006/relationships/hyperlink" Target="https://webagentes.canaldirecto.com.ar/incidents/view/743240-2" TargetMode="External"/><Relationship Id="rId1840" Type="http://schemas.openxmlformats.org/officeDocument/2006/relationships/hyperlink" Target="https://webagentes.canaldirecto.com.ar/incidents/view/746279-5" TargetMode="External"/><Relationship Id="rId1700" Type="http://schemas.openxmlformats.org/officeDocument/2006/relationships/hyperlink" Target="https://webagentes.canaldirecto.com.ar/incidents/view/746249-4" TargetMode="External"/><Relationship Id="rId3598" Type="http://schemas.openxmlformats.org/officeDocument/2006/relationships/hyperlink" Target="https://webagentes.canaldirecto.com.ar/incidents/view/817545-2" TargetMode="External"/><Relationship Id="rId3458" Type="http://schemas.openxmlformats.org/officeDocument/2006/relationships/hyperlink" Target="https://webagentes.canaldirecto.com.ar/incidents/view/815717-3" TargetMode="External"/><Relationship Id="rId3665" Type="http://schemas.openxmlformats.org/officeDocument/2006/relationships/hyperlink" Target="https://webagentes.canaldirecto.com.ar/incidents/view/821923-3" TargetMode="External"/><Relationship Id="rId3872" Type="http://schemas.openxmlformats.org/officeDocument/2006/relationships/hyperlink" Target="https://webagentes.canaldirecto.com.ar/incidents/view/825872-8" TargetMode="External"/><Relationship Id="rId379" Type="http://schemas.openxmlformats.org/officeDocument/2006/relationships/hyperlink" Target="https://webagentes.canaldirecto.com.ar/incidents/view/677727-4" TargetMode="External"/><Relationship Id="rId586" Type="http://schemas.openxmlformats.org/officeDocument/2006/relationships/hyperlink" Target="https://webagentes.canaldirecto.com.ar/incidents/view/690268-5" TargetMode="External"/><Relationship Id="rId793" Type="http://schemas.openxmlformats.org/officeDocument/2006/relationships/hyperlink" Target="https://webagentes.canaldirecto.com.ar/incidents/view/704450-8" TargetMode="External"/><Relationship Id="rId2267" Type="http://schemas.openxmlformats.org/officeDocument/2006/relationships/hyperlink" Target="https://webagentes.canaldirecto.com.ar/incidents/view/769383-6" TargetMode="External"/><Relationship Id="rId2474" Type="http://schemas.openxmlformats.org/officeDocument/2006/relationships/hyperlink" Target="https://webagentes.canaldirecto.com.ar/incidents/view/782752-1" TargetMode="External"/><Relationship Id="rId2681" Type="http://schemas.openxmlformats.org/officeDocument/2006/relationships/hyperlink" Target="https://webagentes.canaldirecto.com.ar/incidents/view/788356-3" TargetMode="External"/><Relationship Id="rId3318" Type="http://schemas.openxmlformats.org/officeDocument/2006/relationships/hyperlink" Target="https://webagentes.canaldirecto.com.ar/incidents/view/812860-3" TargetMode="External"/><Relationship Id="rId3525" Type="http://schemas.openxmlformats.org/officeDocument/2006/relationships/hyperlink" Target="https://webagentes.canaldirecto.com.ar/incidents/view/819340-3" TargetMode="External"/><Relationship Id="rId239" Type="http://schemas.openxmlformats.org/officeDocument/2006/relationships/hyperlink" Target="https://webagentes.canaldirecto.com.ar/incidents/view/676798-5" TargetMode="External"/><Relationship Id="rId446" Type="http://schemas.openxmlformats.org/officeDocument/2006/relationships/hyperlink" Target="https://webagentes.canaldirecto.com.ar/incidents/view/685768-6" TargetMode="External"/><Relationship Id="rId653" Type="http://schemas.openxmlformats.org/officeDocument/2006/relationships/hyperlink" Target="https://webagentes.canaldirecto.com.ar/incidents/view/696328-8" TargetMode="External"/><Relationship Id="rId1076" Type="http://schemas.openxmlformats.org/officeDocument/2006/relationships/hyperlink" Target="https://webagentes.canaldirecto.com.ar/incidents/view/715383-3" TargetMode="External"/><Relationship Id="rId1283" Type="http://schemas.openxmlformats.org/officeDocument/2006/relationships/hyperlink" Target="https://webagentes.canaldirecto.com.ar/incidents/view/727129-0" TargetMode="External"/><Relationship Id="rId1490" Type="http://schemas.openxmlformats.org/officeDocument/2006/relationships/hyperlink" Target="https://webagentes.canaldirecto.com.ar/incidents/view/737319-0" TargetMode="External"/><Relationship Id="rId2127" Type="http://schemas.openxmlformats.org/officeDocument/2006/relationships/hyperlink" Target="https://webagentes.canaldirecto.com.ar/incidents/view/762229-0" TargetMode="External"/><Relationship Id="rId2334" Type="http://schemas.openxmlformats.org/officeDocument/2006/relationships/hyperlink" Target="https://webagentes.canaldirecto.com.ar/incidents/view/776912-0" TargetMode="External"/><Relationship Id="rId3732" Type="http://schemas.openxmlformats.org/officeDocument/2006/relationships/hyperlink" Target="https://webagentes.canaldirecto.com.ar/incidents/view/824941-0" TargetMode="External"/><Relationship Id="rId306" Type="http://schemas.openxmlformats.org/officeDocument/2006/relationships/hyperlink" Target="https://webagentes.canaldirecto.com.ar/incidents/view/674131-2" TargetMode="External"/><Relationship Id="rId860" Type="http://schemas.openxmlformats.org/officeDocument/2006/relationships/hyperlink" Target="https://webagentes.canaldirecto.com.ar/incidents/view/707855-0" TargetMode="External"/><Relationship Id="rId1143" Type="http://schemas.openxmlformats.org/officeDocument/2006/relationships/hyperlink" Target="https://webagentes.canaldirecto.com.ar/incidents/view/718755-7" TargetMode="External"/><Relationship Id="rId2541" Type="http://schemas.openxmlformats.org/officeDocument/2006/relationships/hyperlink" Target="https://webagentes.canaldirecto.com.ar/incidents/view/780714-7" TargetMode="External"/><Relationship Id="rId513" Type="http://schemas.openxmlformats.org/officeDocument/2006/relationships/hyperlink" Target="https://webagentes.canaldirecto.com.ar/incidents/view/689110-3" TargetMode="External"/><Relationship Id="rId720" Type="http://schemas.openxmlformats.org/officeDocument/2006/relationships/hyperlink" Target="https://webagentes.canaldirecto.com.ar/incidents/view/702903-1" TargetMode="External"/><Relationship Id="rId1350" Type="http://schemas.openxmlformats.org/officeDocument/2006/relationships/hyperlink" Target="https://webagentes.canaldirecto.com.ar/incidents/view/733293-5" TargetMode="External"/><Relationship Id="rId2401" Type="http://schemas.openxmlformats.org/officeDocument/2006/relationships/hyperlink" Target="https://webagentes.canaldirecto.com.ar/incidents/view/779739-0" TargetMode="External"/><Relationship Id="rId1003" Type="http://schemas.openxmlformats.org/officeDocument/2006/relationships/hyperlink" Target="https://webagentes.canaldirecto.com.ar/incidents/view/717056-6" TargetMode="External"/><Relationship Id="rId1210" Type="http://schemas.openxmlformats.org/officeDocument/2006/relationships/hyperlink" Target="https://webagentes.canaldirecto.com.ar/incidents/view/726411-1" TargetMode="External"/><Relationship Id="rId3175" Type="http://schemas.openxmlformats.org/officeDocument/2006/relationships/hyperlink" Target="https://webagentes.canaldirecto.com.ar/incidents/view/806254-7" TargetMode="External"/><Relationship Id="rId3382" Type="http://schemas.openxmlformats.org/officeDocument/2006/relationships/hyperlink" Target="https://webagentes.canaldirecto.com.ar/incidents/view/811375-3" TargetMode="External"/><Relationship Id="rId2191" Type="http://schemas.openxmlformats.org/officeDocument/2006/relationships/hyperlink" Target="https://webagentes.canaldirecto.com.ar/incidents/view/768069-2" TargetMode="External"/><Relationship Id="rId3035" Type="http://schemas.openxmlformats.org/officeDocument/2006/relationships/hyperlink" Target="https://webagentes.canaldirecto.com.ar/incidents/view/799756-5" TargetMode="External"/><Relationship Id="rId3242" Type="http://schemas.openxmlformats.org/officeDocument/2006/relationships/hyperlink" Target="https://webagentes.canaldirecto.com.ar/incidents/view/809381-1" TargetMode="External"/><Relationship Id="rId163" Type="http://schemas.openxmlformats.org/officeDocument/2006/relationships/hyperlink" Target="https://webagentes.canaldirecto.com.ar/incidents/view/672819-9" TargetMode="External"/><Relationship Id="rId370" Type="http://schemas.openxmlformats.org/officeDocument/2006/relationships/hyperlink" Target="https://webagentes.canaldirecto.com.ar/incidents/view/678086-1" TargetMode="External"/><Relationship Id="rId2051" Type="http://schemas.openxmlformats.org/officeDocument/2006/relationships/hyperlink" Target="https://webagentes.canaldirecto.com.ar/incidents/view/760803-2" TargetMode="External"/><Relationship Id="rId3102" Type="http://schemas.openxmlformats.org/officeDocument/2006/relationships/hyperlink" Target="https://webagentes.canaldirecto.com.ar/incidents/view/802971-9" TargetMode="External"/><Relationship Id="rId230" Type="http://schemas.openxmlformats.org/officeDocument/2006/relationships/hyperlink" Target="https://webagentes.canaldirecto.com.ar/incidents/view/676927-5" TargetMode="External"/><Relationship Id="rId2868" Type="http://schemas.openxmlformats.org/officeDocument/2006/relationships/hyperlink" Target="https://webagentes.canaldirecto.com.ar/incidents/view/792603-5" TargetMode="External"/><Relationship Id="rId3919" Type="http://schemas.openxmlformats.org/officeDocument/2006/relationships/hyperlink" Target="https://webagentes.canaldirecto.com.ar/incidents/view/829908-0" TargetMode="External"/><Relationship Id="rId1677" Type="http://schemas.openxmlformats.org/officeDocument/2006/relationships/hyperlink" Target="https://webagentes.canaldirecto.com.ar/incidents/view/746434-0" TargetMode="External"/><Relationship Id="rId1884" Type="http://schemas.openxmlformats.org/officeDocument/2006/relationships/hyperlink" Target="https://webagentes.canaldirecto.com.ar/incidents/view/749709-2" TargetMode="External"/><Relationship Id="rId2728" Type="http://schemas.openxmlformats.org/officeDocument/2006/relationships/hyperlink" Target="https://webagentes.canaldirecto.com.ar/incidents/view/791759-6" TargetMode="External"/><Relationship Id="rId2935" Type="http://schemas.openxmlformats.org/officeDocument/2006/relationships/hyperlink" Target="https://webagentes.canaldirecto.com.ar/incidents/view/796064-0" TargetMode="External"/><Relationship Id="rId907" Type="http://schemas.openxmlformats.org/officeDocument/2006/relationships/hyperlink" Target="https://webagentes.canaldirecto.com.ar/incidents/view/712495-6" TargetMode="External"/><Relationship Id="rId1537" Type="http://schemas.openxmlformats.org/officeDocument/2006/relationships/hyperlink" Target="https://webagentes.canaldirecto.com.ar/incidents/view/740345-5" TargetMode="External"/><Relationship Id="rId1744" Type="http://schemas.openxmlformats.org/officeDocument/2006/relationships/hyperlink" Target="https://webagentes.canaldirecto.com.ar/incidents/view/744950-9" TargetMode="External"/><Relationship Id="rId1951" Type="http://schemas.openxmlformats.org/officeDocument/2006/relationships/hyperlink" Target="https://webagentes.canaldirecto.com.ar/incidents/view/756875-2" TargetMode="External"/><Relationship Id="rId36" Type="http://schemas.openxmlformats.org/officeDocument/2006/relationships/hyperlink" Target="https://webagentes.canaldirecto.com.ar/incidents/view/662358-4" TargetMode="External"/><Relationship Id="rId1604" Type="http://schemas.openxmlformats.org/officeDocument/2006/relationships/hyperlink" Target="https://webagentes.canaldirecto.com.ar/incidents/view/743954-8" TargetMode="External"/><Relationship Id="rId1811" Type="http://schemas.openxmlformats.org/officeDocument/2006/relationships/hyperlink" Target="https://webagentes.canaldirecto.com.ar/incidents/view/748499-1" TargetMode="External"/><Relationship Id="rId3569" Type="http://schemas.openxmlformats.org/officeDocument/2006/relationships/hyperlink" Target="https://webagentes.canaldirecto.com.ar/incidents/view/817983-8" TargetMode="External"/><Relationship Id="rId697" Type="http://schemas.openxmlformats.org/officeDocument/2006/relationships/hyperlink" Target="https://webagentes.canaldirecto.com.ar/incidents/view/697769-8" TargetMode="External"/><Relationship Id="rId2378" Type="http://schemas.openxmlformats.org/officeDocument/2006/relationships/hyperlink" Target="https://webagentes.canaldirecto.com.ar/incidents/view/780238-2" TargetMode="External"/><Relationship Id="rId3429" Type="http://schemas.openxmlformats.org/officeDocument/2006/relationships/hyperlink" Target="https://webagentes.canaldirecto.com.ar/incidents/view/808391-1" TargetMode="External"/><Relationship Id="rId3776" Type="http://schemas.openxmlformats.org/officeDocument/2006/relationships/hyperlink" Target="https://webagentes.canaldirecto.com.ar/incidents/view/824117-1" TargetMode="External"/><Relationship Id="rId1187" Type="http://schemas.openxmlformats.org/officeDocument/2006/relationships/hyperlink" Target="https://webagentes.canaldirecto.com.ar/incidents/view/721874-1" TargetMode="External"/><Relationship Id="rId2585" Type="http://schemas.openxmlformats.org/officeDocument/2006/relationships/hyperlink" Target="https://webagentes.canaldirecto.com.ar/incidents/view/783099-6" TargetMode="External"/><Relationship Id="rId2792" Type="http://schemas.openxmlformats.org/officeDocument/2006/relationships/hyperlink" Target="https://webagentes.canaldirecto.com.ar/incidents/view/789650-3" TargetMode="External"/><Relationship Id="rId3636" Type="http://schemas.openxmlformats.org/officeDocument/2006/relationships/hyperlink" Target="https://webagentes.canaldirecto.com.ar/incidents/view/811858-1" TargetMode="External"/><Relationship Id="rId3843" Type="http://schemas.openxmlformats.org/officeDocument/2006/relationships/hyperlink" Target="https://webagentes.canaldirecto.com.ar/incidents/view/826618-9" TargetMode="External"/><Relationship Id="rId557" Type="http://schemas.openxmlformats.org/officeDocument/2006/relationships/hyperlink" Target="https://webagentes.canaldirecto.com.ar/incidents/view/692028-3" TargetMode="External"/><Relationship Id="rId764" Type="http://schemas.openxmlformats.org/officeDocument/2006/relationships/hyperlink" Target="https://webagentes.canaldirecto.com.ar/incidents/view/706011-7" TargetMode="External"/><Relationship Id="rId971" Type="http://schemas.openxmlformats.org/officeDocument/2006/relationships/hyperlink" Target="https://webagentes.canaldirecto.com.ar/incidents/view/711625-8" TargetMode="External"/><Relationship Id="rId1394" Type="http://schemas.openxmlformats.org/officeDocument/2006/relationships/hyperlink" Target="https://webagentes.canaldirecto.com.ar/incidents/view/731508-0" TargetMode="External"/><Relationship Id="rId2238" Type="http://schemas.openxmlformats.org/officeDocument/2006/relationships/hyperlink" Target="https://webagentes.canaldirecto.com.ar/incidents/view/770533-5" TargetMode="External"/><Relationship Id="rId2445" Type="http://schemas.openxmlformats.org/officeDocument/2006/relationships/hyperlink" Target="https://webagentes.canaldirecto.com.ar/incidents/view/779016-6" TargetMode="External"/><Relationship Id="rId2652" Type="http://schemas.openxmlformats.org/officeDocument/2006/relationships/hyperlink" Target="https://webagentes.canaldirecto.com.ar/incidents/view/785852-1" TargetMode="External"/><Relationship Id="rId3703" Type="http://schemas.openxmlformats.org/officeDocument/2006/relationships/hyperlink" Target="https://webagentes.canaldirecto.com.ar/incidents/view/820185-4" TargetMode="External"/><Relationship Id="rId3910" Type="http://schemas.openxmlformats.org/officeDocument/2006/relationships/hyperlink" Target="https://webagentes.canaldirecto.com.ar/incidents/view/830024-3" TargetMode="External"/><Relationship Id="rId417" Type="http://schemas.openxmlformats.org/officeDocument/2006/relationships/hyperlink" Target="https://webagentes.canaldirecto.com.ar/incidents/view/681547-7" TargetMode="External"/><Relationship Id="rId624" Type="http://schemas.openxmlformats.org/officeDocument/2006/relationships/hyperlink" Target="https://webagentes.canaldirecto.com.ar/incidents/view/693194-2" TargetMode="External"/><Relationship Id="rId831" Type="http://schemas.openxmlformats.org/officeDocument/2006/relationships/hyperlink" Target="https://webagentes.canaldirecto.com.ar/incidents/view/709574-2" TargetMode="External"/><Relationship Id="rId1047" Type="http://schemas.openxmlformats.org/officeDocument/2006/relationships/hyperlink" Target="https://webagentes.canaldirecto.com.ar/incidents/view/716424-6" TargetMode="External"/><Relationship Id="rId1254" Type="http://schemas.openxmlformats.org/officeDocument/2006/relationships/hyperlink" Target="https://webagentes.canaldirecto.com.ar/incidents/view/728291-3" TargetMode="External"/><Relationship Id="rId1461" Type="http://schemas.openxmlformats.org/officeDocument/2006/relationships/hyperlink" Target="https://webagentes.canaldirecto.com.ar/incidents/view/734017-4" TargetMode="External"/><Relationship Id="rId2305" Type="http://schemas.openxmlformats.org/officeDocument/2006/relationships/hyperlink" Target="https://webagentes.canaldirecto.com.ar/incidents/view/772793-9" TargetMode="External"/><Relationship Id="rId2512" Type="http://schemas.openxmlformats.org/officeDocument/2006/relationships/hyperlink" Target="https://webagentes.canaldirecto.com.ar/incidents/view/782124-4" TargetMode="External"/><Relationship Id="rId1114" Type="http://schemas.openxmlformats.org/officeDocument/2006/relationships/hyperlink" Target="https://webagentes.canaldirecto.com.ar/incidents/view/720024-7" TargetMode="External"/><Relationship Id="rId1321" Type="http://schemas.openxmlformats.org/officeDocument/2006/relationships/hyperlink" Target="https://webagentes.canaldirecto.com.ar/incidents/view/730381-8" TargetMode="External"/><Relationship Id="rId3079" Type="http://schemas.openxmlformats.org/officeDocument/2006/relationships/hyperlink" Target="https://webagentes.canaldirecto.com.ar/incidents/view/798069-9" TargetMode="External"/><Relationship Id="rId3286" Type="http://schemas.openxmlformats.org/officeDocument/2006/relationships/hyperlink" Target="https://webagentes.canaldirecto.com.ar/incidents/view/807066-1" TargetMode="External"/><Relationship Id="rId3493" Type="http://schemas.openxmlformats.org/officeDocument/2006/relationships/hyperlink" Target="https://webagentes.canaldirecto.com.ar/incidents/view/813987-6" TargetMode="External"/><Relationship Id="rId2095" Type="http://schemas.openxmlformats.org/officeDocument/2006/relationships/hyperlink" Target="https://webagentes.canaldirecto.com.ar/incidents/view/756201-3" TargetMode="External"/><Relationship Id="rId3146" Type="http://schemas.openxmlformats.org/officeDocument/2006/relationships/hyperlink" Target="https://webagentes.canaldirecto.com.ar/incidents/view/801151-6" TargetMode="External"/><Relationship Id="rId3353" Type="http://schemas.openxmlformats.org/officeDocument/2006/relationships/hyperlink" Target="https://webagentes.canaldirecto.com.ar/incidents/view/812168-2" TargetMode="External"/><Relationship Id="rId274" Type="http://schemas.openxmlformats.org/officeDocument/2006/relationships/hyperlink" Target="https://webagentes.canaldirecto.com.ar/incidents/view/675242-4" TargetMode="External"/><Relationship Id="rId481" Type="http://schemas.openxmlformats.org/officeDocument/2006/relationships/hyperlink" Target="https://webagentes.canaldirecto.com.ar/incidents/view/683543-5" TargetMode="External"/><Relationship Id="rId2162" Type="http://schemas.openxmlformats.org/officeDocument/2006/relationships/hyperlink" Target="https://webagentes.canaldirecto.com.ar/incidents/view/765826-8" TargetMode="External"/><Relationship Id="rId3006" Type="http://schemas.openxmlformats.org/officeDocument/2006/relationships/hyperlink" Target="https://webagentes.canaldirecto.com.ar/incidents/view/800032-5" TargetMode="External"/><Relationship Id="rId3560" Type="http://schemas.openxmlformats.org/officeDocument/2006/relationships/hyperlink" Target="https://webagentes.canaldirecto.com.ar/incidents/view/818449-6" TargetMode="External"/><Relationship Id="rId134" Type="http://schemas.openxmlformats.org/officeDocument/2006/relationships/hyperlink" Target="https://webagentes.canaldirecto.com.ar/incidents/view/668348-9" TargetMode="External"/><Relationship Id="rId3213" Type="http://schemas.openxmlformats.org/officeDocument/2006/relationships/hyperlink" Target="https://webagentes.canaldirecto.com.ar/incidents/view/804319-9" TargetMode="External"/><Relationship Id="rId3420" Type="http://schemas.openxmlformats.org/officeDocument/2006/relationships/hyperlink" Target="https://webagentes.canaldirecto.com.ar/incidents/view/809798-7" TargetMode="External"/><Relationship Id="rId341" Type="http://schemas.openxmlformats.org/officeDocument/2006/relationships/hyperlink" Target="https://webagentes.canaldirecto.com.ar/incidents/view/679416-5" TargetMode="External"/><Relationship Id="rId2022" Type="http://schemas.openxmlformats.org/officeDocument/2006/relationships/hyperlink" Target="https://webagentes.canaldirecto.com.ar/incidents/view/757269-4" TargetMode="External"/><Relationship Id="rId2979" Type="http://schemas.openxmlformats.org/officeDocument/2006/relationships/hyperlink" Target="https://webagentes.canaldirecto.com.ar/incidents/view/795570-9" TargetMode="External"/><Relationship Id="rId201" Type="http://schemas.openxmlformats.org/officeDocument/2006/relationships/hyperlink" Target="https://webagentes.canaldirecto.com.ar/incidents/view/670352-5" TargetMode="External"/><Relationship Id="rId1788" Type="http://schemas.openxmlformats.org/officeDocument/2006/relationships/hyperlink" Target="https://webagentes.canaldirecto.com.ar/incidents/view/748680-1" TargetMode="External"/><Relationship Id="rId1995" Type="http://schemas.openxmlformats.org/officeDocument/2006/relationships/hyperlink" Target="https://webagentes.canaldirecto.com.ar/incidents/view/753977-8" TargetMode="External"/><Relationship Id="rId2839" Type="http://schemas.openxmlformats.org/officeDocument/2006/relationships/hyperlink" Target="https://webagentes.canaldirecto.com.ar/incidents/view/793828-9" TargetMode="External"/><Relationship Id="rId1648" Type="http://schemas.openxmlformats.org/officeDocument/2006/relationships/hyperlink" Target="https://webagentes.canaldirecto.com.ar/incidents/view/742366-2" TargetMode="External"/><Relationship Id="rId1508" Type="http://schemas.openxmlformats.org/officeDocument/2006/relationships/hyperlink" Target="https://webagentes.canaldirecto.com.ar/incidents/view/736147-8" TargetMode="External"/><Relationship Id="rId1855" Type="http://schemas.openxmlformats.org/officeDocument/2006/relationships/hyperlink" Target="https://webagentes.canaldirecto.com.ar/incidents/view/751368-2" TargetMode="External"/><Relationship Id="rId2906" Type="http://schemas.openxmlformats.org/officeDocument/2006/relationships/hyperlink" Target="https://webagentes.canaldirecto.com.ar/incidents/view/797547-5" TargetMode="External"/><Relationship Id="rId3070" Type="http://schemas.openxmlformats.org/officeDocument/2006/relationships/hyperlink" Target="https://webagentes.canaldirecto.com.ar/incidents/view/798406-6" TargetMode="External"/><Relationship Id="rId1715" Type="http://schemas.openxmlformats.org/officeDocument/2006/relationships/hyperlink" Target="https://webagentes.canaldirecto.com.ar/incidents/view/745851-6" TargetMode="External"/><Relationship Id="rId1922" Type="http://schemas.openxmlformats.org/officeDocument/2006/relationships/hyperlink" Target="https://webagentes.canaldirecto.com.ar/incidents/view/753051-9" TargetMode="External"/><Relationship Id="rId3887" Type="http://schemas.openxmlformats.org/officeDocument/2006/relationships/hyperlink" Target="https://webagentes.canaldirecto.com.ar/incidents/view/831917-1" TargetMode="External"/><Relationship Id="rId2489" Type="http://schemas.openxmlformats.org/officeDocument/2006/relationships/hyperlink" Target="https://webagentes.canaldirecto.com.ar/incidents/view/782735-4" TargetMode="External"/><Relationship Id="rId2696" Type="http://schemas.openxmlformats.org/officeDocument/2006/relationships/hyperlink" Target="https://webagentes.canaldirecto.com.ar/incidents/view/788340-2" TargetMode="External"/><Relationship Id="rId3747" Type="http://schemas.openxmlformats.org/officeDocument/2006/relationships/hyperlink" Target="https://webagentes.canaldirecto.com.ar/incidents/view/824669-9" TargetMode="External"/><Relationship Id="rId3954" Type="http://schemas.openxmlformats.org/officeDocument/2006/relationships/hyperlink" Target="https://webagentes.canaldirecto.com.ar/incidents/view/829217-5" TargetMode="External"/><Relationship Id="rId668" Type="http://schemas.openxmlformats.org/officeDocument/2006/relationships/hyperlink" Target="https://webagentes.canaldirecto.com.ar/incidents/view/700495-3" TargetMode="External"/><Relationship Id="rId875" Type="http://schemas.openxmlformats.org/officeDocument/2006/relationships/hyperlink" Target="https://webagentes.canaldirecto.com.ar/incidents/view/704668-5" TargetMode="External"/><Relationship Id="rId1298" Type="http://schemas.openxmlformats.org/officeDocument/2006/relationships/hyperlink" Target="https://webagentes.canaldirecto.com.ar/incidents/view/726141-5" TargetMode="External"/><Relationship Id="rId2349" Type="http://schemas.openxmlformats.org/officeDocument/2006/relationships/hyperlink" Target="https://webagentes.canaldirecto.com.ar/incidents/view/776012-9" TargetMode="External"/><Relationship Id="rId2556" Type="http://schemas.openxmlformats.org/officeDocument/2006/relationships/hyperlink" Target="https://webagentes.canaldirecto.com.ar/incidents/view/785319-1" TargetMode="External"/><Relationship Id="rId2763" Type="http://schemas.openxmlformats.org/officeDocument/2006/relationships/hyperlink" Target="https://webagentes.canaldirecto.com.ar/incidents/view/789940-3" TargetMode="External"/><Relationship Id="rId2970" Type="http://schemas.openxmlformats.org/officeDocument/2006/relationships/hyperlink" Target="https://webagentes.canaldirecto.com.ar/incidents/view/795580-6" TargetMode="External"/><Relationship Id="rId3607" Type="http://schemas.openxmlformats.org/officeDocument/2006/relationships/hyperlink" Target="https://webagentes.canaldirecto.com.ar/incidents/view/817163-2" TargetMode="External"/><Relationship Id="rId3814" Type="http://schemas.openxmlformats.org/officeDocument/2006/relationships/hyperlink" Target="https://webagentes.canaldirecto.com.ar/incidents/view/827920-8" TargetMode="External"/><Relationship Id="rId528" Type="http://schemas.openxmlformats.org/officeDocument/2006/relationships/hyperlink" Target="https://webagentes.canaldirecto.com.ar/incidents/view/688076-3" TargetMode="External"/><Relationship Id="rId735" Type="http://schemas.openxmlformats.org/officeDocument/2006/relationships/hyperlink" Target="https://webagentes.canaldirecto.com.ar/incidents/view/701872-5" TargetMode="External"/><Relationship Id="rId942" Type="http://schemas.openxmlformats.org/officeDocument/2006/relationships/hyperlink" Target="https://webagentes.canaldirecto.com.ar/incidents/view/712038-5" TargetMode="External"/><Relationship Id="rId1158" Type="http://schemas.openxmlformats.org/officeDocument/2006/relationships/hyperlink" Target="https://webagentes.canaldirecto.com.ar/incidents/view/717523-3" TargetMode="External"/><Relationship Id="rId1365" Type="http://schemas.openxmlformats.org/officeDocument/2006/relationships/hyperlink" Target="https://webagentes.canaldirecto.com.ar/incidents/view/732802-0" TargetMode="External"/><Relationship Id="rId1572" Type="http://schemas.openxmlformats.org/officeDocument/2006/relationships/hyperlink" Target="https://webagentes.canaldirecto.com.ar/incidents/view/744273-7" TargetMode="External"/><Relationship Id="rId2209" Type="http://schemas.openxmlformats.org/officeDocument/2006/relationships/hyperlink" Target="https://webagentes.canaldirecto.com.ar/incidents/view/767158-8" TargetMode="External"/><Relationship Id="rId2416" Type="http://schemas.openxmlformats.org/officeDocument/2006/relationships/hyperlink" Target="https://webagentes.canaldirecto.com.ar/incidents/view/779279-3" TargetMode="External"/><Relationship Id="rId2623" Type="http://schemas.openxmlformats.org/officeDocument/2006/relationships/hyperlink" Target="https://webagentes.canaldirecto.com.ar/incidents/view/787014-3" TargetMode="External"/><Relationship Id="rId1018" Type="http://schemas.openxmlformats.org/officeDocument/2006/relationships/hyperlink" Target="https://webagentes.canaldirecto.com.ar/incidents/view/716823-3" TargetMode="External"/><Relationship Id="rId1225" Type="http://schemas.openxmlformats.org/officeDocument/2006/relationships/hyperlink" Target="https://webagentes.canaldirecto.com.ar/incidents/view/724422-3" TargetMode="External"/><Relationship Id="rId1432" Type="http://schemas.openxmlformats.org/officeDocument/2006/relationships/hyperlink" Target="https://webagentes.canaldirecto.com.ar/incidents/view/735616-6" TargetMode="External"/><Relationship Id="rId2830" Type="http://schemas.openxmlformats.org/officeDocument/2006/relationships/hyperlink" Target="https://webagentes.canaldirecto.com.ar/incidents/view/794227-3" TargetMode="External"/><Relationship Id="rId71" Type="http://schemas.openxmlformats.org/officeDocument/2006/relationships/hyperlink" Target="https://webagentes.canaldirecto.com.ar/incidents/view/665353-0" TargetMode="External"/><Relationship Id="rId802" Type="http://schemas.openxmlformats.org/officeDocument/2006/relationships/hyperlink" Target="https://webagentes.canaldirecto.com.ar/incidents/view/703864-0" TargetMode="External"/><Relationship Id="rId3397" Type="http://schemas.openxmlformats.org/officeDocument/2006/relationships/hyperlink" Target="https://webagentes.canaldirecto.com.ar/incidents/view/810985-7" TargetMode="External"/><Relationship Id="rId178" Type="http://schemas.openxmlformats.org/officeDocument/2006/relationships/hyperlink" Target="https://webagentes.canaldirecto.com.ar/incidents/view/672103-5" TargetMode="External"/><Relationship Id="rId3257" Type="http://schemas.openxmlformats.org/officeDocument/2006/relationships/hyperlink" Target="https://webagentes.canaldirecto.com.ar/incidents/view/808957-1" TargetMode="External"/><Relationship Id="rId3464" Type="http://schemas.openxmlformats.org/officeDocument/2006/relationships/hyperlink" Target="https://webagentes.canaldirecto.com.ar/incidents/view/815359-3" TargetMode="External"/><Relationship Id="rId3671" Type="http://schemas.openxmlformats.org/officeDocument/2006/relationships/hyperlink" Target="https://webagentes.canaldirecto.com.ar/incidents/view/821808-5" TargetMode="External"/><Relationship Id="rId385" Type="http://schemas.openxmlformats.org/officeDocument/2006/relationships/hyperlink" Target="https://webagentes.canaldirecto.com.ar/incidents/view/677716-8" TargetMode="External"/><Relationship Id="rId592" Type="http://schemas.openxmlformats.org/officeDocument/2006/relationships/hyperlink" Target="https://webagentes.canaldirecto.com.ar/incidents/view/689600-1" TargetMode="External"/><Relationship Id="rId2066" Type="http://schemas.openxmlformats.org/officeDocument/2006/relationships/hyperlink" Target="https://webagentes.canaldirecto.com.ar/incidents/view/760451-3" TargetMode="External"/><Relationship Id="rId2273" Type="http://schemas.openxmlformats.org/officeDocument/2006/relationships/hyperlink" Target="https://webagentes.canaldirecto.com.ar/incidents/view/768830-2" TargetMode="External"/><Relationship Id="rId2480" Type="http://schemas.openxmlformats.org/officeDocument/2006/relationships/hyperlink" Target="https://webagentes.canaldirecto.com.ar/incidents/view/782745-1" TargetMode="External"/><Relationship Id="rId3117" Type="http://schemas.openxmlformats.org/officeDocument/2006/relationships/hyperlink" Target="https://webagentes.canaldirecto.com.ar/incidents/view/802418-5" TargetMode="External"/><Relationship Id="rId3324" Type="http://schemas.openxmlformats.org/officeDocument/2006/relationships/hyperlink" Target="https://webagentes.canaldirecto.com.ar/incidents/view/812854-2" TargetMode="External"/><Relationship Id="rId3531" Type="http://schemas.openxmlformats.org/officeDocument/2006/relationships/hyperlink" Target="https://webagentes.canaldirecto.com.ar/incidents/view/818793-4" TargetMode="External"/><Relationship Id="rId245" Type="http://schemas.openxmlformats.org/officeDocument/2006/relationships/hyperlink" Target="https://webagentes.canaldirecto.com.ar/incidents/view/676205-0" TargetMode="External"/><Relationship Id="rId452" Type="http://schemas.openxmlformats.org/officeDocument/2006/relationships/hyperlink" Target="https://webagentes.canaldirecto.com.ar/incidents/view/685159-4" TargetMode="External"/><Relationship Id="rId1082" Type="http://schemas.openxmlformats.org/officeDocument/2006/relationships/hyperlink" Target="https://webagentes.canaldirecto.com.ar/incidents/view/714266-0" TargetMode="External"/><Relationship Id="rId2133" Type="http://schemas.openxmlformats.org/officeDocument/2006/relationships/hyperlink" Target="https://webagentes.canaldirecto.com.ar/incidents/view/761816-3" TargetMode="External"/><Relationship Id="rId2340" Type="http://schemas.openxmlformats.org/officeDocument/2006/relationships/hyperlink" Target="https://webagentes.canaldirecto.com.ar/incidents/view/776370-0" TargetMode="External"/><Relationship Id="rId105" Type="http://schemas.openxmlformats.org/officeDocument/2006/relationships/hyperlink" Target="https://webagentes.canaldirecto.com.ar/incidents/view/669385-7" TargetMode="External"/><Relationship Id="rId312" Type="http://schemas.openxmlformats.org/officeDocument/2006/relationships/hyperlink" Target="https://webagentes.canaldirecto.com.ar/incidents/view/674002-1" TargetMode="External"/><Relationship Id="rId2200" Type="http://schemas.openxmlformats.org/officeDocument/2006/relationships/hyperlink" Target="https://webagentes.canaldirecto.com.ar/incidents/view/767455-8" TargetMode="External"/><Relationship Id="rId1899" Type="http://schemas.openxmlformats.org/officeDocument/2006/relationships/hyperlink" Target="https://webagentes.canaldirecto.com.ar/incidents/view/749097-4" TargetMode="External"/><Relationship Id="rId1759" Type="http://schemas.openxmlformats.org/officeDocument/2006/relationships/hyperlink" Target="https://webagentes.canaldirecto.com.ar/incidents/view/739546-6" TargetMode="External"/><Relationship Id="rId1966" Type="http://schemas.openxmlformats.org/officeDocument/2006/relationships/hyperlink" Target="https://webagentes.canaldirecto.com.ar/incidents/view/755553-6" TargetMode="External"/><Relationship Id="rId3181" Type="http://schemas.openxmlformats.org/officeDocument/2006/relationships/hyperlink" Target="https://webagentes.canaldirecto.com.ar/incidents/view/805815-5" TargetMode="External"/><Relationship Id="rId1619" Type="http://schemas.openxmlformats.org/officeDocument/2006/relationships/hyperlink" Target="https://webagentes.canaldirecto.com.ar/incidents/view/743491-4" TargetMode="External"/><Relationship Id="rId1826" Type="http://schemas.openxmlformats.org/officeDocument/2006/relationships/hyperlink" Target="https://webagentes.canaldirecto.com.ar/incidents/view/747779-7" TargetMode="External"/><Relationship Id="rId3041" Type="http://schemas.openxmlformats.org/officeDocument/2006/relationships/hyperlink" Target="https://webagentes.canaldirecto.com.ar/incidents/view/799674-2" TargetMode="External"/><Relationship Id="rId3858" Type="http://schemas.openxmlformats.org/officeDocument/2006/relationships/hyperlink" Target="https://webagentes.canaldirecto.com.ar/incidents/view/826117-5" TargetMode="External"/><Relationship Id="rId779" Type="http://schemas.openxmlformats.org/officeDocument/2006/relationships/hyperlink" Target="https://webagentes.canaldirecto.com.ar/incidents/view/705429-5" TargetMode="External"/><Relationship Id="rId986" Type="http://schemas.openxmlformats.org/officeDocument/2006/relationships/hyperlink" Target="https://webagentes.canaldirecto.com.ar/incidents/view/710591-5" TargetMode="External"/><Relationship Id="rId2667" Type="http://schemas.openxmlformats.org/officeDocument/2006/relationships/hyperlink" Target="https://webagentes.canaldirecto.com.ar/incidents/view/789231-2" TargetMode="External"/><Relationship Id="rId3718" Type="http://schemas.openxmlformats.org/officeDocument/2006/relationships/hyperlink" Target="https://webagentes.canaldirecto.com.ar/incidents/view/818469-0" TargetMode="External"/><Relationship Id="rId639" Type="http://schemas.openxmlformats.org/officeDocument/2006/relationships/hyperlink" Target="https://webagentes.canaldirecto.com.ar/incidents/view/691255-8" TargetMode="External"/><Relationship Id="rId1269" Type="http://schemas.openxmlformats.org/officeDocument/2006/relationships/hyperlink" Target="https://webagentes.canaldirecto.com.ar/incidents/view/727618-9" TargetMode="External"/><Relationship Id="rId1476" Type="http://schemas.openxmlformats.org/officeDocument/2006/relationships/hyperlink" Target="https://webagentes.canaldirecto.com.ar/incidents/view/737886-7" TargetMode="External"/><Relationship Id="rId2874" Type="http://schemas.openxmlformats.org/officeDocument/2006/relationships/hyperlink" Target="https://webagentes.canaldirecto.com.ar/incidents/view/792481-5" TargetMode="External"/><Relationship Id="rId3925" Type="http://schemas.openxmlformats.org/officeDocument/2006/relationships/hyperlink" Target="https://webagentes.canaldirecto.com.ar/incidents/view/829815-1" TargetMode="External"/><Relationship Id="rId846" Type="http://schemas.openxmlformats.org/officeDocument/2006/relationships/hyperlink" Target="https://webagentes.canaldirecto.com.ar/incidents/view/708670-8" TargetMode="External"/><Relationship Id="rId1129" Type="http://schemas.openxmlformats.org/officeDocument/2006/relationships/hyperlink" Target="https://webagentes.canaldirecto.com.ar/incidents/view/719687-4" TargetMode="External"/><Relationship Id="rId1683" Type="http://schemas.openxmlformats.org/officeDocument/2006/relationships/hyperlink" Target="https://webagentes.canaldirecto.com.ar/incidents/view/746320-8" TargetMode="External"/><Relationship Id="rId1890" Type="http://schemas.openxmlformats.org/officeDocument/2006/relationships/hyperlink" Target="https://webagentes.canaldirecto.com.ar/incidents/view/749610-9" TargetMode="External"/><Relationship Id="rId2527" Type="http://schemas.openxmlformats.org/officeDocument/2006/relationships/hyperlink" Target="https://webagentes.canaldirecto.com.ar/incidents/view/781665-9" TargetMode="External"/><Relationship Id="rId2734" Type="http://schemas.openxmlformats.org/officeDocument/2006/relationships/hyperlink" Target="https://webagentes.canaldirecto.com.ar/incidents/view/791470-2" TargetMode="External"/><Relationship Id="rId2941" Type="http://schemas.openxmlformats.org/officeDocument/2006/relationships/hyperlink" Target="https://webagentes.canaldirecto.com.ar/incidents/view/796017-2" TargetMode="External"/><Relationship Id="rId706" Type="http://schemas.openxmlformats.org/officeDocument/2006/relationships/hyperlink" Target="https://webagentes.canaldirecto.com.ar/incidents/view/703933-9" TargetMode="External"/><Relationship Id="rId913" Type="http://schemas.openxmlformats.org/officeDocument/2006/relationships/hyperlink" Target="https://webagentes.canaldirecto.com.ar/incidents/view/712483-1" TargetMode="External"/><Relationship Id="rId1336" Type="http://schemas.openxmlformats.org/officeDocument/2006/relationships/hyperlink" Target="https://webagentes.canaldirecto.com.ar/incidents/view/729115-1" TargetMode="External"/><Relationship Id="rId1543" Type="http://schemas.openxmlformats.org/officeDocument/2006/relationships/hyperlink" Target="https://webagentes.canaldirecto.com.ar/incidents/view/740024-5" TargetMode="External"/><Relationship Id="rId1750" Type="http://schemas.openxmlformats.org/officeDocument/2006/relationships/hyperlink" Target="https://webagentes.canaldirecto.com.ar/incidents/view/744658-4" TargetMode="External"/><Relationship Id="rId2801" Type="http://schemas.openxmlformats.org/officeDocument/2006/relationships/hyperlink" Target="https://webagentes.canaldirecto.com.ar/incidents/view/794693-2" TargetMode="External"/><Relationship Id="rId42" Type="http://schemas.openxmlformats.org/officeDocument/2006/relationships/hyperlink" Target="https://webagentes.canaldirecto.com.ar/incidents/view/662201-7" TargetMode="External"/><Relationship Id="rId1403" Type="http://schemas.openxmlformats.org/officeDocument/2006/relationships/hyperlink" Target="https://webagentes.canaldirecto.com.ar/incidents/view/731493-9" TargetMode="External"/><Relationship Id="rId1610" Type="http://schemas.openxmlformats.org/officeDocument/2006/relationships/hyperlink" Target="https://webagentes.canaldirecto.com.ar/incidents/view/743576-4" TargetMode="External"/><Relationship Id="rId3368" Type="http://schemas.openxmlformats.org/officeDocument/2006/relationships/hyperlink" Target="https://webagentes.canaldirecto.com.ar/incidents/view/811720-9" TargetMode="External"/><Relationship Id="rId3575" Type="http://schemas.openxmlformats.org/officeDocument/2006/relationships/hyperlink" Target="https://webagentes.canaldirecto.com.ar/incidents/view/817873-2" TargetMode="External"/><Relationship Id="rId3782" Type="http://schemas.openxmlformats.org/officeDocument/2006/relationships/hyperlink" Target="https://webagentes.canaldirecto.com.ar/incidents/view/823427-8" TargetMode="External"/><Relationship Id="rId289" Type="http://schemas.openxmlformats.org/officeDocument/2006/relationships/hyperlink" Target="https://webagentes.canaldirecto.com.ar/incidents/view/674852-8" TargetMode="External"/><Relationship Id="rId496" Type="http://schemas.openxmlformats.org/officeDocument/2006/relationships/hyperlink" Target="https://webagentes.canaldirecto.com.ar/incidents/view/689423-4" TargetMode="External"/><Relationship Id="rId2177" Type="http://schemas.openxmlformats.org/officeDocument/2006/relationships/hyperlink" Target="https://webagentes.canaldirecto.com.ar/incidents/view/764109-1" TargetMode="External"/><Relationship Id="rId2384" Type="http://schemas.openxmlformats.org/officeDocument/2006/relationships/hyperlink" Target="https://webagentes.canaldirecto.com.ar/incidents/view/780123-1" TargetMode="External"/><Relationship Id="rId2591" Type="http://schemas.openxmlformats.org/officeDocument/2006/relationships/hyperlink" Target="https://webagentes.canaldirecto.com.ar/incidents/view/783089-9" TargetMode="External"/><Relationship Id="rId3228" Type="http://schemas.openxmlformats.org/officeDocument/2006/relationships/hyperlink" Target="https://webagentes.canaldirecto.com.ar/incidents/view/809937-4" TargetMode="External"/><Relationship Id="rId3435" Type="http://schemas.openxmlformats.org/officeDocument/2006/relationships/hyperlink" Target="https://webagentes.canaldirecto.com.ar/incidents/view/816693-1" TargetMode="External"/><Relationship Id="rId3642" Type="http://schemas.openxmlformats.org/officeDocument/2006/relationships/hyperlink" Target="https://webagentes.canaldirecto.com.ar/incidents/view/822492-5" TargetMode="External"/><Relationship Id="rId149" Type="http://schemas.openxmlformats.org/officeDocument/2006/relationships/hyperlink" Target="https://webagentes.canaldirecto.com.ar/incidents/view/667100-4" TargetMode="External"/><Relationship Id="rId356" Type="http://schemas.openxmlformats.org/officeDocument/2006/relationships/hyperlink" Target="https://webagentes.canaldirecto.com.ar/incidents/view/678240-7" TargetMode="External"/><Relationship Id="rId563" Type="http://schemas.openxmlformats.org/officeDocument/2006/relationships/hyperlink" Target="https://webagentes.canaldirecto.com.ar/incidents/view/691513-9" TargetMode="External"/><Relationship Id="rId770" Type="http://schemas.openxmlformats.org/officeDocument/2006/relationships/hyperlink" Target="https://webagentes.canaldirecto.com.ar/incidents/view/705747-8" TargetMode="External"/><Relationship Id="rId1193" Type="http://schemas.openxmlformats.org/officeDocument/2006/relationships/hyperlink" Target="https://webagentes.canaldirecto.com.ar/incidents/view/721866-2" TargetMode="External"/><Relationship Id="rId2037" Type="http://schemas.openxmlformats.org/officeDocument/2006/relationships/hyperlink" Target="https://webagentes.canaldirecto.com.ar/incidents/view/760942-0" TargetMode="External"/><Relationship Id="rId2244" Type="http://schemas.openxmlformats.org/officeDocument/2006/relationships/hyperlink" Target="https://webagentes.canaldirecto.com.ar/incidents/view/770417-8" TargetMode="External"/><Relationship Id="rId2451" Type="http://schemas.openxmlformats.org/officeDocument/2006/relationships/hyperlink" Target="https://webagentes.canaldirecto.com.ar/incidents/view/778396-2" TargetMode="External"/><Relationship Id="rId216" Type="http://schemas.openxmlformats.org/officeDocument/2006/relationships/hyperlink" Target="https://webagentes.canaldirecto.com.ar/incidents/view/669712-7" TargetMode="External"/><Relationship Id="rId423" Type="http://schemas.openxmlformats.org/officeDocument/2006/relationships/hyperlink" Target="https://webagentes.canaldirecto.com.ar/incidents/view/679196-4" TargetMode="External"/><Relationship Id="rId1053" Type="http://schemas.openxmlformats.org/officeDocument/2006/relationships/hyperlink" Target="https://webagentes.canaldirecto.com.ar/incidents/view/716348-7" TargetMode="External"/><Relationship Id="rId1260" Type="http://schemas.openxmlformats.org/officeDocument/2006/relationships/hyperlink" Target="https://webagentes.canaldirecto.com.ar/incidents/view/728282-5" TargetMode="External"/><Relationship Id="rId2104" Type="http://schemas.openxmlformats.org/officeDocument/2006/relationships/hyperlink" Target="https://webagentes.canaldirecto.com.ar/incidents/view/763518-8" TargetMode="External"/><Relationship Id="rId3502" Type="http://schemas.openxmlformats.org/officeDocument/2006/relationships/hyperlink" Target="https://webagentes.canaldirecto.com.ar/incidents/view/812819-9" TargetMode="External"/><Relationship Id="rId630" Type="http://schemas.openxmlformats.org/officeDocument/2006/relationships/hyperlink" Target="https://webagentes.canaldirecto.com.ar/incidents/view/692552-5" TargetMode="External"/><Relationship Id="rId2311" Type="http://schemas.openxmlformats.org/officeDocument/2006/relationships/hyperlink" Target="https://webagentes.canaldirecto.com.ar/incidents/view/772715-1" TargetMode="External"/><Relationship Id="rId1120" Type="http://schemas.openxmlformats.org/officeDocument/2006/relationships/hyperlink" Target="https://webagentes.canaldirecto.com.ar/incidents/view/720018-6" TargetMode="External"/><Relationship Id="rId1937" Type="http://schemas.openxmlformats.org/officeDocument/2006/relationships/hyperlink" Target="https://webagentes.canaldirecto.com.ar/incidents/view/752850-5" TargetMode="External"/><Relationship Id="rId3085" Type="http://schemas.openxmlformats.org/officeDocument/2006/relationships/hyperlink" Target="https://webagentes.canaldirecto.com.ar/incidents/view/797194-7" TargetMode="External"/><Relationship Id="rId3292" Type="http://schemas.openxmlformats.org/officeDocument/2006/relationships/hyperlink" Target="https://webagentes.canaldirecto.com.ar/incidents/view/806472-1" TargetMode="External"/><Relationship Id="rId3152" Type="http://schemas.openxmlformats.org/officeDocument/2006/relationships/hyperlink" Target="https://webagentes.canaldirecto.com.ar/incidents/view/800791-1" TargetMode="External"/><Relationship Id="rId280" Type="http://schemas.openxmlformats.org/officeDocument/2006/relationships/hyperlink" Target="https://webagentes.canaldirecto.com.ar/incidents/view/674870-4" TargetMode="External"/><Relationship Id="rId3012" Type="http://schemas.openxmlformats.org/officeDocument/2006/relationships/hyperlink" Target="https://webagentes.canaldirecto.com.ar/incidents/view/799979-4" TargetMode="External"/><Relationship Id="rId140" Type="http://schemas.openxmlformats.org/officeDocument/2006/relationships/hyperlink" Target="https://webagentes.canaldirecto.com.ar/incidents/view/668108-3" TargetMode="External"/><Relationship Id="rId3969" Type="http://schemas.openxmlformats.org/officeDocument/2006/relationships/hyperlink" Target="https://webagentes.canaldirecto.com.ar/incidents/view/827333-8" TargetMode="External"/><Relationship Id="rId6" Type="http://schemas.openxmlformats.org/officeDocument/2006/relationships/hyperlink" Target="https://webagentes.canaldirecto.com.ar/incidents/view/662860-4" TargetMode="External"/><Relationship Id="rId2778" Type="http://schemas.openxmlformats.org/officeDocument/2006/relationships/hyperlink" Target="https://webagentes.canaldirecto.com.ar/incidents/view/791398-9" TargetMode="External"/><Relationship Id="rId2985" Type="http://schemas.openxmlformats.org/officeDocument/2006/relationships/hyperlink" Target="https://webagentes.canaldirecto.com.ar/incidents/view/795235-9" TargetMode="External"/><Relationship Id="rId3829" Type="http://schemas.openxmlformats.org/officeDocument/2006/relationships/hyperlink" Target="https://webagentes.canaldirecto.com.ar/incidents/view/827469-2" TargetMode="External"/><Relationship Id="rId957" Type="http://schemas.openxmlformats.org/officeDocument/2006/relationships/hyperlink" Target="https://webagentes.canaldirecto.com.ar/incidents/view/711968-0" TargetMode="External"/><Relationship Id="rId1587" Type="http://schemas.openxmlformats.org/officeDocument/2006/relationships/hyperlink" Target="https://webagentes.canaldirecto.com.ar/incidents/view/744085-4" TargetMode="External"/><Relationship Id="rId1794" Type="http://schemas.openxmlformats.org/officeDocument/2006/relationships/hyperlink" Target="https://webagentes.canaldirecto.com.ar/incidents/view/748623-6" TargetMode="External"/><Relationship Id="rId2638" Type="http://schemas.openxmlformats.org/officeDocument/2006/relationships/hyperlink" Target="https://webagentes.canaldirecto.com.ar/incidents/view/786387-9" TargetMode="External"/><Relationship Id="rId2845" Type="http://schemas.openxmlformats.org/officeDocument/2006/relationships/hyperlink" Target="https://webagentes.canaldirecto.com.ar/incidents/view/793496-4" TargetMode="External"/><Relationship Id="rId86" Type="http://schemas.openxmlformats.org/officeDocument/2006/relationships/hyperlink" Target="https://webagentes.canaldirecto.com.ar/incidents/view/664040-2" TargetMode="External"/><Relationship Id="rId817" Type="http://schemas.openxmlformats.org/officeDocument/2006/relationships/hyperlink" Target="https://webagentes.canaldirecto.com.ar/incidents/view/710187-6" TargetMode="External"/><Relationship Id="rId1447" Type="http://schemas.openxmlformats.org/officeDocument/2006/relationships/hyperlink" Target="https://webagentes.canaldirecto.com.ar/incidents/view/734438-3" TargetMode="External"/><Relationship Id="rId1654" Type="http://schemas.openxmlformats.org/officeDocument/2006/relationships/hyperlink" Target="https://webagentes.canaldirecto.com.ar/incidents/view/741415-0" TargetMode="External"/><Relationship Id="rId1861" Type="http://schemas.openxmlformats.org/officeDocument/2006/relationships/hyperlink" Target="https://webagentes.canaldirecto.com.ar/incidents/view/751360-0" TargetMode="External"/><Relationship Id="rId2705" Type="http://schemas.openxmlformats.org/officeDocument/2006/relationships/hyperlink" Target="https://webagentes.canaldirecto.com.ar/incidents/view/788306-8" TargetMode="External"/><Relationship Id="rId2912" Type="http://schemas.openxmlformats.org/officeDocument/2006/relationships/hyperlink" Target="https://webagentes.canaldirecto.com.ar/incidents/view/797417-5" TargetMode="External"/><Relationship Id="rId1307" Type="http://schemas.openxmlformats.org/officeDocument/2006/relationships/hyperlink" Target="https://webagentes.canaldirecto.com.ar/incidents/view/730655-0" TargetMode="External"/><Relationship Id="rId1514" Type="http://schemas.openxmlformats.org/officeDocument/2006/relationships/hyperlink" Target="https://webagentes.canaldirecto.com.ar/incidents/view/741292-1" TargetMode="External"/><Relationship Id="rId1721" Type="http://schemas.openxmlformats.org/officeDocument/2006/relationships/hyperlink" Target="https://webagentes.canaldirecto.com.ar/incidents/view/745746-5" TargetMode="External"/><Relationship Id="rId13" Type="http://schemas.openxmlformats.org/officeDocument/2006/relationships/hyperlink" Target="https://webagentes.canaldirecto.com.ar/incidents/view/662711-9" TargetMode="External"/><Relationship Id="rId3479" Type="http://schemas.openxmlformats.org/officeDocument/2006/relationships/hyperlink" Target="https://webagentes.canaldirecto.com.ar/incidents/view/814516-9" TargetMode="External"/><Relationship Id="rId3686" Type="http://schemas.openxmlformats.org/officeDocument/2006/relationships/hyperlink" Target="https://webagentes.canaldirecto.com.ar/incidents/view/821097-7" TargetMode="External"/><Relationship Id="rId2288" Type="http://schemas.openxmlformats.org/officeDocument/2006/relationships/hyperlink" Target="https://webagentes.canaldirecto.com.ar/incidents/view/774097-6" TargetMode="External"/><Relationship Id="rId2495" Type="http://schemas.openxmlformats.org/officeDocument/2006/relationships/hyperlink" Target="https://webagentes.canaldirecto.com.ar/incidents/view/782666-5" TargetMode="External"/><Relationship Id="rId3339" Type="http://schemas.openxmlformats.org/officeDocument/2006/relationships/hyperlink" Target="https://webagentes.canaldirecto.com.ar/incidents/view/812489-2" TargetMode="External"/><Relationship Id="rId3893" Type="http://schemas.openxmlformats.org/officeDocument/2006/relationships/hyperlink" Target="https://webagentes.canaldirecto.com.ar/incidents/view/831680-0" TargetMode="External"/><Relationship Id="rId467" Type="http://schemas.openxmlformats.org/officeDocument/2006/relationships/hyperlink" Target="https://webagentes.canaldirecto.com.ar/incidents/view/684253-2" TargetMode="External"/><Relationship Id="rId1097" Type="http://schemas.openxmlformats.org/officeDocument/2006/relationships/hyperlink" Target="https://webagentes.canaldirecto.com.ar/incidents/view/720637-5" TargetMode="External"/><Relationship Id="rId2148" Type="http://schemas.openxmlformats.org/officeDocument/2006/relationships/hyperlink" Target="https://webagentes.canaldirecto.com.ar/incidents/view/760812-0" TargetMode="External"/><Relationship Id="rId3546" Type="http://schemas.openxmlformats.org/officeDocument/2006/relationships/hyperlink" Target="https://webagentes.canaldirecto.com.ar/incidents/view/818521-9" TargetMode="External"/><Relationship Id="rId3753" Type="http://schemas.openxmlformats.org/officeDocument/2006/relationships/hyperlink" Target="https://webagentes.canaldirecto.com.ar/incidents/view/824521-0" TargetMode="External"/><Relationship Id="rId3960" Type="http://schemas.openxmlformats.org/officeDocument/2006/relationships/hyperlink" Target="https://webagentes.canaldirecto.com.ar/incidents/view/828916-2" TargetMode="External"/><Relationship Id="rId674" Type="http://schemas.openxmlformats.org/officeDocument/2006/relationships/hyperlink" Target="https://webagentes.canaldirecto.com.ar/incidents/view/700002-7" TargetMode="External"/><Relationship Id="rId881" Type="http://schemas.openxmlformats.org/officeDocument/2006/relationships/hyperlink" Target="https://webagentes.canaldirecto.com.ar/incidents/view/713880-7" TargetMode="External"/><Relationship Id="rId2355" Type="http://schemas.openxmlformats.org/officeDocument/2006/relationships/hyperlink" Target="https://webagentes.canaldirecto.com.ar/incidents/view/775786-0" TargetMode="External"/><Relationship Id="rId2562" Type="http://schemas.openxmlformats.org/officeDocument/2006/relationships/hyperlink" Target="https://webagentes.canaldirecto.com.ar/incidents/view/784934-7" TargetMode="External"/><Relationship Id="rId3406" Type="http://schemas.openxmlformats.org/officeDocument/2006/relationships/hyperlink" Target="https://webagentes.canaldirecto.com.ar/incidents/view/810835-3" TargetMode="External"/><Relationship Id="rId3613" Type="http://schemas.openxmlformats.org/officeDocument/2006/relationships/hyperlink" Target="https://webagentes.canaldirecto.com.ar/incidents/view/816855-9" TargetMode="External"/><Relationship Id="rId3820" Type="http://schemas.openxmlformats.org/officeDocument/2006/relationships/hyperlink" Target="https://webagentes.canaldirecto.com.ar/incidents/view/827609-8" TargetMode="External"/><Relationship Id="rId327" Type="http://schemas.openxmlformats.org/officeDocument/2006/relationships/hyperlink" Target="https://webagentes.canaldirecto.com.ar/incidents/view/664513-3" TargetMode="External"/><Relationship Id="rId534" Type="http://schemas.openxmlformats.org/officeDocument/2006/relationships/hyperlink" Target="https://webagentes.canaldirecto.com.ar/incidents/view/687987-3" TargetMode="External"/><Relationship Id="rId741" Type="http://schemas.openxmlformats.org/officeDocument/2006/relationships/hyperlink" Target="https://webagentes.canaldirecto.com.ar/incidents/view/701752-2" TargetMode="External"/><Relationship Id="rId1164" Type="http://schemas.openxmlformats.org/officeDocument/2006/relationships/hyperlink" Target="https://webagentes.canaldirecto.com.ar/incidents/view/712786-5" TargetMode="External"/><Relationship Id="rId1371" Type="http://schemas.openxmlformats.org/officeDocument/2006/relationships/hyperlink" Target="https://webagentes.canaldirecto.com.ar/incidents/view/732796-0" TargetMode="External"/><Relationship Id="rId2008" Type="http://schemas.openxmlformats.org/officeDocument/2006/relationships/hyperlink" Target="https://webagentes.canaldirecto.com.ar/incidents/view/759064-5" TargetMode="External"/><Relationship Id="rId2215" Type="http://schemas.openxmlformats.org/officeDocument/2006/relationships/hyperlink" Target="https://webagentes.canaldirecto.com.ar/incidents/view/766817-7" TargetMode="External"/><Relationship Id="rId2422" Type="http://schemas.openxmlformats.org/officeDocument/2006/relationships/hyperlink" Target="https://webagentes.canaldirecto.com.ar/incidents/view/779271-1" TargetMode="External"/><Relationship Id="rId601" Type="http://schemas.openxmlformats.org/officeDocument/2006/relationships/hyperlink" Target="https://webagentes.canaldirecto.com.ar/incidents/view/694983-5" TargetMode="External"/><Relationship Id="rId1024" Type="http://schemas.openxmlformats.org/officeDocument/2006/relationships/hyperlink" Target="https://webagentes.canaldirecto.com.ar/incidents/view/716813-6" TargetMode="External"/><Relationship Id="rId1231" Type="http://schemas.openxmlformats.org/officeDocument/2006/relationships/hyperlink" Target="https://webagentes.canaldirecto.com.ar/incidents/view/723669-5" TargetMode="External"/><Relationship Id="rId3196" Type="http://schemas.openxmlformats.org/officeDocument/2006/relationships/hyperlink" Target="https://webagentes.canaldirecto.com.ar/incidents/view/805004-7" TargetMode="External"/><Relationship Id="rId3056" Type="http://schemas.openxmlformats.org/officeDocument/2006/relationships/hyperlink" Target="https://webagentes.canaldirecto.com.ar/incidents/view/799030-4" TargetMode="External"/><Relationship Id="rId3263" Type="http://schemas.openxmlformats.org/officeDocument/2006/relationships/hyperlink" Target="https://webagentes.canaldirecto.com.ar/incidents/view/808555-7" TargetMode="External"/><Relationship Id="rId3470" Type="http://schemas.openxmlformats.org/officeDocument/2006/relationships/hyperlink" Target="https://webagentes.canaldirecto.com.ar/incidents/view/814958-1" TargetMode="External"/><Relationship Id="rId184" Type="http://schemas.openxmlformats.org/officeDocument/2006/relationships/hyperlink" Target="https://webagentes.canaldirecto.com.ar/incidents/view/670931-6" TargetMode="External"/><Relationship Id="rId391" Type="http://schemas.openxmlformats.org/officeDocument/2006/relationships/hyperlink" Target="https://webagentes.canaldirecto.com.ar/incidents/view/676799-4" TargetMode="External"/><Relationship Id="rId1908" Type="http://schemas.openxmlformats.org/officeDocument/2006/relationships/hyperlink" Target="https://webagentes.canaldirecto.com.ar/incidents/view/749083-1" TargetMode="External"/><Relationship Id="rId2072" Type="http://schemas.openxmlformats.org/officeDocument/2006/relationships/hyperlink" Target="https://webagentes.canaldirecto.com.ar/incidents/view/760093-3" TargetMode="External"/><Relationship Id="rId3123" Type="http://schemas.openxmlformats.org/officeDocument/2006/relationships/hyperlink" Target="https://webagentes.canaldirecto.com.ar/incidents/view/802412-1" TargetMode="External"/><Relationship Id="rId251" Type="http://schemas.openxmlformats.org/officeDocument/2006/relationships/hyperlink" Target="https://webagentes.canaldirecto.com.ar/incidents/view/676197-2" TargetMode="External"/><Relationship Id="rId3330" Type="http://schemas.openxmlformats.org/officeDocument/2006/relationships/hyperlink" Target="https://webagentes.canaldirecto.com.ar/incidents/view/812832-0" TargetMode="External"/><Relationship Id="rId2889" Type="http://schemas.openxmlformats.org/officeDocument/2006/relationships/hyperlink" Target="https://webagentes.canaldirecto.com.ar/incidents/view/792042-0" TargetMode="External"/><Relationship Id="rId111" Type="http://schemas.openxmlformats.org/officeDocument/2006/relationships/hyperlink" Target="https://webagentes.canaldirecto.com.ar/incidents/view/669379-6" TargetMode="External"/><Relationship Id="rId1698" Type="http://schemas.openxmlformats.org/officeDocument/2006/relationships/hyperlink" Target="https://webagentes.canaldirecto.com.ar/incidents/view/746252-8" TargetMode="External"/><Relationship Id="rId2749" Type="http://schemas.openxmlformats.org/officeDocument/2006/relationships/hyperlink" Target="https://webagentes.canaldirecto.com.ar/incidents/view/790251-2" TargetMode="External"/><Relationship Id="rId2956" Type="http://schemas.openxmlformats.org/officeDocument/2006/relationships/hyperlink" Target="https://webagentes.canaldirecto.com.ar/incidents/view/795869-0" TargetMode="External"/><Relationship Id="rId928" Type="http://schemas.openxmlformats.org/officeDocument/2006/relationships/hyperlink" Target="https://webagentes.canaldirecto.com.ar/incidents/view/712189-8" TargetMode="External"/><Relationship Id="rId1558" Type="http://schemas.openxmlformats.org/officeDocument/2006/relationships/hyperlink" Target="https://webagentes.canaldirecto.com.ar/incidents/view/744425-8" TargetMode="External"/><Relationship Id="rId1765" Type="http://schemas.openxmlformats.org/officeDocument/2006/relationships/hyperlink" Target="https://webagentes.canaldirecto.com.ar/incidents/view/749317-5" TargetMode="External"/><Relationship Id="rId2609" Type="http://schemas.openxmlformats.org/officeDocument/2006/relationships/hyperlink" Target="https://webagentes.canaldirecto.com.ar/incidents/view/782263-2" TargetMode="External"/><Relationship Id="rId57" Type="http://schemas.openxmlformats.org/officeDocument/2006/relationships/hyperlink" Target="https://webagentes.canaldirecto.com.ar/incidents/view/666878-1" TargetMode="External"/><Relationship Id="rId1418" Type="http://schemas.openxmlformats.org/officeDocument/2006/relationships/hyperlink" Target="https://webagentes.canaldirecto.com.ar/incidents/view/736246-8" TargetMode="External"/><Relationship Id="rId1972" Type="http://schemas.openxmlformats.org/officeDocument/2006/relationships/hyperlink" Target="https://webagentes.canaldirecto.com.ar/incidents/view/755182-2" TargetMode="External"/><Relationship Id="rId2816" Type="http://schemas.openxmlformats.org/officeDocument/2006/relationships/hyperlink" Target="https://webagentes.canaldirecto.com.ar/incidents/view/794389-2" TargetMode="External"/><Relationship Id="rId1625" Type="http://schemas.openxmlformats.org/officeDocument/2006/relationships/hyperlink" Target="https://webagentes.canaldirecto.com.ar/incidents/view/743481-7" TargetMode="External"/><Relationship Id="rId1832" Type="http://schemas.openxmlformats.org/officeDocument/2006/relationships/hyperlink" Target="https://webagentes.canaldirecto.com.ar/incidents/view/747056-3" TargetMode="External"/><Relationship Id="rId3797" Type="http://schemas.openxmlformats.org/officeDocument/2006/relationships/hyperlink" Target="https://webagentes.canaldirecto.com.ar/incidents/view/822715-3" TargetMode="External"/><Relationship Id="rId2399" Type="http://schemas.openxmlformats.org/officeDocument/2006/relationships/hyperlink" Target="https://webagentes.canaldirecto.com.ar/incidents/view/779741-5" TargetMode="External"/><Relationship Id="rId3657" Type="http://schemas.openxmlformats.org/officeDocument/2006/relationships/hyperlink" Target="https://webagentes.canaldirecto.com.ar/incidents/view/822063-7" TargetMode="External"/><Relationship Id="rId3864" Type="http://schemas.openxmlformats.org/officeDocument/2006/relationships/hyperlink" Target="https://webagentes.canaldirecto.com.ar/incidents/view/825953-2" TargetMode="External"/><Relationship Id="rId578" Type="http://schemas.openxmlformats.org/officeDocument/2006/relationships/hyperlink" Target="https://webagentes.canaldirecto.com.ar/incidents/view/690402-7" TargetMode="External"/><Relationship Id="rId785" Type="http://schemas.openxmlformats.org/officeDocument/2006/relationships/hyperlink" Target="https://webagentes.canaldirecto.com.ar/incidents/view/704988-6" TargetMode="External"/><Relationship Id="rId992" Type="http://schemas.openxmlformats.org/officeDocument/2006/relationships/hyperlink" Target="https://webagentes.canaldirecto.com.ar/incidents/view/717282-9" TargetMode="External"/><Relationship Id="rId2259" Type="http://schemas.openxmlformats.org/officeDocument/2006/relationships/hyperlink" Target="https://webagentes.canaldirecto.com.ar/incidents/view/769775-3" TargetMode="External"/><Relationship Id="rId2466" Type="http://schemas.openxmlformats.org/officeDocument/2006/relationships/hyperlink" Target="https://webagentes.canaldirecto.com.ar/incidents/view/777403-4" TargetMode="External"/><Relationship Id="rId2673" Type="http://schemas.openxmlformats.org/officeDocument/2006/relationships/hyperlink" Target="https://webagentes.canaldirecto.com.ar/incidents/view/789224-2" TargetMode="External"/><Relationship Id="rId2880" Type="http://schemas.openxmlformats.org/officeDocument/2006/relationships/hyperlink" Target="https://webagentes.canaldirecto.com.ar/incidents/view/792449-9" TargetMode="External"/><Relationship Id="rId3517" Type="http://schemas.openxmlformats.org/officeDocument/2006/relationships/hyperlink" Target="https://webagentes.canaldirecto.com.ar/incidents/view/819577-5" TargetMode="External"/><Relationship Id="rId3724" Type="http://schemas.openxmlformats.org/officeDocument/2006/relationships/hyperlink" Target="https://webagentes.canaldirecto.com.ar/incidents/view/818424-7" TargetMode="External"/><Relationship Id="rId3931" Type="http://schemas.openxmlformats.org/officeDocument/2006/relationships/hyperlink" Target="https://webagentes.canaldirecto.com.ar/incidents/view/829799-4" TargetMode="External"/><Relationship Id="rId438" Type="http://schemas.openxmlformats.org/officeDocument/2006/relationships/hyperlink" Target="https://webagentes.canaldirecto.com.ar/incidents/view/686015-8" TargetMode="External"/><Relationship Id="rId645" Type="http://schemas.openxmlformats.org/officeDocument/2006/relationships/hyperlink" Target="https://webagentes.canaldirecto.com.ar/incidents/view/697270-9" TargetMode="External"/><Relationship Id="rId852" Type="http://schemas.openxmlformats.org/officeDocument/2006/relationships/hyperlink" Target="https://webagentes.canaldirecto.com.ar/incidents/view/708283-6" TargetMode="External"/><Relationship Id="rId1068" Type="http://schemas.openxmlformats.org/officeDocument/2006/relationships/hyperlink" Target="https://webagentes.canaldirecto.com.ar/incidents/view/716125-8" TargetMode="External"/><Relationship Id="rId1275" Type="http://schemas.openxmlformats.org/officeDocument/2006/relationships/hyperlink" Target="https://webagentes.canaldirecto.com.ar/incidents/view/727312-8" TargetMode="External"/><Relationship Id="rId1482" Type="http://schemas.openxmlformats.org/officeDocument/2006/relationships/hyperlink" Target="https://webagentes.canaldirecto.com.ar/incidents/view/737511-6" TargetMode="External"/><Relationship Id="rId2119" Type="http://schemas.openxmlformats.org/officeDocument/2006/relationships/hyperlink" Target="https://webagentes.canaldirecto.com.ar/incidents/view/762463-2" TargetMode="External"/><Relationship Id="rId2326" Type="http://schemas.openxmlformats.org/officeDocument/2006/relationships/hyperlink" Target="https://webagentes.canaldirecto.com.ar/incidents/view/771348-6" TargetMode="External"/><Relationship Id="rId2533" Type="http://schemas.openxmlformats.org/officeDocument/2006/relationships/hyperlink" Target="https://webagentes.canaldirecto.com.ar/incidents/view/781212-1" TargetMode="External"/><Relationship Id="rId2740" Type="http://schemas.openxmlformats.org/officeDocument/2006/relationships/hyperlink" Target="https://webagentes.canaldirecto.com.ar/incidents/view/791398-9" TargetMode="External"/><Relationship Id="rId505" Type="http://schemas.openxmlformats.org/officeDocument/2006/relationships/hyperlink" Target="https://webagentes.canaldirecto.com.ar/incidents/view/689374-9" TargetMode="External"/><Relationship Id="rId712" Type="http://schemas.openxmlformats.org/officeDocument/2006/relationships/hyperlink" Target="https://webagentes.canaldirecto.com.ar/incidents/view/703384-9" TargetMode="External"/><Relationship Id="rId1135" Type="http://schemas.openxmlformats.org/officeDocument/2006/relationships/hyperlink" Target="https://webagentes.canaldirecto.com.ar/incidents/view/719051-5" TargetMode="External"/><Relationship Id="rId1342" Type="http://schemas.openxmlformats.org/officeDocument/2006/relationships/hyperlink" Target="https://webagentes.canaldirecto.com.ar/incidents/view/728716-7" TargetMode="External"/><Relationship Id="rId1202" Type="http://schemas.openxmlformats.org/officeDocument/2006/relationships/hyperlink" Target="https://webagentes.canaldirecto.com.ar/incidents/view/720821-2" TargetMode="External"/><Relationship Id="rId2600" Type="http://schemas.openxmlformats.org/officeDocument/2006/relationships/hyperlink" Target="https://webagentes.canaldirecto.com.ar/incidents/view/782963-5" TargetMode="External"/><Relationship Id="rId3167" Type="http://schemas.openxmlformats.org/officeDocument/2006/relationships/hyperlink" Target="https://webagentes.canaldirecto.com.ar/incidents/view/806328-1" TargetMode="External"/><Relationship Id="rId295" Type="http://schemas.openxmlformats.org/officeDocument/2006/relationships/hyperlink" Target="https://webagentes.canaldirecto.com.ar/incidents/view/674633-5" TargetMode="External"/><Relationship Id="rId3374" Type="http://schemas.openxmlformats.org/officeDocument/2006/relationships/hyperlink" Target="https://webagentes.canaldirecto.com.ar/incidents/view/811527-4" TargetMode="External"/><Relationship Id="rId3581" Type="http://schemas.openxmlformats.org/officeDocument/2006/relationships/hyperlink" Target="https://webagentes.canaldirecto.com.ar/incidents/view/817756-6" TargetMode="External"/><Relationship Id="rId2183" Type="http://schemas.openxmlformats.org/officeDocument/2006/relationships/hyperlink" Target="https://webagentes.canaldirecto.com.ar/incidents/view/763641-5" TargetMode="External"/><Relationship Id="rId2390" Type="http://schemas.openxmlformats.org/officeDocument/2006/relationships/hyperlink" Target="https://webagentes.canaldirecto.com.ar/incidents/view/779819-5" TargetMode="External"/><Relationship Id="rId3027" Type="http://schemas.openxmlformats.org/officeDocument/2006/relationships/hyperlink" Target="https://webagentes.canaldirecto.com.ar/incidents/view/799771-4" TargetMode="External"/><Relationship Id="rId3234" Type="http://schemas.openxmlformats.org/officeDocument/2006/relationships/hyperlink" Target="https://webagentes.canaldirecto.com.ar/incidents/view/809579-4" TargetMode="External"/><Relationship Id="rId3441" Type="http://schemas.openxmlformats.org/officeDocument/2006/relationships/hyperlink" Target="https://webagentes.canaldirecto.com.ar/incidents/view/816262-5" TargetMode="External"/><Relationship Id="rId155" Type="http://schemas.openxmlformats.org/officeDocument/2006/relationships/hyperlink" Target="https://webagentes.canaldirecto.com.ar/incidents/view/673498-7" TargetMode="External"/><Relationship Id="rId362" Type="http://schemas.openxmlformats.org/officeDocument/2006/relationships/hyperlink" Target="https://webagentes.canaldirecto.com.ar/incidents/view/678234-6" TargetMode="External"/><Relationship Id="rId2043" Type="http://schemas.openxmlformats.org/officeDocument/2006/relationships/hyperlink" Target="https://webagentes.canaldirecto.com.ar/incidents/view/760837-9" TargetMode="External"/><Relationship Id="rId2250" Type="http://schemas.openxmlformats.org/officeDocument/2006/relationships/hyperlink" Target="https://webagentes.canaldirecto.com.ar/incidents/view/770174-6" TargetMode="External"/><Relationship Id="rId3301" Type="http://schemas.openxmlformats.org/officeDocument/2006/relationships/hyperlink" Target="https://webagentes.canaldirecto.com.ar/incidents/view/813623-1" TargetMode="External"/><Relationship Id="rId222" Type="http://schemas.openxmlformats.org/officeDocument/2006/relationships/hyperlink" Target="https://webagentes.canaldirecto.com.ar/incidents/view/677736-2" TargetMode="External"/><Relationship Id="rId2110" Type="http://schemas.openxmlformats.org/officeDocument/2006/relationships/hyperlink" Target="https://webagentes.canaldirecto.com.ar/incidents/view/763002-2" TargetMode="External"/><Relationship Id="rId1669" Type="http://schemas.openxmlformats.org/officeDocument/2006/relationships/hyperlink" Target="https://webagentes.canaldirecto.com.ar/incidents/view/746800-9" TargetMode="External"/><Relationship Id="rId1876" Type="http://schemas.openxmlformats.org/officeDocument/2006/relationships/hyperlink" Target="https://webagentes.canaldirecto.com.ar/incidents/view/750476-3" TargetMode="External"/><Relationship Id="rId2927" Type="http://schemas.openxmlformats.org/officeDocument/2006/relationships/hyperlink" Target="https://webagentes.canaldirecto.com.ar/incidents/view/796576-0" TargetMode="External"/><Relationship Id="rId3091" Type="http://schemas.openxmlformats.org/officeDocument/2006/relationships/hyperlink" Target="https://webagentes.canaldirecto.com.ar/incidents/view/794405-9" TargetMode="External"/><Relationship Id="rId1529" Type="http://schemas.openxmlformats.org/officeDocument/2006/relationships/hyperlink" Target="https://webagentes.canaldirecto.com.ar/incidents/view/741089-9" TargetMode="External"/><Relationship Id="rId1736" Type="http://schemas.openxmlformats.org/officeDocument/2006/relationships/hyperlink" Target="https://webagentes.canaldirecto.com.ar/incidents/view/745522-7" TargetMode="External"/><Relationship Id="rId1943" Type="http://schemas.openxmlformats.org/officeDocument/2006/relationships/hyperlink" Target="https://webagentes.canaldirecto.com.ar/incidents/view/751727-1" TargetMode="External"/><Relationship Id="rId28" Type="http://schemas.openxmlformats.org/officeDocument/2006/relationships/hyperlink" Target="https://webagentes.canaldirecto.com.ar/incidents/view/662504-1" TargetMode="External"/><Relationship Id="rId1803" Type="http://schemas.openxmlformats.org/officeDocument/2006/relationships/hyperlink" Target="https://webagentes.canaldirecto.com.ar/incidents/view/748509-7" TargetMode="External"/><Relationship Id="rId3768" Type="http://schemas.openxmlformats.org/officeDocument/2006/relationships/hyperlink" Target="https://webagentes.canaldirecto.com.ar/incidents/view/824129-6" TargetMode="External"/><Relationship Id="rId3975" Type="http://schemas.openxmlformats.org/officeDocument/2006/relationships/drawing" Target="../drawings/drawing1.xml"/><Relationship Id="rId689" Type="http://schemas.openxmlformats.org/officeDocument/2006/relationships/hyperlink" Target="https://webagentes.canaldirecto.com.ar/incidents/view/698682-7" TargetMode="External"/><Relationship Id="rId896" Type="http://schemas.openxmlformats.org/officeDocument/2006/relationships/hyperlink" Target="https://webagentes.canaldirecto.com.ar/incidents/view/712859-0" TargetMode="External"/><Relationship Id="rId2577" Type="http://schemas.openxmlformats.org/officeDocument/2006/relationships/hyperlink" Target="https://webagentes.canaldirecto.com.ar/incidents/view/783487-7" TargetMode="External"/><Relationship Id="rId2784" Type="http://schemas.openxmlformats.org/officeDocument/2006/relationships/hyperlink" Target="https://webagentes.canaldirecto.com.ar/incidents/view/790378-8" TargetMode="External"/><Relationship Id="rId3628" Type="http://schemas.openxmlformats.org/officeDocument/2006/relationships/hyperlink" Target="https://webagentes.canaldirecto.com.ar/incidents/view/816565-9" TargetMode="External"/><Relationship Id="rId549" Type="http://schemas.openxmlformats.org/officeDocument/2006/relationships/hyperlink" Target="https://webagentes.canaldirecto.com.ar/incidents/view/685586-4" TargetMode="External"/><Relationship Id="rId756" Type="http://schemas.openxmlformats.org/officeDocument/2006/relationships/hyperlink" Target="https://webagentes.canaldirecto.com.ar/incidents/view/706729-9" TargetMode="External"/><Relationship Id="rId1179" Type="http://schemas.openxmlformats.org/officeDocument/2006/relationships/hyperlink" Target="https://webagentes.canaldirecto.com.ar/incidents/view/721988-3" TargetMode="External"/><Relationship Id="rId1386" Type="http://schemas.openxmlformats.org/officeDocument/2006/relationships/hyperlink" Target="https://webagentes.canaldirecto.com.ar/incidents/view/732585-6" TargetMode="External"/><Relationship Id="rId1593" Type="http://schemas.openxmlformats.org/officeDocument/2006/relationships/hyperlink" Target="https://webagentes.canaldirecto.com.ar/incidents/view/744004-9" TargetMode="External"/><Relationship Id="rId2437" Type="http://schemas.openxmlformats.org/officeDocument/2006/relationships/hyperlink" Target="https://webagentes.canaldirecto.com.ar/incidents/view/779140-2" TargetMode="External"/><Relationship Id="rId2991" Type="http://schemas.openxmlformats.org/officeDocument/2006/relationships/hyperlink" Target="https://webagentes.canaldirecto.com.ar/incidents/view/794753-3" TargetMode="External"/><Relationship Id="rId3835" Type="http://schemas.openxmlformats.org/officeDocument/2006/relationships/hyperlink" Target="https://webagentes.canaldirecto.com.ar/incidents/view/827124-2" TargetMode="External"/><Relationship Id="rId409" Type="http://schemas.openxmlformats.org/officeDocument/2006/relationships/hyperlink" Target="https://webagentes.canaldirecto.com.ar/incidents/view/682491-6" TargetMode="External"/><Relationship Id="rId963" Type="http://schemas.openxmlformats.org/officeDocument/2006/relationships/hyperlink" Target="https://webagentes.canaldirecto.com.ar/incidents/view/711681-4" TargetMode="External"/><Relationship Id="rId1039" Type="http://schemas.openxmlformats.org/officeDocument/2006/relationships/hyperlink" Target="https://webagentes.canaldirecto.com.ar/incidents/view/716440-4" TargetMode="External"/><Relationship Id="rId1246" Type="http://schemas.openxmlformats.org/officeDocument/2006/relationships/hyperlink" Target="https://webagentes.canaldirecto.com.ar/incidents/view/720129-1" TargetMode="External"/><Relationship Id="rId2644" Type="http://schemas.openxmlformats.org/officeDocument/2006/relationships/hyperlink" Target="https://webagentes.canaldirecto.com.ar/incidents/view/786130-3" TargetMode="External"/><Relationship Id="rId2851" Type="http://schemas.openxmlformats.org/officeDocument/2006/relationships/hyperlink" Target="https://webagentes.canaldirecto.com.ar/incidents/view/793300-8" TargetMode="External"/><Relationship Id="rId3902" Type="http://schemas.openxmlformats.org/officeDocument/2006/relationships/hyperlink" Target="https://webagentes.canaldirecto.com.ar/incidents/view/830432-8" TargetMode="External"/><Relationship Id="rId92" Type="http://schemas.openxmlformats.org/officeDocument/2006/relationships/hyperlink" Target="https://webagentes.canaldirecto.com.ar/incidents/view/670043-0" TargetMode="External"/><Relationship Id="rId616" Type="http://schemas.openxmlformats.org/officeDocument/2006/relationships/hyperlink" Target="https://webagentes.canaldirecto.com.ar/incidents/view/693799-1" TargetMode="External"/><Relationship Id="rId823" Type="http://schemas.openxmlformats.org/officeDocument/2006/relationships/hyperlink" Target="https://webagentes.canaldirecto.com.ar/incidents/view/710110-4" TargetMode="External"/><Relationship Id="rId1453" Type="http://schemas.openxmlformats.org/officeDocument/2006/relationships/hyperlink" Target="https://webagentes.canaldirecto.com.ar/incidents/view/734093-4" TargetMode="External"/><Relationship Id="rId1660" Type="http://schemas.openxmlformats.org/officeDocument/2006/relationships/hyperlink" Target="https://webagentes.canaldirecto.com.ar/incidents/view/746819-7" TargetMode="External"/><Relationship Id="rId2504" Type="http://schemas.openxmlformats.org/officeDocument/2006/relationships/hyperlink" Target="https://webagentes.canaldirecto.com.ar/incidents/view/782234-0" TargetMode="External"/><Relationship Id="rId2711" Type="http://schemas.openxmlformats.org/officeDocument/2006/relationships/hyperlink" Target="https://webagentes.canaldirecto.com.ar/incidents/view/788166-2" TargetMode="External"/><Relationship Id="rId1106" Type="http://schemas.openxmlformats.org/officeDocument/2006/relationships/hyperlink" Target="https://webagentes.canaldirecto.com.ar/incidents/view/720477-5" TargetMode="External"/><Relationship Id="rId1313" Type="http://schemas.openxmlformats.org/officeDocument/2006/relationships/hyperlink" Target="https://webagentes.canaldirecto.com.ar/incidents/view/730649-9" TargetMode="External"/><Relationship Id="rId1520" Type="http://schemas.openxmlformats.org/officeDocument/2006/relationships/hyperlink" Target="https://webagentes.canaldirecto.com.ar/incidents/view/741191-3" TargetMode="External"/><Relationship Id="rId3278" Type="http://schemas.openxmlformats.org/officeDocument/2006/relationships/hyperlink" Target="https://webagentes.canaldirecto.com.ar/incidents/view/807455-1" TargetMode="External"/><Relationship Id="rId3485" Type="http://schemas.openxmlformats.org/officeDocument/2006/relationships/hyperlink" Target="https://webagentes.canaldirecto.com.ar/incidents/view/814451-3" TargetMode="External"/><Relationship Id="rId3692" Type="http://schemas.openxmlformats.org/officeDocument/2006/relationships/hyperlink" Target="https://webagentes.canaldirecto.com.ar/incidents/view/820854-7" TargetMode="External"/><Relationship Id="rId199" Type="http://schemas.openxmlformats.org/officeDocument/2006/relationships/hyperlink" Target="https://webagentes.canaldirecto.com.ar/incidents/view/670431-1" TargetMode="External"/><Relationship Id="rId2087" Type="http://schemas.openxmlformats.org/officeDocument/2006/relationships/hyperlink" Target="https://webagentes.canaldirecto.com.ar/incidents/view/759533-0" TargetMode="External"/><Relationship Id="rId2294" Type="http://schemas.openxmlformats.org/officeDocument/2006/relationships/hyperlink" Target="https://webagentes.canaldirecto.com.ar/incidents/view/773408-1" TargetMode="External"/><Relationship Id="rId3138" Type="http://schemas.openxmlformats.org/officeDocument/2006/relationships/hyperlink" Target="https://webagentes.canaldirecto.com.ar/incidents/view/801477-1" TargetMode="External"/><Relationship Id="rId3345" Type="http://schemas.openxmlformats.org/officeDocument/2006/relationships/hyperlink" Target="https://webagentes.canaldirecto.com.ar/incidents/view/812377-8" TargetMode="External"/><Relationship Id="rId3552" Type="http://schemas.openxmlformats.org/officeDocument/2006/relationships/hyperlink" Target="https://webagentes.canaldirecto.com.ar/incidents/view/818512-1" TargetMode="External"/><Relationship Id="rId266" Type="http://schemas.openxmlformats.org/officeDocument/2006/relationships/hyperlink" Target="https://webagentes.canaldirecto.com.ar/incidents/view/675613-8" TargetMode="External"/><Relationship Id="rId473" Type="http://schemas.openxmlformats.org/officeDocument/2006/relationships/hyperlink" Target="https://webagentes.canaldirecto.com.ar/incidents/view/683552-3" TargetMode="External"/><Relationship Id="rId680" Type="http://schemas.openxmlformats.org/officeDocument/2006/relationships/hyperlink" Target="https://webagentes.canaldirecto.com.ar/incidents/view/699500-1" TargetMode="External"/><Relationship Id="rId2154" Type="http://schemas.openxmlformats.org/officeDocument/2006/relationships/hyperlink" Target="https://webagentes.canaldirecto.com.ar/incidents/view/766282-7" TargetMode="External"/><Relationship Id="rId2361" Type="http://schemas.openxmlformats.org/officeDocument/2006/relationships/hyperlink" Target="https://webagentes.canaldirecto.com.ar/incidents/view/774857-0" TargetMode="External"/><Relationship Id="rId3205" Type="http://schemas.openxmlformats.org/officeDocument/2006/relationships/hyperlink" Target="https://webagentes.canaldirecto.com.ar/incidents/view/804626-6" TargetMode="External"/><Relationship Id="rId3412" Type="http://schemas.openxmlformats.org/officeDocument/2006/relationships/hyperlink" Target="https://webagentes.canaldirecto.com.ar/incidents/view/810420-5" TargetMode="External"/><Relationship Id="rId126" Type="http://schemas.openxmlformats.org/officeDocument/2006/relationships/hyperlink" Target="https://webagentes.canaldirecto.com.ar/incidents/view/668789-2" TargetMode="External"/><Relationship Id="rId333" Type="http://schemas.openxmlformats.org/officeDocument/2006/relationships/hyperlink" Target="https://webagentes.canaldirecto.com.ar/incidents/view/680185-4" TargetMode="External"/><Relationship Id="rId540" Type="http://schemas.openxmlformats.org/officeDocument/2006/relationships/hyperlink" Target="https://webagentes.canaldirecto.com.ar/incidents/view/687583-1" TargetMode="External"/><Relationship Id="rId1170" Type="http://schemas.openxmlformats.org/officeDocument/2006/relationships/hyperlink" Target="https://webagentes.canaldirecto.com.ar/incidents/view/722758-1" TargetMode="External"/><Relationship Id="rId2014" Type="http://schemas.openxmlformats.org/officeDocument/2006/relationships/hyperlink" Target="https://webagentes.canaldirecto.com.ar/incidents/view/758326-5" TargetMode="External"/><Relationship Id="rId2221" Type="http://schemas.openxmlformats.org/officeDocument/2006/relationships/hyperlink" Target="https://webagentes.canaldirecto.com.ar/incidents/view/766305-7" TargetMode="External"/><Relationship Id="rId1030" Type="http://schemas.openxmlformats.org/officeDocument/2006/relationships/hyperlink" Target="https://webagentes.canaldirecto.com.ar/incidents/view/716536-0" TargetMode="External"/><Relationship Id="rId400" Type="http://schemas.openxmlformats.org/officeDocument/2006/relationships/hyperlink" Target="https://webagentes.canaldirecto.com.ar/incidents/view/683692-0" TargetMode="External"/><Relationship Id="rId1987" Type="http://schemas.openxmlformats.org/officeDocument/2006/relationships/hyperlink" Target="https://webagentes.canaldirecto.com.ar/incidents/view/754754-6" TargetMode="External"/><Relationship Id="rId1847" Type="http://schemas.openxmlformats.org/officeDocument/2006/relationships/hyperlink" Target="https://webagentes.canaldirecto.com.ar/incidents/view/751585-7" TargetMode="External"/><Relationship Id="rId1707" Type="http://schemas.openxmlformats.org/officeDocument/2006/relationships/hyperlink" Target="https://webagentes.canaldirecto.com.ar/incidents/view/745996-8" TargetMode="External"/><Relationship Id="rId3062" Type="http://schemas.openxmlformats.org/officeDocument/2006/relationships/hyperlink" Target="https://webagentes.canaldirecto.com.ar/incidents/view/798688-8" TargetMode="External"/><Relationship Id="rId190" Type="http://schemas.openxmlformats.org/officeDocument/2006/relationships/hyperlink" Target="https://webagentes.canaldirecto.com.ar/incidents/view/670923-7" TargetMode="External"/><Relationship Id="rId1914" Type="http://schemas.openxmlformats.org/officeDocument/2006/relationships/hyperlink" Target="https://webagentes.canaldirecto.com.ar/incidents/view/748462-7" TargetMode="External"/><Relationship Id="rId3879" Type="http://schemas.openxmlformats.org/officeDocument/2006/relationships/hyperlink" Target="https://webagentes.canaldirecto.com.ar/incidents/view/824718-4" TargetMode="External"/><Relationship Id="rId2688" Type="http://schemas.openxmlformats.org/officeDocument/2006/relationships/hyperlink" Target="https://webagentes.canaldirecto.com.ar/incidents/view/788348-4" TargetMode="External"/><Relationship Id="rId2895" Type="http://schemas.openxmlformats.org/officeDocument/2006/relationships/hyperlink" Target="https://webagentes.canaldirecto.com.ar/incidents/view/791758-7" TargetMode="External"/><Relationship Id="rId3739" Type="http://schemas.openxmlformats.org/officeDocument/2006/relationships/hyperlink" Target="https://webagentes.canaldirecto.com.ar/incidents/view/824825-3" TargetMode="External"/><Relationship Id="rId3946" Type="http://schemas.openxmlformats.org/officeDocument/2006/relationships/hyperlink" Target="https://webagentes.canaldirecto.com.ar/incidents/view/829498-8" TargetMode="External"/><Relationship Id="rId867" Type="http://schemas.openxmlformats.org/officeDocument/2006/relationships/hyperlink" Target="https://webagentes.canaldirecto.com.ar/incidents/view/706816-4" TargetMode="External"/><Relationship Id="rId1497" Type="http://schemas.openxmlformats.org/officeDocument/2006/relationships/hyperlink" Target="https://webagentes.canaldirecto.com.ar/incidents/view/736856-9" TargetMode="External"/><Relationship Id="rId2548" Type="http://schemas.openxmlformats.org/officeDocument/2006/relationships/hyperlink" Target="https://webagentes.canaldirecto.com.ar/incidents/view/780343-3" TargetMode="External"/><Relationship Id="rId2755" Type="http://schemas.openxmlformats.org/officeDocument/2006/relationships/hyperlink" Target="https://webagentes.canaldirecto.com.ar/incidents/view/789948-5" TargetMode="External"/><Relationship Id="rId2962" Type="http://schemas.openxmlformats.org/officeDocument/2006/relationships/hyperlink" Target="https://webagentes.canaldirecto.com.ar/incidents/view/795589-7" TargetMode="External"/><Relationship Id="rId3806" Type="http://schemas.openxmlformats.org/officeDocument/2006/relationships/hyperlink" Target="https://webagentes.canaldirecto.com.ar/incidents/view/828095-8" TargetMode="External"/><Relationship Id="rId727" Type="http://schemas.openxmlformats.org/officeDocument/2006/relationships/hyperlink" Target="https://webagentes.canaldirecto.com.ar/incidents/view/702396-7" TargetMode="External"/><Relationship Id="rId934" Type="http://schemas.openxmlformats.org/officeDocument/2006/relationships/hyperlink" Target="https://webagentes.canaldirecto.com.ar/incidents/view/712046-4" TargetMode="External"/><Relationship Id="rId1357" Type="http://schemas.openxmlformats.org/officeDocument/2006/relationships/hyperlink" Target="https://webagentes.canaldirecto.com.ar/incidents/view/733064-5" TargetMode="External"/><Relationship Id="rId1564" Type="http://schemas.openxmlformats.org/officeDocument/2006/relationships/hyperlink" Target="https://webagentes.canaldirecto.com.ar/incidents/view/744281-6" TargetMode="External"/><Relationship Id="rId1771" Type="http://schemas.openxmlformats.org/officeDocument/2006/relationships/hyperlink" Target="https://webagentes.canaldirecto.com.ar/incidents/view/749197-3" TargetMode="External"/><Relationship Id="rId2408" Type="http://schemas.openxmlformats.org/officeDocument/2006/relationships/hyperlink" Target="https://webagentes.canaldirecto.com.ar/incidents/view/779407-4" TargetMode="External"/><Relationship Id="rId2615" Type="http://schemas.openxmlformats.org/officeDocument/2006/relationships/hyperlink" Target="https://webagentes.canaldirecto.com.ar/incidents/view/787120-3" TargetMode="External"/><Relationship Id="rId2822" Type="http://schemas.openxmlformats.org/officeDocument/2006/relationships/hyperlink" Target="https://webagentes.canaldirecto.com.ar/incidents/view/794383-8" TargetMode="External"/><Relationship Id="rId63" Type="http://schemas.openxmlformats.org/officeDocument/2006/relationships/hyperlink" Target="https://webagentes.canaldirecto.com.ar/incidents/view/666604-8" TargetMode="External"/><Relationship Id="rId1217" Type="http://schemas.openxmlformats.org/officeDocument/2006/relationships/hyperlink" Target="https://webagentes.canaldirecto.com.ar/incidents/view/725746-7" TargetMode="External"/><Relationship Id="rId1424" Type="http://schemas.openxmlformats.org/officeDocument/2006/relationships/hyperlink" Target="https://webagentes.canaldirecto.com.ar/incidents/view/736067-3" TargetMode="External"/><Relationship Id="rId1631" Type="http://schemas.openxmlformats.org/officeDocument/2006/relationships/hyperlink" Target="https://webagentes.canaldirecto.com.ar/incidents/view/743302-1" TargetMode="External"/><Relationship Id="rId3389" Type="http://schemas.openxmlformats.org/officeDocument/2006/relationships/hyperlink" Target="https://webagentes.canaldirecto.com.ar/incidents/view/811019-0" TargetMode="External"/><Relationship Id="rId3596" Type="http://schemas.openxmlformats.org/officeDocument/2006/relationships/hyperlink" Target="https://webagentes.canaldirecto.com.ar/incidents/view/817565-6" TargetMode="External"/><Relationship Id="rId2198" Type="http://schemas.openxmlformats.org/officeDocument/2006/relationships/hyperlink" Target="https://webagentes.canaldirecto.com.ar/incidents/view/767457-6" TargetMode="External"/><Relationship Id="rId3249" Type="http://schemas.openxmlformats.org/officeDocument/2006/relationships/hyperlink" Target="https://webagentes.canaldirecto.com.ar/incidents/view/809013-3" TargetMode="External"/><Relationship Id="rId3456" Type="http://schemas.openxmlformats.org/officeDocument/2006/relationships/hyperlink" Target="https://webagentes.canaldirecto.com.ar/incidents/view/815719-1" TargetMode="External"/><Relationship Id="rId377" Type="http://schemas.openxmlformats.org/officeDocument/2006/relationships/hyperlink" Target="https://webagentes.canaldirecto.com.ar/incidents/view/677930-6" TargetMode="External"/><Relationship Id="rId584" Type="http://schemas.openxmlformats.org/officeDocument/2006/relationships/hyperlink" Target="https://webagentes.canaldirecto.com.ar/incidents/view/690310-7" TargetMode="External"/><Relationship Id="rId2058" Type="http://schemas.openxmlformats.org/officeDocument/2006/relationships/hyperlink" Target="https://webagentes.canaldirecto.com.ar/incidents/view/760796-3" TargetMode="External"/><Relationship Id="rId2265" Type="http://schemas.openxmlformats.org/officeDocument/2006/relationships/hyperlink" Target="https://webagentes.canaldirecto.com.ar/incidents/view/769500-1" TargetMode="External"/><Relationship Id="rId3109" Type="http://schemas.openxmlformats.org/officeDocument/2006/relationships/hyperlink" Target="https://webagentes.canaldirecto.com.ar/incidents/view/802537-9" TargetMode="External"/><Relationship Id="rId3663" Type="http://schemas.openxmlformats.org/officeDocument/2006/relationships/hyperlink" Target="https://webagentes.canaldirecto.com.ar/incidents/view/821972-9" TargetMode="External"/><Relationship Id="rId3870" Type="http://schemas.openxmlformats.org/officeDocument/2006/relationships/hyperlink" Target="https://webagentes.canaldirecto.com.ar/incidents/view/825931-0" TargetMode="External"/><Relationship Id="rId237" Type="http://schemas.openxmlformats.org/officeDocument/2006/relationships/hyperlink" Target="https://webagentes.canaldirecto.com.ar/incidents/view/676873-5" TargetMode="External"/><Relationship Id="rId791" Type="http://schemas.openxmlformats.org/officeDocument/2006/relationships/hyperlink" Target="https://webagentes.canaldirecto.com.ar/incidents/view/704493-3" TargetMode="External"/><Relationship Id="rId1074" Type="http://schemas.openxmlformats.org/officeDocument/2006/relationships/hyperlink" Target="https://webagentes.canaldirecto.com.ar/incidents/view/715450-4" TargetMode="External"/><Relationship Id="rId2472" Type="http://schemas.openxmlformats.org/officeDocument/2006/relationships/hyperlink" Target="https://webagentes.canaldirecto.com.ar/incidents/view/774919-9" TargetMode="External"/><Relationship Id="rId3316" Type="http://schemas.openxmlformats.org/officeDocument/2006/relationships/hyperlink" Target="https://webagentes.canaldirecto.com.ar/incidents/view/812862-1" TargetMode="External"/><Relationship Id="rId3523" Type="http://schemas.openxmlformats.org/officeDocument/2006/relationships/hyperlink" Target="https://webagentes.canaldirecto.com.ar/incidents/view/819528-9" TargetMode="External"/><Relationship Id="rId3730" Type="http://schemas.openxmlformats.org/officeDocument/2006/relationships/hyperlink" Target="https://webagentes.canaldirecto.com.ar/incidents/view/824944-7" TargetMode="External"/><Relationship Id="rId444" Type="http://schemas.openxmlformats.org/officeDocument/2006/relationships/hyperlink" Target="https://webagentes.canaldirecto.com.ar/incidents/view/686008-8" TargetMode="External"/><Relationship Id="rId651" Type="http://schemas.openxmlformats.org/officeDocument/2006/relationships/hyperlink" Target="https://webagentes.canaldirecto.com.ar/incidents/view/696662-9" TargetMode="External"/><Relationship Id="rId1281" Type="http://schemas.openxmlformats.org/officeDocument/2006/relationships/hyperlink" Target="https://webagentes.canaldirecto.com.ar/incidents/view/727141-2" TargetMode="External"/><Relationship Id="rId2125" Type="http://schemas.openxmlformats.org/officeDocument/2006/relationships/hyperlink" Target="https://webagentes.canaldirecto.com.ar/incidents/view/762257-3" TargetMode="External"/><Relationship Id="rId2332" Type="http://schemas.openxmlformats.org/officeDocument/2006/relationships/hyperlink" Target="https://webagentes.canaldirecto.com.ar/incidents/view/776923-6" TargetMode="External"/><Relationship Id="rId304" Type="http://schemas.openxmlformats.org/officeDocument/2006/relationships/hyperlink" Target="https://webagentes.canaldirecto.com.ar/incidents/view/674200-1" TargetMode="External"/><Relationship Id="rId511" Type="http://schemas.openxmlformats.org/officeDocument/2006/relationships/hyperlink" Target="https://webagentes.canaldirecto.com.ar/incidents/view/689255-5" TargetMode="External"/><Relationship Id="rId1141" Type="http://schemas.openxmlformats.org/officeDocument/2006/relationships/hyperlink" Target="https://webagentes.canaldirecto.com.ar/incidents/view/718757-5" TargetMode="External"/><Relationship Id="rId1001" Type="http://schemas.openxmlformats.org/officeDocument/2006/relationships/hyperlink" Target="https://webagentes.canaldirecto.com.ar/incidents/view/717058-4" TargetMode="External"/><Relationship Id="rId1958" Type="http://schemas.openxmlformats.org/officeDocument/2006/relationships/hyperlink" Target="https://webagentes.canaldirecto.com.ar/incidents/view/756088-4" TargetMode="External"/><Relationship Id="rId3173" Type="http://schemas.openxmlformats.org/officeDocument/2006/relationships/hyperlink" Target="https://webagentes.canaldirecto.com.ar/incidents/view/806320-9" TargetMode="External"/><Relationship Id="rId3380" Type="http://schemas.openxmlformats.org/officeDocument/2006/relationships/hyperlink" Target="https://webagentes.canaldirecto.com.ar/incidents/view/811394-8" TargetMode="External"/><Relationship Id="rId1818" Type="http://schemas.openxmlformats.org/officeDocument/2006/relationships/hyperlink" Target="https://webagentes.canaldirecto.com.ar/incidents/view/747986-5" TargetMode="External"/><Relationship Id="rId3033" Type="http://schemas.openxmlformats.org/officeDocument/2006/relationships/hyperlink" Target="https://webagentes.canaldirecto.com.ar/incidents/view/799761-7" TargetMode="External"/><Relationship Id="rId3240" Type="http://schemas.openxmlformats.org/officeDocument/2006/relationships/hyperlink" Target="https://webagentes.canaldirecto.com.ar/incidents/view/809383-9" TargetMode="External"/><Relationship Id="rId161" Type="http://schemas.openxmlformats.org/officeDocument/2006/relationships/hyperlink" Target="https://webagentes.canaldirecto.com.ar/incidents/view/673122-7" TargetMode="External"/><Relationship Id="rId2799" Type="http://schemas.openxmlformats.org/officeDocument/2006/relationships/hyperlink" Target="https://webagentes.canaldirecto.com.ar/incidents/view/794731-1" TargetMode="External"/><Relationship Id="rId3100" Type="http://schemas.openxmlformats.org/officeDocument/2006/relationships/hyperlink" Target="https://webagentes.canaldirecto.com.ar/incidents/view/803256-4" TargetMode="External"/><Relationship Id="rId978" Type="http://schemas.openxmlformats.org/officeDocument/2006/relationships/hyperlink" Target="https://webagentes.canaldirecto.com.ar/incidents/view/711613-3" TargetMode="External"/><Relationship Id="rId2659" Type="http://schemas.openxmlformats.org/officeDocument/2006/relationships/hyperlink" Target="https://webagentes.canaldirecto.com.ar/incidents/view/785520-5" TargetMode="External"/><Relationship Id="rId2866" Type="http://schemas.openxmlformats.org/officeDocument/2006/relationships/hyperlink" Target="https://webagentes.canaldirecto.com.ar/incidents/view/792617-8" TargetMode="External"/><Relationship Id="rId3917" Type="http://schemas.openxmlformats.org/officeDocument/2006/relationships/hyperlink" Target="https://webagentes.canaldirecto.com.ar/incidents/view/829910-5" TargetMode="External"/><Relationship Id="rId838" Type="http://schemas.openxmlformats.org/officeDocument/2006/relationships/hyperlink" Target="https://webagentes.canaldirecto.com.ar/incidents/view/709020-6" TargetMode="External"/><Relationship Id="rId1468" Type="http://schemas.openxmlformats.org/officeDocument/2006/relationships/hyperlink" Target="https://webagentes.canaldirecto.com.ar/incidents/view/732734-0" TargetMode="External"/><Relationship Id="rId1675" Type="http://schemas.openxmlformats.org/officeDocument/2006/relationships/hyperlink" Target="https://webagentes.canaldirecto.com.ar/incidents/view/746436-8" TargetMode="External"/><Relationship Id="rId1882" Type="http://schemas.openxmlformats.org/officeDocument/2006/relationships/hyperlink" Target="https://webagentes.canaldirecto.com.ar/incidents/view/749778-2" TargetMode="External"/><Relationship Id="rId2519" Type="http://schemas.openxmlformats.org/officeDocument/2006/relationships/hyperlink" Target="https://webagentes.canaldirecto.com.ar/incidents/view/782041-2" TargetMode="External"/><Relationship Id="rId2726" Type="http://schemas.openxmlformats.org/officeDocument/2006/relationships/hyperlink" Target="https://webagentes.canaldirecto.com.ar/incidents/view/791761-1" TargetMode="External"/><Relationship Id="rId1328" Type="http://schemas.openxmlformats.org/officeDocument/2006/relationships/hyperlink" Target="https://webagentes.canaldirecto.com.ar/incidents/view/729995-9" TargetMode="External"/><Relationship Id="rId1535" Type="http://schemas.openxmlformats.org/officeDocument/2006/relationships/hyperlink" Target="https://webagentes.canaldirecto.com.ar/incidents/view/740465-8" TargetMode="External"/><Relationship Id="rId2933" Type="http://schemas.openxmlformats.org/officeDocument/2006/relationships/hyperlink" Target="https://webagentes.canaldirecto.com.ar/incidents/view/796259-6" TargetMode="External"/><Relationship Id="rId905" Type="http://schemas.openxmlformats.org/officeDocument/2006/relationships/hyperlink" Target="https://webagentes.canaldirecto.com.ar/incidents/view/712497-4" TargetMode="External"/><Relationship Id="rId1742" Type="http://schemas.openxmlformats.org/officeDocument/2006/relationships/hyperlink" Target="https://webagentes.canaldirecto.com.ar/incidents/view/745119-7" TargetMode="External"/><Relationship Id="rId34" Type="http://schemas.openxmlformats.org/officeDocument/2006/relationships/hyperlink" Target="https://webagentes.canaldirecto.com.ar/incidents/view/662363-6" TargetMode="External"/><Relationship Id="rId1602" Type="http://schemas.openxmlformats.org/officeDocument/2006/relationships/hyperlink" Target="https://webagentes.canaldirecto.com.ar/incidents/view/743989-4" TargetMode="External"/><Relationship Id="rId3567" Type="http://schemas.openxmlformats.org/officeDocument/2006/relationships/hyperlink" Target="https://webagentes.canaldirecto.com.ar/incidents/view/818427-4" TargetMode="External"/><Relationship Id="rId3774" Type="http://schemas.openxmlformats.org/officeDocument/2006/relationships/hyperlink" Target="https://webagentes.canaldirecto.com.ar/incidents/view/824119-9" TargetMode="External"/><Relationship Id="rId488" Type="http://schemas.openxmlformats.org/officeDocument/2006/relationships/hyperlink" Target="https://webagentes.canaldirecto.com.ar/incidents/view/689541-9" TargetMode="External"/><Relationship Id="rId695" Type="http://schemas.openxmlformats.org/officeDocument/2006/relationships/hyperlink" Target="https://webagentes.canaldirecto.com.ar/incidents/view/697771-3" TargetMode="External"/><Relationship Id="rId2169" Type="http://schemas.openxmlformats.org/officeDocument/2006/relationships/hyperlink" Target="https://webagentes.canaldirecto.com.ar/incidents/view/765075-2" TargetMode="External"/><Relationship Id="rId2376" Type="http://schemas.openxmlformats.org/officeDocument/2006/relationships/hyperlink" Target="https://webagentes.canaldirecto.com.ar/incidents/view/780267-4" TargetMode="External"/><Relationship Id="rId2583" Type="http://schemas.openxmlformats.org/officeDocument/2006/relationships/hyperlink" Target="https://webagentes.canaldirecto.com.ar/incidents/view/783104-7" TargetMode="External"/><Relationship Id="rId2790" Type="http://schemas.openxmlformats.org/officeDocument/2006/relationships/hyperlink" Target="https://webagentes.canaldirecto.com.ar/incidents/view/789853-8" TargetMode="External"/><Relationship Id="rId3427" Type="http://schemas.openxmlformats.org/officeDocument/2006/relationships/hyperlink" Target="https://webagentes.canaldirecto.com.ar/incidents/view/808960-5" TargetMode="External"/><Relationship Id="rId3634" Type="http://schemas.openxmlformats.org/officeDocument/2006/relationships/hyperlink" Target="https://webagentes.canaldirecto.com.ar/incidents/view/811862-4" TargetMode="External"/><Relationship Id="rId3841" Type="http://schemas.openxmlformats.org/officeDocument/2006/relationships/hyperlink" Target="https://webagentes.canaldirecto.com.ar/incidents/view/826674-5" TargetMode="External"/><Relationship Id="rId348" Type="http://schemas.openxmlformats.org/officeDocument/2006/relationships/hyperlink" Target="https://webagentes.canaldirecto.com.ar/incidents/view/678962-2" TargetMode="External"/><Relationship Id="rId555" Type="http://schemas.openxmlformats.org/officeDocument/2006/relationships/hyperlink" Target="https://webagentes.canaldirecto.com.ar/incidents/view/692043-2" TargetMode="External"/><Relationship Id="rId762" Type="http://schemas.openxmlformats.org/officeDocument/2006/relationships/hyperlink" Target="https://webagentes.canaldirecto.com.ar/incidents/view/706087-0" TargetMode="External"/><Relationship Id="rId1185" Type="http://schemas.openxmlformats.org/officeDocument/2006/relationships/hyperlink" Target="https://webagentes.canaldirecto.com.ar/incidents/view/721876-9" TargetMode="External"/><Relationship Id="rId1392" Type="http://schemas.openxmlformats.org/officeDocument/2006/relationships/hyperlink" Target="https://webagentes.canaldirecto.com.ar/incidents/view/731662-7" TargetMode="External"/><Relationship Id="rId2029" Type="http://schemas.openxmlformats.org/officeDocument/2006/relationships/hyperlink" Target="https://webagentes.canaldirecto.com.ar/incidents/view/755386-6" TargetMode="External"/><Relationship Id="rId2236" Type="http://schemas.openxmlformats.org/officeDocument/2006/relationships/hyperlink" Target="https://webagentes.canaldirecto.com.ar/incidents/view/770743-0" TargetMode="External"/><Relationship Id="rId2443" Type="http://schemas.openxmlformats.org/officeDocument/2006/relationships/hyperlink" Target="https://webagentes.canaldirecto.com.ar/incidents/view/779054-6" TargetMode="External"/><Relationship Id="rId2650" Type="http://schemas.openxmlformats.org/officeDocument/2006/relationships/hyperlink" Target="https://webagentes.canaldirecto.com.ar/incidents/view/785918-6" TargetMode="External"/><Relationship Id="rId3701" Type="http://schemas.openxmlformats.org/officeDocument/2006/relationships/hyperlink" Target="https://webagentes.canaldirecto.com.ar/incidents/view/820359-7" TargetMode="External"/><Relationship Id="rId208" Type="http://schemas.openxmlformats.org/officeDocument/2006/relationships/hyperlink" Target="https://webagentes.canaldirecto.com.ar/incidents/view/670181-9" TargetMode="External"/><Relationship Id="rId415" Type="http://schemas.openxmlformats.org/officeDocument/2006/relationships/hyperlink" Target="https://webagentes.canaldirecto.com.ar/incidents/view/681821-6" TargetMode="External"/><Relationship Id="rId622" Type="http://schemas.openxmlformats.org/officeDocument/2006/relationships/hyperlink" Target="https://webagentes.canaldirecto.com.ar/incidents/view/693386-1" TargetMode="External"/><Relationship Id="rId1045" Type="http://schemas.openxmlformats.org/officeDocument/2006/relationships/hyperlink" Target="https://webagentes.canaldirecto.com.ar/incidents/view/716427-3" TargetMode="External"/><Relationship Id="rId1252" Type="http://schemas.openxmlformats.org/officeDocument/2006/relationships/hyperlink" Target="https://webagentes.canaldirecto.com.ar/incidents/view/728293-1" TargetMode="External"/><Relationship Id="rId2303" Type="http://schemas.openxmlformats.org/officeDocument/2006/relationships/hyperlink" Target="https://webagentes.canaldirecto.com.ar/incidents/view/772826-6" TargetMode="External"/><Relationship Id="rId2510" Type="http://schemas.openxmlformats.org/officeDocument/2006/relationships/hyperlink" Target="https://webagentes.canaldirecto.com.ar/incidents/view/782160-6" TargetMode="External"/><Relationship Id="rId1112" Type="http://schemas.openxmlformats.org/officeDocument/2006/relationships/hyperlink" Target="https://webagentes.canaldirecto.com.ar/incidents/view/720026-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117"/>
  <sheetViews>
    <sheetView tabSelected="1" topLeftCell="A94" zoomScale="90" zoomScaleNormal="90" workbookViewId="0">
      <selection activeCell="C122" sqref="C122"/>
    </sheetView>
  </sheetViews>
  <sheetFormatPr baseColWidth="10" defaultColWidth="11.42578125" defaultRowHeight="15" x14ac:dyDescent="0.25"/>
  <cols>
    <col min="2" max="2" width="9.42578125" bestFit="1" customWidth="1"/>
    <col min="3" max="3" width="24.85546875" customWidth="1"/>
    <col min="4" max="4" width="31.7109375" bestFit="1" customWidth="1"/>
    <col min="5" max="5" width="44.140625" bestFit="1" customWidth="1"/>
    <col min="6" max="6" width="20.140625" style="7" bestFit="1" customWidth="1"/>
    <col min="7" max="7" width="13.28515625" bestFit="1" customWidth="1"/>
    <col min="8" max="8" width="15.42578125" style="2" customWidth="1"/>
    <col min="9" max="9" width="15.42578125" bestFit="1" customWidth="1"/>
    <col min="10" max="10" width="9.28515625" style="2" bestFit="1" customWidth="1"/>
    <col min="11" max="11" width="13" style="2" bestFit="1" customWidth="1"/>
    <col min="12" max="12" width="15.5703125" style="2" customWidth="1"/>
    <col min="13" max="13" width="14.85546875" bestFit="1" customWidth="1"/>
    <col min="14" max="14" width="20.7109375" bestFit="1" customWidth="1"/>
  </cols>
  <sheetData>
    <row r="1" spans="2:13" ht="15.75" thickBot="1" x14ac:dyDescent="0.3">
      <c r="B1" s="8" t="s">
        <v>13</v>
      </c>
      <c r="C1" s="286" t="s">
        <v>25</v>
      </c>
      <c r="D1" s="287"/>
      <c r="E1" s="288"/>
    </row>
    <row r="2" spans="2:13" ht="15.75" thickBot="1" x14ac:dyDescent="0.3"/>
    <row r="3" spans="2:13" s="1" customFormat="1" ht="15.75" thickBot="1" x14ac:dyDescent="0.3">
      <c r="B3" s="20" t="s">
        <v>0</v>
      </c>
      <c r="C3" s="21" t="s">
        <v>1</v>
      </c>
      <c r="D3" s="21" t="s">
        <v>2</v>
      </c>
      <c r="E3" s="21" t="s">
        <v>3</v>
      </c>
      <c r="F3" s="40" t="s">
        <v>4</v>
      </c>
      <c r="G3" s="21" t="s">
        <v>12</v>
      </c>
      <c r="H3" s="24" t="s">
        <v>6</v>
      </c>
      <c r="I3" s="21" t="s">
        <v>7</v>
      </c>
      <c r="J3" s="24" t="s">
        <v>8</v>
      </c>
      <c r="K3" s="24" t="s">
        <v>9</v>
      </c>
      <c r="L3" s="24" t="s">
        <v>10</v>
      </c>
      <c r="M3" s="23" t="s">
        <v>5</v>
      </c>
    </row>
    <row r="4" spans="2:13" s="25" customFormat="1" x14ac:dyDescent="0.25">
      <c r="B4" s="48" t="s">
        <v>5814</v>
      </c>
      <c r="C4" s="34" t="s">
        <v>11</v>
      </c>
      <c r="D4" s="34" t="s">
        <v>936</v>
      </c>
      <c r="E4" s="275" t="s">
        <v>5815</v>
      </c>
      <c r="F4" s="34" t="s">
        <v>5816</v>
      </c>
      <c r="G4" s="34">
        <v>1</v>
      </c>
      <c r="H4" s="64">
        <v>61633</v>
      </c>
      <c r="I4" s="34"/>
      <c r="J4" s="64"/>
      <c r="K4" s="64"/>
      <c r="L4" s="64">
        <f>K4+H4</f>
        <v>61633</v>
      </c>
      <c r="M4" s="49">
        <v>20260406</v>
      </c>
    </row>
    <row r="5" spans="2:13" s="25" customFormat="1" x14ac:dyDescent="0.25">
      <c r="B5" s="50" t="s">
        <v>5804</v>
      </c>
      <c r="C5" s="30" t="s">
        <v>11</v>
      </c>
      <c r="D5" s="30" t="s">
        <v>29</v>
      </c>
      <c r="E5" s="266" t="s">
        <v>5339</v>
      </c>
      <c r="F5" s="30" t="s">
        <v>2101</v>
      </c>
      <c r="G5" s="30">
        <v>1</v>
      </c>
      <c r="H5" s="44">
        <v>61633</v>
      </c>
      <c r="I5" s="30"/>
      <c r="J5" s="44"/>
      <c r="K5" s="44"/>
      <c r="L5" s="44">
        <f t="shared" ref="L5:L26" si="0">K5+H5</f>
        <v>61633</v>
      </c>
      <c r="M5" s="51">
        <v>20260407</v>
      </c>
    </row>
    <row r="6" spans="2:13" s="26" customFormat="1" ht="15" customHeight="1" x14ac:dyDescent="0.25">
      <c r="B6" s="50" t="s">
        <v>5813</v>
      </c>
      <c r="C6" s="30" t="s">
        <v>11</v>
      </c>
      <c r="D6" s="30" t="s">
        <v>29</v>
      </c>
      <c r="E6" s="266" t="s">
        <v>5339</v>
      </c>
      <c r="F6" s="30" t="s">
        <v>4373</v>
      </c>
      <c r="G6" s="30">
        <v>1</v>
      </c>
      <c r="H6" s="44">
        <v>61633</v>
      </c>
      <c r="I6" s="30"/>
      <c r="J6" s="44"/>
      <c r="K6" s="44"/>
      <c r="L6" s="44">
        <f t="shared" si="0"/>
        <v>61633</v>
      </c>
      <c r="M6" s="51">
        <v>20260407</v>
      </c>
    </row>
    <row r="7" spans="2:13" s="25" customFormat="1" x14ac:dyDescent="0.25">
      <c r="B7" s="50" t="s">
        <v>5801</v>
      </c>
      <c r="C7" s="30" t="s">
        <v>11</v>
      </c>
      <c r="D7" s="30" t="s">
        <v>251</v>
      </c>
      <c r="E7" s="266" t="s">
        <v>933</v>
      </c>
      <c r="F7" s="30" t="s">
        <v>934</v>
      </c>
      <c r="G7" s="30">
        <v>1</v>
      </c>
      <c r="H7" s="44">
        <v>61633</v>
      </c>
      <c r="I7" s="30"/>
      <c r="J7" s="44"/>
      <c r="K7" s="44"/>
      <c r="L7" s="44">
        <f t="shared" si="0"/>
        <v>61633</v>
      </c>
      <c r="M7" s="51">
        <v>20260409</v>
      </c>
    </row>
    <row r="8" spans="2:13" s="25" customFormat="1" x14ac:dyDescent="0.25">
      <c r="B8" s="50" t="s">
        <v>5819</v>
      </c>
      <c r="C8" s="30" t="s">
        <v>11</v>
      </c>
      <c r="D8" s="30" t="s">
        <v>26</v>
      </c>
      <c r="E8" s="266" t="s">
        <v>5060</v>
      </c>
      <c r="F8" s="30" t="s">
        <v>5066</v>
      </c>
      <c r="G8" s="30">
        <v>1</v>
      </c>
      <c r="H8" s="44">
        <v>61633</v>
      </c>
      <c r="I8" s="30"/>
      <c r="J8" s="44"/>
      <c r="K8" s="44"/>
      <c r="L8" s="44">
        <f t="shared" si="0"/>
        <v>61633</v>
      </c>
      <c r="M8" s="51">
        <v>20260409</v>
      </c>
    </row>
    <row r="9" spans="2:13" s="26" customFormat="1" x14ac:dyDescent="0.25">
      <c r="B9" s="50" t="s">
        <v>5805</v>
      </c>
      <c r="C9" s="30" t="s">
        <v>11</v>
      </c>
      <c r="D9" s="30" t="s">
        <v>94</v>
      </c>
      <c r="E9" s="266" t="s">
        <v>95</v>
      </c>
      <c r="F9" s="30" t="s">
        <v>458</v>
      </c>
      <c r="G9" s="30">
        <v>1</v>
      </c>
      <c r="H9" s="44">
        <v>61633</v>
      </c>
      <c r="I9" s="30"/>
      <c r="J9" s="44"/>
      <c r="K9" s="44"/>
      <c r="L9" s="44">
        <f t="shared" si="0"/>
        <v>61633</v>
      </c>
      <c r="M9" s="51">
        <v>20260409</v>
      </c>
    </row>
    <row r="10" spans="2:13" s="25" customFormat="1" x14ac:dyDescent="0.25">
      <c r="B10" s="50" t="s">
        <v>5799</v>
      </c>
      <c r="C10" s="30" t="s">
        <v>11</v>
      </c>
      <c r="D10" s="30" t="s">
        <v>94</v>
      </c>
      <c r="E10" s="266" t="s">
        <v>95</v>
      </c>
      <c r="F10" s="30" t="s">
        <v>1085</v>
      </c>
      <c r="G10" s="30">
        <v>1</v>
      </c>
      <c r="H10" s="44">
        <v>61633</v>
      </c>
      <c r="I10" s="30"/>
      <c r="J10" s="44"/>
      <c r="K10" s="44"/>
      <c r="L10" s="44">
        <f t="shared" si="0"/>
        <v>61633</v>
      </c>
      <c r="M10" s="51">
        <v>20260410</v>
      </c>
    </row>
    <row r="11" spans="2:13" s="25" customFormat="1" x14ac:dyDescent="0.25">
      <c r="B11" s="50" t="s">
        <v>5786</v>
      </c>
      <c r="C11" s="30" t="s">
        <v>11</v>
      </c>
      <c r="D11" s="30" t="s">
        <v>474</v>
      </c>
      <c r="E11" s="266" t="s">
        <v>24</v>
      </c>
      <c r="F11" s="30" t="s">
        <v>554</v>
      </c>
      <c r="G11" s="30">
        <v>1</v>
      </c>
      <c r="H11" s="44">
        <v>61633</v>
      </c>
      <c r="I11" s="30"/>
      <c r="J11" s="44"/>
      <c r="K11" s="44"/>
      <c r="L11" s="44">
        <f t="shared" si="0"/>
        <v>61633</v>
      </c>
      <c r="M11" s="51">
        <v>20260413</v>
      </c>
    </row>
    <row r="12" spans="2:13" s="25" customFormat="1" x14ac:dyDescent="0.25">
      <c r="B12" s="52" t="s">
        <v>5800</v>
      </c>
      <c r="C12" s="32" t="s">
        <v>11</v>
      </c>
      <c r="D12" s="32" t="s">
        <v>28</v>
      </c>
      <c r="E12" s="32" t="s">
        <v>1703</v>
      </c>
      <c r="F12" s="32" t="s">
        <v>2436</v>
      </c>
      <c r="G12" s="32">
        <v>1</v>
      </c>
      <c r="H12" s="45">
        <v>61633</v>
      </c>
      <c r="I12" s="32">
        <v>242</v>
      </c>
      <c r="J12" s="45">
        <v>776.6</v>
      </c>
      <c r="K12" s="45">
        <f t="shared" ref="K12:K17" si="1">J12*I12</f>
        <v>187937.2</v>
      </c>
      <c r="L12" s="45">
        <f t="shared" si="0"/>
        <v>249570.2</v>
      </c>
      <c r="M12" s="53">
        <v>20260414</v>
      </c>
    </row>
    <row r="13" spans="2:13" s="25" customFormat="1" x14ac:dyDescent="0.25">
      <c r="B13" s="50" t="s">
        <v>5803</v>
      </c>
      <c r="C13" s="30" t="s">
        <v>11</v>
      </c>
      <c r="D13" s="30" t="s">
        <v>1021</v>
      </c>
      <c r="E13" s="266" t="s">
        <v>24</v>
      </c>
      <c r="F13" s="30" t="s">
        <v>1337</v>
      </c>
      <c r="G13" s="30">
        <v>1</v>
      </c>
      <c r="H13" s="44">
        <v>61633</v>
      </c>
      <c r="I13" s="30"/>
      <c r="J13" s="44"/>
      <c r="K13" s="44"/>
      <c r="L13" s="44">
        <f t="shared" si="0"/>
        <v>61633</v>
      </c>
      <c r="M13" s="51">
        <v>20260414</v>
      </c>
    </row>
    <row r="14" spans="2:13" s="25" customFormat="1" ht="15" customHeight="1" x14ac:dyDescent="0.25">
      <c r="B14" s="50" t="s">
        <v>5770</v>
      </c>
      <c r="C14" s="30" t="s">
        <v>11</v>
      </c>
      <c r="D14" s="30" t="s">
        <v>28</v>
      </c>
      <c r="E14" s="266" t="s">
        <v>371</v>
      </c>
      <c r="F14" s="30" t="s">
        <v>372</v>
      </c>
      <c r="G14" s="30">
        <v>1</v>
      </c>
      <c r="H14" s="44">
        <v>61633</v>
      </c>
      <c r="I14" s="30"/>
      <c r="J14" s="44"/>
      <c r="K14" s="44"/>
      <c r="L14" s="44">
        <f t="shared" si="0"/>
        <v>61633</v>
      </c>
      <c r="M14" s="51">
        <v>20260415</v>
      </c>
    </row>
    <row r="15" spans="2:13" s="25" customFormat="1" x14ac:dyDescent="0.25">
      <c r="B15" s="50" t="s">
        <v>5802</v>
      </c>
      <c r="C15" s="30" t="s">
        <v>11</v>
      </c>
      <c r="D15" s="30" t="s">
        <v>134</v>
      </c>
      <c r="E15" s="266" t="s">
        <v>135</v>
      </c>
      <c r="F15" s="30" t="s">
        <v>1178</v>
      </c>
      <c r="G15" s="30">
        <v>1</v>
      </c>
      <c r="H15" s="44">
        <v>61633</v>
      </c>
      <c r="I15" s="30"/>
      <c r="J15" s="44"/>
      <c r="K15" s="44"/>
      <c r="L15" s="44">
        <f t="shared" si="0"/>
        <v>61633</v>
      </c>
      <c r="M15" s="51">
        <v>20260416</v>
      </c>
    </row>
    <row r="16" spans="2:13" s="25" customFormat="1" x14ac:dyDescent="0.25">
      <c r="B16" s="52" t="s">
        <v>5763</v>
      </c>
      <c r="C16" s="32" t="s">
        <v>11</v>
      </c>
      <c r="D16" s="32" t="s">
        <v>337</v>
      </c>
      <c r="E16" s="32" t="s">
        <v>162</v>
      </c>
      <c r="F16" s="32" t="s">
        <v>3073</v>
      </c>
      <c r="G16" s="32">
        <v>1</v>
      </c>
      <c r="H16" s="45">
        <v>61633</v>
      </c>
      <c r="I16" s="32">
        <v>69</v>
      </c>
      <c r="J16" s="45">
        <v>776.6</v>
      </c>
      <c r="K16" s="45">
        <f t="shared" si="1"/>
        <v>53585.4</v>
      </c>
      <c r="L16" s="45">
        <f t="shared" si="0"/>
        <v>115218.4</v>
      </c>
      <c r="M16" s="53">
        <v>20260417</v>
      </c>
    </row>
    <row r="17" spans="2:13" s="25" customFormat="1" x14ac:dyDescent="0.25">
      <c r="B17" s="52" t="s">
        <v>5779</v>
      </c>
      <c r="C17" s="32" t="s">
        <v>11</v>
      </c>
      <c r="D17" s="32" t="s">
        <v>337</v>
      </c>
      <c r="E17" s="32" t="s">
        <v>35</v>
      </c>
      <c r="F17" s="32" t="s">
        <v>3011</v>
      </c>
      <c r="G17" s="32">
        <v>1</v>
      </c>
      <c r="H17" s="45">
        <v>61633</v>
      </c>
      <c r="I17" s="32">
        <v>77</v>
      </c>
      <c r="J17" s="45">
        <v>776.6</v>
      </c>
      <c r="K17" s="45">
        <f t="shared" si="1"/>
        <v>59798.200000000004</v>
      </c>
      <c r="L17" s="45">
        <f t="shared" si="0"/>
        <v>121431.20000000001</v>
      </c>
      <c r="M17" s="53">
        <v>20260420</v>
      </c>
    </row>
    <row r="18" spans="2:13" s="25" customFormat="1" x14ac:dyDescent="0.25">
      <c r="B18" s="50" t="s">
        <v>5817</v>
      </c>
      <c r="C18" s="30" t="s">
        <v>11</v>
      </c>
      <c r="D18" s="30" t="s">
        <v>34</v>
      </c>
      <c r="E18" s="266" t="s">
        <v>35</v>
      </c>
      <c r="F18" s="30" t="s">
        <v>1369</v>
      </c>
      <c r="G18" s="30">
        <v>1</v>
      </c>
      <c r="H18" s="44">
        <v>61633</v>
      </c>
      <c r="I18" s="30"/>
      <c r="J18" s="44"/>
      <c r="K18" s="44"/>
      <c r="L18" s="44">
        <f t="shared" si="0"/>
        <v>61633</v>
      </c>
      <c r="M18" s="51">
        <v>20260420</v>
      </c>
    </row>
    <row r="19" spans="2:13" s="25" customFormat="1" x14ac:dyDescent="0.25">
      <c r="B19" s="50" t="s">
        <v>5820</v>
      </c>
      <c r="C19" s="30" t="s">
        <v>11</v>
      </c>
      <c r="D19" s="30" t="s">
        <v>34</v>
      </c>
      <c r="E19" s="266" t="s">
        <v>35</v>
      </c>
      <c r="F19" s="30" t="s">
        <v>3747</v>
      </c>
      <c r="G19" s="30">
        <v>1</v>
      </c>
      <c r="H19" s="44">
        <v>61633</v>
      </c>
      <c r="I19" s="30"/>
      <c r="J19" s="44"/>
      <c r="K19" s="44"/>
      <c r="L19" s="44">
        <f t="shared" si="0"/>
        <v>61633</v>
      </c>
      <c r="M19" s="51">
        <v>20260420</v>
      </c>
    </row>
    <row r="20" spans="2:13" x14ac:dyDescent="0.25">
      <c r="B20" s="50" t="s">
        <v>5748</v>
      </c>
      <c r="C20" s="30" t="s">
        <v>11</v>
      </c>
      <c r="D20" s="30" t="s">
        <v>94</v>
      </c>
      <c r="E20" s="266" t="s">
        <v>95</v>
      </c>
      <c r="F20" s="30" t="s">
        <v>458</v>
      </c>
      <c r="G20" s="30">
        <v>1</v>
      </c>
      <c r="H20" s="44">
        <v>61633</v>
      </c>
      <c r="I20" s="30"/>
      <c r="J20" s="44"/>
      <c r="K20" s="44"/>
      <c r="L20" s="44">
        <f t="shared" si="0"/>
        <v>61633</v>
      </c>
      <c r="M20" s="51">
        <v>20260420</v>
      </c>
    </row>
    <row r="21" spans="2:13" x14ac:dyDescent="0.25">
      <c r="B21" s="50" t="s">
        <v>5742</v>
      </c>
      <c r="C21" s="30" t="s">
        <v>11</v>
      </c>
      <c r="D21" s="30" t="s">
        <v>251</v>
      </c>
      <c r="E21" s="266" t="s">
        <v>764</v>
      </c>
      <c r="F21" s="30" t="s">
        <v>1210</v>
      </c>
      <c r="G21" s="30">
        <v>1</v>
      </c>
      <c r="H21" s="44">
        <v>61633</v>
      </c>
      <c r="I21" s="30"/>
      <c r="J21" s="44"/>
      <c r="K21" s="44"/>
      <c r="L21" s="44">
        <f t="shared" si="0"/>
        <v>61633</v>
      </c>
      <c r="M21" s="51">
        <v>20260422</v>
      </c>
    </row>
    <row r="22" spans="2:13" x14ac:dyDescent="0.25">
      <c r="B22" s="50" t="s">
        <v>5743</v>
      </c>
      <c r="C22" s="30" t="s">
        <v>11</v>
      </c>
      <c r="D22" s="30" t="s">
        <v>26</v>
      </c>
      <c r="E22" s="266" t="s">
        <v>2874</v>
      </c>
      <c r="F22" s="30" t="s">
        <v>5077</v>
      </c>
      <c r="G22" s="30">
        <v>1</v>
      </c>
      <c r="H22" s="44">
        <v>61633</v>
      </c>
      <c r="I22" s="30"/>
      <c r="J22" s="44"/>
      <c r="K22" s="44"/>
      <c r="L22" s="44">
        <f t="shared" si="0"/>
        <v>61633</v>
      </c>
      <c r="M22" s="51">
        <v>20260422</v>
      </c>
    </row>
    <row r="23" spans="2:13" x14ac:dyDescent="0.25">
      <c r="B23" s="50" t="s">
        <v>5747</v>
      </c>
      <c r="C23" s="30" t="s">
        <v>11</v>
      </c>
      <c r="D23" s="30" t="s">
        <v>172</v>
      </c>
      <c r="E23" s="266" t="s">
        <v>703</v>
      </c>
      <c r="F23" s="30" t="s">
        <v>704</v>
      </c>
      <c r="G23" s="30">
        <v>1</v>
      </c>
      <c r="H23" s="44">
        <v>61633</v>
      </c>
      <c r="I23" s="30"/>
      <c r="J23" s="44"/>
      <c r="K23" s="44"/>
      <c r="L23" s="44">
        <f t="shared" si="0"/>
        <v>61633</v>
      </c>
      <c r="M23" s="51">
        <v>20260422</v>
      </c>
    </row>
    <row r="24" spans="2:13" x14ac:dyDescent="0.25">
      <c r="B24" s="50" t="s">
        <v>5740</v>
      </c>
      <c r="C24" s="30" t="s">
        <v>11</v>
      </c>
      <c r="D24" s="30" t="s">
        <v>636</v>
      </c>
      <c r="E24" s="266" t="s">
        <v>5420</v>
      </c>
      <c r="F24" s="30" t="s">
        <v>5508</v>
      </c>
      <c r="G24" s="30">
        <v>1</v>
      </c>
      <c r="H24" s="44">
        <v>61633</v>
      </c>
      <c r="I24" s="30"/>
      <c r="J24" s="44"/>
      <c r="K24" s="44"/>
      <c r="L24" s="44">
        <f t="shared" si="0"/>
        <v>61633</v>
      </c>
      <c r="M24" s="51">
        <v>20260424</v>
      </c>
    </row>
    <row r="25" spans="2:13" x14ac:dyDescent="0.25">
      <c r="B25" s="50" t="s">
        <v>5755</v>
      </c>
      <c r="C25" s="30" t="s">
        <v>11</v>
      </c>
      <c r="D25" s="30" t="s">
        <v>134</v>
      </c>
      <c r="E25" s="266" t="s">
        <v>135</v>
      </c>
      <c r="F25" s="30" t="s">
        <v>136</v>
      </c>
      <c r="G25" s="30">
        <v>1</v>
      </c>
      <c r="H25" s="44">
        <v>61633</v>
      </c>
      <c r="I25" s="30"/>
      <c r="J25" s="44"/>
      <c r="K25" s="44"/>
      <c r="L25" s="44">
        <f t="shared" si="0"/>
        <v>61633</v>
      </c>
      <c r="M25" s="51">
        <v>20260427</v>
      </c>
    </row>
    <row r="26" spans="2:13" ht="15.75" thickBot="1" x14ac:dyDescent="0.3">
      <c r="B26" s="54" t="s">
        <v>5736</v>
      </c>
      <c r="C26" s="36" t="s">
        <v>11</v>
      </c>
      <c r="D26" s="36" t="s">
        <v>364</v>
      </c>
      <c r="E26" s="267" t="s">
        <v>24</v>
      </c>
      <c r="F26" s="36" t="s">
        <v>4165</v>
      </c>
      <c r="G26" s="36">
        <v>1</v>
      </c>
      <c r="H26" s="65">
        <v>61633</v>
      </c>
      <c r="I26" s="36"/>
      <c r="J26" s="65"/>
      <c r="K26" s="65"/>
      <c r="L26" s="65">
        <f t="shared" si="0"/>
        <v>61633</v>
      </c>
      <c r="M26" s="55">
        <v>20260430</v>
      </c>
    </row>
    <row r="27" spans="2:13" ht="15.75" thickBot="1" x14ac:dyDescent="0.3">
      <c r="G27" s="111">
        <f>SUM(G4:G26)</f>
        <v>23</v>
      </c>
      <c r="H27" s="120">
        <f>G27*E103</f>
        <v>1417559</v>
      </c>
      <c r="I27" s="111">
        <f>SUM(I4:I26)</f>
        <v>388</v>
      </c>
      <c r="J27" s="119">
        <f>E104</f>
        <v>776.6</v>
      </c>
      <c r="K27" s="4">
        <f>J27*I27</f>
        <v>301320.8</v>
      </c>
      <c r="L27" s="39">
        <f t="shared" ref="L27" si="2">K27+H27</f>
        <v>1718879.8</v>
      </c>
      <c r="M27" s="39">
        <f>K27+H27</f>
        <v>1718879.8</v>
      </c>
    </row>
    <row r="28" spans="2:13" ht="15.75" thickBot="1" x14ac:dyDescent="0.3">
      <c r="F28" s="112" t="str">
        <f>C107</f>
        <v>Inc Doble</v>
      </c>
      <c r="G28" s="111">
        <v>0</v>
      </c>
      <c r="H28" s="6">
        <f>G28*E107</f>
        <v>0</v>
      </c>
      <c r="I28" s="111"/>
      <c r="J28" s="6"/>
      <c r="K28" s="19"/>
      <c r="L28" s="244"/>
      <c r="M28" s="6">
        <f>M27+H28</f>
        <v>1718879.8</v>
      </c>
    </row>
    <row r="29" spans="2:13" ht="15.75" thickBot="1" x14ac:dyDescent="0.3">
      <c r="F29" s="112" t="str">
        <f>C105</f>
        <v>Costo viejo</v>
      </c>
      <c r="G29" s="111">
        <v>0</v>
      </c>
      <c r="H29" s="6">
        <f>G29*E105</f>
        <v>0</v>
      </c>
      <c r="I29" s="111">
        <v>0</v>
      </c>
      <c r="J29" s="6">
        <f>E106</f>
        <v>684.2</v>
      </c>
      <c r="K29" s="6">
        <f>J29*I29</f>
        <v>0</v>
      </c>
      <c r="L29" s="6">
        <f>K29+H29</f>
        <v>0</v>
      </c>
      <c r="M29" s="19"/>
    </row>
    <row r="30" spans="2:13" ht="15.75" thickBot="1" x14ac:dyDescent="0.3"/>
    <row r="31" spans="2:13" ht="15.75" thickBot="1" x14ac:dyDescent="0.3">
      <c r="B31" s="20" t="s">
        <v>0</v>
      </c>
      <c r="C31" s="21" t="s">
        <v>1</v>
      </c>
      <c r="D31" s="21" t="s">
        <v>2</v>
      </c>
      <c r="E31" s="21" t="s">
        <v>3</v>
      </c>
      <c r="F31" s="22" t="s">
        <v>4</v>
      </c>
      <c r="G31" s="21" t="s">
        <v>12</v>
      </c>
      <c r="H31" s="24" t="s">
        <v>6</v>
      </c>
      <c r="I31" s="21" t="s">
        <v>7</v>
      </c>
      <c r="J31" s="24" t="s">
        <v>8</v>
      </c>
      <c r="K31" s="24" t="s">
        <v>9</v>
      </c>
      <c r="L31" s="24" t="s">
        <v>10</v>
      </c>
      <c r="M31" s="23" t="s">
        <v>5</v>
      </c>
    </row>
    <row r="32" spans="2:13" x14ac:dyDescent="0.25">
      <c r="B32" s="48" t="s">
        <v>5809</v>
      </c>
      <c r="C32" s="34" t="s">
        <v>137</v>
      </c>
      <c r="D32" s="34" t="s">
        <v>172</v>
      </c>
      <c r="E32" s="275" t="s">
        <v>703</v>
      </c>
      <c r="F32" s="34" t="s">
        <v>704</v>
      </c>
      <c r="G32" s="34">
        <v>1</v>
      </c>
      <c r="H32" s="64">
        <v>30805</v>
      </c>
      <c r="I32" s="34"/>
      <c r="J32" s="64"/>
      <c r="K32" s="64"/>
      <c r="L32" s="64">
        <f t="shared" ref="L32:L95" si="3">K32+H32</f>
        <v>30805</v>
      </c>
      <c r="M32" s="49">
        <v>20260406</v>
      </c>
    </row>
    <row r="33" spans="2:13" x14ac:dyDescent="0.25">
      <c r="B33" s="50" t="s">
        <v>5810</v>
      </c>
      <c r="C33" s="30" t="s">
        <v>137</v>
      </c>
      <c r="D33" s="30" t="s">
        <v>172</v>
      </c>
      <c r="E33" s="266" t="s">
        <v>703</v>
      </c>
      <c r="F33" s="30" t="s">
        <v>706</v>
      </c>
      <c r="G33" s="30">
        <v>1</v>
      </c>
      <c r="H33" s="44">
        <v>30805</v>
      </c>
      <c r="I33" s="30"/>
      <c r="J33" s="44"/>
      <c r="K33" s="44"/>
      <c r="L33" s="44">
        <f t="shared" si="3"/>
        <v>30805</v>
      </c>
      <c r="M33" s="51">
        <v>20260406</v>
      </c>
    </row>
    <row r="34" spans="2:13" x14ac:dyDescent="0.25">
      <c r="B34" s="50" t="s">
        <v>5811</v>
      </c>
      <c r="C34" s="30" t="s">
        <v>137</v>
      </c>
      <c r="D34" s="30" t="s">
        <v>172</v>
      </c>
      <c r="E34" s="266" t="s">
        <v>703</v>
      </c>
      <c r="F34" s="30" t="s">
        <v>708</v>
      </c>
      <c r="G34" s="30">
        <v>1</v>
      </c>
      <c r="H34" s="44">
        <v>30805</v>
      </c>
      <c r="I34" s="30"/>
      <c r="J34" s="44"/>
      <c r="K34" s="44"/>
      <c r="L34" s="44">
        <f t="shared" si="3"/>
        <v>30805</v>
      </c>
      <c r="M34" s="51">
        <v>20260406</v>
      </c>
    </row>
    <row r="35" spans="2:13" x14ac:dyDescent="0.25">
      <c r="B35" s="50" t="s">
        <v>5812</v>
      </c>
      <c r="C35" s="30" t="s">
        <v>137</v>
      </c>
      <c r="D35" s="30" t="s">
        <v>172</v>
      </c>
      <c r="E35" s="266" t="s">
        <v>703</v>
      </c>
      <c r="F35" s="30" t="s">
        <v>710</v>
      </c>
      <c r="G35" s="30">
        <v>1</v>
      </c>
      <c r="H35" s="44">
        <v>30805</v>
      </c>
      <c r="I35" s="30"/>
      <c r="J35" s="44"/>
      <c r="K35" s="44"/>
      <c r="L35" s="44">
        <f t="shared" si="3"/>
        <v>30805</v>
      </c>
      <c r="M35" s="51">
        <v>20260406</v>
      </c>
    </row>
    <row r="36" spans="2:13" x14ac:dyDescent="0.25">
      <c r="B36" s="50" t="s">
        <v>5818</v>
      </c>
      <c r="C36" s="30" t="s">
        <v>137</v>
      </c>
      <c r="D36" s="30" t="s">
        <v>29</v>
      </c>
      <c r="E36" s="266" t="s">
        <v>5339</v>
      </c>
      <c r="F36" s="30" t="s">
        <v>208</v>
      </c>
      <c r="G36" s="30">
        <v>1</v>
      </c>
      <c r="H36" s="44">
        <v>30805</v>
      </c>
      <c r="I36" s="30"/>
      <c r="J36" s="44"/>
      <c r="K36" s="44"/>
      <c r="L36" s="44">
        <f t="shared" si="3"/>
        <v>30805</v>
      </c>
      <c r="M36" s="51">
        <v>20260406</v>
      </c>
    </row>
    <row r="37" spans="2:13" x14ac:dyDescent="0.25">
      <c r="B37" s="50" t="s">
        <v>5806</v>
      </c>
      <c r="C37" s="30" t="s">
        <v>137</v>
      </c>
      <c r="D37" s="30" t="s">
        <v>29</v>
      </c>
      <c r="E37" s="266" t="s">
        <v>2548</v>
      </c>
      <c r="F37" s="30" t="s">
        <v>390</v>
      </c>
      <c r="G37" s="30">
        <v>1</v>
      </c>
      <c r="H37" s="44">
        <v>30805</v>
      </c>
      <c r="I37" s="30"/>
      <c r="J37" s="44"/>
      <c r="K37" s="44"/>
      <c r="L37" s="44">
        <f t="shared" si="3"/>
        <v>30805</v>
      </c>
      <c r="M37" s="51">
        <v>20260406</v>
      </c>
    </row>
    <row r="38" spans="2:13" x14ac:dyDescent="0.25">
      <c r="B38" s="50" t="s">
        <v>5807</v>
      </c>
      <c r="C38" s="30" t="s">
        <v>137</v>
      </c>
      <c r="D38" s="30" t="s">
        <v>29</v>
      </c>
      <c r="E38" s="266" t="s">
        <v>2548</v>
      </c>
      <c r="F38" s="30" t="s">
        <v>733</v>
      </c>
      <c r="G38" s="30">
        <v>1</v>
      </c>
      <c r="H38" s="44">
        <v>30805</v>
      </c>
      <c r="I38" s="30"/>
      <c r="J38" s="44"/>
      <c r="K38" s="44"/>
      <c r="L38" s="44">
        <f t="shared" si="3"/>
        <v>30805</v>
      </c>
      <c r="M38" s="51">
        <v>20260406</v>
      </c>
    </row>
    <row r="39" spans="2:13" x14ac:dyDescent="0.25">
      <c r="B39" s="50" t="s">
        <v>5808</v>
      </c>
      <c r="C39" s="30" t="s">
        <v>137</v>
      </c>
      <c r="D39" s="30" t="s">
        <v>29</v>
      </c>
      <c r="E39" s="266" t="s">
        <v>2548</v>
      </c>
      <c r="F39" s="30" t="s">
        <v>1497</v>
      </c>
      <c r="G39" s="30">
        <v>1</v>
      </c>
      <c r="H39" s="44">
        <v>30805</v>
      </c>
      <c r="I39" s="30"/>
      <c r="J39" s="44"/>
      <c r="K39" s="44"/>
      <c r="L39" s="44">
        <f t="shared" si="3"/>
        <v>30805</v>
      </c>
      <c r="M39" s="51">
        <v>20260406</v>
      </c>
    </row>
    <row r="40" spans="2:13" x14ac:dyDescent="0.25">
      <c r="B40" s="50" t="s">
        <v>5787</v>
      </c>
      <c r="C40" s="30" t="s">
        <v>137</v>
      </c>
      <c r="D40" s="30" t="s">
        <v>1006</v>
      </c>
      <c r="E40" s="266" t="s">
        <v>4911</v>
      </c>
      <c r="F40" s="30" t="s">
        <v>4914</v>
      </c>
      <c r="G40" s="30">
        <v>1</v>
      </c>
      <c r="H40" s="44">
        <v>30805</v>
      </c>
      <c r="I40" s="30"/>
      <c r="J40" s="44"/>
      <c r="K40" s="44"/>
      <c r="L40" s="44">
        <f t="shared" si="3"/>
        <v>30805</v>
      </c>
      <c r="M40" s="51">
        <v>20260410</v>
      </c>
    </row>
    <row r="41" spans="2:13" x14ac:dyDescent="0.25">
      <c r="B41" s="50" t="s">
        <v>5789</v>
      </c>
      <c r="C41" s="30" t="s">
        <v>137</v>
      </c>
      <c r="D41" s="30" t="s">
        <v>1006</v>
      </c>
      <c r="E41" s="266" t="s">
        <v>4911</v>
      </c>
      <c r="F41" s="30" t="s">
        <v>4918</v>
      </c>
      <c r="G41" s="30">
        <v>1</v>
      </c>
      <c r="H41" s="44">
        <v>30805</v>
      </c>
      <c r="I41" s="30"/>
      <c r="J41" s="44"/>
      <c r="K41" s="44"/>
      <c r="L41" s="44">
        <f t="shared" si="3"/>
        <v>30805</v>
      </c>
      <c r="M41" s="51">
        <v>20260410</v>
      </c>
    </row>
    <row r="42" spans="2:13" x14ac:dyDescent="0.25">
      <c r="B42" s="50" t="s">
        <v>5790</v>
      </c>
      <c r="C42" s="30" t="s">
        <v>137</v>
      </c>
      <c r="D42" s="30" t="s">
        <v>1006</v>
      </c>
      <c r="E42" s="266" t="s">
        <v>4911</v>
      </c>
      <c r="F42" s="30" t="s">
        <v>4920</v>
      </c>
      <c r="G42" s="30">
        <v>1</v>
      </c>
      <c r="H42" s="44">
        <v>30805</v>
      </c>
      <c r="I42" s="30"/>
      <c r="J42" s="44"/>
      <c r="K42" s="44"/>
      <c r="L42" s="44">
        <f t="shared" si="3"/>
        <v>30805</v>
      </c>
      <c r="M42" s="51">
        <v>20260410</v>
      </c>
    </row>
    <row r="43" spans="2:13" x14ac:dyDescent="0.25">
      <c r="B43" s="50" t="s">
        <v>5791</v>
      </c>
      <c r="C43" s="30" t="s">
        <v>137</v>
      </c>
      <c r="D43" s="30" t="s">
        <v>1006</v>
      </c>
      <c r="E43" s="266" t="s">
        <v>4911</v>
      </c>
      <c r="F43" s="30" t="s">
        <v>4922</v>
      </c>
      <c r="G43" s="30">
        <v>1</v>
      </c>
      <c r="H43" s="44">
        <v>30805</v>
      </c>
      <c r="I43" s="30"/>
      <c r="J43" s="44"/>
      <c r="K43" s="44"/>
      <c r="L43" s="44">
        <f t="shared" si="3"/>
        <v>30805</v>
      </c>
      <c r="M43" s="51">
        <v>20260410</v>
      </c>
    </row>
    <row r="44" spans="2:13" x14ac:dyDescent="0.25">
      <c r="B44" s="50" t="s">
        <v>5792</v>
      </c>
      <c r="C44" s="30" t="s">
        <v>137</v>
      </c>
      <c r="D44" s="30" t="s">
        <v>1006</v>
      </c>
      <c r="E44" s="266" t="s">
        <v>4911</v>
      </c>
      <c r="F44" s="30" t="s">
        <v>4924</v>
      </c>
      <c r="G44" s="30">
        <v>1</v>
      </c>
      <c r="H44" s="44">
        <v>30805</v>
      </c>
      <c r="I44" s="30"/>
      <c r="J44" s="44"/>
      <c r="K44" s="44"/>
      <c r="L44" s="44">
        <f t="shared" si="3"/>
        <v>30805</v>
      </c>
      <c r="M44" s="51">
        <v>20260410</v>
      </c>
    </row>
    <row r="45" spans="2:13" x14ac:dyDescent="0.25">
      <c r="B45" s="50" t="s">
        <v>5794</v>
      </c>
      <c r="C45" s="30" t="s">
        <v>137</v>
      </c>
      <c r="D45" s="30" t="s">
        <v>1006</v>
      </c>
      <c r="E45" s="266" t="s">
        <v>4911</v>
      </c>
      <c r="F45" s="30" t="s">
        <v>4928</v>
      </c>
      <c r="G45" s="30">
        <v>1</v>
      </c>
      <c r="H45" s="44">
        <v>30805</v>
      </c>
      <c r="I45" s="30"/>
      <c r="J45" s="44"/>
      <c r="K45" s="44"/>
      <c r="L45" s="44">
        <f t="shared" si="3"/>
        <v>30805</v>
      </c>
      <c r="M45" s="51">
        <v>20260410</v>
      </c>
    </row>
    <row r="46" spans="2:13" x14ac:dyDescent="0.25">
      <c r="B46" s="50" t="s">
        <v>5796</v>
      </c>
      <c r="C46" s="30" t="s">
        <v>137</v>
      </c>
      <c r="D46" s="30" t="s">
        <v>1006</v>
      </c>
      <c r="E46" s="266" t="s">
        <v>4911</v>
      </c>
      <c r="F46" s="30" t="s">
        <v>4932</v>
      </c>
      <c r="G46" s="30">
        <v>1</v>
      </c>
      <c r="H46" s="44">
        <v>30805</v>
      </c>
      <c r="I46" s="30"/>
      <c r="J46" s="44"/>
      <c r="K46" s="44"/>
      <c r="L46" s="44">
        <f t="shared" si="3"/>
        <v>30805</v>
      </c>
      <c r="M46" s="51">
        <v>20260410</v>
      </c>
    </row>
    <row r="47" spans="2:13" x14ac:dyDescent="0.25">
      <c r="B47" s="50" t="s">
        <v>5797</v>
      </c>
      <c r="C47" s="30" t="s">
        <v>137</v>
      </c>
      <c r="D47" s="30" t="s">
        <v>1006</v>
      </c>
      <c r="E47" s="266" t="s">
        <v>4911</v>
      </c>
      <c r="F47" s="30" t="s">
        <v>4934</v>
      </c>
      <c r="G47" s="30">
        <v>1</v>
      </c>
      <c r="H47" s="44">
        <v>30805</v>
      </c>
      <c r="I47" s="30"/>
      <c r="J47" s="44"/>
      <c r="K47" s="44"/>
      <c r="L47" s="44">
        <f t="shared" si="3"/>
        <v>30805</v>
      </c>
      <c r="M47" s="51">
        <v>20260410</v>
      </c>
    </row>
    <row r="48" spans="2:13" x14ac:dyDescent="0.25">
      <c r="B48" s="50" t="s">
        <v>5798</v>
      </c>
      <c r="C48" s="30" t="s">
        <v>137</v>
      </c>
      <c r="D48" s="30" t="s">
        <v>1006</v>
      </c>
      <c r="E48" s="266" t="s">
        <v>4911</v>
      </c>
      <c r="F48" s="30" t="s">
        <v>4936</v>
      </c>
      <c r="G48" s="30">
        <v>1</v>
      </c>
      <c r="H48" s="44">
        <v>30805</v>
      </c>
      <c r="I48" s="30"/>
      <c r="J48" s="44"/>
      <c r="K48" s="44"/>
      <c r="L48" s="44">
        <f t="shared" si="3"/>
        <v>30805</v>
      </c>
      <c r="M48" s="51">
        <v>20260410</v>
      </c>
    </row>
    <row r="49" spans="2:13" x14ac:dyDescent="0.25">
      <c r="B49" s="50" t="s">
        <v>5780</v>
      </c>
      <c r="C49" s="30" t="s">
        <v>137</v>
      </c>
      <c r="D49" s="30" t="s">
        <v>505</v>
      </c>
      <c r="E49" s="266" t="s">
        <v>24</v>
      </c>
      <c r="F49" s="30" t="s">
        <v>402</v>
      </c>
      <c r="G49" s="30">
        <v>1</v>
      </c>
      <c r="H49" s="44">
        <v>30805</v>
      </c>
      <c r="I49" s="30"/>
      <c r="J49" s="44"/>
      <c r="K49" s="44"/>
      <c r="L49" s="44">
        <f t="shared" si="3"/>
        <v>30805</v>
      </c>
      <c r="M49" s="51">
        <v>20260413</v>
      </c>
    </row>
    <row r="50" spans="2:13" x14ac:dyDescent="0.25">
      <c r="B50" s="50" t="s">
        <v>5781</v>
      </c>
      <c r="C50" s="30" t="s">
        <v>137</v>
      </c>
      <c r="D50" s="30" t="s">
        <v>505</v>
      </c>
      <c r="E50" s="266" t="s">
        <v>24</v>
      </c>
      <c r="F50" s="30" t="s">
        <v>1355</v>
      </c>
      <c r="G50" s="30">
        <v>1</v>
      </c>
      <c r="H50" s="44">
        <v>30805</v>
      </c>
      <c r="I50" s="30"/>
      <c r="J50" s="44"/>
      <c r="K50" s="44"/>
      <c r="L50" s="44">
        <f t="shared" si="3"/>
        <v>30805</v>
      </c>
      <c r="M50" s="51">
        <v>20260413</v>
      </c>
    </row>
    <row r="51" spans="2:13" x14ac:dyDescent="0.25">
      <c r="B51" s="50" t="s">
        <v>5782</v>
      </c>
      <c r="C51" s="30" t="s">
        <v>137</v>
      </c>
      <c r="D51" s="30" t="s">
        <v>505</v>
      </c>
      <c r="E51" s="266" t="s">
        <v>24</v>
      </c>
      <c r="F51" s="30" t="s">
        <v>925</v>
      </c>
      <c r="G51" s="30">
        <v>1</v>
      </c>
      <c r="H51" s="44">
        <v>30805</v>
      </c>
      <c r="I51" s="30"/>
      <c r="J51" s="44"/>
      <c r="K51" s="44"/>
      <c r="L51" s="44">
        <f t="shared" si="3"/>
        <v>30805</v>
      </c>
      <c r="M51" s="51">
        <v>20260413</v>
      </c>
    </row>
    <row r="52" spans="2:13" x14ac:dyDescent="0.25">
      <c r="B52" s="50" t="s">
        <v>5783</v>
      </c>
      <c r="C52" s="30" t="s">
        <v>137</v>
      </c>
      <c r="D52" s="30" t="s">
        <v>505</v>
      </c>
      <c r="E52" s="266" t="s">
        <v>24</v>
      </c>
      <c r="F52" s="30" t="s">
        <v>927</v>
      </c>
      <c r="G52" s="30">
        <v>1</v>
      </c>
      <c r="H52" s="44">
        <v>30805</v>
      </c>
      <c r="I52" s="30"/>
      <c r="J52" s="44"/>
      <c r="K52" s="44"/>
      <c r="L52" s="44">
        <f t="shared" si="3"/>
        <v>30805</v>
      </c>
      <c r="M52" s="51">
        <v>20260413</v>
      </c>
    </row>
    <row r="53" spans="2:13" x14ac:dyDescent="0.25">
      <c r="B53" s="50" t="s">
        <v>5784</v>
      </c>
      <c r="C53" s="30" t="s">
        <v>137</v>
      </c>
      <c r="D53" s="30" t="s">
        <v>505</v>
      </c>
      <c r="E53" s="266" t="s">
        <v>24</v>
      </c>
      <c r="F53" s="30" t="s">
        <v>929</v>
      </c>
      <c r="G53" s="30">
        <v>1</v>
      </c>
      <c r="H53" s="44">
        <v>30805</v>
      </c>
      <c r="I53" s="30"/>
      <c r="J53" s="44"/>
      <c r="K53" s="44"/>
      <c r="L53" s="44">
        <f t="shared" si="3"/>
        <v>30805</v>
      </c>
      <c r="M53" s="51">
        <v>20260413</v>
      </c>
    </row>
    <row r="54" spans="2:13" x14ac:dyDescent="0.25">
      <c r="B54" s="50" t="s">
        <v>5785</v>
      </c>
      <c r="C54" s="30" t="s">
        <v>137</v>
      </c>
      <c r="D54" s="30" t="s">
        <v>505</v>
      </c>
      <c r="E54" s="266" t="s">
        <v>24</v>
      </c>
      <c r="F54" s="30" t="s">
        <v>931</v>
      </c>
      <c r="G54" s="30">
        <v>1</v>
      </c>
      <c r="H54" s="44">
        <v>30805</v>
      </c>
      <c r="I54" s="30"/>
      <c r="J54" s="44"/>
      <c r="K54" s="44"/>
      <c r="L54" s="44">
        <f t="shared" si="3"/>
        <v>30805</v>
      </c>
      <c r="M54" s="51">
        <v>20260413</v>
      </c>
    </row>
    <row r="55" spans="2:13" x14ac:dyDescent="0.25">
      <c r="B55" s="50" t="s">
        <v>5821</v>
      </c>
      <c r="C55" s="30" t="s">
        <v>137</v>
      </c>
      <c r="D55" s="30" t="s">
        <v>29</v>
      </c>
      <c r="E55" s="266" t="s">
        <v>5371</v>
      </c>
      <c r="F55" s="30" t="s">
        <v>3660</v>
      </c>
      <c r="G55" s="30">
        <v>1</v>
      </c>
      <c r="H55" s="44">
        <v>30805</v>
      </c>
      <c r="I55" s="30"/>
      <c r="J55" s="44"/>
      <c r="K55" s="44"/>
      <c r="L55" s="44">
        <f t="shared" si="3"/>
        <v>30805</v>
      </c>
      <c r="M55" s="51">
        <v>20260413</v>
      </c>
    </row>
    <row r="56" spans="2:13" x14ac:dyDescent="0.25">
      <c r="B56" s="50" t="s">
        <v>5771</v>
      </c>
      <c r="C56" s="30" t="s">
        <v>137</v>
      </c>
      <c r="D56" s="30" t="s">
        <v>337</v>
      </c>
      <c r="E56" s="266" t="s">
        <v>162</v>
      </c>
      <c r="F56" s="30" t="s">
        <v>5772</v>
      </c>
      <c r="G56" s="30">
        <v>1</v>
      </c>
      <c r="H56" s="44">
        <v>30805</v>
      </c>
      <c r="I56" s="30"/>
      <c r="J56" s="44"/>
      <c r="K56" s="44"/>
      <c r="L56" s="44">
        <f t="shared" si="3"/>
        <v>30805</v>
      </c>
      <c r="M56" s="51">
        <v>20260414</v>
      </c>
    </row>
    <row r="57" spans="2:13" x14ac:dyDescent="0.25">
      <c r="B57" s="50" t="s">
        <v>5823</v>
      </c>
      <c r="C57" s="30" t="s">
        <v>137</v>
      </c>
      <c r="D57" s="30" t="s">
        <v>337</v>
      </c>
      <c r="E57" s="266" t="s">
        <v>1630</v>
      </c>
      <c r="F57" s="30" t="s">
        <v>4238</v>
      </c>
      <c r="G57" s="30">
        <v>1</v>
      </c>
      <c r="H57" s="44">
        <v>30805</v>
      </c>
      <c r="I57" s="30"/>
      <c r="J57" s="44"/>
      <c r="K57" s="44"/>
      <c r="L57" s="44">
        <f t="shared" si="3"/>
        <v>30805</v>
      </c>
      <c r="M57" s="51">
        <v>20260414</v>
      </c>
    </row>
    <row r="58" spans="2:13" x14ac:dyDescent="0.25">
      <c r="B58" s="50" t="s">
        <v>5778</v>
      </c>
      <c r="C58" s="30" t="s">
        <v>137</v>
      </c>
      <c r="D58" s="30" t="s">
        <v>1006</v>
      </c>
      <c r="E58" s="266" t="s">
        <v>1007</v>
      </c>
      <c r="F58" s="30" t="s">
        <v>5085</v>
      </c>
      <c r="G58" s="30">
        <v>1</v>
      </c>
      <c r="H58" s="44">
        <v>30805</v>
      </c>
      <c r="I58" s="30"/>
      <c r="J58" s="44"/>
      <c r="K58" s="44"/>
      <c r="L58" s="44">
        <f t="shared" si="3"/>
        <v>30805</v>
      </c>
      <c r="M58" s="51">
        <v>20260414</v>
      </c>
    </row>
    <row r="59" spans="2:13" x14ac:dyDescent="0.25">
      <c r="B59" s="50" t="s">
        <v>5776</v>
      </c>
      <c r="C59" s="30" t="s">
        <v>137</v>
      </c>
      <c r="D59" s="30" t="s">
        <v>3137</v>
      </c>
      <c r="E59" s="266" t="s">
        <v>24</v>
      </c>
      <c r="F59" s="30" t="s">
        <v>5217</v>
      </c>
      <c r="G59" s="30">
        <v>1</v>
      </c>
      <c r="H59" s="44">
        <v>30805</v>
      </c>
      <c r="I59" s="30"/>
      <c r="J59" s="44"/>
      <c r="K59" s="44"/>
      <c r="L59" s="44">
        <f t="shared" si="3"/>
        <v>30805</v>
      </c>
      <c r="M59" s="51">
        <v>20260414</v>
      </c>
    </row>
    <row r="60" spans="2:13" x14ac:dyDescent="0.25">
      <c r="B60" s="50" t="s">
        <v>5777</v>
      </c>
      <c r="C60" s="30" t="s">
        <v>137</v>
      </c>
      <c r="D60" s="30" t="s">
        <v>3137</v>
      </c>
      <c r="E60" s="266" t="s">
        <v>24</v>
      </c>
      <c r="F60" s="30" t="s">
        <v>3344</v>
      </c>
      <c r="G60" s="30">
        <v>1</v>
      </c>
      <c r="H60" s="44">
        <v>30805</v>
      </c>
      <c r="I60" s="30"/>
      <c r="J60" s="44"/>
      <c r="K60" s="44"/>
      <c r="L60" s="44">
        <f t="shared" si="3"/>
        <v>30805</v>
      </c>
      <c r="M60" s="51">
        <v>20260414</v>
      </c>
    </row>
    <row r="61" spans="2:13" x14ac:dyDescent="0.25">
      <c r="B61" s="50" t="s">
        <v>5773</v>
      </c>
      <c r="C61" s="30" t="s">
        <v>137</v>
      </c>
      <c r="D61" s="30" t="s">
        <v>51</v>
      </c>
      <c r="E61" s="266" t="s">
        <v>24</v>
      </c>
      <c r="F61" s="30" t="s">
        <v>52</v>
      </c>
      <c r="G61" s="30">
        <v>1</v>
      </c>
      <c r="H61" s="44">
        <v>30805</v>
      </c>
      <c r="I61" s="30"/>
      <c r="J61" s="44"/>
      <c r="K61" s="44"/>
      <c r="L61" s="44">
        <f t="shared" si="3"/>
        <v>30805</v>
      </c>
      <c r="M61" s="51">
        <v>20260414</v>
      </c>
    </row>
    <row r="62" spans="2:13" x14ac:dyDescent="0.25">
      <c r="B62" s="50" t="s">
        <v>5774</v>
      </c>
      <c r="C62" s="30" t="s">
        <v>137</v>
      </c>
      <c r="D62" s="30" t="s">
        <v>899</v>
      </c>
      <c r="E62" s="266" t="s">
        <v>24</v>
      </c>
      <c r="F62" s="30" t="s">
        <v>900</v>
      </c>
      <c r="G62" s="30">
        <v>1</v>
      </c>
      <c r="H62" s="44">
        <v>30805</v>
      </c>
      <c r="I62" s="30"/>
      <c r="J62" s="44"/>
      <c r="K62" s="44"/>
      <c r="L62" s="44">
        <f t="shared" si="3"/>
        <v>30805</v>
      </c>
      <c r="M62" s="51">
        <v>20260414</v>
      </c>
    </row>
    <row r="63" spans="2:13" x14ac:dyDescent="0.25">
      <c r="B63" s="50" t="s">
        <v>5775</v>
      </c>
      <c r="C63" s="30" t="s">
        <v>137</v>
      </c>
      <c r="D63" s="30" t="s">
        <v>899</v>
      </c>
      <c r="E63" s="266" t="s">
        <v>24</v>
      </c>
      <c r="F63" s="30" t="s">
        <v>902</v>
      </c>
      <c r="G63" s="30">
        <v>1</v>
      </c>
      <c r="H63" s="44">
        <v>30805</v>
      </c>
      <c r="I63" s="30"/>
      <c r="J63" s="44"/>
      <c r="K63" s="44"/>
      <c r="L63" s="44">
        <f t="shared" si="3"/>
        <v>30805</v>
      </c>
      <c r="M63" s="51">
        <v>20260414</v>
      </c>
    </row>
    <row r="64" spans="2:13" x14ac:dyDescent="0.25">
      <c r="B64" s="50" t="s">
        <v>5769</v>
      </c>
      <c r="C64" s="30" t="s">
        <v>137</v>
      </c>
      <c r="D64" s="30" t="s">
        <v>3085</v>
      </c>
      <c r="E64" s="266" t="s">
        <v>4889</v>
      </c>
      <c r="F64" s="30" t="s">
        <v>4897</v>
      </c>
      <c r="G64" s="30">
        <v>1</v>
      </c>
      <c r="H64" s="44">
        <v>30805</v>
      </c>
      <c r="I64" s="30"/>
      <c r="J64" s="44"/>
      <c r="K64" s="44"/>
      <c r="L64" s="44">
        <f t="shared" si="3"/>
        <v>30805</v>
      </c>
      <c r="M64" s="51">
        <v>20260415</v>
      </c>
    </row>
    <row r="65" spans="2:13" x14ac:dyDescent="0.25">
      <c r="B65" s="50" t="s">
        <v>5767</v>
      </c>
      <c r="C65" s="30" t="s">
        <v>137</v>
      </c>
      <c r="D65" s="30" t="s">
        <v>1513</v>
      </c>
      <c r="E65" s="266" t="s">
        <v>4889</v>
      </c>
      <c r="F65" s="30" t="s">
        <v>4890</v>
      </c>
      <c r="G65" s="30">
        <v>1</v>
      </c>
      <c r="H65" s="44">
        <v>30805</v>
      </c>
      <c r="I65" s="30"/>
      <c r="J65" s="44"/>
      <c r="K65" s="44"/>
      <c r="L65" s="44">
        <f t="shared" si="3"/>
        <v>30805</v>
      </c>
      <c r="M65" s="51">
        <v>20260415</v>
      </c>
    </row>
    <row r="66" spans="2:13" x14ac:dyDescent="0.25">
      <c r="B66" s="50" t="s">
        <v>5764</v>
      </c>
      <c r="C66" s="30" t="s">
        <v>137</v>
      </c>
      <c r="D66" s="30" t="s">
        <v>29</v>
      </c>
      <c r="E66" s="266" t="s">
        <v>4900</v>
      </c>
      <c r="F66" s="30" t="s">
        <v>4979</v>
      </c>
      <c r="G66" s="30">
        <v>1</v>
      </c>
      <c r="H66" s="44">
        <v>30805</v>
      </c>
      <c r="I66" s="30"/>
      <c r="J66" s="44"/>
      <c r="K66" s="44"/>
      <c r="L66" s="44">
        <f t="shared" si="3"/>
        <v>30805</v>
      </c>
      <c r="M66" s="51">
        <v>20260415</v>
      </c>
    </row>
    <row r="67" spans="2:13" x14ac:dyDescent="0.25">
      <c r="B67" s="50" t="s">
        <v>5765</v>
      </c>
      <c r="C67" s="30" t="s">
        <v>137</v>
      </c>
      <c r="D67" s="30" t="s">
        <v>29</v>
      </c>
      <c r="E67" s="266" t="s">
        <v>4900</v>
      </c>
      <c r="F67" s="30" t="s">
        <v>4948</v>
      </c>
      <c r="G67" s="30">
        <v>1</v>
      </c>
      <c r="H67" s="44">
        <v>30805</v>
      </c>
      <c r="I67" s="30"/>
      <c r="J67" s="44"/>
      <c r="K67" s="44"/>
      <c r="L67" s="44">
        <f t="shared" si="3"/>
        <v>30805</v>
      </c>
      <c r="M67" s="51">
        <v>20260415</v>
      </c>
    </row>
    <row r="68" spans="2:13" x14ac:dyDescent="0.25">
      <c r="B68" s="50" t="s">
        <v>5766</v>
      </c>
      <c r="C68" s="30" t="s">
        <v>137</v>
      </c>
      <c r="D68" s="30" t="s">
        <v>29</v>
      </c>
      <c r="E68" s="266" t="s">
        <v>4900</v>
      </c>
      <c r="F68" s="30" t="s">
        <v>4950</v>
      </c>
      <c r="G68" s="30">
        <v>1</v>
      </c>
      <c r="H68" s="44">
        <v>30805</v>
      </c>
      <c r="I68" s="30"/>
      <c r="J68" s="44"/>
      <c r="K68" s="44"/>
      <c r="L68" s="44">
        <f t="shared" si="3"/>
        <v>30805</v>
      </c>
      <c r="M68" s="51">
        <v>20260415</v>
      </c>
    </row>
    <row r="69" spans="2:13" x14ac:dyDescent="0.25">
      <c r="B69" s="50" t="s">
        <v>5754</v>
      </c>
      <c r="C69" s="30" t="s">
        <v>137</v>
      </c>
      <c r="D69" s="30" t="s">
        <v>337</v>
      </c>
      <c r="E69" s="266" t="s">
        <v>162</v>
      </c>
      <c r="F69" s="30" t="s">
        <v>230</v>
      </c>
      <c r="G69" s="30">
        <v>1</v>
      </c>
      <c r="H69" s="44">
        <v>30805</v>
      </c>
      <c r="I69" s="30"/>
      <c r="J69" s="44"/>
      <c r="K69" s="44"/>
      <c r="L69" s="44">
        <f t="shared" si="3"/>
        <v>30805</v>
      </c>
      <c r="M69" s="51">
        <v>20260417</v>
      </c>
    </row>
    <row r="70" spans="2:13" x14ac:dyDescent="0.25">
      <c r="B70" s="50" t="s">
        <v>5756</v>
      </c>
      <c r="C70" s="30" t="s">
        <v>137</v>
      </c>
      <c r="D70" s="30" t="s">
        <v>337</v>
      </c>
      <c r="E70" s="266" t="s">
        <v>162</v>
      </c>
      <c r="F70" s="30" t="s">
        <v>178</v>
      </c>
      <c r="G70" s="30">
        <v>1</v>
      </c>
      <c r="H70" s="44">
        <v>30805</v>
      </c>
      <c r="I70" s="30"/>
      <c r="J70" s="44"/>
      <c r="K70" s="44"/>
      <c r="L70" s="44">
        <f t="shared" si="3"/>
        <v>30805</v>
      </c>
      <c r="M70" s="51">
        <v>20260417</v>
      </c>
    </row>
    <row r="71" spans="2:13" x14ac:dyDescent="0.25">
      <c r="B71" s="50" t="s">
        <v>5757</v>
      </c>
      <c r="C71" s="30" t="s">
        <v>137</v>
      </c>
      <c r="D71" s="30" t="s">
        <v>337</v>
      </c>
      <c r="E71" s="266" t="s">
        <v>162</v>
      </c>
      <c r="F71" s="30" t="s">
        <v>237</v>
      </c>
      <c r="G71" s="30">
        <v>1</v>
      </c>
      <c r="H71" s="44">
        <v>30805</v>
      </c>
      <c r="I71" s="30"/>
      <c r="J71" s="44"/>
      <c r="K71" s="44"/>
      <c r="L71" s="44">
        <f t="shared" si="3"/>
        <v>30805</v>
      </c>
      <c r="M71" s="51">
        <v>20260417</v>
      </c>
    </row>
    <row r="72" spans="2:13" x14ac:dyDescent="0.25">
      <c r="B72" s="50" t="s">
        <v>5758</v>
      </c>
      <c r="C72" s="30" t="s">
        <v>137</v>
      </c>
      <c r="D72" s="30" t="s">
        <v>337</v>
      </c>
      <c r="E72" s="266" t="s">
        <v>162</v>
      </c>
      <c r="F72" s="30" t="s">
        <v>219</v>
      </c>
      <c r="G72" s="30">
        <v>1</v>
      </c>
      <c r="H72" s="44">
        <v>30805</v>
      </c>
      <c r="I72" s="30"/>
      <c r="J72" s="44"/>
      <c r="K72" s="44"/>
      <c r="L72" s="44">
        <f t="shared" si="3"/>
        <v>30805</v>
      </c>
      <c r="M72" s="51">
        <v>20260417</v>
      </c>
    </row>
    <row r="73" spans="2:13" x14ac:dyDescent="0.25">
      <c r="B73" s="50" t="s">
        <v>5759</v>
      </c>
      <c r="C73" s="30" t="s">
        <v>137</v>
      </c>
      <c r="D73" s="30" t="s">
        <v>337</v>
      </c>
      <c r="E73" s="266" t="s">
        <v>162</v>
      </c>
      <c r="F73" s="30" t="s">
        <v>2312</v>
      </c>
      <c r="G73" s="30">
        <v>1</v>
      </c>
      <c r="H73" s="44">
        <v>30805</v>
      </c>
      <c r="I73" s="30"/>
      <c r="J73" s="44"/>
      <c r="K73" s="44"/>
      <c r="L73" s="44">
        <f t="shared" si="3"/>
        <v>30805</v>
      </c>
      <c r="M73" s="51">
        <v>20260417</v>
      </c>
    </row>
    <row r="74" spans="2:13" x14ac:dyDescent="0.25">
      <c r="B74" s="50" t="s">
        <v>5760</v>
      </c>
      <c r="C74" s="30" t="s">
        <v>137</v>
      </c>
      <c r="D74" s="30" t="s">
        <v>337</v>
      </c>
      <c r="E74" s="266" t="s">
        <v>162</v>
      </c>
      <c r="F74" s="30" t="s">
        <v>2314</v>
      </c>
      <c r="G74" s="30">
        <v>1</v>
      </c>
      <c r="H74" s="44">
        <v>30805</v>
      </c>
      <c r="I74" s="30"/>
      <c r="J74" s="44"/>
      <c r="K74" s="44"/>
      <c r="L74" s="44">
        <f t="shared" si="3"/>
        <v>30805</v>
      </c>
      <c r="M74" s="51">
        <v>20260417</v>
      </c>
    </row>
    <row r="75" spans="2:13" x14ac:dyDescent="0.25">
      <c r="B75" s="50" t="s">
        <v>5761</v>
      </c>
      <c r="C75" s="30" t="s">
        <v>137</v>
      </c>
      <c r="D75" s="30" t="s">
        <v>337</v>
      </c>
      <c r="E75" s="266" t="s">
        <v>162</v>
      </c>
      <c r="F75" s="30" t="s">
        <v>239</v>
      </c>
      <c r="G75" s="30">
        <v>1</v>
      </c>
      <c r="H75" s="44">
        <v>30805</v>
      </c>
      <c r="I75" s="30"/>
      <c r="J75" s="44"/>
      <c r="K75" s="44"/>
      <c r="L75" s="44">
        <f t="shared" si="3"/>
        <v>30805</v>
      </c>
      <c r="M75" s="51">
        <v>20260417</v>
      </c>
    </row>
    <row r="76" spans="2:13" x14ac:dyDescent="0.25">
      <c r="B76" s="50" t="s">
        <v>5762</v>
      </c>
      <c r="C76" s="30" t="s">
        <v>137</v>
      </c>
      <c r="D76" s="30" t="s">
        <v>337</v>
      </c>
      <c r="E76" s="266" t="s">
        <v>162</v>
      </c>
      <c r="F76" s="30" t="s">
        <v>3563</v>
      </c>
      <c r="G76" s="30">
        <v>1</v>
      </c>
      <c r="H76" s="44">
        <v>30805</v>
      </c>
      <c r="I76" s="30"/>
      <c r="J76" s="44"/>
      <c r="K76" s="44"/>
      <c r="L76" s="44">
        <f t="shared" si="3"/>
        <v>30805</v>
      </c>
      <c r="M76" s="51">
        <v>20260417</v>
      </c>
    </row>
    <row r="77" spans="2:13" x14ac:dyDescent="0.25">
      <c r="B77" s="50" t="s">
        <v>5768</v>
      </c>
      <c r="C77" s="30" t="s">
        <v>137</v>
      </c>
      <c r="D77" s="30" t="s">
        <v>1513</v>
      </c>
      <c r="E77" s="266" t="s">
        <v>4889</v>
      </c>
      <c r="F77" s="30" t="s">
        <v>4892</v>
      </c>
      <c r="G77" s="30">
        <v>1</v>
      </c>
      <c r="H77" s="44">
        <v>30805</v>
      </c>
      <c r="I77" s="30"/>
      <c r="J77" s="44"/>
      <c r="K77" s="44"/>
      <c r="L77" s="44">
        <f t="shared" si="3"/>
        <v>30805</v>
      </c>
      <c r="M77" s="51">
        <v>20260420</v>
      </c>
    </row>
    <row r="78" spans="2:13" x14ac:dyDescent="0.25">
      <c r="B78" s="50" t="s">
        <v>5749</v>
      </c>
      <c r="C78" s="30" t="s">
        <v>137</v>
      </c>
      <c r="D78" s="30" t="s">
        <v>34</v>
      </c>
      <c r="E78" s="266" t="s">
        <v>35</v>
      </c>
      <c r="F78" s="30" t="s">
        <v>1367</v>
      </c>
      <c r="G78" s="30">
        <v>1</v>
      </c>
      <c r="H78" s="44">
        <v>30805</v>
      </c>
      <c r="I78" s="30"/>
      <c r="J78" s="44"/>
      <c r="K78" s="44"/>
      <c r="L78" s="44">
        <f t="shared" si="3"/>
        <v>30805</v>
      </c>
      <c r="M78" s="51">
        <v>20260420</v>
      </c>
    </row>
    <row r="79" spans="2:13" x14ac:dyDescent="0.25">
      <c r="B79" s="50" t="s">
        <v>5750</v>
      </c>
      <c r="C79" s="30" t="s">
        <v>137</v>
      </c>
      <c r="D79" s="30" t="s">
        <v>34</v>
      </c>
      <c r="E79" s="266" t="s">
        <v>35</v>
      </c>
      <c r="F79" s="30" t="s">
        <v>968</v>
      </c>
      <c r="G79" s="30">
        <v>1</v>
      </c>
      <c r="H79" s="44">
        <v>30805</v>
      </c>
      <c r="I79" s="30"/>
      <c r="J79" s="44"/>
      <c r="K79" s="44"/>
      <c r="L79" s="44">
        <f t="shared" si="3"/>
        <v>30805</v>
      </c>
      <c r="M79" s="51">
        <v>20260420</v>
      </c>
    </row>
    <row r="80" spans="2:13" x14ac:dyDescent="0.25">
      <c r="B80" s="50" t="s">
        <v>5751</v>
      </c>
      <c r="C80" s="30" t="s">
        <v>137</v>
      </c>
      <c r="D80" s="30" t="s">
        <v>34</v>
      </c>
      <c r="E80" s="266" t="s">
        <v>35</v>
      </c>
      <c r="F80" s="30" t="s">
        <v>1373</v>
      </c>
      <c r="G80" s="30">
        <v>1</v>
      </c>
      <c r="H80" s="44">
        <v>30805</v>
      </c>
      <c r="I80" s="30"/>
      <c r="J80" s="44"/>
      <c r="K80" s="44"/>
      <c r="L80" s="44">
        <f t="shared" si="3"/>
        <v>30805</v>
      </c>
      <c r="M80" s="51">
        <v>20260420</v>
      </c>
    </row>
    <row r="81" spans="2:13" x14ac:dyDescent="0.25">
      <c r="B81" s="50" t="s">
        <v>5752</v>
      </c>
      <c r="C81" s="30" t="s">
        <v>137</v>
      </c>
      <c r="D81" s="30" t="s">
        <v>34</v>
      </c>
      <c r="E81" s="266" t="s">
        <v>35</v>
      </c>
      <c r="F81" s="30" t="s">
        <v>2925</v>
      </c>
      <c r="G81" s="30">
        <v>1</v>
      </c>
      <c r="H81" s="44">
        <v>30805</v>
      </c>
      <c r="I81" s="30"/>
      <c r="J81" s="44"/>
      <c r="K81" s="44"/>
      <c r="L81" s="44">
        <f t="shared" si="3"/>
        <v>30805</v>
      </c>
      <c r="M81" s="51">
        <v>20260420</v>
      </c>
    </row>
    <row r="82" spans="2:13" x14ac:dyDescent="0.25">
      <c r="B82" s="50" t="s">
        <v>5753</v>
      </c>
      <c r="C82" s="30" t="s">
        <v>137</v>
      </c>
      <c r="D82" s="30" t="s">
        <v>34</v>
      </c>
      <c r="E82" s="266" t="s">
        <v>35</v>
      </c>
      <c r="F82" s="30" t="s">
        <v>2681</v>
      </c>
      <c r="G82" s="30">
        <v>1</v>
      </c>
      <c r="H82" s="44">
        <v>30805</v>
      </c>
      <c r="I82" s="30"/>
      <c r="J82" s="44"/>
      <c r="K82" s="44"/>
      <c r="L82" s="44">
        <f t="shared" si="3"/>
        <v>30805</v>
      </c>
      <c r="M82" s="51">
        <v>20260420</v>
      </c>
    </row>
    <row r="83" spans="2:13" x14ac:dyDescent="0.25">
      <c r="B83" s="50" t="s">
        <v>5822</v>
      </c>
      <c r="C83" s="30" t="s">
        <v>137</v>
      </c>
      <c r="D83" s="30" t="s">
        <v>1513</v>
      </c>
      <c r="E83" s="266" t="s">
        <v>1514</v>
      </c>
      <c r="F83" s="30" t="s">
        <v>1515</v>
      </c>
      <c r="G83" s="30">
        <v>1</v>
      </c>
      <c r="H83" s="44">
        <v>30805</v>
      </c>
      <c r="I83" s="30"/>
      <c r="J83" s="44"/>
      <c r="K83" s="44"/>
      <c r="L83" s="44">
        <f t="shared" si="3"/>
        <v>30805</v>
      </c>
      <c r="M83" s="51">
        <v>20260421</v>
      </c>
    </row>
    <row r="84" spans="2:13" x14ac:dyDescent="0.25">
      <c r="B84" s="50" t="s">
        <v>5788</v>
      </c>
      <c r="C84" s="30" t="s">
        <v>137</v>
      </c>
      <c r="D84" s="30" t="s">
        <v>1006</v>
      </c>
      <c r="E84" s="266" t="s">
        <v>4911</v>
      </c>
      <c r="F84" s="30" t="s">
        <v>4916</v>
      </c>
      <c r="G84" s="30">
        <v>1</v>
      </c>
      <c r="H84" s="44">
        <v>30805</v>
      </c>
      <c r="I84" s="30"/>
      <c r="J84" s="44"/>
      <c r="K84" s="44"/>
      <c r="L84" s="44">
        <f t="shared" si="3"/>
        <v>30805</v>
      </c>
      <c r="M84" s="51">
        <v>20260423</v>
      </c>
    </row>
    <row r="85" spans="2:13" x14ac:dyDescent="0.25">
      <c r="B85" s="50" t="s">
        <v>5793</v>
      </c>
      <c r="C85" s="30" t="s">
        <v>137</v>
      </c>
      <c r="D85" s="30" t="s">
        <v>1006</v>
      </c>
      <c r="E85" s="266" t="s">
        <v>4911</v>
      </c>
      <c r="F85" s="30" t="s">
        <v>4926</v>
      </c>
      <c r="G85" s="30">
        <v>1</v>
      </c>
      <c r="H85" s="44">
        <v>30805</v>
      </c>
      <c r="I85" s="30"/>
      <c r="J85" s="44"/>
      <c r="K85" s="44"/>
      <c r="L85" s="44">
        <f t="shared" si="3"/>
        <v>30805</v>
      </c>
      <c r="M85" s="51">
        <v>20260423</v>
      </c>
    </row>
    <row r="86" spans="2:13" x14ac:dyDescent="0.25">
      <c r="B86" s="50" t="s">
        <v>5795</v>
      </c>
      <c r="C86" s="30" t="s">
        <v>137</v>
      </c>
      <c r="D86" s="30" t="s">
        <v>1006</v>
      </c>
      <c r="E86" s="266" t="s">
        <v>4911</v>
      </c>
      <c r="F86" s="30" t="s">
        <v>4930</v>
      </c>
      <c r="G86" s="30">
        <v>1</v>
      </c>
      <c r="H86" s="44">
        <v>30805</v>
      </c>
      <c r="I86" s="30"/>
      <c r="J86" s="44"/>
      <c r="K86" s="44"/>
      <c r="L86" s="44">
        <f t="shared" si="3"/>
        <v>30805</v>
      </c>
      <c r="M86" s="51">
        <v>20260423</v>
      </c>
    </row>
    <row r="87" spans="2:13" x14ac:dyDescent="0.25">
      <c r="B87" s="50" t="s">
        <v>5744</v>
      </c>
      <c r="C87" s="30" t="s">
        <v>137</v>
      </c>
      <c r="D87" s="30" t="s">
        <v>1513</v>
      </c>
      <c r="E87" s="266" t="s">
        <v>5745</v>
      </c>
      <c r="F87" s="30" t="s">
        <v>5746</v>
      </c>
      <c r="G87" s="30">
        <v>1</v>
      </c>
      <c r="H87" s="44">
        <v>30805</v>
      </c>
      <c r="I87" s="30"/>
      <c r="J87" s="44"/>
      <c r="K87" s="44"/>
      <c r="L87" s="44">
        <f t="shared" si="3"/>
        <v>30805</v>
      </c>
      <c r="M87" s="51">
        <v>20260423</v>
      </c>
    </row>
    <row r="88" spans="2:13" x14ac:dyDescent="0.25">
      <c r="B88" s="50" t="s">
        <v>5741</v>
      </c>
      <c r="C88" s="30" t="s">
        <v>137</v>
      </c>
      <c r="D88" s="30" t="s">
        <v>28</v>
      </c>
      <c r="E88" s="266" t="s">
        <v>1714</v>
      </c>
      <c r="F88" s="30" t="s">
        <v>2434</v>
      </c>
      <c r="G88" s="30">
        <v>1</v>
      </c>
      <c r="H88" s="44">
        <v>30805</v>
      </c>
      <c r="I88" s="30"/>
      <c r="J88" s="44"/>
      <c r="K88" s="44"/>
      <c r="L88" s="44">
        <f t="shared" si="3"/>
        <v>30805</v>
      </c>
      <c r="M88" s="51">
        <v>20260428</v>
      </c>
    </row>
    <row r="89" spans="2:13" x14ac:dyDescent="0.25">
      <c r="B89" s="50" t="s">
        <v>5737</v>
      </c>
      <c r="C89" s="30" t="s">
        <v>137</v>
      </c>
      <c r="D89" s="30" t="s">
        <v>29</v>
      </c>
      <c r="E89" s="266" t="s">
        <v>1656</v>
      </c>
      <c r="F89" s="30" t="s">
        <v>4311</v>
      </c>
      <c r="G89" s="30">
        <v>1</v>
      </c>
      <c r="H89" s="44">
        <v>30805</v>
      </c>
      <c r="I89" s="30"/>
      <c r="J89" s="44"/>
      <c r="K89" s="44"/>
      <c r="L89" s="44">
        <f t="shared" si="3"/>
        <v>30805</v>
      </c>
      <c r="M89" s="51">
        <v>20260430</v>
      </c>
    </row>
    <row r="90" spans="2:13" x14ac:dyDescent="0.25">
      <c r="B90" s="50" t="s">
        <v>5738</v>
      </c>
      <c r="C90" s="30" t="s">
        <v>137</v>
      </c>
      <c r="D90" s="30" t="s">
        <v>29</v>
      </c>
      <c r="E90" s="266" t="s">
        <v>1656</v>
      </c>
      <c r="F90" s="30" t="s">
        <v>2300</v>
      </c>
      <c r="G90" s="30">
        <v>1</v>
      </c>
      <c r="H90" s="44">
        <v>30805</v>
      </c>
      <c r="I90" s="30"/>
      <c r="J90" s="44"/>
      <c r="K90" s="44"/>
      <c r="L90" s="44">
        <f t="shared" si="3"/>
        <v>30805</v>
      </c>
      <c r="M90" s="51">
        <v>20260430</v>
      </c>
    </row>
    <row r="91" spans="2:13" x14ac:dyDescent="0.25">
      <c r="B91" s="50" t="s">
        <v>5739</v>
      </c>
      <c r="C91" s="30" t="s">
        <v>137</v>
      </c>
      <c r="D91" s="30" t="s">
        <v>29</v>
      </c>
      <c r="E91" s="266" t="s">
        <v>1656</v>
      </c>
      <c r="F91" s="30" t="s">
        <v>2324</v>
      </c>
      <c r="G91" s="30">
        <v>1</v>
      </c>
      <c r="H91" s="44">
        <v>30805</v>
      </c>
      <c r="I91" s="30"/>
      <c r="J91" s="44"/>
      <c r="K91" s="44"/>
      <c r="L91" s="44">
        <f t="shared" si="3"/>
        <v>30805</v>
      </c>
      <c r="M91" s="51">
        <v>20260430</v>
      </c>
    </row>
    <row r="92" spans="2:13" x14ac:dyDescent="0.25">
      <c r="B92" s="50" t="s">
        <v>5732</v>
      </c>
      <c r="C92" s="30" t="s">
        <v>137</v>
      </c>
      <c r="D92" s="30" t="s">
        <v>53</v>
      </c>
      <c r="E92" s="266" t="s">
        <v>24</v>
      </c>
      <c r="F92" s="30" t="s">
        <v>1998</v>
      </c>
      <c r="G92" s="30">
        <v>1</v>
      </c>
      <c r="H92" s="44">
        <v>30805</v>
      </c>
      <c r="I92" s="30"/>
      <c r="J92" s="44"/>
      <c r="K92" s="44"/>
      <c r="L92" s="44">
        <f t="shared" si="3"/>
        <v>30805</v>
      </c>
      <c r="M92" s="51">
        <v>20260430</v>
      </c>
    </row>
    <row r="93" spans="2:13" x14ac:dyDescent="0.25">
      <c r="B93" s="50" t="s">
        <v>5733</v>
      </c>
      <c r="C93" s="30" t="s">
        <v>137</v>
      </c>
      <c r="D93" s="30" t="s">
        <v>53</v>
      </c>
      <c r="E93" s="266" t="s">
        <v>24</v>
      </c>
      <c r="F93" s="30" t="s">
        <v>1132</v>
      </c>
      <c r="G93" s="30">
        <v>1</v>
      </c>
      <c r="H93" s="44">
        <v>30805</v>
      </c>
      <c r="I93" s="30"/>
      <c r="J93" s="44"/>
      <c r="K93" s="44"/>
      <c r="L93" s="44">
        <f t="shared" si="3"/>
        <v>30805</v>
      </c>
      <c r="M93" s="51">
        <v>20260430</v>
      </c>
    </row>
    <row r="94" spans="2:13" x14ac:dyDescent="0.25">
      <c r="B94" s="50" t="s">
        <v>5734</v>
      </c>
      <c r="C94" s="30" t="s">
        <v>137</v>
      </c>
      <c r="D94" s="30" t="s">
        <v>53</v>
      </c>
      <c r="E94" s="266" t="s">
        <v>24</v>
      </c>
      <c r="F94" s="30" t="s">
        <v>2289</v>
      </c>
      <c r="G94" s="30">
        <v>1</v>
      </c>
      <c r="H94" s="44">
        <v>30805</v>
      </c>
      <c r="I94" s="30"/>
      <c r="J94" s="44"/>
      <c r="K94" s="44"/>
      <c r="L94" s="44">
        <f t="shared" si="3"/>
        <v>30805</v>
      </c>
      <c r="M94" s="51">
        <v>20260430</v>
      </c>
    </row>
    <row r="95" spans="2:13" ht="15.75" thickBot="1" x14ac:dyDescent="0.3">
      <c r="B95" s="54" t="s">
        <v>5735</v>
      </c>
      <c r="C95" s="36" t="s">
        <v>137</v>
      </c>
      <c r="D95" s="36" t="s">
        <v>53</v>
      </c>
      <c r="E95" s="267" t="s">
        <v>24</v>
      </c>
      <c r="F95" s="36" t="s">
        <v>1281</v>
      </c>
      <c r="G95" s="36">
        <v>1</v>
      </c>
      <c r="H95" s="65">
        <v>30805</v>
      </c>
      <c r="I95" s="36"/>
      <c r="J95" s="65"/>
      <c r="K95" s="65"/>
      <c r="L95" s="65">
        <f t="shared" si="3"/>
        <v>30805</v>
      </c>
      <c r="M95" s="55">
        <v>20260430</v>
      </c>
    </row>
    <row r="96" spans="2:13" ht="15.75" thickBot="1" x14ac:dyDescent="0.3">
      <c r="G96" s="3">
        <f>SUM(G32:G95)</f>
        <v>64</v>
      </c>
      <c r="H96" s="4">
        <f>G96*E108</f>
        <v>1971520</v>
      </c>
      <c r="I96" s="3">
        <f>SUM(I32:I95)</f>
        <v>0</v>
      </c>
      <c r="J96" s="4">
        <f>E110</f>
        <v>776.6</v>
      </c>
      <c r="K96" s="4">
        <f>J96*I96</f>
        <v>0</v>
      </c>
      <c r="L96" s="81">
        <f t="shared" ref="L96" si="4">K96+H96</f>
        <v>1971520</v>
      </c>
      <c r="M96" s="5">
        <f>K96+H96</f>
        <v>1971520</v>
      </c>
    </row>
    <row r="97" spans="2:13" ht="15.75" thickBot="1" x14ac:dyDescent="0.3">
      <c r="F97" s="112" t="str">
        <f>C109</f>
        <v>Costo viejo</v>
      </c>
      <c r="G97" s="111">
        <v>0</v>
      </c>
      <c r="H97" s="6">
        <f>G97*E109</f>
        <v>0</v>
      </c>
      <c r="I97" s="26"/>
      <c r="M97" s="6">
        <f>M96+M27</f>
        <v>3690399.8</v>
      </c>
    </row>
    <row r="98" spans="2:13" x14ac:dyDescent="0.25">
      <c r="I98" s="26"/>
      <c r="M98" s="19"/>
    </row>
    <row r="99" spans="2:13" ht="15.75" thickBot="1" x14ac:dyDescent="0.3"/>
    <row r="100" spans="2:13" x14ac:dyDescent="0.25">
      <c r="B100" s="291" t="s">
        <v>14</v>
      </c>
      <c r="C100" s="292"/>
      <c r="D100" s="292"/>
      <c r="E100" s="292"/>
      <c r="F100" s="292"/>
      <c r="G100" s="293"/>
    </row>
    <row r="101" spans="2:13" ht="15.75" thickBot="1" x14ac:dyDescent="0.3">
      <c r="B101" s="294"/>
      <c r="C101" s="295"/>
      <c r="D101" s="295"/>
      <c r="E101" s="295"/>
      <c r="F101" s="295"/>
      <c r="G101" s="296"/>
    </row>
    <row r="102" spans="2:13" x14ac:dyDescent="0.25">
      <c r="B102" s="16" t="s">
        <v>15</v>
      </c>
      <c r="C102" s="14" t="s">
        <v>16</v>
      </c>
      <c r="D102" s="14" t="s">
        <v>17</v>
      </c>
      <c r="E102" s="15" t="s">
        <v>18</v>
      </c>
      <c r="F102" s="289" t="s">
        <v>19</v>
      </c>
      <c r="G102" s="290"/>
      <c r="H102" s="41"/>
    </row>
    <row r="103" spans="2:13" x14ac:dyDescent="0.25">
      <c r="B103" s="17">
        <v>1</v>
      </c>
      <c r="C103" s="9" t="s">
        <v>20</v>
      </c>
      <c r="D103" s="9">
        <f>G27</f>
        <v>23</v>
      </c>
      <c r="E103" s="10">
        <v>61633</v>
      </c>
      <c r="F103" s="282">
        <f>E103*D103</f>
        <v>1417559</v>
      </c>
      <c r="G103" s="283"/>
    </row>
    <row r="104" spans="2:13" x14ac:dyDescent="0.25">
      <c r="B104" s="17"/>
      <c r="C104" s="9" t="s">
        <v>21</v>
      </c>
      <c r="D104" s="9">
        <f>I27</f>
        <v>388</v>
      </c>
      <c r="E104" s="10">
        <v>776.6</v>
      </c>
      <c r="F104" s="282">
        <f t="shared" ref="F104" si="5">E104*D104</f>
        <v>301320.8</v>
      </c>
      <c r="G104" s="283"/>
    </row>
    <row r="105" spans="2:13" x14ac:dyDescent="0.25">
      <c r="B105" s="17"/>
      <c r="C105" s="9" t="s">
        <v>1382</v>
      </c>
      <c r="D105" s="9">
        <f>G29</f>
        <v>0</v>
      </c>
      <c r="E105" s="10">
        <v>56596</v>
      </c>
      <c r="F105" s="282">
        <f t="shared" ref="F105:F111" si="6">E105*D105</f>
        <v>0</v>
      </c>
      <c r="G105" s="283"/>
    </row>
    <row r="106" spans="2:13" x14ac:dyDescent="0.25">
      <c r="B106" s="17"/>
      <c r="C106" s="9" t="s">
        <v>21</v>
      </c>
      <c r="D106" s="9">
        <f>I29</f>
        <v>0</v>
      </c>
      <c r="E106" s="10">
        <v>684.2</v>
      </c>
      <c r="F106" s="282">
        <f t="shared" si="6"/>
        <v>0</v>
      </c>
      <c r="G106" s="283"/>
    </row>
    <row r="107" spans="2:13" x14ac:dyDescent="0.25">
      <c r="B107" s="17"/>
      <c r="C107" s="9" t="s">
        <v>63</v>
      </c>
      <c r="D107" s="9">
        <f>G28</f>
        <v>0</v>
      </c>
      <c r="E107" s="10">
        <v>61633</v>
      </c>
      <c r="F107" s="282">
        <f t="shared" si="6"/>
        <v>0</v>
      </c>
      <c r="G107" s="283"/>
      <c r="I107" s="68"/>
    </row>
    <row r="108" spans="2:13" x14ac:dyDescent="0.25">
      <c r="B108" s="17">
        <v>2</v>
      </c>
      <c r="C108" s="9" t="s">
        <v>22</v>
      </c>
      <c r="D108" s="9">
        <f>G96</f>
        <v>64</v>
      </c>
      <c r="E108" s="10">
        <v>30805</v>
      </c>
      <c r="F108" s="282">
        <f t="shared" si="6"/>
        <v>1971520</v>
      </c>
      <c r="G108" s="283"/>
    </row>
    <row r="109" spans="2:13" x14ac:dyDescent="0.25">
      <c r="B109" s="18"/>
      <c r="C109" s="9" t="s">
        <v>1382</v>
      </c>
      <c r="D109" s="9">
        <f>G97</f>
        <v>0</v>
      </c>
      <c r="E109" s="10">
        <v>28287</v>
      </c>
      <c r="F109" s="282">
        <f t="shared" si="6"/>
        <v>0</v>
      </c>
      <c r="G109" s="283"/>
    </row>
    <row r="110" spans="2:13" x14ac:dyDescent="0.25">
      <c r="B110" s="18"/>
      <c r="C110" s="9" t="s">
        <v>21</v>
      </c>
      <c r="D110" s="9">
        <f>I96</f>
        <v>0</v>
      </c>
      <c r="E110" s="10">
        <v>776.6</v>
      </c>
      <c r="F110" s="282">
        <f t="shared" si="6"/>
        <v>0</v>
      </c>
      <c r="G110" s="283"/>
    </row>
    <row r="111" spans="2:13" x14ac:dyDescent="0.25">
      <c r="B111" s="18"/>
      <c r="C111" s="9" t="s">
        <v>4718</v>
      </c>
      <c r="D111" s="9">
        <v>0</v>
      </c>
      <c r="E111" s="10">
        <v>1</v>
      </c>
      <c r="F111" s="282">
        <f t="shared" si="6"/>
        <v>0</v>
      </c>
      <c r="G111" s="283"/>
    </row>
    <row r="112" spans="2:13" x14ac:dyDescent="0.25">
      <c r="B112" s="18"/>
      <c r="C112" s="9" t="s">
        <v>5243</v>
      </c>
      <c r="D112" s="9">
        <v>0</v>
      </c>
      <c r="E112" s="10">
        <v>240000</v>
      </c>
      <c r="F112" s="282">
        <f>E112*D112</f>
        <v>0</v>
      </c>
      <c r="G112" s="283"/>
      <c r="H112" s="187"/>
      <c r="I112" s="68"/>
    </row>
    <row r="113" spans="2:9" ht="15.75" thickBot="1" x14ac:dyDescent="0.3">
      <c r="B113" s="11" t="s">
        <v>23</v>
      </c>
      <c r="C113" s="12"/>
      <c r="D113" s="12"/>
      <c r="E113" s="13"/>
      <c r="F113" s="284">
        <f>SUM(F103:G112)</f>
        <v>3690399.8</v>
      </c>
      <c r="G113" s="285"/>
      <c r="I113" s="68"/>
    </row>
    <row r="114" spans="2:9" x14ac:dyDescent="0.25">
      <c r="I114" s="68"/>
    </row>
    <row r="115" spans="2:9" x14ac:dyDescent="0.25">
      <c r="G115" s="68"/>
    </row>
    <row r="116" spans="2:9" x14ac:dyDescent="0.25">
      <c r="F116" s="262"/>
    </row>
    <row r="117" spans="2:9" x14ac:dyDescent="0.25">
      <c r="E117" s="68"/>
    </row>
  </sheetData>
  <sortState xmlns:xlrd2="http://schemas.microsoft.com/office/spreadsheetml/2017/richdata2" ref="B4:O18">
    <sortCondition ref="M4:M18"/>
    <sortCondition ref="D4:D18"/>
    <sortCondition ref="E4:E18"/>
    <sortCondition ref="F4:F18"/>
  </sortState>
  <mergeCells count="14">
    <mergeCell ref="C1:E1"/>
    <mergeCell ref="F102:G102"/>
    <mergeCell ref="F103:G103"/>
    <mergeCell ref="B100:G101"/>
    <mergeCell ref="F107:G107"/>
    <mergeCell ref="F104:G104"/>
    <mergeCell ref="F105:G105"/>
    <mergeCell ref="F106:G106"/>
    <mergeCell ref="F108:G108"/>
    <mergeCell ref="F110:G110"/>
    <mergeCell ref="F113:G113"/>
    <mergeCell ref="F111:G111"/>
    <mergeCell ref="F112:G112"/>
    <mergeCell ref="F109:G109"/>
  </mergeCells>
  <conditionalFormatting sqref="F32:F95">
    <cfRule type="duplicateValues" dxfId="39" priority="55"/>
  </conditionalFormatting>
  <hyperlinks>
    <hyperlink ref="B92" r:id="rId1" display="https://webagentes.canaldirecto.com.ar/incidents/view/831917-1" xr:uid="{6A591BB7-F932-491F-AF5E-0342CC547E7C}"/>
    <hyperlink ref="B93" r:id="rId2" display="https://webagentes.canaldirecto.com.ar/incidents/view/831916-2" xr:uid="{F1060AC4-F490-4136-8C97-83969833B238}"/>
    <hyperlink ref="B94" r:id="rId3" display="https://webagentes.canaldirecto.com.ar/incidents/view/831915-3" xr:uid="{980B3E66-C276-4A2F-8E16-C2827F3E9CCF}"/>
    <hyperlink ref="B95" r:id="rId4" display="https://webagentes.canaldirecto.com.ar/incidents/view/831914-4" xr:uid="{C2521DE4-0BE0-4DB1-AC4A-8BCB6FF97371}"/>
    <hyperlink ref="B89" r:id="rId5" display="https://webagentes.canaldirecto.com.ar/incidents/view/831681-9" xr:uid="{CB1BC766-F5F0-4564-B4C4-9F1B8C23865F}"/>
    <hyperlink ref="B90" r:id="rId6" display="https://webagentes.canaldirecto.com.ar/incidents/view/831680-0" xr:uid="{E7C7933E-93CE-4765-833C-91C193F6554A}"/>
    <hyperlink ref="B91" r:id="rId7" display="https://webagentes.canaldirecto.com.ar/incidents/view/831679-4" xr:uid="{9A0C57A0-8863-4126-B3F8-6AE313956C20}"/>
    <hyperlink ref="B88" r:id="rId8" display="https://webagentes.canaldirecto.com.ar/incidents/view/831002-8" xr:uid="{26988E61-A1BE-49CA-B478-4C2B3F9C0119}"/>
    <hyperlink ref="B87" r:id="rId9" display="https://webagentes.canaldirecto.com.ar/incidents/view/830642-3" xr:uid="{45E7CE51-F098-47B6-BCC4-5894DF368E23}"/>
    <hyperlink ref="B78" r:id="rId10" display="https://webagentes.canaldirecto.com.ar/incidents/view/830432-8" xr:uid="{4FB5544D-5F17-4B53-978E-FAFCFD7F8CD1}"/>
    <hyperlink ref="B79" r:id="rId11" display="https://webagentes.canaldirecto.com.ar/incidents/view/830431-9" xr:uid="{B5AFB57D-D6C5-4388-9E34-A1792950024B}"/>
    <hyperlink ref="B80" r:id="rId12" display="https://webagentes.canaldirecto.com.ar/incidents/view/830430-0" xr:uid="{7C30D1E4-D1AC-4929-B8EA-80E41D6FB6E7}"/>
    <hyperlink ref="B81" r:id="rId13" display="https://webagentes.canaldirecto.com.ar/incidents/view/830429-4" xr:uid="{C9F3C85C-D6E0-4688-B177-1A4CDD436DE8}"/>
    <hyperlink ref="B82" r:id="rId14" display="https://webagentes.canaldirecto.com.ar/incidents/view/830428-5" xr:uid="{3C86AE3F-30A0-4D13-92F8-82F46A04DB64}"/>
    <hyperlink ref="B69" r:id="rId15" display="https://webagentes.canaldirecto.com.ar/incidents/view/830304-6" xr:uid="{DDC2DC4E-44E2-4681-8046-C0DA9354F133}"/>
    <hyperlink ref="B70" r:id="rId16" display="https://webagentes.canaldirecto.com.ar/incidents/view/830025-2" xr:uid="{ADF1931E-38C4-4350-A5DC-A96D4FDCDBDC}"/>
    <hyperlink ref="B71" r:id="rId17" display="https://webagentes.canaldirecto.com.ar/incidents/view/830024-3" xr:uid="{3AB00F2C-7FE2-49D2-B637-733EA57143E8}"/>
    <hyperlink ref="B72" r:id="rId18" display="https://webagentes.canaldirecto.com.ar/incidents/view/830020-7" xr:uid="{39EC4314-288A-4FD7-BFEC-20802A5B8650}"/>
    <hyperlink ref="B73" r:id="rId19" display="https://webagentes.canaldirecto.com.ar/incidents/view/830017-3" xr:uid="{5C98B7EB-05A5-4C84-AF2B-9BFA1C601FFB}"/>
    <hyperlink ref="B74" r:id="rId20" display="https://webagentes.canaldirecto.com.ar/incidents/view/830016-4" xr:uid="{9F071D33-6109-4B9B-93E4-14123027087F}"/>
    <hyperlink ref="B75" r:id="rId21" display="https://webagentes.canaldirecto.com.ar/incidents/view/830015-5" xr:uid="{CC94F66A-F229-4B94-9274-3CE3B8A642E1}"/>
    <hyperlink ref="B76" r:id="rId22" display="https://webagentes.canaldirecto.com.ar/incidents/view/830014-6" xr:uid="{FE411D32-124E-46C1-953A-ADB37899D9B1}"/>
    <hyperlink ref="B66" r:id="rId23" display="https://webagentes.canaldirecto.com.ar/incidents/view/829910-5" xr:uid="{BD6AC4A7-8F40-4E8B-9DBE-A0D508BEDED9}"/>
    <hyperlink ref="B67" r:id="rId24" display="https://webagentes.canaldirecto.com.ar/incidents/view/829909-9" xr:uid="{31222ABF-F056-43FC-B815-0F9CEA689AFC}"/>
    <hyperlink ref="B68" r:id="rId25" display="https://webagentes.canaldirecto.com.ar/incidents/view/829908-0" xr:uid="{2C9CA78D-4CE5-47D4-9693-201F90693126}"/>
    <hyperlink ref="B65" r:id="rId26" display="https://webagentes.canaldirecto.com.ar/incidents/view/829906-2" xr:uid="{D3D49C7A-CA8D-4101-A243-1AEE5A3A0AF3}"/>
    <hyperlink ref="B77" r:id="rId27" display="https://webagentes.canaldirecto.com.ar/incidents/view/829905-3" xr:uid="{2E791570-742D-4EAF-9A11-FFA6D984669E}"/>
    <hyperlink ref="B64" r:id="rId28" display="https://webagentes.canaldirecto.com.ar/incidents/view/829904-4" xr:uid="{D106E74E-AFAD-4D26-8335-D44D3C582D47}"/>
    <hyperlink ref="B56" r:id="rId29" display="https://webagentes.canaldirecto.com.ar/incidents/view/829872-6" xr:uid="{947CD67E-6654-4609-9925-0D39B1787094}"/>
    <hyperlink ref="B61" r:id="rId30" display="https://webagentes.canaldirecto.com.ar/incidents/view/829815-1" xr:uid="{4908CE03-4C9C-46EB-9AE5-8B8D50C375A8}"/>
    <hyperlink ref="B62" r:id="rId31" display="https://webagentes.canaldirecto.com.ar/incidents/view/829814-2" xr:uid="{703D29F7-5E48-42D1-8376-FF9815B7E1A6}"/>
    <hyperlink ref="B63" r:id="rId32" display="https://webagentes.canaldirecto.com.ar/incidents/view/829813-3" xr:uid="{A04333EF-1695-46C8-B6DB-D3D4A0FB68AE}"/>
    <hyperlink ref="B59" r:id="rId33" display="https://webagentes.canaldirecto.com.ar/incidents/view/829812-4" xr:uid="{005DD49D-F58E-4019-9AB3-BA10FC00E3AC}"/>
    <hyperlink ref="B60" r:id="rId34" display="https://webagentes.canaldirecto.com.ar/incidents/view/829811-5" xr:uid="{6348D423-87A7-4DDE-A3E3-EA366E0C22C7}"/>
    <hyperlink ref="B58" r:id="rId35" display="https://webagentes.canaldirecto.com.ar/incidents/view/829808-1" xr:uid="{A7AD0496-CC83-4221-86B9-DFB2E3016028}"/>
    <hyperlink ref="B49" r:id="rId36" display="https://webagentes.canaldirecto.com.ar/incidents/view/829666-7" xr:uid="{1685FD98-EBF4-40F1-8A60-BEB8EF8A6F71}"/>
    <hyperlink ref="B50" r:id="rId37" display="https://webagentes.canaldirecto.com.ar/incidents/view/829665-8" xr:uid="{9887BCD4-5585-4205-AC46-FA6D586F6839}"/>
    <hyperlink ref="B51" r:id="rId38" display="https://webagentes.canaldirecto.com.ar/incidents/view/829664-9" xr:uid="{D99E0DF7-B80F-4539-946B-74CDFED26253}"/>
    <hyperlink ref="B52" r:id="rId39" display="https://webagentes.canaldirecto.com.ar/incidents/view/829663-0" xr:uid="{DCCE349C-2E91-49FB-85DB-5A3F7BA8D2A3}"/>
    <hyperlink ref="B53" r:id="rId40" display="https://webagentes.canaldirecto.com.ar/incidents/view/829662-1" xr:uid="{7F6423C9-597F-4E09-8CAE-2BE926F29AC9}"/>
    <hyperlink ref="B54" r:id="rId41" display="https://webagentes.canaldirecto.com.ar/incidents/view/829661-2" xr:uid="{E719713F-201D-4FA2-A685-4ACF7E79E749}"/>
    <hyperlink ref="B40" r:id="rId42" display="https://webagentes.canaldirecto.com.ar/incidents/view/829505-7" xr:uid="{61477B9F-061D-43ED-A06C-552B80F96684}"/>
    <hyperlink ref="B84" r:id="rId43" display="https://webagentes.canaldirecto.com.ar/incidents/view/829504-8" xr:uid="{D0A77035-91B2-40A6-99ED-DCB6FBFF515D}"/>
    <hyperlink ref="B41" r:id="rId44" display="https://webagentes.canaldirecto.com.ar/incidents/view/829503-9" xr:uid="{C079E6D7-A4FD-4129-9944-D39941EC4786}"/>
    <hyperlink ref="B42" r:id="rId45" display="https://webagentes.canaldirecto.com.ar/incidents/view/829502-0" xr:uid="{57B22AE6-A2AD-4BF5-9FA9-0B64750BBD6F}"/>
    <hyperlink ref="B43" r:id="rId46" display="https://webagentes.canaldirecto.com.ar/incidents/view/829501-1" xr:uid="{F9CFD7E9-2D01-4B03-88FF-58E9ADF4612F}"/>
    <hyperlink ref="B44" r:id="rId47" display="https://webagentes.canaldirecto.com.ar/incidents/view/829500-2" xr:uid="{6174ACBF-F055-495E-94AD-B7C9635314F3}"/>
    <hyperlink ref="B85" r:id="rId48" display="https://webagentes.canaldirecto.com.ar/incidents/view/829499-7" xr:uid="{18253ABB-9BE9-461F-BCD5-21F7CCE94822}"/>
    <hyperlink ref="B45" r:id="rId49" display="https://webagentes.canaldirecto.com.ar/incidents/view/829498-8" xr:uid="{E6716621-B31F-4A38-89BB-E5DDFB45EAA2}"/>
    <hyperlink ref="B86" r:id="rId50" display="https://webagentes.canaldirecto.com.ar/incidents/view/829497-9" xr:uid="{8CB833A4-770A-4E20-8A83-5D3EC23440FF}"/>
    <hyperlink ref="B46" r:id="rId51" display="https://webagentes.canaldirecto.com.ar/incidents/view/829496-0" xr:uid="{B9F6B1F0-9452-4E64-BD4C-820CD5AA9CAA}"/>
    <hyperlink ref="B47" r:id="rId52" display="https://webagentes.canaldirecto.com.ar/incidents/view/829495-1" xr:uid="{3F30EE10-51B4-4DA9-87FF-430615104F60}"/>
    <hyperlink ref="B48" r:id="rId53" display="https://webagentes.canaldirecto.com.ar/incidents/view/829494-2" xr:uid="{F3396B7C-C1EE-4CE6-A54F-F16198DE789D}"/>
    <hyperlink ref="B37" r:id="rId54" display="https://webagentes.canaldirecto.com.ar/incidents/view/828918-0" xr:uid="{9F97B585-7236-440D-9ECB-5F1232A8BD8B}"/>
    <hyperlink ref="B38" r:id="rId55" display="https://webagentes.canaldirecto.com.ar/incidents/view/828917-1" xr:uid="{1A0DED6A-98B2-4BD4-9CD0-843594C3D962}"/>
    <hyperlink ref="B39" r:id="rId56" display="https://webagentes.canaldirecto.com.ar/incidents/view/828916-2" xr:uid="{4FD82709-520A-4C18-B4BB-FFD065A88D0A}"/>
    <hyperlink ref="B32" r:id="rId57" display="https://webagentes.canaldirecto.com.ar/incidents/view/828915-3" xr:uid="{1590AA4D-4201-4218-9C65-C9CDA4EE0BEC}"/>
    <hyperlink ref="B33" r:id="rId58" display="https://webagentes.canaldirecto.com.ar/incidents/view/828914-4" xr:uid="{CBC01FE0-86C4-4ABB-9F45-FFC18656F3E4}"/>
    <hyperlink ref="B34" r:id="rId59" display="https://webagentes.canaldirecto.com.ar/incidents/view/828913-5" xr:uid="{E306684D-066D-4202-816E-8698753885DD}"/>
    <hyperlink ref="B35" r:id="rId60" display="https://webagentes.canaldirecto.com.ar/incidents/view/828912-6" xr:uid="{3F355E42-F054-4759-B3F9-9E330C014079}"/>
    <hyperlink ref="B36" r:id="rId61" display="https://webagentes.canaldirecto.com.ar/incidents/view/827474-4" xr:uid="{C94FF8E9-5672-46CE-ACBA-44EA665E0009}"/>
    <hyperlink ref="B55" r:id="rId62" display="https://webagentes.canaldirecto.com.ar/incidents/view/824674-1" xr:uid="{572697C3-D773-4358-992E-7108F58D2BCD}"/>
    <hyperlink ref="B83" r:id="rId63" display="https://webagentes.canaldirecto.com.ar/incidents/view/813463-1" xr:uid="{A617007A-9802-40AF-9A1E-EAB54652FC6B}"/>
    <hyperlink ref="B57" r:id="rId64" display="https://webagentes.canaldirecto.com.ar/incidents/view/811742-1" xr:uid="{0C292AA1-40A4-44C6-8A0D-1A98127F0AFF}"/>
    <hyperlink ref="B26" r:id="rId65" display="https://webagentes.canaldirecto.com.ar/incidents/view/831692-5" xr:uid="{DC86446F-1B43-4063-BC13-1F9894DCCC0E}"/>
    <hyperlink ref="B24" r:id="rId66" display="https://webagentes.canaldirecto.com.ar/incidents/view/831033-8" xr:uid="{98AE1E60-E6DB-4686-A023-4CB9BF105689}"/>
    <hyperlink ref="B21" r:id="rId67" display="https://webagentes.canaldirecto.com.ar/incidents/view/830754-7" xr:uid="{52DC4533-383A-4C38-8B52-437C145E0384}"/>
    <hyperlink ref="B22" r:id="rId68" display="https://webagentes.canaldirecto.com.ar/incidents/view/830753-8" xr:uid="{D70B770E-9E56-450A-93BB-78E409EA9F0E}"/>
    <hyperlink ref="B23" r:id="rId69" display="https://webagentes.canaldirecto.com.ar/incidents/view/830570-7" xr:uid="{0EA269D6-14E1-4C1B-9976-99752FC3FAA3}"/>
    <hyperlink ref="B20" r:id="rId70" display="https://webagentes.canaldirecto.com.ar/incidents/view/830467-4" xr:uid="{F9F758CA-D03A-425F-A3C6-1E11DB95B9DF}"/>
    <hyperlink ref="B25" r:id="rId71" display="https://webagentes.canaldirecto.com.ar/incidents/view/830191-4" xr:uid="{5188EB59-D7A6-46F6-9E33-EB999CD12D98}"/>
    <hyperlink ref="B16" r:id="rId72" display="https://webagentes.canaldirecto.com.ar/incidents/view/830004-9" xr:uid="{9F8434A4-1BC4-4590-8E55-6788243F5D58}"/>
    <hyperlink ref="B14" r:id="rId73" display="https://webagentes.canaldirecto.com.ar/incidents/view/829875-3" xr:uid="{043EA8C4-AAB3-414D-AADB-8C5AB25E9642}"/>
    <hyperlink ref="B17" r:id="rId74" display="https://webagentes.canaldirecto.com.ar/incidents/view/829799-4" xr:uid="{0934323D-9DF2-4329-BA55-7C6756BC4D09}"/>
    <hyperlink ref="B11" r:id="rId75" display="https://webagentes.canaldirecto.com.ar/incidents/view/829637-5" xr:uid="{B883F088-412A-4D5D-8443-74C694282A6F}"/>
    <hyperlink ref="B10" r:id="rId76" display="https://webagentes.canaldirecto.com.ar/incidents/view/829482-7" xr:uid="{7A403C61-CF35-49AE-AC2D-A08B1E0AD7D1}"/>
    <hyperlink ref="B12" r:id="rId77" display="https://webagentes.canaldirecto.com.ar/incidents/view/829410-0" xr:uid="{070F3590-C7A2-43B2-B384-B1C67D503280}"/>
    <hyperlink ref="B7" r:id="rId78" display="https://webagentes.canaldirecto.com.ar/incidents/view/829263-4" xr:uid="{00C28D17-4D95-4E64-9268-BCF8108A9D5A}"/>
    <hyperlink ref="B15" r:id="rId79" display="https://webagentes.canaldirecto.com.ar/incidents/view/829217-5" xr:uid="{15D9394D-AE31-4396-BD8B-ACA603B4B934}"/>
    <hyperlink ref="B13" r:id="rId80" display="https://webagentes.canaldirecto.com.ar/incidents/view/829010-4" xr:uid="{C65531B9-1D8E-4B17-9600-C415ED220A49}"/>
    <hyperlink ref="B5" r:id="rId81" display="https://webagentes.canaldirecto.com.ar/incidents/view/829006-1" xr:uid="{ECE34BCD-E12A-4828-ABDC-5878D3AEA55F}"/>
    <hyperlink ref="B9" r:id="rId82" display="https://webagentes.canaldirecto.com.ar/incidents/view/828953-3" xr:uid="{3973EA7D-8FD1-41AE-8CF7-5EE9D1540F85}"/>
    <hyperlink ref="B6" r:id="rId83" display="https://webagentes.canaldirecto.com.ar/incidents/view/828911-7" xr:uid="{5FF72E35-A640-4585-A816-911E94AA188B}"/>
    <hyperlink ref="B4" r:id="rId84" display="https://webagentes.canaldirecto.com.ar/incidents/view/828707-6" xr:uid="{27423609-F1DE-4F39-9B01-D220D0E63D14}"/>
    <hyperlink ref="B18" r:id="rId85" display="https://webagentes.canaldirecto.com.ar/incidents/view/827802-3" xr:uid="{3EE7F180-65A1-4F6A-98D1-24C3DDE2A6D4}"/>
    <hyperlink ref="B8" r:id="rId86" display="https://webagentes.canaldirecto.com.ar/incidents/view/827333-8" xr:uid="{076D70B8-4411-48D1-91ED-D053585CDE3B}"/>
    <hyperlink ref="B19" r:id="rId87" display="https://webagentes.canaldirecto.com.ar/incidents/view/825459-1" xr:uid="{C4A79692-B511-4034-9AF7-A6C3328AF4C4}"/>
  </hyperlinks>
  <printOptions horizontalCentered="1"/>
  <pageMargins left="0.70866141732283472" right="0.78740157480314965" top="0.78740157480314965" bottom="0.78740157480314965" header="0.31496062992125984" footer="0.31496062992125984"/>
  <pageSetup paperSize="9" scale="54" fitToHeight="6" orientation="landscape" r:id="rId88"/>
  <ignoredErrors>
    <ignoredError sqref="H9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767"/>
  <sheetViews>
    <sheetView topLeftCell="A744" workbookViewId="0">
      <selection activeCell="N762" sqref="N762"/>
    </sheetView>
  </sheetViews>
  <sheetFormatPr baseColWidth="10" defaultColWidth="11.42578125" defaultRowHeight="15" x14ac:dyDescent="0.25"/>
  <cols>
    <col min="1" max="1" width="8.85546875" style="25" bestFit="1" customWidth="1"/>
    <col min="2" max="2" width="9.85546875" style="25" bestFit="1" customWidth="1"/>
    <col min="3" max="3" width="29.28515625" style="25" bestFit="1" customWidth="1"/>
    <col min="4" max="4" width="43.42578125" style="25" bestFit="1" customWidth="1"/>
    <col min="5" max="5" width="17.85546875" style="25" hidden="1" customWidth="1"/>
    <col min="6" max="6" width="0" hidden="1" customWidth="1"/>
    <col min="7" max="7" width="10.28515625" style="58" hidden="1" customWidth="1"/>
    <col min="8" max="8" width="8.7109375" style="25" bestFit="1" customWidth="1"/>
    <col min="9" max="9" width="9" style="25" bestFit="1" customWidth="1"/>
    <col min="10" max="10" width="14.28515625" style="25" customWidth="1"/>
    <col min="11" max="11" width="11.85546875" style="25" bestFit="1" customWidth="1"/>
    <col min="12" max="12" width="12" style="25" bestFit="1" customWidth="1"/>
    <col min="13" max="13" width="12.42578125" style="170" customWidth="1"/>
    <col min="14" max="14" width="5.5703125" style="25" bestFit="1" customWidth="1"/>
    <col min="15" max="15" width="54.140625" style="25" bestFit="1" customWidth="1"/>
    <col min="16" max="16384" width="11.42578125" style="25"/>
  </cols>
  <sheetData>
    <row r="1" spans="1:14" ht="15.75" thickBot="1" x14ac:dyDescent="0.3">
      <c r="A1" s="27" t="s">
        <v>0</v>
      </c>
      <c r="B1" s="27" t="s">
        <v>1</v>
      </c>
      <c r="C1" s="27" t="s">
        <v>2</v>
      </c>
      <c r="D1" s="27" t="s">
        <v>3</v>
      </c>
      <c r="E1" s="28" t="s">
        <v>4</v>
      </c>
      <c r="F1" s="25"/>
      <c r="G1" s="57" t="s">
        <v>6</v>
      </c>
      <c r="H1" s="27" t="s">
        <v>7</v>
      </c>
      <c r="I1" s="29" t="s">
        <v>8</v>
      </c>
      <c r="J1" s="29" t="s">
        <v>9</v>
      </c>
      <c r="K1" s="29" t="s">
        <v>10</v>
      </c>
      <c r="L1" s="27" t="s">
        <v>5</v>
      </c>
    </row>
    <row r="2" spans="1:14" x14ac:dyDescent="0.25">
      <c r="A2" s="48" t="s">
        <v>131</v>
      </c>
      <c r="B2" s="34" t="s">
        <v>27</v>
      </c>
      <c r="C2" s="34" t="s">
        <v>36</v>
      </c>
      <c r="D2" s="34" t="s">
        <v>66</v>
      </c>
      <c r="E2" s="34" t="s">
        <v>132</v>
      </c>
      <c r="F2" s="34">
        <v>20200929</v>
      </c>
      <c r="G2" s="62">
        <v>1362</v>
      </c>
      <c r="H2" s="34"/>
      <c r="I2" s="35">
        <v>16.7</v>
      </c>
      <c r="J2" s="35"/>
      <c r="K2" s="35">
        <v>1362</v>
      </c>
      <c r="L2" s="49" t="s">
        <v>68</v>
      </c>
      <c r="M2" s="170" t="s">
        <v>37</v>
      </c>
    </row>
    <row r="3" spans="1:14" x14ac:dyDescent="0.25">
      <c r="A3" s="52" t="s">
        <v>125</v>
      </c>
      <c r="B3" s="32" t="s">
        <v>11</v>
      </c>
      <c r="C3" s="32" t="s">
        <v>31</v>
      </c>
      <c r="D3" s="32" t="s">
        <v>35</v>
      </c>
      <c r="E3" s="32" t="s">
        <v>38</v>
      </c>
      <c r="F3" s="32">
        <v>1</v>
      </c>
      <c r="G3" s="61">
        <v>1362</v>
      </c>
      <c r="H3" s="32">
        <v>64</v>
      </c>
      <c r="I3" s="33">
        <v>16.7</v>
      </c>
      <c r="J3" s="33">
        <f>I3*H3</f>
        <v>1068.8</v>
      </c>
      <c r="K3" s="33">
        <f>J3+G3</f>
        <v>2430.8000000000002</v>
      </c>
      <c r="L3" s="53">
        <v>20200904</v>
      </c>
      <c r="M3" s="170" t="s">
        <v>37</v>
      </c>
      <c r="N3" s="56"/>
    </row>
    <row r="4" spans="1:14" x14ac:dyDescent="0.25">
      <c r="A4" s="50" t="s">
        <v>125</v>
      </c>
      <c r="B4" s="30" t="s">
        <v>11</v>
      </c>
      <c r="C4" s="30" t="s">
        <v>31</v>
      </c>
      <c r="D4" s="30" t="s">
        <v>35</v>
      </c>
      <c r="E4" s="30" t="s">
        <v>38</v>
      </c>
      <c r="F4" s="30">
        <v>20200904</v>
      </c>
      <c r="G4" s="60">
        <v>1362</v>
      </c>
      <c r="H4" s="30">
        <v>64</v>
      </c>
      <c r="I4" s="31">
        <v>16.7</v>
      </c>
      <c r="J4" s="31">
        <v>1068.8</v>
      </c>
      <c r="K4" s="31">
        <v>2430.8000000000002</v>
      </c>
      <c r="L4" s="51" t="s">
        <v>68</v>
      </c>
      <c r="M4" s="170" t="s">
        <v>37</v>
      </c>
    </row>
    <row r="5" spans="1:14" x14ac:dyDescent="0.25">
      <c r="A5" s="50" t="s">
        <v>123</v>
      </c>
      <c r="B5" s="30" t="s">
        <v>27</v>
      </c>
      <c r="C5" s="30" t="s">
        <v>51</v>
      </c>
      <c r="D5" s="30" t="s">
        <v>24</v>
      </c>
      <c r="E5" s="30" t="s">
        <v>124</v>
      </c>
      <c r="F5" s="30">
        <v>1</v>
      </c>
      <c r="G5" s="60">
        <v>1362</v>
      </c>
      <c r="H5" s="30"/>
      <c r="I5" s="31"/>
      <c r="J5" s="31"/>
      <c r="K5" s="31">
        <f>J5+G5</f>
        <v>1362</v>
      </c>
      <c r="L5" s="51">
        <v>20200904</v>
      </c>
      <c r="M5" s="170" t="s">
        <v>37</v>
      </c>
    </row>
    <row r="6" spans="1:14" x14ac:dyDescent="0.25">
      <c r="A6" s="50" t="s">
        <v>123</v>
      </c>
      <c r="B6" s="30" t="s">
        <v>27</v>
      </c>
      <c r="C6" s="30" t="s">
        <v>51</v>
      </c>
      <c r="D6" s="30" t="s">
        <v>24</v>
      </c>
      <c r="E6" s="30" t="s">
        <v>124</v>
      </c>
      <c r="F6" s="30">
        <v>20200904</v>
      </c>
      <c r="G6" s="60">
        <v>1362</v>
      </c>
      <c r="H6" s="30"/>
      <c r="I6" s="31"/>
      <c r="J6" s="31"/>
      <c r="K6" s="31">
        <v>1362</v>
      </c>
      <c r="L6" s="51" t="s">
        <v>68</v>
      </c>
      <c r="M6" s="170" t="s">
        <v>37</v>
      </c>
    </row>
    <row r="7" spans="1:14" x14ac:dyDescent="0.25">
      <c r="A7" s="50" t="s">
        <v>121</v>
      </c>
      <c r="B7" s="30" t="s">
        <v>11</v>
      </c>
      <c r="C7" s="30" t="s">
        <v>31</v>
      </c>
      <c r="D7" s="30" t="s">
        <v>35</v>
      </c>
      <c r="E7" s="30" t="s">
        <v>122</v>
      </c>
      <c r="F7" s="30">
        <v>1</v>
      </c>
      <c r="G7" s="60">
        <v>1362</v>
      </c>
      <c r="H7" s="30"/>
      <c r="I7" s="31"/>
      <c r="J7" s="31"/>
      <c r="K7" s="31">
        <f>J7+G7</f>
        <v>1362</v>
      </c>
      <c r="L7" s="51">
        <v>20200904</v>
      </c>
      <c r="M7" s="170" t="s">
        <v>37</v>
      </c>
    </row>
    <row r="8" spans="1:14" x14ac:dyDescent="0.25">
      <c r="A8" s="50" t="s">
        <v>121</v>
      </c>
      <c r="B8" s="30" t="s">
        <v>11</v>
      </c>
      <c r="C8" s="30" t="s">
        <v>31</v>
      </c>
      <c r="D8" s="30" t="s">
        <v>35</v>
      </c>
      <c r="E8" s="30" t="s">
        <v>122</v>
      </c>
      <c r="F8" s="30">
        <v>20200904</v>
      </c>
      <c r="G8" s="60">
        <v>1362</v>
      </c>
      <c r="H8" s="30"/>
      <c r="I8" s="31"/>
      <c r="J8" s="31"/>
      <c r="K8" s="31">
        <v>1362</v>
      </c>
      <c r="L8" s="51" t="s">
        <v>68</v>
      </c>
      <c r="M8" s="170" t="s">
        <v>37</v>
      </c>
    </row>
    <row r="9" spans="1:14" x14ac:dyDescent="0.25">
      <c r="A9" s="50" t="s">
        <v>120</v>
      </c>
      <c r="B9" s="30" t="s">
        <v>11</v>
      </c>
      <c r="C9" s="30" t="s">
        <v>31</v>
      </c>
      <c r="D9" s="30" t="s">
        <v>35</v>
      </c>
      <c r="E9" s="30" t="s">
        <v>42</v>
      </c>
      <c r="F9" s="30">
        <v>1</v>
      </c>
      <c r="G9" s="60">
        <v>1362</v>
      </c>
      <c r="H9" s="30"/>
      <c r="I9" s="31"/>
      <c r="J9" s="31"/>
      <c r="K9" s="31">
        <f>J9+G9</f>
        <v>1362</v>
      </c>
      <c r="L9" s="51">
        <v>20200904</v>
      </c>
      <c r="M9" s="170" t="s">
        <v>37</v>
      </c>
    </row>
    <row r="10" spans="1:14" x14ac:dyDescent="0.25">
      <c r="A10" s="50" t="s">
        <v>120</v>
      </c>
      <c r="B10" s="30" t="s">
        <v>11</v>
      </c>
      <c r="C10" s="30" t="s">
        <v>31</v>
      </c>
      <c r="D10" s="30" t="s">
        <v>35</v>
      </c>
      <c r="E10" s="30" t="s">
        <v>42</v>
      </c>
      <c r="F10" s="30">
        <v>20200904</v>
      </c>
      <c r="G10" s="60">
        <v>1362</v>
      </c>
      <c r="H10" s="30"/>
      <c r="I10" s="31"/>
      <c r="J10" s="31"/>
      <c r="K10" s="31">
        <v>1362</v>
      </c>
      <c r="L10" s="51" t="s">
        <v>68</v>
      </c>
      <c r="M10" s="170" t="s">
        <v>37</v>
      </c>
    </row>
    <row r="11" spans="1:14" x14ac:dyDescent="0.25">
      <c r="A11" s="50" t="s">
        <v>118</v>
      </c>
      <c r="B11" s="30" t="s">
        <v>11</v>
      </c>
      <c r="C11" s="30" t="s">
        <v>94</v>
      </c>
      <c r="D11" s="30" t="s">
        <v>95</v>
      </c>
      <c r="E11" s="30" t="s">
        <v>119</v>
      </c>
      <c r="F11" s="30">
        <v>1</v>
      </c>
      <c r="G11" s="60">
        <v>1362</v>
      </c>
      <c r="H11" s="30"/>
      <c r="I11" s="31"/>
      <c r="J11" s="31"/>
      <c r="K11" s="31">
        <f>J11+G11</f>
        <v>1362</v>
      </c>
      <c r="L11" s="51">
        <v>20200901</v>
      </c>
      <c r="M11" s="170" t="s">
        <v>37</v>
      </c>
    </row>
    <row r="12" spans="1:14" x14ac:dyDescent="0.25">
      <c r="A12" s="50" t="s">
        <v>118</v>
      </c>
      <c r="B12" s="30" t="s">
        <v>11</v>
      </c>
      <c r="C12" s="30" t="s">
        <v>94</v>
      </c>
      <c r="D12" s="30" t="s">
        <v>95</v>
      </c>
      <c r="E12" s="30" t="s">
        <v>119</v>
      </c>
      <c r="F12" s="30">
        <v>20200901</v>
      </c>
      <c r="G12" s="60">
        <v>1362</v>
      </c>
      <c r="H12" s="30"/>
      <c r="I12" s="44">
        <v>13.5</v>
      </c>
      <c r="J12" s="31"/>
      <c r="K12" s="31">
        <v>1362</v>
      </c>
      <c r="L12" s="51" t="s">
        <v>68</v>
      </c>
      <c r="M12" s="170" t="s">
        <v>37</v>
      </c>
    </row>
    <row r="13" spans="1:14" x14ac:dyDescent="0.25">
      <c r="A13" s="50" t="s">
        <v>117</v>
      </c>
      <c r="B13" s="30" t="s">
        <v>11</v>
      </c>
      <c r="C13" s="30" t="s">
        <v>39</v>
      </c>
      <c r="D13" s="30" t="s">
        <v>40</v>
      </c>
      <c r="E13" s="30" t="s">
        <v>44</v>
      </c>
      <c r="F13" s="30">
        <v>1</v>
      </c>
      <c r="G13" s="60">
        <v>1362</v>
      </c>
      <c r="H13" s="30"/>
      <c r="I13" s="31"/>
      <c r="J13" s="31"/>
      <c r="K13" s="31">
        <f>J13+G13</f>
        <v>1362</v>
      </c>
      <c r="L13" s="51">
        <v>20200903</v>
      </c>
      <c r="M13" s="170" t="s">
        <v>37</v>
      </c>
    </row>
    <row r="14" spans="1:14" x14ac:dyDescent="0.25">
      <c r="A14" s="50" t="s">
        <v>117</v>
      </c>
      <c r="B14" s="30" t="s">
        <v>11</v>
      </c>
      <c r="C14" s="30" t="s">
        <v>39</v>
      </c>
      <c r="D14" s="30" t="s">
        <v>40</v>
      </c>
      <c r="E14" s="30" t="s">
        <v>44</v>
      </c>
      <c r="F14" s="30">
        <v>20200903</v>
      </c>
      <c r="G14" s="60">
        <v>1362</v>
      </c>
      <c r="H14" s="30"/>
      <c r="I14" s="44"/>
      <c r="J14" s="31"/>
      <c r="K14" s="31">
        <v>1362</v>
      </c>
      <c r="L14" s="51" t="s">
        <v>68</v>
      </c>
      <c r="M14" s="170" t="s">
        <v>37</v>
      </c>
    </row>
    <row r="15" spans="1:14" x14ac:dyDescent="0.25">
      <c r="A15" s="50" t="s">
        <v>116</v>
      </c>
      <c r="B15" s="30" t="s">
        <v>11</v>
      </c>
      <c r="C15" s="30" t="s">
        <v>26</v>
      </c>
      <c r="D15" s="30" t="s">
        <v>41</v>
      </c>
      <c r="E15" s="30" t="s">
        <v>74</v>
      </c>
      <c r="F15" s="30">
        <v>1</v>
      </c>
      <c r="G15" s="60">
        <v>1362</v>
      </c>
      <c r="H15" s="30"/>
      <c r="I15" s="31"/>
      <c r="J15" s="31"/>
      <c r="K15" s="31">
        <f>J15+G15</f>
        <v>1362</v>
      </c>
      <c r="L15" s="51">
        <v>20200902</v>
      </c>
      <c r="M15" s="170" t="s">
        <v>37</v>
      </c>
    </row>
    <row r="16" spans="1:14" x14ac:dyDescent="0.25">
      <c r="A16" s="50" t="s">
        <v>116</v>
      </c>
      <c r="B16" s="30" t="s">
        <v>11</v>
      </c>
      <c r="C16" s="30" t="s">
        <v>26</v>
      </c>
      <c r="D16" s="30" t="s">
        <v>41</v>
      </c>
      <c r="E16" s="30" t="s">
        <v>74</v>
      </c>
      <c r="F16" s="30">
        <v>20200902</v>
      </c>
      <c r="G16" s="60">
        <v>1362</v>
      </c>
      <c r="H16" s="30"/>
      <c r="I16" s="31"/>
      <c r="J16" s="31"/>
      <c r="K16" s="31">
        <v>1362</v>
      </c>
      <c r="L16" s="51" t="s">
        <v>68</v>
      </c>
      <c r="M16" s="170" t="s">
        <v>37</v>
      </c>
    </row>
    <row r="17" spans="1:16" x14ac:dyDescent="0.25">
      <c r="A17" s="50" t="s">
        <v>115</v>
      </c>
      <c r="B17" s="30" t="s">
        <v>11</v>
      </c>
      <c r="C17" s="30" t="s">
        <v>94</v>
      </c>
      <c r="D17" s="30" t="s">
        <v>95</v>
      </c>
      <c r="E17" s="30" t="s">
        <v>107</v>
      </c>
      <c r="F17" s="30">
        <v>1</v>
      </c>
      <c r="G17" s="60">
        <v>1362</v>
      </c>
      <c r="H17" s="30"/>
      <c r="I17" s="31"/>
      <c r="J17" s="31"/>
      <c r="K17" s="31">
        <f>J17+G17</f>
        <v>1362</v>
      </c>
      <c r="L17" s="51">
        <v>20200901</v>
      </c>
      <c r="M17" s="170" t="s">
        <v>37</v>
      </c>
    </row>
    <row r="18" spans="1:16" x14ac:dyDescent="0.25">
      <c r="A18" s="50" t="s">
        <v>115</v>
      </c>
      <c r="B18" s="30" t="s">
        <v>11</v>
      </c>
      <c r="C18" s="30" t="s">
        <v>94</v>
      </c>
      <c r="D18" s="30" t="s">
        <v>95</v>
      </c>
      <c r="E18" s="30" t="s">
        <v>107</v>
      </c>
      <c r="F18" s="30">
        <v>20200901</v>
      </c>
      <c r="G18" s="60">
        <v>1362</v>
      </c>
      <c r="H18" s="30"/>
      <c r="I18" s="31">
        <v>13.5</v>
      </c>
      <c r="J18" s="31"/>
      <c r="K18" s="31">
        <v>1362</v>
      </c>
      <c r="L18" s="51" t="s">
        <v>68</v>
      </c>
      <c r="M18" s="170" t="s">
        <v>37</v>
      </c>
    </row>
    <row r="19" spans="1:16" x14ac:dyDescent="0.25">
      <c r="A19" s="52" t="s">
        <v>113</v>
      </c>
      <c r="B19" s="32" t="s">
        <v>11</v>
      </c>
      <c r="C19" s="32" t="s">
        <v>34</v>
      </c>
      <c r="D19" s="32" t="s">
        <v>35</v>
      </c>
      <c r="E19" s="32" t="s">
        <v>114</v>
      </c>
      <c r="F19" s="32">
        <v>1</v>
      </c>
      <c r="G19" s="61">
        <v>1362</v>
      </c>
      <c r="H19" s="32">
        <v>64</v>
      </c>
      <c r="I19" s="33">
        <v>16.7</v>
      </c>
      <c r="J19" s="33">
        <f>I19*H19</f>
        <v>1068.8</v>
      </c>
      <c r="K19" s="33">
        <f>J19+G19</f>
        <v>2430.8000000000002</v>
      </c>
      <c r="L19" s="53">
        <v>20200915</v>
      </c>
      <c r="M19" s="170" t="s">
        <v>37</v>
      </c>
      <c r="N19" s="56"/>
    </row>
    <row r="20" spans="1:16" x14ac:dyDescent="0.25">
      <c r="A20" s="50" t="s">
        <v>113</v>
      </c>
      <c r="B20" s="30" t="s">
        <v>11</v>
      </c>
      <c r="C20" s="30" t="s">
        <v>34</v>
      </c>
      <c r="D20" s="30" t="s">
        <v>35</v>
      </c>
      <c r="E20" s="30" t="s">
        <v>114</v>
      </c>
      <c r="F20" s="30">
        <v>20200915</v>
      </c>
      <c r="G20" s="60">
        <v>1362</v>
      </c>
      <c r="H20" s="30">
        <v>64</v>
      </c>
      <c r="I20" s="31">
        <v>16.7</v>
      </c>
      <c r="J20" s="31">
        <v>1068.8</v>
      </c>
      <c r="K20" s="31">
        <v>2430.8000000000002</v>
      </c>
      <c r="L20" s="51" t="s">
        <v>68</v>
      </c>
      <c r="M20" s="170" t="s">
        <v>37</v>
      </c>
    </row>
    <row r="21" spans="1:16" x14ac:dyDescent="0.25">
      <c r="A21" s="50" t="s">
        <v>111</v>
      </c>
      <c r="B21" s="30" t="s">
        <v>11</v>
      </c>
      <c r="C21" s="30" t="s">
        <v>94</v>
      </c>
      <c r="D21" s="30" t="s">
        <v>95</v>
      </c>
      <c r="E21" s="30" t="s">
        <v>112</v>
      </c>
      <c r="F21" s="30">
        <v>1</v>
      </c>
      <c r="G21" s="60">
        <v>1362</v>
      </c>
      <c r="H21" s="30"/>
      <c r="I21" s="31"/>
      <c r="J21" s="31"/>
      <c r="K21" s="31">
        <f>J21+G21</f>
        <v>1362</v>
      </c>
      <c r="L21" s="51">
        <v>20200902</v>
      </c>
      <c r="M21" s="170" t="s">
        <v>37</v>
      </c>
    </row>
    <row r="22" spans="1:16" x14ac:dyDescent="0.25">
      <c r="A22" s="50" t="s">
        <v>111</v>
      </c>
      <c r="B22" s="30" t="s">
        <v>11</v>
      </c>
      <c r="C22" s="30" t="s">
        <v>94</v>
      </c>
      <c r="D22" s="30" t="s">
        <v>95</v>
      </c>
      <c r="E22" s="30" t="s">
        <v>112</v>
      </c>
      <c r="F22" s="30">
        <v>20200902</v>
      </c>
      <c r="G22" s="60">
        <v>1362</v>
      </c>
      <c r="H22" s="30"/>
      <c r="I22" s="31">
        <v>13.5</v>
      </c>
      <c r="J22" s="31"/>
      <c r="K22" s="31">
        <v>1362</v>
      </c>
      <c r="L22" s="51" t="s">
        <v>68</v>
      </c>
      <c r="M22" s="170" t="s">
        <v>37</v>
      </c>
    </row>
    <row r="23" spans="1:16" x14ac:dyDescent="0.25">
      <c r="A23" s="50" t="s">
        <v>110</v>
      </c>
      <c r="B23" s="30" t="s">
        <v>11</v>
      </c>
      <c r="C23" s="30" t="s">
        <v>51</v>
      </c>
      <c r="D23" s="30" t="s">
        <v>24</v>
      </c>
      <c r="E23" s="30" t="s">
        <v>52</v>
      </c>
      <c r="F23" s="30">
        <v>1</v>
      </c>
      <c r="G23" s="60">
        <v>1362</v>
      </c>
      <c r="H23" s="30"/>
      <c r="I23" s="30"/>
      <c r="J23" s="31"/>
      <c r="K23" s="31">
        <f>J23+G23</f>
        <v>1362</v>
      </c>
      <c r="L23" s="51">
        <v>20200903</v>
      </c>
      <c r="M23" s="170" t="s">
        <v>37</v>
      </c>
    </row>
    <row r="24" spans="1:16" x14ac:dyDescent="0.25">
      <c r="A24" s="50" t="s">
        <v>110</v>
      </c>
      <c r="B24" s="30" t="s">
        <v>11</v>
      </c>
      <c r="C24" s="30" t="s">
        <v>51</v>
      </c>
      <c r="D24" s="30" t="s">
        <v>24</v>
      </c>
      <c r="E24" s="30" t="s">
        <v>52</v>
      </c>
      <c r="F24" s="30">
        <v>20200903</v>
      </c>
      <c r="G24" s="60">
        <v>1362</v>
      </c>
      <c r="H24" s="30"/>
      <c r="I24" s="31"/>
      <c r="J24" s="31"/>
      <c r="K24" s="31">
        <v>1362</v>
      </c>
      <c r="L24" s="51" t="s">
        <v>68</v>
      </c>
      <c r="M24" s="170" t="s">
        <v>37</v>
      </c>
    </row>
    <row r="25" spans="1:16" x14ac:dyDescent="0.25">
      <c r="A25" s="52" t="s">
        <v>109</v>
      </c>
      <c r="B25" s="32" t="s">
        <v>27</v>
      </c>
      <c r="C25" s="32" t="s">
        <v>32</v>
      </c>
      <c r="D25" s="32" t="s">
        <v>24</v>
      </c>
      <c r="E25" s="32" t="s">
        <v>33</v>
      </c>
      <c r="F25" s="32">
        <v>1</v>
      </c>
      <c r="G25" s="61">
        <v>1362</v>
      </c>
      <c r="H25" s="32">
        <v>30</v>
      </c>
      <c r="I25" s="45">
        <v>16.7</v>
      </c>
      <c r="J25" s="33">
        <f>I25*H25</f>
        <v>501</v>
      </c>
      <c r="K25" s="33">
        <f>J25+G25</f>
        <v>1863</v>
      </c>
      <c r="L25" s="53">
        <v>20200908</v>
      </c>
      <c r="M25" s="170" t="s">
        <v>37</v>
      </c>
      <c r="N25" s="56"/>
    </row>
    <row r="26" spans="1:16" x14ac:dyDescent="0.25">
      <c r="A26" s="50" t="s">
        <v>109</v>
      </c>
      <c r="B26" s="30" t="s">
        <v>27</v>
      </c>
      <c r="C26" s="30" t="s">
        <v>32</v>
      </c>
      <c r="D26" s="30" t="s">
        <v>24</v>
      </c>
      <c r="E26" s="30" t="s">
        <v>33</v>
      </c>
      <c r="F26" s="30">
        <v>20200908</v>
      </c>
      <c r="G26" s="60">
        <v>1362</v>
      </c>
      <c r="H26" s="30">
        <v>30</v>
      </c>
      <c r="I26" s="44">
        <v>16.7</v>
      </c>
      <c r="J26" s="44">
        <v>501</v>
      </c>
      <c r="K26" s="44">
        <v>1863</v>
      </c>
      <c r="L26" s="51" t="s">
        <v>68</v>
      </c>
      <c r="M26" s="170" t="s">
        <v>37</v>
      </c>
    </row>
    <row r="27" spans="1:16" x14ac:dyDescent="0.25">
      <c r="A27" s="50" t="s">
        <v>108</v>
      </c>
      <c r="B27" s="30" t="s">
        <v>11</v>
      </c>
      <c r="C27" s="30" t="s">
        <v>29</v>
      </c>
      <c r="D27" s="30" t="s">
        <v>24</v>
      </c>
      <c r="E27" s="30" t="s">
        <v>54</v>
      </c>
      <c r="F27" s="30">
        <v>1</v>
      </c>
      <c r="G27" s="60">
        <v>1362</v>
      </c>
      <c r="H27" s="30"/>
      <c r="I27" s="30"/>
      <c r="J27" s="31"/>
      <c r="K27" s="31">
        <f>J27+G27</f>
        <v>1362</v>
      </c>
      <c r="L27" s="51">
        <v>20200910</v>
      </c>
      <c r="M27" s="170" t="s">
        <v>37</v>
      </c>
    </row>
    <row r="28" spans="1:16" x14ac:dyDescent="0.25">
      <c r="A28" s="50" t="s">
        <v>108</v>
      </c>
      <c r="B28" s="30" t="s">
        <v>11</v>
      </c>
      <c r="C28" s="30" t="s">
        <v>29</v>
      </c>
      <c r="D28" s="30" t="s">
        <v>24</v>
      </c>
      <c r="E28" s="30" t="s">
        <v>54</v>
      </c>
      <c r="F28" s="30">
        <v>20200910</v>
      </c>
      <c r="G28" s="60">
        <v>1362</v>
      </c>
      <c r="H28" s="30"/>
      <c r="I28" s="31"/>
      <c r="J28" s="31"/>
      <c r="K28" s="31">
        <v>1362</v>
      </c>
      <c r="L28" s="51" t="s">
        <v>68</v>
      </c>
      <c r="M28" s="170" t="s">
        <v>37</v>
      </c>
    </row>
    <row r="29" spans="1:16" x14ac:dyDescent="0.25">
      <c r="A29" s="50" t="s">
        <v>106</v>
      </c>
      <c r="B29" s="30" t="s">
        <v>11</v>
      </c>
      <c r="C29" s="30" t="s">
        <v>94</v>
      </c>
      <c r="D29" s="30" t="s">
        <v>95</v>
      </c>
      <c r="E29" s="30" t="s">
        <v>107</v>
      </c>
      <c r="F29" s="30">
        <v>1</v>
      </c>
      <c r="G29" s="60">
        <v>1362</v>
      </c>
      <c r="H29" s="30"/>
      <c r="I29" s="31"/>
      <c r="J29" s="31"/>
      <c r="K29" s="31">
        <f>J29+G29</f>
        <v>1362</v>
      </c>
      <c r="L29" s="51">
        <v>20200908</v>
      </c>
      <c r="M29" s="170" t="s">
        <v>37</v>
      </c>
      <c r="O29" s="47"/>
      <c r="P29" s="47"/>
    </row>
    <row r="30" spans="1:16" x14ac:dyDescent="0.25">
      <c r="A30" s="50" t="s">
        <v>106</v>
      </c>
      <c r="B30" s="30" t="s">
        <v>11</v>
      </c>
      <c r="C30" s="30" t="s">
        <v>94</v>
      </c>
      <c r="D30" s="30" t="s">
        <v>95</v>
      </c>
      <c r="E30" s="30" t="s">
        <v>107</v>
      </c>
      <c r="F30" s="30">
        <v>20200908</v>
      </c>
      <c r="G30" s="60">
        <v>1362</v>
      </c>
      <c r="H30" s="30"/>
      <c r="I30" s="31">
        <v>13.5</v>
      </c>
      <c r="J30" s="31"/>
      <c r="K30" s="31">
        <v>1362</v>
      </c>
      <c r="L30" s="51" t="s">
        <v>68</v>
      </c>
      <c r="M30" s="170" t="s">
        <v>37</v>
      </c>
    </row>
    <row r="31" spans="1:16" x14ac:dyDescent="0.25">
      <c r="A31" s="52" t="s">
        <v>102</v>
      </c>
      <c r="B31" s="32" t="s">
        <v>11</v>
      </c>
      <c r="C31" s="32" t="s">
        <v>103</v>
      </c>
      <c r="D31" s="32" t="s">
        <v>104</v>
      </c>
      <c r="E31" s="32" t="s">
        <v>105</v>
      </c>
      <c r="F31" s="32">
        <v>1</v>
      </c>
      <c r="G31" s="61">
        <v>1362</v>
      </c>
      <c r="H31" s="32">
        <v>140</v>
      </c>
      <c r="I31" s="33">
        <v>16.7</v>
      </c>
      <c r="J31" s="33">
        <f>I31*H31</f>
        <v>2338</v>
      </c>
      <c r="K31" s="33">
        <f>J31+G31</f>
        <v>3700</v>
      </c>
      <c r="L31" s="53">
        <v>20200909</v>
      </c>
      <c r="M31" s="170" t="s">
        <v>37</v>
      </c>
      <c r="N31" s="56"/>
    </row>
    <row r="32" spans="1:16" x14ac:dyDescent="0.25">
      <c r="A32" s="50" t="s">
        <v>102</v>
      </c>
      <c r="B32" s="30" t="s">
        <v>11</v>
      </c>
      <c r="C32" s="30" t="s">
        <v>103</v>
      </c>
      <c r="D32" s="30" t="s">
        <v>104</v>
      </c>
      <c r="E32" s="30" t="s">
        <v>105</v>
      </c>
      <c r="F32" s="30">
        <v>20200909</v>
      </c>
      <c r="G32" s="60">
        <v>1362</v>
      </c>
      <c r="H32" s="30">
        <v>140</v>
      </c>
      <c r="I32" s="31">
        <v>16.7</v>
      </c>
      <c r="J32" s="31">
        <v>2338</v>
      </c>
      <c r="K32" s="31">
        <v>3700</v>
      </c>
      <c r="L32" s="51" t="s">
        <v>68</v>
      </c>
      <c r="M32" s="170" t="s">
        <v>37</v>
      </c>
    </row>
    <row r="33" spans="1:14" x14ac:dyDescent="0.25">
      <c r="A33" s="50" t="s">
        <v>101</v>
      </c>
      <c r="B33" s="30" t="s">
        <v>11</v>
      </c>
      <c r="C33" s="30" t="s">
        <v>29</v>
      </c>
      <c r="D33" s="30" t="s">
        <v>24</v>
      </c>
      <c r="E33" s="30" t="s">
        <v>56</v>
      </c>
      <c r="F33" s="30">
        <v>1</v>
      </c>
      <c r="G33" s="60">
        <v>1362</v>
      </c>
      <c r="H33" s="30"/>
      <c r="I33" s="31"/>
      <c r="J33" s="31"/>
      <c r="K33" s="31">
        <f>J33+G33</f>
        <v>1362</v>
      </c>
      <c r="L33" s="51">
        <v>20200910</v>
      </c>
      <c r="M33" s="170" t="s">
        <v>37</v>
      </c>
    </row>
    <row r="34" spans="1:14" x14ac:dyDescent="0.25">
      <c r="A34" s="50" t="s">
        <v>101</v>
      </c>
      <c r="B34" s="30" t="s">
        <v>11</v>
      </c>
      <c r="C34" s="30" t="s">
        <v>29</v>
      </c>
      <c r="D34" s="30" t="s">
        <v>24</v>
      </c>
      <c r="E34" s="30" t="s">
        <v>56</v>
      </c>
      <c r="F34" s="30">
        <v>20200910</v>
      </c>
      <c r="G34" s="60">
        <v>1362</v>
      </c>
      <c r="H34" s="30"/>
      <c r="I34" s="31"/>
      <c r="J34" s="31"/>
      <c r="K34" s="31">
        <v>1362</v>
      </c>
      <c r="L34" s="51" t="s">
        <v>68</v>
      </c>
      <c r="M34" s="170" t="s">
        <v>37</v>
      </c>
    </row>
    <row r="35" spans="1:14" x14ac:dyDescent="0.25">
      <c r="A35" s="50" t="s">
        <v>99</v>
      </c>
      <c r="B35" s="30" t="s">
        <v>11</v>
      </c>
      <c r="C35" s="30" t="s">
        <v>53</v>
      </c>
      <c r="D35" s="30" t="s">
        <v>24</v>
      </c>
      <c r="E35" s="30" t="s">
        <v>100</v>
      </c>
      <c r="F35" s="30">
        <v>1</v>
      </c>
      <c r="G35" s="60">
        <v>1362</v>
      </c>
      <c r="H35" s="30"/>
      <c r="I35" s="31"/>
      <c r="J35" s="31"/>
      <c r="K35" s="31">
        <f>J35+G35</f>
        <v>1362</v>
      </c>
      <c r="L35" s="51">
        <v>20200911</v>
      </c>
      <c r="M35" s="170" t="s">
        <v>37</v>
      </c>
    </row>
    <row r="36" spans="1:14" x14ac:dyDescent="0.25">
      <c r="A36" s="50" t="s">
        <v>99</v>
      </c>
      <c r="B36" s="30" t="s">
        <v>11</v>
      </c>
      <c r="C36" s="30" t="s">
        <v>53</v>
      </c>
      <c r="D36" s="30" t="s">
        <v>24</v>
      </c>
      <c r="E36" s="30" t="s">
        <v>100</v>
      </c>
      <c r="F36" s="30">
        <v>20200911</v>
      </c>
      <c r="G36" s="60">
        <v>1362</v>
      </c>
      <c r="H36" s="30"/>
      <c r="I36" s="31"/>
      <c r="J36" s="31"/>
      <c r="K36" s="31">
        <v>1362</v>
      </c>
      <c r="L36" s="51" t="s">
        <v>68</v>
      </c>
      <c r="M36" s="170" t="s">
        <v>37</v>
      </c>
    </row>
    <row r="37" spans="1:14" x14ac:dyDescent="0.25">
      <c r="A37" s="52" t="s">
        <v>98</v>
      </c>
      <c r="B37" s="32" t="s">
        <v>11</v>
      </c>
      <c r="C37" s="32" t="s">
        <v>28</v>
      </c>
      <c r="D37" s="32" t="s">
        <v>49</v>
      </c>
      <c r="E37" s="32" t="s">
        <v>50</v>
      </c>
      <c r="F37" s="32">
        <v>1</v>
      </c>
      <c r="G37" s="61">
        <v>1362</v>
      </c>
      <c r="H37" s="32">
        <v>25</v>
      </c>
      <c r="I37" s="33">
        <v>16.7</v>
      </c>
      <c r="J37" s="33">
        <f>I37*H37</f>
        <v>417.5</v>
      </c>
      <c r="K37" s="33">
        <f>J37+G37</f>
        <v>1779.5</v>
      </c>
      <c r="L37" s="53">
        <v>20200911</v>
      </c>
      <c r="M37" s="170" t="s">
        <v>37</v>
      </c>
      <c r="N37" s="56"/>
    </row>
    <row r="38" spans="1:14" ht="15.75" thickBot="1" x14ac:dyDescent="0.3">
      <c r="A38" s="54" t="s">
        <v>98</v>
      </c>
      <c r="B38" s="36" t="s">
        <v>11</v>
      </c>
      <c r="C38" s="36" t="s">
        <v>28</v>
      </c>
      <c r="D38" s="36" t="s">
        <v>49</v>
      </c>
      <c r="E38" s="36" t="s">
        <v>50</v>
      </c>
      <c r="F38" s="36">
        <v>20200911</v>
      </c>
      <c r="G38" s="63">
        <v>1362</v>
      </c>
      <c r="H38" s="36">
        <v>25</v>
      </c>
      <c r="I38" s="37">
        <v>16.7</v>
      </c>
      <c r="J38" s="37">
        <v>417.5</v>
      </c>
      <c r="K38" s="37">
        <v>1779.5</v>
      </c>
      <c r="L38" s="55" t="s">
        <v>68</v>
      </c>
      <c r="M38" s="170" t="s">
        <v>37</v>
      </c>
    </row>
    <row r="39" spans="1:14" x14ac:dyDescent="0.25">
      <c r="A39" s="25" t="s">
        <v>97</v>
      </c>
      <c r="B39" s="25" t="s">
        <v>11</v>
      </c>
      <c r="C39" s="25" t="s">
        <v>29</v>
      </c>
      <c r="D39" s="25" t="s">
        <v>24</v>
      </c>
      <c r="E39" s="25" t="s">
        <v>54</v>
      </c>
      <c r="F39" s="25">
        <v>1</v>
      </c>
      <c r="G39" s="58">
        <v>1362</v>
      </c>
      <c r="I39" s="38"/>
      <c r="J39" s="38"/>
      <c r="K39" s="38">
        <f>J39+G39</f>
        <v>1362</v>
      </c>
      <c r="L39" s="25">
        <v>20200915</v>
      </c>
      <c r="M39" s="170" t="s">
        <v>37</v>
      </c>
    </row>
    <row r="40" spans="1:14" x14ac:dyDescent="0.25">
      <c r="A40" s="25" t="s">
        <v>97</v>
      </c>
      <c r="B40" s="25" t="s">
        <v>11</v>
      </c>
      <c r="C40" s="25" t="s">
        <v>29</v>
      </c>
      <c r="D40" s="25" t="s">
        <v>24</v>
      </c>
      <c r="E40" s="25" t="s">
        <v>54</v>
      </c>
      <c r="F40" s="25">
        <v>20200915</v>
      </c>
      <c r="G40" s="58">
        <v>1362</v>
      </c>
      <c r="I40" s="38"/>
      <c r="J40" s="38"/>
      <c r="K40" s="38">
        <v>1362</v>
      </c>
      <c r="L40" s="25" t="s">
        <v>68</v>
      </c>
      <c r="M40" s="170" t="s">
        <v>37</v>
      </c>
    </row>
    <row r="41" spans="1:14" x14ac:dyDescent="0.25">
      <c r="A41" s="25" t="s">
        <v>93</v>
      </c>
      <c r="B41" s="25" t="s">
        <v>11</v>
      </c>
      <c r="C41" s="25" t="s">
        <v>94</v>
      </c>
      <c r="D41" s="25" t="s">
        <v>95</v>
      </c>
      <c r="E41" s="25" t="s">
        <v>96</v>
      </c>
      <c r="F41" s="25">
        <v>1</v>
      </c>
      <c r="G41" s="58">
        <v>1362</v>
      </c>
      <c r="I41" s="38"/>
      <c r="J41" s="38"/>
      <c r="K41" s="38">
        <f>J41+G41</f>
        <v>1362</v>
      </c>
      <c r="L41" s="25">
        <v>20200923</v>
      </c>
      <c r="M41" s="170" t="s">
        <v>37</v>
      </c>
    </row>
    <row r="42" spans="1:14" x14ac:dyDescent="0.25">
      <c r="A42" s="25" t="s">
        <v>93</v>
      </c>
      <c r="B42" s="25" t="s">
        <v>11</v>
      </c>
      <c r="C42" s="25" t="s">
        <v>94</v>
      </c>
      <c r="D42" s="25" t="s">
        <v>95</v>
      </c>
      <c r="E42" s="25" t="s">
        <v>96</v>
      </c>
      <c r="F42" s="25">
        <v>20200923</v>
      </c>
      <c r="G42" s="58">
        <v>1362</v>
      </c>
      <c r="H42" s="25">
        <v>0</v>
      </c>
      <c r="I42" s="38">
        <v>16.7</v>
      </c>
      <c r="J42" s="38"/>
      <c r="K42" s="38">
        <v>1362</v>
      </c>
      <c r="L42" s="25" t="s">
        <v>68</v>
      </c>
      <c r="M42" s="170" t="s">
        <v>37</v>
      </c>
    </row>
    <row r="43" spans="1:14" x14ac:dyDescent="0.25">
      <c r="A43" s="25" t="s">
        <v>90</v>
      </c>
      <c r="B43" s="25" t="s">
        <v>11</v>
      </c>
      <c r="C43" s="25" t="s">
        <v>91</v>
      </c>
      <c r="D43" s="25" t="s">
        <v>24</v>
      </c>
      <c r="E43" s="25" t="s">
        <v>92</v>
      </c>
      <c r="F43" s="25">
        <v>1</v>
      </c>
      <c r="G43" s="58">
        <v>1362</v>
      </c>
      <c r="I43" s="38"/>
      <c r="J43" s="38"/>
      <c r="K43" s="38">
        <f>J43+G43</f>
        <v>1362</v>
      </c>
      <c r="L43" s="25">
        <v>20200923</v>
      </c>
      <c r="M43" s="170" t="s">
        <v>37</v>
      </c>
    </row>
    <row r="44" spans="1:14" x14ac:dyDescent="0.25">
      <c r="A44" s="25" t="s">
        <v>90</v>
      </c>
      <c r="B44" s="25" t="s">
        <v>11</v>
      </c>
      <c r="C44" s="25" t="s">
        <v>91</v>
      </c>
      <c r="D44" s="25" t="s">
        <v>24</v>
      </c>
      <c r="E44" s="25" t="s">
        <v>92</v>
      </c>
      <c r="F44" s="25">
        <v>20200923</v>
      </c>
      <c r="G44" s="58">
        <v>1362</v>
      </c>
      <c r="I44" s="38"/>
      <c r="J44" s="38"/>
      <c r="K44" s="38">
        <v>1362</v>
      </c>
      <c r="L44" s="25" t="s">
        <v>68</v>
      </c>
      <c r="M44" s="170" t="s">
        <v>37</v>
      </c>
    </row>
    <row r="45" spans="1:14" x14ac:dyDescent="0.25">
      <c r="A45" s="25" t="s">
        <v>88</v>
      </c>
      <c r="B45" s="25" t="s">
        <v>11</v>
      </c>
      <c r="C45" s="25" t="s">
        <v>29</v>
      </c>
      <c r="D45" s="25" t="s">
        <v>24</v>
      </c>
      <c r="E45" s="25" t="s">
        <v>89</v>
      </c>
      <c r="F45" s="25">
        <v>1</v>
      </c>
      <c r="G45" s="58">
        <v>1362</v>
      </c>
      <c r="I45" s="38"/>
      <c r="J45" s="38"/>
      <c r="K45" s="38">
        <f>J45+G45</f>
        <v>1362</v>
      </c>
      <c r="L45" s="25">
        <v>20200916</v>
      </c>
      <c r="M45" s="170" t="s">
        <v>37</v>
      </c>
    </row>
    <row r="46" spans="1:14" x14ac:dyDescent="0.25">
      <c r="A46" s="25" t="s">
        <v>88</v>
      </c>
      <c r="B46" s="25" t="s">
        <v>11</v>
      </c>
      <c r="C46" s="25" t="s">
        <v>29</v>
      </c>
      <c r="D46" s="25" t="s">
        <v>24</v>
      </c>
      <c r="E46" s="25" t="s">
        <v>89</v>
      </c>
      <c r="F46" s="25">
        <v>20200916</v>
      </c>
      <c r="G46" s="58">
        <v>1362</v>
      </c>
      <c r="I46" s="38"/>
      <c r="J46" s="38"/>
      <c r="K46" s="38">
        <v>1362</v>
      </c>
      <c r="L46" s="25" t="s">
        <v>68</v>
      </c>
      <c r="M46" s="170" t="s">
        <v>37</v>
      </c>
    </row>
    <row r="47" spans="1:14" x14ac:dyDescent="0.25">
      <c r="A47" s="25" t="s">
        <v>87</v>
      </c>
      <c r="B47" s="25" t="s">
        <v>11</v>
      </c>
      <c r="C47" s="25" t="s">
        <v>57</v>
      </c>
      <c r="D47" s="25" t="s">
        <v>58</v>
      </c>
      <c r="E47" s="25" t="s">
        <v>61</v>
      </c>
      <c r="F47" s="25">
        <v>1</v>
      </c>
      <c r="G47" s="58">
        <v>1362</v>
      </c>
      <c r="I47" s="38"/>
      <c r="J47" s="38"/>
      <c r="K47" s="38">
        <f>J47+G47</f>
        <v>1362</v>
      </c>
      <c r="L47" s="25">
        <v>20200916</v>
      </c>
      <c r="M47" s="170" t="s">
        <v>37</v>
      </c>
    </row>
    <row r="48" spans="1:14" x14ac:dyDescent="0.25">
      <c r="A48" s="25" t="s">
        <v>87</v>
      </c>
      <c r="B48" s="25" t="s">
        <v>11</v>
      </c>
      <c r="C48" s="25" t="s">
        <v>57</v>
      </c>
      <c r="D48" s="25" t="s">
        <v>58</v>
      </c>
      <c r="E48" s="25" t="s">
        <v>61</v>
      </c>
      <c r="F48" s="25">
        <v>20200916</v>
      </c>
      <c r="G48" s="58">
        <v>1362</v>
      </c>
      <c r="I48" s="38"/>
      <c r="J48" s="38"/>
      <c r="K48" s="38">
        <v>1362</v>
      </c>
      <c r="L48" s="25" t="s">
        <v>68</v>
      </c>
      <c r="M48" s="170" t="s">
        <v>37</v>
      </c>
    </row>
    <row r="49" spans="1:14" x14ac:dyDescent="0.25">
      <c r="A49" s="25" t="s">
        <v>86</v>
      </c>
      <c r="B49" s="25" t="s">
        <v>11</v>
      </c>
      <c r="C49" s="25" t="s">
        <v>57</v>
      </c>
      <c r="D49" s="25" t="s">
        <v>58</v>
      </c>
      <c r="E49" s="25" t="s">
        <v>62</v>
      </c>
      <c r="F49" s="25">
        <v>1</v>
      </c>
      <c r="G49" s="58">
        <v>1362</v>
      </c>
      <c r="I49" s="38"/>
      <c r="J49" s="38"/>
      <c r="K49" s="38">
        <f>J49+G49</f>
        <v>1362</v>
      </c>
      <c r="L49" s="25">
        <v>20200916</v>
      </c>
      <c r="M49" s="170" t="s">
        <v>37</v>
      </c>
    </row>
    <row r="50" spans="1:14" x14ac:dyDescent="0.25">
      <c r="A50" s="25" t="s">
        <v>86</v>
      </c>
      <c r="B50" s="25" t="s">
        <v>11</v>
      </c>
      <c r="C50" s="25" t="s">
        <v>57</v>
      </c>
      <c r="D50" s="25" t="s">
        <v>58</v>
      </c>
      <c r="E50" s="25" t="s">
        <v>62</v>
      </c>
      <c r="F50" s="25">
        <v>20200916</v>
      </c>
      <c r="G50" s="58">
        <v>1362</v>
      </c>
      <c r="I50" s="38"/>
      <c r="J50" s="38"/>
      <c r="K50" s="38">
        <v>1362</v>
      </c>
      <c r="L50" s="25" t="s">
        <v>68</v>
      </c>
      <c r="M50" s="170" t="s">
        <v>37</v>
      </c>
    </row>
    <row r="51" spans="1:14" x14ac:dyDescent="0.25">
      <c r="A51" s="25" t="s">
        <v>85</v>
      </c>
      <c r="B51" s="25" t="s">
        <v>11</v>
      </c>
      <c r="C51" s="25" t="s">
        <v>57</v>
      </c>
      <c r="D51" s="25" t="s">
        <v>58</v>
      </c>
      <c r="E51" s="25" t="s">
        <v>59</v>
      </c>
      <c r="F51" s="25">
        <v>1</v>
      </c>
      <c r="G51" s="58">
        <v>1362</v>
      </c>
      <c r="I51" s="38"/>
      <c r="J51" s="38"/>
      <c r="K51" s="38">
        <f>J51+G51</f>
        <v>1362</v>
      </c>
      <c r="L51" s="25">
        <v>20200916</v>
      </c>
      <c r="M51" s="170" t="s">
        <v>37</v>
      </c>
    </row>
    <row r="52" spans="1:14" x14ac:dyDescent="0.25">
      <c r="A52" s="25" t="s">
        <v>85</v>
      </c>
      <c r="B52" s="25" t="s">
        <v>11</v>
      </c>
      <c r="C52" s="25" t="s">
        <v>57</v>
      </c>
      <c r="D52" s="25" t="s">
        <v>58</v>
      </c>
      <c r="E52" s="25" t="s">
        <v>59</v>
      </c>
      <c r="F52" s="25">
        <v>20200916</v>
      </c>
      <c r="G52" s="58">
        <v>1362</v>
      </c>
      <c r="I52" s="38"/>
      <c r="J52" s="38"/>
      <c r="K52" s="38">
        <v>1362</v>
      </c>
      <c r="L52" s="25" t="s">
        <v>68</v>
      </c>
      <c r="M52" s="170" t="s">
        <v>37</v>
      </c>
    </row>
    <row r="53" spans="1:14" x14ac:dyDescent="0.25">
      <c r="A53" s="25" t="s">
        <v>84</v>
      </c>
      <c r="B53" s="25" t="s">
        <v>11</v>
      </c>
      <c r="C53" s="25" t="s">
        <v>26</v>
      </c>
      <c r="D53" s="25" t="s">
        <v>41</v>
      </c>
      <c r="E53" s="25" t="s">
        <v>55</v>
      </c>
      <c r="F53" s="25">
        <v>1</v>
      </c>
      <c r="G53" s="58">
        <v>1362</v>
      </c>
      <c r="I53" s="38"/>
      <c r="J53" s="38"/>
      <c r="K53" s="38">
        <f>J53+G53</f>
        <v>1362</v>
      </c>
      <c r="L53" s="25">
        <v>20200918</v>
      </c>
      <c r="M53" s="170" t="s">
        <v>37</v>
      </c>
    </row>
    <row r="54" spans="1:14" x14ac:dyDescent="0.25">
      <c r="A54" s="25" t="s">
        <v>84</v>
      </c>
      <c r="B54" s="25" t="s">
        <v>11</v>
      </c>
      <c r="C54" s="25" t="s">
        <v>26</v>
      </c>
      <c r="D54" s="25" t="s">
        <v>41</v>
      </c>
      <c r="E54" s="25" t="s">
        <v>55</v>
      </c>
      <c r="F54" s="25">
        <v>20200918</v>
      </c>
      <c r="G54" s="58">
        <v>1362</v>
      </c>
      <c r="I54" s="38"/>
      <c r="J54" s="38"/>
      <c r="K54" s="38">
        <v>1362</v>
      </c>
      <c r="L54" s="25" t="s">
        <v>68</v>
      </c>
      <c r="M54" s="170" t="s">
        <v>37</v>
      </c>
    </row>
    <row r="55" spans="1:14" x14ac:dyDescent="0.25">
      <c r="A55" s="25" t="s">
        <v>82</v>
      </c>
      <c r="B55" s="25" t="s">
        <v>11</v>
      </c>
      <c r="C55" s="25" t="s">
        <v>76</v>
      </c>
      <c r="D55" s="25" t="s">
        <v>24</v>
      </c>
      <c r="E55" s="25" t="s">
        <v>83</v>
      </c>
      <c r="F55" s="25">
        <v>1</v>
      </c>
      <c r="G55" s="58">
        <v>1362</v>
      </c>
      <c r="I55" s="38"/>
      <c r="J55" s="38"/>
      <c r="K55" s="38">
        <f>J55+G55</f>
        <v>1362</v>
      </c>
      <c r="L55" s="25">
        <v>20200918</v>
      </c>
      <c r="M55" s="170" t="s">
        <v>37</v>
      </c>
    </row>
    <row r="56" spans="1:14" x14ac:dyDescent="0.25">
      <c r="A56" s="25" t="s">
        <v>82</v>
      </c>
      <c r="B56" s="25" t="s">
        <v>11</v>
      </c>
      <c r="C56" s="25" t="s">
        <v>76</v>
      </c>
      <c r="D56" s="25" t="s">
        <v>24</v>
      </c>
      <c r="E56" s="25" t="s">
        <v>83</v>
      </c>
      <c r="F56" s="25">
        <v>20200918</v>
      </c>
      <c r="G56" s="58">
        <v>1362</v>
      </c>
      <c r="I56" s="38"/>
      <c r="J56" s="38"/>
      <c r="K56" s="38">
        <v>1362</v>
      </c>
      <c r="L56" s="25" t="s">
        <v>68</v>
      </c>
      <c r="M56" s="170" t="s">
        <v>37</v>
      </c>
    </row>
    <row r="57" spans="1:14" x14ac:dyDescent="0.25">
      <c r="A57" s="25" t="s">
        <v>81</v>
      </c>
      <c r="B57" s="25" t="s">
        <v>11</v>
      </c>
      <c r="C57" s="25" t="s">
        <v>57</v>
      </c>
      <c r="D57" s="25" t="s">
        <v>58</v>
      </c>
      <c r="E57" s="25" t="s">
        <v>60</v>
      </c>
      <c r="F57" s="25">
        <v>1</v>
      </c>
      <c r="G57" s="58">
        <v>1362</v>
      </c>
      <c r="I57" s="38"/>
      <c r="J57" s="38"/>
      <c r="K57" s="38">
        <f>J57+G57</f>
        <v>1362</v>
      </c>
      <c r="L57" s="25">
        <v>20200918</v>
      </c>
      <c r="M57" s="170" t="s">
        <v>37</v>
      </c>
    </row>
    <row r="58" spans="1:14" x14ac:dyDescent="0.25">
      <c r="A58" s="25" t="s">
        <v>81</v>
      </c>
      <c r="B58" s="25" t="s">
        <v>11</v>
      </c>
      <c r="C58" s="25" t="s">
        <v>57</v>
      </c>
      <c r="D58" s="25" t="s">
        <v>58</v>
      </c>
      <c r="E58" s="25" t="s">
        <v>60</v>
      </c>
      <c r="F58" s="25">
        <v>20200918</v>
      </c>
      <c r="G58" s="58">
        <v>1362</v>
      </c>
      <c r="I58" s="38"/>
      <c r="J58" s="38"/>
      <c r="K58" s="38">
        <v>1362</v>
      </c>
      <c r="L58" s="25" t="s">
        <v>68</v>
      </c>
      <c r="M58" s="170" t="s">
        <v>37</v>
      </c>
    </row>
    <row r="59" spans="1:14" x14ac:dyDescent="0.25">
      <c r="A59" s="42" t="s">
        <v>79</v>
      </c>
      <c r="B59" s="42" t="s">
        <v>27</v>
      </c>
      <c r="C59" s="42" t="s">
        <v>45</v>
      </c>
      <c r="D59" s="42" t="s">
        <v>46</v>
      </c>
      <c r="E59" s="42" t="s">
        <v>80</v>
      </c>
      <c r="F59" s="42">
        <v>1</v>
      </c>
      <c r="G59" s="59">
        <v>1362</v>
      </c>
      <c r="H59" s="42">
        <v>50</v>
      </c>
      <c r="I59" s="43">
        <v>16.7</v>
      </c>
      <c r="J59" s="43">
        <f>I59*H59</f>
        <v>835</v>
      </c>
      <c r="K59" s="43">
        <f>J59+G59</f>
        <v>2197</v>
      </c>
      <c r="L59" s="42">
        <v>20200925</v>
      </c>
      <c r="M59" s="170" t="s">
        <v>37</v>
      </c>
      <c r="N59" s="56"/>
    </row>
    <row r="60" spans="1:14" x14ac:dyDescent="0.25">
      <c r="A60" s="25" t="s">
        <v>79</v>
      </c>
      <c r="B60" s="25" t="s">
        <v>27</v>
      </c>
      <c r="C60" s="25" t="s">
        <v>45</v>
      </c>
      <c r="D60" s="25" t="s">
        <v>46</v>
      </c>
      <c r="E60" s="25" t="s">
        <v>80</v>
      </c>
      <c r="F60" s="25">
        <v>20200925</v>
      </c>
      <c r="G60" s="58">
        <v>1362</v>
      </c>
      <c r="H60" s="25">
        <v>50</v>
      </c>
      <c r="I60" s="38">
        <v>16.7</v>
      </c>
      <c r="J60" s="38">
        <v>835</v>
      </c>
      <c r="K60" s="38">
        <v>2197</v>
      </c>
      <c r="L60" s="25" t="s">
        <v>68</v>
      </c>
      <c r="M60" s="170" t="s">
        <v>37</v>
      </c>
    </row>
    <row r="61" spans="1:14" x14ac:dyDescent="0.25">
      <c r="A61" s="25" t="s">
        <v>78</v>
      </c>
      <c r="B61" s="25" t="s">
        <v>11</v>
      </c>
      <c r="C61" s="25" t="s">
        <v>57</v>
      </c>
      <c r="D61" s="25" t="s">
        <v>58</v>
      </c>
      <c r="E61" s="25" t="s">
        <v>61</v>
      </c>
      <c r="F61" s="25">
        <v>1</v>
      </c>
      <c r="G61" s="58">
        <v>1362</v>
      </c>
      <c r="I61" s="38"/>
      <c r="J61" s="38"/>
      <c r="K61" s="38">
        <f>J61+G61</f>
        <v>1362</v>
      </c>
      <c r="L61" s="25">
        <v>20200918</v>
      </c>
      <c r="M61" s="170" t="s">
        <v>37</v>
      </c>
    </row>
    <row r="62" spans="1:14" x14ac:dyDescent="0.25">
      <c r="A62" s="25" t="s">
        <v>78</v>
      </c>
      <c r="B62" s="25" t="s">
        <v>11</v>
      </c>
      <c r="C62" s="25" t="s">
        <v>57</v>
      </c>
      <c r="D62" s="25" t="s">
        <v>58</v>
      </c>
      <c r="E62" s="25" t="s">
        <v>61</v>
      </c>
      <c r="F62" s="25">
        <v>20200918</v>
      </c>
      <c r="G62" s="58">
        <v>1362</v>
      </c>
      <c r="I62" s="38"/>
      <c r="J62" s="38"/>
      <c r="K62" s="38">
        <v>1362</v>
      </c>
      <c r="L62" s="25" t="s">
        <v>68</v>
      </c>
      <c r="M62" s="170" t="s">
        <v>37</v>
      </c>
    </row>
    <row r="63" spans="1:14" x14ac:dyDescent="0.25">
      <c r="A63" s="25" t="s">
        <v>75</v>
      </c>
      <c r="B63" s="25" t="s">
        <v>11</v>
      </c>
      <c r="C63" s="25" t="s">
        <v>76</v>
      </c>
      <c r="D63" s="25" t="s">
        <v>24</v>
      </c>
      <c r="E63" s="25" t="s">
        <v>77</v>
      </c>
      <c r="F63" s="25">
        <v>1</v>
      </c>
      <c r="G63" s="58">
        <v>1362</v>
      </c>
      <c r="I63" s="38"/>
      <c r="J63" s="38"/>
      <c r="K63" s="38">
        <f>J63+G63</f>
        <v>1362</v>
      </c>
      <c r="L63" s="25">
        <v>20200918</v>
      </c>
      <c r="M63" s="170" t="s">
        <v>37</v>
      </c>
    </row>
    <row r="64" spans="1:14" x14ac:dyDescent="0.25">
      <c r="A64" s="25" t="s">
        <v>75</v>
      </c>
      <c r="B64" s="25" t="s">
        <v>11</v>
      </c>
      <c r="C64" s="25" t="s">
        <v>76</v>
      </c>
      <c r="D64" s="25" t="s">
        <v>24</v>
      </c>
      <c r="E64" s="25" t="s">
        <v>77</v>
      </c>
      <c r="F64" s="25">
        <v>20200918</v>
      </c>
      <c r="G64" s="58">
        <v>1362</v>
      </c>
      <c r="I64" s="38"/>
      <c r="J64" s="38"/>
      <c r="K64" s="38">
        <v>1362</v>
      </c>
      <c r="L64" s="25" t="s">
        <v>68</v>
      </c>
      <c r="M64" s="170" t="s">
        <v>37</v>
      </c>
    </row>
    <row r="65" spans="1:14" x14ac:dyDescent="0.25">
      <c r="A65" s="25" t="s">
        <v>128</v>
      </c>
      <c r="B65" s="25" t="s">
        <v>11</v>
      </c>
      <c r="C65" s="25" t="s">
        <v>129</v>
      </c>
      <c r="D65" s="25" t="s">
        <v>24</v>
      </c>
      <c r="E65" s="25" t="s">
        <v>130</v>
      </c>
      <c r="F65" s="25">
        <v>20200930</v>
      </c>
      <c r="G65" s="58">
        <v>1362</v>
      </c>
      <c r="H65" s="25">
        <v>0</v>
      </c>
      <c r="I65" s="38">
        <v>16.7</v>
      </c>
      <c r="J65" s="38"/>
      <c r="K65" s="38">
        <v>1362</v>
      </c>
      <c r="L65" s="25" t="s">
        <v>68</v>
      </c>
      <c r="M65" s="170" t="s">
        <v>37</v>
      </c>
    </row>
    <row r="66" spans="1:14" x14ac:dyDescent="0.25">
      <c r="A66" s="25" t="s">
        <v>73</v>
      </c>
      <c r="B66" s="25" t="s">
        <v>11</v>
      </c>
      <c r="C66" s="25" t="s">
        <v>26</v>
      </c>
      <c r="D66" s="25" t="s">
        <v>41</v>
      </c>
      <c r="E66" s="25" t="s">
        <v>74</v>
      </c>
      <c r="F66" s="25">
        <v>1</v>
      </c>
      <c r="G66" s="58">
        <v>1362</v>
      </c>
      <c r="I66" s="38"/>
      <c r="J66" s="38"/>
      <c r="K66" s="38">
        <f>J66+G66</f>
        <v>1362</v>
      </c>
      <c r="L66" s="25">
        <v>20200918</v>
      </c>
      <c r="M66" s="170" t="s">
        <v>37</v>
      </c>
    </row>
    <row r="67" spans="1:14" x14ac:dyDescent="0.25">
      <c r="A67" s="25" t="s">
        <v>73</v>
      </c>
      <c r="B67" s="25" t="s">
        <v>11</v>
      </c>
      <c r="C67" s="25" t="s">
        <v>26</v>
      </c>
      <c r="D67" s="25" t="s">
        <v>41</v>
      </c>
      <c r="E67" s="25" t="s">
        <v>74</v>
      </c>
      <c r="F67" s="25">
        <v>20200918</v>
      </c>
      <c r="G67" s="58">
        <v>1362</v>
      </c>
      <c r="I67" s="38"/>
      <c r="J67" s="38"/>
      <c r="K67" s="38">
        <v>1362</v>
      </c>
      <c r="L67" s="25" t="s">
        <v>68</v>
      </c>
      <c r="M67" s="170" t="s">
        <v>37</v>
      </c>
    </row>
    <row r="68" spans="1:14" x14ac:dyDescent="0.25">
      <c r="A68" s="25" t="s">
        <v>72</v>
      </c>
      <c r="B68" s="25" t="s">
        <v>11</v>
      </c>
      <c r="C68" s="25" t="s">
        <v>45</v>
      </c>
      <c r="D68" s="25" t="s">
        <v>46</v>
      </c>
      <c r="E68" s="25" t="s">
        <v>48</v>
      </c>
      <c r="F68" s="25">
        <v>1</v>
      </c>
      <c r="G68" s="58">
        <v>1362</v>
      </c>
      <c r="I68" s="38"/>
      <c r="J68" s="38"/>
      <c r="K68" s="38">
        <f>J68+G68</f>
        <v>1362</v>
      </c>
      <c r="L68" s="25">
        <v>20200925</v>
      </c>
      <c r="M68" s="170" t="s">
        <v>37</v>
      </c>
    </row>
    <row r="69" spans="1:14" x14ac:dyDescent="0.25">
      <c r="A69" s="25" t="s">
        <v>72</v>
      </c>
      <c r="B69" s="25" t="s">
        <v>11</v>
      </c>
      <c r="C69" s="25" t="s">
        <v>45</v>
      </c>
      <c r="D69" s="25" t="s">
        <v>46</v>
      </c>
      <c r="E69" s="25" t="s">
        <v>48</v>
      </c>
      <c r="F69" s="25">
        <v>20200925</v>
      </c>
      <c r="G69" s="58">
        <v>1362</v>
      </c>
      <c r="I69" s="38"/>
      <c r="J69" s="38"/>
      <c r="K69" s="38">
        <v>1362</v>
      </c>
      <c r="L69" s="25" t="s">
        <v>68</v>
      </c>
      <c r="M69" s="170" t="s">
        <v>37</v>
      </c>
    </row>
    <row r="70" spans="1:14" x14ac:dyDescent="0.25">
      <c r="A70" s="42" t="s">
        <v>71</v>
      </c>
      <c r="B70" s="42" t="s">
        <v>11</v>
      </c>
      <c r="C70" s="42" t="s">
        <v>29</v>
      </c>
      <c r="D70" s="42" t="s">
        <v>30</v>
      </c>
      <c r="E70" s="42" t="s">
        <v>43</v>
      </c>
      <c r="F70" s="42">
        <v>1</v>
      </c>
      <c r="G70" s="59">
        <v>1362</v>
      </c>
      <c r="H70" s="42">
        <v>140</v>
      </c>
      <c r="I70" s="43">
        <v>16.7</v>
      </c>
      <c r="J70" s="43">
        <f>I70*H70</f>
        <v>2338</v>
      </c>
      <c r="K70" s="43">
        <f>J70+G70</f>
        <v>3700</v>
      </c>
      <c r="L70" s="42">
        <v>20200924</v>
      </c>
      <c r="M70" s="170" t="s">
        <v>37</v>
      </c>
      <c r="N70" s="56"/>
    </row>
    <row r="71" spans="1:14" x14ac:dyDescent="0.25">
      <c r="A71" s="25" t="s">
        <v>71</v>
      </c>
      <c r="B71" s="25" t="s">
        <v>11</v>
      </c>
      <c r="C71" s="25" t="s">
        <v>29</v>
      </c>
      <c r="D71" s="25" t="s">
        <v>30</v>
      </c>
      <c r="E71" s="25" t="s">
        <v>43</v>
      </c>
      <c r="F71" s="25">
        <v>20200924</v>
      </c>
      <c r="G71" s="58">
        <v>1362</v>
      </c>
      <c r="H71" s="25">
        <v>140</v>
      </c>
      <c r="I71" s="38">
        <v>16.7</v>
      </c>
      <c r="J71" s="38">
        <v>2338</v>
      </c>
      <c r="K71" s="38">
        <v>3700</v>
      </c>
      <c r="L71" s="25" t="s">
        <v>68</v>
      </c>
      <c r="M71" s="170" t="s">
        <v>37</v>
      </c>
    </row>
    <row r="72" spans="1:14" x14ac:dyDescent="0.25">
      <c r="A72" s="25" t="s">
        <v>70</v>
      </c>
      <c r="B72" s="25" t="s">
        <v>11</v>
      </c>
      <c r="C72" s="25" t="s">
        <v>29</v>
      </c>
      <c r="D72" s="25" t="s">
        <v>24</v>
      </c>
      <c r="E72" s="25" t="s">
        <v>54</v>
      </c>
      <c r="F72" s="25">
        <v>1</v>
      </c>
      <c r="G72" s="58">
        <v>1362</v>
      </c>
      <c r="I72" s="38"/>
      <c r="J72" s="38"/>
      <c r="K72" s="38">
        <f>J72+G72</f>
        <v>1362</v>
      </c>
      <c r="L72" s="25">
        <v>20200923</v>
      </c>
      <c r="M72" s="170" t="s">
        <v>37</v>
      </c>
    </row>
    <row r="73" spans="1:14" x14ac:dyDescent="0.25">
      <c r="A73" s="25" t="s">
        <v>70</v>
      </c>
      <c r="B73" s="25" t="s">
        <v>11</v>
      </c>
      <c r="C73" s="25" t="s">
        <v>29</v>
      </c>
      <c r="D73" s="25" t="s">
        <v>24</v>
      </c>
      <c r="E73" s="25" t="s">
        <v>54</v>
      </c>
      <c r="F73" s="25">
        <v>20200923</v>
      </c>
      <c r="G73" s="58">
        <v>1362</v>
      </c>
      <c r="I73" s="38"/>
      <c r="J73" s="38"/>
      <c r="K73" s="38">
        <v>1362</v>
      </c>
      <c r="L73" s="25" t="s">
        <v>68</v>
      </c>
      <c r="M73" s="170" t="s">
        <v>37</v>
      </c>
    </row>
    <row r="74" spans="1:14" x14ac:dyDescent="0.25">
      <c r="A74" s="25" t="s">
        <v>69</v>
      </c>
      <c r="B74" s="25" t="s">
        <v>11</v>
      </c>
      <c r="C74" s="25" t="s">
        <v>45</v>
      </c>
      <c r="D74" s="25" t="s">
        <v>46</v>
      </c>
      <c r="E74" s="25" t="s">
        <v>47</v>
      </c>
      <c r="F74" s="25">
        <v>1</v>
      </c>
      <c r="G74" s="58">
        <v>1362</v>
      </c>
      <c r="I74" s="38"/>
      <c r="J74" s="38"/>
      <c r="K74" s="38">
        <f>J74+G74</f>
        <v>1362</v>
      </c>
      <c r="L74" s="25">
        <v>20200925</v>
      </c>
      <c r="M74" s="170" t="s">
        <v>37</v>
      </c>
    </row>
    <row r="75" spans="1:14" x14ac:dyDescent="0.25">
      <c r="A75" s="25" t="s">
        <v>69</v>
      </c>
      <c r="B75" s="25" t="s">
        <v>11</v>
      </c>
      <c r="C75" s="25" t="s">
        <v>45</v>
      </c>
      <c r="D75" s="25" t="s">
        <v>46</v>
      </c>
      <c r="E75" s="25" t="s">
        <v>47</v>
      </c>
      <c r="F75" s="25">
        <v>20200925</v>
      </c>
      <c r="G75" s="58">
        <v>1362</v>
      </c>
      <c r="I75" s="38"/>
      <c r="J75" s="38"/>
      <c r="K75" s="38">
        <v>1362</v>
      </c>
      <c r="L75" s="25" t="s">
        <v>68</v>
      </c>
      <c r="M75" s="170" t="s">
        <v>37</v>
      </c>
    </row>
    <row r="76" spans="1:14" x14ac:dyDescent="0.25">
      <c r="A76" s="25" t="s">
        <v>126</v>
      </c>
      <c r="B76" s="25" t="s">
        <v>27</v>
      </c>
      <c r="C76" s="25" t="s">
        <v>36</v>
      </c>
      <c r="D76" s="25" t="s">
        <v>66</v>
      </c>
      <c r="E76" s="25" t="s">
        <v>127</v>
      </c>
      <c r="F76" s="25">
        <v>20200930</v>
      </c>
      <c r="G76" s="58">
        <v>1362</v>
      </c>
      <c r="H76" s="25">
        <v>148</v>
      </c>
      <c r="I76" s="38">
        <v>16.7</v>
      </c>
      <c r="J76" s="38">
        <v>2471.6</v>
      </c>
      <c r="K76" s="38">
        <v>3833.6</v>
      </c>
      <c r="L76" s="25" t="s">
        <v>68</v>
      </c>
      <c r="M76" s="170" t="s">
        <v>37</v>
      </c>
    </row>
    <row r="77" spans="1:14" x14ac:dyDescent="0.25">
      <c r="A77" s="42" t="s">
        <v>65</v>
      </c>
      <c r="B77" s="42" t="s">
        <v>27</v>
      </c>
      <c r="C77" s="42" t="s">
        <v>36</v>
      </c>
      <c r="D77" s="42" t="s">
        <v>66</v>
      </c>
      <c r="E77" s="42" t="s">
        <v>67</v>
      </c>
      <c r="F77" s="42">
        <v>1</v>
      </c>
      <c r="G77" s="59">
        <v>1362</v>
      </c>
      <c r="H77" s="42">
        <v>148</v>
      </c>
      <c r="I77" s="43">
        <v>16.7</v>
      </c>
      <c r="J77" s="38">
        <f>I77*H77</f>
        <v>2471.6</v>
      </c>
      <c r="K77" s="38">
        <f>J77+G77</f>
        <v>3833.6</v>
      </c>
      <c r="L77" s="42">
        <v>20200930</v>
      </c>
      <c r="M77" s="170" t="s">
        <v>37</v>
      </c>
      <c r="N77" s="56"/>
    </row>
    <row r="78" spans="1:14" x14ac:dyDescent="0.25">
      <c r="A78" s="25" t="s">
        <v>65</v>
      </c>
      <c r="B78" s="25" t="s">
        <v>27</v>
      </c>
      <c r="C78" s="25" t="s">
        <v>36</v>
      </c>
      <c r="D78" s="25" t="s">
        <v>66</v>
      </c>
      <c r="E78" s="25" t="s">
        <v>67</v>
      </c>
      <c r="F78" s="25">
        <v>20200930</v>
      </c>
      <c r="G78" s="58">
        <v>1362</v>
      </c>
      <c r="H78" s="25">
        <v>148</v>
      </c>
      <c r="I78" s="38">
        <v>16.7</v>
      </c>
      <c r="J78" s="38">
        <f t="shared" ref="J78:J86" si="0">I78*H78</f>
        <v>2471.6</v>
      </c>
      <c r="K78" s="38">
        <f t="shared" ref="K78:K86" si="1">J78+G78</f>
        <v>3833.6</v>
      </c>
      <c r="L78" s="25" t="s">
        <v>68</v>
      </c>
      <c r="M78" s="170" t="s">
        <v>37</v>
      </c>
    </row>
    <row r="79" spans="1:14" x14ac:dyDescent="0.25">
      <c r="A79" s="25" t="s">
        <v>0</v>
      </c>
      <c r="B79" s="25" t="s">
        <v>1</v>
      </c>
      <c r="C79" s="25" t="s">
        <v>2</v>
      </c>
      <c r="D79" s="25" t="s">
        <v>3</v>
      </c>
      <c r="E79" s="25" t="s">
        <v>4</v>
      </c>
      <c r="F79" s="25" t="s">
        <v>5</v>
      </c>
      <c r="G79" s="58" t="s">
        <v>6</v>
      </c>
      <c r="H79" s="25" t="s">
        <v>7</v>
      </c>
      <c r="I79" s="25" t="s">
        <v>8</v>
      </c>
      <c r="J79" s="38" t="e">
        <f t="shared" si="0"/>
        <v>#VALUE!</v>
      </c>
      <c r="K79" s="38" t="e">
        <f t="shared" si="1"/>
        <v>#VALUE!</v>
      </c>
      <c r="L79" s="25" t="s">
        <v>64</v>
      </c>
    </row>
    <row r="80" spans="1:14" x14ac:dyDescent="0.25">
      <c r="F80" s="25"/>
      <c r="I80" s="38"/>
      <c r="J80" s="38">
        <f t="shared" si="0"/>
        <v>0</v>
      </c>
      <c r="K80" s="38">
        <f t="shared" si="1"/>
        <v>0</v>
      </c>
    </row>
    <row r="81" spans="1:14" x14ac:dyDescent="0.25">
      <c r="F81" s="25"/>
      <c r="I81" s="38"/>
      <c r="J81" s="38">
        <f t="shared" si="0"/>
        <v>0</v>
      </c>
      <c r="K81" s="38">
        <f t="shared" si="1"/>
        <v>0</v>
      </c>
    </row>
    <row r="82" spans="1:14" x14ac:dyDescent="0.25">
      <c r="F82" s="25"/>
      <c r="I82" s="38"/>
      <c r="J82" s="38">
        <f t="shared" si="0"/>
        <v>0</v>
      </c>
      <c r="K82" s="38">
        <f t="shared" si="1"/>
        <v>0</v>
      </c>
    </row>
    <row r="83" spans="1:14" x14ac:dyDescent="0.25">
      <c r="F83" s="25"/>
      <c r="I83" s="38"/>
      <c r="J83" s="38">
        <f t="shared" si="0"/>
        <v>0</v>
      </c>
      <c r="K83" s="38">
        <f t="shared" si="1"/>
        <v>0</v>
      </c>
    </row>
    <row r="84" spans="1:14" x14ac:dyDescent="0.25">
      <c r="A84" s="25" t="s">
        <v>131</v>
      </c>
      <c r="B84" s="25" t="s">
        <v>27</v>
      </c>
      <c r="C84" s="25" t="s">
        <v>36</v>
      </c>
      <c r="D84" s="25" t="s">
        <v>66</v>
      </c>
      <c r="E84" s="25" t="s">
        <v>132</v>
      </c>
      <c r="F84" s="25">
        <v>1</v>
      </c>
      <c r="G84" s="58">
        <v>1362</v>
      </c>
      <c r="I84" s="38"/>
      <c r="J84" s="38"/>
      <c r="K84" s="38">
        <f t="shared" si="1"/>
        <v>1362</v>
      </c>
      <c r="L84" s="25">
        <v>20200929</v>
      </c>
      <c r="M84" s="170" t="s">
        <v>37</v>
      </c>
    </row>
    <row r="85" spans="1:14" x14ac:dyDescent="0.25">
      <c r="A85" s="25" t="s">
        <v>128</v>
      </c>
      <c r="B85" s="25" t="s">
        <v>11</v>
      </c>
      <c r="C85" s="25" t="s">
        <v>129</v>
      </c>
      <c r="D85" s="25" t="s">
        <v>24</v>
      </c>
      <c r="E85" s="25" t="s">
        <v>130</v>
      </c>
      <c r="F85" s="25">
        <v>1</v>
      </c>
      <c r="G85" s="58">
        <v>1362</v>
      </c>
      <c r="I85" s="38"/>
      <c r="J85" s="38"/>
      <c r="K85" s="38">
        <f t="shared" si="1"/>
        <v>1362</v>
      </c>
      <c r="L85" s="25">
        <v>20200930</v>
      </c>
      <c r="M85" s="170" t="s">
        <v>37</v>
      </c>
    </row>
    <row r="86" spans="1:14" x14ac:dyDescent="0.25">
      <c r="A86" s="42" t="s">
        <v>126</v>
      </c>
      <c r="B86" s="42" t="s">
        <v>27</v>
      </c>
      <c r="C86" s="42" t="s">
        <v>36</v>
      </c>
      <c r="D86" s="42" t="s">
        <v>66</v>
      </c>
      <c r="E86" s="42" t="s">
        <v>127</v>
      </c>
      <c r="F86" s="42">
        <v>1</v>
      </c>
      <c r="G86" s="59">
        <v>1362</v>
      </c>
      <c r="H86" s="42">
        <v>148</v>
      </c>
      <c r="I86" s="43">
        <v>16.7</v>
      </c>
      <c r="J86" s="43">
        <f t="shared" si="0"/>
        <v>2471.6</v>
      </c>
      <c r="K86" s="43">
        <f t="shared" si="1"/>
        <v>3833.6</v>
      </c>
      <c r="L86" s="42">
        <v>20200930</v>
      </c>
      <c r="M86" s="170" t="s">
        <v>37</v>
      </c>
    </row>
    <row r="87" spans="1:14" x14ac:dyDescent="0.25">
      <c r="F87" s="25"/>
      <c r="I87" s="38"/>
      <c r="J87" s="38"/>
      <c r="K87" s="38"/>
    </row>
    <row r="88" spans="1:14" x14ac:dyDescent="0.25">
      <c r="A88" s="25" t="s">
        <v>142</v>
      </c>
      <c r="B88" s="25" t="s">
        <v>137</v>
      </c>
      <c r="C88" s="25" t="s">
        <v>26</v>
      </c>
      <c r="D88" s="25" t="s">
        <v>141</v>
      </c>
      <c r="E88" s="25" t="s">
        <v>143</v>
      </c>
      <c r="F88" s="25">
        <v>1</v>
      </c>
      <c r="G88" s="46">
        <v>681</v>
      </c>
      <c r="H88" s="25">
        <v>120</v>
      </c>
      <c r="I88" s="46">
        <v>16.7</v>
      </c>
      <c r="J88" s="46">
        <v>2004</v>
      </c>
      <c r="K88" s="46">
        <v>2685</v>
      </c>
      <c r="L88">
        <v>20201002</v>
      </c>
      <c r="M88" s="170">
        <v>120</v>
      </c>
      <c r="N88" s="25">
        <f>M88-H88</f>
        <v>0</v>
      </c>
    </row>
    <row r="89" spans="1:14" x14ac:dyDescent="0.25">
      <c r="A89" s="25" t="s">
        <v>144</v>
      </c>
      <c r="B89" s="25" t="s">
        <v>11</v>
      </c>
      <c r="C89" s="25" t="s">
        <v>26</v>
      </c>
      <c r="D89" s="25" t="s">
        <v>145</v>
      </c>
      <c r="E89" s="25" t="s">
        <v>146</v>
      </c>
      <c r="F89" s="25">
        <v>1</v>
      </c>
      <c r="G89" s="46">
        <v>1362</v>
      </c>
      <c r="H89" s="25">
        <v>64</v>
      </c>
      <c r="I89" s="46">
        <v>16.7</v>
      </c>
      <c r="J89" s="46">
        <v>1068.8</v>
      </c>
      <c r="K89" s="46">
        <v>2430.8000000000002</v>
      </c>
      <c r="L89">
        <v>20201007</v>
      </c>
      <c r="M89" s="170">
        <v>64</v>
      </c>
      <c r="N89" s="25">
        <f t="shared" ref="N89:N102" si="2">M89-H89</f>
        <v>0</v>
      </c>
    </row>
    <row r="90" spans="1:14" x14ac:dyDescent="0.25">
      <c r="A90" s="25" t="s">
        <v>147</v>
      </c>
      <c r="B90" s="25" t="s">
        <v>11</v>
      </c>
      <c r="C90" s="25" t="s">
        <v>29</v>
      </c>
      <c r="D90" s="25" t="s">
        <v>148</v>
      </c>
      <c r="E90" s="25" t="s">
        <v>149</v>
      </c>
      <c r="F90" s="25">
        <v>1</v>
      </c>
      <c r="G90" s="46">
        <v>1362</v>
      </c>
      <c r="H90" s="25">
        <v>50</v>
      </c>
      <c r="I90" s="46">
        <v>16.7</v>
      </c>
      <c r="J90" s="46">
        <v>835</v>
      </c>
      <c r="K90" s="46">
        <v>2197</v>
      </c>
      <c r="L90">
        <v>20201013</v>
      </c>
      <c r="M90" s="170">
        <v>50</v>
      </c>
      <c r="N90" s="25">
        <f t="shared" si="2"/>
        <v>0</v>
      </c>
    </row>
    <row r="91" spans="1:14" x14ac:dyDescent="0.25">
      <c r="A91" s="25" t="s">
        <v>138</v>
      </c>
      <c r="B91" s="25" t="s">
        <v>137</v>
      </c>
      <c r="C91" s="25" t="s">
        <v>26</v>
      </c>
      <c r="D91" s="25" t="s">
        <v>139</v>
      </c>
      <c r="E91" s="25" t="s">
        <v>140</v>
      </c>
      <c r="F91" s="25">
        <v>1</v>
      </c>
      <c r="G91" s="46">
        <v>681</v>
      </c>
      <c r="H91" s="25">
        <v>30</v>
      </c>
      <c r="I91" s="46">
        <v>16.7</v>
      </c>
      <c r="J91" s="46">
        <v>501</v>
      </c>
      <c r="K91" s="46">
        <v>1182</v>
      </c>
      <c r="L91">
        <v>20201022</v>
      </c>
      <c r="M91" s="170">
        <v>30</v>
      </c>
      <c r="N91" s="25">
        <f t="shared" si="2"/>
        <v>0</v>
      </c>
    </row>
    <row r="92" spans="1:14" x14ac:dyDescent="0.25">
      <c r="A92" s="25" t="s">
        <v>133</v>
      </c>
      <c r="B92" s="25" t="s">
        <v>11</v>
      </c>
      <c r="C92" s="25" t="s">
        <v>134</v>
      </c>
      <c r="D92" s="25" t="s">
        <v>135</v>
      </c>
      <c r="E92" s="25" t="s">
        <v>136</v>
      </c>
      <c r="F92" s="25">
        <v>1</v>
      </c>
      <c r="G92" s="46">
        <v>1362</v>
      </c>
      <c r="H92" s="25">
        <v>25</v>
      </c>
      <c r="I92" s="46">
        <v>16.7</v>
      </c>
      <c r="J92" s="46">
        <v>417.5</v>
      </c>
      <c r="K92" s="46">
        <v>1779.5</v>
      </c>
      <c r="L92">
        <v>20201030</v>
      </c>
      <c r="M92" s="170">
        <v>25</v>
      </c>
      <c r="N92" s="25">
        <f t="shared" si="2"/>
        <v>0</v>
      </c>
    </row>
    <row r="93" spans="1:14" x14ac:dyDescent="0.25">
      <c r="F93" s="25"/>
      <c r="I93" s="38"/>
      <c r="J93" s="38"/>
      <c r="K93" s="38"/>
    </row>
    <row r="94" spans="1:14" x14ac:dyDescent="0.25">
      <c r="F94" s="25"/>
      <c r="I94" s="38"/>
      <c r="J94" s="38"/>
      <c r="K94" s="38"/>
    </row>
    <row r="95" spans="1:14" x14ac:dyDescent="0.25">
      <c r="A95" s="25" t="s">
        <v>158</v>
      </c>
      <c r="B95" s="25" t="s">
        <v>11</v>
      </c>
      <c r="C95" s="25" t="s">
        <v>29</v>
      </c>
      <c r="D95" s="25" t="s">
        <v>30</v>
      </c>
      <c r="E95" s="25" t="s">
        <v>43</v>
      </c>
      <c r="F95" s="25">
        <v>1</v>
      </c>
      <c r="G95" s="46">
        <v>1362</v>
      </c>
      <c r="H95" s="25">
        <v>140</v>
      </c>
      <c r="I95" s="46">
        <v>16.7</v>
      </c>
      <c r="J95" s="46">
        <v>2338</v>
      </c>
      <c r="K95" s="46">
        <v>3700</v>
      </c>
      <c r="L95">
        <v>20201102</v>
      </c>
      <c r="M95" s="170">
        <v>140</v>
      </c>
      <c r="N95" s="25">
        <f t="shared" si="2"/>
        <v>0</v>
      </c>
    </row>
    <row r="96" spans="1:14" s="26" customFormat="1" x14ac:dyDescent="0.25">
      <c r="A96" s="26" t="s">
        <v>156</v>
      </c>
      <c r="B96" s="26" t="s">
        <v>11</v>
      </c>
      <c r="C96" s="26" t="s">
        <v>31</v>
      </c>
      <c r="D96" s="26" t="s">
        <v>35</v>
      </c>
      <c r="E96" s="26" t="s">
        <v>157</v>
      </c>
      <c r="F96" s="26">
        <v>1</v>
      </c>
      <c r="G96" s="66">
        <v>1362</v>
      </c>
      <c r="H96" s="26">
        <v>64</v>
      </c>
      <c r="I96" s="66">
        <v>16.7</v>
      </c>
      <c r="J96" s="66">
        <v>1068.8</v>
      </c>
      <c r="K96" s="66">
        <v>2430.8000000000002</v>
      </c>
      <c r="L96" s="26">
        <v>20201105</v>
      </c>
      <c r="M96" s="171">
        <v>64</v>
      </c>
      <c r="N96" s="26">
        <f t="shared" si="2"/>
        <v>0</v>
      </c>
    </row>
    <row r="97" spans="1:14" s="26" customFormat="1" x14ac:dyDescent="0.25">
      <c r="A97" s="26" t="s">
        <v>159</v>
      </c>
      <c r="B97" s="26" t="s">
        <v>11</v>
      </c>
      <c r="C97" s="26" t="s">
        <v>134</v>
      </c>
      <c r="D97" s="26" t="s">
        <v>135</v>
      </c>
      <c r="E97" s="26" t="s">
        <v>136</v>
      </c>
      <c r="F97" s="26">
        <v>1</v>
      </c>
      <c r="G97" s="66">
        <v>1362</v>
      </c>
      <c r="H97" s="26">
        <v>25</v>
      </c>
      <c r="I97" s="66">
        <v>16.7</v>
      </c>
      <c r="J97" s="66">
        <v>417.5</v>
      </c>
      <c r="K97" s="66">
        <v>1779.5</v>
      </c>
      <c r="L97" s="26">
        <v>20201105</v>
      </c>
      <c r="M97" s="171">
        <v>25</v>
      </c>
      <c r="N97" s="26">
        <f t="shared" si="2"/>
        <v>0</v>
      </c>
    </row>
    <row r="98" spans="1:14" x14ac:dyDescent="0.25">
      <c r="A98" s="25" t="s">
        <v>160</v>
      </c>
      <c r="B98" s="25" t="s">
        <v>27</v>
      </c>
      <c r="C98" s="25" t="s">
        <v>32</v>
      </c>
      <c r="D98" s="25" t="s">
        <v>24</v>
      </c>
      <c r="E98" s="25" t="s">
        <v>161</v>
      </c>
      <c r="F98" s="25">
        <v>1</v>
      </c>
      <c r="G98" s="46">
        <v>1362</v>
      </c>
      <c r="H98" s="25">
        <v>30</v>
      </c>
      <c r="I98" s="46">
        <v>16.7</v>
      </c>
      <c r="J98" s="46">
        <v>501</v>
      </c>
      <c r="K98" s="46">
        <v>1863</v>
      </c>
      <c r="L98">
        <v>20201106</v>
      </c>
      <c r="M98" s="170">
        <v>30</v>
      </c>
      <c r="N98" s="25">
        <f t="shared" si="2"/>
        <v>0</v>
      </c>
    </row>
    <row r="99" spans="1:14" x14ac:dyDescent="0.25">
      <c r="A99" s="25" t="s">
        <v>154</v>
      </c>
      <c r="B99" s="25" t="s">
        <v>137</v>
      </c>
      <c r="C99" s="25" t="s">
        <v>26</v>
      </c>
      <c r="D99" s="25" t="s">
        <v>153</v>
      </c>
      <c r="E99" s="25" t="s">
        <v>155</v>
      </c>
      <c r="F99" s="25">
        <v>1</v>
      </c>
      <c r="G99" s="46">
        <v>681</v>
      </c>
      <c r="H99" s="25">
        <v>28</v>
      </c>
      <c r="I99" s="46">
        <v>16.7</v>
      </c>
      <c r="J99" s="46">
        <v>467.59999999999997</v>
      </c>
      <c r="K99" s="46">
        <v>1148.5999999999999</v>
      </c>
      <c r="L99">
        <v>20201109</v>
      </c>
      <c r="M99" s="170">
        <v>28</v>
      </c>
      <c r="N99" s="25">
        <f t="shared" si="2"/>
        <v>0</v>
      </c>
    </row>
    <row r="100" spans="1:14" x14ac:dyDescent="0.25">
      <c r="A100" s="25" t="s">
        <v>152</v>
      </c>
      <c r="B100" s="25" t="s">
        <v>11</v>
      </c>
      <c r="C100" s="25" t="s">
        <v>29</v>
      </c>
      <c r="D100" s="25" t="s">
        <v>148</v>
      </c>
      <c r="E100" s="25" t="s">
        <v>149</v>
      </c>
      <c r="F100" s="25">
        <v>1</v>
      </c>
      <c r="G100" s="46">
        <v>1362</v>
      </c>
      <c r="H100" s="25">
        <v>50</v>
      </c>
      <c r="I100" s="46">
        <v>16.7</v>
      </c>
      <c r="J100" s="46">
        <v>835</v>
      </c>
      <c r="K100" s="46">
        <v>2197</v>
      </c>
      <c r="L100">
        <v>20201116</v>
      </c>
      <c r="M100" s="170">
        <v>50</v>
      </c>
      <c r="N100" s="25">
        <f t="shared" si="2"/>
        <v>0</v>
      </c>
    </row>
    <row r="101" spans="1:14" x14ac:dyDescent="0.25">
      <c r="A101" s="25" t="s">
        <v>151</v>
      </c>
      <c r="B101" s="25" t="s">
        <v>11</v>
      </c>
      <c r="C101" s="25" t="s">
        <v>31</v>
      </c>
      <c r="D101" s="25" t="s">
        <v>35</v>
      </c>
      <c r="E101" s="25" t="s">
        <v>122</v>
      </c>
      <c r="F101" s="25">
        <v>1</v>
      </c>
      <c r="G101" s="46">
        <v>1362</v>
      </c>
      <c r="H101" s="25">
        <v>64</v>
      </c>
      <c r="I101" s="46">
        <v>16.7</v>
      </c>
      <c r="J101" s="46">
        <v>1068.8</v>
      </c>
      <c r="K101" s="46">
        <v>2430.8000000000002</v>
      </c>
      <c r="L101">
        <v>20201119</v>
      </c>
      <c r="M101" s="170">
        <v>64</v>
      </c>
      <c r="N101" s="25">
        <f t="shared" si="2"/>
        <v>0</v>
      </c>
    </row>
    <row r="102" spans="1:14" x14ac:dyDescent="0.25">
      <c r="A102" s="25" t="s">
        <v>150</v>
      </c>
      <c r="B102" s="25" t="s">
        <v>11</v>
      </c>
      <c r="C102" s="25" t="s">
        <v>45</v>
      </c>
      <c r="D102" s="25" t="s">
        <v>46</v>
      </c>
      <c r="E102" s="25" t="s">
        <v>47</v>
      </c>
      <c r="F102" s="25">
        <v>1</v>
      </c>
      <c r="G102" s="46">
        <v>1362</v>
      </c>
      <c r="H102" s="25">
        <v>50</v>
      </c>
      <c r="I102" s="46">
        <v>16.7</v>
      </c>
      <c r="J102" s="46">
        <v>835</v>
      </c>
      <c r="K102" s="46">
        <v>2197</v>
      </c>
      <c r="L102">
        <v>20201126</v>
      </c>
      <c r="M102" s="170">
        <v>50</v>
      </c>
      <c r="N102" s="25">
        <f t="shared" si="2"/>
        <v>0</v>
      </c>
    </row>
    <row r="103" spans="1:14" x14ac:dyDescent="0.25">
      <c r="F103" s="25"/>
      <c r="I103" s="38"/>
      <c r="J103" s="38"/>
      <c r="K103" s="38"/>
    </row>
    <row r="104" spans="1:14" s="42" customFormat="1" x14ac:dyDescent="0.25">
      <c r="A104" s="42" t="s">
        <v>184</v>
      </c>
      <c r="B104" s="42" t="s">
        <v>27</v>
      </c>
      <c r="C104" s="42" t="s">
        <v>163</v>
      </c>
      <c r="D104" s="42" t="s">
        <v>164</v>
      </c>
      <c r="E104" s="42" t="s">
        <v>185</v>
      </c>
      <c r="F104" s="42">
        <v>1</v>
      </c>
      <c r="G104" s="67">
        <v>1362</v>
      </c>
      <c r="H104" s="42">
        <v>120</v>
      </c>
      <c r="I104" s="67">
        <v>16.7</v>
      </c>
      <c r="J104" s="67">
        <v>2004</v>
      </c>
      <c r="K104" s="67">
        <v>3366</v>
      </c>
      <c r="L104" s="42">
        <v>20210106</v>
      </c>
      <c r="M104" s="172">
        <v>120</v>
      </c>
      <c r="N104" s="42">
        <f t="shared" ref="N104:N153" si="3">M104-H104</f>
        <v>0</v>
      </c>
    </row>
    <row r="105" spans="1:14" s="42" customFormat="1" x14ac:dyDescent="0.25">
      <c r="A105" s="42" t="s">
        <v>186</v>
      </c>
      <c r="B105" s="42" t="s">
        <v>27</v>
      </c>
      <c r="C105" s="42" t="s">
        <v>163</v>
      </c>
      <c r="D105" s="42" t="s">
        <v>164</v>
      </c>
      <c r="E105" s="42" t="s">
        <v>187</v>
      </c>
      <c r="F105" s="42">
        <v>1</v>
      </c>
      <c r="G105" s="67">
        <v>1362</v>
      </c>
      <c r="H105" s="42">
        <v>120</v>
      </c>
      <c r="I105" s="67">
        <v>16.7</v>
      </c>
      <c r="J105" s="67">
        <v>2004</v>
      </c>
      <c r="K105" s="67">
        <v>3366</v>
      </c>
      <c r="L105" s="42">
        <v>20210106</v>
      </c>
      <c r="M105" s="172">
        <v>120</v>
      </c>
      <c r="N105" s="42">
        <f t="shared" si="3"/>
        <v>0</v>
      </c>
    </row>
    <row r="106" spans="1:14" x14ac:dyDescent="0.25">
      <c r="A106" s="25" t="s">
        <v>182</v>
      </c>
      <c r="B106" s="25" t="s">
        <v>11</v>
      </c>
      <c r="C106" s="25" t="s">
        <v>134</v>
      </c>
      <c r="D106" s="25" t="s">
        <v>135</v>
      </c>
      <c r="E106" s="25" t="s">
        <v>183</v>
      </c>
      <c r="F106" s="25">
        <v>1</v>
      </c>
      <c r="G106" s="46">
        <v>1362</v>
      </c>
      <c r="H106" s="25">
        <v>25</v>
      </c>
      <c r="I106" s="46">
        <v>16.7</v>
      </c>
      <c r="J106" s="46">
        <v>417.5</v>
      </c>
      <c r="K106" s="46">
        <v>1779.5</v>
      </c>
      <c r="L106" s="25">
        <v>20210111</v>
      </c>
      <c r="M106" s="170">
        <v>25</v>
      </c>
      <c r="N106" s="25">
        <f t="shared" si="3"/>
        <v>0</v>
      </c>
    </row>
    <row r="107" spans="1:14" x14ac:dyDescent="0.25">
      <c r="A107" s="25" t="s">
        <v>181</v>
      </c>
      <c r="B107" s="25" t="s">
        <v>11</v>
      </c>
      <c r="C107" s="25" t="s">
        <v>31</v>
      </c>
      <c r="D107" s="25" t="s">
        <v>162</v>
      </c>
      <c r="E107" s="25" t="s">
        <v>178</v>
      </c>
      <c r="F107" s="25">
        <v>1</v>
      </c>
      <c r="G107" s="46">
        <v>1362</v>
      </c>
      <c r="H107" s="25">
        <v>60</v>
      </c>
      <c r="I107" s="46">
        <v>16.7</v>
      </c>
      <c r="J107" s="46">
        <v>1002</v>
      </c>
      <c r="K107" s="46">
        <v>2364</v>
      </c>
      <c r="L107" s="25">
        <v>20210119</v>
      </c>
      <c r="M107" s="170">
        <v>60</v>
      </c>
      <c r="N107" s="25">
        <f t="shared" si="3"/>
        <v>0</v>
      </c>
    </row>
    <row r="108" spans="1:14" x14ac:dyDescent="0.25">
      <c r="A108" s="25" t="s">
        <v>171</v>
      </c>
      <c r="B108" s="25" t="s">
        <v>137</v>
      </c>
      <c r="C108" s="25" t="s">
        <v>172</v>
      </c>
      <c r="D108" s="25" t="s">
        <v>173</v>
      </c>
      <c r="E108" s="25" t="s">
        <v>174</v>
      </c>
      <c r="F108" s="25">
        <v>1</v>
      </c>
      <c r="G108" s="46">
        <v>681</v>
      </c>
      <c r="H108" s="25">
        <v>140</v>
      </c>
      <c r="I108" s="46">
        <v>16.7</v>
      </c>
      <c r="J108" s="46">
        <v>2338</v>
      </c>
      <c r="K108" s="46">
        <v>3019</v>
      </c>
      <c r="L108" s="25">
        <v>20210121</v>
      </c>
      <c r="M108" s="170">
        <v>140</v>
      </c>
      <c r="N108" s="25">
        <f t="shared" si="3"/>
        <v>0</v>
      </c>
    </row>
    <row r="109" spans="1:14" x14ac:dyDescent="0.25">
      <c r="A109" s="25" t="s">
        <v>175</v>
      </c>
      <c r="B109" s="25" t="s">
        <v>11</v>
      </c>
      <c r="C109" s="25" t="s">
        <v>134</v>
      </c>
      <c r="D109" s="25" t="s">
        <v>176</v>
      </c>
      <c r="E109" s="25" t="s">
        <v>177</v>
      </c>
      <c r="F109" s="25">
        <v>1</v>
      </c>
      <c r="G109" s="46">
        <v>1362</v>
      </c>
      <c r="H109" s="25">
        <v>60</v>
      </c>
      <c r="I109" s="46">
        <v>16.7</v>
      </c>
      <c r="J109" s="46">
        <v>1002</v>
      </c>
      <c r="K109" s="46">
        <v>2364</v>
      </c>
      <c r="L109" s="25">
        <v>20210125</v>
      </c>
      <c r="M109" s="170">
        <v>60</v>
      </c>
      <c r="N109" s="25">
        <f t="shared" si="3"/>
        <v>0</v>
      </c>
    </row>
    <row r="110" spans="1:14" x14ac:dyDescent="0.25">
      <c r="A110" s="25" t="s">
        <v>167</v>
      </c>
      <c r="B110" s="25" t="s">
        <v>11</v>
      </c>
      <c r="C110" s="25" t="s">
        <v>168</v>
      </c>
      <c r="D110" s="25" t="s">
        <v>169</v>
      </c>
      <c r="E110" s="25" t="s">
        <v>170</v>
      </c>
      <c r="F110" s="25">
        <v>1</v>
      </c>
      <c r="G110" s="46">
        <v>1362</v>
      </c>
      <c r="H110" s="25">
        <v>140</v>
      </c>
      <c r="I110" s="46">
        <v>16.7</v>
      </c>
      <c r="J110" s="46">
        <v>2338</v>
      </c>
      <c r="K110" s="46">
        <v>3700</v>
      </c>
      <c r="L110" s="25">
        <v>20210127</v>
      </c>
      <c r="M110" s="170">
        <v>140</v>
      </c>
      <c r="N110" s="25">
        <f t="shared" si="3"/>
        <v>0</v>
      </c>
    </row>
    <row r="111" spans="1:14" x14ac:dyDescent="0.25">
      <c r="A111" s="25" t="s">
        <v>165</v>
      </c>
      <c r="B111" s="25" t="s">
        <v>11</v>
      </c>
      <c r="C111" s="25" t="s">
        <v>163</v>
      </c>
      <c r="D111" s="25" t="s">
        <v>164</v>
      </c>
      <c r="E111" s="25" t="s">
        <v>166</v>
      </c>
      <c r="F111" s="25">
        <v>1</v>
      </c>
      <c r="G111" s="46">
        <v>1362</v>
      </c>
      <c r="H111" s="25">
        <v>120</v>
      </c>
      <c r="I111" s="46">
        <v>16.7</v>
      </c>
      <c r="J111" s="46">
        <v>2004</v>
      </c>
      <c r="K111" s="46">
        <v>3366</v>
      </c>
      <c r="L111" s="25">
        <v>20210129</v>
      </c>
      <c r="M111" s="170">
        <v>120</v>
      </c>
      <c r="N111" s="25">
        <f t="shared" si="3"/>
        <v>0</v>
      </c>
    </row>
    <row r="112" spans="1:14" x14ac:dyDescent="0.25">
      <c r="F112" s="25"/>
      <c r="I112" s="38"/>
      <c r="J112" s="38"/>
      <c r="K112" s="38"/>
    </row>
    <row r="113" spans="1:14" x14ac:dyDescent="0.25">
      <c r="A113" s="25" t="s">
        <v>197</v>
      </c>
      <c r="B113" s="25" t="s">
        <v>11</v>
      </c>
      <c r="C113" s="25" t="s">
        <v>34</v>
      </c>
      <c r="D113" s="25" t="s">
        <v>35</v>
      </c>
      <c r="E113" s="25" t="s">
        <v>198</v>
      </c>
      <c r="F113" s="25"/>
      <c r="G113" s="46">
        <v>1362</v>
      </c>
      <c r="H113" s="25">
        <v>64</v>
      </c>
      <c r="I113" s="46">
        <v>16.7</v>
      </c>
      <c r="J113" s="46">
        <v>1068.8</v>
      </c>
      <c r="K113" s="46">
        <v>2430.8000000000002</v>
      </c>
      <c r="L113" s="25">
        <v>20210205</v>
      </c>
      <c r="M113" s="170">
        <v>64</v>
      </c>
      <c r="N113" s="25">
        <f t="shared" si="3"/>
        <v>0</v>
      </c>
    </row>
    <row r="114" spans="1:14" s="42" customFormat="1" x14ac:dyDescent="0.25">
      <c r="A114" s="42" t="s">
        <v>189</v>
      </c>
      <c r="B114" s="42" t="s">
        <v>11</v>
      </c>
      <c r="C114" s="42" t="s">
        <v>134</v>
      </c>
      <c r="D114" s="42" t="s">
        <v>135</v>
      </c>
      <c r="E114" s="42" t="s">
        <v>190</v>
      </c>
      <c r="F114" s="42">
        <v>1</v>
      </c>
      <c r="G114" s="67">
        <v>1362</v>
      </c>
      <c r="H114" s="42">
        <v>25</v>
      </c>
      <c r="I114" s="67">
        <v>16.7</v>
      </c>
      <c r="J114" s="67">
        <v>417.5</v>
      </c>
      <c r="K114" s="67">
        <v>1779.5</v>
      </c>
      <c r="L114" s="42">
        <v>20210210</v>
      </c>
      <c r="M114" s="172">
        <v>25</v>
      </c>
      <c r="N114" s="42">
        <f t="shared" si="3"/>
        <v>0</v>
      </c>
    </row>
    <row r="115" spans="1:14" s="42" customFormat="1" x14ac:dyDescent="0.25">
      <c r="A115" s="42" t="s">
        <v>191</v>
      </c>
      <c r="B115" s="42" t="s">
        <v>11</v>
      </c>
      <c r="C115" s="42" t="s">
        <v>134</v>
      </c>
      <c r="D115" s="42" t="s">
        <v>135</v>
      </c>
      <c r="E115" s="42" t="s">
        <v>136</v>
      </c>
      <c r="F115" s="42">
        <v>1</v>
      </c>
      <c r="G115" s="67">
        <v>1362</v>
      </c>
      <c r="H115" s="42">
        <v>25</v>
      </c>
      <c r="I115" s="67">
        <v>16.7</v>
      </c>
      <c r="J115" s="67">
        <v>417.5</v>
      </c>
      <c r="K115" s="67">
        <v>1779.5</v>
      </c>
      <c r="L115" s="42">
        <v>20210210</v>
      </c>
      <c r="M115" s="172">
        <v>25</v>
      </c>
      <c r="N115" s="42">
        <f t="shared" si="3"/>
        <v>0</v>
      </c>
    </row>
    <row r="116" spans="1:14" x14ac:dyDescent="0.25">
      <c r="A116" s="25" t="s">
        <v>192</v>
      </c>
      <c r="B116" s="25" t="s">
        <v>11</v>
      </c>
      <c r="C116" s="25" t="s">
        <v>26</v>
      </c>
      <c r="D116" s="25" t="s">
        <v>145</v>
      </c>
      <c r="E116" s="25" t="s">
        <v>193</v>
      </c>
      <c r="F116" s="25">
        <v>1</v>
      </c>
      <c r="G116" s="46">
        <v>1362</v>
      </c>
      <c r="H116" s="25">
        <v>64</v>
      </c>
      <c r="I116" s="46">
        <v>16.7</v>
      </c>
      <c r="J116" s="46">
        <v>1068.8</v>
      </c>
      <c r="K116" s="46">
        <v>2430.8000000000002</v>
      </c>
      <c r="L116" s="25">
        <v>20210219</v>
      </c>
      <c r="M116" s="170">
        <v>64</v>
      </c>
      <c r="N116" s="25">
        <f t="shared" si="3"/>
        <v>0</v>
      </c>
    </row>
    <row r="117" spans="1:14" x14ac:dyDescent="0.25">
      <c r="A117" s="25" t="s">
        <v>194</v>
      </c>
      <c r="B117" s="25" t="s">
        <v>11</v>
      </c>
      <c r="C117" s="25" t="s">
        <v>172</v>
      </c>
      <c r="D117" s="25" t="s">
        <v>195</v>
      </c>
      <c r="E117" s="25" t="s">
        <v>196</v>
      </c>
      <c r="F117" s="25">
        <v>1</v>
      </c>
      <c r="G117" s="46">
        <v>1362</v>
      </c>
      <c r="H117" s="25">
        <v>50</v>
      </c>
      <c r="I117" s="46">
        <v>16.7</v>
      </c>
      <c r="J117" s="46">
        <v>835</v>
      </c>
      <c r="K117" s="46">
        <v>2197</v>
      </c>
      <c r="L117" s="25">
        <v>20210224</v>
      </c>
      <c r="M117" s="170">
        <v>50</v>
      </c>
      <c r="N117" s="25">
        <f t="shared" si="3"/>
        <v>0</v>
      </c>
    </row>
    <row r="118" spans="1:14" x14ac:dyDescent="0.25">
      <c r="F118" s="25"/>
      <c r="G118" s="46"/>
      <c r="I118" s="46"/>
      <c r="J118" s="46"/>
      <c r="K118" s="46"/>
    </row>
    <row r="119" spans="1:14" x14ac:dyDescent="0.25">
      <c r="A119" s="25" t="s">
        <v>231</v>
      </c>
      <c r="B119" s="25" t="s">
        <v>27</v>
      </c>
      <c r="C119" s="25" t="s">
        <v>31</v>
      </c>
      <c r="D119" s="25" t="s">
        <v>35</v>
      </c>
      <c r="E119" s="25" t="s">
        <v>232</v>
      </c>
      <c r="F119" s="25">
        <v>1</v>
      </c>
      <c r="G119" s="46">
        <v>1362</v>
      </c>
      <c r="H119" s="25">
        <v>64</v>
      </c>
      <c r="I119" s="46">
        <v>16.7</v>
      </c>
      <c r="J119" s="46">
        <v>1068.8</v>
      </c>
      <c r="K119" s="46">
        <v>2430.8000000000002</v>
      </c>
      <c r="L119" s="25">
        <v>20210301</v>
      </c>
      <c r="M119" s="170">
        <v>64</v>
      </c>
      <c r="N119" s="25">
        <f t="shared" si="3"/>
        <v>0</v>
      </c>
    </row>
    <row r="120" spans="1:14" x14ac:dyDescent="0.25">
      <c r="A120" s="25" t="s">
        <v>229</v>
      </c>
      <c r="B120" s="25" t="s">
        <v>11</v>
      </c>
      <c r="C120" s="25" t="s">
        <v>31</v>
      </c>
      <c r="D120" s="25" t="s">
        <v>162</v>
      </c>
      <c r="E120" s="25" t="s">
        <v>230</v>
      </c>
      <c r="F120" s="25">
        <v>1</v>
      </c>
      <c r="G120" s="46">
        <v>1362</v>
      </c>
      <c r="H120" s="25">
        <v>60</v>
      </c>
      <c r="I120" s="46">
        <v>16.7</v>
      </c>
      <c r="J120" s="46">
        <v>1002</v>
      </c>
      <c r="K120" s="46">
        <v>2364</v>
      </c>
      <c r="L120" s="25">
        <v>20210303</v>
      </c>
      <c r="M120" s="170">
        <v>60</v>
      </c>
      <c r="N120" s="25">
        <f t="shared" si="3"/>
        <v>0</v>
      </c>
    </row>
    <row r="121" spans="1:14" x14ac:dyDescent="0.25">
      <c r="A121" s="25" t="s">
        <v>220</v>
      </c>
      <c r="B121" s="25" t="s">
        <v>11</v>
      </c>
      <c r="C121" s="25" t="s">
        <v>163</v>
      </c>
      <c r="D121" s="25" t="s">
        <v>164</v>
      </c>
      <c r="E121" s="25" t="s">
        <v>221</v>
      </c>
      <c r="F121" s="25">
        <v>1</v>
      </c>
      <c r="G121" s="46">
        <v>1362</v>
      </c>
      <c r="H121" s="25">
        <v>120</v>
      </c>
      <c r="I121" s="46">
        <v>16.7</v>
      </c>
      <c r="J121" s="46">
        <v>2004</v>
      </c>
      <c r="K121" s="46">
        <v>3366</v>
      </c>
      <c r="L121" s="25">
        <v>20210308</v>
      </c>
      <c r="M121" s="170">
        <v>120</v>
      </c>
      <c r="N121" s="25">
        <f t="shared" si="3"/>
        <v>0</v>
      </c>
    </row>
    <row r="122" spans="1:14" x14ac:dyDescent="0.25">
      <c r="A122" s="25" t="s">
        <v>222</v>
      </c>
      <c r="B122" s="25" t="s">
        <v>11</v>
      </c>
      <c r="C122" s="25" t="s">
        <v>172</v>
      </c>
      <c r="D122" s="25" t="s">
        <v>195</v>
      </c>
      <c r="E122" s="25" t="s">
        <v>196</v>
      </c>
      <c r="F122" s="25">
        <v>1</v>
      </c>
      <c r="G122" s="46">
        <v>1362</v>
      </c>
      <c r="H122" s="25">
        <v>50</v>
      </c>
      <c r="I122" s="46">
        <v>16.7</v>
      </c>
      <c r="J122" s="46">
        <v>835</v>
      </c>
      <c r="K122" s="46">
        <v>2197</v>
      </c>
      <c r="L122" s="25">
        <v>20210310</v>
      </c>
      <c r="M122" s="170">
        <v>50</v>
      </c>
      <c r="N122" s="25">
        <f t="shared" si="3"/>
        <v>0</v>
      </c>
    </row>
    <row r="123" spans="1:14" x14ac:dyDescent="0.25">
      <c r="A123" s="25" t="s">
        <v>225</v>
      </c>
      <c r="B123" s="25" t="s">
        <v>27</v>
      </c>
      <c r="C123" s="25" t="s">
        <v>26</v>
      </c>
      <c r="D123" s="25" t="s">
        <v>226</v>
      </c>
      <c r="E123" s="25" t="s">
        <v>227</v>
      </c>
      <c r="F123" s="25">
        <v>1</v>
      </c>
      <c r="G123" s="46">
        <v>1362</v>
      </c>
      <c r="H123" s="25">
        <v>140</v>
      </c>
      <c r="I123" s="46">
        <v>16.7</v>
      </c>
      <c r="J123" s="46">
        <v>2338</v>
      </c>
      <c r="K123" s="46">
        <v>3700</v>
      </c>
      <c r="L123" s="25">
        <v>20210312</v>
      </c>
      <c r="M123" s="170">
        <v>140</v>
      </c>
      <c r="N123" s="25">
        <f t="shared" si="3"/>
        <v>0</v>
      </c>
    </row>
    <row r="124" spans="1:14" x14ac:dyDescent="0.25">
      <c r="A124" s="25" t="s">
        <v>218</v>
      </c>
      <c r="B124" s="25" t="s">
        <v>11</v>
      </c>
      <c r="C124" s="25" t="s">
        <v>31</v>
      </c>
      <c r="D124" s="25" t="s">
        <v>162</v>
      </c>
      <c r="E124" s="25" t="s">
        <v>219</v>
      </c>
      <c r="F124" s="25">
        <v>1</v>
      </c>
      <c r="G124" s="46">
        <v>1362</v>
      </c>
      <c r="H124" s="25">
        <v>60</v>
      </c>
      <c r="I124" s="46">
        <v>16.7</v>
      </c>
      <c r="J124" s="46">
        <v>1002</v>
      </c>
      <c r="K124" s="46">
        <v>2364</v>
      </c>
      <c r="L124" s="25">
        <v>20210317</v>
      </c>
      <c r="M124" s="170">
        <v>60</v>
      </c>
      <c r="N124" s="25">
        <f t="shared" si="3"/>
        <v>0</v>
      </c>
    </row>
    <row r="125" spans="1:14" x14ac:dyDescent="0.25">
      <c r="A125" s="25" t="s">
        <v>216</v>
      </c>
      <c r="B125" s="25" t="s">
        <v>11</v>
      </c>
      <c r="C125" s="25" t="s">
        <v>103</v>
      </c>
      <c r="D125" s="25" t="s">
        <v>104</v>
      </c>
      <c r="E125" s="25" t="s">
        <v>217</v>
      </c>
      <c r="F125" s="25">
        <v>1</v>
      </c>
      <c r="G125" s="46">
        <v>1362</v>
      </c>
      <c r="H125" s="25">
        <v>140</v>
      </c>
      <c r="I125" s="46">
        <v>16.7</v>
      </c>
      <c r="J125" s="46">
        <v>2338</v>
      </c>
      <c r="K125" s="46">
        <v>3700</v>
      </c>
      <c r="L125" s="25">
        <v>20210318</v>
      </c>
      <c r="M125" s="170">
        <v>140</v>
      </c>
      <c r="N125" s="25">
        <f t="shared" si="3"/>
        <v>0</v>
      </c>
    </row>
    <row r="126" spans="1:14" s="26" customFormat="1" x14ac:dyDescent="0.25">
      <c r="A126" s="26" t="s">
        <v>206</v>
      </c>
      <c r="B126" s="26" t="s">
        <v>11</v>
      </c>
      <c r="C126" s="26" t="s">
        <v>163</v>
      </c>
      <c r="D126" s="26" t="s">
        <v>164</v>
      </c>
      <c r="E126" s="26" t="s">
        <v>207</v>
      </c>
      <c r="F126" s="26">
        <v>1</v>
      </c>
      <c r="G126" s="66">
        <v>1362</v>
      </c>
      <c r="H126" s="26">
        <v>120</v>
      </c>
      <c r="I126" s="66">
        <v>16.7</v>
      </c>
      <c r="J126" s="66">
        <v>2004</v>
      </c>
      <c r="K126" s="66">
        <v>3366</v>
      </c>
      <c r="L126" s="26">
        <v>20210319</v>
      </c>
      <c r="M126" s="171">
        <v>120</v>
      </c>
      <c r="N126" s="26">
        <f t="shared" si="3"/>
        <v>0</v>
      </c>
    </row>
    <row r="127" spans="1:14" s="26" customFormat="1" x14ac:dyDescent="0.25">
      <c r="A127" s="26" t="s">
        <v>211</v>
      </c>
      <c r="B127" s="26" t="s">
        <v>11</v>
      </c>
      <c r="C127" s="26" t="s">
        <v>163</v>
      </c>
      <c r="D127" s="26" t="s">
        <v>164</v>
      </c>
      <c r="E127" s="26" t="s">
        <v>212</v>
      </c>
      <c r="F127" s="26">
        <v>1</v>
      </c>
      <c r="G127" s="66">
        <v>1362</v>
      </c>
      <c r="H127" s="26">
        <v>120</v>
      </c>
      <c r="I127" s="66">
        <v>16.7</v>
      </c>
      <c r="J127" s="66">
        <v>2004</v>
      </c>
      <c r="K127" s="66">
        <v>3366</v>
      </c>
      <c r="L127" s="26">
        <v>20210319</v>
      </c>
      <c r="M127" s="171">
        <v>120</v>
      </c>
      <c r="N127" s="26">
        <f t="shared" si="3"/>
        <v>0</v>
      </c>
    </row>
    <row r="128" spans="1:14" s="42" customFormat="1" x14ac:dyDescent="0.25">
      <c r="A128" s="42" t="s">
        <v>233</v>
      </c>
      <c r="B128" s="42" t="s">
        <v>27</v>
      </c>
      <c r="C128" s="42" t="s">
        <v>26</v>
      </c>
      <c r="D128" s="42" t="s">
        <v>204</v>
      </c>
      <c r="E128" s="42" t="s">
        <v>234</v>
      </c>
      <c r="F128" s="42">
        <v>1</v>
      </c>
      <c r="G128" s="67">
        <v>1362</v>
      </c>
      <c r="H128" s="42">
        <v>140</v>
      </c>
      <c r="I128" s="67">
        <v>16.7</v>
      </c>
      <c r="J128" s="67">
        <v>2338</v>
      </c>
      <c r="K128" s="67">
        <v>3700</v>
      </c>
      <c r="L128" s="42">
        <v>20210323</v>
      </c>
      <c r="M128" s="172">
        <v>0</v>
      </c>
      <c r="N128" s="42">
        <f t="shared" si="3"/>
        <v>-140</v>
      </c>
    </row>
    <row r="129" spans="1:14" x14ac:dyDescent="0.25">
      <c r="A129" s="25" t="s">
        <v>213</v>
      </c>
      <c r="B129" s="25" t="s">
        <v>11</v>
      </c>
      <c r="C129" s="25" t="s">
        <v>202</v>
      </c>
      <c r="D129" s="25" t="s">
        <v>203</v>
      </c>
      <c r="E129" s="25" t="s">
        <v>214</v>
      </c>
      <c r="F129" s="25">
        <v>1</v>
      </c>
      <c r="G129" s="46">
        <v>1362</v>
      </c>
      <c r="H129" s="25">
        <v>78</v>
      </c>
      <c r="I129" s="46">
        <v>16.7</v>
      </c>
      <c r="J129" s="46">
        <v>1302.5999999999999</v>
      </c>
      <c r="K129" s="46">
        <v>2664.6</v>
      </c>
      <c r="L129" s="25">
        <v>20210329</v>
      </c>
      <c r="M129" s="170">
        <v>78</v>
      </c>
      <c r="N129" s="25">
        <f t="shared" si="3"/>
        <v>0</v>
      </c>
    </row>
    <row r="130" spans="1:14" x14ac:dyDescent="0.25">
      <c r="A130" s="25" t="s">
        <v>199</v>
      </c>
      <c r="B130" s="25" t="s">
        <v>11</v>
      </c>
      <c r="C130" s="25" t="s">
        <v>28</v>
      </c>
      <c r="D130" s="25" t="s">
        <v>200</v>
      </c>
      <c r="E130" s="25" t="s">
        <v>201</v>
      </c>
      <c r="F130" s="25">
        <v>1</v>
      </c>
      <c r="G130" s="46">
        <v>1362</v>
      </c>
      <c r="H130" s="25">
        <v>234</v>
      </c>
      <c r="I130" s="46">
        <v>16.7</v>
      </c>
      <c r="J130" s="46">
        <v>3907.7999999999997</v>
      </c>
      <c r="K130" s="46">
        <v>5269.7999999999993</v>
      </c>
      <c r="L130" s="25">
        <v>20210331</v>
      </c>
      <c r="M130" s="170">
        <v>234</v>
      </c>
      <c r="N130" s="25">
        <f t="shared" si="3"/>
        <v>0</v>
      </c>
    </row>
    <row r="131" spans="1:14" x14ac:dyDescent="0.25">
      <c r="F131" s="25"/>
      <c r="I131" s="38"/>
      <c r="J131" s="38"/>
      <c r="K131" s="38"/>
    </row>
    <row r="132" spans="1:14" x14ac:dyDescent="0.25">
      <c r="A132" s="25" t="s">
        <v>248</v>
      </c>
      <c r="B132" s="25" t="s">
        <v>11</v>
      </c>
      <c r="C132" s="25" t="s">
        <v>28</v>
      </c>
      <c r="D132" s="25" t="s">
        <v>200</v>
      </c>
      <c r="E132" s="25" t="s">
        <v>201</v>
      </c>
      <c r="F132" s="25">
        <v>1</v>
      </c>
      <c r="G132" s="46">
        <v>1362</v>
      </c>
      <c r="H132" s="25">
        <v>234</v>
      </c>
      <c r="I132" s="46">
        <v>16.7</v>
      </c>
      <c r="J132" s="46">
        <v>3907.7999999999997</v>
      </c>
      <c r="K132" s="46">
        <v>5269.7999999999993</v>
      </c>
      <c r="L132" s="25">
        <v>20210412</v>
      </c>
      <c r="N132" s="25">
        <f t="shared" si="3"/>
        <v>-234</v>
      </c>
    </row>
    <row r="133" spans="1:14" x14ac:dyDescent="0.25">
      <c r="A133" s="25" t="s">
        <v>249</v>
      </c>
      <c r="B133" s="25" t="s">
        <v>11</v>
      </c>
      <c r="C133" s="25" t="s">
        <v>134</v>
      </c>
      <c r="D133" s="25" t="s">
        <v>135</v>
      </c>
      <c r="E133" s="25" t="s">
        <v>136</v>
      </c>
      <c r="F133" s="25">
        <v>1</v>
      </c>
      <c r="G133" s="46">
        <v>1362</v>
      </c>
      <c r="H133" s="25">
        <v>25</v>
      </c>
      <c r="I133" s="46">
        <v>16.7</v>
      </c>
      <c r="J133" s="46">
        <v>417.5</v>
      </c>
      <c r="K133" s="46">
        <v>1779.5</v>
      </c>
      <c r="L133" s="25">
        <v>20210413</v>
      </c>
      <c r="N133" s="25">
        <f t="shared" si="3"/>
        <v>-25</v>
      </c>
    </row>
    <row r="134" spans="1:14" x14ac:dyDescent="0.25">
      <c r="A134" s="25" t="s">
        <v>246</v>
      </c>
      <c r="B134" s="25" t="s">
        <v>11</v>
      </c>
      <c r="C134" s="25" t="s">
        <v>31</v>
      </c>
      <c r="D134" s="25" t="s">
        <v>162</v>
      </c>
      <c r="E134" s="25" t="s">
        <v>215</v>
      </c>
      <c r="F134" s="25">
        <v>1</v>
      </c>
      <c r="G134" s="46">
        <v>1362</v>
      </c>
      <c r="H134" s="25">
        <v>60</v>
      </c>
      <c r="I134" s="46">
        <v>16.7</v>
      </c>
      <c r="J134" s="46">
        <v>1002</v>
      </c>
      <c r="K134" s="46">
        <v>2364</v>
      </c>
      <c r="L134" s="25">
        <v>20210415</v>
      </c>
      <c r="N134" s="25">
        <f t="shared" si="3"/>
        <v>-60</v>
      </c>
    </row>
    <row r="135" spans="1:14" x14ac:dyDescent="0.25">
      <c r="A135" s="25" t="s">
        <v>247</v>
      </c>
      <c r="B135" s="25" t="s">
        <v>11</v>
      </c>
      <c r="C135" s="25" t="s">
        <v>163</v>
      </c>
      <c r="D135" s="25" t="s">
        <v>164</v>
      </c>
      <c r="E135" s="25" t="s">
        <v>207</v>
      </c>
      <c r="F135" s="25">
        <v>1</v>
      </c>
      <c r="G135" s="46">
        <v>1362</v>
      </c>
      <c r="H135" s="25">
        <v>120</v>
      </c>
      <c r="I135" s="46">
        <v>16.7</v>
      </c>
      <c r="J135" s="46">
        <v>2004</v>
      </c>
      <c r="K135" s="46">
        <v>3366</v>
      </c>
      <c r="L135" s="25">
        <v>20210415</v>
      </c>
      <c r="N135" s="25">
        <f t="shared" si="3"/>
        <v>-120</v>
      </c>
    </row>
    <row r="136" spans="1:14" x14ac:dyDescent="0.25">
      <c r="A136" s="25" t="s">
        <v>245</v>
      </c>
      <c r="B136" s="25" t="s">
        <v>11</v>
      </c>
      <c r="C136" s="25" t="s">
        <v>31</v>
      </c>
      <c r="D136" s="25" t="s">
        <v>162</v>
      </c>
      <c r="E136" s="25" t="s">
        <v>239</v>
      </c>
      <c r="F136" s="25">
        <v>1</v>
      </c>
      <c r="G136" s="46">
        <v>1362</v>
      </c>
      <c r="H136" s="25">
        <v>60</v>
      </c>
      <c r="I136" s="46">
        <v>16.7</v>
      </c>
      <c r="J136" s="46">
        <v>1002</v>
      </c>
      <c r="K136" s="46">
        <v>2364</v>
      </c>
      <c r="L136" s="25">
        <v>20210422</v>
      </c>
      <c r="N136" s="25">
        <f t="shared" si="3"/>
        <v>-60</v>
      </c>
    </row>
    <row r="137" spans="1:14" x14ac:dyDescent="0.25">
      <c r="A137" s="25" t="s">
        <v>236</v>
      </c>
      <c r="B137" s="25" t="s">
        <v>137</v>
      </c>
      <c r="C137" s="25" t="s">
        <v>31</v>
      </c>
      <c r="D137" s="25" t="s">
        <v>162</v>
      </c>
      <c r="E137" s="25" t="s">
        <v>237</v>
      </c>
      <c r="F137" s="25">
        <v>1</v>
      </c>
      <c r="G137" s="46">
        <v>681</v>
      </c>
      <c r="H137" s="25">
        <v>60</v>
      </c>
      <c r="I137" s="46">
        <v>16.7</v>
      </c>
      <c r="J137" s="46">
        <v>1002</v>
      </c>
      <c r="K137" s="46">
        <v>1683</v>
      </c>
      <c r="L137" s="25">
        <v>20210426</v>
      </c>
      <c r="N137" s="25">
        <f t="shared" si="3"/>
        <v>-60</v>
      </c>
    </row>
    <row r="138" spans="1:14" x14ac:dyDescent="0.25">
      <c r="A138" s="25" t="s">
        <v>240</v>
      </c>
      <c r="B138" s="25" t="s">
        <v>11</v>
      </c>
      <c r="C138" s="25" t="s">
        <v>29</v>
      </c>
      <c r="D138" s="25" t="s">
        <v>241</v>
      </c>
      <c r="E138" s="25" t="s">
        <v>242</v>
      </c>
      <c r="F138" s="25">
        <v>1</v>
      </c>
      <c r="G138" s="46">
        <v>1362</v>
      </c>
      <c r="H138" s="25">
        <v>140</v>
      </c>
      <c r="I138" s="46">
        <v>16.7</v>
      </c>
      <c r="J138" s="46">
        <v>2338</v>
      </c>
      <c r="K138" s="46">
        <v>3700</v>
      </c>
      <c r="L138" s="25">
        <v>20210427</v>
      </c>
      <c r="N138" s="25">
        <f t="shared" si="3"/>
        <v>-140</v>
      </c>
    </row>
    <row r="139" spans="1:14" x14ac:dyDescent="0.25">
      <c r="A139" s="25" t="s">
        <v>243</v>
      </c>
      <c r="B139" s="25" t="s">
        <v>11</v>
      </c>
      <c r="C139" s="25" t="s">
        <v>163</v>
      </c>
      <c r="D139" s="25" t="s">
        <v>164</v>
      </c>
      <c r="E139" s="25" t="s">
        <v>244</v>
      </c>
      <c r="F139" s="25">
        <v>1</v>
      </c>
      <c r="G139" s="46">
        <v>1362</v>
      </c>
      <c r="H139" s="25">
        <v>120</v>
      </c>
      <c r="I139" s="46">
        <v>16.7</v>
      </c>
      <c r="J139" s="46">
        <v>2004</v>
      </c>
      <c r="K139" s="46">
        <v>3366</v>
      </c>
      <c r="L139" s="25">
        <v>20210427</v>
      </c>
      <c r="N139" s="25">
        <f t="shared" si="3"/>
        <v>-120</v>
      </c>
    </row>
    <row r="140" spans="1:14" x14ac:dyDescent="0.25">
      <c r="A140" s="25" t="s">
        <v>238</v>
      </c>
      <c r="B140" s="25" t="s">
        <v>11</v>
      </c>
      <c r="C140" s="25" t="s">
        <v>31</v>
      </c>
      <c r="D140" s="25" t="s">
        <v>162</v>
      </c>
      <c r="E140" s="25" t="s">
        <v>239</v>
      </c>
      <c r="F140" s="25">
        <v>1</v>
      </c>
      <c r="G140" s="46">
        <v>1362</v>
      </c>
      <c r="H140" s="25">
        <v>60</v>
      </c>
      <c r="I140" s="46">
        <v>16.7</v>
      </c>
      <c r="J140" s="46">
        <v>1002</v>
      </c>
      <c r="K140" s="46">
        <v>2364</v>
      </c>
      <c r="L140" s="25">
        <v>20210429</v>
      </c>
      <c r="N140" s="25">
        <f t="shared" si="3"/>
        <v>-60</v>
      </c>
    </row>
    <row r="141" spans="1:14" x14ac:dyDescent="0.25">
      <c r="F141" s="25"/>
      <c r="I141" s="38"/>
      <c r="J141" s="38"/>
      <c r="K141" s="38"/>
    </row>
    <row r="142" spans="1:14" x14ac:dyDescent="0.25">
      <c r="A142" s="25" t="s">
        <v>338</v>
      </c>
      <c r="B142" s="25" t="s">
        <v>11</v>
      </c>
      <c r="C142" s="25" t="s">
        <v>337</v>
      </c>
      <c r="D142" s="25" t="s">
        <v>35</v>
      </c>
      <c r="E142" s="25" t="s">
        <v>122</v>
      </c>
      <c r="F142" s="25">
        <v>1</v>
      </c>
      <c r="G142" s="46">
        <v>1870</v>
      </c>
      <c r="H142" s="25">
        <v>64</v>
      </c>
      <c r="I142" s="46">
        <v>25</v>
      </c>
      <c r="J142" s="46">
        <v>1600</v>
      </c>
      <c r="K142" s="46">
        <v>3470</v>
      </c>
      <c r="L142" s="25">
        <v>20210503</v>
      </c>
      <c r="M142" s="170">
        <v>64</v>
      </c>
      <c r="N142" s="25">
        <f t="shared" si="3"/>
        <v>0</v>
      </c>
    </row>
    <row r="143" spans="1:14" x14ac:dyDescent="0.25">
      <c r="A143" s="25" t="s">
        <v>336</v>
      </c>
      <c r="B143" s="25" t="s">
        <v>11</v>
      </c>
      <c r="C143" s="25" t="s">
        <v>337</v>
      </c>
      <c r="D143" s="25" t="s">
        <v>162</v>
      </c>
      <c r="E143" s="25" t="s">
        <v>235</v>
      </c>
      <c r="F143" s="25">
        <v>1</v>
      </c>
      <c r="G143" s="46">
        <v>1870</v>
      </c>
      <c r="H143" s="25">
        <v>60</v>
      </c>
      <c r="I143" s="46">
        <v>25</v>
      </c>
      <c r="J143" s="46">
        <v>1500</v>
      </c>
      <c r="K143" s="46">
        <v>3370</v>
      </c>
      <c r="L143" s="25">
        <v>20210505</v>
      </c>
      <c r="M143" s="170">
        <v>60</v>
      </c>
      <c r="N143" s="25">
        <f t="shared" si="3"/>
        <v>0</v>
      </c>
    </row>
    <row r="144" spans="1:14" x14ac:dyDescent="0.25">
      <c r="A144" s="25" t="s">
        <v>334</v>
      </c>
      <c r="B144" s="25" t="s">
        <v>11</v>
      </c>
      <c r="C144" s="25" t="s">
        <v>163</v>
      </c>
      <c r="D144" s="25" t="s">
        <v>164</v>
      </c>
      <c r="E144" s="25" t="s">
        <v>207</v>
      </c>
      <c r="F144" s="25">
        <v>1</v>
      </c>
      <c r="G144" s="46">
        <v>1870</v>
      </c>
      <c r="H144" s="25">
        <v>120</v>
      </c>
      <c r="I144" s="46">
        <v>25</v>
      </c>
      <c r="J144" s="46">
        <v>3000</v>
      </c>
      <c r="K144" s="46">
        <v>4870</v>
      </c>
      <c r="L144" s="25">
        <v>20210507</v>
      </c>
      <c r="M144" s="170">
        <v>120</v>
      </c>
      <c r="N144" s="25">
        <f t="shared" si="3"/>
        <v>0</v>
      </c>
    </row>
    <row r="145" spans="1:15" x14ac:dyDescent="0.25">
      <c r="A145" s="25" t="s">
        <v>315</v>
      </c>
      <c r="B145" s="25" t="s">
        <v>11</v>
      </c>
      <c r="C145" s="25" t="s">
        <v>26</v>
      </c>
      <c r="D145" s="25" t="s">
        <v>224</v>
      </c>
      <c r="E145" s="25" t="s">
        <v>316</v>
      </c>
      <c r="F145" s="25">
        <v>1</v>
      </c>
      <c r="G145" s="46">
        <v>1870</v>
      </c>
      <c r="H145" s="25">
        <v>50</v>
      </c>
      <c r="I145" s="46">
        <v>25</v>
      </c>
      <c r="J145" s="46">
        <v>1250</v>
      </c>
      <c r="K145" s="46">
        <v>3120</v>
      </c>
      <c r="L145" s="25">
        <v>20210511</v>
      </c>
      <c r="M145" s="170">
        <v>50</v>
      </c>
      <c r="N145" s="25">
        <f t="shared" si="3"/>
        <v>0</v>
      </c>
    </row>
    <row r="146" spans="1:15" s="42" customFormat="1" x14ac:dyDescent="0.25">
      <c r="A146" s="42" t="s">
        <v>266</v>
      </c>
      <c r="B146" s="42" t="s">
        <v>11</v>
      </c>
      <c r="C146" s="42" t="s">
        <v>28</v>
      </c>
      <c r="D146" s="42" t="s">
        <v>267</v>
      </c>
      <c r="E146" s="42" t="s">
        <v>268</v>
      </c>
      <c r="F146" s="42">
        <v>1</v>
      </c>
      <c r="G146" s="67">
        <v>1870</v>
      </c>
      <c r="H146" s="42">
        <v>136</v>
      </c>
      <c r="I146" s="67">
        <v>25</v>
      </c>
      <c r="J146" s="67">
        <v>3400</v>
      </c>
      <c r="K146" s="67">
        <v>5270</v>
      </c>
      <c r="L146" s="42">
        <v>20210517</v>
      </c>
      <c r="M146" s="172">
        <v>136</v>
      </c>
      <c r="N146" s="42">
        <f t="shared" si="3"/>
        <v>0</v>
      </c>
    </row>
    <row r="147" spans="1:15" s="42" customFormat="1" x14ac:dyDescent="0.25">
      <c r="A147" s="42" t="s">
        <v>289</v>
      </c>
      <c r="B147" s="42" t="s">
        <v>11</v>
      </c>
      <c r="C147" s="42" t="s">
        <v>163</v>
      </c>
      <c r="D147" s="42" t="s">
        <v>164</v>
      </c>
      <c r="E147" s="42" t="s">
        <v>166</v>
      </c>
      <c r="F147" s="42">
        <v>1</v>
      </c>
      <c r="G147" s="67">
        <v>1870</v>
      </c>
      <c r="H147" s="42">
        <v>120</v>
      </c>
      <c r="I147" s="67">
        <v>25</v>
      </c>
      <c r="J147" s="67">
        <v>3000</v>
      </c>
      <c r="K147" s="67">
        <v>4870</v>
      </c>
      <c r="L147" s="42">
        <v>20210517</v>
      </c>
      <c r="M147" s="172">
        <v>120</v>
      </c>
      <c r="N147" s="42">
        <f t="shared" si="3"/>
        <v>0</v>
      </c>
      <c r="O147" s="42" t="s">
        <v>346</v>
      </c>
    </row>
    <row r="148" spans="1:15" s="82" customFormat="1" x14ac:dyDescent="0.25">
      <c r="A148" s="82" t="s">
        <v>304</v>
      </c>
      <c r="B148" s="82" t="s">
        <v>11</v>
      </c>
      <c r="C148" s="82" t="s">
        <v>163</v>
      </c>
      <c r="D148" s="82" t="s">
        <v>164</v>
      </c>
      <c r="E148" s="82" t="s">
        <v>305</v>
      </c>
      <c r="F148" s="82">
        <v>1</v>
      </c>
      <c r="G148" s="83">
        <v>1870</v>
      </c>
      <c r="H148" s="82">
        <v>120</v>
      </c>
      <c r="I148" s="83">
        <v>25</v>
      </c>
      <c r="J148" s="83">
        <v>3000</v>
      </c>
      <c r="K148" s="83">
        <v>4870</v>
      </c>
      <c r="L148" s="82">
        <v>20210517</v>
      </c>
      <c r="M148" s="173">
        <v>120</v>
      </c>
      <c r="N148" s="82">
        <f t="shared" si="3"/>
        <v>0</v>
      </c>
      <c r="O148" s="82" t="s">
        <v>347</v>
      </c>
    </row>
    <row r="149" spans="1:15" x14ac:dyDescent="0.25">
      <c r="A149" s="25" t="s">
        <v>263</v>
      </c>
      <c r="B149" s="25" t="s">
        <v>11</v>
      </c>
      <c r="C149" s="25" t="s">
        <v>134</v>
      </c>
      <c r="D149" s="25" t="s">
        <v>135</v>
      </c>
      <c r="E149" s="25" t="s">
        <v>264</v>
      </c>
      <c r="F149" s="25">
        <v>1</v>
      </c>
      <c r="G149" s="46">
        <v>1870</v>
      </c>
      <c r="H149" s="25">
        <v>25</v>
      </c>
      <c r="I149" s="46">
        <v>25</v>
      </c>
      <c r="J149" s="46">
        <v>625</v>
      </c>
      <c r="K149" s="46">
        <v>2495</v>
      </c>
      <c r="L149" s="25">
        <v>20210518</v>
      </c>
      <c r="M149" s="170">
        <v>25</v>
      </c>
      <c r="N149" s="25">
        <f t="shared" si="3"/>
        <v>0</v>
      </c>
    </row>
    <row r="150" spans="1:15" s="42" customFormat="1" x14ac:dyDescent="0.25">
      <c r="A150" s="42" t="s">
        <v>291</v>
      </c>
      <c r="B150" s="42" t="s">
        <v>11</v>
      </c>
      <c r="C150" s="42" t="s">
        <v>34</v>
      </c>
      <c r="D150" s="42" t="s">
        <v>35</v>
      </c>
      <c r="E150" s="42" t="s">
        <v>292</v>
      </c>
      <c r="F150" s="42">
        <v>1</v>
      </c>
      <c r="G150" s="67">
        <v>1870</v>
      </c>
      <c r="H150" s="42">
        <v>64</v>
      </c>
      <c r="I150" s="67">
        <v>25</v>
      </c>
      <c r="J150" s="67">
        <v>1600</v>
      </c>
      <c r="K150" s="67">
        <v>3470</v>
      </c>
      <c r="L150" s="42">
        <v>20210528</v>
      </c>
      <c r="M150" s="172">
        <v>64</v>
      </c>
      <c r="N150" s="42">
        <f t="shared" si="3"/>
        <v>0</v>
      </c>
    </row>
    <row r="151" spans="1:15" s="82" customFormat="1" x14ac:dyDescent="0.25">
      <c r="A151" s="82" t="s">
        <v>293</v>
      </c>
      <c r="B151" s="82" t="s">
        <v>11</v>
      </c>
      <c r="C151" s="82" t="s">
        <v>34</v>
      </c>
      <c r="D151" s="82" t="s">
        <v>35</v>
      </c>
      <c r="E151" s="82" t="s">
        <v>114</v>
      </c>
      <c r="F151" s="82">
        <v>1</v>
      </c>
      <c r="G151" s="83">
        <v>1870</v>
      </c>
      <c r="H151" s="82">
        <v>64</v>
      </c>
      <c r="I151" s="83">
        <v>25</v>
      </c>
      <c r="J151" s="83">
        <v>1600</v>
      </c>
      <c r="K151" s="83">
        <v>3470</v>
      </c>
      <c r="L151" s="82">
        <v>20210528</v>
      </c>
      <c r="M151" s="173">
        <v>64</v>
      </c>
      <c r="N151" s="82">
        <f t="shared" si="3"/>
        <v>0</v>
      </c>
      <c r="O151" s="82" t="s">
        <v>348</v>
      </c>
    </row>
    <row r="152" spans="1:15" x14ac:dyDescent="0.25">
      <c r="A152" s="25" t="s">
        <v>311</v>
      </c>
      <c r="B152" s="25" t="s">
        <v>137</v>
      </c>
      <c r="C152" s="25" t="s">
        <v>26</v>
      </c>
      <c r="D152" s="25" t="s">
        <v>307</v>
      </c>
      <c r="E152" s="25" t="s">
        <v>312</v>
      </c>
      <c r="F152" s="25">
        <v>1</v>
      </c>
      <c r="G152" s="46">
        <v>935</v>
      </c>
      <c r="H152" s="25">
        <v>24</v>
      </c>
      <c r="I152" s="46">
        <v>25</v>
      </c>
      <c r="J152" s="46">
        <v>600</v>
      </c>
      <c r="K152" s="46">
        <v>1535</v>
      </c>
      <c r="L152" s="25">
        <v>20210510</v>
      </c>
      <c r="M152" s="170">
        <v>24</v>
      </c>
      <c r="N152" s="25">
        <f t="shared" si="3"/>
        <v>0</v>
      </c>
    </row>
    <row r="153" spans="1:15" s="82" customFormat="1" x14ac:dyDescent="0.25">
      <c r="A153" s="82" t="s">
        <v>269</v>
      </c>
      <c r="B153" s="82" t="s">
        <v>137</v>
      </c>
      <c r="C153" s="82" t="s">
        <v>270</v>
      </c>
      <c r="D153" s="82" t="s">
        <v>271</v>
      </c>
      <c r="E153" s="82" t="s">
        <v>272</v>
      </c>
      <c r="F153" s="82">
        <v>1</v>
      </c>
      <c r="G153" s="83">
        <v>935</v>
      </c>
      <c r="H153" s="82">
        <v>234</v>
      </c>
      <c r="I153" s="83">
        <v>25</v>
      </c>
      <c r="J153" s="83">
        <v>5850</v>
      </c>
      <c r="K153" s="83">
        <v>6785</v>
      </c>
      <c r="L153" s="82">
        <v>20210513</v>
      </c>
      <c r="M153" s="173">
        <v>220</v>
      </c>
      <c r="N153" s="82">
        <f t="shared" si="3"/>
        <v>-14</v>
      </c>
      <c r="O153" s="82" t="s">
        <v>349</v>
      </c>
    </row>
    <row r="154" spans="1:15" x14ac:dyDescent="0.25">
      <c r="F154" s="25"/>
      <c r="I154" s="38"/>
      <c r="J154" s="38"/>
      <c r="K154" s="38"/>
      <c r="N154" s="82"/>
    </row>
    <row r="155" spans="1:15" x14ac:dyDescent="0.25">
      <c r="A155" s="25" t="s">
        <v>415</v>
      </c>
      <c r="B155" s="25" t="s">
        <v>11</v>
      </c>
      <c r="C155" s="25" t="s">
        <v>337</v>
      </c>
      <c r="D155" s="25" t="s">
        <v>162</v>
      </c>
      <c r="E155" s="25" t="s">
        <v>239</v>
      </c>
      <c r="F155" s="25">
        <v>1</v>
      </c>
      <c r="G155" s="46">
        <v>1870</v>
      </c>
      <c r="H155" s="25">
        <v>60</v>
      </c>
      <c r="I155" s="46">
        <v>25</v>
      </c>
      <c r="J155" s="46">
        <v>1500</v>
      </c>
      <c r="K155" s="46">
        <v>3370</v>
      </c>
      <c r="L155" s="25">
        <v>20210520</v>
      </c>
      <c r="M155" s="170">
        <v>60</v>
      </c>
      <c r="N155" s="26">
        <f t="shared" ref="N155:N181" si="4">M155-H155</f>
        <v>0</v>
      </c>
    </row>
    <row r="156" spans="1:15" x14ac:dyDescent="0.25">
      <c r="A156" s="25" t="s">
        <v>414</v>
      </c>
      <c r="B156" s="25" t="s">
        <v>11</v>
      </c>
      <c r="C156" s="25" t="s">
        <v>168</v>
      </c>
      <c r="D156" s="25" t="s">
        <v>169</v>
      </c>
      <c r="E156" s="25" t="s">
        <v>170</v>
      </c>
      <c r="F156" s="25">
        <v>1</v>
      </c>
      <c r="G156" s="46">
        <v>1870</v>
      </c>
      <c r="H156" s="25">
        <v>140</v>
      </c>
      <c r="I156" s="46">
        <v>25</v>
      </c>
      <c r="J156" s="46">
        <v>3500</v>
      </c>
      <c r="K156" s="46">
        <v>5370</v>
      </c>
      <c r="L156" s="25">
        <v>20210602</v>
      </c>
      <c r="M156" s="170">
        <v>140</v>
      </c>
      <c r="N156" s="26">
        <f t="shared" si="4"/>
        <v>0</v>
      </c>
    </row>
    <row r="157" spans="1:15" x14ac:dyDescent="0.25">
      <c r="A157" s="25" t="s">
        <v>407</v>
      </c>
      <c r="B157" s="25" t="s">
        <v>11</v>
      </c>
      <c r="C157" s="25" t="s">
        <v>29</v>
      </c>
      <c r="D157" s="25" t="s">
        <v>148</v>
      </c>
      <c r="E157" s="25" t="s">
        <v>149</v>
      </c>
      <c r="F157" s="25">
        <v>1</v>
      </c>
      <c r="G157" s="46">
        <v>1870</v>
      </c>
      <c r="H157" s="25">
        <v>50</v>
      </c>
      <c r="I157" s="46">
        <v>25</v>
      </c>
      <c r="J157" s="46">
        <v>1250</v>
      </c>
      <c r="K157" s="46">
        <v>3120</v>
      </c>
      <c r="L157" s="25">
        <v>20210607</v>
      </c>
      <c r="M157" s="170">
        <v>50</v>
      </c>
      <c r="N157" s="26">
        <f t="shared" si="4"/>
        <v>0</v>
      </c>
    </row>
    <row r="158" spans="1:15" s="42" customFormat="1" x14ac:dyDescent="0.25">
      <c r="A158" s="42" t="s">
        <v>404</v>
      </c>
      <c r="B158" s="42" t="s">
        <v>11</v>
      </c>
      <c r="C158" s="42" t="s">
        <v>405</v>
      </c>
      <c r="D158" s="42" t="s">
        <v>24</v>
      </c>
      <c r="E158" s="42" t="s">
        <v>406</v>
      </c>
      <c r="F158" s="42">
        <v>1</v>
      </c>
      <c r="G158" s="67">
        <v>1870</v>
      </c>
      <c r="H158" s="42">
        <v>30</v>
      </c>
      <c r="I158" s="67">
        <v>25</v>
      </c>
      <c r="J158" s="67">
        <v>750</v>
      </c>
      <c r="K158" s="67">
        <v>2620</v>
      </c>
      <c r="L158" s="42">
        <v>20210608</v>
      </c>
      <c r="M158" s="172">
        <v>0</v>
      </c>
      <c r="N158" s="82">
        <f t="shared" si="4"/>
        <v>-30</v>
      </c>
      <c r="O158" s="42" t="s">
        <v>416</v>
      </c>
    </row>
    <row r="159" spans="1:15" x14ac:dyDescent="0.25">
      <c r="A159" s="25" t="s">
        <v>403</v>
      </c>
      <c r="B159" s="25" t="s">
        <v>11</v>
      </c>
      <c r="C159" s="25" t="s">
        <v>163</v>
      </c>
      <c r="D159" s="25" t="s">
        <v>164</v>
      </c>
      <c r="E159" s="25" t="s">
        <v>305</v>
      </c>
      <c r="F159" s="25">
        <v>1</v>
      </c>
      <c r="G159" s="46">
        <v>1870</v>
      </c>
      <c r="H159" s="25">
        <v>120</v>
      </c>
      <c r="I159" s="46">
        <v>25</v>
      </c>
      <c r="J159" s="46">
        <v>3000</v>
      </c>
      <c r="K159" s="46">
        <v>4870</v>
      </c>
      <c r="L159" s="25">
        <v>20210610</v>
      </c>
      <c r="M159" s="170">
        <v>120</v>
      </c>
      <c r="N159" s="26">
        <f t="shared" si="4"/>
        <v>0</v>
      </c>
    </row>
    <row r="160" spans="1:15" x14ac:dyDescent="0.25">
      <c r="A160" s="25" t="s">
        <v>395</v>
      </c>
      <c r="B160" s="25" t="s">
        <v>11</v>
      </c>
      <c r="C160" s="25" t="s">
        <v>28</v>
      </c>
      <c r="D160" s="25" t="s">
        <v>396</v>
      </c>
      <c r="E160" s="25" t="s">
        <v>397</v>
      </c>
      <c r="F160" s="25">
        <v>1</v>
      </c>
      <c r="G160" s="46">
        <v>1870</v>
      </c>
      <c r="H160" s="25">
        <v>76</v>
      </c>
      <c r="I160" s="46">
        <v>25</v>
      </c>
      <c r="J160" s="46">
        <v>1900</v>
      </c>
      <c r="K160" s="46">
        <v>3770</v>
      </c>
      <c r="L160" s="25">
        <v>20210614</v>
      </c>
      <c r="M160" s="170">
        <v>76</v>
      </c>
      <c r="N160" s="26">
        <f t="shared" si="4"/>
        <v>0</v>
      </c>
    </row>
    <row r="161" spans="1:16" x14ac:dyDescent="0.25">
      <c r="A161" s="25" t="s">
        <v>382</v>
      </c>
      <c r="B161" s="25" t="s">
        <v>11</v>
      </c>
      <c r="C161" s="25" t="s">
        <v>28</v>
      </c>
      <c r="D161" s="25" t="s">
        <v>383</v>
      </c>
      <c r="E161" s="25" t="s">
        <v>384</v>
      </c>
      <c r="F161" s="25">
        <v>1</v>
      </c>
      <c r="G161" s="46">
        <v>1870</v>
      </c>
      <c r="H161" s="25">
        <v>370</v>
      </c>
      <c r="I161" s="46">
        <v>25</v>
      </c>
      <c r="J161" s="46">
        <v>9250</v>
      </c>
      <c r="K161" s="46">
        <v>11120</v>
      </c>
      <c r="L161" s="25">
        <v>20210615</v>
      </c>
      <c r="M161" s="170">
        <v>370</v>
      </c>
      <c r="N161" s="26">
        <f t="shared" si="4"/>
        <v>0</v>
      </c>
    </row>
    <row r="162" spans="1:16" x14ac:dyDescent="0.25">
      <c r="A162" s="25" t="s">
        <v>401</v>
      </c>
      <c r="B162" s="25" t="s">
        <v>11</v>
      </c>
      <c r="C162" s="25" t="s">
        <v>337</v>
      </c>
      <c r="D162" s="25" t="s">
        <v>35</v>
      </c>
      <c r="E162" s="25" t="s">
        <v>402</v>
      </c>
      <c r="F162" s="25">
        <v>1</v>
      </c>
      <c r="G162" s="46">
        <v>1870</v>
      </c>
      <c r="H162" s="25">
        <v>64</v>
      </c>
      <c r="I162" s="46">
        <v>25</v>
      </c>
      <c r="J162" s="46">
        <v>1600</v>
      </c>
      <c r="K162" s="46">
        <v>3470</v>
      </c>
      <c r="L162" s="25">
        <v>20210616</v>
      </c>
      <c r="M162" s="170">
        <v>64</v>
      </c>
      <c r="N162" s="26">
        <f t="shared" si="4"/>
        <v>0</v>
      </c>
    </row>
    <row r="163" spans="1:16" x14ac:dyDescent="0.25">
      <c r="A163" s="25" t="s">
        <v>386</v>
      </c>
      <c r="B163" s="25" t="s">
        <v>11</v>
      </c>
      <c r="C163" s="25" t="s">
        <v>163</v>
      </c>
      <c r="D163" s="25" t="s">
        <v>164</v>
      </c>
      <c r="E163" s="25" t="s">
        <v>305</v>
      </c>
      <c r="F163" s="25">
        <v>1</v>
      </c>
      <c r="G163" s="46">
        <v>1870</v>
      </c>
      <c r="H163" s="25">
        <v>120</v>
      </c>
      <c r="I163" s="46">
        <v>25</v>
      </c>
      <c r="J163" s="46">
        <v>3000</v>
      </c>
      <c r="K163" s="46">
        <v>4870</v>
      </c>
      <c r="L163" s="25">
        <v>20210617</v>
      </c>
      <c r="M163" s="170">
        <v>120</v>
      </c>
      <c r="N163" s="26">
        <f t="shared" si="4"/>
        <v>0</v>
      </c>
    </row>
    <row r="164" spans="1:16" x14ac:dyDescent="0.25">
      <c r="A164" s="25" t="s">
        <v>377</v>
      </c>
      <c r="B164" s="25" t="s">
        <v>11</v>
      </c>
      <c r="C164" s="25" t="s">
        <v>337</v>
      </c>
      <c r="D164" s="25" t="s">
        <v>162</v>
      </c>
      <c r="E164" s="25" t="s">
        <v>378</v>
      </c>
      <c r="F164" s="25">
        <v>1</v>
      </c>
      <c r="G164" s="46">
        <v>1870</v>
      </c>
      <c r="H164" s="25">
        <v>60</v>
      </c>
      <c r="I164" s="46">
        <v>25</v>
      </c>
      <c r="J164" s="46">
        <v>1500</v>
      </c>
      <c r="K164" s="46">
        <v>3370</v>
      </c>
      <c r="L164" s="25">
        <v>20210622</v>
      </c>
      <c r="M164" s="170">
        <v>60</v>
      </c>
      <c r="N164" s="26">
        <f t="shared" si="4"/>
        <v>0</v>
      </c>
      <c r="O164" s="47"/>
      <c r="P164" s="47"/>
    </row>
    <row r="165" spans="1:16" s="42" customFormat="1" x14ac:dyDescent="0.25">
      <c r="A165" s="42" t="s">
        <v>360</v>
      </c>
      <c r="B165" s="42" t="s">
        <v>11</v>
      </c>
      <c r="C165" s="42" t="s">
        <v>163</v>
      </c>
      <c r="D165" s="42" t="s">
        <v>164</v>
      </c>
      <c r="E165" s="42" t="s">
        <v>361</v>
      </c>
      <c r="F165" s="42">
        <v>1</v>
      </c>
      <c r="G165" s="67">
        <v>1870</v>
      </c>
      <c r="H165" s="42">
        <v>120</v>
      </c>
      <c r="I165" s="67">
        <v>25</v>
      </c>
      <c r="J165" s="67">
        <v>3000</v>
      </c>
      <c r="K165" s="67">
        <v>4870</v>
      </c>
      <c r="L165" s="42">
        <v>20210628</v>
      </c>
      <c r="M165" s="172">
        <v>120</v>
      </c>
      <c r="N165" s="82">
        <f t="shared" si="4"/>
        <v>0</v>
      </c>
    </row>
    <row r="166" spans="1:16" s="42" customFormat="1" x14ac:dyDescent="0.25">
      <c r="A166" s="42" t="s">
        <v>367</v>
      </c>
      <c r="B166" s="42" t="s">
        <v>11</v>
      </c>
      <c r="C166" s="42" t="s">
        <v>270</v>
      </c>
      <c r="D166" s="42" t="s">
        <v>368</v>
      </c>
      <c r="E166" s="42" t="s">
        <v>369</v>
      </c>
      <c r="F166" s="42">
        <v>1</v>
      </c>
      <c r="G166" s="67">
        <v>1870</v>
      </c>
      <c r="H166" s="42">
        <v>120</v>
      </c>
      <c r="I166" s="67">
        <v>25</v>
      </c>
      <c r="J166" s="67">
        <v>3000</v>
      </c>
      <c r="K166" s="67">
        <v>4870</v>
      </c>
      <c r="L166" s="42">
        <v>20210628</v>
      </c>
      <c r="M166" s="172">
        <v>120</v>
      </c>
      <c r="N166" s="82">
        <f t="shared" si="4"/>
        <v>0</v>
      </c>
    </row>
    <row r="167" spans="1:16" x14ac:dyDescent="0.25">
      <c r="A167" s="25" t="s">
        <v>350</v>
      </c>
      <c r="B167" s="25" t="s">
        <v>11</v>
      </c>
      <c r="C167" s="25" t="s">
        <v>26</v>
      </c>
      <c r="D167" s="25" t="s">
        <v>351</v>
      </c>
      <c r="E167" s="25" t="s">
        <v>352</v>
      </c>
      <c r="F167" s="25">
        <v>1</v>
      </c>
      <c r="G167" s="46">
        <v>1870</v>
      </c>
      <c r="H167" s="25">
        <v>60</v>
      </c>
      <c r="I167" s="46">
        <v>25</v>
      </c>
      <c r="J167" s="46">
        <v>1500</v>
      </c>
      <c r="K167" s="46">
        <v>3370</v>
      </c>
      <c r="L167" s="25">
        <v>20210629</v>
      </c>
      <c r="M167" s="170">
        <v>60</v>
      </c>
      <c r="N167" s="26">
        <f t="shared" si="4"/>
        <v>0</v>
      </c>
    </row>
    <row r="168" spans="1:16" x14ac:dyDescent="0.25">
      <c r="F168" s="25"/>
      <c r="I168" s="38"/>
      <c r="J168" s="38"/>
      <c r="K168" s="38"/>
      <c r="N168" s="26"/>
    </row>
    <row r="169" spans="1:16" x14ac:dyDescent="0.25">
      <c r="A169" s="25" t="s">
        <v>499</v>
      </c>
      <c r="B169" s="25" t="s">
        <v>11</v>
      </c>
      <c r="C169" s="25" t="s">
        <v>26</v>
      </c>
      <c r="D169" s="25" t="s">
        <v>224</v>
      </c>
      <c r="E169" s="25" t="s">
        <v>316</v>
      </c>
      <c r="F169" s="25">
        <v>1</v>
      </c>
      <c r="G169" s="46">
        <v>1870</v>
      </c>
      <c r="H169" s="25">
        <v>50</v>
      </c>
      <c r="I169" s="46">
        <v>25</v>
      </c>
      <c r="J169" s="46">
        <v>1250</v>
      </c>
      <c r="K169" s="46">
        <v>3120</v>
      </c>
      <c r="L169" s="25">
        <v>20210712</v>
      </c>
      <c r="M169" s="170">
        <v>50</v>
      </c>
      <c r="N169" s="26">
        <f t="shared" si="4"/>
        <v>0</v>
      </c>
    </row>
    <row r="170" spans="1:16" x14ac:dyDescent="0.25">
      <c r="A170" s="25" t="s">
        <v>489</v>
      </c>
      <c r="B170" s="25" t="s">
        <v>11</v>
      </c>
      <c r="C170" s="25" t="s">
        <v>134</v>
      </c>
      <c r="D170" s="25" t="s">
        <v>135</v>
      </c>
      <c r="E170" s="25" t="s">
        <v>190</v>
      </c>
      <c r="F170" s="25">
        <v>1</v>
      </c>
      <c r="G170" s="46">
        <v>1870</v>
      </c>
      <c r="H170" s="25">
        <v>25</v>
      </c>
      <c r="I170" s="46">
        <v>25</v>
      </c>
      <c r="J170" s="46">
        <v>625</v>
      </c>
      <c r="K170" s="46">
        <v>2495</v>
      </c>
      <c r="L170" s="25">
        <v>20210713</v>
      </c>
      <c r="M170" s="170">
        <v>25</v>
      </c>
      <c r="N170" s="26">
        <f t="shared" si="4"/>
        <v>0</v>
      </c>
    </row>
    <row r="171" spans="1:16" x14ac:dyDescent="0.25">
      <c r="A171" s="25" t="s">
        <v>496</v>
      </c>
      <c r="B171" s="25" t="s">
        <v>11</v>
      </c>
      <c r="C171" s="25" t="s">
        <v>26</v>
      </c>
      <c r="D171" s="25" t="s">
        <v>497</v>
      </c>
      <c r="E171" s="25" t="s">
        <v>498</v>
      </c>
      <c r="F171" s="25">
        <v>1</v>
      </c>
      <c r="G171" s="46">
        <v>1870</v>
      </c>
      <c r="H171" s="25">
        <v>140</v>
      </c>
      <c r="I171" s="46">
        <v>25</v>
      </c>
      <c r="J171" s="46">
        <v>3500</v>
      </c>
      <c r="K171" s="46">
        <v>5370</v>
      </c>
      <c r="L171" s="25">
        <v>20210714</v>
      </c>
      <c r="M171" s="170">
        <v>140</v>
      </c>
      <c r="N171" s="26">
        <f t="shared" si="4"/>
        <v>0</v>
      </c>
    </row>
    <row r="172" spans="1:16" x14ac:dyDescent="0.25">
      <c r="A172" s="25" t="s">
        <v>493</v>
      </c>
      <c r="B172" s="25" t="s">
        <v>11</v>
      </c>
      <c r="C172" s="25" t="s">
        <v>270</v>
      </c>
      <c r="D172" s="25" t="s">
        <v>494</v>
      </c>
      <c r="E172" s="25" t="s">
        <v>495</v>
      </c>
      <c r="F172" s="25">
        <v>1</v>
      </c>
      <c r="G172" s="46">
        <v>1870</v>
      </c>
      <c r="H172" s="25">
        <v>120</v>
      </c>
      <c r="I172" s="46">
        <v>25</v>
      </c>
      <c r="J172" s="46">
        <v>3000</v>
      </c>
      <c r="K172" s="46">
        <v>4870</v>
      </c>
      <c r="L172" s="25">
        <v>20210715</v>
      </c>
      <c r="M172" s="170">
        <v>120</v>
      </c>
      <c r="N172" s="26">
        <f t="shared" si="4"/>
        <v>0</v>
      </c>
    </row>
    <row r="173" spans="1:16" s="84" customFormat="1" x14ac:dyDescent="0.25">
      <c r="A173" s="84" t="s">
        <v>472</v>
      </c>
      <c r="B173" s="84" t="s">
        <v>11</v>
      </c>
      <c r="C173" s="84" t="s">
        <v>337</v>
      </c>
      <c r="D173" s="84" t="s">
        <v>35</v>
      </c>
      <c r="E173" s="84" t="s">
        <v>157</v>
      </c>
      <c r="F173" s="84">
        <v>1</v>
      </c>
      <c r="G173" s="85">
        <v>1870</v>
      </c>
      <c r="H173" s="84">
        <v>64</v>
      </c>
      <c r="I173" s="85">
        <v>25</v>
      </c>
      <c r="J173" s="85">
        <v>1600</v>
      </c>
      <c r="K173" s="85">
        <v>3470</v>
      </c>
      <c r="L173" s="84">
        <v>20210719</v>
      </c>
      <c r="M173" s="189">
        <v>64</v>
      </c>
      <c r="N173" s="86">
        <f t="shared" si="4"/>
        <v>0</v>
      </c>
    </row>
    <row r="174" spans="1:16" s="84" customFormat="1" x14ac:dyDescent="0.25">
      <c r="A174" s="84" t="s">
        <v>479</v>
      </c>
      <c r="B174" s="84" t="s">
        <v>11</v>
      </c>
      <c r="C174" s="84" t="s">
        <v>337</v>
      </c>
      <c r="D174" s="84" t="s">
        <v>162</v>
      </c>
      <c r="E174" s="84" t="s">
        <v>423</v>
      </c>
      <c r="F174" s="84">
        <v>1</v>
      </c>
      <c r="G174" s="85">
        <v>1870</v>
      </c>
      <c r="H174" s="84">
        <v>60</v>
      </c>
      <c r="I174" s="85">
        <v>25</v>
      </c>
      <c r="J174" s="85">
        <v>1500</v>
      </c>
      <c r="K174" s="85">
        <v>3370</v>
      </c>
      <c r="L174" s="84">
        <v>20210719</v>
      </c>
      <c r="M174" s="189">
        <v>60</v>
      </c>
      <c r="N174" s="86">
        <f t="shared" si="4"/>
        <v>0</v>
      </c>
    </row>
    <row r="175" spans="1:16" s="84" customFormat="1" x14ac:dyDescent="0.25">
      <c r="A175" s="84" t="s">
        <v>487</v>
      </c>
      <c r="B175" s="84" t="s">
        <v>11</v>
      </c>
      <c r="C175" s="84" t="s">
        <v>134</v>
      </c>
      <c r="D175" s="84" t="s">
        <v>135</v>
      </c>
      <c r="E175" s="84" t="s">
        <v>190</v>
      </c>
      <c r="F175" s="84">
        <v>1</v>
      </c>
      <c r="G175" s="85">
        <v>1870</v>
      </c>
      <c r="H175" s="84">
        <v>25</v>
      </c>
      <c r="I175" s="85">
        <v>25</v>
      </c>
      <c r="J175" s="85">
        <v>625</v>
      </c>
      <c r="K175" s="85">
        <v>2495</v>
      </c>
      <c r="L175" s="84">
        <v>20210719</v>
      </c>
      <c r="M175" s="189">
        <v>25</v>
      </c>
      <c r="N175" s="86">
        <f t="shared" si="4"/>
        <v>0</v>
      </c>
    </row>
    <row r="176" spans="1:16" x14ac:dyDescent="0.25">
      <c r="A176" s="25" t="s">
        <v>491</v>
      </c>
      <c r="B176" s="25" t="s">
        <v>11</v>
      </c>
      <c r="C176" s="25" t="s">
        <v>202</v>
      </c>
      <c r="D176" s="25" t="s">
        <v>203</v>
      </c>
      <c r="E176" s="25" t="s">
        <v>492</v>
      </c>
      <c r="F176" s="25">
        <v>1</v>
      </c>
      <c r="G176" s="46">
        <v>1870</v>
      </c>
      <c r="H176" s="25">
        <v>78</v>
      </c>
      <c r="I176" s="46">
        <v>25</v>
      </c>
      <c r="J176" s="46">
        <v>1950</v>
      </c>
      <c r="K176" s="46">
        <v>3820</v>
      </c>
      <c r="L176" s="25">
        <v>20210721</v>
      </c>
      <c r="M176" s="170">
        <v>78</v>
      </c>
      <c r="N176" s="26">
        <f t="shared" si="4"/>
        <v>0</v>
      </c>
    </row>
    <row r="177" spans="1:14" x14ac:dyDescent="0.25">
      <c r="A177" s="25" t="s">
        <v>455</v>
      </c>
      <c r="B177" s="25" t="s">
        <v>11</v>
      </c>
      <c r="C177" s="25" t="s">
        <v>163</v>
      </c>
      <c r="D177" s="25" t="s">
        <v>164</v>
      </c>
      <c r="E177" s="25" t="s">
        <v>361</v>
      </c>
      <c r="F177" s="25">
        <v>1</v>
      </c>
      <c r="G177" s="46">
        <v>1870</v>
      </c>
      <c r="H177" s="25">
        <v>120</v>
      </c>
      <c r="I177" s="46">
        <v>25</v>
      </c>
      <c r="J177" s="46">
        <v>3000</v>
      </c>
      <c r="K177" s="46">
        <v>4870</v>
      </c>
      <c r="L177" s="25">
        <v>20210722</v>
      </c>
      <c r="M177" s="170">
        <v>120</v>
      </c>
      <c r="N177" s="26">
        <f t="shared" si="4"/>
        <v>0</v>
      </c>
    </row>
    <row r="178" spans="1:14" x14ac:dyDescent="0.25">
      <c r="A178" s="25" t="s">
        <v>461</v>
      </c>
      <c r="B178" s="25" t="s">
        <v>11</v>
      </c>
      <c r="C178" s="25" t="s">
        <v>28</v>
      </c>
      <c r="D178" s="25" t="s">
        <v>462</v>
      </c>
      <c r="E178" s="25" t="s">
        <v>463</v>
      </c>
      <c r="F178" s="25">
        <v>1</v>
      </c>
      <c r="G178" s="46">
        <v>1870</v>
      </c>
      <c r="H178" s="25">
        <v>38</v>
      </c>
      <c r="I178" s="46">
        <v>25</v>
      </c>
      <c r="J178" s="46">
        <v>950</v>
      </c>
      <c r="K178" s="46">
        <v>2820</v>
      </c>
      <c r="L178" s="25">
        <v>20210723</v>
      </c>
      <c r="M178" s="170">
        <v>38</v>
      </c>
      <c r="N178" s="26">
        <f t="shared" si="4"/>
        <v>0</v>
      </c>
    </row>
    <row r="179" spans="1:14" x14ac:dyDescent="0.25">
      <c r="A179" s="25" t="s">
        <v>437</v>
      </c>
      <c r="B179" s="25" t="s">
        <v>11</v>
      </c>
      <c r="C179" s="25" t="s">
        <v>28</v>
      </c>
      <c r="D179" s="25" t="s">
        <v>49</v>
      </c>
      <c r="E179" s="25" t="s">
        <v>50</v>
      </c>
      <c r="F179" s="25">
        <v>1</v>
      </c>
      <c r="G179" s="46">
        <v>1870</v>
      </c>
      <c r="H179" s="25">
        <v>25</v>
      </c>
      <c r="I179" s="46">
        <v>25</v>
      </c>
      <c r="J179" s="46">
        <v>625</v>
      </c>
      <c r="K179" s="46">
        <v>2495</v>
      </c>
      <c r="L179" s="25">
        <v>20210726</v>
      </c>
      <c r="M179" s="170">
        <v>25</v>
      </c>
      <c r="N179" s="26">
        <f t="shared" si="4"/>
        <v>0</v>
      </c>
    </row>
    <row r="180" spans="1:14" x14ac:dyDescent="0.25">
      <c r="A180" s="25" t="s">
        <v>427</v>
      </c>
      <c r="B180" s="25" t="s">
        <v>11</v>
      </c>
      <c r="C180" s="25" t="s">
        <v>26</v>
      </c>
      <c r="D180" s="25" t="s">
        <v>145</v>
      </c>
      <c r="E180" s="25" t="s">
        <v>146</v>
      </c>
      <c r="F180" s="25">
        <v>1</v>
      </c>
      <c r="G180" s="46">
        <v>1870</v>
      </c>
      <c r="H180" s="25">
        <v>64</v>
      </c>
      <c r="I180" s="46">
        <v>25</v>
      </c>
      <c r="J180" s="46">
        <v>1600</v>
      </c>
      <c r="K180" s="46">
        <v>3470</v>
      </c>
      <c r="L180" s="25">
        <v>20210729</v>
      </c>
      <c r="M180" s="170">
        <v>64</v>
      </c>
      <c r="N180" s="26">
        <f t="shared" si="4"/>
        <v>0</v>
      </c>
    </row>
    <row r="181" spans="1:14" x14ac:dyDescent="0.25">
      <c r="A181" s="25" t="s">
        <v>422</v>
      </c>
      <c r="B181" s="25" t="s">
        <v>11</v>
      </c>
      <c r="C181" s="25" t="s">
        <v>337</v>
      </c>
      <c r="D181" s="25" t="s">
        <v>162</v>
      </c>
      <c r="E181" s="25" t="s">
        <v>423</v>
      </c>
      <c r="F181" s="25">
        <v>1</v>
      </c>
      <c r="G181" s="46">
        <v>1870</v>
      </c>
      <c r="H181" s="25">
        <v>60</v>
      </c>
      <c r="I181" s="46">
        <v>25</v>
      </c>
      <c r="J181" s="46">
        <v>1500</v>
      </c>
      <c r="K181" s="46">
        <v>3370</v>
      </c>
      <c r="L181" s="25">
        <v>20210730</v>
      </c>
      <c r="M181" s="170">
        <v>60</v>
      </c>
      <c r="N181" s="26">
        <f t="shared" si="4"/>
        <v>0</v>
      </c>
    </row>
    <row r="182" spans="1:14" x14ac:dyDescent="0.25">
      <c r="F182" s="25"/>
      <c r="I182" s="38"/>
      <c r="J182" s="38"/>
      <c r="K182" s="38"/>
      <c r="N182" s="26"/>
    </row>
    <row r="183" spans="1:14" x14ac:dyDescent="0.25">
      <c r="F183" s="25"/>
      <c r="I183" s="38"/>
      <c r="J183" s="38"/>
      <c r="K183" s="38"/>
      <c r="N183" s="26"/>
    </row>
    <row r="184" spans="1:14" x14ac:dyDescent="0.25">
      <c r="A184" s="25" t="s">
        <v>602</v>
      </c>
      <c r="B184" s="25" t="s">
        <v>137</v>
      </c>
      <c r="C184" s="25" t="s">
        <v>26</v>
      </c>
      <c r="D184" s="25" t="s">
        <v>141</v>
      </c>
      <c r="E184" s="25" t="s">
        <v>603</v>
      </c>
      <c r="F184" s="25">
        <v>1</v>
      </c>
      <c r="G184" s="46">
        <v>935</v>
      </c>
      <c r="H184" s="25">
        <v>120</v>
      </c>
      <c r="I184" s="46">
        <v>25</v>
      </c>
      <c r="J184" s="46">
        <v>3000</v>
      </c>
      <c r="K184" s="46">
        <v>3935</v>
      </c>
      <c r="L184" s="25">
        <v>20210802</v>
      </c>
      <c r="M184" s="170">
        <v>120</v>
      </c>
      <c r="N184" s="26">
        <f t="shared" ref="N184:N193" si="5">M184-H184</f>
        <v>0</v>
      </c>
    </row>
    <row r="185" spans="1:14" x14ac:dyDescent="0.25">
      <c r="A185" s="25" t="s">
        <v>614</v>
      </c>
      <c r="B185" s="25" t="s">
        <v>11</v>
      </c>
      <c r="C185" s="25" t="s">
        <v>337</v>
      </c>
      <c r="D185" s="25" t="s">
        <v>35</v>
      </c>
      <c r="E185" s="25" t="s">
        <v>402</v>
      </c>
      <c r="F185" s="25">
        <v>1</v>
      </c>
      <c r="G185" s="46">
        <v>1870</v>
      </c>
      <c r="H185" s="25">
        <v>64</v>
      </c>
      <c r="I185" s="46">
        <v>25</v>
      </c>
      <c r="J185" s="46">
        <v>1600</v>
      </c>
      <c r="K185" s="46">
        <v>3470</v>
      </c>
      <c r="L185" s="25">
        <v>20210804</v>
      </c>
      <c r="M185" s="170">
        <v>64</v>
      </c>
      <c r="N185" s="26">
        <f t="shared" si="5"/>
        <v>0</v>
      </c>
    </row>
    <row r="186" spans="1:14" x14ac:dyDescent="0.25">
      <c r="A186" s="25" t="s">
        <v>625</v>
      </c>
      <c r="B186" s="25" t="s">
        <v>11</v>
      </c>
      <c r="C186" s="25" t="s">
        <v>202</v>
      </c>
      <c r="D186" s="25" t="s">
        <v>203</v>
      </c>
      <c r="E186" s="25" t="s">
        <v>626</v>
      </c>
      <c r="F186" s="25">
        <v>1</v>
      </c>
      <c r="G186" s="46">
        <v>1870</v>
      </c>
      <c r="H186" s="25">
        <v>78</v>
      </c>
      <c r="I186" s="46">
        <v>25</v>
      </c>
      <c r="J186" s="46">
        <v>1950</v>
      </c>
      <c r="K186" s="46">
        <v>3820</v>
      </c>
      <c r="L186" s="25">
        <v>20210805</v>
      </c>
      <c r="M186" s="170">
        <v>78</v>
      </c>
      <c r="N186" s="26">
        <f t="shared" si="5"/>
        <v>0</v>
      </c>
    </row>
    <row r="187" spans="1:14" x14ac:dyDescent="0.25">
      <c r="A187" s="42" t="s">
        <v>594</v>
      </c>
      <c r="B187" s="42" t="s">
        <v>11</v>
      </c>
      <c r="C187" s="42" t="s">
        <v>337</v>
      </c>
      <c r="D187" s="42" t="s">
        <v>162</v>
      </c>
      <c r="E187" s="42" t="s">
        <v>235</v>
      </c>
      <c r="F187" s="42">
        <v>1</v>
      </c>
      <c r="G187" s="67">
        <v>1870</v>
      </c>
      <c r="H187" s="42">
        <v>60</v>
      </c>
      <c r="I187" s="67">
        <v>25</v>
      </c>
      <c r="J187" s="67">
        <v>1500</v>
      </c>
      <c r="K187" s="67">
        <v>3370</v>
      </c>
      <c r="L187" s="42">
        <v>20210810</v>
      </c>
      <c r="M187" s="172">
        <v>60</v>
      </c>
      <c r="N187" s="82">
        <f t="shared" si="5"/>
        <v>0</v>
      </c>
    </row>
    <row r="188" spans="1:14" x14ac:dyDescent="0.25">
      <c r="A188" s="42" t="s">
        <v>580</v>
      </c>
      <c r="B188" s="42" t="s">
        <v>11</v>
      </c>
      <c r="C188" s="42" t="s">
        <v>29</v>
      </c>
      <c r="D188" s="42" t="s">
        <v>148</v>
      </c>
      <c r="E188" s="42" t="s">
        <v>149</v>
      </c>
      <c r="F188" s="42">
        <v>1</v>
      </c>
      <c r="G188" s="67">
        <v>1870</v>
      </c>
      <c r="H188" s="42">
        <v>50</v>
      </c>
      <c r="I188" s="67">
        <v>25</v>
      </c>
      <c r="J188" s="67">
        <v>1250</v>
      </c>
      <c r="K188" s="67">
        <v>3120</v>
      </c>
      <c r="L188" s="42">
        <v>20210810</v>
      </c>
      <c r="M188" s="172">
        <v>50</v>
      </c>
      <c r="N188" s="82">
        <f t="shared" si="5"/>
        <v>0</v>
      </c>
    </row>
    <row r="189" spans="1:14" x14ac:dyDescent="0.25">
      <c r="A189" s="25" t="s">
        <v>595</v>
      </c>
      <c r="B189" s="25" t="s">
        <v>11</v>
      </c>
      <c r="C189" s="25" t="s">
        <v>270</v>
      </c>
      <c r="D189" s="25" t="s">
        <v>494</v>
      </c>
      <c r="E189" s="25" t="s">
        <v>596</v>
      </c>
      <c r="F189" s="25">
        <v>1</v>
      </c>
      <c r="G189" s="46">
        <v>1870</v>
      </c>
      <c r="H189" s="25">
        <v>120</v>
      </c>
      <c r="I189" s="46">
        <v>25</v>
      </c>
      <c r="J189" s="46">
        <v>3000</v>
      </c>
      <c r="K189" s="46">
        <v>4870</v>
      </c>
      <c r="L189" s="25">
        <v>20210812</v>
      </c>
      <c r="M189" s="170">
        <v>120</v>
      </c>
      <c r="N189" s="26">
        <f t="shared" si="5"/>
        <v>0</v>
      </c>
    </row>
    <row r="190" spans="1:14" x14ac:dyDescent="0.25">
      <c r="A190" s="25" t="s">
        <v>590</v>
      </c>
      <c r="B190" s="25" t="s">
        <v>27</v>
      </c>
      <c r="C190" s="25" t="s">
        <v>591</v>
      </c>
      <c r="D190" s="25" t="s">
        <v>592</v>
      </c>
      <c r="E190" s="25" t="s">
        <v>593</v>
      </c>
      <c r="F190" s="25">
        <v>1</v>
      </c>
      <c r="G190" s="46">
        <v>1870</v>
      </c>
      <c r="H190" s="25">
        <v>140</v>
      </c>
      <c r="I190" s="46">
        <v>25</v>
      </c>
      <c r="J190" s="46">
        <v>3500</v>
      </c>
      <c r="K190" s="46">
        <v>5370</v>
      </c>
      <c r="L190" s="25">
        <v>20210819</v>
      </c>
      <c r="M190" s="170">
        <v>140</v>
      </c>
      <c r="N190" s="26">
        <f t="shared" si="5"/>
        <v>0</v>
      </c>
    </row>
    <row r="191" spans="1:14" x14ac:dyDescent="0.25">
      <c r="A191" s="25" t="s">
        <v>613</v>
      </c>
      <c r="B191" s="25" t="s">
        <v>11</v>
      </c>
      <c r="C191" s="25" t="s">
        <v>26</v>
      </c>
      <c r="D191" s="25" t="s">
        <v>224</v>
      </c>
      <c r="E191" s="25" t="s">
        <v>316</v>
      </c>
      <c r="F191" s="25">
        <v>1</v>
      </c>
      <c r="G191" s="46">
        <v>1870</v>
      </c>
      <c r="H191" s="25">
        <v>50</v>
      </c>
      <c r="I191" s="46">
        <v>25</v>
      </c>
      <c r="J191" s="46">
        <v>1250</v>
      </c>
      <c r="K191" s="46">
        <v>3120</v>
      </c>
      <c r="L191" s="25">
        <v>20210820</v>
      </c>
      <c r="M191" s="170">
        <v>50</v>
      </c>
      <c r="N191" s="26">
        <f t="shared" si="5"/>
        <v>0</v>
      </c>
    </row>
    <row r="192" spans="1:14" x14ac:dyDescent="0.25">
      <c r="A192" s="25" t="s">
        <v>534</v>
      </c>
      <c r="B192" s="25" t="s">
        <v>11</v>
      </c>
      <c r="C192" s="25" t="s">
        <v>337</v>
      </c>
      <c r="D192" s="25" t="s">
        <v>35</v>
      </c>
      <c r="E192" s="25" t="s">
        <v>122</v>
      </c>
      <c r="F192" s="25">
        <v>1</v>
      </c>
      <c r="G192" s="46">
        <v>1870</v>
      </c>
      <c r="H192" s="25">
        <v>64</v>
      </c>
      <c r="I192" s="46">
        <v>25</v>
      </c>
      <c r="J192" s="46">
        <v>1600</v>
      </c>
      <c r="K192" s="46">
        <v>3470</v>
      </c>
      <c r="L192" s="25">
        <v>20210826</v>
      </c>
      <c r="M192" s="170">
        <v>64</v>
      </c>
      <c r="N192" s="26">
        <f t="shared" si="5"/>
        <v>0</v>
      </c>
    </row>
    <row r="193" spans="1:14" x14ac:dyDescent="0.25">
      <c r="A193" s="25" t="s">
        <v>552</v>
      </c>
      <c r="B193" s="25" t="s">
        <v>11</v>
      </c>
      <c r="C193" s="25" t="s">
        <v>29</v>
      </c>
      <c r="D193" s="25" t="s">
        <v>30</v>
      </c>
      <c r="E193" s="25" t="s">
        <v>509</v>
      </c>
      <c r="F193" s="25">
        <v>1</v>
      </c>
      <c r="G193" s="46">
        <v>1870</v>
      </c>
      <c r="H193" s="25">
        <v>140</v>
      </c>
      <c r="I193" s="46">
        <v>25</v>
      </c>
      <c r="J193" s="46">
        <v>3500</v>
      </c>
      <c r="K193" s="46">
        <v>5370</v>
      </c>
      <c r="L193" s="25">
        <v>20210827</v>
      </c>
      <c r="M193" s="170">
        <v>140</v>
      </c>
      <c r="N193" s="26">
        <f t="shared" si="5"/>
        <v>0</v>
      </c>
    </row>
    <row r="194" spans="1:14" x14ac:dyDescent="0.25">
      <c r="F194" s="25"/>
      <c r="I194" s="46"/>
      <c r="J194" s="38"/>
      <c r="K194" s="38"/>
      <c r="N194" s="26"/>
    </row>
    <row r="195" spans="1:14" x14ac:dyDescent="0.25">
      <c r="A195" s="25" t="s">
        <v>800</v>
      </c>
      <c r="B195" s="25" t="s">
        <v>11</v>
      </c>
      <c r="C195" s="25" t="s">
        <v>26</v>
      </c>
      <c r="D195" s="25" t="s">
        <v>307</v>
      </c>
      <c r="E195" s="25" t="s">
        <v>314</v>
      </c>
      <c r="F195" s="25">
        <v>1</v>
      </c>
      <c r="G195" s="46">
        <v>1870</v>
      </c>
      <c r="H195" s="25">
        <v>24</v>
      </c>
      <c r="I195" s="46">
        <v>25</v>
      </c>
      <c r="J195" s="46">
        <v>600</v>
      </c>
      <c r="K195" s="46">
        <v>2470</v>
      </c>
      <c r="L195" s="25">
        <v>20210906</v>
      </c>
      <c r="M195" s="170">
        <v>24</v>
      </c>
      <c r="N195" s="26">
        <f t="shared" ref="N195:N225" si="6">M195-H195</f>
        <v>0</v>
      </c>
    </row>
    <row r="196" spans="1:14" x14ac:dyDescent="0.25">
      <c r="A196" s="25" t="s">
        <v>813</v>
      </c>
      <c r="B196" s="25" t="s">
        <v>11</v>
      </c>
      <c r="C196" s="25" t="s">
        <v>163</v>
      </c>
      <c r="D196" s="25" t="s">
        <v>164</v>
      </c>
      <c r="E196" s="25" t="s">
        <v>221</v>
      </c>
      <c r="F196" s="25">
        <v>1</v>
      </c>
      <c r="G196" s="46">
        <v>1870</v>
      </c>
      <c r="H196" s="25">
        <v>120</v>
      </c>
      <c r="I196" s="46">
        <v>25</v>
      </c>
      <c r="J196" s="46">
        <v>3000</v>
      </c>
      <c r="K196" s="46">
        <v>4870</v>
      </c>
      <c r="L196" s="25">
        <v>20210907</v>
      </c>
      <c r="M196" s="170">
        <v>120</v>
      </c>
      <c r="N196" s="26">
        <f t="shared" si="6"/>
        <v>0</v>
      </c>
    </row>
    <row r="197" spans="1:14" s="42" customFormat="1" x14ac:dyDescent="0.25">
      <c r="A197" s="42" t="s">
        <v>780</v>
      </c>
      <c r="B197" s="42" t="s">
        <v>11</v>
      </c>
      <c r="C197" s="42" t="s">
        <v>34</v>
      </c>
      <c r="D197" s="42" t="s">
        <v>35</v>
      </c>
      <c r="E197" s="42" t="s">
        <v>114</v>
      </c>
      <c r="F197" s="42">
        <v>1</v>
      </c>
      <c r="G197" s="67">
        <v>1870</v>
      </c>
      <c r="H197" s="42">
        <v>64</v>
      </c>
      <c r="I197" s="67">
        <v>25</v>
      </c>
      <c r="J197" s="67">
        <v>1600</v>
      </c>
      <c r="K197" s="67">
        <v>3470</v>
      </c>
      <c r="L197" s="42">
        <v>20210910</v>
      </c>
      <c r="M197" s="172">
        <v>64</v>
      </c>
      <c r="N197" s="82">
        <f t="shared" si="6"/>
        <v>0</v>
      </c>
    </row>
    <row r="198" spans="1:14" s="42" customFormat="1" x14ac:dyDescent="0.25">
      <c r="A198" s="42" t="s">
        <v>790</v>
      </c>
      <c r="B198" s="42" t="s">
        <v>11</v>
      </c>
      <c r="C198" s="42" t="s">
        <v>34</v>
      </c>
      <c r="D198" s="42" t="s">
        <v>35</v>
      </c>
      <c r="E198" s="42" t="s">
        <v>198</v>
      </c>
      <c r="F198" s="42">
        <v>1</v>
      </c>
      <c r="G198" s="67">
        <v>1870</v>
      </c>
      <c r="H198" s="42">
        <v>64</v>
      </c>
      <c r="I198" s="67">
        <v>25</v>
      </c>
      <c r="J198" s="67">
        <v>1600</v>
      </c>
      <c r="K198" s="67">
        <v>3470</v>
      </c>
      <c r="L198" s="42">
        <v>20210910</v>
      </c>
      <c r="M198" s="172">
        <v>64</v>
      </c>
      <c r="N198" s="82">
        <f t="shared" si="6"/>
        <v>0</v>
      </c>
    </row>
    <row r="199" spans="1:14" x14ac:dyDescent="0.25">
      <c r="A199" s="25" t="s">
        <v>812</v>
      </c>
      <c r="B199" s="25" t="s">
        <v>11</v>
      </c>
      <c r="C199" s="25" t="s">
        <v>337</v>
      </c>
      <c r="D199" s="25" t="s">
        <v>162</v>
      </c>
      <c r="E199" s="25" t="s">
        <v>235</v>
      </c>
      <c r="F199" s="25">
        <v>1</v>
      </c>
      <c r="G199" s="46">
        <v>1870</v>
      </c>
      <c r="H199" s="25">
        <v>60</v>
      </c>
      <c r="I199" s="46">
        <v>25</v>
      </c>
      <c r="J199" s="46">
        <v>1500</v>
      </c>
      <c r="K199" s="46">
        <v>3370</v>
      </c>
      <c r="L199" s="25">
        <v>20210913</v>
      </c>
      <c r="M199" s="170">
        <v>60</v>
      </c>
      <c r="N199" s="26">
        <f t="shared" si="6"/>
        <v>0</v>
      </c>
    </row>
    <row r="200" spans="1:14" x14ac:dyDescent="0.25">
      <c r="A200" s="25" t="s">
        <v>781</v>
      </c>
      <c r="B200" s="25" t="s">
        <v>11</v>
      </c>
      <c r="C200" s="25" t="s">
        <v>134</v>
      </c>
      <c r="D200" s="25" t="s">
        <v>135</v>
      </c>
      <c r="E200" s="25" t="s">
        <v>190</v>
      </c>
      <c r="F200" s="25">
        <v>1</v>
      </c>
      <c r="G200" s="46">
        <v>1870</v>
      </c>
      <c r="H200" s="25">
        <v>25</v>
      </c>
      <c r="I200" s="46">
        <v>25</v>
      </c>
      <c r="J200" s="46">
        <v>625</v>
      </c>
      <c r="K200" s="46">
        <v>2495</v>
      </c>
      <c r="L200" s="25">
        <v>20210914</v>
      </c>
      <c r="M200" s="170">
        <v>25</v>
      </c>
      <c r="N200" s="26">
        <f t="shared" si="6"/>
        <v>0</v>
      </c>
    </row>
    <row r="201" spans="1:14" x14ac:dyDescent="0.25">
      <c r="A201" s="25" t="s">
        <v>723</v>
      </c>
      <c r="B201" s="25" t="s">
        <v>137</v>
      </c>
      <c r="C201" s="25" t="s">
        <v>28</v>
      </c>
      <c r="D201" s="25" t="s">
        <v>724</v>
      </c>
      <c r="E201" s="25" t="s">
        <v>725</v>
      </c>
      <c r="F201" s="25">
        <v>1</v>
      </c>
      <c r="G201" s="46">
        <v>935</v>
      </c>
      <c r="H201" s="25">
        <v>140</v>
      </c>
      <c r="I201" s="46">
        <v>25</v>
      </c>
      <c r="J201" s="46">
        <v>3500</v>
      </c>
      <c r="K201" s="46">
        <v>4435</v>
      </c>
      <c r="L201" s="25">
        <v>20210917</v>
      </c>
      <c r="M201" s="170">
        <v>140</v>
      </c>
      <c r="N201" s="26">
        <f t="shared" si="6"/>
        <v>0</v>
      </c>
    </row>
    <row r="202" spans="1:14" x14ac:dyDescent="0.25">
      <c r="A202" s="25" t="s">
        <v>701</v>
      </c>
      <c r="B202" s="25" t="s">
        <v>11</v>
      </c>
      <c r="C202" s="25" t="s">
        <v>337</v>
      </c>
      <c r="D202" s="25" t="s">
        <v>35</v>
      </c>
      <c r="E202" s="25" t="s">
        <v>157</v>
      </c>
      <c r="F202" s="25">
        <v>1</v>
      </c>
      <c r="G202" s="46">
        <v>1870</v>
      </c>
      <c r="H202" s="25">
        <v>64</v>
      </c>
      <c r="I202" s="46">
        <v>25</v>
      </c>
      <c r="J202" s="46">
        <v>1600</v>
      </c>
      <c r="K202" s="46">
        <v>3470</v>
      </c>
      <c r="L202" s="25">
        <v>20210921</v>
      </c>
      <c r="M202" s="170">
        <v>64</v>
      </c>
      <c r="N202" s="26">
        <f t="shared" si="6"/>
        <v>0</v>
      </c>
    </row>
    <row r="203" spans="1:14" x14ac:dyDescent="0.25">
      <c r="A203" s="25" t="s">
        <v>689</v>
      </c>
      <c r="B203" s="25" t="s">
        <v>137</v>
      </c>
      <c r="C203" s="25" t="s">
        <v>337</v>
      </c>
      <c r="D203" s="25" t="s">
        <v>35</v>
      </c>
      <c r="E203" s="25" t="s">
        <v>232</v>
      </c>
      <c r="F203" s="25">
        <v>1</v>
      </c>
      <c r="G203" s="46">
        <v>935</v>
      </c>
      <c r="H203" s="25">
        <v>64</v>
      </c>
      <c r="I203" s="46">
        <v>25</v>
      </c>
      <c r="J203" s="46">
        <v>1600</v>
      </c>
      <c r="K203" s="46">
        <v>2535</v>
      </c>
      <c r="L203" s="25">
        <v>20210922</v>
      </c>
      <c r="M203" s="170">
        <v>64</v>
      </c>
      <c r="N203" s="26">
        <f t="shared" si="6"/>
        <v>0</v>
      </c>
    </row>
    <row r="204" spans="1:14" x14ac:dyDescent="0.25">
      <c r="A204" s="25" t="s">
        <v>650</v>
      </c>
      <c r="B204" s="25" t="s">
        <v>137</v>
      </c>
      <c r="C204" s="25" t="s">
        <v>26</v>
      </c>
      <c r="D204" s="25" t="s">
        <v>153</v>
      </c>
      <c r="E204" s="25" t="s">
        <v>651</v>
      </c>
      <c r="F204" s="25">
        <v>1</v>
      </c>
      <c r="G204" s="46">
        <v>935</v>
      </c>
      <c r="H204" s="25">
        <v>28</v>
      </c>
      <c r="I204" s="46">
        <v>25</v>
      </c>
      <c r="J204" s="46">
        <v>700</v>
      </c>
      <c r="K204" s="46">
        <v>1635</v>
      </c>
      <c r="L204" s="25">
        <v>20210928</v>
      </c>
      <c r="M204" s="170">
        <v>28</v>
      </c>
      <c r="N204" s="26">
        <f t="shared" si="6"/>
        <v>0</v>
      </c>
    </row>
    <row r="205" spans="1:14" s="42" customFormat="1" x14ac:dyDescent="0.25">
      <c r="A205" s="42" t="s">
        <v>810</v>
      </c>
      <c r="B205" s="42" t="s">
        <v>11</v>
      </c>
      <c r="C205" s="42" t="s">
        <v>405</v>
      </c>
      <c r="D205" s="42" t="s">
        <v>798</v>
      </c>
      <c r="E205" s="42" t="s">
        <v>811</v>
      </c>
      <c r="F205" s="42">
        <v>1</v>
      </c>
      <c r="G205" s="67">
        <v>1870</v>
      </c>
      <c r="H205" s="42">
        <v>25</v>
      </c>
      <c r="I205" s="67">
        <v>25</v>
      </c>
      <c r="J205" s="67">
        <v>625</v>
      </c>
      <c r="K205" s="67">
        <v>2495</v>
      </c>
      <c r="L205" s="42">
        <v>20210930</v>
      </c>
      <c r="M205" s="172">
        <v>25</v>
      </c>
      <c r="N205" s="82">
        <f t="shared" si="6"/>
        <v>0</v>
      </c>
    </row>
    <row r="206" spans="1:14" s="42" customFormat="1" x14ac:dyDescent="0.25">
      <c r="A206" s="42" t="s">
        <v>797</v>
      </c>
      <c r="B206" s="42" t="s">
        <v>11</v>
      </c>
      <c r="C206" s="42" t="s">
        <v>405</v>
      </c>
      <c r="D206" s="42" t="s">
        <v>798</v>
      </c>
      <c r="E206" s="42" t="s">
        <v>799</v>
      </c>
      <c r="F206" s="42">
        <v>1</v>
      </c>
      <c r="G206" s="67">
        <v>1870</v>
      </c>
      <c r="H206" s="42">
        <v>25</v>
      </c>
      <c r="I206" s="67">
        <v>25</v>
      </c>
      <c r="J206" s="67">
        <v>625</v>
      </c>
      <c r="K206" s="67">
        <v>2495</v>
      </c>
      <c r="L206" s="42">
        <v>20210930</v>
      </c>
      <c r="M206" s="172">
        <v>25</v>
      </c>
      <c r="N206" s="82">
        <f t="shared" si="6"/>
        <v>0</v>
      </c>
    </row>
    <row r="207" spans="1:14" x14ac:dyDescent="0.25">
      <c r="F207" s="25"/>
      <c r="I207" s="38"/>
      <c r="J207" s="38"/>
      <c r="K207" s="38"/>
      <c r="N207" s="82"/>
    </row>
    <row r="208" spans="1:14" x14ac:dyDescent="0.25">
      <c r="F208" s="25"/>
      <c r="I208" s="38"/>
      <c r="J208" s="38"/>
      <c r="K208" s="38"/>
      <c r="N208" s="82"/>
    </row>
    <row r="209" spans="1:15" s="113" customFormat="1" x14ac:dyDescent="0.25">
      <c r="A209" s="113" t="s">
        <v>947</v>
      </c>
      <c r="B209" s="113" t="s">
        <v>11</v>
      </c>
      <c r="C209" s="113" t="s">
        <v>103</v>
      </c>
      <c r="D209" s="113" t="s">
        <v>104</v>
      </c>
      <c r="E209" s="113" t="s">
        <v>948</v>
      </c>
      <c r="F209" s="113">
        <v>1</v>
      </c>
      <c r="G209" s="114">
        <v>1870</v>
      </c>
      <c r="H209" s="113">
        <v>140</v>
      </c>
      <c r="I209" s="114">
        <v>25</v>
      </c>
      <c r="J209" s="114">
        <v>3500</v>
      </c>
      <c r="K209" s="114">
        <v>5370</v>
      </c>
      <c r="L209" s="113">
        <v>20211004</v>
      </c>
      <c r="M209" s="181">
        <v>140</v>
      </c>
      <c r="N209" s="115">
        <f t="shared" si="6"/>
        <v>0</v>
      </c>
    </row>
    <row r="210" spans="1:15" s="113" customFormat="1" x14ac:dyDescent="0.25">
      <c r="A210" s="113" t="s">
        <v>907</v>
      </c>
      <c r="B210" s="113" t="s">
        <v>137</v>
      </c>
      <c r="C210" s="113" t="s">
        <v>103</v>
      </c>
      <c r="D210" s="113" t="s">
        <v>104</v>
      </c>
      <c r="E210" s="113" t="s">
        <v>908</v>
      </c>
      <c r="F210" s="113">
        <v>1</v>
      </c>
      <c r="G210" s="114">
        <v>935</v>
      </c>
      <c r="H210" s="113">
        <v>140</v>
      </c>
      <c r="I210" s="114">
        <v>25</v>
      </c>
      <c r="J210" s="114">
        <v>3500</v>
      </c>
      <c r="K210" s="114">
        <v>4435</v>
      </c>
      <c r="L210" s="113">
        <v>20211004</v>
      </c>
      <c r="M210" s="181">
        <v>140</v>
      </c>
      <c r="N210" s="115">
        <f t="shared" si="6"/>
        <v>0</v>
      </c>
    </row>
    <row r="211" spans="1:15" x14ac:dyDescent="0.25">
      <c r="A211" s="25" t="s">
        <v>890</v>
      </c>
      <c r="B211" s="25" t="s">
        <v>11</v>
      </c>
      <c r="C211" s="25" t="s">
        <v>163</v>
      </c>
      <c r="D211" s="25" t="s">
        <v>164</v>
      </c>
      <c r="E211" s="25" t="s">
        <v>452</v>
      </c>
      <c r="F211" s="25">
        <v>1</v>
      </c>
      <c r="G211" s="46">
        <v>1870</v>
      </c>
      <c r="H211" s="25">
        <v>120</v>
      </c>
      <c r="I211" s="46">
        <v>25</v>
      </c>
      <c r="J211" s="46">
        <v>3000</v>
      </c>
      <c r="K211" s="46">
        <v>4870</v>
      </c>
      <c r="L211" s="25">
        <v>20211005</v>
      </c>
      <c r="M211" s="170">
        <v>120</v>
      </c>
      <c r="N211" s="26">
        <f t="shared" si="6"/>
        <v>0</v>
      </c>
    </row>
    <row r="212" spans="1:15" x14ac:dyDescent="0.25">
      <c r="A212" s="26" t="s">
        <v>915</v>
      </c>
      <c r="B212" s="26" t="s">
        <v>27</v>
      </c>
      <c r="C212" s="26" t="s">
        <v>666</v>
      </c>
      <c r="D212" s="26" t="s">
        <v>916</v>
      </c>
      <c r="E212" s="26" t="s">
        <v>917</v>
      </c>
      <c r="F212" s="26">
        <v>1</v>
      </c>
      <c r="G212" s="66">
        <v>3740</v>
      </c>
      <c r="H212" s="26">
        <v>44</v>
      </c>
      <c r="I212" s="66">
        <v>25</v>
      </c>
      <c r="J212" s="66">
        <v>1100</v>
      </c>
      <c r="K212" s="66">
        <v>4840</v>
      </c>
      <c r="L212" s="26">
        <v>20211007</v>
      </c>
      <c r="M212" s="170">
        <v>57</v>
      </c>
      <c r="N212" s="26">
        <f t="shared" si="6"/>
        <v>13</v>
      </c>
      <c r="O212" s="25" t="s">
        <v>960</v>
      </c>
    </row>
    <row r="213" spans="1:15" s="118" customFormat="1" x14ac:dyDescent="0.25">
      <c r="A213" s="116" t="s">
        <v>909</v>
      </c>
      <c r="B213" s="116" t="s">
        <v>27</v>
      </c>
      <c r="C213" s="116" t="s">
        <v>666</v>
      </c>
      <c r="D213" s="116" t="s">
        <v>910</v>
      </c>
      <c r="E213" s="116" t="s">
        <v>911</v>
      </c>
      <c r="F213" s="116">
        <v>1</v>
      </c>
      <c r="G213" s="117">
        <v>3740</v>
      </c>
      <c r="H213" s="116">
        <v>28</v>
      </c>
      <c r="I213" s="117">
        <v>25</v>
      </c>
      <c r="J213" s="117">
        <v>700</v>
      </c>
      <c r="K213" s="117">
        <v>4440</v>
      </c>
      <c r="L213" s="116">
        <v>20211012</v>
      </c>
      <c r="M213" s="190">
        <v>34</v>
      </c>
      <c r="N213" s="116">
        <f t="shared" si="6"/>
        <v>6</v>
      </c>
      <c r="O213" s="118" t="s">
        <v>961</v>
      </c>
    </row>
    <row r="214" spans="1:15" s="118" customFormat="1" x14ac:dyDescent="0.25">
      <c r="A214" s="116" t="s">
        <v>912</v>
      </c>
      <c r="B214" s="116" t="s">
        <v>27</v>
      </c>
      <c r="C214" s="116" t="s">
        <v>666</v>
      </c>
      <c r="D214" s="116" t="s">
        <v>913</v>
      </c>
      <c r="E214" s="116" t="s">
        <v>914</v>
      </c>
      <c r="F214" s="116">
        <v>1</v>
      </c>
      <c r="G214" s="117">
        <v>3740</v>
      </c>
      <c r="H214" s="116">
        <v>40</v>
      </c>
      <c r="I214" s="117">
        <v>25</v>
      </c>
      <c r="J214" s="117">
        <v>1000</v>
      </c>
      <c r="K214" s="117">
        <v>4740</v>
      </c>
      <c r="L214" s="116">
        <v>20211012</v>
      </c>
      <c r="M214" s="190">
        <v>36</v>
      </c>
      <c r="N214" s="116">
        <f t="shared" si="6"/>
        <v>-4</v>
      </c>
      <c r="O214" s="118" t="s">
        <v>962</v>
      </c>
    </row>
    <row r="215" spans="1:15" s="113" customFormat="1" x14ac:dyDescent="0.25">
      <c r="A215" s="113" t="s">
        <v>844</v>
      </c>
      <c r="B215" s="113" t="s">
        <v>11</v>
      </c>
      <c r="C215" s="113" t="s">
        <v>270</v>
      </c>
      <c r="D215" s="113" t="s">
        <v>494</v>
      </c>
      <c r="E215" s="113" t="s">
        <v>495</v>
      </c>
      <c r="F215" s="113">
        <v>1</v>
      </c>
      <c r="G215" s="114">
        <v>1870</v>
      </c>
      <c r="H215" s="113">
        <v>120</v>
      </c>
      <c r="I215" s="114">
        <v>25</v>
      </c>
      <c r="J215" s="114">
        <v>3000</v>
      </c>
      <c r="K215" s="114">
        <v>4870</v>
      </c>
      <c r="L215" s="113">
        <v>20211026</v>
      </c>
      <c r="M215" s="181">
        <v>120</v>
      </c>
      <c r="N215" s="115">
        <f t="shared" si="6"/>
        <v>0</v>
      </c>
    </row>
    <row r="216" spans="1:15" s="113" customFormat="1" x14ac:dyDescent="0.25">
      <c r="A216" s="113" t="s">
        <v>836</v>
      </c>
      <c r="B216" s="113" t="s">
        <v>11</v>
      </c>
      <c r="C216" s="113" t="s">
        <v>163</v>
      </c>
      <c r="D216" s="113" t="s">
        <v>164</v>
      </c>
      <c r="E216" s="113" t="s">
        <v>305</v>
      </c>
      <c r="F216" s="113">
        <v>1</v>
      </c>
      <c r="G216" s="114">
        <v>1870</v>
      </c>
      <c r="H216" s="113">
        <v>120</v>
      </c>
      <c r="I216" s="114">
        <v>25</v>
      </c>
      <c r="J216" s="114">
        <v>3000</v>
      </c>
      <c r="K216" s="114">
        <v>4870</v>
      </c>
      <c r="L216" s="113">
        <v>20211026</v>
      </c>
      <c r="M216" s="181">
        <v>120</v>
      </c>
      <c r="N216" s="115">
        <f t="shared" si="6"/>
        <v>0</v>
      </c>
    </row>
    <row r="217" spans="1:15" x14ac:dyDescent="0.25">
      <c r="F217" s="25"/>
      <c r="I217" s="38"/>
      <c r="J217" s="38"/>
      <c r="K217" s="38"/>
      <c r="N217" s="115"/>
    </row>
    <row r="218" spans="1:15" s="42" customFormat="1" x14ac:dyDescent="0.25">
      <c r="A218" s="42" t="s">
        <v>1013</v>
      </c>
      <c r="B218" s="42" t="s">
        <v>11</v>
      </c>
      <c r="C218" s="42" t="s">
        <v>103</v>
      </c>
      <c r="D218" s="42" t="s">
        <v>104</v>
      </c>
      <c r="E218" s="42" t="s">
        <v>904</v>
      </c>
      <c r="F218" s="42">
        <v>1</v>
      </c>
      <c r="G218" s="67">
        <v>1870</v>
      </c>
      <c r="H218" s="42">
        <v>140</v>
      </c>
      <c r="I218" s="67">
        <v>25</v>
      </c>
      <c r="J218" s="67">
        <v>3500</v>
      </c>
      <c r="K218" s="67">
        <v>5370</v>
      </c>
      <c r="L218" s="42">
        <v>20211102</v>
      </c>
      <c r="M218" s="172">
        <v>140</v>
      </c>
      <c r="N218" s="82">
        <f t="shared" si="6"/>
        <v>0</v>
      </c>
    </row>
    <row r="219" spans="1:15" s="42" customFormat="1" x14ac:dyDescent="0.25">
      <c r="A219" s="42" t="s">
        <v>1017</v>
      </c>
      <c r="B219" s="42" t="s">
        <v>11</v>
      </c>
      <c r="C219" s="42" t="s">
        <v>103</v>
      </c>
      <c r="D219" s="42" t="s">
        <v>104</v>
      </c>
      <c r="E219" s="42" t="s">
        <v>217</v>
      </c>
      <c r="F219" s="42">
        <v>1</v>
      </c>
      <c r="G219" s="67">
        <v>1870</v>
      </c>
      <c r="H219" s="42">
        <v>140</v>
      </c>
      <c r="I219" s="67">
        <v>25</v>
      </c>
      <c r="J219" s="67">
        <v>3500</v>
      </c>
      <c r="K219" s="67">
        <v>5370</v>
      </c>
      <c r="L219" s="42">
        <v>20211102</v>
      </c>
      <c r="M219" s="172">
        <v>140</v>
      </c>
      <c r="N219" s="82">
        <f t="shared" si="6"/>
        <v>0</v>
      </c>
    </row>
    <row r="220" spans="1:15" x14ac:dyDescent="0.25">
      <c r="A220" s="25" t="s">
        <v>1005</v>
      </c>
      <c r="B220" s="25" t="s">
        <v>11</v>
      </c>
      <c r="C220" s="25" t="s">
        <v>1006</v>
      </c>
      <c r="D220" s="25" t="s">
        <v>1007</v>
      </c>
      <c r="E220" s="25" t="s">
        <v>1008</v>
      </c>
      <c r="F220" s="25">
        <v>1</v>
      </c>
      <c r="G220" s="46">
        <v>1870</v>
      </c>
      <c r="H220" s="25">
        <v>316</v>
      </c>
      <c r="I220" s="46">
        <v>25</v>
      </c>
      <c r="J220" s="46">
        <v>7900</v>
      </c>
      <c r="K220" s="46">
        <v>9770</v>
      </c>
      <c r="L220" s="25">
        <v>20211108</v>
      </c>
      <c r="M220" s="170">
        <v>323</v>
      </c>
      <c r="N220" s="115">
        <f t="shared" si="6"/>
        <v>7</v>
      </c>
    </row>
    <row r="221" spans="1:15" x14ac:dyDescent="0.25">
      <c r="A221" s="25" t="s">
        <v>970</v>
      </c>
      <c r="B221" s="25" t="s">
        <v>11</v>
      </c>
      <c r="C221" s="25" t="s">
        <v>134</v>
      </c>
      <c r="D221" s="25" t="s">
        <v>135</v>
      </c>
      <c r="E221" s="25" t="s">
        <v>190</v>
      </c>
      <c r="F221" s="25">
        <v>1</v>
      </c>
      <c r="G221" s="46">
        <v>1870</v>
      </c>
      <c r="H221" s="25">
        <v>25</v>
      </c>
      <c r="I221" s="46">
        <v>25</v>
      </c>
      <c r="J221" s="46">
        <v>625</v>
      </c>
      <c r="K221" s="46">
        <v>2495</v>
      </c>
      <c r="L221" s="25">
        <v>20211118</v>
      </c>
      <c r="M221" s="170">
        <v>25</v>
      </c>
      <c r="N221" s="26">
        <f t="shared" si="6"/>
        <v>0</v>
      </c>
    </row>
    <row r="222" spans="1:15" x14ac:dyDescent="0.25">
      <c r="A222" s="25" t="s">
        <v>983</v>
      </c>
      <c r="B222" s="25" t="s">
        <v>27</v>
      </c>
      <c r="C222" s="25" t="s">
        <v>666</v>
      </c>
      <c r="D222" s="25" t="s">
        <v>984</v>
      </c>
      <c r="E222" s="25" t="s">
        <v>985</v>
      </c>
      <c r="F222" s="25">
        <v>1</v>
      </c>
      <c r="G222" s="46">
        <v>1870</v>
      </c>
      <c r="H222" s="25">
        <v>140</v>
      </c>
      <c r="I222" s="46">
        <v>25</v>
      </c>
      <c r="J222" s="46">
        <v>3500</v>
      </c>
      <c r="K222" s="46">
        <v>5370</v>
      </c>
      <c r="L222" s="25">
        <v>20211118</v>
      </c>
      <c r="M222" s="170">
        <v>140</v>
      </c>
      <c r="N222" s="26">
        <f t="shared" si="6"/>
        <v>0</v>
      </c>
    </row>
    <row r="223" spans="1:15" x14ac:dyDescent="0.25">
      <c r="A223" s="25" t="s">
        <v>974</v>
      </c>
      <c r="B223" s="25" t="s">
        <v>27</v>
      </c>
      <c r="C223" s="25" t="s">
        <v>666</v>
      </c>
      <c r="D223" s="25" t="s">
        <v>975</v>
      </c>
      <c r="E223" s="25" t="s">
        <v>976</v>
      </c>
      <c r="F223" s="25">
        <v>1</v>
      </c>
      <c r="G223" s="46">
        <v>1870</v>
      </c>
      <c r="H223" s="25">
        <v>140</v>
      </c>
      <c r="I223" s="46">
        <v>25</v>
      </c>
      <c r="J223" s="46">
        <v>3500</v>
      </c>
      <c r="K223" s="46">
        <v>5370</v>
      </c>
      <c r="L223" s="25">
        <v>20211124</v>
      </c>
      <c r="M223" s="170">
        <v>140</v>
      </c>
      <c r="N223" s="115">
        <f t="shared" si="6"/>
        <v>0</v>
      </c>
    </row>
    <row r="224" spans="1:15" x14ac:dyDescent="0.25">
      <c r="A224" s="25" t="s">
        <v>965</v>
      </c>
      <c r="B224" s="25" t="s">
        <v>11</v>
      </c>
      <c r="C224" s="25" t="s">
        <v>163</v>
      </c>
      <c r="D224" s="25" t="s">
        <v>164</v>
      </c>
      <c r="E224" s="25" t="s">
        <v>478</v>
      </c>
      <c r="F224" s="25">
        <v>1</v>
      </c>
      <c r="G224" s="46">
        <v>1870</v>
      </c>
      <c r="H224" s="25">
        <v>120</v>
      </c>
      <c r="I224" s="46">
        <v>25</v>
      </c>
      <c r="J224" s="46">
        <v>3000</v>
      </c>
      <c r="K224" s="46">
        <v>4870</v>
      </c>
      <c r="L224" s="25">
        <v>20211129</v>
      </c>
      <c r="M224" s="170">
        <v>120</v>
      </c>
      <c r="N224" s="115">
        <f t="shared" si="6"/>
        <v>0</v>
      </c>
    </row>
    <row r="225" spans="1:15" x14ac:dyDescent="0.25">
      <c r="A225" s="25" t="s">
        <v>967</v>
      </c>
      <c r="B225" s="25" t="s">
        <v>11</v>
      </c>
      <c r="C225" s="25" t="s">
        <v>34</v>
      </c>
      <c r="D225" s="25" t="s">
        <v>35</v>
      </c>
      <c r="E225" s="25" t="s">
        <v>968</v>
      </c>
      <c r="F225" s="25">
        <v>1</v>
      </c>
      <c r="G225" s="46">
        <v>1870</v>
      </c>
      <c r="H225" s="25">
        <v>64</v>
      </c>
      <c r="I225" s="46">
        <v>25</v>
      </c>
      <c r="J225" s="46">
        <v>1600</v>
      </c>
      <c r="K225" s="46">
        <v>3470</v>
      </c>
      <c r="L225" s="25">
        <v>20211130</v>
      </c>
      <c r="M225" s="170">
        <v>64</v>
      </c>
      <c r="N225" s="115">
        <f t="shared" si="6"/>
        <v>0</v>
      </c>
    </row>
    <row r="226" spans="1:15" x14ac:dyDescent="0.25">
      <c r="N226" s="115"/>
    </row>
    <row r="227" spans="1:15" x14ac:dyDescent="0.25">
      <c r="N227" s="115"/>
    </row>
    <row r="228" spans="1:15" x14ac:dyDescent="0.25">
      <c r="A228" s="50" t="s">
        <v>1051</v>
      </c>
      <c r="B228" s="30" t="s">
        <v>11</v>
      </c>
      <c r="C228" s="30" t="s">
        <v>134</v>
      </c>
      <c r="D228" s="30" t="s">
        <v>135</v>
      </c>
      <c r="E228" s="30" t="s">
        <v>264</v>
      </c>
      <c r="F228" s="30">
        <v>1</v>
      </c>
      <c r="G228" s="44">
        <v>1870</v>
      </c>
      <c r="H228" s="30">
        <v>25</v>
      </c>
      <c r="I228" s="44">
        <v>25</v>
      </c>
      <c r="J228" s="44">
        <v>625</v>
      </c>
      <c r="K228" s="44">
        <v>2495</v>
      </c>
      <c r="L228" s="51">
        <v>20211210</v>
      </c>
      <c r="M228" s="170">
        <v>25</v>
      </c>
      <c r="N228" s="115">
        <f t="shared" ref="N228:N291" si="7">M228-H228</f>
        <v>0</v>
      </c>
    </row>
    <row r="229" spans="1:15" x14ac:dyDescent="0.25">
      <c r="A229" s="50" t="s">
        <v>1068</v>
      </c>
      <c r="B229" s="30" t="s">
        <v>11</v>
      </c>
      <c r="C229" s="30" t="s">
        <v>163</v>
      </c>
      <c r="D229" s="30" t="s">
        <v>164</v>
      </c>
      <c r="E229" s="30" t="s">
        <v>444</v>
      </c>
      <c r="F229" s="30">
        <v>1</v>
      </c>
      <c r="G229" s="44">
        <v>1870</v>
      </c>
      <c r="H229" s="30">
        <v>120</v>
      </c>
      <c r="I229" s="44">
        <v>25</v>
      </c>
      <c r="J229" s="44">
        <v>3000</v>
      </c>
      <c r="K229" s="44">
        <v>4870</v>
      </c>
      <c r="L229" s="51">
        <v>20211214</v>
      </c>
      <c r="M229" s="170">
        <v>120</v>
      </c>
      <c r="N229" s="115">
        <f t="shared" si="7"/>
        <v>0</v>
      </c>
    </row>
    <row r="230" spans="1:15" s="118" customFormat="1" x14ac:dyDescent="0.25">
      <c r="A230" s="125" t="s">
        <v>1025</v>
      </c>
      <c r="B230" s="126" t="s">
        <v>11</v>
      </c>
      <c r="C230" s="126" t="s">
        <v>28</v>
      </c>
      <c r="D230" s="126" t="s">
        <v>1026</v>
      </c>
      <c r="E230" s="126" t="s">
        <v>1027</v>
      </c>
      <c r="F230" s="126">
        <v>1</v>
      </c>
      <c r="G230" s="127">
        <v>1870</v>
      </c>
      <c r="H230" s="126">
        <v>114</v>
      </c>
      <c r="I230" s="127">
        <v>25</v>
      </c>
      <c r="J230" s="127">
        <v>2850</v>
      </c>
      <c r="K230" s="127">
        <v>4720</v>
      </c>
      <c r="L230" s="128">
        <v>20211222</v>
      </c>
      <c r="M230" s="190">
        <v>114</v>
      </c>
      <c r="N230" s="116">
        <f t="shared" si="7"/>
        <v>0</v>
      </c>
    </row>
    <row r="231" spans="1:15" s="118" customFormat="1" x14ac:dyDescent="0.25">
      <c r="A231" s="125" t="s">
        <v>1052</v>
      </c>
      <c r="B231" s="126" t="s">
        <v>27</v>
      </c>
      <c r="C231" s="126" t="s">
        <v>1053</v>
      </c>
      <c r="D231" s="126" t="s">
        <v>1054</v>
      </c>
      <c r="E231" s="126" t="s">
        <v>1055</v>
      </c>
      <c r="F231" s="126">
        <v>1</v>
      </c>
      <c r="G231" s="127">
        <v>1870</v>
      </c>
      <c r="H231" s="126">
        <v>30</v>
      </c>
      <c r="I231" s="127">
        <v>25</v>
      </c>
      <c r="J231" s="127">
        <v>750</v>
      </c>
      <c r="K231" s="127">
        <v>2620</v>
      </c>
      <c r="L231" s="128">
        <v>20211222</v>
      </c>
      <c r="M231" s="190">
        <v>30</v>
      </c>
      <c r="N231" s="116">
        <f t="shared" si="7"/>
        <v>0</v>
      </c>
    </row>
    <row r="232" spans="1:15" x14ac:dyDescent="0.25">
      <c r="A232" s="50" t="s">
        <v>1023</v>
      </c>
      <c r="B232" s="30" t="s">
        <v>11</v>
      </c>
      <c r="C232" s="30" t="s">
        <v>26</v>
      </c>
      <c r="D232" s="30" t="s">
        <v>418</v>
      </c>
      <c r="E232" s="30" t="s">
        <v>419</v>
      </c>
      <c r="F232" s="30">
        <v>1</v>
      </c>
      <c r="G232" s="44">
        <v>1870</v>
      </c>
      <c r="H232" s="30">
        <v>148</v>
      </c>
      <c r="I232" s="44">
        <v>25</v>
      </c>
      <c r="J232" s="44">
        <v>3700</v>
      </c>
      <c r="K232" s="44">
        <v>5570</v>
      </c>
      <c r="L232" s="51">
        <v>20211228</v>
      </c>
      <c r="M232" s="170">
        <v>148</v>
      </c>
      <c r="N232" s="115">
        <f t="shared" si="7"/>
        <v>0</v>
      </c>
    </row>
    <row r="233" spans="1:15" x14ac:dyDescent="0.25">
      <c r="N233" s="26"/>
    </row>
    <row r="234" spans="1:15" x14ac:dyDescent="0.25">
      <c r="N234" s="26"/>
    </row>
    <row r="235" spans="1:15" x14ac:dyDescent="0.25">
      <c r="A235" s="25" t="s">
        <v>1168</v>
      </c>
      <c r="B235" s="25" t="s">
        <v>11</v>
      </c>
      <c r="C235" s="25" t="s">
        <v>163</v>
      </c>
      <c r="D235" s="25" t="s">
        <v>164</v>
      </c>
      <c r="E235" s="25" t="s">
        <v>185</v>
      </c>
      <c r="F235" s="25">
        <v>1</v>
      </c>
      <c r="G235" s="46">
        <v>1870</v>
      </c>
      <c r="H235" s="25">
        <v>120</v>
      </c>
      <c r="I235" s="46">
        <v>25</v>
      </c>
      <c r="J235" s="46">
        <v>3000</v>
      </c>
      <c r="K235" s="46">
        <v>4870</v>
      </c>
      <c r="L235" s="25">
        <v>20220104</v>
      </c>
      <c r="M235" s="170">
        <v>120</v>
      </c>
      <c r="N235" s="26">
        <f t="shared" si="7"/>
        <v>0</v>
      </c>
    </row>
    <row r="236" spans="1:15" x14ac:dyDescent="0.25">
      <c r="A236" s="25" t="s">
        <v>1159</v>
      </c>
      <c r="B236" s="25" t="s">
        <v>11</v>
      </c>
      <c r="C236" s="25" t="s">
        <v>28</v>
      </c>
      <c r="D236" s="25" t="s">
        <v>1160</v>
      </c>
      <c r="E236" s="25" t="s">
        <v>1161</v>
      </c>
      <c r="F236" s="25">
        <v>1</v>
      </c>
      <c r="G236" s="46">
        <v>1870</v>
      </c>
      <c r="H236" s="25">
        <v>50</v>
      </c>
      <c r="I236" s="46">
        <v>25</v>
      </c>
      <c r="J236" s="46">
        <v>1250</v>
      </c>
      <c r="K236" s="46">
        <v>3120</v>
      </c>
      <c r="L236" s="25">
        <v>20220105</v>
      </c>
      <c r="M236" s="170">
        <v>50</v>
      </c>
      <c r="N236" s="26">
        <f t="shared" si="7"/>
        <v>0</v>
      </c>
    </row>
    <row r="237" spans="1:15" s="129" customFormat="1" x14ac:dyDescent="0.25">
      <c r="A237" s="129" t="s">
        <v>1173</v>
      </c>
      <c r="B237" s="129" t="s">
        <v>27</v>
      </c>
      <c r="C237" s="129" t="s">
        <v>666</v>
      </c>
      <c r="D237" s="129" t="s">
        <v>1174</v>
      </c>
      <c r="E237" s="129" t="s">
        <v>1175</v>
      </c>
      <c r="F237" s="129">
        <v>1</v>
      </c>
      <c r="G237" s="130">
        <v>1870</v>
      </c>
      <c r="H237" s="129">
        <v>44</v>
      </c>
      <c r="I237" s="130">
        <v>25</v>
      </c>
      <c r="J237" s="130">
        <v>1100</v>
      </c>
      <c r="K237" s="130">
        <v>2970</v>
      </c>
      <c r="L237" s="129">
        <v>20220106</v>
      </c>
      <c r="M237" s="191"/>
      <c r="N237" s="131">
        <f t="shared" si="7"/>
        <v>-44</v>
      </c>
      <c r="O237" s="129" t="s">
        <v>1179</v>
      </c>
    </row>
    <row r="238" spans="1:15" s="42" customFormat="1" x14ac:dyDescent="0.25">
      <c r="A238" s="42" t="s">
        <v>1166</v>
      </c>
      <c r="B238" s="42" t="s">
        <v>11</v>
      </c>
      <c r="C238" s="42" t="s">
        <v>337</v>
      </c>
      <c r="D238" s="42" t="s">
        <v>35</v>
      </c>
      <c r="E238" s="42" t="s">
        <v>122</v>
      </c>
      <c r="F238" s="42">
        <v>1</v>
      </c>
      <c r="G238" s="67">
        <v>1870</v>
      </c>
      <c r="H238" s="42">
        <v>64</v>
      </c>
      <c r="I238" s="67">
        <v>25</v>
      </c>
      <c r="J238" s="67">
        <v>1600</v>
      </c>
      <c r="K238" s="67">
        <v>3470</v>
      </c>
      <c r="L238" s="42">
        <v>20220107</v>
      </c>
      <c r="M238" s="172">
        <v>64</v>
      </c>
      <c r="N238" s="82">
        <f t="shared" si="7"/>
        <v>0</v>
      </c>
      <c r="O238" s="42" t="s">
        <v>1180</v>
      </c>
    </row>
    <row r="239" spans="1:15" s="42" customFormat="1" x14ac:dyDescent="0.25">
      <c r="A239" s="42" t="s">
        <v>1165</v>
      </c>
      <c r="B239" s="42" t="s">
        <v>11</v>
      </c>
      <c r="C239" s="42" t="s">
        <v>337</v>
      </c>
      <c r="D239" s="42" t="s">
        <v>35</v>
      </c>
      <c r="E239" s="42" t="s">
        <v>340</v>
      </c>
      <c r="F239" s="42">
        <v>1</v>
      </c>
      <c r="G239" s="67">
        <v>1870</v>
      </c>
      <c r="H239" s="42">
        <v>64</v>
      </c>
      <c r="I239" s="67">
        <v>25</v>
      </c>
      <c r="J239" s="67">
        <v>1600</v>
      </c>
      <c r="K239" s="67">
        <v>3470</v>
      </c>
      <c r="L239" s="42">
        <v>20220107</v>
      </c>
      <c r="M239" s="172">
        <v>64</v>
      </c>
      <c r="N239" s="82">
        <f t="shared" si="7"/>
        <v>0</v>
      </c>
    </row>
    <row r="240" spans="1:15" x14ac:dyDescent="0.25">
      <c r="A240" s="25" t="s">
        <v>1158</v>
      </c>
      <c r="B240" s="25" t="s">
        <v>11</v>
      </c>
      <c r="C240" s="25" t="s">
        <v>405</v>
      </c>
      <c r="D240" s="25" t="s">
        <v>798</v>
      </c>
      <c r="E240" s="25" t="s">
        <v>811</v>
      </c>
      <c r="F240" s="25">
        <v>1</v>
      </c>
      <c r="G240" s="46">
        <v>1870</v>
      </c>
      <c r="H240" s="25">
        <v>25</v>
      </c>
      <c r="I240" s="46">
        <v>25</v>
      </c>
      <c r="J240" s="46">
        <v>625</v>
      </c>
      <c r="K240" s="46">
        <v>2495</v>
      </c>
      <c r="L240" s="25">
        <v>20220113</v>
      </c>
      <c r="M240" s="170">
        <v>25</v>
      </c>
      <c r="N240" s="26">
        <f t="shared" si="7"/>
        <v>0</v>
      </c>
    </row>
    <row r="241" spans="1:15" x14ac:dyDescent="0.25">
      <c r="A241" s="25" t="s">
        <v>1163</v>
      </c>
      <c r="B241" s="25" t="s">
        <v>11</v>
      </c>
      <c r="C241" s="25" t="s">
        <v>202</v>
      </c>
      <c r="D241" s="25" t="s">
        <v>203</v>
      </c>
      <c r="E241" s="25" t="s">
        <v>1164</v>
      </c>
      <c r="F241" s="25">
        <v>1</v>
      </c>
      <c r="G241" s="46">
        <v>1870</v>
      </c>
      <c r="H241" s="25">
        <v>78</v>
      </c>
      <c r="I241" s="46">
        <v>25</v>
      </c>
      <c r="J241" s="46">
        <v>1950</v>
      </c>
      <c r="K241" s="46">
        <v>3820</v>
      </c>
      <c r="L241" s="25">
        <v>20220114</v>
      </c>
      <c r="M241" s="170">
        <v>78</v>
      </c>
      <c r="N241" s="26">
        <f t="shared" si="7"/>
        <v>0</v>
      </c>
    </row>
    <row r="242" spans="1:15" x14ac:dyDescent="0.25">
      <c r="A242" s="25" t="s">
        <v>1129</v>
      </c>
      <c r="B242" s="25" t="s">
        <v>11</v>
      </c>
      <c r="C242" s="25" t="s">
        <v>134</v>
      </c>
      <c r="D242" s="25" t="s">
        <v>135</v>
      </c>
      <c r="E242" s="25" t="s">
        <v>136</v>
      </c>
      <c r="F242" s="25">
        <v>1</v>
      </c>
      <c r="G242" s="46">
        <v>1870</v>
      </c>
      <c r="H242" s="25">
        <v>25</v>
      </c>
      <c r="I242" s="46">
        <v>25</v>
      </c>
      <c r="J242" s="46">
        <v>625</v>
      </c>
      <c r="K242" s="46">
        <v>2495</v>
      </c>
      <c r="L242" s="25">
        <v>20220118</v>
      </c>
      <c r="M242" s="170">
        <v>25</v>
      </c>
      <c r="N242" s="26">
        <f t="shared" si="7"/>
        <v>0</v>
      </c>
    </row>
    <row r="243" spans="1:15" x14ac:dyDescent="0.25">
      <c r="A243" s="25" t="s">
        <v>1170</v>
      </c>
      <c r="B243" s="25" t="s">
        <v>27</v>
      </c>
      <c r="C243" s="25" t="s">
        <v>45</v>
      </c>
      <c r="D243" s="25" t="s">
        <v>46</v>
      </c>
      <c r="E243" s="25" t="s">
        <v>1171</v>
      </c>
      <c r="F243" s="25">
        <v>1</v>
      </c>
      <c r="G243" s="46">
        <v>1870</v>
      </c>
      <c r="H243" s="25">
        <v>50</v>
      </c>
      <c r="I243" s="46">
        <v>25</v>
      </c>
      <c r="J243" s="46">
        <v>1250</v>
      </c>
      <c r="K243" s="46">
        <v>3120</v>
      </c>
      <c r="L243" s="25">
        <v>20220120</v>
      </c>
      <c r="M243" s="170">
        <v>50</v>
      </c>
      <c r="N243" s="26">
        <f t="shared" si="7"/>
        <v>0</v>
      </c>
    </row>
    <row r="244" spans="1:15" s="42" customFormat="1" x14ac:dyDescent="0.25">
      <c r="A244" s="42" t="s">
        <v>1110</v>
      </c>
      <c r="B244" s="42" t="s">
        <v>11</v>
      </c>
      <c r="C244" s="42" t="s">
        <v>134</v>
      </c>
      <c r="D244" s="42" t="s">
        <v>135</v>
      </c>
      <c r="E244" s="42" t="s">
        <v>190</v>
      </c>
      <c r="F244" s="42">
        <v>1</v>
      </c>
      <c r="G244" s="67">
        <v>1870</v>
      </c>
      <c r="H244" s="42">
        <v>25</v>
      </c>
      <c r="I244" s="67">
        <v>25</v>
      </c>
      <c r="J244" s="67">
        <v>625</v>
      </c>
      <c r="K244" s="67">
        <v>2495</v>
      </c>
      <c r="L244" s="42">
        <v>20220124</v>
      </c>
      <c r="M244" s="172">
        <v>25</v>
      </c>
      <c r="N244" s="82">
        <f t="shared" si="7"/>
        <v>0</v>
      </c>
    </row>
    <row r="245" spans="1:15" s="42" customFormat="1" x14ac:dyDescent="0.25">
      <c r="A245" s="42" t="s">
        <v>1122</v>
      </c>
      <c r="B245" s="42" t="s">
        <v>137</v>
      </c>
      <c r="C245" s="42" t="s">
        <v>163</v>
      </c>
      <c r="D245" s="42" t="s">
        <v>164</v>
      </c>
      <c r="E245" s="42" t="s">
        <v>244</v>
      </c>
      <c r="F245" s="42">
        <v>1</v>
      </c>
      <c r="G245" s="67">
        <v>935</v>
      </c>
      <c r="H245" s="42">
        <v>120</v>
      </c>
      <c r="I245" s="67">
        <v>25</v>
      </c>
      <c r="J245" s="67">
        <v>3000</v>
      </c>
      <c r="K245" s="67">
        <v>3935</v>
      </c>
      <c r="L245" s="42">
        <v>20220124</v>
      </c>
      <c r="M245" s="172">
        <v>120</v>
      </c>
      <c r="N245" s="82">
        <f t="shared" si="7"/>
        <v>0</v>
      </c>
    </row>
    <row r="246" spans="1:15" x14ac:dyDescent="0.25">
      <c r="A246" s="25" t="s">
        <v>1101</v>
      </c>
      <c r="B246" s="25" t="s">
        <v>137</v>
      </c>
      <c r="C246" s="25" t="s">
        <v>28</v>
      </c>
      <c r="D246" s="25" t="s">
        <v>396</v>
      </c>
      <c r="E246" s="25" t="s">
        <v>397</v>
      </c>
      <c r="F246" s="25">
        <v>1</v>
      </c>
      <c r="G246" s="46">
        <v>935</v>
      </c>
      <c r="H246" s="25">
        <v>76</v>
      </c>
      <c r="I246" s="46">
        <v>25</v>
      </c>
      <c r="J246" s="46">
        <v>1900</v>
      </c>
      <c r="K246" s="46">
        <v>2835</v>
      </c>
      <c r="L246" s="25">
        <v>20220127</v>
      </c>
      <c r="M246" s="170">
        <v>76</v>
      </c>
      <c r="N246" s="26">
        <f t="shared" si="7"/>
        <v>0</v>
      </c>
    </row>
    <row r="247" spans="1:15" s="42" customFormat="1" x14ac:dyDescent="0.25">
      <c r="A247" s="42" t="s">
        <v>1093</v>
      </c>
      <c r="B247" s="42" t="s">
        <v>11</v>
      </c>
      <c r="C247" s="42" t="s">
        <v>134</v>
      </c>
      <c r="D247" s="42" t="s">
        <v>135</v>
      </c>
      <c r="E247" s="42" t="s">
        <v>190</v>
      </c>
      <c r="F247" s="42">
        <v>1</v>
      </c>
      <c r="G247" s="67">
        <v>1870</v>
      </c>
      <c r="H247" s="42">
        <v>25</v>
      </c>
      <c r="I247" s="67">
        <v>25</v>
      </c>
      <c r="J247" s="67">
        <v>625</v>
      </c>
      <c r="K247" s="67">
        <v>2495</v>
      </c>
      <c r="L247" s="42">
        <v>20220131</v>
      </c>
      <c r="M247" s="172">
        <v>25</v>
      </c>
      <c r="N247" s="82">
        <f t="shared" si="7"/>
        <v>0</v>
      </c>
      <c r="O247" s="42" t="s">
        <v>1181</v>
      </c>
    </row>
    <row r="248" spans="1:15" s="42" customFormat="1" x14ac:dyDescent="0.25">
      <c r="A248" s="42" t="s">
        <v>1092</v>
      </c>
      <c r="B248" s="42" t="s">
        <v>137</v>
      </c>
      <c r="C248" s="42" t="s">
        <v>134</v>
      </c>
      <c r="D248" s="42" t="s">
        <v>135</v>
      </c>
      <c r="E248" s="42" t="s">
        <v>136</v>
      </c>
      <c r="F248" s="42">
        <v>1</v>
      </c>
      <c r="G248" s="67">
        <v>935</v>
      </c>
      <c r="H248" s="42">
        <v>25</v>
      </c>
      <c r="I248" s="67">
        <v>25</v>
      </c>
      <c r="J248" s="67">
        <v>625</v>
      </c>
      <c r="K248" s="67">
        <v>1560</v>
      </c>
      <c r="L248" s="42">
        <v>20220131</v>
      </c>
      <c r="M248" s="172">
        <v>25</v>
      </c>
      <c r="N248" s="26">
        <f t="shared" si="7"/>
        <v>0</v>
      </c>
    </row>
    <row r="249" spans="1:15" x14ac:dyDescent="0.25">
      <c r="N249" s="26"/>
    </row>
    <row r="250" spans="1:15" x14ac:dyDescent="0.25">
      <c r="N250" s="26"/>
    </row>
    <row r="251" spans="1:15" s="113" customFormat="1" x14ac:dyDescent="0.25">
      <c r="A251" s="113" t="s">
        <v>1239</v>
      </c>
      <c r="B251" s="113" t="s">
        <v>11</v>
      </c>
      <c r="C251" s="113" t="s">
        <v>270</v>
      </c>
      <c r="D251" s="113" t="s">
        <v>368</v>
      </c>
      <c r="E251" s="113" t="s">
        <v>369</v>
      </c>
      <c r="F251" s="113">
        <v>1</v>
      </c>
      <c r="G251" s="114">
        <v>1870</v>
      </c>
      <c r="H251" s="113">
        <v>120</v>
      </c>
      <c r="I251" s="114">
        <v>25</v>
      </c>
      <c r="J251" s="114">
        <v>3000</v>
      </c>
      <c r="K251" s="114">
        <v>4870</v>
      </c>
      <c r="L251" s="113">
        <v>20220201</v>
      </c>
      <c r="M251" s="181">
        <v>120</v>
      </c>
      <c r="N251" s="115">
        <f t="shared" si="7"/>
        <v>0</v>
      </c>
    </row>
    <row r="252" spans="1:15" s="113" customFormat="1" x14ac:dyDescent="0.25">
      <c r="A252" s="113" t="s">
        <v>1240</v>
      </c>
      <c r="B252" s="113" t="s">
        <v>11</v>
      </c>
      <c r="C252" s="113" t="s">
        <v>163</v>
      </c>
      <c r="D252" s="113" t="s">
        <v>164</v>
      </c>
      <c r="E252" s="113" t="s">
        <v>448</v>
      </c>
      <c r="F252" s="113">
        <v>1</v>
      </c>
      <c r="G252" s="114">
        <v>1870</v>
      </c>
      <c r="H252" s="113">
        <v>120</v>
      </c>
      <c r="I252" s="114">
        <v>25</v>
      </c>
      <c r="J252" s="114">
        <v>3000</v>
      </c>
      <c r="K252" s="114">
        <v>4870</v>
      </c>
      <c r="L252" s="113">
        <v>20220201</v>
      </c>
      <c r="M252" s="181">
        <v>120</v>
      </c>
      <c r="N252" s="115">
        <f t="shared" si="7"/>
        <v>0</v>
      </c>
    </row>
    <row r="253" spans="1:15" s="113" customFormat="1" x14ac:dyDescent="0.25">
      <c r="A253" s="113" t="s">
        <v>1219</v>
      </c>
      <c r="B253" s="113" t="s">
        <v>137</v>
      </c>
      <c r="C253" s="113" t="s">
        <v>270</v>
      </c>
      <c r="D253" s="113" t="s">
        <v>380</v>
      </c>
      <c r="E253" s="113" t="s">
        <v>1220</v>
      </c>
      <c r="F253" s="113">
        <v>1</v>
      </c>
      <c r="G253" s="114">
        <v>935</v>
      </c>
      <c r="H253" s="113">
        <v>120</v>
      </c>
      <c r="I253" s="114">
        <v>25</v>
      </c>
      <c r="J253" s="114">
        <v>3000</v>
      </c>
      <c r="K253" s="114">
        <v>3935</v>
      </c>
      <c r="L253" s="113">
        <v>20220201</v>
      </c>
      <c r="M253" s="181">
        <v>120</v>
      </c>
      <c r="N253" s="115">
        <f t="shared" si="7"/>
        <v>0</v>
      </c>
    </row>
    <row r="254" spans="1:15" x14ac:dyDescent="0.25">
      <c r="F254" s="25"/>
      <c r="G254" s="46"/>
      <c r="I254" s="46"/>
      <c r="J254" s="46"/>
      <c r="K254" s="46"/>
      <c r="N254" s="26"/>
    </row>
    <row r="255" spans="1:15" s="113" customFormat="1" x14ac:dyDescent="0.25">
      <c r="A255" s="113" t="s">
        <v>1205</v>
      </c>
      <c r="B255" s="113" t="s">
        <v>11</v>
      </c>
      <c r="C255" s="113" t="s">
        <v>337</v>
      </c>
      <c r="D255" s="113" t="s">
        <v>35</v>
      </c>
      <c r="E255" s="113" t="s">
        <v>122</v>
      </c>
      <c r="F255" s="113">
        <v>1</v>
      </c>
      <c r="G255" s="114">
        <v>1870</v>
      </c>
      <c r="H255" s="113">
        <v>60</v>
      </c>
      <c r="I255" s="114">
        <v>25</v>
      </c>
      <c r="J255" s="114">
        <v>1500</v>
      </c>
      <c r="K255" s="114">
        <v>3370</v>
      </c>
      <c r="L255" s="113">
        <v>20220203</v>
      </c>
      <c r="M255" s="181">
        <v>64</v>
      </c>
      <c r="N255" s="115">
        <f t="shared" si="7"/>
        <v>4</v>
      </c>
    </row>
    <row r="256" spans="1:15" s="113" customFormat="1" x14ac:dyDescent="0.25">
      <c r="A256" s="113" t="s">
        <v>1222</v>
      </c>
      <c r="B256" s="113" t="s">
        <v>11</v>
      </c>
      <c r="C256" s="113" t="s">
        <v>337</v>
      </c>
      <c r="D256" s="113" t="s">
        <v>35</v>
      </c>
      <c r="E256" s="113" t="s">
        <v>511</v>
      </c>
      <c r="F256" s="113">
        <v>1</v>
      </c>
      <c r="G256" s="114">
        <v>1870</v>
      </c>
      <c r="H256" s="113">
        <v>64</v>
      </c>
      <c r="I256" s="114">
        <v>25</v>
      </c>
      <c r="J256" s="114">
        <v>1600</v>
      </c>
      <c r="K256" s="114">
        <v>3470</v>
      </c>
      <c r="L256" s="113">
        <v>20220203</v>
      </c>
      <c r="M256" s="181">
        <v>64</v>
      </c>
      <c r="N256" s="115">
        <f t="shared" si="7"/>
        <v>0</v>
      </c>
    </row>
    <row r="257" spans="1:14" x14ac:dyDescent="0.25">
      <c r="F257" s="25"/>
      <c r="G257" s="46"/>
      <c r="I257" s="46"/>
      <c r="J257" s="46"/>
      <c r="K257" s="46"/>
      <c r="N257" s="26"/>
    </row>
    <row r="258" spans="1:14" x14ac:dyDescent="0.25">
      <c r="A258" s="25" t="s">
        <v>1204</v>
      </c>
      <c r="B258" s="25" t="s">
        <v>11</v>
      </c>
      <c r="C258" s="25" t="s">
        <v>134</v>
      </c>
      <c r="D258" s="25" t="s">
        <v>135</v>
      </c>
      <c r="E258" s="25" t="s">
        <v>1178</v>
      </c>
      <c r="F258" s="25">
        <v>1</v>
      </c>
      <c r="G258" s="46">
        <v>1870</v>
      </c>
      <c r="H258" s="25">
        <v>25</v>
      </c>
      <c r="I258" s="46">
        <v>25</v>
      </c>
      <c r="J258" s="46">
        <v>625</v>
      </c>
      <c r="K258" s="46">
        <v>2495</v>
      </c>
      <c r="L258" s="25">
        <v>20220207</v>
      </c>
      <c r="M258" s="170">
        <v>25</v>
      </c>
      <c r="N258" s="26">
        <f t="shared" si="7"/>
        <v>0</v>
      </c>
    </row>
    <row r="259" spans="1:14" x14ac:dyDescent="0.25">
      <c r="F259" s="25"/>
      <c r="G259" s="46"/>
      <c r="I259" s="46"/>
      <c r="J259" s="46"/>
      <c r="K259" s="46"/>
      <c r="N259" s="26"/>
    </row>
    <row r="260" spans="1:14" x14ac:dyDescent="0.25">
      <c r="A260" s="25" t="s">
        <v>1197</v>
      </c>
      <c r="B260" s="25" t="s">
        <v>11</v>
      </c>
      <c r="C260" s="25" t="s">
        <v>28</v>
      </c>
      <c r="D260" s="25" t="s">
        <v>1160</v>
      </c>
      <c r="E260" s="25" t="s">
        <v>1161</v>
      </c>
      <c r="F260" s="25">
        <v>1</v>
      </c>
      <c r="G260" s="46">
        <v>1870</v>
      </c>
      <c r="H260" s="25">
        <v>50</v>
      </c>
      <c r="I260" s="46">
        <v>25</v>
      </c>
      <c r="J260" s="46">
        <v>1250</v>
      </c>
      <c r="K260" s="46">
        <v>3120</v>
      </c>
      <c r="L260" s="25">
        <v>20220209</v>
      </c>
      <c r="M260" s="170">
        <v>50</v>
      </c>
      <c r="N260" s="26">
        <f t="shared" si="7"/>
        <v>0</v>
      </c>
    </row>
    <row r="261" spans="1:14" x14ac:dyDescent="0.25">
      <c r="A261" s="25" t="s">
        <v>1207</v>
      </c>
      <c r="B261" s="25" t="s">
        <v>11</v>
      </c>
      <c r="C261" s="25" t="s">
        <v>163</v>
      </c>
      <c r="D261" s="25" t="s">
        <v>164</v>
      </c>
      <c r="E261" s="25" t="s">
        <v>478</v>
      </c>
      <c r="F261" s="25">
        <v>1</v>
      </c>
      <c r="G261" s="46">
        <v>1870</v>
      </c>
      <c r="H261" s="25">
        <v>120</v>
      </c>
      <c r="I261" s="46">
        <v>25</v>
      </c>
      <c r="J261" s="46">
        <v>3000</v>
      </c>
      <c r="K261" s="46">
        <v>4870</v>
      </c>
      <c r="L261" s="25">
        <v>20220209</v>
      </c>
      <c r="M261" s="170">
        <v>120</v>
      </c>
      <c r="N261" s="26">
        <f t="shared" si="7"/>
        <v>0</v>
      </c>
    </row>
    <row r="262" spans="1:14" x14ac:dyDescent="0.25">
      <c r="F262" s="25"/>
      <c r="G262" s="46"/>
      <c r="I262" s="46"/>
      <c r="J262" s="46"/>
      <c r="K262" s="46"/>
      <c r="N262" s="26"/>
    </row>
    <row r="263" spans="1:14" x14ac:dyDescent="0.25">
      <c r="A263" s="25" t="s">
        <v>1199</v>
      </c>
      <c r="B263" s="25" t="s">
        <v>11</v>
      </c>
      <c r="C263" s="25" t="s">
        <v>337</v>
      </c>
      <c r="D263" s="25" t="s">
        <v>35</v>
      </c>
      <c r="E263" s="25" t="s">
        <v>157</v>
      </c>
      <c r="F263" s="25">
        <v>1</v>
      </c>
      <c r="G263" s="46">
        <v>1870</v>
      </c>
      <c r="H263" s="25">
        <v>64</v>
      </c>
      <c r="I263" s="46">
        <v>25</v>
      </c>
      <c r="J263" s="46">
        <v>1600</v>
      </c>
      <c r="K263" s="46">
        <v>3470</v>
      </c>
      <c r="L263" s="25">
        <v>20220210</v>
      </c>
      <c r="M263" s="170">
        <v>64</v>
      </c>
      <c r="N263" s="26">
        <f t="shared" si="7"/>
        <v>0</v>
      </c>
    </row>
    <row r="264" spans="1:14" x14ac:dyDescent="0.25">
      <c r="F264" s="25"/>
      <c r="G264" s="46"/>
      <c r="I264" s="46"/>
      <c r="J264" s="46"/>
      <c r="K264" s="46"/>
      <c r="N264" s="26"/>
    </row>
    <row r="265" spans="1:14" x14ac:dyDescent="0.25">
      <c r="A265" s="25" t="s">
        <v>1198</v>
      </c>
      <c r="B265" s="25" t="s">
        <v>11</v>
      </c>
      <c r="C265" s="25" t="s">
        <v>337</v>
      </c>
      <c r="D265" s="25" t="s">
        <v>162</v>
      </c>
      <c r="E265" s="25" t="s">
        <v>423</v>
      </c>
      <c r="F265" s="25">
        <v>1</v>
      </c>
      <c r="G265" s="46">
        <v>1870</v>
      </c>
      <c r="H265" s="25">
        <v>60</v>
      </c>
      <c r="I265" s="46">
        <v>25</v>
      </c>
      <c r="J265" s="46">
        <v>1500</v>
      </c>
      <c r="K265" s="46">
        <v>3370</v>
      </c>
      <c r="L265" s="25">
        <v>20220211</v>
      </c>
      <c r="M265" s="170">
        <v>60</v>
      </c>
      <c r="N265" s="26">
        <f t="shared" si="7"/>
        <v>0</v>
      </c>
    </row>
    <row r="266" spans="1:14" x14ac:dyDescent="0.25">
      <c r="F266" s="25"/>
      <c r="G266" s="46"/>
      <c r="I266" s="46"/>
      <c r="J266" s="46"/>
      <c r="K266" s="46"/>
      <c r="N266" s="26"/>
    </row>
    <row r="267" spans="1:14" x14ac:dyDescent="0.25">
      <c r="A267" s="25" t="s">
        <v>1196</v>
      </c>
      <c r="B267" s="25" t="s">
        <v>11</v>
      </c>
      <c r="C267" s="25" t="s">
        <v>28</v>
      </c>
      <c r="D267" s="25" t="s">
        <v>1183</v>
      </c>
      <c r="E267" s="25" t="s">
        <v>1184</v>
      </c>
      <c r="F267" s="25">
        <v>1</v>
      </c>
      <c r="G267" s="46">
        <v>1870</v>
      </c>
      <c r="H267" s="25">
        <v>120</v>
      </c>
      <c r="I267" s="46">
        <v>25</v>
      </c>
      <c r="J267" s="46">
        <v>3000</v>
      </c>
      <c r="K267" s="46">
        <v>4870</v>
      </c>
      <c r="L267" s="25">
        <v>20220216</v>
      </c>
      <c r="M267" s="170">
        <v>120</v>
      </c>
      <c r="N267" s="26">
        <f t="shared" si="7"/>
        <v>0</v>
      </c>
    </row>
    <row r="268" spans="1:14" x14ac:dyDescent="0.25">
      <c r="F268" s="25"/>
      <c r="G268" s="46"/>
      <c r="I268" s="46"/>
      <c r="J268" s="46"/>
      <c r="K268" s="46"/>
      <c r="N268" s="26"/>
    </row>
    <row r="269" spans="1:14" x14ac:dyDescent="0.25">
      <c r="A269" s="25" t="s">
        <v>1190</v>
      </c>
      <c r="B269" s="25" t="s">
        <v>11</v>
      </c>
      <c r="C269" s="25" t="s">
        <v>134</v>
      </c>
      <c r="D269" s="25" t="s">
        <v>135</v>
      </c>
      <c r="E269" s="25" t="s">
        <v>264</v>
      </c>
      <c r="F269" s="25">
        <v>1</v>
      </c>
      <c r="G269" s="46">
        <v>1870</v>
      </c>
      <c r="H269" s="25">
        <v>25</v>
      </c>
      <c r="I269" s="46">
        <v>25</v>
      </c>
      <c r="J269" s="46">
        <v>625</v>
      </c>
      <c r="K269" s="46">
        <v>2495</v>
      </c>
      <c r="L269" s="25">
        <v>20220217</v>
      </c>
      <c r="M269" s="170">
        <v>25</v>
      </c>
      <c r="N269" s="26">
        <f t="shared" si="7"/>
        <v>0</v>
      </c>
    </row>
    <row r="270" spans="1:14" x14ac:dyDescent="0.25">
      <c r="F270" s="25"/>
      <c r="G270" s="46"/>
      <c r="I270" s="46"/>
      <c r="J270" s="46"/>
      <c r="K270" s="46"/>
      <c r="N270" s="26"/>
    </row>
    <row r="271" spans="1:14" x14ac:dyDescent="0.25">
      <c r="A271" s="25" t="s">
        <v>1187</v>
      </c>
      <c r="B271" s="25" t="s">
        <v>11</v>
      </c>
      <c r="C271" s="25" t="s">
        <v>28</v>
      </c>
      <c r="D271" s="25" t="s">
        <v>724</v>
      </c>
      <c r="E271" s="25" t="s">
        <v>725</v>
      </c>
      <c r="F271" s="25">
        <v>1</v>
      </c>
      <c r="G271" s="46">
        <v>1870</v>
      </c>
      <c r="H271" s="25">
        <v>140</v>
      </c>
      <c r="I271" s="46">
        <v>25</v>
      </c>
      <c r="J271" s="46">
        <v>3500</v>
      </c>
      <c r="K271" s="46">
        <v>5370</v>
      </c>
      <c r="L271" s="25">
        <v>20220218</v>
      </c>
      <c r="M271" s="170">
        <v>140</v>
      </c>
      <c r="N271" s="26">
        <f t="shared" si="7"/>
        <v>0</v>
      </c>
    </row>
    <row r="272" spans="1:14" x14ac:dyDescent="0.25">
      <c r="F272" s="25"/>
      <c r="G272" s="46"/>
      <c r="I272" s="46"/>
      <c r="J272" s="46"/>
      <c r="K272" s="46"/>
      <c r="N272" s="26"/>
    </row>
    <row r="273" spans="1:14" x14ac:dyDescent="0.25">
      <c r="A273" s="25" t="s">
        <v>1182</v>
      </c>
      <c r="B273" s="25" t="s">
        <v>11</v>
      </c>
      <c r="C273" s="25" t="s">
        <v>28</v>
      </c>
      <c r="D273" s="25" t="s">
        <v>1183</v>
      </c>
      <c r="E273" s="25" t="s">
        <v>1184</v>
      </c>
      <c r="F273" s="25">
        <v>1</v>
      </c>
      <c r="G273" s="46">
        <v>1870</v>
      </c>
      <c r="H273" s="25">
        <v>120</v>
      </c>
      <c r="I273" s="46">
        <v>25</v>
      </c>
      <c r="J273" s="46">
        <v>3000</v>
      </c>
      <c r="K273" s="46">
        <v>4870</v>
      </c>
      <c r="L273" s="25">
        <v>20220225</v>
      </c>
      <c r="M273" s="170">
        <v>120</v>
      </c>
      <c r="N273" s="26">
        <f t="shared" si="7"/>
        <v>0</v>
      </c>
    </row>
    <row r="274" spans="1:14" x14ac:dyDescent="0.25">
      <c r="N274" s="26"/>
    </row>
    <row r="275" spans="1:14" x14ac:dyDescent="0.25">
      <c r="N275" s="26"/>
    </row>
    <row r="276" spans="1:14" x14ac:dyDescent="0.25">
      <c r="A276" s="25" t="s">
        <v>1270</v>
      </c>
      <c r="B276" s="25" t="s">
        <v>11</v>
      </c>
      <c r="C276" s="25" t="s">
        <v>28</v>
      </c>
      <c r="D276" s="25" t="s">
        <v>49</v>
      </c>
      <c r="E276" s="25" t="s">
        <v>50</v>
      </c>
      <c r="F276" s="25">
        <v>1</v>
      </c>
      <c r="G276" s="46">
        <v>1870</v>
      </c>
      <c r="H276" s="25">
        <v>25</v>
      </c>
      <c r="I276" s="46">
        <v>25</v>
      </c>
      <c r="J276" s="46">
        <v>625</v>
      </c>
      <c r="K276" s="46">
        <v>2495</v>
      </c>
      <c r="L276" s="25">
        <v>20220310</v>
      </c>
      <c r="M276" s="170">
        <v>25</v>
      </c>
      <c r="N276" s="26">
        <f t="shared" si="7"/>
        <v>0</v>
      </c>
    </row>
    <row r="277" spans="1:14" x14ac:dyDescent="0.25">
      <c r="F277" s="25"/>
      <c r="G277" s="46"/>
      <c r="I277" s="46"/>
      <c r="J277" s="46"/>
      <c r="K277" s="46"/>
      <c r="N277" s="26"/>
    </row>
    <row r="278" spans="1:14" x14ac:dyDescent="0.25">
      <c r="A278" s="25" t="s">
        <v>1275</v>
      </c>
      <c r="B278" s="25" t="s">
        <v>11</v>
      </c>
      <c r="C278" s="25" t="s">
        <v>134</v>
      </c>
      <c r="D278" s="25" t="s">
        <v>135</v>
      </c>
      <c r="E278" s="25" t="s">
        <v>136</v>
      </c>
      <c r="F278" s="25">
        <v>1</v>
      </c>
      <c r="G278" s="46">
        <v>1870</v>
      </c>
      <c r="H278" s="25">
        <v>25</v>
      </c>
      <c r="I278" s="46">
        <v>25</v>
      </c>
      <c r="J278" s="46">
        <v>625</v>
      </c>
      <c r="K278" s="46">
        <v>2495</v>
      </c>
      <c r="L278" s="25">
        <v>20220311</v>
      </c>
      <c r="M278" s="170">
        <v>25</v>
      </c>
      <c r="N278" s="26">
        <f t="shared" si="7"/>
        <v>0</v>
      </c>
    </row>
    <row r="279" spans="1:14" x14ac:dyDescent="0.25">
      <c r="F279" s="25"/>
      <c r="G279" s="46"/>
      <c r="I279" s="46"/>
      <c r="J279" s="46"/>
      <c r="K279" s="46"/>
      <c r="N279" s="26"/>
    </row>
    <row r="280" spans="1:14" x14ac:dyDescent="0.25">
      <c r="A280" s="25" t="s">
        <v>1266</v>
      </c>
      <c r="B280" s="25" t="s">
        <v>11</v>
      </c>
      <c r="C280" s="25" t="s">
        <v>163</v>
      </c>
      <c r="D280" s="25" t="s">
        <v>164</v>
      </c>
      <c r="E280" s="25" t="s">
        <v>185</v>
      </c>
      <c r="F280" s="25">
        <v>1</v>
      </c>
      <c r="G280" s="46">
        <v>1870</v>
      </c>
      <c r="H280" s="25">
        <v>120</v>
      </c>
      <c r="I280" s="46">
        <v>25</v>
      </c>
      <c r="J280" s="46">
        <v>3000</v>
      </c>
      <c r="K280" s="46">
        <v>4870</v>
      </c>
      <c r="L280" s="25">
        <v>20220314</v>
      </c>
      <c r="M280" s="170">
        <v>120</v>
      </c>
      <c r="N280" s="26">
        <f t="shared" si="7"/>
        <v>0</v>
      </c>
    </row>
    <row r="281" spans="1:14" x14ac:dyDescent="0.25">
      <c r="F281" s="25"/>
      <c r="G281" s="46"/>
      <c r="I281" s="46"/>
      <c r="J281" s="46"/>
      <c r="K281" s="46"/>
      <c r="N281" s="26"/>
    </row>
    <row r="282" spans="1:14" x14ac:dyDescent="0.25">
      <c r="A282" s="25" t="s">
        <v>1259</v>
      </c>
      <c r="B282" s="25" t="s">
        <v>11</v>
      </c>
      <c r="C282" s="25" t="s">
        <v>163</v>
      </c>
      <c r="D282" s="25" t="s">
        <v>164</v>
      </c>
      <c r="E282" s="25" t="s">
        <v>166</v>
      </c>
      <c r="F282" s="25">
        <v>1</v>
      </c>
      <c r="G282" s="46">
        <v>1870</v>
      </c>
      <c r="H282" s="25">
        <v>120</v>
      </c>
      <c r="I282" s="46">
        <v>25</v>
      </c>
      <c r="J282" s="46">
        <v>3000</v>
      </c>
      <c r="K282" s="46">
        <v>4870</v>
      </c>
      <c r="L282" s="25">
        <v>20220317</v>
      </c>
      <c r="M282" s="170">
        <v>120</v>
      </c>
      <c r="N282" s="26">
        <f t="shared" si="7"/>
        <v>0</v>
      </c>
    </row>
    <row r="283" spans="1:14" x14ac:dyDescent="0.25">
      <c r="F283" s="25"/>
      <c r="G283" s="46"/>
      <c r="I283" s="46"/>
      <c r="J283" s="46"/>
      <c r="K283" s="46"/>
      <c r="N283" s="26"/>
    </row>
    <row r="284" spans="1:14" x14ac:dyDescent="0.25">
      <c r="A284" s="25" t="s">
        <v>1258</v>
      </c>
      <c r="B284" s="25" t="s">
        <v>11</v>
      </c>
      <c r="C284" s="25" t="s">
        <v>337</v>
      </c>
      <c r="D284" s="25" t="s">
        <v>35</v>
      </c>
      <c r="E284" s="25" t="s">
        <v>686</v>
      </c>
      <c r="F284" s="25">
        <v>1</v>
      </c>
      <c r="G284" s="46">
        <v>1870</v>
      </c>
      <c r="H284" s="25">
        <v>64</v>
      </c>
      <c r="I284" s="46">
        <v>25</v>
      </c>
      <c r="J284" s="46">
        <v>1600</v>
      </c>
      <c r="K284" s="46">
        <v>3470</v>
      </c>
      <c r="L284" s="25">
        <v>20220318</v>
      </c>
      <c r="M284" s="170">
        <v>64</v>
      </c>
      <c r="N284" s="26">
        <f t="shared" si="7"/>
        <v>0</v>
      </c>
    </row>
    <row r="285" spans="1:14" x14ac:dyDescent="0.25">
      <c r="F285" s="25"/>
      <c r="G285" s="46"/>
      <c r="I285" s="46"/>
      <c r="J285" s="46"/>
      <c r="K285" s="46"/>
      <c r="N285" s="26"/>
    </row>
    <row r="286" spans="1:14" x14ac:dyDescent="0.25">
      <c r="A286" s="25" t="s">
        <v>1254</v>
      </c>
      <c r="B286" s="25" t="s">
        <v>11</v>
      </c>
      <c r="C286" s="25" t="s">
        <v>134</v>
      </c>
      <c r="D286" s="25" t="s">
        <v>135</v>
      </c>
      <c r="E286" s="25" t="s">
        <v>190</v>
      </c>
      <c r="F286" s="25">
        <v>1</v>
      </c>
      <c r="G286" s="46">
        <v>1870</v>
      </c>
      <c r="H286" s="25">
        <v>25</v>
      </c>
      <c r="I286" s="46">
        <v>25</v>
      </c>
      <c r="J286" s="46">
        <v>625</v>
      </c>
      <c r="K286" s="46">
        <v>2495</v>
      </c>
      <c r="L286" s="25">
        <v>20220322</v>
      </c>
      <c r="M286" s="170">
        <v>25</v>
      </c>
      <c r="N286" s="26">
        <f t="shared" si="7"/>
        <v>0</v>
      </c>
    </row>
    <row r="287" spans="1:14" x14ac:dyDescent="0.25">
      <c r="F287" s="25"/>
      <c r="G287" s="46"/>
      <c r="I287" s="46"/>
      <c r="J287" s="46"/>
      <c r="K287" s="46"/>
      <c r="N287" s="26"/>
    </row>
    <row r="288" spans="1:14" x14ac:dyDescent="0.25">
      <c r="A288" s="25" t="s">
        <v>1247</v>
      </c>
      <c r="B288" s="25" t="s">
        <v>11</v>
      </c>
      <c r="C288" s="25" t="s">
        <v>29</v>
      </c>
      <c r="D288" s="25" t="s">
        <v>148</v>
      </c>
      <c r="E288" s="25" t="s">
        <v>1248</v>
      </c>
      <c r="F288" s="25">
        <v>1</v>
      </c>
      <c r="G288" s="46">
        <v>1870</v>
      </c>
      <c r="H288" s="25">
        <v>50</v>
      </c>
      <c r="I288" s="46">
        <v>25</v>
      </c>
      <c r="J288" s="46">
        <v>1250</v>
      </c>
      <c r="K288" s="46">
        <v>3120</v>
      </c>
      <c r="L288" s="25">
        <v>20220323</v>
      </c>
      <c r="M288" s="170">
        <v>50</v>
      </c>
      <c r="N288" s="26">
        <f t="shared" si="7"/>
        <v>0</v>
      </c>
    </row>
    <row r="289" spans="1:15" x14ac:dyDescent="0.25">
      <c r="F289" s="25"/>
      <c r="G289" s="46"/>
      <c r="I289" s="46"/>
      <c r="J289" s="46"/>
      <c r="K289" s="46"/>
      <c r="N289" s="26"/>
    </row>
    <row r="290" spans="1:15" x14ac:dyDescent="0.25">
      <c r="A290" s="25" t="s">
        <v>1283</v>
      </c>
      <c r="B290" s="25" t="s">
        <v>11</v>
      </c>
      <c r="C290" s="25" t="s">
        <v>168</v>
      </c>
      <c r="D290" s="25" t="s">
        <v>169</v>
      </c>
      <c r="E290" s="25" t="s">
        <v>170</v>
      </c>
      <c r="F290" s="25">
        <v>1</v>
      </c>
      <c r="G290" s="46">
        <v>1870</v>
      </c>
      <c r="H290" s="25">
        <v>280</v>
      </c>
      <c r="I290" s="46">
        <v>25</v>
      </c>
      <c r="J290" s="46">
        <v>7000</v>
      </c>
      <c r="K290" s="46">
        <v>8870</v>
      </c>
      <c r="L290" s="25">
        <v>20220325</v>
      </c>
      <c r="M290" s="170">
        <v>140</v>
      </c>
      <c r="N290" s="26">
        <f t="shared" si="7"/>
        <v>-140</v>
      </c>
    </row>
    <row r="291" spans="1:15" s="42" customFormat="1" x14ac:dyDescent="0.25">
      <c r="A291" s="42" t="s">
        <v>1257</v>
      </c>
      <c r="B291" s="42" t="s">
        <v>11</v>
      </c>
      <c r="C291" s="42" t="s">
        <v>34</v>
      </c>
      <c r="D291" s="42" t="s">
        <v>35</v>
      </c>
      <c r="E291" s="42" t="s">
        <v>198</v>
      </c>
      <c r="F291" s="42">
        <v>1</v>
      </c>
      <c r="G291" s="67">
        <v>1870</v>
      </c>
      <c r="H291" s="42">
        <v>64</v>
      </c>
      <c r="I291" s="67">
        <v>25</v>
      </c>
      <c r="J291" s="67">
        <v>1600</v>
      </c>
      <c r="K291" s="67">
        <v>3470</v>
      </c>
      <c r="L291" s="42">
        <v>20220325</v>
      </c>
      <c r="M291" s="172">
        <v>64</v>
      </c>
      <c r="N291" s="82">
        <f t="shared" si="7"/>
        <v>0</v>
      </c>
      <c r="O291" s="42" t="s">
        <v>1295</v>
      </c>
    </row>
    <row r="292" spans="1:15" x14ac:dyDescent="0.25">
      <c r="F292" s="25"/>
      <c r="G292" s="46"/>
      <c r="I292" s="46"/>
      <c r="J292" s="46"/>
      <c r="K292" s="46"/>
      <c r="N292" s="26"/>
    </row>
    <row r="293" spans="1:15" x14ac:dyDescent="0.25">
      <c r="A293" s="25" t="s">
        <v>1242</v>
      </c>
      <c r="B293" s="25" t="s">
        <v>11</v>
      </c>
      <c r="C293" s="25" t="s">
        <v>163</v>
      </c>
      <c r="D293" s="25" t="s">
        <v>164</v>
      </c>
      <c r="E293" s="25" t="s">
        <v>166</v>
      </c>
      <c r="F293" s="25">
        <v>1</v>
      </c>
      <c r="G293" s="46">
        <v>1870</v>
      </c>
      <c r="H293" s="25">
        <v>120</v>
      </c>
      <c r="I293" s="46">
        <v>25</v>
      </c>
      <c r="J293" s="46">
        <v>3000</v>
      </c>
      <c r="K293" s="46">
        <v>4870</v>
      </c>
      <c r="L293" s="25">
        <v>20220330</v>
      </c>
      <c r="M293" s="170">
        <v>120</v>
      </c>
      <c r="N293" s="26">
        <f t="shared" ref="N293:N321" si="8">M293-H293</f>
        <v>0</v>
      </c>
    </row>
    <row r="294" spans="1:15" x14ac:dyDescent="0.25">
      <c r="F294" s="25"/>
      <c r="G294" s="46"/>
      <c r="I294" s="46"/>
      <c r="J294" s="46"/>
      <c r="K294" s="46"/>
      <c r="N294" s="26"/>
    </row>
    <row r="295" spans="1:15" x14ac:dyDescent="0.25">
      <c r="A295" s="25" t="s">
        <v>1245</v>
      </c>
      <c r="B295" s="25" t="s">
        <v>11</v>
      </c>
      <c r="C295" s="25" t="s">
        <v>76</v>
      </c>
      <c r="D295" s="25" t="s">
        <v>1246</v>
      </c>
      <c r="E295" s="25" t="s">
        <v>77</v>
      </c>
      <c r="F295" s="25">
        <v>1</v>
      </c>
      <c r="G295" s="46">
        <v>1870</v>
      </c>
      <c r="H295" s="25">
        <v>24</v>
      </c>
      <c r="I295" s="46">
        <v>25</v>
      </c>
      <c r="J295" s="46">
        <v>600</v>
      </c>
      <c r="K295" s="46">
        <v>2470</v>
      </c>
      <c r="L295" s="25">
        <v>20220331</v>
      </c>
      <c r="M295" s="170">
        <v>24</v>
      </c>
      <c r="N295" s="26">
        <f t="shared" si="8"/>
        <v>0</v>
      </c>
    </row>
    <row r="296" spans="1:15" x14ac:dyDescent="0.25">
      <c r="A296" s="25" t="s">
        <v>1263</v>
      </c>
      <c r="B296" s="25" t="s">
        <v>11</v>
      </c>
      <c r="C296" s="25" t="s">
        <v>405</v>
      </c>
      <c r="D296" s="25" t="s">
        <v>1264</v>
      </c>
      <c r="E296" s="25" t="s">
        <v>811</v>
      </c>
      <c r="F296" s="25">
        <v>1</v>
      </c>
      <c r="G296" s="46">
        <v>1870</v>
      </c>
      <c r="H296" s="25">
        <v>25</v>
      </c>
      <c r="I296" s="46">
        <v>25</v>
      </c>
      <c r="J296" s="46">
        <v>625</v>
      </c>
      <c r="K296" s="46">
        <v>2495</v>
      </c>
      <c r="L296" s="25">
        <v>20220331</v>
      </c>
      <c r="M296" s="170">
        <v>25</v>
      </c>
      <c r="N296" s="26">
        <f t="shared" si="8"/>
        <v>0</v>
      </c>
    </row>
    <row r="297" spans="1:15" ht="15.75" thickBot="1" x14ac:dyDescent="0.3">
      <c r="N297" s="26"/>
    </row>
    <row r="298" spans="1:15" x14ac:dyDescent="0.25">
      <c r="A298" s="77" t="s">
        <v>1314</v>
      </c>
      <c r="B298" s="78" t="s">
        <v>11</v>
      </c>
      <c r="C298" s="78" t="s">
        <v>26</v>
      </c>
      <c r="D298" s="78" t="s">
        <v>307</v>
      </c>
      <c r="E298" s="78" t="s">
        <v>314</v>
      </c>
      <c r="F298" s="78">
        <v>1</v>
      </c>
      <c r="G298" s="79">
        <v>2740</v>
      </c>
      <c r="H298" s="78">
        <v>24</v>
      </c>
      <c r="I298" s="79">
        <v>36</v>
      </c>
      <c r="J298" s="79">
        <v>864</v>
      </c>
      <c r="K298" s="79">
        <v>3604</v>
      </c>
      <c r="L298" s="80">
        <v>20220406</v>
      </c>
      <c r="M298" s="170">
        <v>24</v>
      </c>
      <c r="N298" s="26">
        <f t="shared" si="8"/>
        <v>0</v>
      </c>
    </row>
    <row r="299" spans="1:15" x14ac:dyDescent="0.25">
      <c r="A299" s="52" t="s">
        <v>1322</v>
      </c>
      <c r="B299" s="32" t="s">
        <v>11</v>
      </c>
      <c r="C299" s="32" t="s">
        <v>270</v>
      </c>
      <c r="D299" s="32" t="s">
        <v>494</v>
      </c>
      <c r="E299" s="32" t="s">
        <v>596</v>
      </c>
      <c r="F299" s="32">
        <v>1</v>
      </c>
      <c r="G299" s="45">
        <v>2740</v>
      </c>
      <c r="H299" s="32">
        <v>120</v>
      </c>
      <c r="I299" s="45">
        <v>36</v>
      </c>
      <c r="J299" s="45">
        <v>4320</v>
      </c>
      <c r="K299" s="45">
        <v>7060</v>
      </c>
      <c r="L299" s="53">
        <v>20220407</v>
      </c>
      <c r="M299" s="170">
        <v>120</v>
      </c>
      <c r="N299" s="26">
        <f t="shared" si="8"/>
        <v>0</v>
      </c>
    </row>
    <row r="300" spans="1:15" x14ac:dyDescent="0.25">
      <c r="A300" s="52" t="s">
        <v>1312</v>
      </c>
      <c r="B300" s="32" t="s">
        <v>11</v>
      </c>
      <c r="C300" s="32" t="s">
        <v>337</v>
      </c>
      <c r="D300" s="32" t="s">
        <v>35</v>
      </c>
      <c r="E300" s="32" t="s">
        <v>38</v>
      </c>
      <c r="F300" s="32">
        <v>1</v>
      </c>
      <c r="G300" s="45">
        <v>2740</v>
      </c>
      <c r="H300" s="32">
        <v>64</v>
      </c>
      <c r="I300" s="45">
        <v>36</v>
      </c>
      <c r="J300" s="45">
        <v>2304</v>
      </c>
      <c r="K300" s="45">
        <v>5044</v>
      </c>
      <c r="L300" s="53">
        <v>20220413</v>
      </c>
      <c r="M300" s="170">
        <v>64</v>
      </c>
      <c r="N300" s="26">
        <f t="shared" si="8"/>
        <v>0</v>
      </c>
    </row>
    <row r="301" spans="1:15" x14ac:dyDescent="0.25">
      <c r="A301" s="52" t="s">
        <v>1306</v>
      </c>
      <c r="B301" s="32" t="s">
        <v>11</v>
      </c>
      <c r="C301" s="32" t="s">
        <v>134</v>
      </c>
      <c r="D301" s="32" t="s">
        <v>135</v>
      </c>
      <c r="E301" s="32" t="s">
        <v>190</v>
      </c>
      <c r="F301" s="32">
        <v>1</v>
      </c>
      <c r="G301" s="45">
        <v>2740</v>
      </c>
      <c r="H301" s="32">
        <v>25</v>
      </c>
      <c r="I301" s="45">
        <v>36</v>
      </c>
      <c r="J301" s="45">
        <v>900</v>
      </c>
      <c r="K301" s="45">
        <v>3640</v>
      </c>
      <c r="L301" s="53">
        <v>20220419</v>
      </c>
      <c r="M301" s="170">
        <v>25</v>
      </c>
      <c r="N301" s="26">
        <f t="shared" si="8"/>
        <v>0</v>
      </c>
    </row>
    <row r="302" spans="1:15" x14ac:dyDescent="0.25">
      <c r="A302" s="52" t="s">
        <v>1299</v>
      </c>
      <c r="B302" s="32" t="s">
        <v>11</v>
      </c>
      <c r="C302" s="32" t="s">
        <v>28</v>
      </c>
      <c r="D302" s="32" t="s">
        <v>1300</v>
      </c>
      <c r="E302" s="32" t="s">
        <v>1301</v>
      </c>
      <c r="F302" s="32">
        <v>1</v>
      </c>
      <c r="G302" s="45">
        <v>2740</v>
      </c>
      <c r="H302" s="32">
        <v>198</v>
      </c>
      <c r="I302" s="45">
        <v>36</v>
      </c>
      <c r="J302" s="45">
        <v>7128</v>
      </c>
      <c r="K302" s="45">
        <v>9868</v>
      </c>
      <c r="L302" s="53">
        <v>20220426</v>
      </c>
      <c r="M302" s="170">
        <v>198</v>
      </c>
      <c r="N302" s="26">
        <f t="shared" si="8"/>
        <v>0</v>
      </c>
    </row>
    <row r="303" spans="1:15" ht="15.75" thickBot="1" x14ac:dyDescent="0.3">
      <c r="A303" s="87" t="s">
        <v>1296</v>
      </c>
      <c r="B303" s="88" t="s">
        <v>11</v>
      </c>
      <c r="C303" s="88" t="s">
        <v>28</v>
      </c>
      <c r="D303" s="88" t="s">
        <v>1297</v>
      </c>
      <c r="E303" s="88" t="s">
        <v>1298</v>
      </c>
      <c r="F303" s="88">
        <v>1</v>
      </c>
      <c r="G303" s="89">
        <v>2740</v>
      </c>
      <c r="H303" s="88">
        <v>28</v>
      </c>
      <c r="I303" s="89">
        <v>36</v>
      </c>
      <c r="J303" s="89">
        <v>1008</v>
      </c>
      <c r="K303" s="89">
        <v>3748</v>
      </c>
      <c r="L303" s="90">
        <v>20220429</v>
      </c>
      <c r="M303" s="170">
        <v>28</v>
      </c>
      <c r="N303" s="26">
        <f t="shared" si="8"/>
        <v>0</v>
      </c>
    </row>
    <row r="304" spans="1:15" x14ac:dyDescent="0.25">
      <c r="N304" s="26"/>
    </row>
    <row r="305" spans="1:14" x14ac:dyDescent="0.25">
      <c r="A305" s="52" t="s">
        <v>1363</v>
      </c>
      <c r="B305" s="32" t="s">
        <v>11</v>
      </c>
      <c r="C305" s="32" t="s">
        <v>134</v>
      </c>
      <c r="D305" s="32" t="s">
        <v>135</v>
      </c>
      <c r="E305" s="32" t="s">
        <v>264</v>
      </c>
      <c r="F305" s="32">
        <v>1</v>
      </c>
      <c r="G305" s="45">
        <v>2740</v>
      </c>
      <c r="H305" s="32">
        <v>25</v>
      </c>
      <c r="I305" s="45">
        <v>36</v>
      </c>
      <c r="J305" s="45">
        <v>900</v>
      </c>
      <c r="K305" s="45">
        <v>3640</v>
      </c>
      <c r="L305" s="53">
        <v>20220502</v>
      </c>
      <c r="M305" s="170">
        <v>25</v>
      </c>
      <c r="N305" s="26">
        <f t="shared" si="8"/>
        <v>0</v>
      </c>
    </row>
    <row r="306" spans="1:14" x14ac:dyDescent="0.25">
      <c r="A306" s="52" t="s">
        <v>1349</v>
      </c>
      <c r="B306" s="32" t="s">
        <v>11</v>
      </c>
      <c r="C306" s="32" t="s">
        <v>134</v>
      </c>
      <c r="D306" s="32" t="s">
        <v>135</v>
      </c>
      <c r="E306" s="32" t="s">
        <v>264</v>
      </c>
      <c r="F306" s="32">
        <v>1</v>
      </c>
      <c r="G306" s="45">
        <v>2740</v>
      </c>
      <c r="H306" s="32">
        <v>25</v>
      </c>
      <c r="I306" s="45">
        <v>36</v>
      </c>
      <c r="J306" s="45">
        <v>900</v>
      </c>
      <c r="K306" s="45">
        <v>3640</v>
      </c>
      <c r="L306" s="53">
        <v>20220513</v>
      </c>
      <c r="M306" s="170">
        <v>25</v>
      </c>
      <c r="N306" s="26">
        <f t="shared" si="8"/>
        <v>0</v>
      </c>
    </row>
    <row r="307" spans="1:14" x14ac:dyDescent="0.25">
      <c r="A307" s="52" t="s">
        <v>1351</v>
      </c>
      <c r="B307" s="32" t="s">
        <v>11</v>
      </c>
      <c r="C307" s="32" t="s">
        <v>168</v>
      </c>
      <c r="D307" s="32" t="s">
        <v>169</v>
      </c>
      <c r="E307" s="32" t="s">
        <v>170</v>
      </c>
      <c r="F307" s="32">
        <v>1</v>
      </c>
      <c r="G307" s="45">
        <v>2740</v>
      </c>
      <c r="H307" s="32">
        <v>140</v>
      </c>
      <c r="I307" s="45">
        <v>36</v>
      </c>
      <c r="J307" s="45">
        <v>5040</v>
      </c>
      <c r="K307" s="45">
        <v>7780</v>
      </c>
      <c r="L307" s="53">
        <v>20220516</v>
      </c>
      <c r="M307" s="170">
        <v>140</v>
      </c>
      <c r="N307" s="26">
        <f t="shared" si="8"/>
        <v>0</v>
      </c>
    </row>
    <row r="308" spans="1:14" x14ac:dyDescent="0.25">
      <c r="A308" s="52" t="s">
        <v>1339</v>
      </c>
      <c r="B308" s="32" t="s">
        <v>11</v>
      </c>
      <c r="C308" s="32" t="s">
        <v>163</v>
      </c>
      <c r="D308" s="32" t="s">
        <v>164</v>
      </c>
      <c r="E308" s="32" t="s">
        <v>444</v>
      </c>
      <c r="F308" s="32">
        <v>1</v>
      </c>
      <c r="G308" s="45">
        <v>2740</v>
      </c>
      <c r="H308" s="32">
        <v>120</v>
      </c>
      <c r="I308" s="45">
        <v>36</v>
      </c>
      <c r="J308" s="45">
        <v>4320</v>
      </c>
      <c r="K308" s="45">
        <v>7060</v>
      </c>
      <c r="L308" s="53">
        <v>20220520</v>
      </c>
      <c r="M308" s="170">
        <v>120</v>
      </c>
      <c r="N308" s="26">
        <f t="shared" si="8"/>
        <v>0</v>
      </c>
    </row>
    <row r="309" spans="1:14" x14ac:dyDescent="0.25">
      <c r="A309" s="52" t="s">
        <v>1356</v>
      </c>
      <c r="B309" s="32" t="s">
        <v>11</v>
      </c>
      <c r="C309" s="32" t="s">
        <v>45</v>
      </c>
      <c r="D309" s="32" t="s">
        <v>46</v>
      </c>
      <c r="E309" s="32" t="s">
        <v>47</v>
      </c>
      <c r="F309" s="32">
        <v>1</v>
      </c>
      <c r="G309" s="45">
        <v>2740</v>
      </c>
      <c r="H309" s="32">
        <v>50</v>
      </c>
      <c r="I309" s="45">
        <v>36</v>
      </c>
      <c r="J309" s="45">
        <v>1800</v>
      </c>
      <c r="K309" s="45">
        <v>4540</v>
      </c>
      <c r="L309" s="53">
        <v>20220526</v>
      </c>
      <c r="M309" s="170">
        <v>50</v>
      </c>
      <c r="N309" s="26">
        <f t="shared" si="8"/>
        <v>0</v>
      </c>
    </row>
    <row r="310" spans="1:14" s="148" customFormat="1" x14ac:dyDescent="0.25">
      <c r="A310" s="136" t="s">
        <v>1334</v>
      </c>
      <c r="B310" s="137" t="s">
        <v>11</v>
      </c>
      <c r="C310" s="137" t="s">
        <v>29</v>
      </c>
      <c r="D310" s="137" t="s">
        <v>30</v>
      </c>
      <c r="E310" s="137" t="s">
        <v>509</v>
      </c>
      <c r="F310" s="137">
        <v>1</v>
      </c>
      <c r="G310" s="138">
        <v>2740</v>
      </c>
      <c r="H310" s="137">
        <v>140</v>
      </c>
      <c r="I310" s="138">
        <v>36</v>
      </c>
      <c r="J310" s="138">
        <v>5040</v>
      </c>
      <c r="K310" s="138">
        <v>7780</v>
      </c>
      <c r="L310" s="139">
        <v>20220530</v>
      </c>
      <c r="M310" s="192">
        <v>140</v>
      </c>
      <c r="N310" s="149">
        <f t="shared" si="8"/>
        <v>0</v>
      </c>
    </row>
    <row r="311" spans="1:14" s="148" customFormat="1" x14ac:dyDescent="0.25">
      <c r="A311" s="136" t="s">
        <v>1354</v>
      </c>
      <c r="B311" s="137" t="s">
        <v>11</v>
      </c>
      <c r="C311" s="137" t="s">
        <v>34</v>
      </c>
      <c r="D311" s="137" t="s">
        <v>35</v>
      </c>
      <c r="E311" s="137" t="s">
        <v>1355</v>
      </c>
      <c r="F311" s="137">
        <v>1</v>
      </c>
      <c r="G311" s="138">
        <v>2740</v>
      </c>
      <c r="H311" s="137">
        <v>64</v>
      </c>
      <c r="I311" s="138">
        <v>36</v>
      </c>
      <c r="J311" s="138">
        <v>2304</v>
      </c>
      <c r="K311" s="138">
        <v>5044</v>
      </c>
      <c r="L311" s="139">
        <v>20220530</v>
      </c>
      <c r="M311" s="192">
        <v>64</v>
      </c>
      <c r="N311" s="149">
        <f t="shared" si="8"/>
        <v>0</v>
      </c>
    </row>
    <row r="312" spans="1:14" x14ac:dyDescent="0.25">
      <c r="A312" s="52" t="s">
        <v>1328</v>
      </c>
      <c r="B312" s="32" t="s">
        <v>11</v>
      </c>
      <c r="C312" s="32" t="s">
        <v>28</v>
      </c>
      <c r="D312" s="32" t="s">
        <v>1329</v>
      </c>
      <c r="E312" s="32" t="s">
        <v>1330</v>
      </c>
      <c r="F312" s="32">
        <v>1</v>
      </c>
      <c r="G312" s="45">
        <v>2740</v>
      </c>
      <c r="H312" s="32">
        <v>30</v>
      </c>
      <c r="I312" s="45">
        <v>36</v>
      </c>
      <c r="J312" s="45">
        <v>1080</v>
      </c>
      <c r="K312" s="45">
        <v>3820</v>
      </c>
      <c r="L312" s="53">
        <v>20220531</v>
      </c>
      <c r="M312" s="170">
        <v>30</v>
      </c>
      <c r="N312" s="26">
        <f t="shared" si="8"/>
        <v>0</v>
      </c>
    </row>
    <row r="313" spans="1:14" x14ac:dyDescent="0.25">
      <c r="N313" s="26"/>
    </row>
    <row r="314" spans="1:14" x14ac:dyDescent="0.25">
      <c r="A314" s="52" t="s">
        <v>1439</v>
      </c>
      <c r="B314" s="32" t="s">
        <v>11</v>
      </c>
      <c r="C314" s="32" t="s">
        <v>163</v>
      </c>
      <c r="D314" s="32" t="s">
        <v>164</v>
      </c>
      <c r="E314" s="32" t="s">
        <v>244</v>
      </c>
      <c r="F314" s="32">
        <v>1</v>
      </c>
      <c r="G314" s="45">
        <v>2740</v>
      </c>
      <c r="H314" s="32">
        <v>120</v>
      </c>
      <c r="I314" s="45">
        <v>36</v>
      </c>
      <c r="J314" s="45">
        <v>4320</v>
      </c>
      <c r="K314" s="45">
        <v>7060</v>
      </c>
      <c r="L314" s="53">
        <v>20220602</v>
      </c>
      <c r="M314" s="170">
        <v>120</v>
      </c>
      <c r="N314" s="26">
        <f t="shared" si="8"/>
        <v>0</v>
      </c>
    </row>
    <row r="315" spans="1:14" x14ac:dyDescent="0.25">
      <c r="A315" s="52" t="s">
        <v>1432</v>
      </c>
      <c r="B315" s="32" t="s">
        <v>11</v>
      </c>
      <c r="C315" s="32" t="s">
        <v>28</v>
      </c>
      <c r="D315" s="32" t="s">
        <v>1297</v>
      </c>
      <c r="E315" s="32" t="s">
        <v>1298</v>
      </c>
      <c r="F315" s="32">
        <v>1</v>
      </c>
      <c r="G315" s="45">
        <v>2740</v>
      </c>
      <c r="H315" s="32">
        <v>28</v>
      </c>
      <c r="I315" s="45">
        <v>36</v>
      </c>
      <c r="J315" s="45">
        <v>1008</v>
      </c>
      <c r="K315" s="45">
        <v>3748</v>
      </c>
      <c r="L315" s="53">
        <v>20220606</v>
      </c>
      <c r="M315" s="170">
        <v>28</v>
      </c>
      <c r="N315" s="26">
        <f t="shared" si="8"/>
        <v>0</v>
      </c>
    </row>
    <row r="316" spans="1:14" x14ac:dyDescent="0.25">
      <c r="A316" s="52" t="s">
        <v>1427</v>
      </c>
      <c r="B316" s="32" t="s">
        <v>11</v>
      </c>
      <c r="C316" s="32" t="s">
        <v>163</v>
      </c>
      <c r="D316" s="32" t="s">
        <v>164</v>
      </c>
      <c r="E316" s="32" t="s">
        <v>478</v>
      </c>
      <c r="F316" s="32">
        <v>1</v>
      </c>
      <c r="G316" s="45">
        <v>2740</v>
      </c>
      <c r="H316" s="32">
        <v>120</v>
      </c>
      <c r="I316" s="45">
        <v>36</v>
      </c>
      <c r="J316" s="45">
        <v>4320</v>
      </c>
      <c r="K316" s="45">
        <v>7060</v>
      </c>
      <c r="L316" s="53">
        <v>20220610</v>
      </c>
      <c r="M316" s="170">
        <v>120</v>
      </c>
      <c r="N316" s="26">
        <f t="shared" si="8"/>
        <v>0</v>
      </c>
    </row>
    <row r="317" spans="1:14" x14ac:dyDescent="0.25">
      <c r="A317" s="52" t="s">
        <v>1413</v>
      </c>
      <c r="B317" s="32" t="s">
        <v>11</v>
      </c>
      <c r="C317" s="32" t="s">
        <v>28</v>
      </c>
      <c r="D317" s="32" t="s">
        <v>724</v>
      </c>
      <c r="E317" s="32" t="s">
        <v>725</v>
      </c>
      <c r="F317" s="32">
        <v>1</v>
      </c>
      <c r="G317" s="45">
        <v>2740</v>
      </c>
      <c r="H317" s="32">
        <v>140</v>
      </c>
      <c r="I317" s="45">
        <v>36</v>
      </c>
      <c r="J317" s="45">
        <v>5040</v>
      </c>
      <c r="K317" s="45">
        <v>7780</v>
      </c>
      <c r="L317" s="53">
        <v>20220615</v>
      </c>
      <c r="M317" s="170">
        <v>140</v>
      </c>
      <c r="N317" s="26">
        <f t="shared" si="8"/>
        <v>0</v>
      </c>
    </row>
    <row r="318" spans="1:14" x14ac:dyDescent="0.25">
      <c r="A318" s="52" t="s">
        <v>1408</v>
      </c>
      <c r="B318" s="32" t="s">
        <v>11</v>
      </c>
      <c r="C318" s="32" t="s">
        <v>28</v>
      </c>
      <c r="D318" s="32" t="s">
        <v>1409</v>
      </c>
      <c r="E318" s="32" t="s">
        <v>1410</v>
      </c>
      <c r="F318" s="32">
        <v>1</v>
      </c>
      <c r="G318" s="45">
        <v>2740</v>
      </c>
      <c r="H318" s="32">
        <v>24</v>
      </c>
      <c r="I318" s="45">
        <v>36</v>
      </c>
      <c r="J318" s="45">
        <v>864</v>
      </c>
      <c r="K318" s="45">
        <v>3604</v>
      </c>
      <c r="L318" s="53">
        <v>20220622</v>
      </c>
      <c r="M318" s="170">
        <v>24</v>
      </c>
      <c r="N318" s="26">
        <f t="shared" si="8"/>
        <v>0</v>
      </c>
    </row>
    <row r="319" spans="1:14" x14ac:dyDescent="0.25">
      <c r="A319" s="52" t="s">
        <v>1400</v>
      </c>
      <c r="B319" s="32" t="s">
        <v>11</v>
      </c>
      <c r="C319" s="32" t="s">
        <v>134</v>
      </c>
      <c r="D319" s="32" t="s">
        <v>135</v>
      </c>
      <c r="E319" s="32" t="s">
        <v>190</v>
      </c>
      <c r="F319" s="32">
        <v>1</v>
      </c>
      <c r="G319" s="45">
        <v>2740</v>
      </c>
      <c r="H319" s="32">
        <v>25</v>
      </c>
      <c r="I319" s="45">
        <v>36</v>
      </c>
      <c r="J319" s="45">
        <v>900</v>
      </c>
      <c r="K319" s="45">
        <v>3640</v>
      </c>
      <c r="L319" s="53">
        <v>20220623</v>
      </c>
      <c r="M319" s="170">
        <v>25</v>
      </c>
      <c r="N319" s="26">
        <f t="shared" si="8"/>
        <v>0</v>
      </c>
    </row>
    <row r="320" spans="1:14" x14ac:dyDescent="0.25">
      <c r="A320" s="52" t="s">
        <v>1404</v>
      </c>
      <c r="B320" s="32" t="s">
        <v>11</v>
      </c>
      <c r="C320" s="32" t="s">
        <v>163</v>
      </c>
      <c r="D320" s="32" t="s">
        <v>164</v>
      </c>
      <c r="E320" s="32" t="s">
        <v>244</v>
      </c>
      <c r="F320" s="32">
        <v>1</v>
      </c>
      <c r="G320" s="45">
        <v>2740</v>
      </c>
      <c r="H320" s="32">
        <v>120</v>
      </c>
      <c r="I320" s="45">
        <v>36</v>
      </c>
      <c r="J320" s="45">
        <v>4320</v>
      </c>
      <c r="K320" s="45">
        <v>7060</v>
      </c>
      <c r="L320" s="53">
        <v>20220624</v>
      </c>
      <c r="M320" s="170">
        <v>120</v>
      </c>
      <c r="N320" s="26">
        <f t="shared" si="8"/>
        <v>0</v>
      </c>
    </row>
    <row r="321" spans="1:14" x14ac:dyDescent="0.25">
      <c r="A321" s="52" t="s">
        <v>1399</v>
      </c>
      <c r="B321" s="32" t="s">
        <v>11</v>
      </c>
      <c r="C321" s="32" t="s">
        <v>1053</v>
      </c>
      <c r="D321" s="32" t="s">
        <v>1054</v>
      </c>
      <c r="E321" s="32" t="s">
        <v>1055</v>
      </c>
      <c r="F321" s="32">
        <v>1</v>
      </c>
      <c r="G321" s="45">
        <v>2740</v>
      </c>
      <c r="H321" s="32">
        <v>30</v>
      </c>
      <c r="I321" s="45">
        <v>36</v>
      </c>
      <c r="J321" s="45">
        <v>1080</v>
      </c>
      <c r="K321" s="45">
        <v>3820</v>
      </c>
      <c r="L321" s="53">
        <v>20220630</v>
      </c>
      <c r="M321" s="170">
        <v>30</v>
      </c>
      <c r="N321" s="26">
        <f t="shared" si="8"/>
        <v>0</v>
      </c>
    </row>
    <row r="322" spans="1:14" ht="15.75" thickBot="1" x14ac:dyDescent="0.3">
      <c r="N322" s="26"/>
    </row>
    <row r="323" spans="1:14" x14ac:dyDescent="0.25">
      <c r="A323" s="48" t="s">
        <v>1509</v>
      </c>
      <c r="B323" s="34" t="s">
        <v>11</v>
      </c>
      <c r="C323" s="34" t="s">
        <v>163</v>
      </c>
      <c r="D323" s="34" t="s">
        <v>164</v>
      </c>
      <c r="E323" s="34" t="s">
        <v>187</v>
      </c>
      <c r="F323" s="34">
        <v>1</v>
      </c>
      <c r="G323" s="64">
        <v>2740</v>
      </c>
      <c r="H323" s="34">
        <v>120</v>
      </c>
      <c r="I323" s="64">
        <v>36</v>
      </c>
      <c r="J323" s="64">
        <v>4320</v>
      </c>
      <c r="K323" s="64">
        <v>7060</v>
      </c>
      <c r="L323" s="49">
        <v>20220701</v>
      </c>
      <c r="M323" s="170">
        <v>126</v>
      </c>
      <c r="N323" s="26">
        <f t="shared" ref="N323:N332" si="9">M323-H323</f>
        <v>6</v>
      </c>
    </row>
    <row r="324" spans="1:14" x14ac:dyDescent="0.25">
      <c r="A324" s="50" t="s">
        <v>1512</v>
      </c>
      <c r="B324" s="30" t="s">
        <v>779</v>
      </c>
      <c r="C324" s="30" t="s">
        <v>1513</v>
      </c>
      <c r="D324" s="30" t="s">
        <v>1514</v>
      </c>
      <c r="E324" s="30" t="s">
        <v>1515</v>
      </c>
      <c r="F324" s="30">
        <v>1</v>
      </c>
      <c r="G324" s="44">
        <v>2740</v>
      </c>
      <c r="H324" s="30">
        <v>322</v>
      </c>
      <c r="I324" s="44">
        <v>36</v>
      </c>
      <c r="J324" s="44">
        <v>11592</v>
      </c>
      <c r="K324" s="44">
        <v>14332</v>
      </c>
      <c r="L324" s="51">
        <v>20220705</v>
      </c>
      <c r="M324" s="170">
        <v>359</v>
      </c>
      <c r="N324" s="26">
        <f t="shared" si="9"/>
        <v>37</v>
      </c>
    </row>
    <row r="325" spans="1:14" x14ac:dyDescent="0.25">
      <c r="A325" s="50" t="s">
        <v>1507</v>
      </c>
      <c r="B325" s="30" t="s">
        <v>11</v>
      </c>
      <c r="C325" s="30" t="s">
        <v>34</v>
      </c>
      <c r="D325" s="30" t="s">
        <v>35</v>
      </c>
      <c r="E325" s="30" t="s">
        <v>968</v>
      </c>
      <c r="F325" s="30">
        <v>1</v>
      </c>
      <c r="G325" s="44">
        <v>2740</v>
      </c>
      <c r="H325" s="30">
        <v>64</v>
      </c>
      <c r="I325" s="44">
        <v>36</v>
      </c>
      <c r="J325" s="44">
        <v>2304</v>
      </c>
      <c r="K325" s="44">
        <v>5044</v>
      </c>
      <c r="L325" s="51">
        <v>20220711</v>
      </c>
      <c r="M325" s="170">
        <v>78</v>
      </c>
      <c r="N325" s="26">
        <f t="shared" si="9"/>
        <v>14</v>
      </c>
    </row>
    <row r="326" spans="1:14" x14ac:dyDescent="0.25">
      <c r="A326" s="50" t="s">
        <v>1487</v>
      </c>
      <c r="B326" s="30" t="s">
        <v>11</v>
      </c>
      <c r="C326" s="30" t="s">
        <v>28</v>
      </c>
      <c r="D326" s="30" t="s">
        <v>267</v>
      </c>
      <c r="E326" s="30" t="s">
        <v>268</v>
      </c>
      <c r="F326" s="30">
        <v>1</v>
      </c>
      <c r="G326" s="44">
        <v>2740</v>
      </c>
      <c r="H326" s="30">
        <v>136</v>
      </c>
      <c r="I326" s="44">
        <v>36</v>
      </c>
      <c r="J326" s="44">
        <v>4896</v>
      </c>
      <c r="K326" s="44">
        <v>7636</v>
      </c>
      <c r="L326" s="51">
        <v>20220714</v>
      </c>
      <c r="M326" s="170">
        <v>146</v>
      </c>
      <c r="N326" s="26">
        <f t="shared" si="9"/>
        <v>10</v>
      </c>
    </row>
    <row r="327" spans="1:14" x14ac:dyDescent="0.25">
      <c r="A327" s="50" t="s">
        <v>1486</v>
      </c>
      <c r="B327" s="30" t="s">
        <v>11</v>
      </c>
      <c r="C327" s="30" t="s">
        <v>337</v>
      </c>
      <c r="D327" s="30" t="s">
        <v>35</v>
      </c>
      <c r="E327" s="30" t="s">
        <v>38</v>
      </c>
      <c r="F327" s="30">
        <v>1</v>
      </c>
      <c r="G327" s="44">
        <v>2740</v>
      </c>
      <c r="H327" s="30">
        <v>64</v>
      </c>
      <c r="I327" s="44">
        <v>36</v>
      </c>
      <c r="J327" s="44">
        <v>2304</v>
      </c>
      <c r="K327" s="44">
        <v>5044</v>
      </c>
      <c r="L327" s="51">
        <v>20220715</v>
      </c>
      <c r="M327" s="170">
        <v>78</v>
      </c>
      <c r="N327" s="26">
        <f t="shared" si="9"/>
        <v>14</v>
      </c>
    </row>
    <row r="328" spans="1:14" x14ac:dyDescent="0.25">
      <c r="A328" s="50" t="s">
        <v>1500</v>
      </c>
      <c r="B328" s="30" t="s">
        <v>11</v>
      </c>
      <c r="C328" s="30" t="s">
        <v>337</v>
      </c>
      <c r="D328" s="30" t="s">
        <v>162</v>
      </c>
      <c r="E328" s="30" t="s">
        <v>239</v>
      </c>
      <c r="F328" s="30">
        <v>1</v>
      </c>
      <c r="G328" s="44">
        <v>2740</v>
      </c>
      <c r="H328" s="30">
        <v>60</v>
      </c>
      <c r="I328" s="44">
        <v>36</v>
      </c>
      <c r="J328" s="44">
        <v>2160</v>
      </c>
      <c r="K328" s="44">
        <v>4900</v>
      </c>
      <c r="L328" s="51">
        <v>20220718</v>
      </c>
      <c r="M328" s="170">
        <v>69</v>
      </c>
      <c r="N328" s="26">
        <f t="shared" si="9"/>
        <v>9</v>
      </c>
    </row>
    <row r="329" spans="1:14" x14ac:dyDescent="0.25">
      <c r="A329" s="50" t="s">
        <v>1464</v>
      </c>
      <c r="B329" s="30" t="s">
        <v>11</v>
      </c>
      <c r="C329" s="30" t="s">
        <v>163</v>
      </c>
      <c r="D329" s="30" t="s">
        <v>164</v>
      </c>
      <c r="E329" s="30" t="s">
        <v>244</v>
      </c>
      <c r="F329" s="30">
        <v>1</v>
      </c>
      <c r="G329" s="44">
        <v>2740</v>
      </c>
      <c r="H329" s="30">
        <v>120</v>
      </c>
      <c r="I329" s="44">
        <v>36</v>
      </c>
      <c r="J329" s="44">
        <v>4320</v>
      </c>
      <c r="K329" s="44">
        <v>7060</v>
      </c>
      <c r="L329" s="51">
        <v>20220719</v>
      </c>
      <c r="M329" s="170">
        <v>126</v>
      </c>
      <c r="N329" s="26">
        <f t="shared" si="9"/>
        <v>6</v>
      </c>
    </row>
    <row r="330" spans="1:14" x14ac:dyDescent="0.25">
      <c r="A330" s="50" t="s">
        <v>1468</v>
      </c>
      <c r="B330" s="30" t="s">
        <v>11</v>
      </c>
      <c r="C330" s="30" t="s">
        <v>28</v>
      </c>
      <c r="D330" s="30" t="s">
        <v>1026</v>
      </c>
      <c r="E330" s="30" t="s">
        <v>1027</v>
      </c>
      <c r="F330" s="30">
        <v>1</v>
      </c>
      <c r="G330" s="44">
        <v>2740</v>
      </c>
      <c r="H330" s="30">
        <v>114</v>
      </c>
      <c r="I330" s="44">
        <v>36</v>
      </c>
      <c r="J330" s="44">
        <v>4104</v>
      </c>
      <c r="K330" s="44">
        <v>6844</v>
      </c>
      <c r="L330" s="51">
        <v>20220721</v>
      </c>
      <c r="M330" s="170">
        <v>127</v>
      </c>
      <c r="N330" s="26">
        <f t="shared" si="9"/>
        <v>13</v>
      </c>
    </row>
    <row r="331" spans="1:14" s="42" customFormat="1" x14ac:dyDescent="0.25">
      <c r="A331" s="52" t="s">
        <v>1469</v>
      </c>
      <c r="B331" s="32" t="s">
        <v>1209</v>
      </c>
      <c r="C331" s="32" t="s">
        <v>654</v>
      </c>
      <c r="D331" s="32" t="s">
        <v>1470</v>
      </c>
      <c r="E331" s="32" t="s">
        <v>1471</v>
      </c>
      <c r="F331" s="32">
        <v>1</v>
      </c>
      <c r="G331" s="45">
        <v>2740</v>
      </c>
      <c r="H331" s="32">
        <v>112</v>
      </c>
      <c r="I331" s="45">
        <v>36</v>
      </c>
      <c r="J331" s="45">
        <v>4032</v>
      </c>
      <c r="K331" s="45">
        <v>6772</v>
      </c>
      <c r="L331" s="53">
        <v>20220722</v>
      </c>
      <c r="M331" s="172">
        <v>37</v>
      </c>
      <c r="N331" s="82">
        <f t="shared" si="9"/>
        <v>-75</v>
      </c>
    </row>
    <row r="332" spans="1:14" x14ac:dyDescent="0.25">
      <c r="A332" s="50" t="s">
        <v>1453</v>
      </c>
      <c r="B332" s="30" t="s">
        <v>11</v>
      </c>
      <c r="C332" s="30" t="s">
        <v>29</v>
      </c>
      <c r="D332" s="30" t="s">
        <v>1454</v>
      </c>
      <c r="E332" s="30" t="s">
        <v>1455</v>
      </c>
      <c r="F332" s="30">
        <v>1</v>
      </c>
      <c r="G332" s="44">
        <v>2740</v>
      </c>
      <c r="H332" s="30">
        <v>114</v>
      </c>
      <c r="I332" s="44">
        <v>36</v>
      </c>
      <c r="J332" s="44">
        <v>4104</v>
      </c>
      <c r="K332" s="44">
        <v>6844</v>
      </c>
      <c r="L332" s="51">
        <v>20220729</v>
      </c>
      <c r="M332" s="170">
        <v>127</v>
      </c>
      <c r="N332" s="26">
        <f t="shared" si="9"/>
        <v>13</v>
      </c>
    </row>
    <row r="335" spans="1:14" x14ac:dyDescent="0.25">
      <c r="A335" s="50" t="s">
        <v>1613</v>
      </c>
      <c r="B335" s="30" t="s">
        <v>892</v>
      </c>
      <c r="C335" s="30" t="s">
        <v>270</v>
      </c>
      <c r="D335" s="30" t="s">
        <v>66</v>
      </c>
      <c r="E335" s="30" t="s">
        <v>1614</v>
      </c>
      <c r="F335" s="30">
        <v>1</v>
      </c>
      <c r="G335" s="44">
        <v>2740</v>
      </c>
      <c r="H335" s="30">
        <v>157</v>
      </c>
      <c r="I335" s="44">
        <v>36</v>
      </c>
      <c r="J335" s="44">
        <v>5652</v>
      </c>
      <c r="K335" s="44">
        <v>8392</v>
      </c>
      <c r="L335" s="51">
        <v>20220802</v>
      </c>
      <c r="M335" s="170">
        <f>VLOOKUP(D335,tablapertex,11,FALSE)</f>
        <v>157</v>
      </c>
      <c r="N335" s="171">
        <f>M335-H335</f>
        <v>0</v>
      </c>
    </row>
    <row r="336" spans="1:14" x14ac:dyDescent="0.25">
      <c r="A336" s="50" t="s">
        <v>1589</v>
      </c>
      <c r="B336" s="30" t="s">
        <v>11</v>
      </c>
      <c r="C336" s="30" t="s">
        <v>337</v>
      </c>
      <c r="D336" s="30" t="s">
        <v>162</v>
      </c>
      <c r="E336" s="30" t="s">
        <v>239</v>
      </c>
      <c r="F336" s="30">
        <v>1</v>
      </c>
      <c r="G336" s="44">
        <v>2740</v>
      </c>
      <c r="H336" s="30">
        <v>69</v>
      </c>
      <c r="I336" s="44">
        <v>36</v>
      </c>
      <c r="J336" s="44">
        <v>2484</v>
      </c>
      <c r="K336" s="44">
        <v>5224</v>
      </c>
      <c r="L336" s="51">
        <v>20220804</v>
      </c>
      <c r="M336" s="170">
        <f>VLOOKUP(D336,tablapertex,11,FALSE)</f>
        <v>68.8</v>
      </c>
      <c r="N336" s="171">
        <f t="shared" ref="N336:N343" si="10">M336-H336</f>
        <v>-0.20000000000000284</v>
      </c>
    </row>
    <row r="337" spans="1:14" s="42" customFormat="1" x14ac:dyDescent="0.25">
      <c r="A337" s="52" t="s">
        <v>1608</v>
      </c>
      <c r="B337" s="32" t="s">
        <v>11</v>
      </c>
      <c r="C337" s="32" t="s">
        <v>337</v>
      </c>
      <c r="D337" s="32" t="s">
        <v>35</v>
      </c>
      <c r="E337" s="32" t="s">
        <v>38</v>
      </c>
      <c r="F337" s="32">
        <v>1</v>
      </c>
      <c r="G337" s="45">
        <v>2740</v>
      </c>
      <c r="H337" s="32">
        <v>39</v>
      </c>
      <c r="I337" s="45">
        <v>36</v>
      </c>
      <c r="J337" s="45">
        <v>1404</v>
      </c>
      <c r="K337" s="45">
        <v>4144</v>
      </c>
      <c r="L337" s="53">
        <v>20220805</v>
      </c>
      <c r="M337" s="172">
        <v>73</v>
      </c>
      <c r="N337" s="173">
        <f t="shared" si="10"/>
        <v>34</v>
      </c>
    </row>
    <row r="338" spans="1:14" x14ac:dyDescent="0.25">
      <c r="A338" s="50" t="s">
        <v>1577</v>
      </c>
      <c r="B338" s="30" t="s">
        <v>11</v>
      </c>
      <c r="C338" s="30" t="s">
        <v>26</v>
      </c>
      <c r="D338" s="30" t="s">
        <v>141</v>
      </c>
      <c r="E338" s="30" t="s">
        <v>1578</v>
      </c>
      <c r="F338" s="30">
        <v>1</v>
      </c>
      <c r="G338" s="44">
        <v>2740</v>
      </c>
      <c r="H338" s="30">
        <v>138</v>
      </c>
      <c r="I338" s="44">
        <v>36</v>
      </c>
      <c r="J338" s="44">
        <v>4968</v>
      </c>
      <c r="K338" s="44">
        <v>7708</v>
      </c>
      <c r="L338" s="51">
        <v>20220809</v>
      </c>
      <c r="M338" s="170">
        <f t="shared" ref="M338:M343" si="11">VLOOKUP(D338,tablapertex,11,FALSE)</f>
        <v>138</v>
      </c>
      <c r="N338" s="171">
        <f t="shared" si="10"/>
        <v>0</v>
      </c>
    </row>
    <row r="339" spans="1:14" x14ac:dyDescent="0.25">
      <c r="A339" s="50" t="s">
        <v>1588</v>
      </c>
      <c r="B339" s="30" t="s">
        <v>11</v>
      </c>
      <c r="C339" s="30" t="s">
        <v>29</v>
      </c>
      <c r="D339" s="30" t="s">
        <v>30</v>
      </c>
      <c r="E339" s="30" t="s">
        <v>578</v>
      </c>
      <c r="F339" s="30">
        <v>1</v>
      </c>
      <c r="G339" s="44">
        <v>2740</v>
      </c>
      <c r="H339" s="30">
        <v>156</v>
      </c>
      <c r="I339" s="44">
        <v>36</v>
      </c>
      <c r="J339" s="44">
        <v>5616</v>
      </c>
      <c r="K339" s="44">
        <v>8356</v>
      </c>
      <c r="L339" s="51">
        <v>20220811</v>
      </c>
      <c r="M339" s="170">
        <f t="shared" si="11"/>
        <v>158</v>
      </c>
      <c r="N339" s="171">
        <f t="shared" si="10"/>
        <v>2</v>
      </c>
    </row>
    <row r="340" spans="1:14" s="42" customFormat="1" x14ac:dyDescent="0.25">
      <c r="A340" s="52" t="s">
        <v>1572</v>
      </c>
      <c r="B340" s="32" t="s">
        <v>11</v>
      </c>
      <c r="C340" s="32" t="s">
        <v>134</v>
      </c>
      <c r="D340" s="32" t="s">
        <v>135</v>
      </c>
      <c r="E340" s="32" t="s">
        <v>1178</v>
      </c>
      <c r="F340" s="32">
        <v>1</v>
      </c>
      <c r="G340" s="45">
        <v>2740</v>
      </c>
      <c r="H340" s="32">
        <v>24</v>
      </c>
      <c r="I340" s="45">
        <v>36</v>
      </c>
      <c r="J340" s="45">
        <v>864</v>
      </c>
      <c r="K340" s="45">
        <v>3604</v>
      </c>
      <c r="L340" s="53">
        <v>20220824</v>
      </c>
      <c r="M340" s="172">
        <f t="shared" si="11"/>
        <v>0</v>
      </c>
      <c r="N340" s="173">
        <f t="shared" si="10"/>
        <v>-24</v>
      </c>
    </row>
    <row r="341" spans="1:14" x14ac:dyDescent="0.25">
      <c r="A341" s="50" t="s">
        <v>1539</v>
      </c>
      <c r="B341" s="30" t="s">
        <v>11</v>
      </c>
      <c r="C341" s="30" t="s">
        <v>28</v>
      </c>
      <c r="D341" s="30" t="s">
        <v>267</v>
      </c>
      <c r="E341" s="30" t="s">
        <v>268</v>
      </c>
      <c r="F341" s="30">
        <v>1</v>
      </c>
      <c r="G341" s="44">
        <v>2740</v>
      </c>
      <c r="H341" s="30">
        <v>146</v>
      </c>
      <c r="I341" s="44">
        <v>36</v>
      </c>
      <c r="J341" s="44">
        <v>5256</v>
      </c>
      <c r="K341" s="44">
        <v>7996</v>
      </c>
      <c r="L341" s="51">
        <v>20220825</v>
      </c>
      <c r="M341" s="170">
        <f t="shared" si="11"/>
        <v>146</v>
      </c>
      <c r="N341" s="171">
        <f t="shared" si="10"/>
        <v>0</v>
      </c>
    </row>
    <row r="342" spans="1:14" x14ac:dyDescent="0.25">
      <c r="A342" s="50" t="s">
        <v>1567</v>
      </c>
      <c r="B342" s="30" t="s">
        <v>11</v>
      </c>
      <c r="C342" s="30" t="s">
        <v>202</v>
      </c>
      <c r="D342" s="30" t="s">
        <v>203</v>
      </c>
      <c r="E342" s="30" t="s">
        <v>214</v>
      </c>
      <c r="F342" s="30">
        <v>1</v>
      </c>
      <c r="G342" s="44">
        <v>2740</v>
      </c>
      <c r="H342" s="30">
        <v>100</v>
      </c>
      <c r="I342" s="44">
        <v>36</v>
      </c>
      <c r="J342" s="44">
        <v>3600</v>
      </c>
      <c r="K342" s="44">
        <v>6340</v>
      </c>
      <c r="L342" s="51">
        <v>20220829</v>
      </c>
      <c r="M342" s="170">
        <f t="shared" si="11"/>
        <v>100</v>
      </c>
      <c r="N342" s="171">
        <f t="shared" si="10"/>
        <v>0</v>
      </c>
    </row>
    <row r="343" spans="1:14" x14ac:dyDescent="0.25">
      <c r="A343" s="50" t="s">
        <v>1524</v>
      </c>
      <c r="B343" s="30" t="s">
        <v>11</v>
      </c>
      <c r="C343" s="30" t="s">
        <v>28</v>
      </c>
      <c r="D343" s="30" t="s">
        <v>1026</v>
      </c>
      <c r="E343" s="30" t="s">
        <v>1027</v>
      </c>
      <c r="F343" s="30">
        <v>1</v>
      </c>
      <c r="G343" s="44">
        <v>2740</v>
      </c>
      <c r="H343" s="30">
        <v>127</v>
      </c>
      <c r="I343" s="44">
        <v>36</v>
      </c>
      <c r="J343" s="44">
        <v>4572</v>
      </c>
      <c r="K343" s="44">
        <v>7312</v>
      </c>
      <c r="L343" s="51">
        <v>20220830</v>
      </c>
      <c r="M343" s="170">
        <f t="shared" si="11"/>
        <v>127</v>
      </c>
      <c r="N343" s="171">
        <f t="shared" si="10"/>
        <v>0</v>
      </c>
    </row>
    <row r="344" spans="1:14" x14ac:dyDescent="0.25">
      <c r="A344" s="50"/>
      <c r="B344" s="30"/>
      <c r="C344" s="30"/>
      <c r="D344" s="30"/>
      <c r="E344" s="30"/>
      <c r="F344" s="30"/>
      <c r="G344" s="44"/>
      <c r="H344" s="30"/>
      <c r="I344" s="44"/>
      <c r="J344" s="44"/>
      <c r="K344" s="44"/>
      <c r="L344" s="51"/>
      <c r="N344" s="171"/>
    </row>
    <row r="345" spans="1:14" x14ac:dyDescent="0.25">
      <c r="N345" s="171"/>
    </row>
    <row r="346" spans="1:14" x14ac:dyDescent="0.25">
      <c r="A346" s="52" t="s">
        <v>2053</v>
      </c>
      <c r="B346" s="32" t="s">
        <v>11</v>
      </c>
      <c r="C346" s="32" t="s">
        <v>26</v>
      </c>
      <c r="D346" s="32" t="s">
        <v>141</v>
      </c>
      <c r="E346" s="32" t="s">
        <v>603</v>
      </c>
      <c r="F346" s="32">
        <v>1</v>
      </c>
      <c r="G346" s="45">
        <v>2740</v>
      </c>
      <c r="H346" s="32">
        <v>138</v>
      </c>
      <c r="I346" s="45">
        <v>36</v>
      </c>
      <c r="J346" s="45">
        <v>4968</v>
      </c>
      <c r="K346" s="45">
        <v>7708</v>
      </c>
      <c r="L346" s="53">
        <v>20220912</v>
      </c>
      <c r="M346" s="170">
        <f t="shared" ref="M346:M349" si="12">VLOOKUP(D346,tablapertex,11,FALSE)</f>
        <v>138</v>
      </c>
      <c r="N346" s="171">
        <f t="shared" ref="N346:N349" si="13">M346-H346</f>
        <v>0</v>
      </c>
    </row>
    <row r="347" spans="1:14" x14ac:dyDescent="0.25">
      <c r="A347" s="52" t="s">
        <v>2081</v>
      </c>
      <c r="B347" s="32" t="s">
        <v>11</v>
      </c>
      <c r="C347" s="32" t="s">
        <v>337</v>
      </c>
      <c r="D347" s="32" t="s">
        <v>35</v>
      </c>
      <c r="E347" s="32" t="s">
        <v>1318</v>
      </c>
      <c r="F347" s="32">
        <v>1</v>
      </c>
      <c r="G347" s="45">
        <v>2740</v>
      </c>
      <c r="H347" s="32">
        <v>78</v>
      </c>
      <c r="I347" s="45">
        <v>36</v>
      </c>
      <c r="J347" s="45">
        <v>2808</v>
      </c>
      <c r="K347" s="45">
        <v>5548</v>
      </c>
      <c r="L347" s="53">
        <v>20220914</v>
      </c>
      <c r="M347" s="170">
        <f t="shared" si="12"/>
        <v>77.2</v>
      </c>
      <c r="N347" s="171">
        <f t="shared" si="13"/>
        <v>-0.79999999999999716</v>
      </c>
    </row>
    <row r="348" spans="1:14" x14ac:dyDescent="0.25">
      <c r="A348" s="52" t="s">
        <v>2038</v>
      </c>
      <c r="B348" s="32" t="s">
        <v>11</v>
      </c>
      <c r="C348" s="32" t="s">
        <v>1006</v>
      </c>
      <c r="D348" s="32" t="s">
        <v>1007</v>
      </c>
      <c r="E348" s="32" t="s">
        <v>1008</v>
      </c>
      <c r="F348" s="32">
        <v>1</v>
      </c>
      <c r="G348" s="45">
        <v>2740</v>
      </c>
      <c r="H348" s="32">
        <v>286</v>
      </c>
      <c r="I348" s="45">
        <v>36</v>
      </c>
      <c r="J348" s="45">
        <v>10296</v>
      </c>
      <c r="K348" s="45">
        <v>13036</v>
      </c>
      <c r="L348" s="53">
        <v>20220915</v>
      </c>
      <c r="M348" s="170">
        <f t="shared" si="12"/>
        <v>240</v>
      </c>
      <c r="N348" s="171">
        <f t="shared" si="13"/>
        <v>-46</v>
      </c>
    </row>
    <row r="349" spans="1:14" x14ac:dyDescent="0.25">
      <c r="A349" s="52" t="s">
        <v>2003</v>
      </c>
      <c r="B349" s="32" t="s">
        <v>11</v>
      </c>
      <c r="C349" s="32" t="s">
        <v>337</v>
      </c>
      <c r="D349" s="32" t="s">
        <v>35</v>
      </c>
      <c r="E349" s="32" t="s">
        <v>1318</v>
      </c>
      <c r="F349" s="32">
        <v>1</v>
      </c>
      <c r="G349" s="45">
        <v>2740</v>
      </c>
      <c r="H349" s="32">
        <v>78</v>
      </c>
      <c r="I349" s="45">
        <v>36</v>
      </c>
      <c r="J349" s="45">
        <v>2808</v>
      </c>
      <c r="K349" s="45">
        <v>5548</v>
      </c>
      <c r="L349" s="53">
        <v>20220920</v>
      </c>
      <c r="M349" s="170">
        <f t="shared" si="12"/>
        <v>77.2</v>
      </c>
      <c r="N349" s="171">
        <f t="shared" si="13"/>
        <v>-0.79999999999999716</v>
      </c>
    </row>
    <row r="350" spans="1:14" x14ac:dyDescent="0.25">
      <c r="N350" s="171"/>
    </row>
    <row r="351" spans="1:14" x14ac:dyDescent="0.25">
      <c r="N351" s="171"/>
    </row>
    <row r="352" spans="1:14" s="42" customFormat="1" x14ac:dyDescent="0.25">
      <c r="A352" s="52" t="s">
        <v>2238</v>
      </c>
      <c r="B352" s="32" t="s">
        <v>11</v>
      </c>
      <c r="C352" s="32" t="s">
        <v>134</v>
      </c>
      <c r="D352" s="32" t="s">
        <v>135</v>
      </c>
      <c r="E352" s="32" t="s">
        <v>1178</v>
      </c>
      <c r="F352" s="32">
        <v>1</v>
      </c>
      <c r="G352" s="45">
        <v>3900</v>
      </c>
      <c r="H352" s="32">
        <v>23</v>
      </c>
      <c r="I352" s="45">
        <v>50</v>
      </c>
      <c r="J352" s="45">
        <v>1150</v>
      </c>
      <c r="K352" s="45">
        <v>5050</v>
      </c>
      <c r="L352" s="53">
        <v>20221011</v>
      </c>
      <c r="M352" s="172">
        <f t="shared" ref="M352:M370" si="14">VLOOKUP(D352,tablapertex,11,FALSE)</f>
        <v>0</v>
      </c>
      <c r="N352" s="173">
        <f t="shared" ref="N352:N370" si="15">M352-H352</f>
        <v>-23</v>
      </c>
    </row>
    <row r="353" spans="1:14" x14ac:dyDescent="0.25">
      <c r="A353" s="50"/>
      <c r="B353" s="30"/>
      <c r="C353" s="30"/>
      <c r="D353" s="30"/>
      <c r="E353" s="30"/>
      <c r="F353" s="30"/>
      <c r="G353" s="44"/>
      <c r="H353" s="30"/>
      <c r="I353" s="44"/>
      <c r="J353" s="44"/>
      <c r="K353" s="44"/>
      <c r="L353" s="51"/>
      <c r="N353" s="171"/>
    </row>
    <row r="354" spans="1:14" x14ac:dyDescent="0.25">
      <c r="A354" s="50" t="s">
        <v>2241</v>
      </c>
      <c r="B354" s="30" t="s">
        <v>11</v>
      </c>
      <c r="C354" s="30" t="s">
        <v>337</v>
      </c>
      <c r="D354" s="30" t="s">
        <v>35</v>
      </c>
      <c r="E354" s="30" t="s">
        <v>511</v>
      </c>
      <c r="F354" s="30">
        <v>1</v>
      </c>
      <c r="G354" s="44">
        <v>3900</v>
      </c>
      <c r="H354" s="30">
        <v>72</v>
      </c>
      <c r="I354" s="44">
        <v>50</v>
      </c>
      <c r="J354" s="44">
        <v>3600</v>
      </c>
      <c r="K354" s="44">
        <v>7500</v>
      </c>
      <c r="L354" s="51">
        <v>20221012</v>
      </c>
      <c r="M354" s="170">
        <f t="shared" si="14"/>
        <v>77.2</v>
      </c>
      <c r="N354" s="171">
        <f t="shared" si="15"/>
        <v>5.2000000000000028</v>
      </c>
    </row>
    <row r="355" spans="1:14" x14ac:dyDescent="0.25">
      <c r="A355" s="50"/>
      <c r="B355" s="30"/>
      <c r="C355" s="30"/>
      <c r="D355" s="30"/>
      <c r="E355" s="30"/>
      <c r="F355" s="30"/>
      <c r="G355" s="44"/>
      <c r="H355" s="30"/>
      <c r="I355" s="44"/>
      <c r="J355" s="44"/>
      <c r="K355" s="44"/>
      <c r="L355" s="51"/>
      <c r="N355" s="171"/>
    </row>
    <row r="356" spans="1:14" x14ac:dyDescent="0.25">
      <c r="A356" s="50" t="s">
        <v>2239</v>
      </c>
      <c r="B356" s="30" t="s">
        <v>11</v>
      </c>
      <c r="C356" s="30" t="s">
        <v>163</v>
      </c>
      <c r="D356" s="30" t="s">
        <v>164</v>
      </c>
      <c r="E356" s="30" t="s">
        <v>305</v>
      </c>
      <c r="F356" s="30">
        <v>1</v>
      </c>
      <c r="G356" s="44">
        <v>3900</v>
      </c>
      <c r="H356" s="30">
        <v>126</v>
      </c>
      <c r="I356" s="44">
        <v>50</v>
      </c>
      <c r="J356" s="44">
        <v>6300</v>
      </c>
      <c r="K356" s="44">
        <v>10200</v>
      </c>
      <c r="L356" s="51">
        <v>20221013</v>
      </c>
      <c r="M356" s="170">
        <f t="shared" si="14"/>
        <v>126</v>
      </c>
      <c r="N356" s="171">
        <f t="shared" si="15"/>
        <v>0</v>
      </c>
    </row>
    <row r="357" spans="1:14" x14ac:dyDescent="0.25">
      <c r="A357" s="50"/>
      <c r="B357" s="30"/>
      <c r="C357" s="30"/>
      <c r="D357" s="30"/>
      <c r="E357" s="30"/>
      <c r="F357" s="30"/>
      <c r="G357" s="44"/>
      <c r="H357" s="30"/>
      <c r="I357" s="44"/>
      <c r="J357" s="44"/>
      <c r="K357" s="44"/>
      <c r="L357" s="51"/>
      <c r="N357" s="171"/>
    </row>
    <row r="358" spans="1:14" s="26" customFormat="1" x14ac:dyDescent="0.25">
      <c r="A358" s="121" t="s">
        <v>2229</v>
      </c>
      <c r="B358" s="122" t="s">
        <v>11</v>
      </c>
      <c r="C358" s="122" t="s">
        <v>2230</v>
      </c>
      <c r="D358" s="122" t="s">
        <v>2231</v>
      </c>
      <c r="E358" s="122" t="s">
        <v>2232</v>
      </c>
      <c r="F358" s="122">
        <v>1</v>
      </c>
      <c r="G358" s="123">
        <v>3900</v>
      </c>
      <c r="H358" s="122">
        <v>153</v>
      </c>
      <c r="I358" s="123">
        <v>50</v>
      </c>
      <c r="J358" s="123">
        <v>7650</v>
      </c>
      <c r="K358" s="123">
        <v>11550</v>
      </c>
      <c r="L358" s="124">
        <v>20221017</v>
      </c>
      <c r="M358" s="171">
        <f t="shared" si="14"/>
        <v>149</v>
      </c>
      <c r="N358" s="171">
        <f t="shared" si="15"/>
        <v>-4</v>
      </c>
    </row>
    <row r="359" spans="1:14" s="42" customFormat="1" x14ac:dyDescent="0.25">
      <c r="A359" s="52" t="s">
        <v>2235</v>
      </c>
      <c r="B359" s="32" t="s">
        <v>11</v>
      </c>
      <c r="C359" s="32" t="s">
        <v>134</v>
      </c>
      <c r="D359" s="32" t="s">
        <v>135</v>
      </c>
      <c r="E359" s="32" t="s">
        <v>264</v>
      </c>
      <c r="F359" s="32">
        <v>1</v>
      </c>
      <c r="G359" s="45">
        <v>3900</v>
      </c>
      <c r="H359" s="32">
        <v>23</v>
      </c>
      <c r="I359" s="45">
        <v>50</v>
      </c>
      <c r="J359" s="45">
        <v>1150</v>
      </c>
      <c r="K359" s="45">
        <v>5050</v>
      </c>
      <c r="L359" s="53">
        <v>20221017</v>
      </c>
      <c r="M359" s="172">
        <f t="shared" si="14"/>
        <v>0</v>
      </c>
      <c r="N359" s="173">
        <f t="shared" si="15"/>
        <v>-23</v>
      </c>
    </row>
    <row r="360" spans="1:14" s="42" customFormat="1" x14ac:dyDescent="0.25">
      <c r="A360" s="52" t="s">
        <v>2222</v>
      </c>
      <c r="B360" s="32" t="s">
        <v>11</v>
      </c>
      <c r="C360" s="32" t="s">
        <v>134</v>
      </c>
      <c r="D360" s="32" t="s">
        <v>135</v>
      </c>
      <c r="E360" s="32" t="s">
        <v>183</v>
      </c>
      <c r="F360" s="32">
        <v>1</v>
      </c>
      <c r="G360" s="45">
        <v>3900</v>
      </c>
      <c r="H360" s="32">
        <v>23</v>
      </c>
      <c r="I360" s="45">
        <v>50</v>
      </c>
      <c r="J360" s="45">
        <v>1150</v>
      </c>
      <c r="K360" s="45">
        <v>5050</v>
      </c>
      <c r="L360" s="53">
        <v>20221017</v>
      </c>
      <c r="M360" s="172">
        <f t="shared" si="14"/>
        <v>0</v>
      </c>
      <c r="N360" s="173">
        <f t="shared" si="15"/>
        <v>-23</v>
      </c>
    </row>
    <row r="361" spans="1:14" x14ac:dyDescent="0.25">
      <c r="A361" s="50" t="s">
        <v>2220</v>
      </c>
      <c r="B361" s="30" t="s">
        <v>137</v>
      </c>
      <c r="C361" s="30" t="s">
        <v>172</v>
      </c>
      <c r="D361" s="30" t="s">
        <v>173</v>
      </c>
      <c r="E361" s="30" t="s">
        <v>2221</v>
      </c>
      <c r="F361" s="30">
        <v>1</v>
      </c>
      <c r="G361" s="44">
        <v>1950</v>
      </c>
      <c r="H361" s="30">
        <v>152</v>
      </c>
      <c r="I361" s="44">
        <v>50</v>
      </c>
      <c r="J361" s="44">
        <v>7600</v>
      </c>
      <c r="K361" s="44">
        <v>9550</v>
      </c>
      <c r="L361" s="51">
        <v>20221017</v>
      </c>
      <c r="M361" s="170">
        <f t="shared" si="14"/>
        <v>147</v>
      </c>
      <c r="N361" s="171">
        <f t="shared" si="15"/>
        <v>-5</v>
      </c>
    </row>
    <row r="362" spans="1:14" x14ac:dyDescent="0.25">
      <c r="A362" s="50"/>
      <c r="B362" s="30"/>
      <c r="C362" s="30"/>
      <c r="D362" s="30"/>
      <c r="E362" s="30"/>
      <c r="F362" s="30"/>
      <c r="G362" s="44"/>
      <c r="H362" s="30"/>
      <c r="I362" s="44"/>
      <c r="J362" s="44"/>
      <c r="K362" s="44"/>
      <c r="L362" s="51"/>
      <c r="N362" s="171"/>
    </row>
    <row r="363" spans="1:14" x14ac:dyDescent="0.25">
      <c r="A363" s="50" t="s">
        <v>2224</v>
      </c>
      <c r="B363" s="30" t="s">
        <v>11</v>
      </c>
      <c r="C363" s="30" t="s">
        <v>202</v>
      </c>
      <c r="D363" s="30" t="s">
        <v>203</v>
      </c>
      <c r="E363" s="30" t="s">
        <v>626</v>
      </c>
      <c r="F363" s="30">
        <v>1</v>
      </c>
      <c r="G363" s="44">
        <v>3900</v>
      </c>
      <c r="H363" s="30">
        <v>100</v>
      </c>
      <c r="I363" s="44">
        <v>50</v>
      </c>
      <c r="J363" s="44">
        <v>5000</v>
      </c>
      <c r="K363" s="44">
        <v>8900</v>
      </c>
      <c r="L363" s="51">
        <v>20221019</v>
      </c>
      <c r="M363" s="170">
        <f t="shared" si="14"/>
        <v>100</v>
      </c>
      <c r="N363" s="171">
        <f t="shared" si="15"/>
        <v>0</v>
      </c>
    </row>
    <row r="364" spans="1:14" x14ac:dyDescent="0.25">
      <c r="A364" s="50"/>
      <c r="B364" s="30"/>
      <c r="C364" s="30"/>
      <c r="D364" s="30"/>
      <c r="E364" s="30"/>
      <c r="F364" s="30"/>
      <c r="G364" s="44"/>
      <c r="H364" s="30"/>
      <c r="I364" s="44"/>
      <c r="J364" s="44"/>
      <c r="K364" s="44"/>
      <c r="L364" s="51"/>
      <c r="N364" s="171"/>
    </row>
    <row r="365" spans="1:14" x14ac:dyDescent="0.25">
      <c r="A365" s="50" t="s">
        <v>2215</v>
      </c>
      <c r="B365" s="30" t="s">
        <v>11</v>
      </c>
      <c r="C365" s="30" t="s">
        <v>163</v>
      </c>
      <c r="D365" s="30" t="s">
        <v>164</v>
      </c>
      <c r="E365" s="30" t="s">
        <v>207</v>
      </c>
      <c r="F365" s="30">
        <v>1</v>
      </c>
      <c r="G365" s="44">
        <v>3900</v>
      </c>
      <c r="H365" s="30">
        <v>126</v>
      </c>
      <c r="I365" s="44">
        <v>50</v>
      </c>
      <c r="J365" s="44">
        <v>6300</v>
      </c>
      <c r="K365" s="44">
        <v>10200</v>
      </c>
      <c r="L365" s="51">
        <v>20221024</v>
      </c>
      <c r="M365" s="170">
        <f t="shared" si="14"/>
        <v>126</v>
      </c>
      <c r="N365" s="171">
        <f t="shared" si="15"/>
        <v>0</v>
      </c>
    </row>
    <row r="366" spans="1:14" x14ac:dyDescent="0.25">
      <c r="A366" s="50"/>
      <c r="B366" s="30"/>
      <c r="C366" s="30"/>
      <c r="D366" s="30"/>
      <c r="E366" s="30"/>
      <c r="F366" s="30"/>
      <c r="G366" s="44"/>
      <c r="H366" s="30"/>
      <c r="I366" s="44"/>
      <c r="J366" s="44"/>
      <c r="K366" s="44"/>
      <c r="L366" s="51"/>
      <c r="N366" s="171"/>
    </row>
    <row r="367" spans="1:14" x14ac:dyDescent="0.25">
      <c r="A367" s="50" t="s">
        <v>2193</v>
      </c>
      <c r="B367" s="30" t="s">
        <v>11</v>
      </c>
      <c r="C367" s="30" t="s">
        <v>337</v>
      </c>
      <c r="D367" s="30" t="s">
        <v>35</v>
      </c>
      <c r="E367" s="30" t="s">
        <v>1318</v>
      </c>
      <c r="F367" s="30">
        <v>1</v>
      </c>
      <c r="G367" s="44">
        <v>3900</v>
      </c>
      <c r="H367" s="30">
        <v>72</v>
      </c>
      <c r="I367" s="44">
        <v>50</v>
      </c>
      <c r="J367" s="44">
        <v>3600</v>
      </c>
      <c r="K367" s="44">
        <v>7500</v>
      </c>
      <c r="L367" s="51">
        <v>20221025</v>
      </c>
      <c r="M367" s="170">
        <f t="shared" si="14"/>
        <v>77.2</v>
      </c>
      <c r="N367" s="171">
        <f t="shared" si="15"/>
        <v>5.2000000000000028</v>
      </c>
    </row>
    <row r="368" spans="1:14" x14ac:dyDescent="0.25">
      <c r="A368" s="50"/>
      <c r="B368" s="30"/>
      <c r="C368" s="30"/>
      <c r="D368" s="30"/>
      <c r="E368" s="30"/>
      <c r="F368" s="30"/>
      <c r="G368" s="44"/>
      <c r="H368" s="30"/>
      <c r="I368" s="44"/>
      <c r="J368" s="44"/>
      <c r="K368" s="44"/>
      <c r="L368" s="51"/>
      <c r="N368" s="171"/>
    </row>
    <row r="369" spans="1:14" x14ac:dyDescent="0.25">
      <c r="A369" s="50" t="s">
        <v>2141</v>
      </c>
      <c r="B369" s="30" t="s">
        <v>137</v>
      </c>
      <c r="C369" s="30" t="s">
        <v>26</v>
      </c>
      <c r="D369" s="30" t="s">
        <v>141</v>
      </c>
      <c r="E369" s="30" t="s">
        <v>605</v>
      </c>
      <c r="F369" s="30">
        <v>1</v>
      </c>
      <c r="G369" s="44">
        <v>1950</v>
      </c>
      <c r="H369" s="30">
        <v>138</v>
      </c>
      <c r="I369" s="44">
        <v>50</v>
      </c>
      <c r="J369" s="44">
        <v>6900</v>
      </c>
      <c r="K369" s="44">
        <v>8850</v>
      </c>
      <c r="L369" s="51">
        <v>20221026</v>
      </c>
      <c r="M369" s="170">
        <f t="shared" si="14"/>
        <v>138</v>
      </c>
      <c r="N369" s="171">
        <f t="shared" si="15"/>
        <v>0</v>
      </c>
    </row>
    <row r="370" spans="1:14" x14ac:dyDescent="0.25">
      <c r="A370" s="50" t="s">
        <v>2216</v>
      </c>
      <c r="B370" s="30" t="s">
        <v>11</v>
      </c>
      <c r="C370" s="30" t="s">
        <v>26</v>
      </c>
      <c r="D370" s="30" t="s">
        <v>2217</v>
      </c>
      <c r="E370" s="30" t="s">
        <v>2218</v>
      </c>
      <c r="F370" s="30">
        <v>1</v>
      </c>
      <c r="G370" s="44">
        <v>3900</v>
      </c>
      <c r="H370" s="30">
        <v>228</v>
      </c>
      <c r="I370" s="44">
        <v>50</v>
      </c>
      <c r="J370" s="44">
        <v>11400</v>
      </c>
      <c r="K370" s="44">
        <v>15300</v>
      </c>
      <c r="L370" s="51">
        <v>20221027</v>
      </c>
      <c r="M370" s="170">
        <f t="shared" si="14"/>
        <v>227</v>
      </c>
      <c r="N370" s="171">
        <f t="shared" si="15"/>
        <v>-1</v>
      </c>
    </row>
    <row r="371" spans="1:14" x14ac:dyDescent="0.25">
      <c r="N371" s="171"/>
    </row>
    <row r="372" spans="1:14" x14ac:dyDescent="0.25">
      <c r="N372" s="171"/>
    </row>
    <row r="373" spans="1:14" x14ac:dyDescent="0.25">
      <c r="A373" s="52" t="s">
        <v>2365</v>
      </c>
      <c r="B373" s="32" t="s">
        <v>11</v>
      </c>
      <c r="C373" s="32" t="s">
        <v>29</v>
      </c>
      <c r="D373" s="32" t="s">
        <v>1454</v>
      </c>
      <c r="E373" s="32" t="s">
        <v>1455</v>
      </c>
      <c r="F373" s="32">
        <v>1</v>
      </c>
      <c r="G373" s="45">
        <v>3900</v>
      </c>
      <c r="H373" s="32">
        <v>127</v>
      </c>
      <c r="I373" s="45">
        <v>50</v>
      </c>
      <c r="J373" s="45">
        <v>6350</v>
      </c>
      <c r="K373" s="45">
        <v>10250</v>
      </c>
      <c r="L373" s="53">
        <v>20221101</v>
      </c>
      <c r="M373" s="170">
        <f t="shared" ref="M373:M376" si="16">VLOOKUP(D373,tablapertex,11,FALSE)</f>
        <v>127</v>
      </c>
      <c r="N373" s="171">
        <f t="shared" ref="N373:N376" si="17">M373-H373</f>
        <v>0</v>
      </c>
    </row>
    <row r="374" spans="1:14" x14ac:dyDescent="0.25">
      <c r="A374" s="52" t="s">
        <v>2356</v>
      </c>
      <c r="B374" s="32" t="s">
        <v>11</v>
      </c>
      <c r="C374" s="32" t="s">
        <v>28</v>
      </c>
      <c r="D374" s="32" t="s">
        <v>383</v>
      </c>
      <c r="E374" s="32" t="s">
        <v>384</v>
      </c>
      <c r="F374" s="32">
        <v>1</v>
      </c>
      <c r="G374" s="45">
        <v>3900</v>
      </c>
      <c r="H374" s="32">
        <v>354</v>
      </c>
      <c r="I374" s="45">
        <v>50</v>
      </c>
      <c r="J374" s="45">
        <v>17700</v>
      </c>
      <c r="K374" s="45">
        <v>21600</v>
      </c>
      <c r="L374" s="53">
        <v>20221104</v>
      </c>
      <c r="M374" s="170">
        <f t="shared" si="16"/>
        <v>354</v>
      </c>
      <c r="N374" s="171">
        <f t="shared" si="17"/>
        <v>0</v>
      </c>
    </row>
    <row r="375" spans="1:14" x14ac:dyDescent="0.25">
      <c r="A375" s="52" t="s">
        <v>2296</v>
      </c>
      <c r="B375" s="32" t="s">
        <v>11</v>
      </c>
      <c r="C375" s="32" t="s">
        <v>337</v>
      </c>
      <c r="D375" s="32" t="s">
        <v>162</v>
      </c>
      <c r="E375" s="32" t="s">
        <v>2297</v>
      </c>
      <c r="F375" s="32">
        <v>1</v>
      </c>
      <c r="G375" s="45">
        <v>3900</v>
      </c>
      <c r="H375" s="32">
        <v>69</v>
      </c>
      <c r="I375" s="45">
        <v>50</v>
      </c>
      <c r="J375" s="45">
        <v>3450</v>
      </c>
      <c r="K375" s="45">
        <v>7350</v>
      </c>
      <c r="L375" s="53">
        <v>20221128</v>
      </c>
      <c r="M375" s="170">
        <f t="shared" si="16"/>
        <v>68.8</v>
      </c>
      <c r="N375" s="171">
        <f t="shared" si="17"/>
        <v>-0.20000000000000284</v>
      </c>
    </row>
    <row r="376" spans="1:14" x14ac:dyDescent="0.25">
      <c r="A376" s="52" t="s">
        <v>2302</v>
      </c>
      <c r="B376" s="32" t="s">
        <v>137</v>
      </c>
      <c r="C376" s="32" t="s">
        <v>337</v>
      </c>
      <c r="D376" s="32" t="s">
        <v>162</v>
      </c>
      <c r="E376" s="32" t="s">
        <v>2303</v>
      </c>
      <c r="F376" s="32">
        <v>1</v>
      </c>
      <c r="G376" s="45">
        <v>1950</v>
      </c>
      <c r="H376" s="32">
        <v>69</v>
      </c>
      <c r="I376" s="45">
        <v>50</v>
      </c>
      <c r="J376" s="45">
        <v>3450</v>
      </c>
      <c r="K376" s="45">
        <v>5400</v>
      </c>
      <c r="L376" s="53">
        <v>20221123</v>
      </c>
      <c r="M376" s="170">
        <f t="shared" si="16"/>
        <v>68.8</v>
      </c>
      <c r="N376" s="171">
        <f t="shared" si="17"/>
        <v>-0.20000000000000284</v>
      </c>
    </row>
    <row r="377" spans="1:14" x14ac:dyDescent="0.25">
      <c r="N377" s="171"/>
    </row>
    <row r="378" spans="1:14" x14ac:dyDescent="0.25">
      <c r="A378" s="50" t="s">
        <v>2414</v>
      </c>
      <c r="B378" s="30" t="s">
        <v>11</v>
      </c>
      <c r="C378" s="30" t="s">
        <v>163</v>
      </c>
      <c r="D378" s="30" t="s">
        <v>164</v>
      </c>
      <c r="E378" s="30" t="s">
        <v>361</v>
      </c>
      <c r="F378" s="30">
        <v>1</v>
      </c>
      <c r="G378" s="44">
        <v>3900</v>
      </c>
      <c r="H378" s="30">
        <v>126</v>
      </c>
      <c r="I378" s="44">
        <v>50</v>
      </c>
      <c r="J378" s="44">
        <v>6300</v>
      </c>
      <c r="K378" s="44">
        <v>10200</v>
      </c>
      <c r="L378" s="51">
        <v>20221202</v>
      </c>
      <c r="M378" s="170">
        <f t="shared" ref="M378:M383" si="18">VLOOKUP(D378,tablapertex,11,FALSE)</f>
        <v>126</v>
      </c>
      <c r="N378" s="171">
        <f t="shared" ref="N378:N383" si="19">M378-H378</f>
        <v>0</v>
      </c>
    </row>
    <row r="379" spans="1:14" x14ac:dyDescent="0.25">
      <c r="A379" s="50" t="s">
        <v>2416</v>
      </c>
      <c r="B379" s="30" t="s">
        <v>11</v>
      </c>
      <c r="C379" s="30" t="s">
        <v>28</v>
      </c>
      <c r="D379" s="30" t="s">
        <v>1762</v>
      </c>
      <c r="E379" s="30" t="s">
        <v>2409</v>
      </c>
      <c r="F379" s="30">
        <v>1</v>
      </c>
      <c r="G379" s="44">
        <v>3900</v>
      </c>
      <c r="H379" s="30">
        <v>376</v>
      </c>
      <c r="I379" s="44">
        <v>50</v>
      </c>
      <c r="J379" s="44">
        <v>18800</v>
      </c>
      <c r="K379" s="44">
        <v>22700</v>
      </c>
      <c r="L379" s="51">
        <v>20221212</v>
      </c>
      <c r="M379" s="170">
        <f t="shared" si="18"/>
        <v>376</v>
      </c>
      <c r="N379" s="171">
        <f t="shared" si="19"/>
        <v>0</v>
      </c>
    </row>
    <row r="380" spans="1:14" x14ac:dyDescent="0.25">
      <c r="A380" s="177" t="s">
        <v>2391</v>
      </c>
      <c r="B380" s="178" t="s">
        <v>11</v>
      </c>
      <c r="C380" s="178" t="s">
        <v>28</v>
      </c>
      <c r="D380" s="178" t="s">
        <v>2284</v>
      </c>
      <c r="E380" s="178" t="s">
        <v>2285</v>
      </c>
      <c r="F380" s="178">
        <v>1</v>
      </c>
      <c r="G380" s="179">
        <v>3900</v>
      </c>
      <c r="H380" s="178">
        <v>153</v>
      </c>
      <c r="I380" s="179">
        <v>50</v>
      </c>
      <c r="J380" s="179">
        <v>7650</v>
      </c>
      <c r="K380" s="179">
        <v>11550</v>
      </c>
      <c r="L380" s="180">
        <v>20221214</v>
      </c>
      <c r="M380" s="181">
        <f t="shared" si="18"/>
        <v>148</v>
      </c>
      <c r="N380" s="182">
        <f t="shared" si="19"/>
        <v>-5</v>
      </c>
    </row>
    <row r="381" spans="1:14" x14ac:dyDescent="0.25">
      <c r="A381" s="177" t="s">
        <v>2405</v>
      </c>
      <c r="B381" s="178" t="s">
        <v>11</v>
      </c>
      <c r="C381" s="178" t="s">
        <v>2230</v>
      </c>
      <c r="D381" s="178" t="s">
        <v>2231</v>
      </c>
      <c r="E381" s="178" t="s">
        <v>2232</v>
      </c>
      <c r="F381" s="178">
        <v>1</v>
      </c>
      <c r="G381" s="179">
        <v>3900</v>
      </c>
      <c r="H381" s="178">
        <v>153</v>
      </c>
      <c r="I381" s="179">
        <v>50</v>
      </c>
      <c r="J381" s="179">
        <v>7650</v>
      </c>
      <c r="K381" s="179">
        <v>11550</v>
      </c>
      <c r="L381" s="180">
        <v>20221214</v>
      </c>
      <c r="M381" s="181">
        <f t="shared" si="18"/>
        <v>149</v>
      </c>
      <c r="N381" s="182">
        <f t="shared" si="19"/>
        <v>-4</v>
      </c>
    </row>
    <row r="382" spans="1:14" x14ac:dyDescent="0.25">
      <c r="A382" s="177" t="s">
        <v>2385</v>
      </c>
      <c r="B382" s="178" t="s">
        <v>11</v>
      </c>
      <c r="C382" s="178" t="s">
        <v>103</v>
      </c>
      <c r="D382" s="178" t="s">
        <v>104</v>
      </c>
      <c r="E382" s="178" t="s">
        <v>908</v>
      </c>
      <c r="F382" s="178">
        <v>1</v>
      </c>
      <c r="G382" s="179">
        <v>3900</v>
      </c>
      <c r="H382" s="178">
        <v>165</v>
      </c>
      <c r="I382" s="179">
        <v>50</v>
      </c>
      <c r="J382" s="179">
        <v>8250</v>
      </c>
      <c r="K382" s="179">
        <v>12150</v>
      </c>
      <c r="L382" s="180">
        <v>20221222</v>
      </c>
      <c r="M382" s="181">
        <f t="shared" si="18"/>
        <v>159</v>
      </c>
      <c r="N382" s="182">
        <f t="shared" si="19"/>
        <v>-6</v>
      </c>
    </row>
    <row r="383" spans="1:14" s="113" customFormat="1" x14ac:dyDescent="0.25">
      <c r="A383" s="177" t="s">
        <v>2388</v>
      </c>
      <c r="B383" s="178" t="s">
        <v>11</v>
      </c>
      <c r="C383" s="178" t="s">
        <v>134</v>
      </c>
      <c r="D383" s="178" t="s">
        <v>135</v>
      </c>
      <c r="E383" s="178" t="s">
        <v>190</v>
      </c>
      <c r="F383" s="178">
        <v>1</v>
      </c>
      <c r="G383" s="179">
        <v>3900</v>
      </c>
      <c r="H383" s="178">
        <v>23</v>
      </c>
      <c r="I383" s="179">
        <v>50</v>
      </c>
      <c r="J383" s="179">
        <v>1150</v>
      </c>
      <c r="K383" s="179">
        <v>5050</v>
      </c>
      <c r="L383" s="180">
        <v>20221226</v>
      </c>
      <c r="M383" s="181">
        <f t="shared" si="18"/>
        <v>0</v>
      </c>
      <c r="N383" s="182">
        <f t="shared" si="19"/>
        <v>-23</v>
      </c>
    </row>
    <row r="384" spans="1:14" x14ac:dyDescent="0.25">
      <c r="M384" s="181"/>
      <c r="N384" s="182"/>
    </row>
    <row r="385" spans="1:14" x14ac:dyDescent="0.25">
      <c r="A385" s="50" t="s">
        <v>2460</v>
      </c>
      <c r="B385" s="30" t="s">
        <v>137</v>
      </c>
      <c r="C385" s="30" t="s">
        <v>337</v>
      </c>
      <c r="D385" s="30" t="s">
        <v>35</v>
      </c>
      <c r="E385" s="30" t="s">
        <v>1481</v>
      </c>
      <c r="F385" s="30">
        <v>1</v>
      </c>
      <c r="G385" s="44">
        <v>2310</v>
      </c>
      <c r="H385" s="30">
        <v>72</v>
      </c>
      <c r="I385" s="44">
        <v>58.7</v>
      </c>
      <c r="J385" s="44">
        <v>4226.4000000000005</v>
      </c>
      <c r="K385" s="44">
        <v>6536.4000000000005</v>
      </c>
      <c r="L385" s="51">
        <v>20230104</v>
      </c>
      <c r="M385" s="170">
        <f t="shared" ref="M385:M392" si="20">VLOOKUP(D385,tablapertex,11,FALSE)</f>
        <v>77.2</v>
      </c>
      <c r="N385" s="171">
        <f t="shared" ref="N385:N392" si="21">M385-H385</f>
        <v>5.2000000000000028</v>
      </c>
    </row>
    <row r="386" spans="1:14" s="42" customFormat="1" x14ac:dyDescent="0.25">
      <c r="A386" s="52" t="s">
        <v>2455</v>
      </c>
      <c r="B386" s="32" t="s">
        <v>1209</v>
      </c>
      <c r="C386" s="32" t="s">
        <v>103</v>
      </c>
      <c r="D386" s="32" t="s">
        <v>104</v>
      </c>
      <c r="E386" s="32" t="s">
        <v>217</v>
      </c>
      <c r="F386" s="32">
        <v>1</v>
      </c>
      <c r="G386" s="45">
        <v>4620</v>
      </c>
      <c r="H386" s="32">
        <v>159</v>
      </c>
      <c r="I386" s="45">
        <v>58.7</v>
      </c>
      <c r="J386" s="45">
        <v>9333.3000000000011</v>
      </c>
      <c r="K386" s="45">
        <v>13953.300000000001</v>
      </c>
      <c r="L386" s="53">
        <v>20230111</v>
      </c>
      <c r="M386" s="172">
        <f t="shared" si="20"/>
        <v>159</v>
      </c>
      <c r="N386" s="173">
        <f t="shared" si="21"/>
        <v>0</v>
      </c>
    </row>
    <row r="387" spans="1:14" s="42" customFormat="1" x14ac:dyDescent="0.25">
      <c r="A387" s="52" t="s">
        <v>2457</v>
      </c>
      <c r="B387" s="32" t="s">
        <v>892</v>
      </c>
      <c r="C387" s="32" t="s">
        <v>103</v>
      </c>
      <c r="D387" s="32" t="s">
        <v>104</v>
      </c>
      <c r="E387" s="32" t="s">
        <v>904</v>
      </c>
      <c r="F387" s="32">
        <v>1</v>
      </c>
      <c r="G387" s="45">
        <v>4620</v>
      </c>
      <c r="H387" s="32">
        <v>159</v>
      </c>
      <c r="I387" s="45">
        <v>58.7</v>
      </c>
      <c r="J387" s="45">
        <v>9333.3000000000011</v>
      </c>
      <c r="K387" s="45">
        <v>13953.300000000001</v>
      </c>
      <c r="L387" s="53">
        <v>20230111</v>
      </c>
      <c r="M387" s="172">
        <f t="shared" si="20"/>
        <v>159</v>
      </c>
      <c r="N387" s="173">
        <f t="shared" si="21"/>
        <v>0</v>
      </c>
    </row>
    <row r="388" spans="1:14" x14ac:dyDescent="0.25">
      <c r="A388" s="50" t="s">
        <v>2442</v>
      </c>
      <c r="B388" s="30" t="s">
        <v>11</v>
      </c>
      <c r="C388" s="30" t="s">
        <v>337</v>
      </c>
      <c r="D388" s="30" t="s">
        <v>35</v>
      </c>
      <c r="E388" s="30" t="s">
        <v>402</v>
      </c>
      <c r="F388" s="30">
        <v>1</v>
      </c>
      <c r="G388" s="44">
        <v>4620</v>
      </c>
      <c r="H388" s="30">
        <v>72</v>
      </c>
      <c r="I388" s="44">
        <v>58.7</v>
      </c>
      <c r="J388" s="44">
        <v>4226.4000000000005</v>
      </c>
      <c r="K388" s="44">
        <v>8846.4000000000015</v>
      </c>
      <c r="L388" s="51">
        <v>20230120</v>
      </c>
      <c r="M388" s="170">
        <f t="shared" si="20"/>
        <v>77.2</v>
      </c>
      <c r="N388" s="171">
        <f t="shared" si="21"/>
        <v>5.2000000000000028</v>
      </c>
    </row>
    <row r="389" spans="1:14" x14ac:dyDescent="0.25">
      <c r="A389" s="50" t="s">
        <v>2435</v>
      </c>
      <c r="B389" s="30" t="s">
        <v>11</v>
      </c>
      <c r="C389" s="30" t="s">
        <v>28</v>
      </c>
      <c r="D389" s="30" t="s">
        <v>1703</v>
      </c>
      <c r="E389" s="30" t="s">
        <v>2436</v>
      </c>
      <c r="F389" s="30">
        <v>1</v>
      </c>
      <c r="G389" s="44">
        <v>4620</v>
      </c>
      <c r="H389" s="30">
        <v>321</v>
      </c>
      <c r="I389" s="44">
        <v>58.7</v>
      </c>
      <c r="J389" s="44">
        <v>18842.7</v>
      </c>
      <c r="K389" s="44">
        <v>23462.7</v>
      </c>
      <c r="L389" s="51">
        <v>20230125</v>
      </c>
      <c r="M389" s="170">
        <f t="shared" si="20"/>
        <v>242</v>
      </c>
      <c r="N389" s="171">
        <f t="shared" si="21"/>
        <v>-79</v>
      </c>
    </row>
    <row r="390" spans="1:14" x14ac:dyDescent="0.25">
      <c r="A390" s="50" t="s">
        <v>2427</v>
      </c>
      <c r="B390" s="30" t="s">
        <v>11</v>
      </c>
      <c r="C390" s="30" t="s">
        <v>28</v>
      </c>
      <c r="D390" s="30" t="s">
        <v>1103</v>
      </c>
      <c r="E390" s="30" t="s">
        <v>1104</v>
      </c>
      <c r="F390" s="30">
        <v>1</v>
      </c>
      <c r="G390" s="44">
        <v>4620</v>
      </c>
      <c r="H390" s="30">
        <v>75</v>
      </c>
      <c r="I390" s="44">
        <v>58.7</v>
      </c>
      <c r="J390" s="44">
        <v>4402.5</v>
      </c>
      <c r="K390" s="44">
        <v>9022.5</v>
      </c>
      <c r="L390" s="51">
        <v>20230126</v>
      </c>
      <c r="M390" s="170">
        <f t="shared" si="20"/>
        <v>75.3</v>
      </c>
      <c r="N390" s="171">
        <f t="shared" si="21"/>
        <v>0.29999999999999716</v>
      </c>
    </row>
    <row r="391" spans="1:14" x14ac:dyDescent="0.25">
      <c r="A391" s="50" t="s">
        <v>2429</v>
      </c>
      <c r="B391" s="30" t="s">
        <v>11</v>
      </c>
      <c r="C391" s="30" t="s">
        <v>337</v>
      </c>
      <c r="D391" s="30" t="s">
        <v>162</v>
      </c>
      <c r="E391" s="30" t="s">
        <v>239</v>
      </c>
      <c r="F391" s="30">
        <v>1</v>
      </c>
      <c r="G391" s="44">
        <v>4620</v>
      </c>
      <c r="H391" s="30">
        <v>69</v>
      </c>
      <c r="I391" s="44">
        <v>58.7</v>
      </c>
      <c r="J391" s="44">
        <v>4050.3</v>
      </c>
      <c r="K391" s="44">
        <v>8670.2999999999993</v>
      </c>
      <c r="L391" s="51">
        <v>20230130</v>
      </c>
      <c r="M391" s="170">
        <f t="shared" si="20"/>
        <v>68.8</v>
      </c>
      <c r="N391" s="171">
        <f t="shared" si="21"/>
        <v>-0.20000000000000284</v>
      </c>
    </row>
    <row r="392" spans="1:14" x14ac:dyDescent="0.25">
      <c r="A392" s="50" t="s">
        <v>2426</v>
      </c>
      <c r="B392" s="30" t="s">
        <v>11</v>
      </c>
      <c r="C392" s="30" t="s">
        <v>163</v>
      </c>
      <c r="D392" s="30" t="s">
        <v>164</v>
      </c>
      <c r="E392" s="30" t="s">
        <v>361</v>
      </c>
      <c r="F392" s="30">
        <v>1</v>
      </c>
      <c r="G392" s="44">
        <v>4620</v>
      </c>
      <c r="H392" s="30">
        <v>126</v>
      </c>
      <c r="I392" s="44">
        <v>58.7</v>
      </c>
      <c r="J392" s="44">
        <v>7396.2000000000007</v>
      </c>
      <c r="K392" s="44">
        <v>12016.2</v>
      </c>
      <c r="L392" s="51">
        <v>20230131</v>
      </c>
      <c r="M392" s="170">
        <f t="shared" si="20"/>
        <v>126</v>
      </c>
      <c r="N392" s="171">
        <f t="shared" si="21"/>
        <v>0</v>
      </c>
    </row>
    <row r="393" spans="1:14" x14ac:dyDescent="0.25">
      <c r="N393" s="171"/>
    </row>
    <row r="394" spans="1:14" x14ac:dyDescent="0.25">
      <c r="A394" s="50" t="s">
        <v>2519</v>
      </c>
      <c r="B394" s="30" t="s">
        <v>1209</v>
      </c>
      <c r="C394" s="30" t="s">
        <v>337</v>
      </c>
      <c r="D394" s="30" t="s">
        <v>162</v>
      </c>
      <c r="E394" s="30" t="s">
        <v>2520</v>
      </c>
      <c r="F394" s="30">
        <v>1</v>
      </c>
      <c r="G394" s="44">
        <v>4620</v>
      </c>
      <c r="H394" s="30">
        <v>69</v>
      </c>
      <c r="I394" s="44">
        <v>58.7</v>
      </c>
      <c r="J394" s="44">
        <v>4050.3</v>
      </c>
      <c r="K394" s="44">
        <v>8670.2999999999993</v>
      </c>
      <c r="L394" s="51">
        <v>20230213</v>
      </c>
      <c r="M394" s="170">
        <f t="shared" ref="M394:M397" si="22">VLOOKUP(D394,tablapertex,11,FALSE)</f>
        <v>68.8</v>
      </c>
      <c r="N394" s="171">
        <f t="shared" ref="N394:N418" si="23">M394-H394</f>
        <v>-0.20000000000000284</v>
      </c>
    </row>
    <row r="395" spans="1:14" x14ac:dyDescent="0.25">
      <c r="A395" s="50" t="s">
        <v>2493</v>
      </c>
      <c r="B395" s="30" t="s">
        <v>11</v>
      </c>
      <c r="C395" s="30" t="s">
        <v>28</v>
      </c>
      <c r="D395" s="30" t="s">
        <v>462</v>
      </c>
      <c r="E395" s="30" t="s">
        <v>463</v>
      </c>
      <c r="F395" s="30">
        <v>1</v>
      </c>
      <c r="G395" s="44">
        <v>4620</v>
      </c>
      <c r="H395" s="30">
        <v>45</v>
      </c>
      <c r="I395" s="44">
        <v>58.7</v>
      </c>
      <c r="J395" s="44">
        <v>2641.5</v>
      </c>
      <c r="K395" s="44">
        <v>7261.5</v>
      </c>
      <c r="L395" s="51">
        <v>20230215</v>
      </c>
      <c r="M395" s="170">
        <f t="shared" si="22"/>
        <v>45.4</v>
      </c>
      <c r="N395" s="171">
        <f t="shared" si="23"/>
        <v>0.39999999999999858</v>
      </c>
    </row>
    <row r="396" spans="1:14" x14ac:dyDescent="0.25">
      <c r="A396" s="50" t="s">
        <v>2491</v>
      </c>
      <c r="B396" s="30" t="s">
        <v>11</v>
      </c>
      <c r="C396" s="30" t="s">
        <v>270</v>
      </c>
      <c r="D396" s="30" t="s">
        <v>494</v>
      </c>
      <c r="E396" s="30" t="s">
        <v>495</v>
      </c>
      <c r="F396" s="30">
        <v>1</v>
      </c>
      <c r="G396" s="44">
        <v>4620</v>
      </c>
      <c r="H396" s="30">
        <v>123</v>
      </c>
      <c r="I396" s="44">
        <v>58.7</v>
      </c>
      <c r="J396" s="44">
        <v>7220.1</v>
      </c>
      <c r="K396" s="44">
        <v>11840.1</v>
      </c>
      <c r="L396" s="51">
        <v>20230216</v>
      </c>
      <c r="M396" s="170">
        <f t="shared" si="22"/>
        <v>123</v>
      </c>
      <c r="N396" s="171">
        <f t="shared" si="23"/>
        <v>0</v>
      </c>
    </row>
    <row r="397" spans="1:14" x14ac:dyDescent="0.25">
      <c r="A397" s="50" t="s">
        <v>2488</v>
      </c>
      <c r="B397" s="30" t="s">
        <v>11</v>
      </c>
      <c r="C397" s="30" t="s">
        <v>163</v>
      </c>
      <c r="D397" s="30" t="s">
        <v>164</v>
      </c>
      <c r="E397" s="30" t="s">
        <v>448</v>
      </c>
      <c r="F397" s="30">
        <v>1</v>
      </c>
      <c r="G397" s="44">
        <v>4620</v>
      </c>
      <c r="H397" s="30">
        <v>126</v>
      </c>
      <c r="I397" s="44">
        <v>58.7</v>
      </c>
      <c r="J397" s="44">
        <v>7396.2000000000007</v>
      </c>
      <c r="K397" s="44">
        <v>12016.2</v>
      </c>
      <c r="L397" s="51">
        <v>20230223</v>
      </c>
      <c r="M397" s="170">
        <f t="shared" si="22"/>
        <v>126</v>
      </c>
      <c r="N397" s="171">
        <f t="shared" si="23"/>
        <v>0</v>
      </c>
    </row>
    <row r="398" spans="1:14" x14ac:dyDescent="0.25">
      <c r="N398" s="171"/>
    </row>
    <row r="399" spans="1:14" x14ac:dyDescent="0.25">
      <c r="A399" s="50" t="s">
        <v>2575</v>
      </c>
      <c r="B399" s="30" t="s">
        <v>11</v>
      </c>
      <c r="C399" s="30" t="s">
        <v>28</v>
      </c>
      <c r="D399" s="30" t="s">
        <v>396</v>
      </c>
      <c r="E399" s="30" t="s">
        <v>397</v>
      </c>
      <c r="F399" s="30">
        <v>1</v>
      </c>
      <c r="G399" s="44">
        <v>4620</v>
      </c>
      <c r="H399" s="30">
        <v>87</v>
      </c>
      <c r="I399" s="44">
        <v>58.7</v>
      </c>
      <c r="J399" s="44">
        <v>5106.9000000000005</v>
      </c>
      <c r="K399" s="44">
        <v>9726.9000000000015</v>
      </c>
      <c r="L399" s="51">
        <v>20230306</v>
      </c>
      <c r="M399" s="170">
        <v>87</v>
      </c>
      <c r="N399" s="171">
        <f t="shared" si="23"/>
        <v>0</v>
      </c>
    </row>
    <row r="400" spans="1:14" x14ac:dyDescent="0.25">
      <c r="A400" s="50" t="s">
        <v>2574</v>
      </c>
      <c r="B400" s="30" t="s">
        <v>11</v>
      </c>
      <c r="C400" s="30" t="s">
        <v>337</v>
      </c>
      <c r="D400" s="30" t="s">
        <v>162</v>
      </c>
      <c r="E400" s="30" t="s">
        <v>2520</v>
      </c>
      <c r="F400" s="30">
        <v>1</v>
      </c>
      <c r="G400" s="44">
        <v>4620</v>
      </c>
      <c r="H400" s="30">
        <v>69</v>
      </c>
      <c r="I400" s="44">
        <v>58.7</v>
      </c>
      <c r="J400" s="44">
        <v>4050.3</v>
      </c>
      <c r="K400" s="44">
        <v>8670.2999999999993</v>
      </c>
      <c r="L400" s="51">
        <v>20230314</v>
      </c>
      <c r="M400" s="170">
        <v>69</v>
      </c>
      <c r="N400" s="171">
        <f t="shared" si="23"/>
        <v>0</v>
      </c>
    </row>
    <row r="401" spans="1:15" x14ac:dyDescent="0.25">
      <c r="A401" s="121" t="s">
        <v>2576</v>
      </c>
      <c r="B401" s="122" t="s">
        <v>892</v>
      </c>
      <c r="C401" s="122" t="s">
        <v>26</v>
      </c>
      <c r="D401" s="122" t="s">
        <v>226</v>
      </c>
      <c r="E401" s="122" t="s">
        <v>730</v>
      </c>
      <c r="F401" s="122">
        <v>1</v>
      </c>
      <c r="G401" s="123">
        <v>11550</v>
      </c>
      <c r="H401" s="122">
        <v>447</v>
      </c>
      <c r="I401" s="123">
        <v>58.7</v>
      </c>
      <c r="J401" s="123">
        <v>26238.9</v>
      </c>
      <c r="K401" s="123">
        <v>37788.9</v>
      </c>
      <c r="L401" s="124">
        <v>20230317</v>
      </c>
      <c r="M401" s="170">
        <v>149</v>
      </c>
      <c r="N401" s="171">
        <f t="shared" si="23"/>
        <v>-298</v>
      </c>
      <c r="O401" s="25" t="s">
        <v>2577</v>
      </c>
    </row>
    <row r="402" spans="1:15" x14ac:dyDescent="0.25">
      <c r="A402" s="50" t="s">
        <v>2556</v>
      </c>
      <c r="B402" s="30" t="s">
        <v>11</v>
      </c>
      <c r="C402" s="30" t="s">
        <v>163</v>
      </c>
      <c r="D402" s="30" t="s">
        <v>164</v>
      </c>
      <c r="E402" s="30" t="s">
        <v>454</v>
      </c>
      <c r="F402" s="30">
        <v>1</v>
      </c>
      <c r="G402" s="44">
        <v>4620</v>
      </c>
      <c r="H402" s="30">
        <v>126</v>
      </c>
      <c r="I402" s="44">
        <v>58.7</v>
      </c>
      <c r="J402" s="44">
        <v>7396.2000000000007</v>
      </c>
      <c r="K402" s="44">
        <v>12016.2</v>
      </c>
      <c r="L402" s="51">
        <v>20230320</v>
      </c>
      <c r="M402" s="170">
        <v>126</v>
      </c>
      <c r="N402" s="171">
        <f t="shared" si="23"/>
        <v>0</v>
      </c>
    </row>
    <row r="403" spans="1:15" x14ac:dyDescent="0.25">
      <c r="A403" s="50" t="s">
        <v>2561</v>
      </c>
      <c r="B403" s="30" t="s">
        <v>11</v>
      </c>
      <c r="C403" s="30" t="s">
        <v>29</v>
      </c>
      <c r="D403" s="30" t="s">
        <v>30</v>
      </c>
      <c r="E403" s="30" t="s">
        <v>509</v>
      </c>
      <c r="F403" s="30">
        <v>1</v>
      </c>
      <c r="G403" s="44">
        <v>4620</v>
      </c>
      <c r="H403" s="30">
        <v>150</v>
      </c>
      <c r="I403" s="44">
        <v>58.7</v>
      </c>
      <c r="J403" s="44">
        <v>8805</v>
      </c>
      <c r="K403" s="44">
        <v>13425</v>
      </c>
      <c r="L403" s="51">
        <v>20230322</v>
      </c>
      <c r="M403" s="170">
        <v>150</v>
      </c>
      <c r="N403" s="171">
        <f t="shared" si="23"/>
        <v>0</v>
      </c>
    </row>
    <row r="404" spans="1:15" x14ac:dyDescent="0.25">
      <c r="A404" s="50" t="s">
        <v>2549</v>
      </c>
      <c r="B404" s="30" t="s">
        <v>11</v>
      </c>
      <c r="C404" s="30" t="s">
        <v>163</v>
      </c>
      <c r="D404" s="30" t="s">
        <v>164</v>
      </c>
      <c r="E404" s="30" t="s">
        <v>187</v>
      </c>
      <c r="F404" s="30">
        <v>1</v>
      </c>
      <c r="G404" s="44">
        <v>4620</v>
      </c>
      <c r="H404" s="30">
        <v>126</v>
      </c>
      <c r="I404" s="44">
        <v>58.7</v>
      </c>
      <c r="J404" s="44">
        <v>7396.2000000000007</v>
      </c>
      <c r="K404" s="44">
        <v>12016.2</v>
      </c>
      <c r="L404" s="51">
        <v>20230323</v>
      </c>
      <c r="M404" s="170">
        <v>126</v>
      </c>
      <c r="N404" s="171">
        <f t="shared" si="23"/>
        <v>0</v>
      </c>
    </row>
    <row r="405" spans="1:15" x14ac:dyDescent="0.25">
      <c r="N405" s="171"/>
    </row>
    <row r="406" spans="1:15" x14ac:dyDescent="0.25">
      <c r="N406" s="171"/>
    </row>
    <row r="407" spans="1:15" x14ac:dyDescent="0.25">
      <c r="A407" s="50" t="s">
        <v>2622</v>
      </c>
      <c r="B407" s="30" t="s">
        <v>11</v>
      </c>
      <c r="C407" s="30" t="s">
        <v>337</v>
      </c>
      <c r="D407" s="30" t="s">
        <v>162</v>
      </c>
      <c r="E407" s="30" t="s">
        <v>239</v>
      </c>
      <c r="F407" s="30">
        <v>1</v>
      </c>
      <c r="G407" s="44">
        <v>5489</v>
      </c>
      <c r="H407" s="30">
        <v>159</v>
      </c>
      <c r="I407" s="44">
        <v>69.400000000000006</v>
      </c>
      <c r="J407" s="44">
        <v>11034.6</v>
      </c>
      <c r="K407" s="44">
        <v>16523.599999999999</v>
      </c>
      <c r="L407" s="51">
        <v>20230413</v>
      </c>
      <c r="M407" s="170">
        <v>69</v>
      </c>
      <c r="N407" s="171">
        <f t="shared" si="23"/>
        <v>-90</v>
      </c>
    </row>
    <row r="408" spans="1:15" x14ac:dyDescent="0.25">
      <c r="A408" s="50" t="s">
        <v>2639</v>
      </c>
      <c r="B408" s="30" t="s">
        <v>11</v>
      </c>
      <c r="C408" s="30" t="s">
        <v>34</v>
      </c>
      <c r="D408" s="30" t="s">
        <v>35</v>
      </c>
      <c r="E408" s="30" t="s">
        <v>968</v>
      </c>
      <c r="F408" s="30">
        <v>1</v>
      </c>
      <c r="G408" s="44">
        <v>5489</v>
      </c>
      <c r="H408" s="30">
        <v>78</v>
      </c>
      <c r="I408" s="44">
        <v>69.400000000000006</v>
      </c>
      <c r="J408" s="44">
        <v>5413.2000000000007</v>
      </c>
      <c r="K408" s="44">
        <v>10902.2</v>
      </c>
      <c r="L408" s="51">
        <v>20230417</v>
      </c>
      <c r="M408" s="170">
        <v>78</v>
      </c>
      <c r="N408" s="171">
        <f t="shared" si="23"/>
        <v>0</v>
      </c>
    </row>
    <row r="409" spans="1:15" x14ac:dyDescent="0.25">
      <c r="A409" s="50" t="s">
        <v>2616</v>
      </c>
      <c r="B409" s="30" t="s">
        <v>11</v>
      </c>
      <c r="C409" s="30" t="s">
        <v>337</v>
      </c>
      <c r="D409" s="30" t="s">
        <v>162</v>
      </c>
      <c r="E409" s="30" t="s">
        <v>2520</v>
      </c>
      <c r="F409" s="30">
        <v>1</v>
      </c>
      <c r="G409" s="44">
        <v>5489</v>
      </c>
      <c r="H409" s="30">
        <v>69</v>
      </c>
      <c r="I409" s="44">
        <v>69.400000000000006</v>
      </c>
      <c r="J409" s="44">
        <v>4788.6000000000004</v>
      </c>
      <c r="K409" s="44">
        <v>10277.6</v>
      </c>
      <c r="L409" s="51">
        <v>20230421</v>
      </c>
      <c r="M409" s="170">
        <v>69</v>
      </c>
      <c r="N409" s="171">
        <f t="shared" si="23"/>
        <v>0</v>
      </c>
    </row>
    <row r="410" spans="1:15" x14ac:dyDescent="0.25">
      <c r="A410" s="50" t="s">
        <v>2613</v>
      </c>
      <c r="B410" s="30" t="s">
        <v>11</v>
      </c>
      <c r="C410" s="30" t="s">
        <v>28</v>
      </c>
      <c r="D410" s="30" t="s">
        <v>1183</v>
      </c>
      <c r="E410" s="30" t="s">
        <v>1184</v>
      </c>
      <c r="F410" s="30">
        <v>1</v>
      </c>
      <c r="G410" s="44">
        <v>5489</v>
      </c>
      <c r="H410" s="30">
        <v>138</v>
      </c>
      <c r="I410" s="44">
        <v>69.400000000000006</v>
      </c>
      <c r="J410" s="44">
        <v>9577.2000000000007</v>
      </c>
      <c r="K410" s="44">
        <v>15066.2</v>
      </c>
      <c r="L410" s="51">
        <v>20230424</v>
      </c>
      <c r="M410" s="170">
        <v>138</v>
      </c>
      <c r="N410" s="171">
        <f t="shared" si="23"/>
        <v>0</v>
      </c>
    </row>
    <row r="411" spans="1:15" x14ac:dyDescent="0.25">
      <c r="A411" s="50" t="s">
        <v>2588</v>
      </c>
      <c r="B411" s="30" t="s">
        <v>11</v>
      </c>
      <c r="C411" s="30" t="s">
        <v>28</v>
      </c>
      <c r="D411" s="30" t="s">
        <v>1297</v>
      </c>
      <c r="E411" s="30" t="s">
        <v>1298</v>
      </c>
      <c r="F411" s="30">
        <v>1</v>
      </c>
      <c r="G411" s="44">
        <v>5489</v>
      </c>
      <c r="H411" s="30">
        <v>32</v>
      </c>
      <c r="I411" s="44">
        <v>69.400000000000006</v>
      </c>
      <c r="J411" s="44">
        <v>2220.8000000000002</v>
      </c>
      <c r="K411" s="44">
        <v>7709.8</v>
      </c>
      <c r="L411" s="51">
        <v>20230425</v>
      </c>
      <c r="M411" s="170">
        <v>32</v>
      </c>
      <c r="N411" s="171">
        <f t="shared" si="23"/>
        <v>0</v>
      </c>
    </row>
    <row r="412" spans="1:15" x14ac:dyDescent="0.25">
      <c r="N412" s="171">
        <f t="shared" si="23"/>
        <v>0</v>
      </c>
    </row>
    <row r="413" spans="1:15" x14ac:dyDescent="0.25">
      <c r="A413" s="50" t="s">
        <v>2698</v>
      </c>
      <c r="B413" s="30" t="s">
        <v>11</v>
      </c>
      <c r="C413" s="30" t="s">
        <v>28</v>
      </c>
      <c r="D413" s="30" t="s">
        <v>267</v>
      </c>
      <c r="E413" s="30" t="s">
        <v>268</v>
      </c>
      <c r="F413" s="30">
        <v>1</v>
      </c>
      <c r="G413" s="44">
        <v>5489</v>
      </c>
      <c r="H413" s="30">
        <v>146</v>
      </c>
      <c r="I413" s="44">
        <v>69.400000000000006</v>
      </c>
      <c r="J413" s="44">
        <v>10132.400000000001</v>
      </c>
      <c r="K413" s="44">
        <v>15621.400000000001</v>
      </c>
      <c r="L413" s="51">
        <v>20230502</v>
      </c>
      <c r="M413" s="170">
        <v>146</v>
      </c>
      <c r="N413" s="171">
        <f t="shared" si="23"/>
        <v>0</v>
      </c>
    </row>
    <row r="414" spans="1:15" s="42" customFormat="1" x14ac:dyDescent="0.25">
      <c r="A414" s="52" t="s">
        <v>2690</v>
      </c>
      <c r="B414" s="32" t="s">
        <v>137</v>
      </c>
      <c r="C414" s="32" t="s">
        <v>270</v>
      </c>
      <c r="D414" s="32" t="s">
        <v>494</v>
      </c>
      <c r="E414" s="32" t="s">
        <v>596</v>
      </c>
      <c r="F414" s="32">
        <v>1</v>
      </c>
      <c r="G414" s="45">
        <v>2744</v>
      </c>
      <c r="H414" s="32">
        <v>137</v>
      </c>
      <c r="I414" s="45">
        <v>69.400000000000006</v>
      </c>
      <c r="J414" s="45">
        <v>9507.8000000000011</v>
      </c>
      <c r="K414" s="45">
        <v>12251.800000000001</v>
      </c>
      <c r="L414" s="53">
        <v>20230505</v>
      </c>
      <c r="M414" s="172">
        <v>129</v>
      </c>
      <c r="N414" s="173">
        <f t="shared" si="23"/>
        <v>-8</v>
      </c>
    </row>
    <row r="415" spans="1:15" x14ac:dyDescent="0.25">
      <c r="A415" s="50" t="s">
        <v>2680</v>
      </c>
      <c r="B415" s="30" t="s">
        <v>11</v>
      </c>
      <c r="C415" s="30" t="s">
        <v>34</v>
      </c>
      <c r="D415" s="30" t="s">
        <v>35</v>
      </c>
      <c r="E415" s="30" t="s">
        <v>2681</v>
      </c>
      <c r="F415" s="30">
        <v>1</v>
      </c>
      <c r="G415" s="44">
        <v>5489</v>
      </c>
      <c r="H415" s="30">
        <v>78</v>
      </c>
      <c r="I415" s="44">
        <v>69.400000000000006</v>
      </c>
      <c r="J415" s="44">
        <v>5413.2000000000007</v>
      </c>
      <c r="K415" s="44">
        <v>10902.2</v>
      </c>
      <c r="L415" s="51">
        <v>20230510</v>
      </c>
      <c r="M415" s="170">
        <v>78</v>
      </c>
      <c r="N415" s="171">
        <f t="shared" si="23"/>
        <v>0</v>
      </c>
    </row>
    <row r="416" spans="1:15" x14ac:dyDescent="0.25">
      <c r="A416" s="50" t="s">
        <v>2682</v>
      </c>
      <c r="B416" s="30" t="s">
        <v>11</v>
      </c>
      <c r="C416" s="30" t="s">
        <v>337</v>
      </c>
      <c r="D416" s="30" t="s">
        <v>162</v>
      </c>
      <c r="E416" s="30" t="s">
        <v>2520</v>
      </c>
      <c r="F416" s="30">
        <v>1</v>
      </c>
      <c r="G416" s="44">
        <v>5489</v>
      </c>
      <c r="H416" s="30">
        <v>69</v>
      </c>
      <c r="I416" s="44">
        <v>69.400000000000006</v>
      </c>
      <c r="J416" s="44">
        <v>4788.6000000000004</v>
      </c>
      <c r="K416" s="44">
        <v>10277.6</v>
      </c>
      <c r="L416" s="51">
        <v>20230512</v>
      </c>
      <c r="M416" s="170">
        <v>69</v>
      </c>
      <c r="N416" s="171">
        <f t="shared" si="23"/>
        <v>0</v>
      </c>
    </row>
    <row r="417" spans="1:15" x14ac:dyDescent="0.25">
      <c r="A417" s="50" t="s">
        <v>2665</v>
      </c>
      <c r="B417" s="30" t="s">
        <v>137</v>
      </c>
      <c r="C417" s="30" t="s">
        <v>163</v>
      </c>
      <c r="D417" s="30" t="s">
        <v>164</v>
      </c>
      <c r="E417" s="30" t="s">
        <v>185</v>
      </c>
      <c r="F417" s="30">
        <v>1</v>
      </c>
      <c r="G417" s="44">
        <v>2744</v>
      </c>
      <c r="H417" s="30">
        <v>126</v>
      </c>
      <c r="I417" s="44">
        <v>69.400000000000006</v>
      </c>
      <c r="J417" s="44">
        <v>8744.4000000000015</v>
      </c>
      <c r="K417" s="44">
        <v>11488.400000000001</v>
      </c>
      <c r="L417" s="51">
        <v>20230523</v>
      </c>
      <c r="M417" s="170">
        <v>126</v>
      </c>
      <c r="N417" s="171">
        <f t="shared" si="23"/>
        <v>0</v>
      </c>
    </row>
    <row r="418" spans="1:15" x14ac:dyDescent="0.25">
      <c r="A418" s="50" t="s">
        <v>2654</v>
      </c>
      <c r="B418" s="30" t="s">
        <v>11</v>
      </c>
      <c r="C418" s="30" t="s">
        <v>26</v>
      </c>
      <c r="D418" s="30" t="s">
        <v>497</v>
      </c>
      <c r="E418" s="30" t="s">
        <v>2282</v>
      </c>
      <c r="F418" s="30">
        <v>1</v>
      </c>
      <c r="G418" s="44">
        <v>5489</v>
      </c>
      <c r="H418" s="30">
        <v>148</v>
      </c>
      <c r="I418" s="44">
        <v>69.400000000000006</v>
      </c>
      <c r="J418" s="44">
        <v>10271.200000000001</v>
      </c>
      <c r="K418" s="44">
        <v>15760.2</v>
      </c>
      <c r="L418" s="51">
        <v>20230531</v>
      </c>
      <c r="M418" s="170">
        <v>148</v>
      </c>
      <c r="N418" s="171">
        <f t="shared" si="23"/>
        <v>0</v>
      </c>
    </row>
    <row r="421" spans="1:15" s="204" customFormat="1" x14ac:dyDescent="0.25">
      <c r="A421" s="199" t="s">
        <v>2739</v>
      </c>
      <c r="B421" s="200" t="s">
        <v>11</v>
      </c>
      <c r="C421" s="200" t="s">
        <v>28</v>
      </c>
      <c r="D421" s="200" t="s">
        <v>462</v>
      </c>
      <c r="E421" s="200" t="s">
        <v>463</v>
      </c>
      <c r="F421" s="200">
        <v>1</v>
      </c>
      <c r="G421" s="201">
        <v>5489</v>
      </c>
      <c r="H421" s="200">
        <v>45</v>
      </c>
      <c r="I421" s="201">
        <v>69.400000000000006</v>
      </c>
      <c r="J421" s="201">
        <v>3123.0000000000005</v>
      </c>
      <c r="K421" s="201">
        <v>8612</v>
      </c>
      <c r="L421" s="202">
        <v>20230605</v>
      </c>
      <c r="M421" s="203">
        <f>VLOOKUP(D421,tablapertex,11,FALSE)</f>
        <v>45.4</v>
      </c>
      <c r="N421" s="203">
        <f>M421-H421</f>
        <v>0.39999999999999858</v>
      </c>
      <c r="O421" s="204" t="s">
        <v>2751</v>
      </c>
    </row>
    <row r="422" spans="1:15" x14ac:dyDescent="0.25">
      <c r="A422" s="50" t="s">
        <v>2748</v>
      </c>
      <c r="B422" s="30" t="s">
        <v>11</v>
      </c>
      <c r="C422" s="30" t="s">
        <v>34</v>
      </c>
      <c r="D422" s="30" t="s">
        <v>35</v>
      </c>
      <c r="E422" s="30" t="s">
        <v>2681</v>
      </c>
      <c r="F422" s="30">
        <v>1</v>
      </c>
      <c r="G422" s="44">
        <v>5489</v>
      </c>
      <c r="H422" s="30">
        <v>78</v>
      </c>
      <c r="I422" s="44">
        <v>69.400000000000006</v>
      </c>
      <c r="J422" s="44">
        <v>5413.2000000000007</v>
      </c>
      <c r="K422" s="44">
        <v>10902.2</v>
      </c>
      <c r="L422" s="51">
        <v>20230605</v>
      </c>
      <c r="M422" s="170">
        <v>78</v>
      </c>
      <c r="N422" s="171">
        <f t="shared" ref="N422:N432" si="24">M422-H422</f>
        <v>0</v>
      </c>
    </row>
    <row r="423" spans="1:15" x14ac:dyDescent="0.25">
      <c r="A423" s="50" t="s">
        <v>2738</v>
      </c>
      <c r="B423" s="30" t="s">
        <v>11</v>
      </c>
      <c r="C423" s="30" t="s">
        <v>337</v>
      </c>
      <c r="D423" s="30" t="s">
        <v>162</v>
      </c>
      <c r="E423" s="30" t="s">
        <v>2520</v>
      </c>
      <c r="F423" s="30">
        <v>1</v>
      </c>
      <c r="G423" s="44">
        <v>5489</v>
      </c>
      <c r="H423" s="30">
        <v>69</v>
      </c>
      <c r="I423" s="44">
        <v>69.400000000000006</v>
      </c>
      <c r="J423" s="44">
        <v>4788.6000000000004</v>
      </c>
      <c r="K423" s="44">
        <v>10277.6</v>
      </c>
      <c r="L423" s="51">
        <v>20230607</v>
      </c>
      <c r="M423" s="170">
        <f>VLOOKUP(D423,tablapertex,11,FALSE)</f>
        <v>68.8</v>
      </c>
      <c r="N423" s="171">
        <f t="shared" si="24"/>
        <v>-0.20000000000000284</v>
      </c>
    </row>
    <row r="424" spans="1:15" s="204" customFormat="1" x14ac:dyDescent="0.25">
      <c r="A424" s="199" t="s">
        <v>2733</v>
      </c>
      <c r="B424" s="200" t="s">
        <v>11</v>
      </c>
      <c r="C424" s="200" t="s">
        <v>29</v>
      </c>
      <c r="D424" s="200" t="s">
        <v>148</v>
      </c>
      <c r="E424" s="200" t="s">
        <v>1248</v>
      </c>
      <c r="F424" s="200">
        <v>1</v>
      </c>
      <c r="G424" s="201">
        <v>5489</v>
      </c>
      <c r="H424" s="200">
        <v>56</v>
      </c>
      <c r="I424" s="201">
        <v>69.400000000000006</v>
      </c>
      <c r="J424" s="201">
        <v>3886.4000000000005</v>
      </c>
      <c r="K424" s="201">
        <v>9375.4000000000015</v>
      </c>
      <c r="L424" s="202">
        <v>20230607</v>
      </c>
      <c r="M424" s="203">
        <f>VLOOKUP(D424,tablapertex,11,FALSE)</f>
        <v>56.1</v>
      </c>
      <c r="N424" s="203">
        <f t="shared" si="24"/>
        <v>0.10000000000000142</v>
      </c>
      <c r="O424" s="204" t="s">
        <v>2752</v>
      </c>
    </row>
    <row r="425" spans="1:15" s="26" customFormat="1" x14ac:dyDescent="0.25">
      <c r="A425" s="121" t="s">
        <v>2718</v>
      </c>
      <c r="B425" s="122" t="s">
        <v>137</v>
      </c>
      <c r="C425" s="122" t="s">
        <v>270</v>
      </c>
      <c r="D425" s="122" t="s">
        <v>271</v>
      </c>
      <c r="E425" s="122" t="s">
        <v>272</v>
      </c>
      <c r="F425" s="122">
        <v>1</v>
      </c>
      <c r="G425" s="123">
        <v>2744</v>
      </c>
      <c r="H425" s="122">
        <v>251</v>
      </c>
      <c r="I425" s="123">
        <v>69.400000000000006</v>
      </c>
      <c r="J425" s="123">
        <f>I425*H425</f>
        <v>17419.400000000001</v>
      </c>
      <c r="K425" s="123">
        <f>J425+G425</f>
        <v>20163.400000000001</v>
      </c>
      <c r="L425" s="124">
        <v>20230612</v>
      </c>
      <c r="M425" s="170">
        <v>251</v>
      </c>
      <c r="N425" s="171">
        <f t="shared" si="24"/>
        <v>0</v>
      </c>
      <c r="O425" s="26" t="s">
        <v>2753</v>
      </c>
    </row>
    <row r="426" spans="1:15" s="198" customFormat="1" x14ac:dyDescent="0.25">
      <c r="A426" s="193" t="s">
        <v>2731</v>
      </c>
      <c r="B426" s="194" t="s">
        <v>11</v>
      </c>
      <c r="C426" s="194" t="s">
        <v>163</v>
      </c>
      <c r="D426" s="194" t="s">
        <v>164</v>
      </c>
      <c r="E426" s="194" t="s">
        <v>244</v>
      </c>
      <c r="F426" s="194">
        <v>1</v>
      </c>
      <c r="G426" s="195">
        <v>5489</v>
      </c>
      <c r="H426" s="194">
        <v>126</v>
      </c>
      <c r="I426" s="195">
        <v>69.400000000000006</v>
      </c>
      <c r="J426" s="195">
        <v>8744.4000000000015</v>
      </c>
      <c r="K426" s="195">
        <v>14233.400000000001</v>
      </c>
      <c r="L426" s="196">
        <v>20230613</v>
      </c>
      <c r="M426" s="203">
        <f>VLOOKUP(D426,tablapertex,11,FALSE)</f>
        <v>126</v>
      </c>
      <c r="N426" s="197">
        <f>M426-H426</f>
        <v>0</v>
      </c>
      <c r="O426" s="198" t="s">
        <v>2755</v>
      </c>
    </row>
    <row r="427" spans="1:15" s="198" customFormat="1" x14ac:dyDescent="0.25">
      <c r="A427" s="193" t="s">
        <v>2724</v>
      </c>
      <c r="B427" s="194" t="s">
        <v>11</v>
      </c>
      <c r="C427" s="194" t="s">
        <v>163</v>
      </c>
      <c r="D427" s="194" t="s">
        <v>164</v>
      </c>
      <c r="E427" s="194" t="s">
        <v>478</v>
      </c>
      <c r="F427" s="194">
        <v>1</v>
      </c>
      <c r="G427" s="195">
        <v>5489</v>
      </c>
      <c r="H427" s="194">
        <v>126</v>
      </c>
      <c r="I427" s="195">
        <v>69.400000000000006</v>
      </c>
      <c r="J427" s="195">
        <v>8744.4000000000015</v>
      </c>
      <c r="K427" s="195">
        <v>14233.400000000001</v>
      </c>
      <c r="L427" s="196">
        <v>20230613</v>
      </c>
      <c r="M427" s="203">
        <f>VLOOKUP(D427,tablapertex,11,FALSE)</f>
        <v>126</v>
      </c>
      <c r="N427" s="197">
        <f>M427-H427</f>
        <v>0</v>
      </c>
      <c r="O427" s="198" t="s">
        <v>2754</v>
      </c>
    </row>
    <row r="428" spans="1:15" s="26" customFormat="1" x14ac:dyDescent="0.25">
      <c r="A428" s="121" t="s">
        <v>2729</v>
      </c>
      <c r="B428" s="122" t="s">
        <v>11</v>
      </c>
      <c r="C428" s="122" t="s">
        <v>337</v>
      </c>
      <c r="D428" s="122" t="s">
        <v>162</v>
      </c>
      <c r="E428" s="122" t="s">
        <v>219</v>
      </c>
      <c r="F428" s="122">
        <v>1</v>
      </c>
      <c r="G428" s="123">
        <v>5489</v>
      </c>
      <c r="H428" s="122">
        <v>69</v>
      </c>
      <c r="I428" s="123">
        <v>69.400000000000006</v>
      </c>
      <c r="J428" s="123">
        <v>4788.6000000000004</v>
      </c>
      <c r="K428" s="123">
        <v>10277.6</v>
      </c>
      <c r="L428" s="124">
        <v>20230613</v>
      </c>
      <c r="M428" s="170">
        <f>VLOOKUP(D428,tablapertex,11,FALSE)</f>
        <v>68.8</v>
      </c>
      <c r="N428" s="171">
        <f t="shared" si="24"/>
        <v>-0.20000000000000284</v>
      </c>
    </row>
    <row r="429" spans="1:15" s="198" customFormat="1" x14ac:dyDescent="0.25">
      <c r="A429" s="193" t="s">
        <v>2727</v>
      </c>
      <c r="B429" s="194" t="s">
        <v>11</v>
      </c>
      <c r="C429" s="194" t="s">
        <v>29</v>
      </c>
      <c r="D429" s="194" t="s">
        <v>148</v>
      </c>
      <c r="E429" s="194" t="s">
        <v>1248</v>
      </c>
      <c r="F429" s="194">
        <v>1</v>
      </c>
      <c r="G429" s="195">
        <v>5489</v>
      </c>
      <c r="H429" s="194">
        <v>56</v>
      </c>
      <c r="I429" s="195">
        <v>69.400000000000006</v>
      </c>
      <c r="J429" s="195">
        <v>3886.4000000000005</v>
      </c>
      <c r="K429" s="195">
        <v>9375.4000000000015</v>
      </c>
      <c r="L429" s="196">
        <v>20230613</v>
      </c>
      <c r="M429" s="203">
        <f>VLOOKUP(D429,tablapertex,11,FALSE)</f>
        <v>56.1</v>
      </c>
      <c r="N429" s="197">
        <f t="shared" si="24"/>
        <v>0.10000000000000142</v>
      </c>
      <c r="O429" s="204" t="s">
        <v>2756</v>
      </c>
    </row>
    <row r="430" spans="1:15" x14ac:dyDescent="0.25">
      <c r="A430" s="50" t="s">
        <v>2734</v>
      </c>
      <c r="B430" s="30" t="s">
        <v>1209</v>
      </c>
      <c r="C430" s="30" t="s">
        <v>1450</v>
      </c>
      <c r="D430" s="30" t="s">
        <v>169</v>
      </c>
      <c r="E430" s="30" t="s">
        <v>1598</v>
      </c>
      <c r="F430" s="30">
        <v>1</v>
      </c>
      <c r="G430" s="44">
        <v>5489</v>
      </c>
      <c r="H430" s="30">
        <v>148</v>
      </c>
      <c r="I430" s="44">
        <v>69.400000000000006</v>
      </c>
      <c r="J430" s="44">
        <v>10271.200000000001</v>
      </c>
      <c r="K430" s="44">
        <v>15760.2</v>
      </c>
      <c r="L430" s="51">
        <v>20230615</v>
      </c>
      <c r="M430" s="170">
        <v>148</v>
      </c>
      <c r="N430" s="171">
        <f t="shared" si="24"/>
        <v>0</v>
      </c>
    </row>
    <row r="431" spans="1:15" x14ac:dyDescent="0.25">
      <c r="A431" s="50" t="s">
        <v>2714</v>
      </c>
      <c r="B431" s="30" t="s">
        <v>11</v>
      </c>
      <c r="C431" s="30" t="s">
        <v>337</v>
      </c>
      <c r="D431" s="30" t="s">
        <v>162</v>
      </c>
      <c r="E431" s="30" t="s">
        <v>219</v>
      </c>
      <c r="F431" s="30">
        <v>1</v>
      </c>
      <c r="G431" s="44">
        <v>5489</v>
      </c>
      <c r="H431" s="30">
        <v>69</v>
      </c>
      <c r="I431" s="44">
        <v>69.400000000000006</v>
      </c>
      <c r="J431" s="44">
        <v>4788.6000000000004</v>
      </c>
      <c r="K431" s="44">
        <v>10277.6</v>
      </c>
      <c r="L431" s="51">
        <v>20230623</v>
      </c>
      <c r="M431" s="170">
        <f>VLOOKUP(D431,tablapertex,11,FALSE)</f>
        <v>68.8</v>
      </c>
      <c r="N431" s="171">
        <f t="shared" si="24"/>
        <v>-0.20000000000000284</v>
      </c>
    </row>
    <row r="432" spans="1:15" x14ac:dyDescent="0.25">
      <c r="A432" s="50" t="s">
        <v>2709</v>
      </c>
      <c r="B432" s="30" t="s">
        <v>11</v>
      </c>
      <c r="C432" s="30" t="s">
        <v>163</v>
      </c>
      <c r="D432" s="30" t="s">
        <v>164</v>
      </c>
      <c r="E432" s="30" t="s">
        <v>1115</v>
      </c>
      <c r="F432" s="30">
        <v>1</v>
      </c>
      <c r="G432" s="44">
        <v>5489</v>
      </c>
      <c r="H432" s="30">
        <v>126</v>
      </c>
      <c r="I432" s="44">
        <v>69.400000000000006</v>
      </c>
      <c r="J432" s="44">
        <v>8744.4000000000015</v>
      </c>
      <c r="K432" s="44">
        <v>14233.400000000001</v>
      </c>
      <c r="L432" s="51">
        <v>20230629</v>
      </c>
      <c r="M432" s="170">
        <f>VLOOKUP(D432,tablapertex,11,FALSE)</f>
        <v>126</v>
      </c>
      <c r="N432" s="171">
        <f t="shared" si="24"/>
        <v>0</v>
      </c>
    </row>
    <row r="433" spans="1:15" x14ac:dyDescent="0.25">
      <c r="N433" s="171"/>
    </row>
    <row r="434" spans="1:15" x14ac:dyDescent="0.25">
      <c r="N434" s="171"/>
      <c r="O434" s="170"/>
    </row>
    <row r="435" spans="1:15" s="211" customFormat="1" x14ac:dyDescent="0.25">
      <c r="A435" s="205" t="s">
        <v>2798</v>
      </c>
      <c r="B435" s="206" t="s">
        <v>11</v>
      </c>
      <c r="C435" s="206" t="s">
        <v>29</v>
      </c>
      <c r="D435" s="206" t="s">
        <v>241</v>
      </c>
      <c r="E435" s="206" t="s">
        <v>242</v>
      </c>
      <c r="F435" s="206">
        <v>1</v>
      </c>
      <c r="G435" s="207">
        <v>7000</v>
      </c>
      <c r="H435" s="206">
        <v>149</v>
      </c>
      <c r="I435" s="207">
        <v>86</v>
      </c>
      <c r="J435" s="207">
        <v>12814</v>
      </c>
      <c r="K435" s="207">
        <v>19814</v>
      </c>
      <c r="L435" s="208">
        <v>20230704</v>
      </c>
      <c r="M435" s="209">
        <f t="shared" ref="M435:M440" si="25">VLOOKUP(D435,tablapertex,11,FALSE)</f>
        <v>149</v>
      </c>
      <c r="N435" s="210">
        <f t="shared" ref="N435:N440" si="26">M435-H435</f>
        <v>0</v>
      </c>
    </row>
    <row r="436" spans="1:15" s="211" customFormat="1" x14ac:dyDescent="0.25">
      <c r="A436" s="205" t="s">
        <v>2800</v>
      </c>
      <c r="B436" s="206" t="s">
        <v>11</v>
      </c>
      <c r="C436" s="206" t="s">
        <v>163</v>
      </c>
      <c r="D436" s="206" t="s">
        <v>164</v>
      </c>
      <c r="E436" s="206" t="s">
        <v>207</v>
      </c>
      <c r="F436" s="206">
        <v>1</v>
      </c>
      <c r="G436" s="207">
        <v>7000</v>
      </c>
      <c r="H436" s="206">
        <v>126</v>
      </c>
      <c r="I436" s="207">
        <v>86</v>
      </c>
      <c r="J436" s="207">
        <v>10836</v>
      </c>
      <c r="K436" s="207">
        <v>17836</v>
      </c>
      <c r="L436" s="208">
        <v>20230704</v>
      </c>
      <c r="M436" s="209">
        <f t="shared" si="25"/>
        <v>126</v>
      </c>
      <c r="N436" s="210">
        <f t="shared" si="26"/>
        <v>0</v>
      </c>
      <c r="O436" s="209" t="s">
        <v>2802</v>
      </c>
    </row>
    <row r="437" spans="1:15" x14ac:dyDescent="0.25">
      <c r="A437" s="50" t="s">
        <v>2778</v>
      </c>
      <c r="B437" s="30" t="s">
        <v>11</v>
      </c>
      <c r="C437" s="30" t="s">
        <v>45</v>
      </c>
      <c r="D437" s="30" t="s">
        <v>46</v>
      </c>
      <c r="E437" s="30" t="s">
        <v>80</v>
      </c>
      <c r="F437" s="30">
        <v>1</v>
      </c>
      <c r="G437" s="44">
        <v>7000</v>
      </c>
      <c r="H437" s="30">
        <v>71</v>
      </c>
      <c r="I437" s="44">
        <v>86</v>
      </c>
      <c r="J437" s="44">
        <v>6106</v>
      </c>
      <c r="K437" s="44">
        <v>13106</v>
      </c>
      <c r="L437" s="51">
        <v>20230724</v>
      </c>
      <c r="M437" s="170">
        <f t="shared" si="25"/>
        <v>71.3</v>
      </c>
      <c r="N437" s="171">
        <f t="shared" si="26"/>
        <v>0.29999999999999716</v>
      </c>
    </row>
    <row r="438" spans="1:15" x14ac:dyDescent="0.25">
      <c r="A438" s="50" t="s">
        <v>2788</v>
      </c>
      <c r="B438" s="30" t="s">
        <v>11</v>
      </c>
      <c r="C438" s="30" t="s">
        <v>163</v>
      </c>
      <c r="D438" s="30" t="s">
        <v>164</v>
      </c>
      <c r="E438" s="30" t="s">
        <v>187</v>
      </c>
      <c r="F438" s="30">
        <v>1</v>
      </c>
      <c r="G438" s="44">
        <v>7000</v>
      </c>
      <c r="H438" s="30">
        <v>126</v>
      </c>
      <c r="I438" s="44">
        <v>86</v>
      </c>
      <c r="J438" s="44">
        <v>10836</v>
      </c>
      <c r="K438" s="44">
        <v>17836</v>
      </c>
      <c r="L438" s="51">
        <v>20230725</v>
      </c>
      <c r="M438" s="170">
        <f t="shared" si="25"/>
        <v>126</v>
      </c>
      <c r="N438" s="171">
        <f t="shared" si="26"/>
        <v>0</v>
      </c>
    </row>
    <row r="439" spans="1:15" s="211" customFormat="1" x14ac:dyDescent="0.25">
      <c r="A439" s="205" t="s">
        <v>2783</v>
      </c>
      <c r="B439" s="206" t="s">
        <v>11</v>
      </c>
      <c r="C439" s="206" t="s">
        <v>337</v>
      </c>
      <c r="D439" s="206" t="s">
        <v>35</v>
      </c>
      <c r="E439" s="206" t="s">
        <v>1479</v>
      </c>
      <c r="F439" s="206">
        <v>1</v>
      </c>
      <c r="G439" s="207">
        <v>7000</v>
      </c>
      <c r="H439" s="206">
        <v>72</v>
      </c>
      <c r="I439" s="207">
        <v>86</v>
      </c>
      <c r="J439" s="207">
        <v>6192</v>
      </c>
      <c r="K439" s="207">
        <v>13192</v>
      </c>
      <c r="L439" s="208">
        <v>20230726</v>
      </c>
      <c r="M439" s="209">
        <f t="shared" si="25"/>
        <v>77.2</v>
      </c>
      <c r="N439" s="210">
        <f t="shared" si="26"/>
        <v>5.2000000000000028</v>
      </c>
    </row>
    <row r="440" spans="1:15" s="211" customFormat="1" x14ac:dyDescent="0.25">
      <c r="A440" s="205" t="s">
        <v>2776</v>
      </c>
      <c r="B440" s="206" t="s">
        <v>11</v>
      </c>
      <c r="C440" s="206" t="s">
        <v>29</v>
      </c>
      <c r="D440" s="206" t="s">
        <v>30</v>
      </c>
      <c r="E440" s="206" t="s">
        <v>509</v>
      </c>
      <c r="F440" s="206">
        <v>1</v>
      </c>
      <c r="G440" s="207">
        <v>7000</v>
      </c>
      <c r="H440" s="206">
        <v>150</v>
      </c>
      <c r="I440" s="207">
        <v>86</v>
      </c>
      <c r="J440" s="207">
        <v>12900</v>
      </c>
      <c r="K440" s="207">
        <v>19900</v>
      </c>
      <c r="L440" s="208">
        <v>20230727</v>
      </c>
      <c r="M440" s="209">
        <f t="shared" si="25"/>
        <v>158</v>
      </c>
      <c r="N440" s="210">
        <f t="shared" si="26"/>
        <v>8</v>
      </c>
      <c r="O440" s="211" t="s">
        <v>2803</v>
      </c>
    </row>
    <row r="441" spans="1:15" x14ac:dyDescent="0.25">
      <c r="N441" s="171"/>
    </row>
    <row r="442" spans="1:15" x14ac:dyDescent="0.25">
      <c r="N442" s="171"/>
    </row>
    <row r="443" spans="1:15" s="115" customFormat="1" x14ac:dyDescent="0.25">
      <c r="A443" s="213" t="s">
        <v>2921</v>
      </c>
      <c r="B443" s="214" t="s">
        <v>11</v>
      </c>
      <c r="C443" s="214" t="s">
        <v>337</v>
      </c>
      <c r="D443" s="214" t="s">
        <v>35</v>
      </c>
      <c r="E443" s="214" t="s">
        <v>157</v>
      </c>
      <c r="F443" s="214">
        <v>1</v>
      </c>
      <c r="G443" s="215">
        <v>6900</v>
      </c>
      <c r="H443" s="214">
        <v>72</v>
      </c>
      <c r="I443" s="215">
        <v>86</v>
      </c>
      <c r="J443" s="215">
        <v>6192</v>
      </c>
      <c r="K443" s="215">
        <v>13092</v>
      </c>
      <c r="L443" s="216">
        <v>20230803</v>
      </c>
      <c r="M443" s="182">
        <f t="shared" ref="M443:M450" si="27">VLOOKUP(D443,tablapertex,11,FALSE)</f>
        <v>77.2</v>
      </c>
      <c r="N443" s="182">
        <f t="shared" ref="N443:N450" si="28">M443-H443</f>
        <v>5.2000000000000028</v>
      </c>
      <c r="O443" s="115" t="s">
        <v>2929</v>
      </c>
    </row>
    <row r="444" spans="1:15" s="115" customFormat="1" x14ac:dyDescent="0.25">
      <c r="A444" s="213" t="s">
        <v>2924</v>
      </c>
      <c r="B444" s="214" t="s">
        <v>11</v>
      </c>
      <c r="C444" s="214" t="s">
        <v>34</v>
      </c>
      <c r="D444" s="214" t="s">
        <v>35</v>
      </c>
      <c r="E444" s="214" t="s">
        <v>2925</v>
      </c>
      <c r="F444" s="214">
        <v>1</v>
      </c>
      <c r="G444" s="215">
        <v>6900</v>
      </c>
      <c r="H444" s="214">
        <v>78</v>
      </c>
      <c r="I444" s="215">
        <v>86</v>
      </c>
      <c r="J444" s="215">
        <v>6708</v>
      </c>
      <c r="K444" s="215">
        <v>13608</v>
      </c>
      <c r="L444" s="216">
        <v>20230803</v>
      </c>
      <c r="M444" s="182">
        <v>78</v>
      </c>
      <c r="N444" s="182">
        <f t="shared" si="28"/>
        <v>0</v>
      </c>
    </row>
    <row r="445" spans="1:15" x14ac:dyDescent="0.25">
      <c r="A445" s="50" t="s">
        <v>2927</v>
      </c>
      <c r="B445" s="30" t="s">
        <v>11</v>
      </c>
      <c r="C445" s="30" t="s">
        <v>103</v>
      </c>
      <c r="D445" s="30" t="s">
        <v>104</v>
      </c>
      <c r="E445" s="30" t="s">
        <v>2928</v>
      </c>
      <c r="F445" s="30">
        <v>1</v>
      </c>
      <c r="G445" s="44">
        <v>7000</v>
      </c>
      <c r="H445" s="30">
        <v>159</v>
      </c>
      <c r="I445" s="44">
        <v>86</v>
      </c>
      <c r="J445" s="44">
        <v>13674</v>
      </c>
      <c r="K445" s="44">
        <v>20674</v>
      </c>
      <c r="L445" s="51">
        <v>20230808</v>
      </c>
      <c r="M445" s="170">
        <f t="shared" si="27"/>
        <v>159</v>
      </c>
      <c r="N445" s="171">
        <f t="shared" si="28"/>
        <v>0</v>
      </c>
    </row>
    <row r="446" spans="1:15" x14ac:dyDescent="0.25">
      <c r="A446" s="50" t="s">
        <v>2906</v>
      </c>
      <c r="B446" s="30" t="s">
        <v>11</v>
      </c>
      <c r="C446" s="30" t="s">
        <v>26</v>
      </c>
      <c r="D446" s="30" t="s">
        <v>224</v>
      </c>
      <c r="E446" s="30" t="s">
        <v>2907</v>
      </c>
      <c r="F446" s="30">
        <v>1</v>
      </c>
      <c r="G446" s="44">
        <v>7000</v>
      </c>
      <c r="H446" s="30">
        <v>58</v>
      </c>
      <c r="I446" s="44">
        <v>86</v>
      </c>
      <c r="J446" s="44">
        <v>4988</v>
      </c>
      <c r="K446" s="44">
        <v>11988</v>
      </c>
      <c r="L446" s="51">
        <v>20230814</v>
      </c>
      <c r="M446" s="170">
        <f t="shared" si="27"/>
        <v>57.6</v>
      </c>
      <c r="N446" s="171">
        <f t="shared" si="28"/>
        <v>-0.39999999999999858</v>
      </c>
    </row>
    <row r="447" spans="1:15" x14ac:dyDescent="0.25">
      <c r="A447" s="50" t="s">
        <v>2916</v>
      </c>
      <c r="B447" s="30" t="s">
        <v>11</v>
      </c>
      <c r="C447" s="30" t="s">
        <v>337</v>
      </c>
      <c r="D447" s="30" t="s">
        <v>35</v>
      </c>
      <c r="E447" s="30" t="s">
        <v>157</v>
      </c>
      <c r="F447" s="30">
        <v>1</v>
      </c>
      <c r="G447" s="44">
        <v>7000</v>
      </c>
      <c r="H447" s="30">
        <v>72</v>
      </c>
      <c r="I447" s="44">
        <v>86</v>
      </c>
      <c r="J447" s="44">
        <v>6192</v>
      </c>
      <c r="K447" s="44">
        <v>13192</v>
      </c>
      <c r="L447" s="51">
        <v>20230815</v>
      </c>
      <c r="M447" s="170">
        <f t="shared" si="27"/>
        <v>77.2</v>
      </c>
      <c r="N447" s="171">
        <f t="shared" si="28"/>
        <v>5.2000000000000028</v>
      </c>
    </row>
    <row r="448" spans="1:15" x14ac:dyDescent="0.25">
      <c r="A448" s="50" t="s">
        <v>2911</v>
      </c>
      <c r="B448" s="30" t="s">
        <v>11</v>
      </c>
      <c r="C448" s="30" t="s">
        <v>163</v>
      </c>
      <c r="D448" s="30" t="s">
        <v>164</v>
      </c>
      <c r="E448" s="30" t="s">
        <v>444</v>
      </c>
      <c r="F448" s="30">
        <v>1</v>
      </c>
      <c r="G448" s="44">
        <v>7000</v>
      </c>
      <c r="H448" s="30">
        <v>126</v>
      </c>
      <c r="I448" s="44">
        <v>86</v>
      </c>
      <c r="J448" s="44">
        <v>10836</v>
      </c>
      <c r="K448" s="44">
        <v>17836</v>
      </c>
      <c r="L448" s="51">
        <v>20230816</v>
      </c>
      <c r="M448" s="170">
        <f t="shared" si="27"/>
        <v>126</v>
      </c>
      <c r="N448" s="171">
        <f t="shared" si="28"/>
        <v>0</v>
      </c>
    </row>
    <row r="449" spans="1:16" x14ac:dyDescent="0.25">
      <c r="A449" s="50" t="s">
        <v>2923</v>
      </c>
      <c r="B449" s="30" t="s">
        <v>11</v>
      </c>
      <c r="C449" s="30" t="s">
        <v>45</v>
      </c>
      <c r="D449" s="30" t="s">
        <v>46</v>
      </c>
      <c r="E449" s="30" t="s">
        <v>80</v>
      </c>
      <c r="F449" s="30">
        <v>1</v>
      </c>
      <c r="G449" s="44">
        <v>7000</v>
      </c>
      <c r="H449" s="30">
        <v>71</v>
      </c>
      <c r="I449" s="44">
        <v>86</v>
      </c>
      <c r="J449" s="44">
        <v>6106</v>
      </c>
      <c r="K449" s="44">
        <v>13106</v>
      </c>
      <c r="L449" s="51">
        <v>20230824</v>
      </c>
      <c r="M449" s="170">
        <f t="shared" si="27"/>
        <v>71.3</v>
      </c>
      <c r="N449" s="171">
        <f t="shared" si="28"/>
        <v>0.29999999999999716</v>
      </c>
    </row>
    <row r="450" spans="1:16" x14ac:dyDescent="0.25">
      <c r="A450" s="50" t="s">
        <v>2836</v>
      </c>
      <c r="B450" s="30" t="s">
        <v>11</v>
      </c>
      <c r="C450" s="30" t="s">
        <v>26</v>
      </c>
      <c r="D450" s="30" t="s">
        <v>351</v>
      </c>
      <c r="E450" s="30" t="s">
        <v>2501</v>
      </c>
      <c r="F450" s="30">
        <v>1</v>
      </c>
      <c r="G450" s="44">
        <v>7000</v>
      </c>
      <c r="H450" s="30">
        <v>67</v>
      </c>
      <c r="I450" s="44">
        <v>86</v>
      </c>
      <c r="J450" s="44">
        <v>5762</v>
      </c>
      <c r="K450" s="44">
        <v>12762</v>
      </c>
      <c r="L450" s="51">
        <v>20230831</v>
      </c>
      <c r="M450" s="170">
        <f t="shared" si="27"/>
        <v>67.2</v>
      </c>
      <c r="N450" s="171">
        <f t="shared" si="28"/>
        <v>0.20000000000000284</v>
      </c>
    </row>
    <row r="451" spans="1:16" x14ac:dyDescent="0.25">
      <c r="N451" s="171">
        <f t="shared" ref="N451" si="29">M451-H451</f>
        <v>0</v>
      </c>
    </row>
    <row r="452" spans="1:16" x14ac:dyDescent="0.25">
      <c r="A452" s="30" t="s">
        <v>3043</v>
      </c>
      <c r="B452" s="30" t="s">
        <v>11</v>
      </c>
      <c r="C452" s="30" t="s">
        <v>28</v>
      </c>
      <c r="D452" s="30" t="s">
        <v>1710</v>
      </c>
      <c r="E452" s="30" t="s">
        <v>3044</v>
      </c>
      <c r="F452" s="30">
        <v>1</v>
      </c>
      <c r="G452" s="44">
        <v>7000</v>
      </c>
      <c r="H452" s="30">
        <v>177</v>
      </c>
      <c r="I452" s="44">
        <v>86</v>
      </c>
      <c r="J452" s="44">
        <v>15222</v>
      </c>
      <c r="K452" s="44">
        <v>22222</v>
      </c>
      <c r="L452" s="30">
        <v>20230904</v>
      </c>
      <c r="M452" s="170">
        <f t="shared" ref="M452:M460" si="30">VLOOKUP(D452,tablapertex,11,FALSE)</f>
        <v>177</v>
      </c>
      <c r="N452" s="171">
        <f t="shared" ref="N452:N460" si="31">M452-H452</f>
        <v>0</v>
      </c>
    </row>
    <row r="453" spans="1:16" x14ac:dyDescent="0.25">
      <c r="A453" s="226" t="s">
        <v>3045</v>
      </c>
      <c r="B453" s="226" t="s">
        <v>11</v>
      </c>
      <c r="C453" s="226" t="s">
        <v>26</v>
      </c>
      <c r="D453" s="226" t="s">
        <v>3037</v>
      </c>
      <c r="E453" s="226" t="s">
        <v>3046</v>
      </c>
      <c r="F453" s="226">
        <v>1</v>
      </c>
      <c r="G453" s="227">
        <v>14000</v>
      </c>
      <c r="H453" s="226">
        <v>152</v>
      </c>
      <c r="I453" s="227">
        <v>86</v>
      </c>
      <c r="J453" s="227">
        <f>I453*H453</f>
        <v>13072</v>
      </c>
      <c r="K453" s="227">
        <f>J453+G453</f>
        <v>27072</v>
      </c>
      <c r="L453" s="226">
        <v>20230905</v>
      </c>
      <c r="M453" s="170">
        <f t="shared" si="30"/>
        <v>75.7</v>
      </c>
      <c r="N453" s="171">
        <f t="shared" si="31"/>
        <v>-76.3</v>
      </c>
      <c r="O453" s="47">
        <v>45169</v>
      </c>
      <c r="P453" s="47">
        <v>45174</v>
      </c>
    </row>
    <row r="454" spans="1:16" s="118" customFormat="1" x14ac:dyDescent="0.25">
      <c r="A454" s="30" t="s">
        <v>3035</v>
      </c>
      <c r="B454" s="30" t="s">
        <v>11</v>
      </c>
      <c r="C454" s="30" t="s">
        <v>270</v>
      </c>
      <c r="D454" s="30" t="s">
        <v>494</v>
      </c>
      <c r="E454" s="30" t="s">
        <v>495</v>
      </c>
      <c r="F454" s="30">
        <v>1</v>
      </c>
      <c r="G454" s="44">
        <v>7000</v>
      </c>
      <c r="H454" s="30">
        <v>123</v>
      </c>
      <c r="I454" s="44">
        <v>86</v>
      </c>
      <c r="J454" s="44">
        <v>10578</v>
      </c>
      <c r="K454" s="44">
        <v>17578</v>
      </c>
      <c r="L454" s="30">
        <v>20230907</v>
      </c>
      <c r="M454" s="170">
        <f t="shared" si="30"/>
        <v>123</v>
      </c>
      <c r="N454" s="171">
        <f t="shared" si="31"/>
        <v>0</v>
      </c>
      <c r="O454" s="25"/>
      <c r="P454" s="25"/>
    </row>
    <row r="455" spans="1:16" s="118" customFormat="1" x14ac:dyDescent="0.25">
      <c r="A455" s="126" t="s">
        <v>3022</v>
      </c>
      <c r="B455" s="126" t="s">
        <v>11</v>
      </c>
      <c r="C455" s="126" t="s">
        <v>270</v>
      </c>
      <c r="D455" s="126" t="s">
        <v>494</v>
      </c>
      <c r="E455" s="126" t="s">
        <v>495</v>
      </c>
      <c r="F455" s="126">
        <v>1</v>
      </c>
      <c r="G455" s="127">
        <v>7000</v>
      </c>
      <c r="H455" s="126">
        <v>123</v>
      </c>
      <c r="I455" s="127">
        <v>86</v>
      </c>
      <c r="J455" s="127">
        <v>10578</v>
      </c>
      <c r="K455" s="127">
        <v>17578</v>
      </c>
      <c r="L455" s="126">
        <v>20230912</v>
      </c>
      <c r="M455" s="190">
        <f t="shared" si="30"/>
        <v>123</v>
      </c>
      <c r="N455" s="217">
        <f t="shared" si="31"/>
        <v>0</v>
      </c>
    </row>
    <row r="456" spans="1:16" x14ac:dyDescent="0.25">
      <c r="A456" s="126" t="s">
        <v>3031</v>
      </c>
      <c r="B456" s="126" t="s">
        <v>11</v>
      </c>
      <c r="C456" s="126" t="s">
        <v>337</v>
      </c>
      <c r="D456" s="126" t="s">
        <v>35</v>
      </c>
      <c r="E456" s="126" t="s">
        <v>157</v>
      </c>
      <c r="F456" s="126">
        <v>1</v>
      </c>
      <c r="G456" s="127">
        <v>7000</v>
      </c>
      <c r="H456" s="126">
        <v>72</v>
      </c>
      <c r="I456" s="127">
        <v>86</v>
      </c>
      <c r="J456" s="127">
        <v>6192</v>
      </c>
      <c r="K456" s="127">
        <v>13192</v>
      </c>
      <c r="L456" s="126">
        <v>20230912</v>
      </c>
      <c r="M456" s="190">
        <f t="shared" si="30"/>
        <v>77.2</v>
      </c>
      <c r="N456" s="217">
        <f t="shared" si="31"/>
        <v>5.2000000000000028</v>
      </c>
      <c r="O456" s="190">
        <f>M456+M455</f>
        <v>200.2</v>
      </c>
      <c r="P456" s="118"/>
    </row>
    <row r="457" spans="1:16" s="118" customFormat="1" x14ac:dyDescent="0.25">
      <c r="A457" s="30" t="s">
        <v>3051</v>
      </c>
      <c r="B457" s="30" t="s">
        <v>137</v>
      </c>
      <c r="C457" s="30" t="s">
        <v>26</v>
      </c>
      <c r="D457" s="30" t="s">
        <v>418</v>
      </c>
      <c r="E457" s="30" t="s">
        <v>1610</v>
      </c>
      <c r="F457" s="30">
        <v>1</v>
      </c>
      <c r="G457" s="44">
        <v>3500</v>
      </c>
      <c r="H457" s="30">
        <v>148</v>
      </c>
      <c r="I457" s="44">
        <v>86</v>
      </c>
      <c r="J457" s="44">
        <v>12728</v>
      </c>
      <c r="K457" s="44">
        <v>16228</v>
      </c>
      <c r="L457" s="30">
        <v>20230918</v>
      </c>
      <c r="M457" s="170">
        <f t="shared" si="30"/>
        <v>148</v>
      </c>
      <c r="N457" s="171">
        <f t="shared" si="31"/>
        <v>0</v>
      </c>
      <c r="O457" s="25"/>
      <c r="P457" s="25"/>
    </row>
    <row r="458" spans="1:16" x14ac:dyDescent="0.25">
      <c r="A458" s="125" t="s">
        <v>2958</v>
      </c>
      <c r="B458" s="126" t="s">
        <v>11</v>
      </c>
      <c r="C458" s="126" t="s">
        <v>26</v>
      </c>
      <c r="D458" s="126" t="s">
        <v>497</v>
      </c>
      <c r="E458" s="126" t="s">
        <v>2282</v>
      </c>
      <c r="F458" s="126">
        <v>1</v>
      </c>
      <c r="G458" s="127">
        <v>7000</v>
      </c>
      <c r="H458" s="126">
        <v>152</v>
      </c>
      <c r="I458" s="127">
        <v>86</v>
      </c>
      <c r="J458" s="127">
        <v>13072</v>
      </c>
      <c r="K458" s="127">
        <v>20072</v>
      </c>
      <c r="L458" s="128">
        <v>20230922</v>
      </c>
      <c r="M458" s="190">
        <f t="shared" si="30"/>
        <v>148</v>
      </c>
      <c r="N458" s="217">
        <f t="shared" si="31"/>
        <v>-4</v>
      </c>
      <c r="O458" s="118"/>
      <c r="P458" s="118"/>
    </row>
    <row r="459" spans="1:16" x14ac:dyDescent="0.25">
      <c r="A459" s="52" t="s">
        <v>2993</v>
      </c>
      <c r="B459" s="32" t="s">
        <v>11</v>
      </c>
      <c r="C459" s="32" t="s">
        <v>26</v>
      </c>
      <c r="D459" s="32" t="s">
        <v>2978</v>
      </c>
      <c r="E459" s="32" t="s">
        <v>2994</v>
      </c>
      <c r="F459" s="32">
        <v>1</v>
      </c>
      <c r="G459" s="45">
        <v>7000</v>
      </c>
      <c r="H459" s="32">
        <v>73</v>
      </c>
      <c r="I459" s="45">
        <v>86</v>
      </c>
      <c r="J459" s="45">
        <f>I459*H459</f>
        <v>6278</v>
      </c>
      <c r="K459" s="45">
        <f t="shared" ref="K459:K460" si="32">J459+G459</f>
        <v>13278</v>
      </c>
      <c r="L459" s="53">
        <v>20230920</v>
      </c>
      <c r="M459" s="190">
        <f t="shared" si="30"/>
        <v>68.7</v>
      </c>
      <c r="N459" s="217">
        <f t="shared" si="31"/>
        <v>-4.2999999999999972</v>
      </c>
    </row>
    <row r="460" spans="1:16" x14ac:dyDescent="0.25">
      <c r="A460" s="228" t="s">
        <v>3020</v>
      </c>
      <c r="B460" s="229" t="s">
        <v>137</v>
      </c>
      <c r="C460" s="229" t="s">
        <v>654</v>
      </c>
      <c r="D460" s="229" t="s">
        <v>1470</v>
      </c>
      <c r="E460" s="229" t="s">
        <v>1562</v>
      </c>
      <c r="F460" s="229">
        <v>1</v>
      </c>
      <c r="G460" s="230">
        <v>3500</v>
      </c>
      <c r="H460" s="229">
        <v>58</v>
      </c>
      <c r="I460" s="230">
        <v>86</v>
      </c>
      <c r="J460" s="230">
        <f>I460*H460</f>
        <v>4988</v>
      </c>
      <c r="K460" s="230">
        <f t="shared" si="32"/>
        <v>8488</v>
      </c>
      <c r="L460" s="231">
        <v>20230914</v>
      </c>
      <c r="M460" s="190">
        <f t="shared" si="30"/>
        <v>37.200000000000003</v>
      </c>
      <c r="N460" s="217">
        <f t="shared" si="31"/>
        <v>-20.799999999999997</v>
      </c>
    </row>
    <row r="461" spans="1:16" x14ac:dyDescent="0.25">
      <c r="F461" s="25"/>
      <c r="G461" s="46"/>
      <c r="I461" s="46"/>
      <c r="J461" s="46"/>
      <c r="K461" s="46"/>
      <c r="M461" s="190"/>
      <c r="N461" s="217"/>
    </row>
    <row r="462" spans="1:16" x14ac:dyDescent="0.25">
      <c r="A462" s="25" t="s">
        <v>3164</v>
      </c>
      <c r="B462" s="25" t="s">
        <v>11</v>
      </c>
      <c r="C462" s="25" t="s">
        <v>103</v>
      </c>
      <c r="D462" s="25" t="s">
        <v>104</v>
      </c>
      <c r="E462" s="25" t="s">
        <v>906</v>
      </c>
      <c r="F462" s="25">
        <v>1</v>
      </c>
      <c r="G462" s="46">
        <v>8869</v>
      </c>
      <c r="H462" s="25">
        <v>159</v>
      </c>
      <c r="I462" s="46">
        <v>109.9</v>
      </c>
      <c r="J462" s="46">
        <v>17474.100000000002</v>
      </c>
      <c r="K462" s="46">
        <v>26343.100000000002</v>
      </c>
      <c r="L462" s="25">
        <v>20231002</v>
      </c>
      <c r="M462" s="190">
        <f t="shared" ref="M462:M484" si="33">VLOOKUP(D462,tablapertex,11,FALSE)</f>
        <v>159</v>
      </c>
      <c r="N462" s="217">
        <f t="shared" ref="N462:N484" si="34">M462-H462</f>
        <v>0</v>
      </c>
      <c r="O462" s="25" t="s">
        <v>2753</v>
      </c>
    </row>
    <row r="463" spans="1:16" s="236" customFormat="1" x14ac:dyDescent="0.25">
      <c r="A463" s="236" t="s">
        <v>3155</v>
      </c>
      <c r="B463" s="236" t="s">
        <v>11</v>
      </c>
      <c r="C463" s="236" t="s">
        <v>103</v>
      </c>
      <c r="D463" s="236" t="s">
        <v>104</v>
      </c>
      <c r="E463" s="236" t="s">
        <v>904</v>
      </c>
      <c r="F463" s="236">
        <v>1</v>
      </c>
      <c r="G463" s="237">
        <v>8869</v>
      </c>
      <c r="H463" s="236">
        <v>159</v>
      </c>
      <c r="I463" s="237">
        <v>109.9</v>
      </c>
      <c r="J463" s="237">
        <v>17474.100000000002</v>
      </c>
      <c r="K463" s="237">
        <v>26343.100000000002</v>
      </c>
      <c r="L463" s="236">
        <v>20231002</v>
      </c>
      <c r="M463" s="238">
        <f t="shared" si="33"/>
        <v>159</v>
      </c>
      <c r="N463" s="239">
        <f t="shared" si="34"/>
        <v>0</v>
      </c>
      <c r="O463" s="236" t="s">
        <v>3167</v>
      </c>
    </row>
    <row r="464" spans="1:16" x14ac:dyDescent="0.25">
      <c r="F464" s="25"/>
      <c r="G464" s="46"/>
      <c r="I464" s="46"/>
      <c r="J464" s="46"/>
      <c r="K464" s="46"/>
      <c r="M464" s="190"/>
      <c r="N464" s="217"/>
    </row>
    <row r="465" spans="1:15" x14ac:dyDescent="0.25">
      <c r="A465" s="25" t="s">
        <v>3152</v>
      </c>
      <c r="B465" s="25" t="s">
        <v>11</v>
      </c>
      <c r="C465" s="25" t="s">
        <v>26</v>
      </c>
      <c r="D465" s="25" t="s">
        <v>351</v>
      </c>
      <c r="E465" s="25" t="s">
        <v>2501</v>
      </c>
      <c r="F465" s="25">
        <v>1</v>
      </c>
      <c r="G465" s="46">
        <v>8869</v>
      </c>
      <c r="H465" s="25">
        <v>67</v>
      </c>
      <c r="I465" s="46">
        <v>109.9</v>
      </c>
      <c r="J465" s="46">
        <v>7363.3</v>
      </c>
      <c r="K465" s="46">
        <v>16232.3</v>
      </c>
      <c r="L465" s="25">
        <v>20231004</v>
      </c>
      <c r="M465" s="190">
        <f t="shared" si="33"/>
        <v>67.2</v>
      </c>
      <c r="N465" s="217">
        <f t="shared" si="34"/>
        <v>0.20000000000000284</v>
      </c>
      <c r="O465" s="25" t="s">
        <v>2753</v>
      </c>
    </row>
    <row r="466" spans="1:15" x14ac:dyDescent="0.25">
      <c r="F466" s="25"/>
      <c r="G466" s="46"/>
      <c r="I466" s="46"/>
      <c r="J466" s="46"/>
      <c r="K466" s="46"/>
      <c r="M466" s="190"/>
      <c r="N466" s="217"/>
    </row>
    <row r="467" spans="1:15" x14ac:dyDescent="0.25">
      <c r="A467" s="25" t="s">
        <v>3149</v>
      </c>
      <c r="B467" s="25" t="s">
        <v>11</v>
      </c>
      <c r="C467" s="25" t="s">
        <v>337</v>
      </c>
      <c r="D467" s="25" t="s">
        <v>35</v>
      </c>
      <c r="E467" s="25" t="s">
        <v>511</v>
      </c>
      <c r="F467" s="25">
        <v>1</v>
      </c>
      <c r="G467" s="46">
        <v>8869</v>
      </c>
      <c r="H467" s="25">
        <v>72</v>
      </c>
      <c r="I467" s="46">
        <v>109.9</v>
      </c>
      <c r="J467" s="46">
        <v>7912.8</v>
      </c>
      <c r="K467" s="46">
        <v>16781.8</v>
      </c>
      <c r="L467" s="25">
        <v>20231010</v>
      </c>
      <c r="M467" s="190">
        <f t="shared" si="33"/>
        <v>77.2</v>
      </c>
      <c r="N467" s="217">
        <f t="shared" si="34"/>
        <v>5.2000000000000028</v>
      </c>
    </row>
    <row r="468" spans="1:15" s="236" customFormat="1" x14ac:dyDescent="0.25">
      <c r="A468" s="236" t="s">
        <v>3148</v>
      </c>
      <c r="B468" s="236" t="s">
        <v>11</v>
      </c>
      <c r="C468" s="236" t="s">
        <v>337</v>
      </c>
      <c r="D468" s="236" t="s">
        <v>35</v>
      </c>
      <c r="E468" s="236" t="s">
        <v>157</v>
      </c>
      <c r="F468" s="236">
        <v>1</v>
      </c>
      <c r="G468" s="237">
        <v>8869</v>
      </c>
      <c r="H468" s="236">
        <v>72</v>
      </c>
      <c r="I468" s="237">
        <v>109.9</v>
      </c>
      <c r="J468" s="237">
        <v>7912.8</v>
      </c>
      <c r="K468" s="237">
        <v>16781.8</v>
      </c>
      <c r="L468" s="236">
        <v>20231010</v>
      </c>
      <c r="M468" s="238">
        <f t="shared" si="33"/>
        <v>77.2</v>
      </c>
      <c r="N468" s="239">
        <f t="shared" si="34"/>
        <v>5.2000000000000028</v>
      </c>
      <c r="O468" s="236" t="s">
        <v>3168</v>
      </c>
    </row>
    <row r="469" spans="1:15" x14ac:dyDescent="0.25">
      <c r="F469" s="25"/>
      <c r="G469" s="46"/>
      <c r="I469" s="46"/>
      <c r="J469" s="46"/>
      <c r="K469" s="46"/>
      <c r="M469" s="190"/>
      <c r="N469" s="217"/>
    </row>
    <row r="470" spans="1:15" x14ac:dyDescent="0.25">
      <c r="A470" s="25" t="s">
        <v>3134</v>
      </c>
      <c r="B470" s="25" t="s">
        <v>11</v>
      </c>
      <c r="C470" s="25" t="s">
        <v>163</v>
      </c>
      <c r="D470" s="25" t="s">
        <v>164</v>
      </c>
      <c r="E470" s="25" t="s">
        <v>1115</v>
      </c>
      <c r="F470" s="25">
        <v>1</v>
      </c>
      <c r="G470" s="46">
        <v>8869</v>
      </c>
      <c r="H470" s="25">
        <v>126</v>
      </c>
      <c r="I470" s="46">
        <v>109.9</v>
      </c>
      <c r="J470" s="46">
        <v>13847.400000000001</v>
      </c>
      <c r="K470" s="46">
        <v>22716.400000000001</v>
      </c>
      <c r="L470" s="25">
        <v>20231011</v>
      </c>
      <c r="M470" s="190">
        <f t="shared" si="33"/>
        <v>126</v>
      </c>
      <c r="N470" s="217">
        <f t="shared" si="34"/>
        <v>0</v>
      </c>
    </row>
    <row r="471" spans="1:15" x14ac:dyDescent="0.25">
      <c r="F471" s="25"/>
      <c r="G471" s="46"/>
      <c r="I471" s="46"/>
      <c r="J471" s="46"/>
      <c r="K471" s="46"/>
      <c r="M471" s="190"/>
      <c r="N471" s="217"/>
    </row>
    <row r="472" spans="1:15" s="236" customFormat="1" x14ac:dyDescent="0.25">
      <c r="A472" s="236" t="s">
        <v>3144</v>
      </c>
      <c r="B472" s="236" t="s">
        <v>11</v>
      </c>
      <c r="C472" s="236" t="s">
        <v>1234</v>
      </c>
      <c r="D472" s="236" t="s">
        <v>3140</v>
      </c>
      <c r="E472" s="236" t="s">
        <v>3145</v>
      </c>
      <c r="F472" s="236">
        <v>1</v>
      </c>
      <c r="G472" s="237">
        <v>8869</v>
      </c>
      <c r="H472" s="236">
        <v>382</v>
      </c>
      <c r="I472" s="237">
        <v>109.9</v>
      </c>
      <c r="J472" s="237">
        <v>41981.8</v>
      </c>
      <c r="K472" s="237">
        <v>50850.8</v>
      </c>
      <c r="L472" s="236">
        <v>20231018</v>
      </c>
      <c r="M472" s="238" t="e">
        <f t="shared" si="33"/>
        <v>#N/A</v>
      </c>
      <c r="N472" s="239" t="e">
        <f t="shared" si="34"/>
        <v>#N/A</v>
      </c>
      <c r="O472" s="236" t="s">
        <v>3169</v>
      </c>
    </row>
    <row r="473" spans="1:15" x14ac:dyDescent="0.25">
      <c r="A473" s="25" t="s">
        <v>3165</v>
      </c>
      <c r="B473" s="25" t="s">
        <v>11</v>
      </c>
      <c r="C473" s="25" t="s">
        <v>1234</v>
      </c>
      <c r="D473" s="25" t="s">
        <v>3140</v>
      </c>
      <c r="E473" s="25" t="s">
        <v>3166</v>
      </c>
      <c r="F473" s="25">
        <v>1</v>
      </c>
      <c r="G473" s="46">
        <v>8869</v>
      </c>
      <c r="H473" s="25">
        <v>382</v>
      </c>
      <c r="I473" s="46">
        <v>109.9</v>
      </c>
      <c r="J473" s="46">
        <v>41981.8</v>
      </c>
      <c r="K473" s="46">
        <v>50850.8</v>
      </c>
      <c r="L473" s="25">
        <v>20231018</v>
      </c>
      <c r="M473" s="190" t="e">
        <f t="shared" si="33"/>
        <v>#N/A</v>
      </c>
      <c r="N473" s="217" t="e">
        <f t="shared" si="34"/>
        <v>#N/A</v>
      </c>
      <c r="O473" s="236"/>
    </row>
    <row r="474" spans="1:15" x14ac:dyDescent="0.25">
      <c r="F474" s="25"/>
      <c r="G474" s="46"/>
      <c r="I474" s="46"/>
      <c r="J474" s="46"/>
      <c r="K474" s="46"/>
      <c r="M474" s="190"/>
      <c r="N474" s="217"/>
    </row>
    <row r="475" spans="1:15" s="232" customFormat="1" x14ac:dyDescent="0.25">
      <c r="A475" s="232" t="s">
        <v>3128</v>
      </c>
      <c r="B475" s="232" t="s">
        <v>137</v>
      </c>
      <c r="C475" s="232" t="s">
        <v>29</v>
      </c>
      <c r="D475" s="232" t="s">
        <v>241</v>
      </c>
      <c r="E475" s="232" t="s">
        <v>242</v>
      </c>
      <c r="F475" s="232">
        <v>1</v>
      </c>
      <c r="G475" s="233">
        <v>4435</v>
      </c>
      <c r="H475" s="232">
        <v>149</v>
      </c>
      <c r="I475" s="233">
        <v>109.9</v>
      </c>
      <c r="J475" s="233">
        <v>16375.1</v>
      </c>
      <c r="K475" s="233">
        <v>20810.099999999999</v>
      </c>
      <c r="L475" s="232">
        <v>20231019</v>
      </c>
      <c r="M475" s="234">
        <f t="shared" si="33"/>
        <v>149</v>
      </c>
      <c r="N475" s="235">
        <f t="shared" si="34"/>
        <v>0</v>
      </c>
    </row>
    <row r="476" spans="1:15" x14ac:dyDescent="0.25">
      <c r="F476" s="25"/>
      <c r="G476" s="46"/>
      <c r="I476" s="46"/>
      <c r="J476" s="46"/>
      <c r="K476" s="46"/>
      <c r="M476" s="190"/>
      <c r="N476" s="217"/>
    </row>
    <row r="477" spans="1:15" s="236" customFormat="1" x14ac:dyDescent="0.25">
      <c r="A477" s="236" t="s">
        <v>3111</v>
      </c>
      <c r="B477" s="236" t="s">
        <v>11</v>
      </c>
      <c r="C477" s="236" t="s">
        <v>3112</v>
      </c>
      <c r="D477" s="236" t="s">
        <v>1545</v>
      </c>
      <c r="E477" s="236" t="s">
        <v>3113</v>
      </c>
      <c r="F477" s="236">
        <v>1</v>
      </c>
      <c r="G477" s="237">
        <v>8869</v>
      </c>
      <c r="H477" s="236">
        <v>126</v>
      </c>
      <c r="I477" s="237">
        <v>109.9</v>
      </c>
      <c r="J477" s="237">
        <v>13847.400000000001</v>
      </c>
      <c r="K477" s="237">
        <v>22716.400000000001</v>
      </c>
      <c r="L477" s="236">
        <v>20231026</v>
      </c>
      <c r="M477" s="238" t="e">
        <f t="shared" si="33"/>
        <v>#N/A</v>
      </c>
      <c r="N477" s="239" t="e">
        <f t="shared" si="34"/>
        <v>#N/A</v>
      </c>
      <c r="O477" s="236" t="s">
        <v>3170</v>
      </c>
    </row>
    <row r="478" spans="1:15" x14ac:dyDescent="0.25">
      <c r="F478" s="25"/>
      <c r="G478" s="46"/>
      <c r="I478" s="46"/>
      <c r="J478" s="46"/>
      <c r="K478" s="46"/>
      <c r="M478" s="190"/>
      <c r="N478" s="217"/>
    </row>
    <row r="479" spans="1:15" s="232" customFormat="1" x14ac:dyDescent="0.25">
      <c r="A479" s="232" t="s">
        <v>3069</v>
      </c>
      <c r="B479" s="232" t="s">
        <v>137</v>
      </c>
      <c r="C479" s="232" t="s">
        <v>337</v>
      </c>
      <c r="D479" s="232" t="s">
        <v>162</v>
      </c>
      <c r="E479" s="232" t="s">
        <v>1530</v>
      </c>
      <c r="F479" s="232">
        <v>1</v>
      </c>
      <c r="G479" s="233">
        <v>4435</v>
      </c>
      <c r="H479" s="232">
        <v>69</v>
      </c>
      <c r="I479" s="233">
        <v>109.9</v>
      </c>
      <c r="J479" s="233">
        <v>7583.1</v>
      </c>
      <c r="K479" s="233">
        <v>12018.1</v>
      </c>
      <c r="L479" s="232">
        <v>20231027</v>
      </c>
      <c r="M479" s="234">
        <f t="shared" si="33"/>
        <v>68.8</v>
      </c>
      <c r="N479" s="235">
        <f t="shared" si="34"/>
        <v>-0.20000000000000284</v>
      </c>
    </row>
    <row r="480" spans="1:15" x14ac:dyDescent="0.25">
      <c r="F480" s="25"/>
      <c r="G480" s="46"/>
      <c r="I480" s="46"/>
      <c r="J480" s="46"/>
      <c r="K480" s="46"/>
      <c r="M480" s="190"/>
      <c r="N480" s="217"/>
    </row>
    <row r="481" spans="1:15" x14ac:dyDescent="0.25">
      <c r="A481" s="25" t="s">
        <v>3096</v>
      </c>
      <c r="B481" s="25" t="s">
        <v>11</v>
      </c>
      <c r="C481" s="25" t="s">
        <v>270</v>
      </c>
      <c r="D481" s="25" t="s">
        <v>368</v>
      </c>
      <c r="E481" s="25" t="s">
        <v>1218</v>
      </c>
      <c r="F481" s="25">
        <v>1</v>
      </c>
      <c r="G481" s="46">
        <v>8869</v>
      </c>
      <c r="H481" s="25">
        <v>137</v>
      </c>
      <c r="I481" s="46">
        <v>109.9</v>
      </c>
      <c r="J481" s="46">
        <v>15056.300000000001</v>
      </c>
      <c r="K481" s="46">
        <v>23925.300000000003</v>
      </c>
      <c r="L481" s="25">
        <v>20231031</v>
      </c>
      <c r="M481" s="190">
        <f t="shared" si="33"/>
        <v>111</v>
      </c>
      <c r="N481" s="217">
        <f t="shared" si="34"/>
        <v>-26</v>
      </c>
      <c r="O481" s="25" t="s">
        <v>3172</v>
      </c>
    </row>
    <row r="483" spans="1:15" x14ac:dyDescent="0.25">
      <c r="A483" s="25" t="s">
        <v>3082</v>
      </c>
      <c r="B483" s="25" t="s">
        <v>11</v>
      </c>
      <c r="C483" s="25" t="s">
        <v>28</v>
      </c>
      <c r="D483" s="25" t="s">
        <v>3066</v>
      </c>
      <c r="E483" s="25" t="s">
        <v>3083</v>
      </c>
      <c r="F483" s="25">
        <v>1</v>
      </c>
      <c r="G483" s="46">
        <v>8869</v>
      </c>
      <c r="H483" s="25">
        <v>234</v>
      </c>
      <c r="I483" s="46">
        <v>109.9</v>
      </c>
      <c r="J483" s="46">
        <v>25716.600000000002</v>
      </c>
      <c r="K483" s="46">
        <v>34585.600000000006</v>
      </c>
      <c r="L483" s="25">
        <v>20231031</v>
      </c>
      <c r="M483" s="190">
        <f t="shared" si="33"/>
        <v>234</v>
      </c>
      <c r="N483" s="217">
        <f t="shared" si="34"/>
        <v>0</v>
      </c>
      <c r="O483" s="25" t="s">
        <v>2753</v>
      </c>
    </row>
    <row r="484" spans="1:15" s="236" customFormat="1" x14ac:dyDescent="0.25">
      <c r="A484" s="236" t="s">
        <v>3065</v>
      </c>
      <c r="B484" s="236" t="s">
        <v>11</v>
      </c>
      <c r="C484" s="236" t="s">
        <v>28</v>
      </c>
      <c r="D484" s="236" t="s">
        <v>3066</v>
      </c>
      <c r="E484" s="236" t="s">
        <v>3067</v>
      </c>
      <c r="F484" s="236">
        <v>1</v>
      </c>
      <c r="G484" s="237">
        <v>8869</v>
      </c>
      <c r="H484" s="236">
        <v>234</v>
      </c>
      <c r="I484" s="237">
        <v>109.9</v>
      </c>
      <c r="J484" s="237">
        <v>25716.600000000002</v>
      </c>
      <c r="K484" s="237">
        <v>34585.600000000006</v>
      </c>
      <c r="L484" s="236">
        <v>20231031</v>
      </c>
      <c r="M484" s="170">
        <f t="shared" si="33"/>
        <v>234</v>
      </c>
      <c r="N484" s="171">
        <f t="shared" si="34"/>
        <v>0</v>
      </c>
      <c r="O484" s="236" t="s">
        <v>3171</v>
      </c>
    </row>
    <row r="485" spans="1:15" x14ac:dyDescent="0.25">
      <c r="N485" s="171"/>
    </row>
    <row r="486" spans="1:15" x14ac:dyDescent="0.25">
      <c r="N486" s="171"/>
    </row>
    <row r="487" spans="1:15" x14ac:dyDescent="0.25">
      <c r="A487" s="25" t="s">
        <v>3233</v>
      </c>
      <c r="B487" s="25" t="s">
        <v>11</v>
      </c>
      <c r="C487" s="25" t="s">
        <v>28</v>
      </c>
      <c r="D487" s="25" t="s">
        <v>1710</v>
      </c>
      <c r="E487" s="25" t="s">
        <v>3044</v>
      </c>
      <c r="F487" s="25">
        <v>1</v>
      </c>
      <c r="G487" s="46">
        <v>8869</v>
      </c>
      <c r="H487" s="25">
        <v>177</v>
      </c>
      <c r="I487" s="46">
        <v>109.9</v>
      </c>
      <c r="J487" s="46">
        <v>19452.3</v>
      </c>
      <c r="K487" s="46">
        <v>28321.3</v>
      </c>
      <c r="L487" s="25">
        <v>20231102</v>
      </c>
      <c r="M487" s="170">
        <f t="shared" ref="M487:M496" si="35">VLOOKUP(D487,tablapertex,11,FALSE)</f>
        <v>177</v>
      </c>
      <c r="N487" s="171">
        <f t="shared" ref="N487:N496" si="36">M487-H487</f>
        <v>0</v>
      </c>
    </row>
    <row r="488" spans="1:15" x14ac:dyDescent="0.25">
      <c r="A488" s="25" t="s">
        <v>3235</v>
      </c>
      <c r="B488" s="25" t="s">
        <v>11</v>
      </c>
      <c r="C488" s="25" t="s">
        <v>28</v>
      </c>
      <c r="D488" s="25" t="s">
        <v>462</v>
      </c>
      <c r="E488" s="25" t="s">
        <v>463</v>
      </c>
      <c r="F488" s="25">
        <v>1</v>
      </c>
      <c r="G488" s="46">
        <v>8869</v>
      </c>
      <c r="H488" s="25">
        <v>45</v>
      </c>
      <c r="I488" s="46">
        <v>109.9</v>
      </c>
      <c r="J488" s="46">
        <v>4945.5</v>
      </c>
      <c r="K488" s="46">
        <v>13814.5</v>
      </c>
      <c r="L488" s="25">
        <v>20231103</v>
      </c>
      <c r="M488" s="170">
        <f t="shared" si="35"/>
        <v>45.4</v>
      </c>
      <c r="N488" s="171">
        <f t="shared" si="36"/>
        <v>0.39999999999999858</v>
      </c>
    </row>
    <row r="489" spans="1:15" x14ac:dyDescent="0.25">
      <c r="A489" s="25" t="s">
        <v>3229</v>
      </c>
      <c r="B489" s="25" t="s">
        <v>11</v>
      </c>
      <c r="C489" s="25" t="s">
        <v>163</v>
      </c>
      <c r="D489" s="25" t="s">
        <v>164</v>
      </c>
      <c r="E489" s="25" t="s">
        <v>444</v>
      </c>
      <c r="F489" s="25">
        <v>1</v>
      </c>
      <c r="G489" s="46">
        <v>8869</v>
      </c>
      <c r="H489" s="25">
        <v>126</v>
      </c>
      <c r="I489" s="46">
        <v>109.9</v>
      </c>
      <c r="J489" s="46">
        <v>13847.400000000001</v>
      </c>
      <c r="K489" s="46">
        <v>22716.400000000001</v>
      </c>
      <c r="L489" s="25">
        <v>20231106</v>
      </c>
      <c r="M489" s="170">
        <f t="shared" si="35"/>
        <v>126</v>
      </c>
      <c r="N489" s="171">
        <f t="shared" si="36"/>
        <v>0</v>
      </c>
    </row>
    <row r="490" spans="1:15" x14ac:dyDescent="0.25">
      <c r="A490" s="25" t="s">
        <v>3230</v>
      </c>
      <c r="B490" s="25" t="s">
        <v>11</v>
      </c>
      <c r="C490" s="25" t="s">
        <v>26</v>
      </c>
      <c r="D490" s="25" t="s">
        <v>145</v>
      </c>
      <c r="E490" s="25" t="s">
        <v>3231</v>
      </c>
      <c r="F490" s="25">
        <v>1</v>
      </c>
      <c r="G490" s="46">
        <v>8869</v>
      </c>
      <c r="H490" s="25">
        <v>75</v>
      </c>
      <c r="I490" s="46">
        <v>109.9</v>
      </c>
      <c r="J490" s="46">
        <v>8242.5</v>
      </c>
      <c r="K490" s="46">
        <v>17111.5</v>
      </c>
      <c r="L490" s="25">
        <v>20231115</v>
      </c>
      <c r="M490" s="170">
        <f t="shared" si="35"/>
        <v>75.3</v>
      </c>
      <c r="N490" s="171">
        <f t="shared" si="36"/>
        <v>0.29999999999999716</v>
      </c>
    </row>
    <row r="491" spans="1:15" x14ac:dyDescent="0.25">
      <c r="A491" s="25" t="s">
        <v>3215</v>
      </c>
      <c r="B491" s="25" t="s">
        <v>11</v>
      </c>
      <c r="C491" s="25" t="s">
        <v>28</v>
      </c>
      <c r="D491" s="25" t="s">
        <v>3216</v>
      </c>
      <c r="E491" s="25" t="s">
        <v>3217</v>
      </c>
      <c r="F491" s="25">
        <v>1</v>
      </c>
      <c r="G491" s="46">
        <v>8869</v>
      </c>
      <c r="H491" s="25">
        <v>382</v>
      </c>
      <c r="I491" s="46">
        <v>109.9</v>
      </c>
      <c r="J491" s="46">
        <v>41981.8</v>
      </c>
      <c r="K491" s="46">
        <v>50850.8</v>
      </c>
      <c r="L491" s="25">
        <v>20231116</v>
      </c>
      <c r="M491" s="170">
        <f t="shared" si="35"/>
        <v>382</v>
      </c>
      <c r="N491" s="171">
        <f t="shared" si="36"/>
        <v>0</v>
      </c>
    </row>
    <row r="492" spans="1:15" x14ac:dyDescent="0.25">
      <c r="A492" s="25" t="s">
        <v>3223</v>
      </c>
      <c r="B492" s="25" t="s">
        <v>11</v>
      </c>
      <c r="C492" s="25" t="s">
        <v>28</v>
      </c>
      <c r="D492" s="25" t="s">
        <v>3066</v>
      </c>
      <c r="E492" s="25" t="s">
        <v>3083</v>
      </c>
      <c r="F492" s="25">
        <v>1</v>
      </c>
      <c r="G492" s="46">
        <v>8869</v>
      </c>
      <c r="H492" s="25">
        <v>234</v>
      </c>
      <c r="I492" s="46">
        <v>109.9</v>
      </c>
      <c r="J492" s="46">
        <v>25716.600000000002</v>
      </c>
      <c r="K492" s="46">
        <v>34585.600000000006</v>
      </c>
      <c r="L492" s="25">
        <v>20231117</v>
      </c>
      <c r="M492" s="170">
        <f t="shared" si="35"/>
        <v>234</v>
      </c>
      <c r="N492" s="171">
        <f t="shared" si="36"/>
        <v>0</v>
      </c>
    </row>
    <row r="493" spans="1:15" x14ac:dyDescent="0.25">
      <c r="A493" s="25" t="s">
        <v>3202</v>
      </c>
      <c r="B493" s="25" t="s">
        <v>1209</v>
      </c>
      <c r="C493" s="25" t="s">
        <v>26</v>
      </c>
      <c r="D493" s="25" t="s">
        <v>145</v>
      </c>
      <c r="E493" s="25" t="s">
        <v>3203</v>
      </c>
      <c r="F493" s="25">
        <v>1</v>
      </c>
      <c r="G493" s="46">
        <v>8869</v>
      </c>
      <c r="H493" s="25">
        <v>75</v>
      </c>
      <c r="I493" s="46">
        <v>109.9</v>
      </c>
      <c r="J493" s="46">
        <v>8242.5</v>
      </c>
      <c r="K493" s="46">
        <v>17111.5</v>
      </c>
      <c r="L493" s="25">
        <v>20231121</v>
      </c>
      <c r="M493" s="170">
        <f t="shared" si="35"/>
        <v>75.3</v>
      </c>
      <c r="N493" s="171">
        <f t="shared" si="36"/>
        <v>0.29999999999999716</v>
      </c>
    </row>
    <row r="494" spans="1:15" s="42" customFormat="1" x14ac:dyDescent="0.25">
      <c r="A494" s="42" t="s">
        <v>3210</v>
      </c>
      <c r="B494" s="42" t="s">
        <v>11</v>
      </c>
      <c r="C494" s="42" t="s">
        <v>270</v>
      </c>
      <c r="D494" s="42" t="s">
        <v>494</v>
      </c>
      <c r="E494" s="42" t="s">
        <v>1215</v>
      </c>
      <c r="F494" s="42">
        <v>1</v>
      </c>
      <c r="G494" s="67">
        <v>8869</v>
      </c>
      <c r="H494" s="42">
        <v>137</v>
      </c>
      <c r="I494" s="67">
        <v>109.9</v>
      </c>
      <c r="J494" s="67">
        <v>15056.300000000001</v>
      </c>
      <c r="K494" s="67">
        <v>23925.300000000003</v>
      </c>
      <c r="L494" s="42">
        <v>20231123</v>
      </c>
      <c r="M494" s="172">
        <f t="shared" si="35"/>
        <v>123</v>
      </c>
      <c r="N494" s="173">
        <f t="shared" si="36"/>
        <v>-14</v>
      </c>
    </row>
    <row r="495" spans="1:15" x14ac:dyDescent="0.25">
      <c r="A495" s="25" t="s">
        <v>3249</v>
      </c>
      <c r="B495" s="25" t="s">
        <v>137</v>
      </c>
      <c r="C495" s="25" t="s">
        <v>202</v>
      </c>
      <c r="D495" s="25" t="s">
        <v>203</v>
      </c>
      <c r="E495" s="25" t="s">
        <v>2214</v>
      </c>
      <c r="F495" s="25">
        <v>1</v>
      </c>
      <c r="G495" s="46">
        <v>4435</v>
      </c>
      <c r="H495" s="25">
        <v>100</v>
      </c>
      <c r="I495" s="46">
        <v>109.9</v>
      </c>
      <c r="J495" s="46">
        <v>10990</v>
      </c>
      <c r="K495" s="46">
        <v>15425</v>
      </c>
      <c r="L495" s="25">
        <v>20231127</v>
      </c>
      <c r="M495" s="170">
        <f t="shared" si="35"/>
        <v>100</v>
      </c>
      <c r="N495" s="171">
        <f t="shared" si="36"/>
        <v>0</v>
      </c>
    </row>
    <row r="496" spans="1:15" x14ac:dyDescent="0.25">
      <c r="A496" s="25" t="s">
        <v>3199</v>
      </c>
      <c r="B496" s="25" t="s">
        <v>11</v>
      </c>
      <c r="C496" s="25" t="s">
        <v>28</v>
      </c>
      <c r="D496" s="25" t="s">
        <v>3200</v>
      </c>
      <c r="E496" s="25" t="s">
        <v>3201</v>
      </c>
      <c r="F496" s="25">
        <v>1</v>
      </c>
      <c r="G496" s="46">
        <v>8869</v>
      </c>
      <c r="H496" s="25">
        <v>315</v>
      </c>
      <c r="I496" s="46">
        <v>109.9</v>
      </c>
      <c r="J496" s="46">
        <v>34618.5</v>
      </c>
      <c r="K496" s="46">
        <v>43487.5</v>
      </c>
      <c r="L496" s="25">
        <v>20231129</v>
      </c>
      <c r="M496" s="170">
        <f t="shared" si="35"/>
        <v>315</v>
      </c>
      <c r="N496" s="171">
        <f t="shared" si="36"/>
        <v>0</v>
      </c>
    </row>
    <row r="497" spans="1:14" x14ac:dyDescent="0.25">
      <c r="N497" s="171"/>
    </row>
    <row r="498" spans="1:14" x14ac:dyDescent="0.25">
      <c r="A498" s="25" t="s">
        <v>3298</v>
      </c>
      <c r="B498" s="25" t="s">
        <v>11</v>
      </c>
      <c r="C498" s="25" t="s">
        <v>168</v>
      </c>
      <c r="D498" s="25" t="s">
        <v>169</v>
      </c>
      <c r="E498" s="25" t="s">
        <v>170</v>
      </c>
      <c r="F498" s="25">
        <v>1</v>
      </c>
      <c r="G498" s="46">
        <v>8869</v>
      </c>
      <c r="H498" s="25">
        <v>148</v>
      </c>
      <c r="I498" s="46">
        <v>109.9</v>
      </c>
      <c r="J498" s="46">
        <v>16265.2</v>
      </c>
      <c r="K498" s="46">
        <v>25134.2</v>
      </c>
      <c r="L498" s="25">
        <v>20231211</v>
      </c>
      <c r="M498" s="170">
        <v>148</v>
      </c>
      <c r="N498" s="171">
        <f t="shared" ref="N498:N501" si="37">M498-H498</f>
        <v>0</v>
      </c>
    </row>
    <row r="499" spans="1:14" x14ac:dyDescent="0.25">
      <c r="A499" s="25" t="s">
        <v>3288</v>
      </c>
      <c r="B499" s="25" t="s">
        <v>11</v>
      </c>
      <c r="C499" s="25" t="s">
        <v>163</v>
      </c>
      <c r="D499" s="25" t="s">
        <v>164</v>
      </c>
      <c r="E499" s="25" t="s">
        <v>1115</v>
      </c>
      <c r="F499" s="25">
        <v>1</v>
      </c>
      <c r="G499" s="46">
        <v>12046</v>
      </c>
      <c r="H499" s="25">
        <v>126</v>
      </c>
      <c r="I499" s="46">
        <v>179.2</v>
      </c>
      <c r="J499" s="46">
        <v>22579.199999999997</v>
      </c>
      <c r="K499" s="46">
        <v>34625.199999999997</v>
      </c>
      <c r="L499" s="25">
        <v>20231214</v>
      </c>
      <c r="M499" s="170">
        <f t="shared" ref="M499:M501" si="38">VLOOKUP(D499,tablapertex,11,FALSE)</f>
        <v>126</v>
      </c>
      <c r="N499" s="171">
        <f t="shared" si="37"/>
        <v>0</v>
      </c>
    </row>
    <row r="500" spans="1:14" s="42" customFormat="1" x14ac:dyDescent="0.25">
      <c r="A500" s="42" t="s">
        <v>3273</v>
      </c>
      <c r="B500" s="42" t="s">
        <v>11</v>
      </c>
      <c r="C500" s="42" t="s">
        <v>29</v>
      </c>
      <c r="D500" s="42" t="s">
        <v>30</v>
      </c>
      <c r="E500" s="42" t="s">
        <v>509</v>
      </c>
      <c r="F500" s="42">
        <v>1</v>
      </c>
      <c r="G500" s="67">
        <v>12046</v>
      </c>
      <c r="H500" s="42">
        <v>158</v>
      </c>
      <c r="I500" s="67">
        <v>179.2</v>
      </c>
      <c r="J500" s="67">
        <v>28313.599999999999</v>
      </c>
      <c r="K500" s="67">
        <v>40359.599999999999</v>
      </c>
      <c r="L500" s="42">
        <v>20231220</v>
      </c>
      <c r="M500" s="172">
        <f t="shared" si="38"/>
        <v>158</v>
      </c>
      <c r="N500" s="173">
        <f t="shared" si="37"/>
        <v>0</v>
      </c>
    </row>
    <row r="501" spans="1:14" x14ac:dyDescent="0.25">
      <c r="A501" s="25" t="s">
        <v>3271</v>
      </c>
      <c r="B501" s="25" t="s">
        <v>11</v>
      </c>
      <c r="C501" s="25" t="s">
        <v>337</v>
      </c>
      <c r="D501" s="25" t="s">
        <v>35</v>
      </c>
      <c r="E501" s="25" t="s">
        <v>38</v>
      </c>
      <c r="F501" s="25">
        <v>1</v>
      </c>
      <c r="G501" s="46">
        <v>12046</v>
      </c>
      <c r="H501" s="25">
        <v>72</v>
      </c>
      <c r="I501" s="46">
        <v>179.2</v>
      </c>
      <c r="J501" s="46">
        <v>12902.4</v>
      </c>
      <c r="K501" s="46">
        <v>24948.400000000001</v>
      </c>
      <c r="L501" s="25">
        <v>20231228</v>
      </c>
      <c r="M501" s="170">
        <f t="shared" si="38"/>
        <v>77.2</v>
      </c>
      <c r="N501" s="171">
        <f t="shared" si="37"/>
        <v>5.2000000000000028</v>
      </c>
    </row>
    <row r="502" spans="1:14" x14ac:dyDescent="0.25">
      <c r="N502" s="171"/>
    </row>
    <row r="503" spans="1:14" x14ac:dyDescent="0.25">
      <c r="N503" s="171"/>
    </row>
    <row r="504" spans="1:14" x14ac:dyDescent="0.25">
      <c r="A504" s="25" t="s">
        <v>3355</v>
      </c>
      <c r="B504" s="25" t="s">
        <v>11</v>
      </c>
      <c r="C504" s="25" t="s">
        <v>29</v>
      </c>
      <c r="D504" s="25" t="s">
        <v>3259</v>
      </c>
      <c r="E504" s="25" t="s">
        <v>3356</v>
      </c>
      <c r="F504" s="25">
        <v>1</v>
      </c>
      <c r="G504" s="46">
        <v>16262</v>
      </c>
      <c r="H504" s="25">
        <v>232</v>
      </c>
      <c r="I504" s="46">
        <v>249.8</v>
      </c>
      <c r="J504" s="46">
        <v>57953.600000000006</v>
      </c>
      <c r="K504" s="46">
        <v>74215.600000000006</v>
      </c>
      <c r="L504" s="25">
        <v>20240105</v>
      </c>
      <c r="M504" s="170">
        <v>232</v>
      </c>
      <c r="N504" s="171">
        <f t="shared" ref="N504:N507" si="39">M504-H504</f>
        <v>0</v>
      </c>
    </row>
    <row r="505" spans="1:14" x14ac:dyDescent="0.25">
      <c r="A505" s="25" t="s">
        <v>3341</v>
      </c>
      <c r="B505" s="25" t="s">
        <v>11</v>
      </c>
      <c r="C505" s="25" t="s">
        <v>337</v>
      </c>
      <c r="D505" s="25" t="s">
        <v>35</v>
      </c>
      <c r="E505" s="25" t="s">
        <v>2463</v>
      </c>
      <c r="F505" s="25">
        <v>1</v>
      </c>
      <c r="G505" s="46">
        <v>16262</v>
      </c>
      <c r="H505" s="25">
        <v>72</v>
      </c>
      <c r="I505" s="46">
        <v>249.8</v>
      </c>
      <c r="J505" s="46">
        <v>17985.600000000002</v>
      </c>
      <c r="K505" s="46">
        <v>34247.600000000006</v>
      </c>
      <c r="L505" s="25">
        <v>20240111</v>
      </c>
      <c r="M505" s="170">
        <f t="shared" ref="M505:M507" si="40">VLOOKUP(D505,tablapertex,11,FALSE)</f>
        <v>77.2</v>
      </c>
      <c r="N505" s="171">
        <f t="shared" si="39"/>
        <v>5.2000000000000028</v>
      </c>
    </row>
    <row r="506" spans="1:14" x14ac:dyDescent="0.25">
      <c r="A506" s="25" t="s">
        <v>3315</v>
      </c>
      <c r="B506" s="25" t="s">
        <v>11</v>
      </c>
      <c r="C506" s="25" t="s">
        <v>163</v>
      </c>
      <c r="D506" s="25" t="s">
        <v>164</v>
      </c>
      <c r="E506" s="25" t="s">
        <v>454</v>
      </c>
      <c r="F506" s="25">
        <v>1</v>
      </c>
      <c r="G506" s="46">
        <v>16262</v>
      </c>
      <c r="H506" s="25">
        <v>126</v>
      </c>
      <c r="I506" s="46">
        <v>249.8</v>
      </c>
      <c r="J506" s="46">
        <v>31474.800000000003</v>
      </c>
      <c r="K506" s="46">
        <v>47736.800000000003</v>
      </c>
      <c r="L506" s="25">
        <v>20240119</v>
      </c>
      <c r="M506" s="170">
        <f t="shared" si="40"/>
        <v>126</v>
      </c>
      <c r="N506" s="171">
        <f t="shared" si="39"/>
        <v>0</v>
      </c>
    </row>
    <row r="507" spans="1:14" x14ac:dyDescent="0.25">
      <c r="A507" s="25" t="s">
        <v>3304</v>
      </c>
      <c r="B507" s="25" t="s">
        <v>11</v>
      </c>
      <c r="C507" s="25" t="s">
        <v>45</v>
      </c>
      <c r="D507" s="25" t="s">
        <v>46</v>
      </c>
      <c r="E507" s="25" t="s">
        <v>80</v>
      </c>
      <c r="F507" s="25">
        <v>1</v>
      </c>
      <c r="G507" s="46">
        <v>16262</v>
      </c>
      <c r="H507" s="25">
        <v>71</v>
      </c>
      <c r="I507" s="46">
        <v>249.8</v>
      </c>
      <c r="J507" s="46">
        <v>17735.8</v>
      </c>
      <c r="K507" s="46">
        <v>33997.800000000003</v>
      </c>
      <c r="L507" s="25">
        <v>20240131</v>
      </c>
      <c r="M507" s="170">
        <f t="shared" si="40"/>
        <v>71.3</v>
      </c>
      <c r="N507" s="171">
        <f t="shared" si="39"/>
        <v>0.29999999999999716</v>
      </c>
    </row>
    <row r="508" spans="1:14" x14ac:dyDescent="0.25">
      <c r="N508" s="171"/>
    </row>
    <row r="509" spans="1:14" x14ac:dyDescent="0.25">
      <c r="N509" s="171"/>
    </row>
    <row r="510" spans="1:14" x14ac:dyDescent="0.25">
      <c r="A510" s="25" t="s">
        <v>3395</v>
      </c>
      <c r="B510" s="25" t="s">
        <v>11</v>
      </c>
      <c r="C510" s="25" t="s">
        <v>163</v>
      </c>
      <c r="D510" s="25" t="s">
        <v>164</v>
      </c>
      <c r="E510" s="25" t="s">
        <v>212</v>
      </c>
      <c r="F510" s="25">
        <v>1</v>
      </c>
      <c r="G510" s="46">
        <v>20393</v>
      </c>
      <c r="H510" s="25">
        <v>126</v>
      </c>
      <c r="I510" s="46">
        <v>294.3</v>
      </c>
      <c r="J510" s="46">
        <f>I510*H510</f>
        <v>37081.800000000003</v>
      </c>
      <c r="K510" s="46">
        <f>J510+G510</f>
        <v>57474.8</v>
      </c>
      <c r="L510" s="25">
        <v>20240202</v>
      </c>
      <c r="M510" s="170">
        <f t="shared" ref="M510:M511" si="41">VLOOKUP(D510,tablapertex,11,FALSE)</f>
        <v>126</v>
      </c>
      <c r="N510" s="171">
        <f t="shared" ref="N510:N511" si="42">M510-H510</f>
        <v>0</v>
      </c>
    </row>
    <row r="511" spans="1:14" x14ac:dyDescent="0.25">
      <c r="A511" s="25" t="s">
        <v>3381</v>
      </c>
      <c r="B511" s="25" t="s">
        <v>11</v>
      </c>
      <c r="C511" s="25" t="s">
        <v>28</v>
      </c>
      <c r="D511" s="25" t="s">
        <v>1703</v>
      </c>
      <c r="E511" s="25" t="s">
        <v>2436</v>
      </c>
      <c r="F511" s="25">
        <v>1</v>
      </c>
      <c r="G511" s="46">
        <v>20393</v>
      </c>
      <c r="H511" s="25">
        <v>321</v>
      </c>
      <c r="I511" s="46">
        <v>294.3</v>
      </c>
      <c r="J511" s="46">
        <f>I511*H511</f>
        <v>94470.3</v>
      </c>
      <c r="K511" s="46">
        <f>J511+G511</f>
        <v>114863.3</v>
      </c>
      <c r="L511" s="25">
        <v>20240216</v>
      </c>
      <c r="M511" s="170">
        <f t="shared" si="41"/>
        <v>242</v>
      </c>
      <c r="N511" s="171">
        <f t="shared" si="42"/>
        <v>-79</v>
      </c>
    </row>
    <row r="512" spans="1:14" x14ac:dyDescent="0.25">
      <c r="N512" s="171"/>
    </row>
    <row r="513" spans="1:14" x14ac:dyDescent="0.25">
      <c r="N513" s="171"/>
    </row>
    <row r="514" spans="1:14" x14ac:dyDescent="0.25">
      <c r="N514" s="171"/>
    </row>
    <row r="515" spans="1:14" x14ac:dyDescent="0.25">
      <c r="A515" s="25" t="s">
        <v>3450</v>
      </c>
      <c r="B515" s="25" t="s">
        <v>137</v>
      </c>
      <c r="C515" s="25" t="s">
        <v>337</v>
      </c>
      <c r="D515" s="25" t="s">
        <v>35</v>
      </c>
      <c r="E515" s="25" t="s">
        <v>38</v>
      </c>
      <c r="F515" s="25">
        <v>1</v>
      </c>
      <c r="G515" s="46">
        <v>12299</v>
      </c>
      <c r="H515" s="25">
        <v>72</v>
      </c>
      <c r="I515" s="46">
        <v>340.1</v>
      </c>
      <c r="J515" s="46">
        <v>24487.200000000001</v>
      </c>
      <c r="K515" s="46">
        <v>36786.199999999997</v>
      </c>
      <c r="L515" s="25">
        <v>20240312</v>
      </c>
      <c r="M515" s="170">
        <f t="shared" ref="M515:M528" si="43">VLOOKUP(D515,tablapertex,11,FALSE)</f>
        <v>77.2</v>
      </c>
      <c r="N515" s="171">
        <f t="shared" ref="N515:N528" si="44">M515-H515</f>
        <v>5.2000000000000028</v>
      </c>
    </row>
    <row r="516" spans="1:14" x14ac:dyDescent="0.25">
      <c r="A516" s="25" t="s">
        <v>3436</v>
      </c>
      <c r="B516" s="25" t="s">
        <v>11</v>
      </c>
      <c r="C516" s="25" t="s">
        <v>163</v>
      </c>
      <c r="D516" s="25" t="s">
        <v>164</v>
      </c>
      <c r="E516" s="25" t="s">
        <v>244</v>
      </c>
      <c r="F516" s="25">
        <v>1</v>
      </c>
      <c r="G516" s="46">
        <v>24594</v>
      </c>
      <c r="H516" s="25">
        <v>126</v>
      </c>
      <c r="I516" s="46">
        <v>340.1</v>
      </c>
      <c r="J516" s="46">
        <v>42852.600000000006</v>
      </c>
      <c r="K516" s="46">
        <v>67446.600000000006</v>
      </c>
      <c r="L516" s="25">
        <v>20240319</v>
      </c>
      <c r="M516" s="170">
        <f t="shared" si="43"/>
        <v>126</v>
      </c>
      <c r="N516" s="171">
        <f t="shared" si="44"/>
        <v>0</v>
      </c>
    </row>
    <row r="517" spans="1:14" x14ac:dyDescent="0.25">
      <c r="A517" s="25" t="s">
        <v>3438</v>
      </c>
      <c r="B517" s="25" t="s">
        <v>11</v>
      </c>
      <c r="C517" s="25" t="s">
        <v>202</v>
      </c>
      <c r="D517" s="25" t="s">
        <v>203</v>
      </c>
      <c r="E517" s="25" t="s">
        <v>1164</v>
      </c>
      <c r="F517" s="25">
        <v>1</v>
      </c>
      <c r="G517" s="46">
        <v>24594</v>
      </c>
      <c r="H517" s="25">
        <v>100</v>
      </c>
      <c r="I517" s="46">
        <v>340.1</v>
      </c>
      <c r="J517" s="46">
        <v>34010</v>
      </c>
      <c r="K517" s="46">
        <v>58604</v>
      </c>
      <c r="L517" s="25">
        <v>20240320</v>
      </c>
      <c r="M517" s="170">
        <f t="shared" si="43"/>
        <v>100</v>
      </c>
      <c r="N517" s="171">
        <f t="shared" si="44"/>
        <v>0</v>
      </c>
    </row>
    <row r="518" spans="1:14" x14ac:dyDescent="0.25">
      <c r="A518" s="25" t="s">
        <v>3412</v>
      </c>
      <c r="B518" s="25" t="s">
        <v>11</v>
      </c>
      <c r="C518" s="25" t="s">
        <v>163</v>
      </c>
      <c r="D518" s="25" t="s">
        <v>164</v>
      </c>
      <c r="E518" s="25" t="s">
        <v>212</v>
      </c>
      <c r="F518" s="25">
        <v>1</v>
      </c>
      <c r="G518" s="46">
        <v>24594</v>
      </c>
      <c r="H518" s="25">
        <v>126</v>
      </c>
      <c r="I518" s="46">
        <v>340.1</v>
      </c>
      <c r="J518" s="46">
        <v>42852.600000000006</v>
      </c>
      <c r="K518" s="46">
        <v>67446.600000000006</v>
      </c>
      <c r="L518" s="25">
        <v>20240326</v>
      </c>
      <c r="M518" s="170">
        <f t="shared" si="43"/>
        <v>126</v>
      </c>
      <c r="N518" s="171">
        <f t="shared" si="44"/>
        <v>0</v>
      </c>
    </row>
    <row r="519" spans="1:14" x14ac:dyDescent="0.25">
      <c r="A519" s="25" t="s">
        <v>3403</v>
      </c>
      <c r="B519" s="25" t="s">
        <v>11</v>
      </c>
      <c r="C519" s="25" t="s">
        <v>337</v>
      </c>
      <c r="D519" s="25" t="s">
        <v>35</v>
      </c>
      <c r="E519" s="25" t="s">
        <v>511</v>
      </c>
      <c r="F519" s="25">
        <v>1</v>
      </c>
      <c r="G519" s="46">
        <v>24594</v>
      </c>
      <c r="H519" s="25">
        <v>72</v>
      </c>
      <c r="I519" s="46">
        <v>340.1</v>
      </c>
      <c r="J519" s="46">
        <v>24487.200000000001</v>
      </c>
      <c r="K519" s="46">
        <v>49081.2</v>
      </c>
      <c r="L519" s="25">
        <v>20240327</v>
      </c>
      <c r="M519" s="170">
        <f t="shared" si="43"/>
        <v>77.2</v>
      </c>
      <c r="N519" s="171">
        <f t="shared" si="44"/>
        <v>5.2000000000000028</v>
      </c>
    </row>
    <row r="520" spans="1:14" x14ac:dyDescent="0.25">
      <c r="A520" s="25" t="s">
        <v>3406</v>
      </c>
      <c r="B520" s="25" t="s">
        <v>11</v>
      </c>
      <c r="C520" s="25" t="s">
        <v>28</v>
      </c>
      <c r="D520" s="25" t="s">
        <v>1099</v>
      </c>
      <c r="E520" s="25" t="s">
        <v>1100</v>
      </c>
      <c r="F520" s="25">
        <v>1</v>
      </c>
      <c r="G520" s="46">
        <v>24594</v>
      </c>
      <c r="H520" s="25">
        <v>61</v>
      </c>
      <c r="I520" s="46">
        <v>340.1</v>
      </c>
      <c r="J520" s="46">
        <v>20746.100000000002</v>
      </c>
      <c r="K520" s="46">
        <v>45340.100000000006</v>
      </c>
      <c r="L520" s="25">
        <v>20240327</v>
      </c>
      <c r="M520" s="170">
        <f t="shared" si="43"/>
        <v>61.4</v>
      </c>
      <c r="N520" s="171">
        <f t="shared" si="44"/>
        <v>0.39999999999999858</v>
      </c>
    </row>
    <row r="521" spans="1:14" x14ac:dyDescent="0.25">
      <c r="N521" s="171"/>
    </row>
    <row r="522" spans="1:14" x14ac:dyDescent="0.25">
      <c r="N522" s="171"/>
    </row>
    <row r="523" spans="1:14" x14ac:dyDescent="0.25">
      <c r="N523" s="171"/>
    </row>
    <row r="524" spans="1:14" x14ac:dyDescent="0.25">
      <c r="A524" s="25" t="s">
        <v>3522</v>
      </c>
      <c r="B524" s="25" t="s">
        <v>11</v>
      </c>
      <c r="C524" s="25" t="s">
        <v>270</v>
      </c>
      <c r="D524" s="25" t="s">
        <v>3523</v>
      </c>
      <c r="E524" s="25" t="s">
        <v>3524</v>
      </c>
      <c r="F524" s="25">
        <v>1</v>
      </c>
      <c r="G524" s="46">
        <v>27840</v>
      </c>
      <c r="H524" s="25">
        <v>173</v>
      </c>
      <c r="I524" s="46">
        <v>379.2</v>
      </c>
      <c r="J524" s="46">
        <v>65601.599999999991</v>
      </c>
      <c r="K524" s="46">
        <v>93441.599999999991</v>
      </c>
      <c r="L524" s="25">
        <v>20240403</v>
      </c>
      <c r="M524" s="170">
        <f t="shared" si="43"/>
        <v>164</v>
      </c>
      <c r="N524" s="171">
        <f t="shared" si="44"/>
        <v>-9</v>
      </c>
    </row>
    <row r="525" spans="1:14" x14ac:dyDescent="0.25">
      <c r="A525" s="25" t="s">
        <v>3510</v>
      </c>
      <c r="B525" s="25" t="s">
        <v>11</v>
      </c>
      <c r="C525" s="25" t="s">
        <v>29</v>
      </c>
      <c r="D525" s="25" t="s">
        <v>30</v>
      </c>
      <c r="E525" s="25" t="s">
        <v>509</v>
      </c>
      <c r="F525" s="25">
        <v>1</v>
      </c>
      <c r="G525" s="46">
        <v>27840</v>
      </c>
      <c r="H525" s="25">
        <v>158</v>
      </c>
      <c r="I525" s="46">
        <v>379.2</v>
      </c>
      <c r="J525" s="46">
        <v>59913.599999999999</v>
      </c>
      <c r="K525" s="46">
        <v>87753.600000000006</v>
      </c>
      <c r="L525" s="25">
        <v>20240409</v>
      </c>
      <c r="M525" s="170">
        <f t="shared" si="43"/>
        <v>158</v>
      </c>
      <c r="N525" s="171">
        <f t="shared" si="44"/>
        <v>0</v>
      </c>
    </row>
    <row r="526" spans="1:14" x14ac:dyDescent="0.25">
      <c r="A526" s="25" t="s">
        <v>3482</v>
      </c>
      <c r="B526" s="25" t="s">
        <v>11</v>
      </c>
      <c r="C526" s="25" t="s">
        <v>26</v>
      </c>
      <c r="D526" s="25" t="s">
        <v>226</v>
      </c>
      <c r="E526" s="25" t="s">
        <v>730</v>
      </c>
      <c r="F526" s="25">
        <v>1</v>
      </c>
      <c r="G526" s="46">
        <v>27840</v>
      </c>
      <c r="H526" s="25">
        <v>149</v>
      </c>
      <c r="I526" s="46">
        <v>379.2</v>
      </c>
      <c r="J526" s="46">
        <v>56500.799999999996</v>
      </c>
      <c r="K526" s="46">
        <v>84340.799999999988</v>
      </c>
      <c r="L526" s="25">
        <v>20240423</v>
      </c>
      <c r="M526" s="170">
        <f t="shared" si="43"/>
        <v>149</v>
      </c>
      <c r="N526" s="171">
        <f t="shared" si="44"/>
        <v>0</v>
      </c>
    </row>
    <row r="527" spans="1:14" x14ac:dyDescent="0.25">
      <c r="A527" s="25" t="s">
        <v>3479</v>
      </c>
      <c r="B527" s="25" t="s">
        <v>11</v>
      </c>
      <c r="C527" s="25" t="s">
        <v>270</v>
      </c>
      <c r="D527" s="25" t="s">
        <v>494</v>
      </c>
      <c r="E527" s="25" t="s">
        <v>495</v>
      </c>
      <c r="F527" s="25">
        <v>1</v>
      </c>
      <c r="G527" s="46">
        <v>27840</v>
      </c>
      <c r="H527" s="25">
        <v>123</v>
      </c>
      <c r="I527" s="46">
        <v>379.2</v>
      </c>
      <c r="J527" s="46">
        <v>46641.599999999999</v>
      </c>
      <c r="K527" s="46">
        <v>74481.600000000006</v>
      </c>
      <c r="L527" s="25">
        <v>20240425</v>
      </c>
      <c r="M527" s="170">
        <f t="shared" si="43"/>
        <v>123</v>
      </c>
      <c r="N527" s="171">
        <f t="shared" si="44"/>
        <v>0</v>
      </c>
    </row>
    <row r="528" spans="1:14" x14ac:dyDescent="0.25">
      <c r="A528" s="25" t="s">
        <v>3481</v>
      </c>
      <c r="B528" s="25" t="s">
        <v>11</v>
      </c>
      <c r="C528" s="25" t="s">
        <v>172</v>
      </c>
      <c r="D528" s="25" t="s">
        <v>195</v>
      </c>
      <c r="E528" s="25" t="s">
        <v>196</v>
      </c>
      <c r="F528" s="25">
        <v>1</v>
      </c>
      <c r="G528" s="46">
        <v>27840</v>
      </c>
      <c r="H528" s="25">
        <v>56</v>
      </c>
      <c r="I528" s="46">
        <v>379.2</v>
      </c>
      <c r="J528" s="46">
        <v>21235.200000000001</v>
      </c>
      <c r="K528" s="46">
        <v>49075.199999999997</v>
      </c>
      <c r="L528" s="25">
        <v>20240429</v>
      </c>
      <c r="M528" s="170">
        <f t="shared" si="43"/>
        <v>55.6</v>
      </c>
      <c r="N528" s="171">
        <f t="shared" si="44"/>
        <v>-0.39999999999999858</v>
      </c>
    </row>
    <row r="529" spans="1:14" x14ac:dyDescent="0.25">
      <c r="F529" s="25"/>
      <c r="G529" s="46"/>
      <c r="I529" s="46"/>
      <c r="J529" s="46"/>
      <c r="K529" s="46"/>
      <c r="N529" s="171"/>
    </row>
    <row r="530" spans="1:14" x14ac:dyDescent="0.25">
      <c r="A530" s="25" t="s">
        <v>3580</v>
      </c>
      <c r="B530" s="25" t="s">
        <v>11</v>
      </c>
      <c r="C530" s="25" t="s">
        <v>103</v>
      </c>
      <c r="D530" s="25" t="s">
        <v>104</v>
      </c>
      <c r="E530" s="25" t="s">
        <v>908</v>
      </c>
      <c r="F530" s="25">
        <v>1</v>
      </c>
      <c r="G530" s="46">
        <v>30902</v>
      </c>
      <c r="H530" s="25">
        <v>159</v>
      </c>
      <c r="I530" s="46">
        <v>398.2</v>
      </c>
      <c r="J530" s="46">
        <v>63313.799999999996</v>
      </c>
      <c r="K530" s="46">
        <v>94215.799999999988</v>
      </c>
      <c r="L530" s="25">
        <v>20240507</v>
      </c>
      <c r="M530" s="170">
        <f t="shared" ref="M530:M535" si="45">VLOOKUP(D530,tablapertex,11,FALSE)</f>
        <v>159</v>
      </c>
      <c r="N530" s="171">
        <f t="shared" ref="N530:N535" si="46">M530-H530</f>
        <v>0</v>
      </c>
    </row>
    <row r="531" spans="1:14" x14ac:dyDescent="0.25">
      <c r="A531" s="25" t="s">
        <v>3581</v>
      </c>
      <c r="B531" s="25" t="s">
        <v>11</v>
      </c>
      <c r="C531" s="25" t="s">
        <v>103</v>
      </c>
      <c r="D531" s="25" t="s">
        <v>104</v>
      </c>
      <c r="E531" s="25" t="s">
        <v>105</v>
      </c>
      <c r="F531" s="25">
        <v>1</v>
      </c>
      <c r="G531" s="46">
        <v>30902</v>
      </c>
      <c r="H531" s="25">
        <v>159</v>
      </c>
      <c r="I531" s="46">
        <v>398.2</v>
      </c>
      <c r="J531" s="46">
        <v>63313.799999999996</v>
      </c>
      <c r="K531" s="46">
        <v>94215.799999999988</v>
      </c>
      <c r="L531" s="25">
        <v>20240516</v>
      </c>
      <c r="M531" s="170">
        <f t="shared" si="45"/>
        <v>159</v>
      </c>
      <c r="N531" s="171">
        <f t="shared" si="46"/>
        <v>0</v>
      </c>
    </row>
    <row r="532" spans="1:14" x14ac:dyDescent="0.25">
      <c r="A532" s="25" t="s">
        <v>3562</v>
      </c>
      <c r="B532" s="25" t="s">
        <v>11</v>
      </c>
      <c r="C532" s="25" t="s">
        <v>337</v>
      </c>
      <c r="D532" s="25" t="s">
        <v>162</v>
      </c>
      <c r="E532" s="25" t="s">
        <v>3563</v>
      </c>
      <c r="F532" s="25">
        <v>1</v>
      </c>
      <c r="G532" s="46">
        <v>30902</v>
      </c>
      <c r="H532" s="25">
        <v>69</v>
      </c>
      <c r="I532" s="46">
        <v>398.2</v>
      </c>
      <c r="J532" s="46">
        <v>27475.8</v>
      </c>
      <c r="K532" s="46">
        <v>58377.8</v>
      </c>
      <c r="L532" s="25">
        <v>20240517</v>
      </c>
      <c r="M532" s="170">
        <f t="shared" si="45"/>
        <v>68.8</v>
      </c>
      <c r="N532" s="171">
        <f t="shared" si="46"/>
        <v>-0.20000000000000284</v>
      </c>
    </row>
    <row r="533" spans="1:14" x14ac:dyDescent="0.25">
      <c r="A533" s="25" t="s">
        <v>3548</v>
      </c>
      <c r="B533" s="25" t="s">
        <v>11</v>
      </c>
      <c r="C533" s="25" t="s">
        <v>28</v>
      </c>
      <c r="D533" s="25" t="s">
        <v>462</v>
      </c>
      <c r="E533" s="25" t="s">
        <v>463</v>
      </c>
      <c r="F533" s="25">
        <v>1</v>
      </c>
      <c r="G533" s="46">
        <v>30902</v>
      </c>
      <c r="H533" s="25">
        <v>45</v>
      </c>
      <c r="I533" s="46">
        <v>398.2</v>
      </c>
      <c r="J533" s="46">
        <v>17919</v>
      </c>
      <c r="K533" s="46">
        <v>48821</v>
      </c>
      <c r="L533" s="25">
        <v>20240523</v>
      </c>
      <c r="M533" s="170">
        <f t="shared" si="45"/>
        <v>45.4</v>
      </c>
      <c r="N533" s="171">
        <f t="shared" si="46"/>
        <v>0.39999999999999858</v>
      </c>
    </row>
    <row r="534" spans="1:14" x14ac:dyDescent="0.25">
      <c r="A534" s="25" t="s">
        <v>3546</v>
      </c>
      <c r="B534" s="25" t="s">
        <v>11</v>
      </c>
      <c r="C534" s="25" t="s">
        <v>270</v>
      </c>
      <c r="D534" s="25" t="s">
        <v>1639</v>
      </c>
      <c r="E534" s="25" t="s">
        <v>3547</v>
      </c>
      <c r="F534" s="25">
        <v>1</v>
      </c>
      <c r="G534" s="46">
        <v>30902</v>
      </c>
      <c r="H534" s="25">
        <v>86</v>
      </c>
      <c r="I534" s="46">
        <v>398.2</v>
      </c>
      <c r="J534" s="46">
        <v>34245.199999999997</v>
      </c>
      <c r="K534" s="46">
        <v>65147.199999999997</v>
      </c>
      <c r="L534" s="25">
        <v>20240527</v>
      </c>
      <c r="M534" s="170">
        <f t="shared" si="45"/>
        <v>86</v>
      </c>
      <c r="N534" s="171">
        <f t="shared" si="46"/>
        <v>0</v>
      </c>
    </row>
    <row r="535" spans="1:14" x14ac:dyDescent="0.25">
      <c r="A535" s="25" t="s">
        <v>3538</v>
      </c>
      <c r="B535" s="25" t="s">
        <v>11</v>
      </c>
      <c r="C535" s="25" t="s">
        <v>26</v>
      </c>
      <c r="D535" s="25" t="s">
        <v>497</v>
      </c>
      <c r="E535" s="25" t="s">
        <v>2282</v>
      </c>
      <c r="F535" s="25">
        <v>1</v>
      </c>
      <c r="G535" s="46">
        <v>30902</v>
      </c>
      <c r="H535" s="25">
        <v>152</v>
      </c>
      <c r="I535" s="46">
        <v>398.2</v>
      </c>
      <c r="J535" s="46">
        <v>60526.400000000001</v>
      </c>
      <c r="K535" s="46">
        <v>91428.4</v>
      </c>
      <c r="L535" s="25">
        <v>20240531</v>
      </c>
      <c r="M535" s="170">
        <f t="shared" si="45"/>
        <v>148</v>
      </c>
      <c r="N535" s="171">
        <f t="shared" si="46"/>
        <v>-4</v>
      </c>
    </row>
    <row r="536" spans="1:14" x14ac:dyDescent="0.25">
      <c r="N536" s="171"/>
    </row>
    <row r="537" spans="1:14" x14ac:dyDescent="0.25">
      <c r="N537" s="171"/>
    </row>
    <row r="538" spans="1:14" x14ac:dyDescent="0.25">
      <c r="A538" s="25" t="s">
        <v>3624</v>
      </c>
      <c r="B538" s="25" t="s">
        <v>11</v>
      </c>
      <c r="C538" s="25" t="s">
        <v>163</v>
      </c>
      <c r="D538" s="25" t="s">
        <v>164</v>
      </c>
      <c r="E538" s="25" t="s">
        <v>212</v>
      </c>
      <c r="F538" s="25">
        <v>1</v>
      </c>
      <c r="G538" s="46">
        <v>33621</v>
      </c>
      <c r="H538" s="25">
        <v>126</v>
      </c>
      <c r="I538" s="46">
        <v>428.5</v>
      </c>
      <c r="J538" s="46">
        <v>53991</v>
      </c>
      <c r="K538" s="46">
        <v>87612</v>
      </c>
      <c r="L538" s="25">
        <v>20240603</v>
      </c>
      <c r="M538" s="170">
        <f t="shared" ref="M538:M548" si="47">VLOOKUP(D538,tablapertex,11,FALSE)</f>
        <v>126</v>
      </c>
      <c r="N538" s="171">
        <f t="shared" ref="N538:N548" si="48">M538-H538</f>
        <v>0</v>
      </c>
    </row>
    <row r="539" spans="1:14" x14ac:dyDescent="0.25">
      <c r="A539" s="25" t="s">
        <v>3620</v>
      </c>
      <c r="B539" s="25" t="s">
        <v>11</v>
      </c>
      <c r="C539" s="25" t="s">
        <v>28</v>
      </c>
      <c r="D539" s="25" t="s">
        <v>1103</v>
      </c>
      <c r="E539" s="25" t="s">
        <v>1104</v>
      </c>
      <c r="F539" s="25">
        <v>1</v>
      </c>
      <c r="G539" s="46">
        <v>33621</v>
      </c>
      <c r="H539" s="25">
        <v>75</v>
      </c>
      <c r="I539" s="46">
        <v>428.5</v>
      </c>
      <c r="J539" s="46">
        <v>32137.5</v>
      </c>
      <c r="K539" s="46">
        <v>65758.5</v>
      </c>
      <c r="L539" s="25">
        <v>20240604</v>
      </c>
      <c r="M539" s="170">
        <f t="shared" si="47"/>
        <v>75.3</v>
      </c>
      <c r="N539" s="171">
        <f t="shared" si="48"/>
        <v>0.29999999999999716</v>
      </c>
    </row>
    <row r="540" spans="1:14" x14ac:dyDescent="0.25">
      <c r="A540" s="25" t="s">
        <v>3616</v>
      </c>
      <c r="B540" s="25" t="s">
        <v>11</v>
      </c>
      <c r="C540" s="25" t="s">
        <v>3617</v>
      </c>
      <c r="D540" s="25" t="s">
        <v>1634</v>
      </c>
      <c r="E540" s="25" t="s">
        <v>3618</v>
      </c>
      <c r="F540" s="25">
        <v>1</v>
      </c>
      <c r="G540" s="46">
        <v>33621</v>
      </c>
      <c r="H540" s="25">
        <v>72</v>
      </c>
      <c r="I540" s="46">
        <v>428.5</v>
      </c>
      <c r="J540" s="46">
        <v>30852</v>
      </c>
      <c r="K540" s="46">
        <v>64473</v>
      </c>
      <c r="L540" s="25">
        <v>20240605</v>
      </c>
      <c r="M540" s="170">
        <f t="shared" si="47"/>
        <v>77.2</v>
      </c>
      <c r="N540" s="171">
        <f t="shared" si="48"/>
        <v>5.2000000000000028</v>
      </c>
    </row>
    <row r="541" spans="1:14" x14ac:dyDescent="0.25">
      <c r="A541" s="25" t="s">
        <v>3606</v>
      </c>
      <c r="B541" s="25" t="s">
        <v>11</v>
      </c>
      <c r="C541" s="25" t="s">
        <v>26</v>
      </c>
      <c r="D541" s="25" t="s">
        <v>226</v>
      </c>
      <c r="E541" s="25" t="s">
        <v>730</v>
      </c>
      <c r="F541" s="25">
        <v>1</v>
      </c>
      <c r="G541" s="46">
        <v>33621</v>
      </c>
      <c r="H541" s="25">
        <v>149</v>
      </c>
      <c r="I541" s="46">
        <v>428.5</v>
      </c>
      <c r="J541" s="46">
        <v>63846.5</v>
      </c>
      <c r="K541" s="46">
        <v>97467.5</v>
      </c>
      <c r="L541" s="25">
        <v>20240607</v>
      </c>
      <c r="M541" s="170">
        <f t="shared" si="47"/>
        <v>149</v>
      </c>
      <c r="N541" s="171">
        <f t="shared" si="48"/>
        <v>0</v>
      </c>
    </row>
    <row r="542" spans="1:14" x14ac:dyDescent="0.25">
      <c r="A542" s="25" t="s">
        <v>3612</v>
      </c>
      <c r="B542" s="25" t="s">
        <v>11</v>
      </c>
      <c r="C542" s="25" t="s">
        <v>28</v>
      </c>
      <c r="D542" s="25" t="s">
        <v>1756</v>
      </c>
      <c r="E542" s="25" t="s">
        <v>3613</v>
      </c>
      <c r="F542" s="25">
        <v>1</v>
      </c>
      <c r="G542" s="46">
        <v>33621</v>
      </c>
      <c r="H542" s="25">
        <v>118</v>
      </c>
      <c r="I542" s="46">
        <v>428.5</v>
      </c>
      <c r="J542" s="46">
        <v>50563</v>
      </c>
      <c r="K542" s="46">
        <v>84184</v>
      </c>
      <c r="L542" s="25">
        <v>20240610</v>
      </c>
      <c r="M542" s="170">
        <f t="shared" si="47"/>
        <v>118</v>
      </c>
      <c r="N542" s="171">
        <f t="shared" si="48"/>
        <v>0</v>
      </c>
    </row>
    <row r="543" spans="1:14" x14ac:dyDescent="0.25">
      <c r="A543" s="25" t="s">
        <v>3595</v>
      </c>
      <c r="B543" s="25" t="s">
        <v>11</v>
      </c>
      <c r="C543" s="25" t="s">
        <v>103</v>
      </c>
      <c r="D543" s="25" t="s">
        <v>104</v>
      </c>
      <c r="E543" s="25" t="s">
        <v>3596</v>
      </c>
      <c r="F543" s="25">
        <v>1</v>
      </c>
      <c r="G543" s="46">
        <v>33621</v>
      </c>
      <c r="H543" s="25">
        <v>159</v>
      </c>
      <c r="I543" s="46">
        <v>428.5</v>
      </c>
      <c r="J543" s="46">
        <v>68131.5</v>
      </c>
      <c r="K543" s="46">
        <v>101752.5</v>
      </c>
      <c r="L543" s="25">
        <v>20240611</v>
      </c>
      <c r="M543" s="170">
        <f t="shared" si="47"/>
        <v>159</v>
      </c>
      <c r="N543" s="171">
        <f t="shared" si="48"/>
        <v>0</v>
      </c>
    </row>
    <row r="544" spans="1:14" x14ac:dyDescent="0.25">
      <c r="A544" s="25" t="s">
        <v>3604</v>
      </c>
      <c r="B544" s="25" t="s">
        <v>11</v>
      </c>
      <c r="C544" s="25" t="s">
        <v>337</v>
      </c>
      <c r="D544" s="25" t="s">
        <v>35</v>
      </c>
      <c r="E544" s="25" t="s">
        <v>1318</v>
      </c>
      <c r="F544" s="25">
        <v>1</v>
      </c>
      <c r="G544" s="46">
        <v>33621</v>
      </c>
      <c r="H544" s="25">
        <v>72</v>
      </c>
      <c r="I544" s="46">
        <v>428.5</v>
      </c>
      <c r="J544" s="46">
        <v>30852</v>
      </c>
      <c r="K544" s="46">
        <v>64473</v>
      </c>
      <c r="L544" s="25">
        <v>20240612</v>
      </c>
      <c r="M544" s="170">
        <f t="shared" si="47"/>
        <v>77.2</v>
      </c>
      <c r="N544" s="171">
        <f t="shared" si="48"/>
        <v>5.2000000000000028</v>
      </c>
    </row>
    <row r="545" spans="1:15" x14ac:dyDescent="0.25">
      <c r="A545" s="82" t="s">
        <v>3589</v>
      </c>
      <c r="B545" s="82" t="s">
        <v>11</v>
      </c>
      <c r="C545" s="82" t="s">
        <v>26</v>
      </c>
      <c r="D545" s="82" t="s">
        <v>226</v>
      </c>
      <c r="E545" s="82" t="s">
        <v>730</v>
      </c>
      <c r="F545" s="82">
        <v>1</v>
      </c>
      <c r="G545" s="83">
        <v>33621</v>
      </c>
      <c r="H545" s="82">
        <v>149</v>
      </c>
      <c r="I545" s="83">
        <v>428.5</v>
      </c>
      <c r="J545" s="83">
        <v>63846.5</v>
      </c>
      <c r="K545" s="83">
        <v>97467.5</v>
      </c>
      <c r="L545" s="82">
        <v>20240614</v>
      </c>
      <c r="M545" s="173">
        <f t="shared" si="47"/>
        <v>149</v>
      </c>
      <c r="N545" s="173">
        <f t="shared" si="48"/>
        <v>0</v>
      </c>
    </row>
    <row r="546" spans="1:15" x14ac:dyDescent="0.25">
      <c r="A546" s="82" t="s">
        <v>3591</v>
      </c>
      <c r="B546" s="82" t="s">
        <v>11</v>
      </c>
      <c r="C546" s="82" t="s">
        <v>163</v>
      </c>
      <c r="D546" s="82" t="s">
        <v>164</v>
      </c>
      <c r="E546" s="82" t="s">
        <v>185</v>
      </c>
      <c r="F546" s="82">
        <v>1</v>
      </c>
      <c r="G546" s="83">
        <v>33621</v>
      </c>
      <c r="H546" s="82">
        <v>126</v>
      </c>
      <c r="I546" s="83">
        <v>428.5</v>
      </c>
      <c r="J546" s="83">
        <v>53991</v>
      </c>
      <c r="K546" s="83">
        <v>87612</v>
      </c>
      <c r="L546" s="82">
        <v>20240614</v>
      </c>
      <c r="M546" s="173">
        <f t="shared" si="47"/>
        <v>126</v>
      </c>
      <c r="N546" s="173">
        <f t="shared" si="48"/>
        <v>0</v>
      </c>
      <c r="O546" s="25">
        <f>196-H545</f>
        <v>47</v>
      </c>
    </row>
    <row r="547" spans="1:15" s="26" customFormat="1" x14ac:dyDescent="0.25">
      <c r="A547" s="26" t="s">
        <v>3586</v>
      </c>
      <c r="B547" s="26" t="s">
        <v>11</v>
      </c>
      <c r="C547" s="26" t="s">
        <v>163</v>
      </c>
      <c r="D547" s="26" t="s">
        <v>164</v>
      </c>
      <c r="E547" s="26" t="s">
        <v>3030</v>
      </c>
      <c r="F547" s="26">
        <v>1</v>
      </c>
      <c r="G547" s="66">
        <v>33621</v>
      </c>
      <c r="H547" s="26">
        <v>59</v>
      </c>
      <c r="I547" s="66">
        <v>428.5</v>
      </c>
      <c r="J547" s="66">
        <v>25281.5</v>
      </c>
      <c r="K547" s="66">
        <v>58902.5</v>
      </c>
      <c r="L547" s="26">
        <v>20240625</v>
      </c>
      <c r="M547" s="171">
        <f t="shared" si="47"/>
        <v>126</v>
      </c>
      <c r="N547" s="171">
        <f t="shared" si="48"/>
        <v>67</v>
      </c>
    </row>
    <row r="548" spans="1:15" x14ac:dyDescent="0.25">
      <c r="A548" s="25" t="s">
        <v>3592</v>
      </c>
      <c r="B548" s="25" t="s">
        <v>11</v>
      </c>
      <c r="C548" s="25" t="s">
        <v>28</v>
      </c>
      <c r="D548" s="25" t="s">
        <v>1729</v>
      </c>
      <c r="E548" s="25" t="s">
        <v>3593</v>
      </c>
      <c r="F548" s="25">
        <v>1</v>
      </c>
      <c r="G548" s="46">
        <v>33621</v>
      </c>
      <c r="H548" s="25">
        <v>290</v>
      </c>
      <c r="I548" s="46">
        <v>428.5</v>
      </c>
      <c r="J548" s="46">
        <v>124265</v>
      </c>
      <c r="K548" s="46">
        <v>157886</v>
      </c>
      <c r="L548" s="25">
        <v>20240628</v>
      </c>
      <c r="M548" s="170">
        <f t="shared" si="47"/>
        <v>290</v>
      </c>
      <c r="N548" s="171">
        <f t="shared" si="48"/>
        <v>0</v>
      </c>
    </row>
    <row r="549" spans="1:15" x14ac:dyDescent="0.25">
      <c r="N549" s="171"/>
    </row>
    <row r="550" spans="1:15" x14ac:dyDescent="0.25">
      <c r="A550" s="25" t="s">
        <v>3685</v>
      </c>
      <c r="B550" s="25" t="s">
        <v>11</v>
      </c>
      <c r="C550" s="25" t="s">
        <v>28</v>
      </c>
      <c r="D550" s="25" t="s">
        <v>1160</v>
      </c>
      <c r="E550" s="25" t="s">
        <v>1161</v>
      </c>
      <c r="F550" s="25">
        <v>1</v>
      </c>
      <c r="G550" s="46">
        <v>35033</v>
      </c>
      <c r="H550" s="25">
        <v>57</v>
      </c>
      <c r="I550" s="46">
        <v>446.1</v>
      </c>
      <c r="J550" s="46">
        <v>25427.7</v>
      </c>
      <c r="K550" s="46">
        <v>60460.7</v>
      </c>
      <c r="L550" s="25">
        <v>20240701</v>
      </c>
      <c r="M550" s="170">
        <f t="shared" ref="M550:M577" si="49">VLOOKUP(D550,tablapertex,11,FALSE)</f>
        <v>56.5</v>
      </c>
      <c r="N550" s="171">
        <f t="shared" ref="N550:N577" si="50">M550-H550</f>
        <v>-0.5</v>
      </c>
    </row>
    <row r="551" spans="1:15" x14ac:dyDescent="0.25">
      <c r="A551" s="25" t="s">
        <v>3674</v>
      </c>
      <c r="B551" s="25" t="s">
        <v>11</v>
      </c>
      <c r="C551" s="25" t="s">
        <v>28</v>
      </c>
      <c r="D551" s="25" t="s">
        <v>1160</v>
      </c>
      <c r="E551" s="25" t="s">
        <v>1161</v>
      </c>
      <c r="F551" s="25">
        <v>1</v>
      </c>
      <c r="G551" s="46">
        <v>35033</v>
      </c>
      <c r="H551" s="25">
        <v>57</v>
      </c>
      <c r="I551" s="46">
        <v>446.1</v>
      </c>
      <c r="J551" s="46">
        <v>25427.7</v>
      </c>
      <c r="K551" s="46">
        <v>60460.7</v>
      </c>
      <c r="L551" s="25">
        <v>20240703</v>
      </c>
      <c r="M551" s="170">
        <f t="shared" si="49"/>
        <v>56.5</v>
      </c>
      <c r="N551" s="171">
        <f t="shared" si="50"/>
        <v>-0.5</v>
      </c>
    </row>
    <row r="552" spans="1:15" x14ac:dyDescent="0.25">
      <c r="A552" s="25" t="s">
        <v>3671</v>
      </c>
      <c r="B552" s="25" t="s">
        <v>11</v>
      </c>
      <c r="C552" s="25" t="s">
        <v>28</v>
      </c>
      <c r="D552" s="25" t="s">
        <v>1160</v>
      </c>
      <c r="E552" s="25" t="s">
        <v>1161</v>
      </c>
      <c r="F552" s="25">
        <v>1</v>
      </c>
      <c r="G552" s="46">
        <v>35033</v>
      </c>
      <c r="H552" s="25">
        <v>57</v>
      </c>
      <c r="I552" s="46">
        <v>446.1</v>
      </c>
      <c r="J552" s="46">
        <v>25427.7</v>
      </c>
      <c r="K552" s="46">
        <v>60460.7</v>
      </c>
      <c r="L552" s="25">
        <v>20240708</v>
      </c>
      <c r="M552" s="170">
        <f t="shared" si="49"/>
        <v>56.5</v>
      </c>
      <c r="N552" s="171">
        <f t="shared" si="50"/>
        <v>-0.5</v>
      </c>
    </row>
    <row r="553" spans="1:15" x14ac:dyDescent="0.25">
      <c r="A553" s="25" t="s">
        <v>3673</v>
      </c>
      <c r="B553" s="25" t="s">
        <v>11</v>
      </c>
      <c r="C553" s="25" t="s">
        <v>163</v>
      </c>
      <c r="D553" s="25" t="s">
        <v>164</v>
      </c>
      <c r="E553" s="25" t="s">
        <v>478</v>
      </c>
      <c r="F553" s="25">
        <v>1</v>
      </c>
      <c r="G553" s="46">
        <v>35033</v>
      </c>
      <c r="H553" s="25">
        <v>126</v>
      </c>
      <c r="I553" s="46">
        <v>446.1</v>
      </c>
      <c r="J553" s="46">
        <v>56208.600000000006</v>
      </c>
      <c r="K553" s="46">
        <v>91241.600000000006</v>
      </c>
      <c r="L553" s="25">
        <v>20240710</v>
      </c>
      <c r="M553" s="170">
        <f t="shared" si="49"/>
        <v>126</v>
      </c>
      <c r="N553" s="171">
        <f t="shared" si="50"/>
        <v>0</v>
      </c>
    </row>
    <row r="554" spans="1:15" x14ac:dyDescent="0.25">
      <c r="A554" s="25" t="s">
        <v>3669</v>
      </c>
      <c r="B554" s="25" t="s">
        <v>11</v>
      </c>
      <c r="C554" s="25" t="s">
        <v>28</v>
      </c>
      <c r="D554" s="25" t="s">
        <v>1729</v>
      </c>
      <c r="E554" s="25" t="s">
        <v>3593</v>
      </c>
      <c r="F554" s="25">
        <v>1</v>
      </c>
      <c r="G554" s="46">
        <v>35033</v>
      </c>
      <c r="H554" s="25">
        <v>290</v>
      </c>
      <c r="I554" s="46">
        <v>446.1</v>
      </c>
      <c r="J554" s="46">
        <v>129369</v>
      </c>
      <c r="K554" s="46">
        <v>164402</v>
      </c>
      <c r="L554" s="25">
        <v>20240712</v>
      </c>
      <c r="M554" s="170">
        <f t="shared" si="49"/>
        <v>290</v>
      </c>
      <c r="N554" s="171">
        <f t="shared" si="50"/>
        <v>0</v>
      </c>
    </row>
    <row r="555" spans="1:15" x14ac:dyDescent="0.25">
      <c r="A555" s="25" t="s">
        <v>3656</v>
      </c>
      <c r="B555" s="25" t="s">
        <v>1209</v>
      </c>
      <c r="C555" s="25" t="s">
        <v>28</v>
      </c>
      <c r="D555" s="25" t="s">
        <v>1160</v>
      </c>
      <c r="E555" s="25" t="s">
        <v>3643</v>
      </c>
      <c r="F555" s="25">
        <v>1</v>
      </c>
      <c r="G555" s="46">
        <v>35033</v>
      </c>
      <c r="H555" s="25">
        <v>57</v>
      </c>
      <c r="I555" s="46">
        <v>446.1</v>
      </c>
      <c r="J555" s="46">
        <v>25427.7</v>
      </c>
      <c r="K555" s="46">
        <v>60460.7</v>
      </c>
      <c r="L555" s="25">
        <v>20240717</v>
      </c>
      <c r="M555" s="170">
        <f t="shared" si="49"/>
        <v>56.5</v>
      </c>
      <c r="N555" s="171">
        <f t="shared" si="50"/>
        <v>-0.5</v>
      </c>
    </row>
    <row r="556" spans="1:15" x14ac:dyDescent="0.25">
      <c r="A556" s="25" t="s">
        <v>3642</v>
      </c>
      <c r="B556" s="25" t="s">
        <v>11</v>
      </c>
      <c r="C556" s="25" t="s">
        <v>28</v>
      </c>
      <c r="D556" s="25" t="s">
        <v>1160</v>
      </c>
      <c r="E556" s="25" t="s">
        <v>3643</v>
      </c>
      <c r="F556" s="25">
        <v>1</v>
      </c>
      <c r="G556" s="46">
        <v>35033</v>
      </c>
      <c r="H556" s="25">
        <v>57</v>
      </c>
      <c r="I556" s="46">
        <v>446.1</v>
      </c>
      <c r="J556" s="46">
        <v>25427.7</v>
      </c>
      <c r="K556" s="46">
        <v>60460.7</v>
      </c>
      <c r="L556" s="25">
        <v>20240719</v>
      </c>
      <c r="M556" s="170">
        <f t="shared" si="49"/>
        <v>56.5</v>
      </c>
      <c r="N556" s="171">
        <f t="shared" si="50"/>
        <v>-0.5</v>
      </c>
    </row>
    <row r="557" spans="1:15" x14ac:dyDescent="0.25">
      <c r="A557" s="25" t="s">
        <v>3670</v>
      </c>
      <c r="B557" s="25" t="s">
        <v>11</v>
      </c>
      <c r="C557" s="25" t="s">
        <v>103</v>
      </c>
      <c r="D557" s="25" t="s">
        <v>104</v>
      </c>
      <c r="E557" s="25" t="s">
        <v>105</v>
      </c>
      <c r="F557" s="25">
        <v>1</v>
      </c>
      <c r="G557" s="46">
        <v>35033</v>
      </c>
      <c r="H557" s="25">
        <v>159</v>
      </c>
      <c r="I557" s="46">
        <v>446.1</v>
      </c>
      <c r="J557" s="46">
        <v>70929.900000000009</v>
      </c>
      <c r="K557" s="46">
        <v>105962.90000000001</v>
      </c>
      <c r="L557" s="25">
        <v>20240725</v>
      </c>
      <c r="M557" s="170">
        <f t="shared" si="49"/>
        <v>159</v>
      </c>
      <c r="N557" s="171">
        <f t="shared" si="50"/>
        <v>0</v>
      </c>
    </row>
    <row r="558" spans="1:15" x14ac:dyDescent="0.25">
      <c r="A558" s="25" t="s">
        <v>3647</v>
      </c>
      <c r="B558" s="25" t="s">
        <v>11</v>
      </c>
      <c r="C558" s="25" t="s">
        <v>163</v>
      </c>
      <c r="D558" s="25" t="s">
        <v>164</v>
      </c>
      <c r="E558" s="25" t="s">
        <v>478</v>
      </c>
      <c r="F558" s="25">
        <v>1</v>
      </c>
      <c r="G558" s="46">
        <v>35033</v>
      </c>
      <c r="H558" s="25">
        <v>126</v>
      </c>
      <c r="I558" s="46">
        <v>446.1</v>
      </c>
      <c r="J558" s="46">
        <v>56208.600000000006</v>
      </c>
      <c r="K558" s="46">
        <v>91241.600000000006</v>
      </c>
      <c r="L558" s="25">
        <v>20240729</v>
      </c>
      <c r="M558" s="170">
        <f t="shared" si="49"/>
        <v>126</v>
      </c>
      <c r="N558" s="171">
        <f t="shared" si="50"/>
        <v>0</v>
      </c>
    </row>
    <row r="559" spans="1:15" x14ac:dyDescent="0.25">
      <c r="N559" s="171"/>
    </row>
    <row r="560" spans="1:15" x14ac:dyDescent="0.25">
      <c r="A560" s="25" t="s">
        <v>3740</v>
      </c>
      <c r="B560" s="25" t="s">
        <v>11</v>
      </c>
      <c r="C560" s="25" t="s">
        <v>337</v>
      </c>
      <c r="D560" s="25" t="s">
        <v>162</v>
      </c>
      <c r="E560" s="25" t="s">
        <v>3741</v>
      </c>
      <c r="F560" s="25">
        <v>1</v>
      </c>
      <c r="G560" s="46">
        <v>35033</v>
      </c>
      <c r="H560" s="25">
        <v>69</v>
      </c>
      <c r="I560" s="46">
        <v>446.1</v>
      </c>
      <c r="J560" s="46">
        <v>30780.9</v>
      </c>
      <c r="K560" s="46">
        <v>65813.899999999994</v>
      </c>
      <c r="L560" s="25">
        <v>20240801</v>
      </c>
      <c r="M560" s="170">
        <f t="shared" si="49"/>
        <v>68.8</v>
      </c>
      <c r="N560" s="171">
        <f t="shared" si="50"/>
        <v>-0.20000000000000284</v>
      </c>
    </row>
    <row r="561" spans="1:15" x14ac:dyDescent="0.25">
      <c r="A561" s="25" t="s">
        <v>3737</v>
      </c>
      <c r="B561" s="25" t="s">
        <v>11</v>
      </c>
      <c r="C561" s="25" t="s">
        <v>163</v>
      </c>
      <c r="D561" s="25" t="s">
        <v>164</v>
      </c>
      <c r="E561" s="25" t="s">
        <v>212</v>
      </c>
      <c r="F561" s="25">
        <v>1</v>
      </c>
      <c r="G561" s="46">
        <v>35033</v>
      </c>
      <c r="H561" s="25">
        <v>126</v>
      </c>
      <c r="I561" s="46">
        <v>441.8</v>
      </c>
      <c r="J561" s="46">
        <v>55666.8</v>
      </c>
      <c r="K561" s="46">
        <v>90699.8</v>
      </c>
      <c r="L561" s="25">
        <v>20240802</v>
      </c>
      <c r="M561" s="170">
        <f t="shared" si="49"/>
        <v>126</v>
      </c>
      <c r="N561" s="171">
        <f t="shared" si="50"/>
        <v>0</v>
      </c>
    </row>
    <row r="562" spans="1:15" x14ac:dyDescent="0.25">
      <c r="A562" s="42" t="s">
        <v>3739</v>
      </c>
      <c r="B562" s="42" t="s">
        <v>11</v>
      </c>
      <c r="C562" s="42" t="s">
        <v>45</v>
      </c>
      <c r="D562" s="42" t="s">
        <v>3384</v>
      </c>
      <c r="E562" s="42" t="s">
        <v>3385</v>
      </c>
      <c r="F562" s="42">
        <v>1</v>
      </c>
      <c r="G562" s="67">
        <v>35033</v>
      </c>
      <c r="H562" s="42">
        <v>37</v>
      </c>
      <c r="I562" s="67">
        <v>441.8</v>
      </c>
      <c r="J562" s="67">
        <v>16346.6</v>
      </c>
      <c r="K562" s="67">
        <v>51379.6</v>
      </c>
      <c r="L562" s="42">
        <v>20240805</v>
      </c>
      <c r="M562" s="172">
        <f t="shared" si="49"/>
        <v>39</v>
      </c>
      <c r="N562" s="173">
        <f t="shared" si="50"/>
        <v>2</v>
      </c>
    </row>
    <row r="563" spans="1:15" x14ac:dyDescent="0.25">
      <c r="A563" s="25" t="s">
        <v>3735</v>
      </c>
      <c r="B563" s="25" t="s">
        <v>11</v>
      </c>
      <c r="C563" s="25" t="s">
        <v>103</v>
      </c>
      <c r="D563" s="25" t="s">
        <v>104</v>
      </c>
      <c r="E563" s="25" t="s">
        <v>105</v>
      </c>
      <c r="F563" s="25">
        <v>1</v>
      </c>
      <c r="G563" s="46">
        <v>35033</v>
      </c>
      <c r="H563" s="25">
        <v>159</v>
      </c>
      <c r="I563" s="46">
        <v>441.8</v>
      </c>
      <c r="J563" s="46">
        <v>70246.2</v>
      </c>
      <c r="K563" s="46">
        <v>105279.2</v>
      </c>
      <c r="L563" s="25">
        <v>20240806</v>
      </c>
      <c r="M563" s="170">
        <f t="shared" si="49"/>
        <v>159</v>
      </c>
      <c r="N563" s="171">
        <f t="shared" si="50"/>
        <v>0</v>
      </c>
    </row>
    <row r="564" spans="1:15" s="26" customFormat="1" x14ac:dyDescent="0.25">
      <c r="A564" s="26" t="s">
        <v>3729</v>
      </c>
      <c r="B564" s="26" t="s">
        <v>11</v>
      </c>
      <c r="C564" s="26" t="s">
        <v>28</v>
      </c>
      <c r="D564" s="26" t="s">
        <v>1183</v>
      </c>
      <c r="E564" s="26" t="s">
        <v>1184</v>
      </c>
      <c r="F564" s="26">
        <v>1</v>
      </c>
      <c r="G564" s="66">
        <v>35033</v>
      </c>
      <c r="H564" s="26">
        <v>138</v>
      </c>
      <c r="I564" s="66">
        <v>441.8</v>
      </c>
      <c r="J564" s="66">
        <v>60968.4</v>
      </c>
      <c r="K564" s="66">
        <v>96001.4</v>
      </c>
      <c r="L564" s="26">
        <v>20240807</v>
      </c>
      <c r="M564" s="171">
        <f t="shared" si="49"/>
        <v>138</v>
      </c>
      <c r="N564" s="171">
        <f t="shared" si="50"/>
        <v>0</v>
      </c>
      <c r="O564" s="26" t="s">
        <v>24</v>
      </c>
    </row>
    <row r="565" spans="1:15" s="26" customFormat="1" x14ac:dyDescent="0.25">
      <c r="A565" s="26" t="s">
        <v>3730</v>
      </c>
      <c r="B565" s="26" t="s">
        <v>11</v>
      </c>
      <c r="C565" s="26" t="s">
        <v>26</v>
      </c>
      <c r="D565" s="26" t="s">
        <v>3037</v>
      </c>
      <c r="E565" s="26" t="s">
        <v>3046</v>
      </c>
      <c r="F565" s="26">
        <v>1</v>
      </c>
      <c r="G565" s="66">
        <v>35033</v>
      </c>
      <c r="H565" s="26">
        <v>76</v>
      </c>
      <c r="I565" s="66">
        <v>441.8</v>
      </c>
      <c r="J565" s="66">
        <v>33576.800000000003</v>
      </c>
      <c r="K565" s="66">
        <v>68609.8</v>
      </c>
      <c r="L565" s="26">
        <v>20240807</v>
      </c>
      <c r="M565" s="171">
        <f t="shared" si="49"/>
        <v>75.7</v>
      </c>
      <c r="N565" s="171">
        <f t="shared" si="50"/>
        <v>-0.29999999999999716</v>
      </c>
      <c r="O565" s="26" t="s">
        <v>3762</v>
      </c>
    </row>
    <row r="566" spans="1:15" x14ac:dyDescent="0.25">
      <c r="A566" s="25" t="s">
        <v>3718</v>
      </c>
      <c r="B566" s="25" t="s">
        <v>11</v>
      </c>
      <c r="C566" s="25" t="s">
        <v>28</v>
      </c>
      <c r="D566" s="25" t="s">
        <v>1183</v>
      </c>
      <c r="E566" s="25" t="s">
        <v>1184</v>
      </c>
      <c r="F566" s="25">
        <v>1</v>
      </c>
      <c r="G566" s="46">
        <v>35033</v>
      </c>
      <c r="H566" s="25">
        <v>138</v>
      </c>
      <c r="I566" s="46">
        <v>441.8</v>
      </c>
      <c r="J566" s="46">
        <v>60968.4</v>
      </c>
      <c r="K566" s="46">
        <v>96001.4</v>
      </c>
      <c r="L566" s="25">
        <v>20240813</v>
      </c>
      <c r="M566" s="170">
        <f t="shared" si="49"/>
        <v>138</v>
      </c>
      <c r="N566" s="171">
        <f t="shared" si="50"/>
        <v>0</v>
      </c>
    </row>
    <row r="567" spans="1:15" x14ac:dyDescent="0.25">
      <c r="A567" s="25" t="s">
        <v>3721</v>
      </c>
      <c r="B567" s="25" t="s">
        <v>137</v>
      </c>
      <c r="C567" s="25" t="s">
        <v>34</v>
      </c>
      <c r="D567" s="25" t="s">
        <v>35</v>
      </c>
      <c r="E567" s="25" t="s">
        <v>3722</v>
      </c>
      <c r="F567" s="25">
        <v>1</v>
      </c>
      <c r="G567" s="46">
        <v>17519</v>
      </c>
      <c r="H567" s="25">
        <v>78</v>
      </c>
      <c r="I567" s="46">
        <v>441.8</v>
      </c>
      <c r="J567" s="46">
        <v>34460.400000000001</v>
      </c>
      <c r="K567" s="46">
        <v>51979.4</v>
      </c>
      <c r="L567" s="25">
        <v>20240815</v>
      </c>
      <c r="M567" s="170">
        <v>78</v>
      </c>
      <c r="N567" s="171">
        <f t="shared" si="50"/>
        <v>0</v>
      </c>
    </row>
    <row r="568" spans="1:15" x14ac:dyDescent="0.25">
      <c r="A568" s="42" t="s">
        <v>3702</v>
      </c>
      <c r="B568" s="42" t="s">
        <v>11</v>
      </c>
      <c r="C568" s="42" t="s">
        <v>29</v>
      </c>
      <c r="D568" s="42" t="s">
        <v>3494</v>
      </c>
      <c r="E568" s="42" t="s">
        <v>3495</v>
      </c>
      <c r="F568" s="42">
        <v>1</v>
      </c>
      <c r="G568" s="67">
        <v>35033</v>
      </c>
      <c r="H568" s="42">
        <v>52</v>
      </c>
      <c r="I568" s="67">
        <v>441.8</v>
      </c>
      <c r="J568" s="67">
        <v>22973.600000000002</v>
      </c>
      <c r="K568" s="67">
        <v>58006.600000000006</v>
      </c>
      <c r="L568" s="42">
        <v>20240821</v>
      </c>
      <c r="M568" s="172">
        <f t="shared" si="49"/>
        <v>27.1</v>
      </c>
      <c r="N568" s="173">
        <f t="shared" si="50"/>
        <v>-24.9</v>
      </c>
    </row>
    <row r="569" spans="1:15" x14ac:dyDescent="0.25">
      <c r="A569" s="25" t="s">
        <v>3712</v>
      </c>
      <c r="B569" s="25" t="s">
        <v>11</v>
      </c>
      <c r="C569" s="25" t="s">
        <v>103</v>
      </c>
      <c r="D569" s="25" t="s">
        <v>104</v>
      </c>
      <c r="E569" s="25" t="s">
        <v>3596</v>
      </c>
      <c r="F569" s="25">
        <v>1</v>
      </c>
      <c r="G569" s="46">
        <v>35033</v>
      </c>
      <c r="H569" s="25">
        <v>159</v>
      </c>
      <c r="I569" s="46">
        <v>441.8</v>
      </c>
      <c r="J569" s="46">
        <v>70246.2</v>
      </c>
      <c r="K569" s="46">
        <v>105279.2</v>
      </c>
      <c r="L569" s="25">
        <v>20240821</v>
      </c>
      <c r="M569" s="170">
        <f t="shared" si="49"/>
        <v>159</v>
      </c>
      <c r="N569" s="171">
        <f t="shared" si="50"/>
        <v>0</v>
      </c>
    </row>
    <row r="570" spans="1:15" x14ac:dyDescent="0.25">
      <c r="A570" s="25" t="s">
        <v>3703</v>
      </c>
      <c r="B570" s="25" t="s">
        <v>11</v>
      </c>
      <c r="C570" s="25" t="s">
        <v>337</v>
      </c>
      <c r="D570" s="25" t="s">
        <v>35</v>
      </c>
      <c r="E570" s="25" t="s">
        <v>402</v>
      </c>
      <c r="F570" s="25">
        <v>1</v>
      </c>
      <c r="G570" s="46">
        <v>35033</v>
      </c>
      <c r="H570" s="25">
        <v>72</v>
      </c>
      <c r="I570" s="46">
        <v>441.8</v>
      </c>
      <c r="J570" s="46">
        <v>31809.600000000002</v>
      </c>
      <c r="K570" s="46">
        <v>66842.600000000006</v>
      </c>
      <c r="L570" s="25">
        <v>20240827</v>
      </c>
      <c r="M570" s="170">
        <f t="shared" si="49"/>
        <v>77.2</v>
      </c>
      <c r="N570" s="171">
        <f t="shared" si="50"/>
        <v>5.2000000000000028</v>
      </c>
    </row>
    <row r="571" spans="1:15" x14ac:dyDescent="0.25">
      <c r="N571" s="171"/>
    </row>
    <row r="572" spans="1:15" x14ac:dyDescent="0.25">
      <c r="A572" s="25" t="s">
        <v>3793</v>
      </c>
      <c r="B572" s="25" t="s">
        <v>11</v>
      </c>
      <c r="C572" s="25" t="s">
        <v>26</v>
      </c>
      <c r="D572" s="25" t="s">
        <v>141</v>
      </c>
      <c r="E572" s="25" t="s">
        <v>605</v>
      </c>
      <c r="F572" s="25"/>
      <c r="G572" s="46">
        <v>35033</v>
      </c>
      <c r="H572" s="25">
        <v>138</v>
      </c>
      <c r="I572" s="46">
        <v>441.8</v>
      </c>
      <c r="J572" s="46">
        <v>60968.4</v>
      </c>
      <c r="K572" s="46">
        <v>96001.4</v>
      </c>
      <c r="L572" s="25">
        <v>20240910</v>
      </c>
      <c r="M572" s="170">
        <f t="shared" si="49"/>
        <v>138</v>
      </c>
      <c r="N572" s="171">
        <f t="shared" si="50"/>
        <v>0</v>
      </c>
    </row>
    <row r="573" spans="1:15" x14ac:dyDescent="0.25">
      <c r="A573" s="42" t="s">
        <v>3783</v>
      </c>
      <c r="B573" s="42" t="s">
        <v>11</v>
      </c>
      <c r="C573" s="42" t="s">
        <v>29</v>
      </c>
      <c r="D573" s="42" t="s">
        <v>3494</v>
      </c>
      <c r="E573" s="42" t="s">
        <v>3631</v>
      </c>
      <c r="F573" s="42"/>
      <c r="G573" s="67">
        <v>35033</v>
      </c>
      <c r="H573" s="42">
        <v>27</v>
      </c>
      <c r="I573" s="67">
        <v>441.8</v>
      </c>
      <c r="J573" s="67">
        <v>11928.6</v>
      </c>
      <c r="K573" s="67">
        <v>46961.599999999999</v>
      </c>
      <c r="L573" s="42">
        <v>20240912</v>
      </c>
      <c r="M573" s="172">
        <f t="shared" si="49"/>
        <v>27.1</v>
      </c>
      <c r="N573" s="173">
        <f t="shared" si="50"/>
        <v>0.10000000000000142</v>
      </c>
    </row>
    <row r="574" spans="1:15" x14ac:dyDescent="0.25">
      <c r="A574" s="25" t="s">
        <v>3780</v>
      </c>
      <c r="B574" s="25" t="s">
        <v>1209</v>
      </c>
      <c r="C574" s="25" t="s">
        <v>45</v>
      </c>
      <c r="D574" s="25" t="s">
        <v>46</v>
      </c>
      <c r="E574" s="25" t="s">
        <v>3781</v>
      </c>
      <c r="F574" s="25"/>
      <c r="G574" s="46">
        <v>35033</v>
      </c>
      <c r="H574" s="25">
        <v>71</v>
      </c>
      <c r="I574" s="46">
        <v>441.8</v>
      </c>
      <c r="J574" s="46">
        <v>31367.8</v>
      </c>
      <c r="K574" s="46">
        <v>66400.800000000003</v>
      </c>
      <c r="L574" s="25">
        <v>20240917</v>
      </c>
      <c r="M574" s="170">
        <f t="shared" si="49"/>
        <v>71.3</v>
      </c>
      <c r="N574" s="171">
        <f t="shared" si="50"/>
        <v>0.29999999999999716</v>
      </c>
    </row>
    <row r="575" spans="1:15" x14ac:dyDescent="0.25">
      <c r="A575" s="25" t="s">
        <v>3784</v>
      </c>
      <c r="B575" s="25" t="s">
        <v>11</v>
      </c>
      <c r="C575" s="25" t="s">
        <v>270</v>
      </c>
      <c r="D575" s="25" t="s">
        <v>494</v>
      </c>
      <c r="E575" s="25" t="s">
        <v>1212</v>
      </c>
      <c r="F575" s="25"/>
      <c r="G575" s="46">
        <v>35033</v>
      </c>
      <c r="H575" s="25">
        <v>123</v>
      </c>
      <c r="I575" s="46">
        <v>441.8</v>
      </c>
      <c r="J575" s="46">
        <v>54341.4</v>
      </c>
      <c r="K575" s="46">
        <v>89374.399999999994</v>
      </c>
      <c r="L575" s="25">
        <v>20240920</v>
      </c>
      <c r="M575" s="170">
        <f t="shared" si="49"/>
        <v>123</v>
      </c>
      <c r="N575" s="171">
        <f t="shared" si="50"/>
        <v>0</v>
      </c>
    </row>
    <row r="576" spans="1:15" x14ac:dyDescent="0.25">
      <c r="A576" s="25" t="s">
        <v>3768</v>
      </c>
      <c r="B576" s="25" t="s">
        <v>11</v>
      </c>
      <c r="C576" s="25" t="s">
        <v>28</v>
      </c>
      <c r="D576" s="25" t="s">
        <v>1160</v>
      </c>
      <c r="E576" s="25" t="s">
        <v>3643</v>
      </c>
      <c r="F576" s="25"/>
      <c r="G576" s="46">
        <v>35033</v>
      </c>
      <c r="H576" s="25">
        <v>57</v>
      </c>
      <c r="I576" s="46">
        <v>441.8</v>
      </c>
      <c r="J576" s="46">
        <v>25182.600000000002</v>
      </c>
      <c r="K576" s="46">
        <v>60215.600000000006</v>
      </c>
      <c r="L576" s="25">
        <v>20240923</v>
      </c>
      <c r="M576" s="170">
        <f t="shared" si="49"/>
        <v>56.5</v>
      </c>
      <c r="N576" s="171">
        <f t="shared" si="50"/>
        <v>-0.5</v>
      </c>
    </row>
    <row r="577" spans="1:14" x14ac:dyDescent="0.25">
      <c r="A577" s="25" t="s">
        <v>3765</v>
      </c>
      <c r="B577" s="25" t="s">
        <v>11</v>
      </c>
      <c r="C577" s="25" t="s">
        <v>337</v>
      </c>
      <c r="D577" s="25" t="s">
        <v>35</v>
      </c>
      <c r="E577" s="25" t="s">
        <v>157</v>
      </c>
      <c r="F577" s="25"/>
      <c r="G577" s="46">
        <v>35033</v>
      </c>
      <c r="H577" s="25">
        <v>72</v>
      </c>
      <c r="I577" s="46">
        <v>441.8</v>
      </c>
      <c r="J577" s="46">
        <v>31809.600000000002</v>
      </c>
      <c r="K577" s="46">
        <v>66842.600000000006</v>
      </c>
      <c r="L577" s="25">
        <v>20240925</v>
      </c>
      <c r="M577" s="170">
        <f t="shared" si="49"/>
        <v>77.2</v>
      </c>
      <c r="N577" s="171">
        <f t="shared" si="50"/>
        <v>5.2000000000000028</v>
      </c>
    </row>
    <row r="578" spans="1:14" x14ac:dyDescent="0.25">
      <c r="F578" s="25"/>
      <c r="G578" s="46"/>
      <c r="I578" s="46"/>
      <c r="J578" s="46"/>
      <c r="K578" s="46"/>
      <c r="N578" s="171"/>
    </row>
    <row r="579" spans="1:14" x14ac:dyDescent="0.25">
      <c r="A579" s="25" t="s">
        <v>3927</v>
      </c>
      <c r="B579" s="25" t="s">
        <v>11</v>
      </c>
      <c r="C579" s="25" t="s">
        <v>3112</v>
      </c>
      <c r="D579" s="25" t="s">
        <v>3928</v>
      </c>
      <c r="E579" s="25" t="s">
        <v>3929</v>
      </c>
      <c r="F579" s="25">
        <v>1</v>
      </c>
      <c r="G579" s="46">
        <v>39692</v>
      </c>
      <c r="H579" s="25">
        <v>163</v>
      </c>
      <c r="I579" s="46">
        <v>495.3</v>
      </c>
      <c r="J579" s="46">
        <v>80733.900000000009</v>
      </c>
      <c r="K579" s="46">
        <v>120425.90000000001</v>
      </c>
      <c r="L579" s="25">
        <v>20241002</v>
      </c>
      <c r="M579" s="170">
        <f t="shared" ref="M579:M609" si="51">VLOOKUP(D579,tablapertex,11,FALSE)</f>
        <v>163</v>
      </c>
      <c r="N579" s="171">
        <f t="shared" ref="N579:N609" si="52">M579-H579</f>
        <v>0</v>
      </c>
    </row>
    <row r="580" spans="1:14" s="26" customFormat="1" x14ac:dyDescent="0.25">
      <c r="A580" s="26" t="s">
        <v>3919</v>
      </c>
      <c r="B580" s="26" t="s">
        <v>11</v>
      </c>
      <c r="C580" s="26" t="s">
        <v>29</v>
      </c>
      <c r="D580" s="26" t="s">
        <v>3494</v>
      </c>
      <c r="E580" s="26" t="s">
        <v>3495</v>
      </c>
      <c r="F580" s="26">
        <v>1</v>
      </c>
      <c r="G580" s="66">
        <v>39692</v>
      </c>
      <c r="H580" s="26">
        <v>27</v>
      </c>
      <c r="I580" s="66">
        <v>495.3</v>
      </c>
      <c r="J580" s="66">
        <v>13373.1</v>
      </c>
      <c r="K580" s="66">
        <v>53065.1</v>
      </c>
      <c r="L580" s="26">
        <v>20241003</v>
      </c>
      <c r="M580" s="171">
        <f t="shared" si="51"/>
        <v>27.1</v>
      </c>
      <c r="N580" s="171">
        <f t="shared" si="52"/>
        <v>0.10000000000000142</v>
      </c>
    </row>
    <row r="581" spans="1:14" s="42" customFormat="1" x14ac:dyDescent="0.25">
      <c r="A581" s="42" t="s">
        <v>3916</v>
      </c>
      <c r="B581" s="42" t="s">
        <v>1209</v>
      </c>
      <c r="C581" s="42" t="s">
        <v>654</v>
      </c>
      <c r="D581" s="42" t="s">
        <v>1470</v>
      </c>
      <c r="E581" s="42" t="s">
        <v>3917</v>
      </c>
      <c r="F581" s="42">
        <v>1</v>
      </c>
      <c r="G581" s="67">
        <v>39692</v>
      </c>
      <c r="H581" s="42">
        <v>39</v>
      </c>
      <c r="I581" s="67">
        <v>495.3</v>
      </c>
      <c r="J581" s="67">
        <v>19316.7</v>
      </c>
      <c r="K581" s="67">
        <v>59008.7</v>
      </c>
      <c r="L581" s="42">
        <v>20241004</v>
      </c>
      <c r="M581" s="172">
        <f t="shared" si="51"/>
        <v>37.200000000000003</v>
      </c>
      <c r="N581" s="173">
        <f t="shared" si="52"/>
        <v>-1.7999999999999972</v>
      </c>
    </row>
    <row r="582" spans="1:14" x14ac:dyDescent="0.25">
      <c r="A582" s="25" t="s">
        <v>3920</v>
      </c>
      <c r="B582" s="25" t="s">
        <v>11</v>
      </c>
      <c r="C582" s="25" t="s">
        <v>163</v>
      </c>
      <c r="D582" s="25" t="s">
        <v>164</v>
      </c>
      <c r="E582" s="25" t="s">
        <v>3030</v>
      </c>
      <c r="F582" s="25">
        <v>1</v>
      </c>
      <c r="G582" s="46">
        <v>39692</v>
      </c>
      <c r="H582" s="25">
        <v>126</v>
      </c>
      <c r="I582" s="46">
        <v>495.3</v>
      </c>
      <c r="J582" s="46">
        <v>62407.8</v>
      </c>
      <c r="K582" s="46">
        <v>102099.8</v>
      </c>
      <c r="L582" s="25">
        <v>20241004</v>
      </c>
      <c r="M582" s="170">
        <f t="shared" si="51"/>
        <v>126</v>
      </c>
      <c r="N582" s="171">
        <f t="shared" si="52"/>
        <v>0</v>
      </c>
    </row>
    <row r="583" spans="1:14" x14ac:dyDescent="0.25">
      <c r="A583" s="25" t="s">
        <v>3922</v>
      </c>
      <c r="B583" s="25" t="s">
        <v>11</v>
      </c>
      <c r="C583" s="25" t="s">
        <v>337</v>
      </c>
      <c r="D583" s="25" t="s">
        <v>162</v>
      </c>
      <c r="E583" s="25" t="s">
        <v>219</v>
      </c>
      <c r="F583" s="25">
        <v>1</v>
      </c>
      <c r="G583" s="46">
        <v>39692</v>
      </c>
      <c r="H583" s="25">
        <v>69</v>
      </c>
      <c r="I583" s="46">
        <v>495.3</v>
      </c>
      <c r="J583" s="46">
        <v>34175.700000000004</v>
      </c>
      <c r="K583" s="46">
        <v>73867.700000000012</v>
      </c>
      <c r="L583" s="25">
        <v>20241015</v>
      </c>
      <c r="M583" s="170">
        <f t="shared" si="51"/>
        <v>68.8</v>
      </c>
      <c r="N583" s="171">
        <f t="shared" si="52"/>
        <v>-0.20000000000000284</v>
      </c>
    </row>
    <row r="584" spans="1:14" x14ac:dyDescent="0.25">
      <c r="A584" s="25" t="s">
        <v>3892</v>
      </c>
      <c r="B584" s="25" t="s">
        <v>11</v>
      </c>
      <c r="C584" s="25" t="s">
        <v>270</v>
      </c>
      <c r="D584" s="25" t="s">
        <v>368</v>
      </c>
      <c r="E584" s="25" t="s">
        <v>369</v>
      </c>
      <c r="F584" s="25">
        <v>1</v>
      </c>
      <c r="G584" s="46">
        <v>39692</v>
      </c>
      <c r="H584" s="25">
        <v>137</v>
      </c>
      <c r="I584" s="46">
        <v>495.3</v>
      </c>
      <c r="J584" s="46">
        <v>67856.100000000006</v>
      </c>
      <c r="K584" s="46">
        <v>107548.1</v>
      </c>
      <c r="L584" s="25">
        <v>20241016</v>
      </c>
      <c r="M584" s="170">
        <f t="shared" si="51"/>
        <v>111</v>
      </c>
      <c r="N584" s="171">
        <f t="shared" si="52"/>
        <v>-26</v>
      </c>
    </row>
    <row r="585" spans="1:14" x14ac:dyDescent="0.25">
      <c r="A585" s="25" t="s">
        <v>3876</v>
      </c>
      <c r="B585" s="25" t="s">
        <v>11</v>
      </c>
      <c r="C585" s="25" t="s">
        <v>3877</v>
      </c>
      <c r="D585" s="25" t="s">
        <v>1634</v>
      </c>
      <c r="E585" s="25" t="s">
        <v>3618</v>
      </c>
      <c r="F585" s="25">
        <v>1</v>
      </c>
      <c r="G585" s="46">
        <v>39692</v>
      </c>
      <c r="H585" s="25">
        <v>72</v>
      </c>
      <c r="I585" s="46">
        <v>495.3</v>
      </c>
      <c r="J585" s="46">
        <v>35661.599999999999</v>
      </c>
      <c r="K585" s="46">
        <v>75353.600000000006</v>
      </c>
      <c r="L585" s="25">
        <v>20241024</v>
      </c>
      <c r="M585" s="170">
        <f t="shared" si="51"/>
        <v>77.2</v>
      </c>
      <c r="N585" s="171">
        <f t="shared" si="52"/>
        <v>5.2000000000000028</v>
      </c>
    </row>
    <row r="586" spans="1:14" s="42" customFormat="1" x14ac:dyDescent="0.25">
      <c r="A586" s="42" t="s">
        <v>3900</v>
      </c>
      <c r="B586" s="42" t="s">
        <v>1209</v>
      </c>
      <c r="C586" s="42" t="s">
        <v>3901</v>
      </c>
      <c r="D586" s="42" t="s">
        <v>1959</v>
      </c>
      <c r="E586" s="42" t="s">
        <v>3902</v>
      </c>
      <c r="F586" s="42">
        <v>1</v>
      </c>
      <c r="G586" s="67">
        <v>39692</v>
      </c>
      <c r="H586" s="42">
        <v>99</v>
      </c>
      <c r="I586" s="67">
        <v>495.3</v>
      </c>
      <c r="J586" s="67">
        <v>49034.700000000004</v>
      </c>
      <c r="K586" s="67">
        <v>88726.700000000012</v>
      </c>
      <c r="L586" s="42">
        <v>20241024</v>
      </c>
      <c r="M586" s="172">
        <f t="shared" si="51"/>
        <v>96.8</v>
      </c>
      <c r="N586" s="173">
        <f t="shared" si="52"/>
        <v>-2.2000000000000028</v>
      </c>
    </row>
    <row r="587" spans="1:14" x14ac:dyDescent="0.25">
      <c r="A587" s="25" t="s">
        <v>3834</v>
      </c>
      <c r="B587" s="25" t="s">
        <v>137</v>
      </c>
      <c r="C587" s="25" t="s">
        <v>57</v>
      </c>
      <c r="D587" s="25" t="s">
        <v>58</v>
      </c>
      <c r="E587" s="25" t="s">
        <v>62</v>
      </c>
      <c r="F587" s="25">
        <v>1</v>
      </c>
      <c r="G587" s="46">
        <v>19849</v>
      </c>
      <c r="H587" s="25">
        <v>34</v>
      </c>
      <c r="I587" s="46">
        <v>495.3</v>
      </c>
      <c r="J587" s="46">
        <v>16840.2</v>
      </c>
      <c r="K587" s="46">
        <v>36689.199999999997</v>
      </c>
      <c r="L587" s="25">
        <v>20241028</v>
      </c>
      <c r="M587" s="170">
        <f t="shared" si="51"/>
        <v>34.4</v>
      </c>
      <c r="N587" s="171">
        <f t="shared" si="52"/>
        <v>0.39999999999999858</v>
      </c>
    </row>
    <row r="588" spans="1:14" s="42" customFormat="1" x14ac:dyDescent="0.25">
      <c r="A588" s="42" t="s">
        <v>3925</v>
      </c>
      <c r="B588" s="42" t="s">
        <v>1209</v>
      </c>
      <c r="C588" s="42" t="s">
        <v>45</v>
      </c>
      <c r="D588" s="42" t="s">
        <v>3384</v>
      </c>
      <c r="E588" s="42" t="s">
        <v>3385</v>
      </c>
      <c r="F588" s="42">
        <v>1</v>
      </c>
      <c r="G588" s="67">
        <v>39692</v>
      </c>
      <c r="H588" s="42">
        <v>37</v>
      </c>
      <c r="I588" s="67">
        <v>495.3</v>
      </c>
      <c r="J588" s="67">
        <v>18326.100000000002</v>
      </c>
      <c r="K588" s="67">
        <v>58018.100000000006</v>
      </c>
      <c r="L588" s="42">
        <v>20241030</v>
      </c>
      <c r="M588" s="172">
        <f t="shared" si="51"/>
        <v>39</v>
      </c>
      <c r="N588" s="173">
        <f t="shared" si="52"/>
        <v>2</v>
      </c>
    </row>
    <row r="589" spans="1:14" x14ac:dyDescent="0.25">
      <c r="A589" s="25" t="s">
        <v>3812</v>
      </c>
      <c r="B589" s="25" t="s">
        <v>137</v>
      </c>
      <c r="C589" s="25" t="s">
        <v>29</v>
      </c>
      <c r="D589" s="25" t="s">
        <v>148</v>
      </c>
      <c r="E589" s="25" t="s">
        <v>1248</v>
      </c>
      <c r="F589" s="25">
        <v>1</v>
      </c>
      <c r="G589" s="46">
        <v>19849</v>
      </c>
      <c r="H589" s="25">
        <v>56</v>
      </c>
      <c r="I589" s="46">
        <v>495.3</v>
      </c>
      <c r="J589" s="46">
        <v>27736.799999999999</v>
      </c>
      <c r="K589" s="46">
        <v>47585.8</v>
      </c>
      <c r="L589" s="25">
        <v>20241031</v>
      </c>
      <c r="M589" s="170">
        <f t="shared" si="51"/>
        <v>56.1</v>
      </c>
      <c r="N589" s="171">
        <f t="shared" si="52"/>
        <v>0.10000000000000142</v>
      </c>
    </row>
    <row r="590" spans="1:14" x14ac:dyDescent="0.25">
      <c r="N590" s="171"/>
    </row>
    <row r="591" spans="1:14" x14ac:dyDescent="0.25">
      <c r="N591" s="171"/>
    </row>
    <row r="592" spans="1:14" x14ac:dyDescent="0.25">
      <c r="N592" s="171"/>
    </row>
    <row r="593" spans="1:15" x14ac:dyDescent="0.25">
      <c r="A593" s="25" t="s">
        <v>4035</v>
      </c>
      <c r="B593" s="25" t="s">
        <v>11</v>
      </c>
      <c r="C593" s="25" t="s">
        <v>26</v>
      </c>
      <c r="D593" s="25" t="s">
        <v>141</v>
      </c>
      <c r="E593" s="25" t="s">
        <v>603</v>
      </c>
      <c r="F593" s="25">
        <v>1</v>
      </c>
      <c r="G593" s="46">
        <v>39692</v>
      </c>
      <c r="H593" s="25">
        <v>138</v>
      </c>
      <c r="I593" s="46">
        <v>495.3</v>
      </c>
      <c r="J593" s="46">
        <v>68351.400000000009</v>
      </c>
      <c r="K593" s="46">
        <v>108043.40000000001</v>
      </c>
      <c r="L593" s="25">
        <v>20241101</v>
      </c>
      <c r="M593" s="170">
        <f t="shared" si="51"/>
        <v>138</v>
      </c>
      <c r="N593" s="171">
        <f t="shared" si="52"/>
        <v>0</v>
      </c>
    </row>
    <row r="594" spans="1:15" s="251" customFormat="1" x14ac:dyDescent="0.25">
      <c r="A594" s="251" t="s">
        <v>4019</v>
      </c>
      <c r="B594" s="251" t="s">
        <v>137</v>
      </c>
      <c r="C594" s="251" t="s">
        <v>29</v>
      </c>
      <c r="D594" s="251" t="s">
        <v>30</v>
      </c>
      <c r="E594" s="251" t="s">
        <v>578</v>
      </c>
      <c r="F594" s="251">
        <v>1</v>
      </c>
      <c r="G594" s="252">
        <v>19849</v>
      </c>
      <c r="H594" s="251">
        <v>158</v>
      </c>
      <c r="I594" s="252">
        <v>495.3</v>
      </c>
      <c r="J594" s="252">
        <v>78257.400000000009</v>
      </c>
      <c r="K594" s="252">
        <v>98106.400000000009</v>
      </c>
      <c r="L594" s="251">
        <v>20241108</v>
      </c>
      <c r="M594" s="253">
        <f t="shared" si="51"/>
        <v>158</v>
      </c>
      <c r="N594" s="254">
        <f t="shared" si="52"/>
        <v>0</v>
      </c>
    </row>
    <row r="595" spans="1:15" s="251" customFormat="1" x14ac:dyDescent="0.25">
      <c r="A595" s="251" t="s">
        <v>4023</v>
      </c>
      <c r="B595" s="251" t="s">
        <v>11</v>
      </c>
      <c r="C595" s="251" t="s">
        <v>270</v>
      </c>
      <c r="D595" s="251" t="s">
        <v>1341</v>
      </c>
      <c r="E595" s="251" t="s">
        <v>4024</v>
      </c>
      <c r="F595" s="251">
        <v>1</v>
      </c>
      <c r="G595" s="252">
        <v>39692</v>
      </c>
      <c r="H595" s="251">
        <v>159</v>
      </c>
      <c r="I595" s="252">
        <v>495.3</v>
      </c>
      <c r="J595" s="252">
        <v>78752.7</v>
      </c>
      <c r="K595" s="252">
        <v>118444.7</v>
      </c>
      <c r="L595" s="251">
        <v>20241108</v>
      </c>
      <c r="M595" s="253">
        <f t="shared" si="51"/>
        <v>159</v>
      </c>
      <c r="N595" s="254">
        <f t="shared" si="52"/>
        <v>0</v>
      </c>
    </row>
    <row r="596" spans="1:15" x14ac:dyDescent="0.25">
      <c r="A596" s="25" t="s">
        <v>4018</v>
      </c>
      <c r="B596" s="25" t="s">
        <v>11</v>
      </c>
      <c r="C596" s="25" t="s">
        <v>29</v>
      </c>
      <c r="D596" s="25" t="s">
        <v>3494</v>
      </c>
      <c r="E596" s="25" t="s">
        <v>3495</v>
      </c>
      <c r="F596" s="25">
        <v>1</v>
      </c>
      <c r="G596" s="46">
        <v>39692</v>
      </c>
      <c r="H596" s="25">
        <v>27</v>
      </c>
      <c r="I596" s="46">
        <v>495.3</v>
      </c>
      <c r="J596" s="46">
        <v>13373.1</v>
      </c>
      <c r="K596" s="46">
        <v>53065.1</v>
      </c>
      <c r="L596" s="25">
        <v>20241113</v>
      </c>
      <c r="M596" s="170">
        <f t="shared" si="51"/>
        <v>27.1</v>
      </c>
      <c r="N596" s="171">
        <f t="shared" si="52"/>
        <v>0.10000000000000142</v>
      </c>
    </row>
    <row r="597" spans="1:15" x14ac:dyDescent="0.25">
      <c r="A597" s="25" t="s">
        <v>4013</v>
      </c>
      <c r="B597" s="25" t="s">
        <v>137</v>
      </c>
      <c r="C597" s="25" t="s">
        <v>337</v>
      </c>
      <c r="D597" s="25" t="s">
        <v>162</v>
      </c>
      <c r="E597" s="25" t="s">
        <v>239</v>
      </c>
      <c r="F597" s="25">
        <v>1</v>
      </c>
      <c r="G597" s="46">
        <v>19849</v>
      </c>
      <c r="H597" s="25">
        <v>69</v>
      </c>
      <c r="I597" s="46">
        <v>495.3</v>
      </c>
      <c r="J597" s="46">
        <v>34175.700000000004</v>
      </c>
      <c r="K597" s="46">
        <v>54024.700000000004</v>
      </c>
      <c r="L597" s="25">
        <v>20241114</v>
      </c>
      <c r="M597" s="170">
        <f t="shared" si="51"/>
        <v>68.8</v>
      </c>
      <c r="N597" s="171">
        <f t="shared" si="52"/>
        <v>-0.20000000000000284</v>
      </c>
    </row>
    <row r="598" spans="1:15" s="42" customFormat="1" x14ac:dyDescent="0.25">
      <c r="A598" s="42" t="s">
        <v>4006</v>
      </c>
      <c r="B598" s="42" t="s">
        <v>11</v>
      </c>
      <c r="C598" s="42" t="s">
        <v>26</v>
      </c>
      <c r="D598" s="42" t="s">
        <v>497</v>
      </c>
      <c r="E598" s="42" t="s">
        <v>2282</v>
      </c>
      <c r="F598" s="42">
        <v>1</v>
      </c>
      <c r="G598" s="67">
        <v>39692</v>
      </c>
      <c r="H598" s="42">
        <v>152</v>
      </c>
      <c r="I598" s="67">
        <v>495.3</v>
      </c>
      <c r="J598" s="67">
        <v>75285.600000000006</v>
      </c>
      <c r="K598" s="67">
        <v>114977.60000000001</v>
      </c>
      <c r="L598" s="42">
        <v>20241119</v>
      </c>
      <c r="M598" s="172">
        <f t="shared" si="51"/>
        <v>148</v>
      </c>
      <c r="N598" s="173">
        <f t="shared" si="52"/>
        <v>-4</v>
      </c>
    </row>
    <row r="599" spans="1:15" s="42" customFormat="1" x14ac:dyDescent="0.25">
      <c r="A599" s="42" t="s">
        <v>3954</v>
      </c>
      <c r="B599" s="42" t="s">
        <v>137</v>
      </c>
      <c r="C599" s="42" t="s">
        <v>270</v>
      </c>
      <c r="D599" s="42" t="s">
        <v>368</v>
      </c>
      <c r="E599" s="42" t="s">
        <v>3955</v>
      </c>
      <c r="F599" s="42">
        <v>1</v>
      </c>
      <c r="G599" s="67">
        <v>19849</v>
      </c>
      <c r="H599" s="42">
        <v>123</v>
      </c>
      <c r="I599" s="67">
        <v>495.3</v>
      </c>
      <c r="J599" s="67">
        <v>60921.9</v>
      </c>
      <c r="K599" s="67">
        <v>80770.899999999994</v>
      </c>
      <c r="L599" s="42">
        <v>20241129</v>
      </c>
      <c r="M599" s="172">
        <f t="shared" si="51"/>
        <v>111</v>
      </c>
      <c r="N599" s="173">
        <f t="shared" si="52"/>
        <v>-12</v>
      </c>
      <c r="O599" s="42" t="s">
        <v>4044</v>
      </c>
    </row>
    <row r="600" spans="1:15" x14ac:dyDescent="0.25">
      <c r="N600" s="171"/>
    </row>
    <row r="601" spans="1:15" x14ac:dyDescent="0.25">
      <c r="N601" s="171"/>
    </row>
    <row r="602" spans="1:15" x14ac:dyDescent="0.25">
      <c r="N602" s="171"/>
    </row>
    <row r="603" spans="1:15" x14ac:dyDescent="0.25">
      <c r="A603" s="25" t="s">
        <v>4092</v>
      </c>
      <c r="B603" s="25" t="s">
        <v>137</v>
      </c>
      <c r="C603" s="25" t="s">
        <v>202</v>
      </c>
      <c r="D603" s="25" t="s">
        <v>203</v>
      </c>
      <c r="E603" s="25" t="s">
        <v>2210</v>
      </c>
      <c r="F603" s="25">
        <v>1</v>
      </c>
      <c r="G603" s="46">
        <v>19849</v>
      </c>
      <c r="H603" s="25">
        <v>100</v>
      </c>
      <c r="I603" s="46">
        <v>495.3</v>
      </c>
      <c r="J603" s="46">
        <v>49530</v>
      </c>
      <c r="K603" s="46">
        <v>69379</v>
      </c>
      <c r="L603" s="25">
        <v>20241204</v>
      </c>
      <c r="M603" s="170">
        <f>VLOOKUP(D603,tablapertex,11,FALSE)</f>
        <v>100</v>
      </c>
      <c r="N603" s="171">
        <f t="shared" si="52"/>
        <v>0</v>
      </c>
      <c r="O603" s="25" t="str">
        <f t="shared" ref="O603:O609" si="53">VLOOKUP(D603,tablapertex,6,FALSE)</f>
        <v>Bordabehere (ex Salta) 3811</v>
      </c>
    </row>
    <row r="604" spans="1:15" x14ac:dyDescent="0.25">
      <c r="A604" s="25" t="s">
        <v>4096</v>
      </c>
      <c r="B604" s="25" t="s">
        <v>137</v>
      </c>
      <c r="C604" s="25" t="s">
        <v>29</v>
      </c>
      <c r="D604" s="25" t="s">
        <v>3494</v>
      </c>
      <c r="E604" s="25" t="s">
        <v>2348</v>
      </c>
      <c r="F604" s="25">
        <v>1</v>
      </c>
      <c r="G604" s="46">
        <v>19849</v>
      </c>
      <c r="H604" s="25">
        <v>27</v>
      </c>
      <c r="I604" s="46">
        <v>495.3</v>
      </c>
      <c r="J604" s="46">
        <v>13373.1</v>
      </c>
      <c r="K604" s="46">
        <v>33222.1</v>
      </c>
      <c r="L604" s="25">
        <v>20241204</v>
      </c>
      <c r="M604" s="170">
        <f t="shared" si="51"/>
        <v>27.1</v>
      </c>
      <c r="N604" s="171">
        <f t="shared" si="52"/>
        <v>0.10000000000000142</v>
      </c>
      <c r="O604" s="25" t="str">
        <f t="shared" si="53"/>
        <v>Urquiza 4703</v>
      </c>
    </row>
    <row r="605" spans="1:15" x14ac:dyDescent="0.25">
      <c r="A605" s="25" t="s">
        <v>4076</v>
      </c>
      <c r="B605" s="25" t="s">
        <v>11</v>
      </c>
      <c r="C605" s="25" t="s">
        <v>28</v>
      </c>
      <c r="D605" s="25" t="s">
        <v>1756</v>
      </c>
      <c r="E605" s="25" t="s">
        <v>3613</v>
      </c>
      <c r="F605" s="25">
        <v>1</v>
      </c>
      <c r="G605" s="46">
        <v>39692</v>
      </c>
      <c r="H605" s="25">
        <v>118</v>
      </c>
      <c r="I605" s="46">
        <v>495.3</v>
      </c>
      <c r="J605" s="46">
        <v>58445.4</v>
      </c>
      <c r="K605" s="46">
        <v>98137.4</v>
      </c>
      <c r="L605" s="25">
        <v>20241210</v>
      </c>
      <c r="M605" s="170">
        <f t="shared" si="51"/>
        <v>118</v>
      </c>
      <c r="N605" s="171">
        <f t="shared" si="52"/>
        <v>0</v>
      </c>
      <c r="O605" s="25" t="str">
        <f t="shared" si="53"/>
        <v>Bordabehere (ex Salta) 3811</v>
      </c>
    </row>
    <row r="606" spans="1:15" x14ac:dyDescent="0.25">
      <c r="A606" s="25" t="s">
        <v>4074</v>
      </c>
      <c r="B606" s="25" t="s">
        <v>11</v>
      </c>
      <c r="C606" s="25" t="s">
        <v>172</v>
      </c>
      <c r="D606" s="25" t="s">
        <v>195</v>
      </c>
      <c r="E606" s="25" t="s">
        <v>196</v>
      </c>
      <c r="F606" s="25">
        <v>1</v>
      </c>
      <c r="G606" s="46">
        <v>39692</v>
      </c>
      <c r="H606" s="25">
        <v>56</v>
      </c>
      <c r="I606" s="46">
        <v>495.3</v>
      </c>
      <c r="J606" s="46">
        <v>27736.799999999999</v>
      </c>
      <c r="K606" s="46">
        <v>67428.800000000003</v>
      </c>
      <c r="L606" s="25">
        <v>20241211</v>
      </c>
      <c r="M606" s="170">
        <f t="shared" si="51"/>
        <v>55.6</v>
      </c>
      <c r="N606" s="171">
        <f t="shared" si="52"/>
        <v>-0.39999999999999858</v>
      </c>
      <c r="O606" s="25" t="str">
        <f t="shared" si="53"/>
        <v>Bordabehere (ex Salta) 3811</v>
      </c>
    </row>
    <row r="607" spans="1:15" x14ac:dyDescent="0.25">
      <c r="A607" s="25" t="s">
        <v>4067</v>
      </c>
      <c r="B607" s="25" t="s">
        <v>11</v>
      </c>
      <c r="C607" s="25" t="s">
        <v>26</v>
      </c>
      <c r="D607" s="25" t="s">
        <v>1800</v>
      </c>
      <c r="E607" s="25" t="s">
        <v>4068</v>
      </c>
      <c r="F607" s="25">
        <v>1</v>
      </c>
      <c r="G607" s="46">
        <v>39692</v>
      </c>
      <c r="H607" s="25">
        <v>321</v>
      </c>
      <c r="I607" s="46">
        <v>495.3</v>
      </c>
      <c r="J607" s="46">
        <v>158991.30000000002</v>
      </c>
      <c r="K607" s="46">
        <v>198683.30000000002</v>
      </c>
      <c r="L607" s="25">
        <v>20241217</v>
      </c>
      <c r="M607" s="170">
        <f t="shared" si="51"/>
        <v>321</v>
      </c>
      <c r="N607" s="171">
        <f t="shared" si="52"/>
        <v>0</v>
      </c>
      <c r="O607" s="25" t="str">
        <f t="shared" si="53"/>
        <v>Bordabehere (ex Salta) 3811</v>
      </c>
    </row>
    <row r="608" spans="1:15" x14ac:dyDescent="0.25">
      <c r="A608" s="25" t="s">
        <v>4066</v>
      </c>
      <c r="B608" s="25" t="s">
        <v>11</v>
      </c>
      <c r="C608" s="25" t="s">
        <v>57</v>
      </c>
      <c r="D608" s="25" t="s">
        <v>58</v>
      </c>
      <c r="E608" s="25" t="s">
        <v>59</v>
      </c>
      <c r="F608" s="25">
        <v>1</v>
      </c>
      <c r="G608" s="46">
        <v>39692</v>
      </c>
      <c r="H608" s="25">
        <v>34</v>
      </c>
      <c r="I608" s="46">
        <v>495.3</v>
      </c>
      <c r="J608" s="46">
        <v>16840.2</v>
      </c>
      <c r="K608" s="46">
        <v>56532.2</v>
      </c>
      <c r="L608" s="25">
        <v>20241218</v>
      </c>
      <c r="M608" s="170">
        <f t="shared" si="51"/>
        <v>34.4</v>
      </c>
      <c r="N608" s="171">
        <f t="shared" si="52"/>
        <v>0.39999999999999858</v>
      </c>
      <c r="O608" s="25" t="str">
        <f t="shared" si="53"/>
        <v>Bordabehere (ex Salta) 3811</v>
      </c>
    </row>
    <row r="609" spans="1:15" x14ac:dyDescent="0.25">
      <c r="A609" s="25" t="s">
        <v>4065</v>
      </c>
      <c r="B609" s="25" t="s">
        <v>11</v>
      </c>
      <c r="C609" s="25" t="s">
        <v>337</v>
      </c>
      <c r="D609" s="25" t="s">
        <v>162</v>
      </c>
      <c r="E609" s="25" t="s">
        <v>1530</v>
      </c>
      <c r="F609" s="25">
        <v>1</v>
      </c>
      <c r="G609" s="46">
        <v>39692</v>
      </c>
      <c r="H609" s="25">
        <v>69</v>
      </c>
      <c r="I609" s="46">
        <v>495.3</v>
      </c>
      <c r="J609" s="46">
        <v>34175.700000000004</v>
      </c>
      <c r="K609" s="46">
        <v>73867.700000000012</v>
      </c>
      <c r="L609" s="25">
        <v>20241223</v>
      </c>
      <c r="M609" s="170">
        <f t="shared" si="51"/>
        <v>68.8</v>
      </c>
      <c r="N609" s="171">
        <f t="shared" si="52"/>
        <v>-0.20000000000000284</v>
      </c>
      <c r="O609" s="25" t="str">
        <f t="shared" si="53"/>
        <v>Bordabehere (ex Salta) 3811</v>
      </c>
    </row>
    <row r="610" spans="1:15" x14ac:dyDescent="0.25">
      <c r="F610" s="25"/>
      <c r="G610" s="46"/>
      <c r="I610" s="46"/>
      <c r="J610" s="46"/>
      <c r="K610" s="46"/>
      <c r="N610" s="171"/>
    </row>
    <row r="611" spans="1:15" x14ac:dyDescent="0.25">
      <c r="A611" s="25" t="s">
        <v>4162</v>
      </c>
      <c r="B611" s="25" t="s">
        <v>11</v>
      </c>
      <c r="C611" s="25" t="s">
        <v>26</v>
      </c>
      <c r="D611" s="25" t="s">
        <v>1800</v>
      </c>
      <c r="E611" s="25" t="s">
        <v>4068</v>
      </c>
      <c r="F611" s="25">
        <v>1</v>
      </c>
      <c r="G611" s="46">
        <v>43063</v>
      </c>
      <c r="H611" s="25">
        <v>321</v>
      </c>
      <c r="I611" s="46">
        <v>527.5</v>
      </c>
      <c r="J611" s="46">
        <v>169327.5</v>
      </c>
      <c r="K611" s="46">
        <v>212390.5</v>
      </c>
      <c r="L611" s="25">
        <v>20250113</v>
      </c>
      <c r="M611" s="170">
        <f t="shared" ref="M611:M618" si="54">VLOOKUP(D611,tablapertex,11,FALSE)</f>
        <v>321</v>
      </c>
      <c r="N611" s="171">
        <f t="shared" ref="N611:N618" si="55">M611-H611</f>
        <v>0</v>
      </c>
      <c r="O611" s="25" t="str">
        <f t="shared" ref="O611:O618" si="56">VLOOKUP(D611,tablapertex,6,FALSE)</f>
        <v>Bordabehere (ex Salta) 3811</v>
      </c>
    </row>
    <row r="612" spans="1:15" x14ac:dyDescent="0.25">
      <c r="A612" s="25" t="s">
        <v>4160</v>
      </c>
      <c r="B612" s="25" t="s">
        <v>11</v>
      </c>
      <c r="C612" s="25" t="s">
        <v>202</v>
      </c>
      <c r="D612" s="25" t="s">
        <v>203</v>
      </c>
      <c r="E612" s="25" t="s">
        <v>1164</v>
      </c>
      <c r="F612" s="25">
        <v>1</v>
      </c>
      <c r="G612" s="46">
        <v>43063</v>
      </c>
      <c r="H612" s="25">
        <v>100</v>
      </c>
      <c r="I612" s="46">
        <v>527.5</v>
      </c>
      <c r="J612" s="46">
        <v>52750</v>
      </c>
      <c r="K612" s="46">
        <v>95813</v>
      </c>
      <c r="L612" s="25">
        <v>20250114</v>
      </c>
      <c r="M612" s="170">
        <f t="shared" si="54"/>
        <v>100</v>
      </c>
      <c r="N612" s="171">
        <f t="shared" si="55"/>
        <v>0</v>
      </c>
      <c r="O612" s="25" t="str">
        <f t="shared" si="56"/>
        <v>Bordabehere (ex Salta) 3811</v>
      </c>
    </row>
    <row r="613" spans="1:15" s="113" customFormat="1" x14ac:dyDescent="0.25">
      <c r="A613" s="113" t="s">
        <v>4140</v>
      </c>
      <c r="B613" s="113" t="s">
        <v>11</v>
      </c>
      <c r="C613" s="113" t="s">
        <v>337</v>
      </c>
      <c r="D613" s="113" t="s">
        <v>162</v>
      </c>
      <c r="E613" s="113" t="s">
        <v>1530</v>
      </c>
      <c r="F613" s="113">
        <v>1</v>
      </c>
      <c r="G613" s="114">
        <v>43063</v>
      </c>
      <c r="H613" s="113">
        <v>159</v>
      </c>
      <c r="I613" s="114">
        <v>527.5</v>
      </c>
      <c r="J613" s="114">
        <v>83872.5</v>
      </c>
      <c r="K613" s="114">
        <v>126935.5</v>
      </c>
      <c r="L613" s="113">
        <v>20250116</v>
      </c>
      <c r="M613" s="181">
        <f t="shared" si="54"/>
        <v>68.8</v>
      </c>
      <c r="N613" s="182">
        <f t="shared" si="55"/>
        <v>-90.2</v>
      </c>
      <c r="O613" s="113" t="str">
        <f t="shared" si="56"/>
        <v>Bordabehere (ex Salta) 3811</v>
      </c>
    </row>
    <row r="614" spans="1:15" x14ac:dyDescent="0.25">
      <c r="A614" s="25" t="s">
        <v>4147</v>
      </c>
      <c r="B614" s="25" t="s">
        <v>11</v>
      </c>
      <c r="C614" s="25" t="s">
        <v>163</v>
      </c>
      <c r="D614" s="25" t="s">
        <v>164</v>
      </c>
      <c r="E614" s="25" t="s">
        <v>244</v>
      </c>
      <c r="F614" s="25">
        <v>1</v>
      </c>
      <c r="G614" s="46">
        <v>43063</v>
      </c>
      <c r="H614" s="25">
        <v>126</v>
      </c>
      <c r="I614" s="46">
        <v>527.5</v>
      </c>
      <c r="J614" s="46">
        <v>66465</v>
      </c>
      <c r="K614" s="46">
        <v>109528</v>
      </c>
      <c r="L614" s="25">
        <v>20250117</v>
      </c>
      <c r="M614" s="170">
        <f t="shared" si="54"/>
        <v>126</v>
      </c>
      <c r="N614" s="171">
        <f t="shared" si="55"/>
        <v>0</v>
      </c>
      <c r="O614" s="25" t="str">
        <f t="shared" si="56"/>
        <v>Bordabehere (ex Salta) 3811</v>
      </c>
    </row>
    <row r="615" spans="1:15" s="113" customFormat="1" x14ac:dyDescent="0.25">
      <c r="A615" s="113" t="s">
        <v>4148</v>
      </c>
      <c r="B615" s="113" t="s">
        <v>11</v>
      </c>
      <c r="C615" s="113" t="s">
        <v>4149</v>
      </c>
      <c r="D615" s="113" t="s">
        <v>4150</v>
      </c>
      <c r="E615" s="113" t="s">
        <v>4151</v>
      </c>
      <c r="F615" s="113">
        <v>1</v>
      </c>
      <c r="G615" s="114">
        <v>43063</v>
      </c>
      <c r="H615" s="113">
        <v>39</v>
      </c>
      <c r="I615" s="114">
        <v>527.5</v>
      </c>
      <c r="J615" s="114">
        <v>20572.5</v>
      </c>
      <c r="K615" s="114">
        <v>63635.5</v>
      </c>
      <c r="L615" s="113">
        <v>20250120</v>
      </c>
      <c r="M615" s="181">
        <f t="shared" si="54"/>
        <v>38.9</v>
      </c>
      <c r="N615" s="182">
        <f t="shared" si="55"/>
        <v>-0.10000000000000142</v>
      </c>
      <c r="O615" s="113" t="str">
        <f t="shared" si="56"/>
        <v>Bordabehere (ex Salta) 3811</v>
      </c>
    </row>
    <row r="616" spans="1:15" x14ac:dyDescent="0.25">
      <c r="A616" s="25" t="s">
        <v>4134</v>
      </c>
      <c r="B616" s="25" t="s">
        <v>11</v>
      </c>
      <c r="C616" s="25" t="s">
        <v>337</v>
      </c>
      <c r="D616" s="25" t="s">
        <v>35</v>
      </c>
      <c r="E616" s="25" t="s">
        <v>511</v>
      </c>
      <c r="F616" s="25">
        <v>1</v>
      </c>
      <c r="G616" s="46">
        <v>43063</v>
      </c>
      <c r="H616" s="25">
        <v>72</v>
      </c>
      <c r="I616" s="46">
        <v>527.5</v>
      </c>
      <c r="J616" s="46">
        <v>37980</v>
      </c>
      <c r="K616" s="46">
        <v>81043</v>
      </c>
      <c r="L616" s="25">
        <v>20250122</v>
      </c>
      <c r="M616" s="170">
        <f t="shared" si="54"/>
        <v>77.2</v>
      </c>
      <c r="N616" s="171">
        <f t="shared" si="55"/>
        <v>5.2000000000000028</v>
      </c>
      <c r="O616" s="25" t="str">
        <f t="shared" si="56"/>
        <v>Bordabehere (ex Salta) 3811</v>
      </c>
    </row>
    <row r="617" spans="1:15" x14ac:dyDescent="0.25">
      <c r="A617" s="25" t="s">
        <v>4137</v>
      </c>
      <c r="B617" s="25" t="s">
        <v>11</v>
      </c>
      <c r="C617" s="25" t="s">
        <v>163</v>
      </c>
      <c r="D617" s="25" t="s">
        <v>164</v>
      </c>
      <c r="E617" s="25" t="s">
        <v>244</v>
      </c>
      <c r="F617" s="25">
        <v>1</v>
      </c>
      <c r="G617" s="46">
        <v>43063</v>
      </c>
      <c r="H617" s="25">
        <v>126</v>
      </c>
      <c r="I617" s="46">
        <v>527.5</v>
      </c>
      <c r="J617" s="46">
        <v>66465</v>
      </c>
      <c r="K617" s="46">
        <v>109528</v>
      </c>
      <c r="L617" s="25">
        <v>20250124</v>
      </c>
      <c r="M617" s="170">
        <f t="shared" si="54"/>
        <v>126</v>
      </c>
      <c r="N617" s="171">
        <f t="shared" si="55"/>
        <v>0</v>
      </c>
      <c r="O617" s="25" t="str">
        <f t="shared" si="56"/>
        <v>Bordabehere (ex Salta) 3811</v>
      </c>
    </row>
    <row r="618" spans="1:15" x14ac:dyDescent="0.25">
      <c r="A618" s="25" t="s">
        <v>4112</v>
      </c>
      <c r="B618" s="25" t="s">
        <v>11</v>
      </c>
      <c r="C618" s="25" t="s">
        <v>26</v>
      </c>
      <c r="D618" s="25" t="s">
        <v>153</v>
      </c>
      <c r="E618" s="25" t="s">
        <v>155</v>
      </c>
      <c r="F618" s="25">
        <v>1</v>
      </c>
      <c r="G618" s="46">
        <v>43063</v>
      </c>
      <c r="H618" s="25">
        <v>32</v>
      </c>
      <c r="I618" s="46">
        <v>527.5</v>
      </c>
      <c r="J618" s="46">
        <v>16880</v>
      </c>
      <c r="K618" s="46">
        <v>59943</v>
      </c>
      <c r="L618" s="25">
        <v>20250130</v>
      </c>
      <c r="M618" s="170">
        <f t="shared" si="54"/>
        <v>32.299999999999997</v>
      </c>
      <c r="N618" s="171">
        <f t="shared" si="55"/>
        <v>0.29999999999999716</v>
      </c>
      <c r="O618" s="25" t="str">
        <f t="shared" si="56"/>
        <v>Bordabehere (ex Salta) 3811</v>
      </c>
    </row>
    <row r="619" spans="1:15" x14ac:dyDescent="0.25">
      <c r="N619" s="171"/>
    </row>
    <row r="620" spans="1:15" x14ac:dyDescent="0.25">
      <c r="N620" s="171"/>
    </row>
    <row r="621" spans="1:15" x14ac:dyDescent="0.25">
      <c r="A621" s="25" t="s">
        <v>4258</v>
      </c>
      <c r="B621" s="25" t="s">
        <v>11</v>
      </c>
      <c r="C621" s="25" t="s">
        <v>163</v>
      </c>
      <c r="D621" s="25" t="s">
        <v>164</v>
      </c>
      <c r="E621" s="25" t="s">
        <v>244</v>
      </c>
      <c r="F621" s="25">
        <v>1</v>
      </c>
      <c r="G621" s="46">
        <v>43063</v>
      </c>
      <c r="H621" s="25">
        <v>126</v>
      </c>
      <c r="I621" s="46">
        <v>527.5</v>
      </c>
      <c r="J621" s="46">
        <v>66465</v>
      </c>
      <c r="K621" s="46">
        <v>109528</v>
      </c>
      <c r="L621" s="25">
        <v>20250204</v>
      </c>
      <c r="M621" s="170">
        <f t="shared" ref="M621:M625" si="57">VLOOKUP(D621,tablapertex,11,FALSE)</f>
        <v>126</v>
      </c>
      <c r="N621" s="171">
        <f t="shared" ref="N621:N625" si="58">M621-H621</f>
        <v>0</v>
      </c>
      <c r="O621" s="25" t="str">
        <f t="shared" ref="O621:O625" si="59">VLOOKUP(D621,tablapertex,6,FALSE)</f>
        <v>Bordabehere (ex Salta) 3811</v>
      </c>
    </row>
    <row r="622" spans="1:15" x14ac:dyDescent="0.25">
      <c r="A622" s="25" t="s">
        <v>4249</v>
      </c>
      <c r="B622" s="25" t="s">
        <v>11</v>
      </c>
      <c r="C622" s="25" t="s">
        <v>163</v>
      </c>
      <c r="D622" s="25" t="s">
        <v>164</v>
      </c>
      <c r="E622" s="25" t="s">
        <v>185</v>
      </c>
      <c r="F622" s="25">
        <v>1</v>
      </c>
      <c r="G622" s="46">
        <v>43063</v>
      </c>
      <c r="H622" s="25">
        <v>126</v>
      </c>
      <c r="I622" s="46">
        <v>527.5</v>
      </c>
      <c r="J622" s="46">
        <v>66465</v>
      </c>
      <c r="K622" s="46">
        <v>109528</v>
      </c>
      <c r="L622" s="25">
        <v>20250211</v>
      </c>
      <c r="M622" s="170">
        <f t="shared" si="57"/>
        <v>126</v>
      </c>
      <c r="N622" s="171">
        <f t="shared" si="58"/>
        <v>0</v>
      </c>
      <c r="O622" s="25" t="str">
        <f t="shared" si="59"/>
        <v>Bordabehere (ex Salta) 3811</v>
      </c>
    </row>
    <row r="623" spans="1:15" x14ac:dyDescent="0.25">
      <c r="A623" s="25" t="s">
        <v>4245</v>
      </c>
      <c r="B623" s="25" t="s">
        <v>11</v>
      </c>
      <c r="C623" s="25" t="s">
        <v>202</v>
      </c>
      <c r="D623" s="25" t="s">
        <v>203</v>
      </c>
      <c r="E623" s="25" t="s">
        <v>626</v>
      </c>
      <c r="F623" s="25">
        <v>1</v>
      </c>
      <c r="G623" s="46">
        <v>43063</v>
      </c>
      <c r="H623" s="25">
        <v>100</v>
      </c>
      <c r="I623" s="46">
        <v>527.5</v>
      </c>
      <c r="J623" s="46">
        <v>52750</v>
      </c>
      <c r="K623" s="46">
        <v>95813</v>
      </c>
      <c r="L623" s="25">
        <v>20250217</v>
      </c>
      <c r="M623" s="170">
        <f t="shared" si="57"/>
        <v>100</v>
      </c>
      <c r="N623" s="171">
        <f t="shared" si="58"/>
        <v>0</v>
      </c>
      <c r="O623" s="25" t="str">
        <f t="shared" si="59"/>
        <v>Bordabehere (ex Salta) 3811</v>
      </c>
    </row>
    <row r="624" spans="1:15" x14ac:dyDescent="0.25">
      <c r="A624" s="25" t="s">
        <v>4185</v>
      </c>
      <c r="B624" s="25" t="s">
        <v>11</v>
      </c>
      <c r="C624" s="25" t="s">
        <v>163</v>
      </c>
      <c r="D624" s="25" t="s">
        <v>164</v>
      </c>
      <c r="E624" s="25" t="s">
        <v>185</v>
      </c>
      <c r="F624" s="25">
        <v>1</v>
      </c>
      <c r="G624" s="46">
        <v>43063</v>
      </c>
      <c r="H624" s="25">
        <v>126</v>
      </c>
      <c r="I624" s="46">
        <v>527.5</v>
      </c>
      <c r="J624" s="46">
        <v>66465</v>
      </c>
      <c r="K624" s="46">
        <v>109528</v>
      </c>
      <c r="L624" s="25">
        <v>20250220</v>
      </c>
      <c r="M624" s="170">
        <f t="shared" si="57"/>
        <v>126</v>
      </c>
      <c r="N624" s="171">
        <f t="shared" si="58"/>
        <v>0</v>
      </c>
      <c r="O624" s="25" t="str">
        <f t="shared" si="59"/>
        <v>Bordabehere (ex Salta) 3811</v>
      </c>
    </row>
    <row r="625" spans="1:17" x14ac:dyDescent="0.25">
      <c r="A625" s="25" t="s">
        <v>4186</v>
      </c>
      <c r="B625" s="25" t="s">
        <v>11</v>
      </c>
      <c r="C625" s="25" t="s">
        <v>28</v>
      </c>
      <c r="D625" s="25" t="s">
        <v>1710</v>
      </c>
      <c r="E625" s="25" t="s">
        <v>3044</v>
      </c>
      <c r="F625" s="25">
        <v>1</v>
      </c>
      <c r="G625" s="46">
        <v>43063</v>
      </c>
      <c r="H625" s="25">
        <v>177</v>
      </c>
      <c r="I625" s="46">
        <v>527.5</v>
      </c>
      <c r="J625" s="46">
        <v>93367.5</v>
      </c>
      <c r="K625" s="46">
        <v>136430.5</v>
      </c>
      <c r="L625" s="25">
        <v>20250221</v>
      </c>
      <c r="M625" s="170">
        <f t="shared" si="57"/>
        <v>177</v>
      </c>
      <c r="N625" s="171">
        <f t="shared" si="58"/>
        <v>0</v>
      </c>
      <c r="O625" s="25" t="str">
        <f t="shared" si="59"/>
        <v>Bordabehere (ex Salta) 3811</v>
      </c>
    </row>
    <row r="626" spans="1:17" x14ac:dyDescent="0.25">
      <c r="N626" s="171"/>
    </row>
    <row r="627" spans="1:17" x14ac:dyDescent="0.25">
      <c r="A627" s="25" t="s">
        <v>4300</v>
      </c>
      <c r="B627" s="25" t="s">
        <v>137</v>
      </c>
      <c r="C627" s="25" t="s">
        <v>337</v>
      </c>
      <c r="D627" s="25" t="s">
        <v>35</v>
      </c>
      <c r="E627" s="25" t="s">
        <v>157</v>
      </c>
      <c r="F627" s="25">
        <v>1</v>
      </c>
      <c r="G627" s="46">
        <v>21524</v>
      </c>
      <c r="H627" s="25">
        <v>72</v>
      </c>
      <c r="I627" s="46">
        <v>527.5</v>
      </c>
      <c r="J627" s="46">
        <v>37980</v>
      </c>
      <c r="K627" s="46">
        <v>59504</v>
      </c>
      <c r="L627" s="25">
        <v>20250310</v>
      </c>
      <c r="M627" s="170">
        <f t="shared" ref="M627:M663" si="60">VLOOKUP(D627,tablapertex,11,FALSE)</f>
        <v>77.2</v>
      </c>
      <c r="N627" s="171">
        <f t="shared" ref="N627:N632" si="61">M627-H627</f>
        <v>5.2000000000000028</v>
      </c>
      <c r="O627" s="25" t="str">
        <f t="shared" ref="O627:O632" si="62">VLOOKUP(D627,tablapertex,6,FALSE)</f>
        <v>Bordabehere (ex Salta) 3811</v>
      </c>
    </row>
    <row r="628" spans="1:17" x14ac:dyDescent="0.25">
      <c r="A628" s="25" t="s">
        <v>4293</v>
      </c>
      <c r="B628" s="25" t="s">
        <v>11</v>
      </c>
      <c r="C628" s="25" t="s">
        <v>28</v>
      </c>
      <c r="D628" s="25" t="s">
        <v>1026</v>
      </c>
      <c r="E628" s="25" t="s">
        <v>1027</v>
      </c>
      <c r="F628" s="25">
        <v>1</v>
      </c>
      <c r="G628" s="46">
        <v>43063</v>
      </c>
      <c r="H628" s="25">
        <v>127</v>
      </c>
      <c r="I628" s="46">
        <v>527.5</v>
      </c>
      <c r="J628" s="46">
        <v>66992.5</v>
      </c>
      <c r="K628" s="46">
        <v>110055.5</v>
      </c>
      <c r="L628" s="25">
        <v>20250311</v>
      </c>
      <c r="M628" s="170">
        <f t="shared" si="60"/>
        <v>127</v>
      </c>
      <c r="N628" s="171">
        <f t="shared" si="61"/>
        <v>0</v>
      </c>
      <c r="O628" s="25" t="str">
        <f t="shared" si="62"/>
        <v>Bordabehere (ex Salta) 3811</v>
      </c>
    </row>
    <row r="629" spans="1:17" x14ac:dyDescent="0.25">
      <c r="A629" s="255" t="s">
        <v>4285</v>
      </c>
      <c r="B629" s="255" t="s">
        <v>11</v>
      </c>
      <c r="C629" s="255" t="s">
        <v>26</v>
      </c>
      <c r="D629" s="255" t="s">
        <v>153</v>
      </c>
      <c r="E629" s="255" t="s">
        <v>155</v>
      </c>
      <c r="F629" s="255">
        <v>1</v>
      </c>
      <c r="G629" s="256">
        <v>43063</v>
      </c>
      <c r="H629" s="255">
        <v>32</v>
      </c>
      <c r="I629" s="256">
        <v>527.5</v>
      </c>
      <c r="J629" s="256">
        <v>16880</v>
      </c>
      <c r="K629" s="256">
        <v>59943</v>
      </c>
      <c r="L629" s="255">
        <v>20250325</v>
      </c>
      <c r="M629" s="257">
        <f t="shared" si="60"/>
        <v>32.299999999999997</v>
      </c>
      <c r="N629" s="258">
        <f t="shared" si="61"/>
        <v>0.29999999999999716</v>
      </c>
      <c r="O629" s="255" t="str">
        <f t="shared" si="62"/>
        <v>Bordabehere (ex Salta) 3811</v>
      </c>
    </row>
    <row r="630" spans="1:17" x14ac:dyDescent="0.25">
      <c r="A630" s="255" t="s">
        <v>4292</v>
      </c>
      <c r="B630" s="255" t="s">
        <v>1209</v>
      </c>
      <c r="C630" s="255" t="s">
        <v>168</v>
      </c>
      <c r="D630" s="255" t="s">
        <v>169</v>
      </c>
      <c r="E630" s="255" t="s">
        <v>2276</v>
      </c>
      <c r="F630" s="255">
        <v>1</v>
      </c>
      <c r="G630" s="256">
        <v>43063</v>
      </c>
      <c r="H630" s="255">
        <v>141</v>
      </c>
      <c r="I630" s="256">
        <v>527.5</v>
      </c>
      <c r="J630" s="256">
        <v>74377.5</v>
      </c>
      <c r="K630" s="256">
        <v>117440.5</v>
      </c>
      <c r="L630" s="255">
        <v>20250325</v>
      </c>
      <c r="M630" s="257">
        <f t="shared" si="60"/>
        <v>158</v>
      </c>
      <c r="N630" s="258">
        <f t="shared" si="61"/>
        <v>17</v>
      </c>
      <c r="O630" s="255" t="str">
        <f t="shared" si="62"/>
        <v>Bordabehere (ex Salta) 3811</v>
      </c>
      <c r="P630" s="247" t="s">
        <v>4317</v>
      </c>
      <c r="Q630" s="25" t="s">
        <v>4319</v>
      </c>
    </row>
    <row r="631" spans="1:17" x14ac:dyDescent="0.25">
      <c r="A631" s="113" t="s">
        <v>4274</v>
      </c>
      <c r="B631" s="113" t="s">
        <v>11</v>
      </c>
      <c r="C631" s="113" t="s">
        <v>28</v>
      </c>
      <c r="D631" s="113" t="s">
        <v>1300</v>
      </c>
      <c r="E631" s="113" t="s">
        <v>1301</v>
      </c>
      <c r="F631" s="113">
        <v>1</v>
      </c>
      <c r="G631" s="114">
        <v>43063</v>
      </c>
      <c r="H631" s="113">
        <v>204</v>
      </c>
      <c r="I631" s="114">
        <v>527.5</v>
      </c>
      <c r="J631" s="114">
        <v>107610</v>
      </c>
      <c r="K631" s="114">
        <v>150673</v>
      </c>
      <c r="L631" s="113">
        <v>20250328</v>
      </c>
      <c r="M631" s="181">
        <f t="shared" si="60"/>
        <v>204</v>
      </c>
      <c r="N631" s="182">
        <f t="shared" si="61"/>
        <v>0</v>
      </c>
      <c r="O631" s="113" t="str">
        <f t="shared" si="62"/>
        <v>Bordabehere (ex Salta) 3811</v>
      </c>
    </row>
    <row r="632" spans="1:17" x14ac:dyDescent="0.25">
      <c r="A632" s="113" t="s">
        <v>4275</v>
      </c>
      <c r="B632" s="113" t="s">
        <v>11</v>
      </c>
      <c r="C632" s="113" t="s">
        <v>163</v>
      </c>
      <c r="D632" s="113" t="s">
        <v>164</v>
      </c>
      <c r="E632" s="113" t="s">
        <v>454</v>
      </c>
      <c r="F632" s="113">
        <v>1</v>
      </c>
      <c r="G632" s="114">
        <v>43063</v>
      </c>
      <c r="H632" s="113">
        <v>58</v>
      </c>
      <c r="I632" s="114">
        <v>527.5</v>
      </c>
      <c r="J632" s="114">
        <v>30595</v>
      </c>
      <c r="K632" s="114">
        <v>73658</v>
      </c>
      <c r="L632" s="113">
        <v>20250328</v>
      </c>
      <c r="M632" s="181">
        <f t="shared" si="60"/>
        <v>126</v>
      </c>
      <c r="N632" s="182">
        <f t="shared" si="61"/>
        <v>68</v>
      </c>
      <c r="O632" s="113" t="str">
        <f t="shared" si="62"/>
        <v>Bordabehere (ex Salta) 3811</v>
      </c>
      <c r="P632" s="247" t="s">
        <v>4317</v>
      </c>
      <c r="Q632" s="25" t="s">
        <v>4318</v>
      </c>
    </row>
    <row r="633" spans="1:17" x14ac:dyDescent="0.25">
      <c r="N633" s="171"/>
    </row>
    <row r="634" spans="1:17" x14ac:dyDescent="0.25">
      <c r="N634" s="171"/>
    </row>
    <row r="635" spans="1:17" x14ac:dyDescent="0.25">
      <c r="A635" s="25" t="s">
        <v>4418</v>
      </c>
      <c r="B635" s="25" t="s">
        <v>11</v>
      </c>
      <c r="C635" s="25" t="s">
        <v>28</v>
      </c>
      <c r="D635" s="25" t="s">
        <v>1160</v>
      </c>
      <c r="E635" s="25" t="s">
        <v>3643</v>
      </c>
      <c r="F635" s="25">
        <v>1</v>
      </c>
      <c r="G635" s="46">
        <v>46293</v>
      </c>
      <c r="H635" s="25">
        <v>57</v>
      </c>
      <c r="I635" s="46">
        <v>559.20000000000005</v>
      </c>
      <c r="J635" s="46">
        <v>31874.400000000001</v>
      </c>
      <c r="K635" s="46">
        <v>78167.399999999994</v>
      </c>
      <c r="L635" s="25">
        <v>20250401</v>
      </c>
      <c r="M635" s="170">
        <f t="shared" si="60"/>
        <v>56.5</v>
      </c>
      <c r="N635" s="171">
        <f t="shared" ref="N635:N663" si="63">M635-H635</f>
        <v>-0.5</v>
      </c>
      <c r="O635" s="25" t="str">
        <f t="shared" ref="O635:O644" si="64">VLOOKUP(D635,tablapertex,6,FALSE)</f>
        <v>Bordabehere (ex Salta) 3811</v>
      </c>
    </row>
    <row r="636" spans="1:17" x14ac:dyDescent="0.25">
      <c r="A636" s="25" t="s">
        <v>4412</v>
      </c>
      <c r="B636" s="25" t="s">
        <v>11</v>
      </c>
      <c r="C636" s="25" t="s">
        <v>337</v>
      </c>
      <c r="D636" s="25" t="s">
        <v>35</v>
      </c>
      <c r="E636" s="25" t="s">
        <v>2463</v>
      </c>
      <c r="F636" s="25">
        <v>1</v>
      </c>
      <c r="G636" s="46">
        <v>46293</v>
      </c>
      <c r="H636" s="25">
        <v>72</v>
      </c>
      <c r="I636" s="46">
        <v>559.20000000000005</v>
      </c>
      <c r="J636" s="46">
        <v>40262.400000000001</v>
      </c>
      <c r="K636" s="46">
        <v>86555.4</v>
      </c>
      <c r="L636" s="25">
        <v>20250404</v>
      </c>
      <c r="M636" s="170">
        <f t="shared" si="60"/>
        <v>77.2</v>
      </c>
      <c r="N636" s="171">
        <f t="shared" si="63"/>
        <v>5.2000000000000028</v>
      </c>
      <c r="O636" s="25" t="str">
        <f t="shared" si="64"/>
        <v>Bordabehere (ex Salta) 3811</v>
      </c>
    </row>
    <row r="637" spans="1:17" x14ac:dyDescent="0.25">
      <c r="A637" s="25" t="s">
        <v>4386</v>
      </c>
      <c r="B637" s="25" t="s">
        <v>11</v>
      </c>
      <c r="C637" s="25" t="s">
        <v>26</v>
      </c>
      <c r="D637" s="25" t="s">
        <v>224</v>
      </c>
      <c r="E637" s="25" t="s">
        <v>2907</v>
      </c>
      <c r="F637" s="25">
        <v>1</v>
      </c>
      <c r="G637" s="46">
        <v>46293</v>
      </c>
      <c r="H637" s="25">
        <v>58</v>
      </c>
      <c r="I637" s="46">
        <v>559.20000000000005</v>
      </c>
      <c r="J637" s="46">
        <v>32433.600000000002</v>
      </c>
      <c r="K637" s="46">
        <v>78726.600000000006</v>
      </c>
      <c r="L637" s="25">
        <v>20250411</v>
      </c>
      <c r="M637" s="170">
        <f t="shared" si="60"/>
        <v>57.6</v>
      </c>
      <c r="N637" s="171">
        <f t="shared" si="63"/>
        <v>-0.39999999999999858</v>
      </c>
      <c r="O637" s="25" t="str">
        <f t="shared" si="64"/>
        <v>Bordabehere (ex Salta) 3811</v>
      </c>
    </row>
    <row r="638" spans="1:17" x14ac:dyDescent="0.25">
      <c r="A638" s="42" t="s">
        <v>4384</v>
      </c>
      <c r="B638" s="42" t="s">
        <v>11</v>
      </c>
      <c r="C638" s="42" t="s">
        <v>163</v>
      </c>
      <c r="D638" s="42" t="s">
        <v>164</v>
      </c>
      <c r="E638" s="42" t="s">
        <v>2158</v>
      </c>
      <c r="F638" s="42">
        <v>1</v>
      </c>
      <c r="G638" s="67">
        <v>46293</v>
      </c>
      <c r="H638" s="42">
        <v>59</v>
      </c>
      <c r="I638" s="67">
        <v>559.20000000000005</v>
      </c>
      <c r="J638" s="67">
        <v>32992.800000000003</v>
      </c>
      <c r="K638" s="67">
        <v>79285.8</v>
      </c>
      <c r="L638" s="42">
        <v>20250415</v>
      </c>
      <c r="M638" s="172">
        <f t="shared" si="60"/>
        <v>126</v>
      </c>
      <c r="N638" s="173">
        <f t="shared" si="63"/>
        <v>67</v>
      </c>
      <c r="O638" s="42" t="str">
        <f t="shared" si="64"/>
        <v>Bordabehere (ex Salta) 3811</v>
      </c>
    </row>
    <row r="639" spans="1:17" x14ac:dyDescent="0.25">
      <c r="A639" s="42" t="s">
        <v>4393</v>
      </c>
      <c r="B639" s="42" t="s">
        <v>11</v>
      </c>
      <c r="C639" s="42" t="s">
        <v>28</v>
      </c>
      <c r="D639" s="42" t="s">
        <v>1300</v>
      </c>
      <c r="E639" s="42" t="s">
        <v>1301</v>
      </c>
      <c r="F639" s="42">
        <v>1</v>
      </c>
      <c r="G639" s="67">
        <v>46293</v>
      </c>
      <c r="H639" s="42">
        <v>204</v>
      </c>
      <c r="I639" s="67">
        <v>559.20000000000005</v>
      </c>
      <c r="J639" s="67">
        <v>114076.8</v>
      </c>
      <c r="K639" s="67">
        <v>160369.79999999999</v>
      </c>
      <c r="L639" s="42">
        <v>20250415</v>
      </c>
      <c r="M639" s="172">
        <f t="shared" si="60"/>
        <v>204</v>
      </c>
      <c r="N639" s="173">
        <f t="shared" si="63"/>
        <v>0</v>
      </c>
      <c r="O639" s="42" t="str">
        <f t="shared" si="64"/>
        <v>Bordabehere (ex Salta) 3811</v>
      </c>
      <c r="P639" s="247" t="s">
        <v>4317</v>
      </c>
      <c r="Q639" s="25" t="s">
        <v>4429</v>
      </c>
    </row>
    <row r="640" spans="1:17" x14ac:dyDescent="0.25">
      <c r="A640" s="25" t="s">
        <v>4395</v>
      </c>
      <c r="B640" s="25" t="s">
        <v>11</v>
      </c>
      <c r="C640" s="25" t="s">
        <v>337</v>
      </c>
      <c r="D640" s="25" t="s">
        <v>35</v>
      </c>
      <c r="E640" s="25" t="s">
        <v>157</v>
      </c>
      <c r="F640" s="25">
        <v>1</v>
      </c>
      <c r="G640" s="46">
        <v>46293</v>
      </c>
      <c r="H640" s="25">
        <v>72</v>
      </c>
      <c r="I640" s="46">
        <v>559.20000000000005</v>
      </c>
      <c r="J640" s="46">
        <v>40262.400000000001</v>
      </c>
      <c r="K640" s="46">
        <v>86555.4</v>
      </c>
      <c r="L640" s="25">
        <v>20250421</v>
      </c>
      <c r="M640" s="170">
        <f t="shared" si="60"/>
        <v>77.2</v>
      </c>
      <c r="N640" s="171">
        <f t="shared" si="63"/>
        <v>5.2000000000000028</v>
      </c>
      <c r="O640" s="25" t="str">
        <f t="shared" si="64"/>
        <v>Bordabehere (ex Salta) 3811</v>
      </c>
    </row>
    <row r="641" spans="1:15" x14ac:dyDescent="0.25">
      <c r="A641" s="25" t="s">
        <v>4385</v>
      </c>
      <c r="B641" s="25" t="s">
        <v>11</v>
      </c>
      <c r="C641" s="25" t="s">
        <v>103</v>
      </c>
      <c r="D641" s="25" t="s">
        <v>104</v>
      </c>
      <c r="E641" s="25" t="s">
        <v>3602</v>
      </c>
      <c r="F641" s="25">
        <v>1</v>
      </c>
      <c r="G641" s="46">
        <v>46293</v>
      </c>
      <c r="H641" s="25">
        <v>159</v>
      </c>
      <c r="I641" s="46">
        <v>559.20000000000005</v>
      </c>
      <c r="J641" s="46">
        <v>88912.8</v>
      </c>
      <c r="K641" s="46">
        <v>135205.79999999999</v>
      </c>
      <c r="L641" s="25">
        <v>20250422</v>
      </c>
      <c r="M641" s="170">
        <f t="shared" si="60"/>
        <v>159</v>
      </c>
      <c r="N641" s="171">
        <f t="shared" si="63"/>
        <v>0</v>
      </c>
      <c r="O641" s="25" t="str">
        <f t="shared" si="64"/>
        <v>Bordabehere (ex Salta) 3811</v>
      </c>
    </row>
    <row r="642" spans="1:15" x14ac:dyDescent="0.25">
      <c r="A642" s="25" t="s">
        <v>4377</v>
      </c>
      <c r="B642" s="25" t="s">
        <v>11</v>
      </c>
      <c r="C642" s="25" t="s">
        <v>28</v>
      </c>
      <c r="D642" s="25" t="s">
        <v>1160</v>
      </c>
      <c r="E642" s="25" t="s">
        <v>3643</v>
      </c>
      <c r="F642" s="25">
        <v>1</v>
      </c>
      <c r="G642" s="46">
        <v>46293</v>
      </c>
      <c r="H642" s="25">
        <v>57</v>
      </c>
      <c r="I642" s="46">
        <v>559.20000000000005</v>
      </c>
      <c r="J642" s="46">
        <v>31874.400000000001</v>
      </c>
      <c r="K642" s="46">
        <v>78167.399999999994</v>
      </c>
      <c r="L642" s="25">
        <v>20250423</v>
      </c>
      <c r="M642" s="170">
        <f t="shared" si="60"/>
        <v>56.5</v>
      </c>
      <c r="N642" s="171">
        <f t="shared" si="63"/>
        <v>-0.5</v>
      </c>
      <c r="O642" s="25" t="str">
        <f t="shared" si="64"/>
        <v>Bordabehere (ex Salta) 3811</v>
      </c>
    </row>
    <row r="643" spans="1:15" x14ac:dyDescent="0.25">
      <c r="A643" s="25" t="s">
        <v>4358</v>
      </c>
      <c r="B643" s="25" t="s">
        <v>11</v>
      </c>
      <c r="C643" s="25" t="s">
        <v>26</v>
      </c>
      <c r="D643" s="25" t="s">
        <v>351</v>
      </c>
      <c r="E643" s="25" t="s">
        <v>352</v>
      </c>
      <c r="F643" s="25">
        <v>1</v>
      </c>
      <c r="G643" s="46">
        <v>46293</v>
      </c>
      <c r="H643" s="25">
        <v>67</v>
      </c>
      <c r="I643" s="46">
        <v>559.20000000000005</v>
      </c>
      <c r="J643" s="46">
        <v>37466.400000000001</v>
      </c>
      <c r="K643" s="46">
        <v>83759.399999999994</v>
      </c>
      <c r="L643" s="25">
        <v>20250425</v>
      </c>
      <c r="M643" s="170">
        <f t="shared" si="60"/>
        <v>67.2</v>
      </c>
      <c r="N643" s="171">
        <f t="shared" si="63"/>
        <v>0.20000000000000284</v>
      </c>
      <c r="O643" s="25" t="str">
        <f t="shared" si="64"/>
        <v>Bordabehere (ex Salta) 3811</v>
      </c>
    </row>
    <row r="644" spans="1:15" s="42" customFormat="1" x14ac:dyDescent="0.25">
      <c r="A644" s="42" t="s">
        <v>4360</v>
      </c>
      <c r="B644" s="42" t="s">
        <v>11</v>
      </c>
      <c r="C644" s="42" t="s">
        <v>26</v>
      </c>
      <c r="D644" s="42" t="s">
        <v>497</v>
      </c>
      <c r="E644" s="42" t="s">
        <v>498</v>
      </c>
      <c r="F644" s="42">
        <v>1</v>
      </c>
      <c r="G644" s="67">
        <v>46293</v>
      </c>
      <c r="H644" s="42">
        <v>152</v>
      </c>
      <c r="I644" s="67">
        <v>559.20000000000005</v>
      </c>
      <c r="J644" s="67">
        <v>84998.400000000009</v>
      </c>
      <c r="K644" s="67">
        <v>131291.40000000002</v>
      </c>
      <c r="L644" s="42">
        <v>20250429</v>
      </c>
      <c r="M644" s="172">
        <f t="shared" si="60"/>
        <v>148</v>
      </c>
      <c r="N644" s="173">
        <f t="shared" si="63"/>
        <v>-4</v>
      </c>
      <c r="O644" s="42" t="str">
        <f t="shared" si="64"/>
        <v>Bordabehere (ex Salta) 3811</v>
      </c>
    </row>
    <row r="645" spans="1:15" x14ac:dyDescent="0.25">
      <c r="N645" s="171"/>
    </row>
    <row r="646" spans="1:15" x14ac:dyDescent="0.25">
      <c r="N646" s="171"/>
    </row>
    <row r="647" spans="1:15" x14ac:dyDescent="0.25">
      <c r="A647" s="25" t="s">
        <v>4516</v>
      </c>
      <c r="B647" s="25" t="s">
        <v>11</v>
      </c>
      <c r="C647" s="25" t="s">
        <v>34</v>
      </c>
      <c r="D647" s="25" t="s">
        <v>35</v>
      </c>
      <c r="E647" s="25" t="s">
        <v>3747</v>
      </c>
      <c r="F647" s="25">
        <v>1</v>
      </c>
      <c r="G647" s="46">
        <v>46293</v>
      </c>
      <c r="H647" s="25">
        <v>78</v>
      </c>
      <c r="I647" s="46">
        <v>559.20000000000005</v>
      </c>
      <c r="J647" s="46">
        <v>43617.600000000006</v>
      </c>
      <c r="K647" s="46">
        <v>89910.6</v>
      </c>
      <c r="L647" s="25">
        <v>20250506</v>
      </c>
      <c r="M647" s="170">
        <f t="shared" si="60"/>
        <v>77.2</v>
      </c>
      <c r="N647" s="171">
        <f t="shared" si="63"/>
        <v>-0.79999999999999716</v>
      </c>
    </row>
    <row r="648" spans="1:15" x14ac:dyDescent="0.25">
      <c r="A648" s="25" t="s">
        <v>4519</v>
      </c>
      <c r="B648" s="25" t="s">
        <v>11</v>
      </c>
      <c r="C648" s="25" t="s">
        <v>337</v>
      </c>
      <c r="D648" s="25" t="s">
        <v>35</v>
      </c>
      <c r="E648" s="25" t="s">
        <v>1318</v>
      </c>
      <c r="F648" s="25">
        <v>1</v>
      </c>
      <c r="G648" s="46">
        <v>46293</v>
      </c>
      <c r="H648" s="25">
        <v>72</v>
      </c>
      <c r="I648" s="46">
        <v>559.20000000000005</v>
      </c>
      <c r="J648" s="46">
        <v>40262.400000000001</v>
      </c>
      <c r="K648" s="46">
        <v>86555.4</v>
      </c>
      <c r="L648" s="25">
        <v>20250506</v>
      </c>
      <c r="M648" s="170">
        <f t="shared" si="60"/>
        <v>77.2</v>
      </c>
      <c r="N648" s="171">
        <f t="shared" si="63"/>
        <v>5.2000000000000028</v>
      </c>
      <c r="O648" s="25" t="s">
        <v>4529</v>
      </c>
    </row>
    <row r="649" spans="1:15" x14ac:dyDescent="0.25">
      <c r="F649" s="25"/>
      <c r="G649" s="46"/>
      <c r="I649" s="46"/>
      <c r="J649" s="46"/>
      <c r="K649" s="46"/>
      <c r="N649" s="171"/>
    </row>
    <row r="650" spans="1:15" x14ac:dyDescent="0.25">
      <c r="A650" s="25" t="s">
        <v>4512</v>
      </c>
      <c r="B650" s="25" t="s">
        <v>11</v>
      </c>
      <c r="C650" s="25" t="s">
        <v>163</v>
      </c>
      <c r="D650" s="25" t="s">
        <v>164</v>
      </c>
      <c r="E650" s="25" t="s">
        <v>4287</v>
      </c>
      <c r="F650" s="25">
        <v>1</v>
      </c>
      <c r="G650" s="46">
        <v>46293</v>
      </c>
      <c r="H650" s="25">
        <v>12</v>
      </c>
      <c r="I650" s="46">
        <v>559.20000000000005</v>
      </c>
      <c r="J650" s="46">
        <v>6710.4000000000005</v>
      </c>
      <c r="K650" s="46">
        <v>53003.4</v>
      </c>
      <c r="L650" s="25">
        <v>20250509</v>
      </c>
      <c r="M650" s="170">
        <f t="shared" si="60"/>
        <v>126</v>
      </c>
      <c r="N650" s="171">
        <f t="shared" si="63"/>
        <v>114</v>
      </c>
    </row>
    <row r="651" spans="1:15" x14ac:dyDescent="0.25">
      <c r="A651" s="25" t="s">
        <v>4514</v>
      </c>
      <c r="B651" s="25" t="s">
        <v>11</v>
      </c>
      <c r="C651" s="25" t="s">
        <v>4490</v>
      </c>
      <c r="D651" s="25" t="s">
        <v>494</v>
      </c>
      <c r="E651" s="25" t="s">
        <v>495</v>
      </c>
      <c r="F651" s="25">
        <v>1</v>
      </c>
      <c r="G651" s="46">
        <v>46293</v>
      </c>
      <c r="H651" s="25">
        <v>123</v>
      </c>
      <c r="I651" s="46">
        <v>559.20000000000005</v>
      </c>
      <c r="J651" s="46">
        <v>68781.600000000006</v>
      </c>
      <c r="K651" s="46">
        <v>115074.6</v>
      </c>
      <c r="L651" s="25">
        <v>20250509</v>
      </c>
      <c r="M651" s="170">
        <f t="shared" si="60"/>
        <v>123</v>
      </c>
      <c r="N651" s="171">
        <f t="shared" si="63"/>
        <v>0</v>
      </c>
      <c r="O651" s="25">
        <f>H651+H650</f>
        <v>135</v>
      </c>
    </row>
    <row r="652" spans="1:15" x14ac:dyDescent="0.25">
      <c r="F652" s="25"/>
      <c r="G652" s="46"/>
      <c r="I652" s="46"/>
      <c r="J652" s="46"/>
      <c r="K652" s="46"/>
      <c r="N652" s="171"/>
    </row>
    <row r="653" spans="1:15" x14ac:dyDescent="0.25">
      <c r="A653" s="25" t="s">
        <v>4463</v>
      </c>
      <c r="B653" s="25" t="s">
        <v>11</v>
      </c>
      <c r="C653" s="25" t="s">
        <v>28</v>
      </c>
      <c r="D653" s="25" t="s">
        <v>383</v>
      </c>
      <c r="E653" s="25" t="s">
        <v>384</v>
      </c>
      <c r="F653" s="25">
        <v>1</v>
      </c>
      <c r="G653" s="46">
        <v>46293</v>
      </c>
      <c r="H653" s="25">
        <v>354</v>
      </c>
      <c r="I653" s="46">
        <v>559.20000000000005</v>
      </c>
      <c r="J653" s="46">
        <v>197956.80000000002</v>
      </c>
      <c r="K653" s="46">
        <v>244249.80000000002</v>
      </c>
      <c r="L653" s="25">
        <v>20250520</v>
      </c>
      <c r="M653" s="170">
        <f t="shared" si="60"/>
        <v>354</v>
      </c>
      <c r="N653" s="171">
        <f t="shared" si="63"/>
        <v>0</v>
      </c>
    </row>
    <row r="654" spans="1:15" x14ac:dyDescent="0.25">
      <c r="A654" s="25" t="s">
        <v>4460</v>
      </c>
      <c r="B654" s="25" t="s">
        <v>11</v>
      </c>
      <c r="C654" s="25" t="s">
        <v>4149</v>
      </c>
      <c r="D654" s="25" t="s">
        <v>4150</v>
      </c>
      <c r="E654" s="25" t="s">
        <v>4151</v>
      </c>
      <c r="F654" s="25">
        <v>1</v>
      </c>
      <c r="G654" s="46">
        <v>46293</v>
      </c>
      <c r="H654" s="25">
        <v>39</v>
      </c>
      <c r="I654" s="46">
        <v>559.20000000000005</v>
      </c>
      <c r="J654" s="46">
        <v>21808.800000000003</v>
      </c>
      <c r="K654" s="46">
        <v>68101.8</v>
      </c>
      <c r="L654" s="25">
        <v>20250521</v>
      </c>
      <c r="M654" s="170">
        <f t="shared" si="60"/>
        <v>38.9</v>
      </c>
      <c r="N654" s="171">
        <f t="shared" si="63"/>
        <v>-0.10000000000000142</v>
      </c>
    </row>
    <row r="655" spans="1:15" x14ac:dyDescent="0.25">
      <c r="A655" s="25" t="s">
        <v>4461</v>
      </c>
      <c r="B655" s="25" t="s">
        <v>11</v>
      </c>
      <c r="C655" s="25" t="s">
        <v>28</v>
      </c>
      <c r="D655" s="25" t="s">
        <v>1183</v>
      </c>
      <c r="E655" s="25" t="s">
        <v>1184</v>
      </c>
      <c r="F655" s="25">
        <v>1</v>
      </c>
      <c r="G655" s="46">
        <v>46293</v>
      </c>
      <c r="H655" s="25">
        <v>138</v>
      </c>
      <c r="I655" s="46">
        <v>559.20000000000005</v>
      </c>
      <c r="J655" s="46">
        <v>77169.600000000006</v>
      </c>
      <c r="K655" s="46">
        <v>123462.6</v>
      </c>
      <c r="L655" s="25">
        <v>20250523</v>
      </c>
      <c r="M655" s="170">
        <f t="shared" si="60"/>
        <v>138</v>
      </c>
      <c r="N655" s="171">
        <f t="shared" si="63"/>
        <v>0</v>
      </c>
    </row>
    <row r="656" spans="1:15" x14ac:dyDescent="0.25">
      <c r="A656" s="25" t="s">
        <v>4455</v>
      </c>
      <c r="B656" s="25" t="s">
        <v>11</v>
      </c>
      <c r="C656" s="25" t="s">
        <v>29</v>
      </c>
      <c r="D656" s="25" t="s">
        <v>30</v>
      </c>
      <c r="E656" s="25" t="s">
        <v>3608</v>
      </c>
      <c r="F656" s="25">
        <v>1</v>
      </c>
      <c r="G656" s="46">
        <v>46293</v>
      </c>
      <c r="H656" s="25">
        <v>158</v>
      </c>
      <c r="I656" s="46">
        <v>559.20000000000005</v>
      </c>
      <c r="J656" s="46">
        <v>88353.600000000006</v>
      </c>
      <c r="K656" s="46">
        <v>134646.6</v>
      </c>
      <c r="L656" s="25">
        <v>20250527</v>
      </c>
      <c r="M656" s="170">
        <f t="shared" si="60"/>
        <v>158</v>
      </c>
      <c r="N656" s="171">
        <f t="shared" si="63"/>
        <v>0</v>
      </c>
    </row>
    <row r="657" spans="1:15" x14ac:dyDescent="0.25">
      <c r="N657" s="171"/>
    </row>
    <row r="658" spans="1:15" x14ac:dyDescent="0.25">
      <c r="N658" s="171"/>
    </row>
    <row r="659" spans="1:15" x14ac:dyDescent="0.25">
      <c r="A659" s="259" t="s">
        <v>4621</v>
      </c>
      <c r="B659" s="259" t="s">
        <v>11</v>
      </c>
      <c r="C659" s="259" t="s">
        <v>337</v>
      </c>
      <c r="D659" s="259" t="s">
        <v>162</v>
      </c>
      <c r="E659" s="259" t="s">
        <v>1528</v>
      </c>
      <c r="F659" s="259">
        <v>1</v>
      </c>
      <c r="G659" s="260">
        <v>46293</v>
      </c>
      <c r="H659" s="259">
        <v>69</v>
      </c>
      <c r="I659" s="260">
        <v>559.20000000000005</v>
      </c>
      <c r="J659" s="260">
        <v>38584.800000000003</v>
      </c>
      <c r="K659" s="260">
        <v>84877.8</v>
      </c>
      <c r="L659" s="259">
        <v>20250602</v>
      </c>
      <c r="M659" s="170">
        <f t="shared" si="60"/>
        <v>68.8</v>
      </c>
      <c r="N659" s="171">
        <f t="shared" si="63"/>
        <v>-0.20000000000000284</v>
      </c>
    </row>
    <row r="660" spans="1:15" x14ac:dyDescent="0.25">
      <c r="A660" s="259" t="s">
        <v>4622</v>
      </c>
      <c r="B660" s="259" t="s">
        <v>11</v>
      </c>
      <c r="C660" s="259" t="s">
        <v>28</v>
      </c>
      <c r="D660" s="259" t="s">
        <v>383</v>
      </c>
      <c r="E660" s="259" t="s">
        <v>384</v>
      </c>
      <c r="F660" s="259">
        <v>1</v>
      </c>
      <c r="G660" s="260">
        <v>46293</v>
      </c>
      <c r="H660" s="259">
        <v>354</v>
      </c>
      <c r="I660" s="260">
        <v>559.20000000000005</v>
      </c>
      <c r="J660" s="260">
        <v>197956.80000000002</v>
      </c>
      <c r="K660" s="260">
        <v>244249.80000000002</v>
      </c>
      <c r="L660" s="259">
        <v>20250603</v>
      </c>
      <c r="M660" s="170">
        <f t="shared" si="60"/>
        <v>354</v>
      </c>
      <c r="N660" s="171">
        <f t="shared" si="63"/>
        <v>0</v>
      </c>
    </row>
    <row r="661" spans="1:15" x14ac:dyDescent="0.25">
      <c r="A661" s="259" t="s">
        <v>4615</v>
      </c>
      <c r="B661" s="259" t="s">
        <v>11</v>
      </c>
      <c r="C661" s="259" t="s">
        <v>26</v>
      </c>
      <c r="D661" s="259" t="s">
        <v>224</v>
      </c>
      <c r="E661" s="259" t="s">
        <v>316</v>
      </c>
      <c r="F661" s="259">
        <v>1</v>
      </c>
      <c r="G661" s="260">
        <v>46293</v>
      </c>
      <c r="H661" s="259">
        <v>58</v>
      </c>
      <c r="I661" s="260">
        <v>559.20000000000005</v>
      </c>
      <c r="J661" s="260">
        <v>32433.600000000002</v>
      </c>
      <c r="K661" s="260">
        <v>78726.600000000006</v>
      </c>
      <c r="L661" s="259">
        <v>20250606</v>
      </c>
      <c r="M661" s="170">
        <f t="shared" si="60"/>
        <v>57.6</v>
      </c>
      <c r="N661" s="171">
        <f t="shared" si="63"/>
        <v>-0.39999999999999858</v>
      </c>
    </row>
    <row r="662" spans="1:15" x14ac:dyDescent="0.25">
      <c r="A662" s="259" t="s">
        <v>4618</v>
      </c>
      <c r="B662" s="259" t="s">
        <v>11</v>
      </c>
      <c r="C662" s="259" t="s">
        <v>26</v>
      </c>
      <c r="D662" s="259" t="s">
        <v>226</v>
      </c>
      <c r="E662" s="259" t="s">
        <v>730</v>
      </c>
      <c r="F662" s="259">
        <v>1</v>
      </c>
      <c r="G662" s="260">
        <v>46293</v>
      </c>
      <c r="H662" s="259">
        <v>149</v>
      </c>
      <c r="I662" s="260">
        <v>559.20000000000005</v>
      </c>
      <c r="J662" s="260">
        <v>83320.800000000003</v>
      </c>
      <c r="K662" s="260">
        <v>129613.8</v>
      </c>
      <c r="L662" s="259">
        <v>20250606</v>
      </c>
      <c r="M662" s="170">
        <f t="shared" si="60"/>
        <v>149</v>
      </c>
      <c r="N662" s="171">
        <f t="shared" si="63"/>
        <v>0</v>
      </c>
    </row>
    <row r="663" spans="1:15" x14ac:dyDescent="0.25">
      <c r="A663" s="259" t="s">
        <v>4614</v>
      </c>
      <c r="B663" s="259" t="s">
        <v>11</v>
      </c>
      <c r="C663" s="259" t="s">
        <v>163</v>
      </c>
      <c r="D663" s="259" t="s">
        <v>164</v>
      </c>
      <c r="E663" s="259" t="s">
        <v>4254</v>
      </c>
      <c r="F663" s="259">
        <v>1</v>
      </c>
      <c r="G663" s="260">
        <v>46293</v>
      </c>
      <c r="H663" s="259">
        <v>126</v>
      </c>
      <c r="I663" s="260">
        <v>559.20000000000005</v>
      </c>
      <c r="J663" s="260">
        <v>70459.200000000012</v>
      </c>
      <c r="K663" s="260">
        <v>116752.20000000001</v>
      </c>
      <c r="L663" s="259">
        <v>20250618</v>
      </c>
      <c r="M663" s="170">
        <f t="shared" si="60"/>
        <v>126</v>
      </c>
      <c r="N663" s="171">
        <f t="shared" si="63"/>
        <v>0</v>
      </c>
    </row>
    <row r="664" spans="1:15" x14ac:dyDescent="0.25">
      <c r="N664" s="171"/>
    </row>
    <row r="665" spans="1:15" x14ac:dyDescent="0.25">
      <c r="N665" s="171"/>
    </row>
    <row r="666" spans="1:15" x14ac:dyDescent="0.25">
      <c r="A666" s="25" t="s">
        <v>4711</v>
      </c>
      <c r="B666" s="25" t="s">
        <v>11</v>
      </c>
      <c r="C666" s="25" t="s">
        <v>29</v>
      </c>
      <c r="D666" s="25" t="s">
        <v>30</v>
      </c>
      <c r="E666" s="25" t="s">
        <v>4021</v>
      </c>
      <c r="F666" s="25">
        <v>1</v>
      </c>
      <c r="G666" s="46">
        <v>50089</v>
      </c>
      <c r="H666" s="25">
        <v>158</v>
      </c>
      <c r="I666" s="46">
        <v>587.70000000000005</v>
      </c>
      <c r="J666" s="46">
        <v>92856.6</v>
      </c>
      <c r="K666" s="46">
        <v>142945.60000000001</v>
      </c>
      <c r="L666" s="25">
        <v>20250701</v>
      </c>
      <c r="M666" s="170">
        <f t="shared" ref="M666:M673" si="65">VLOOKUP(D666,tablapertex,11,FALSE)</f>
        <v>158</v>
      </c>
      <c r="N666" s="171">
        <f t="shared" ref="N666:N673" si="66">M666-H666</f>
        <v>0</v>
      </c>
    </row>
    <row r="667" spans="1:15" x14ac:dyDescent="0.25">
      <c r="A667" s="25" t="s">
        <v>4708</v>
      </c>
      <c r="B667" s="25" t="s">
        <v>11</v>
      </c>
      <c r="C667" s="25" t="s">
        <v>163</v>
      </c>
      <c r="D667" s="25" t="s">
        <v>164</v>
      </c>
      <c r="E667" s="25" t="s">
        <v>454</v>
      </c>
      <c r="F667" s="25">
        <v>1</v>
      </c>
      <c r="G667" s="46">
        <v>50089</v>
      </c>
      <c r="H667" s="25">
        <v>126</v>
      </c>
      <c r="I667" s="46">
        <v>587.70000000000005</v>
      </c>
      <c r="J667" s="46">
        <v>74050.200000000012</v>
      </c>
      <c r="K667" s="46">
        <v>124139.20000000001</v>
      </c>
      <c r="L667" s="25">
        <v>20250702</v>
      </c>
      <c r="M667" s="170">
        <f t="shared" si="65"/>
        <v>126</v>
      </c>
      <c r="N667" s="171">
        <f t="shared" si="66"/>
        <v>0</v>
      </c>
    </row>
    <row r="668" spans="1:15" x14ac:dyDescent="0.25">
      <c r="A668" s="25" t="s">
        <v>4702</v>
      </c>
      <c r="B668" s="25" t="s">
        <v>11</v>
      </c>
      <c r="C668" s="25" t="s">
        <v>28</v>
      </c>
      <c r="D668" s="25" t="s">
        <v>200</v>
      </c>
      <c r="E668" s="25" t="s">
        <v>201</v>
      </c>
      <c r="F668" s="25">
        <v>1</v>
      </c>
      <c r="G668" s="46">
        <v>50089</v>
      </c>
      <c r="H668" s="25">
        <v>251</v>
      </c>
      <c r="I668" s="46">
        <v>587.70000000000005</v>
      </c>
      <c r="J668" s="46">
        <v>147512.70000000001</v>
      </c>
      <c r="K668" s="46">
        <v>197601.7</v>
      </c>
      <c r="L668" s="25">
        <v>20250707</v>
      </c>
      <c r="M668" s="170">
        <f t="shared" si="65"/>
        <v>251</v>
      </c>
      <c r="N668" s="171">
        <f t="shared" si="66"/>
        <v>0</v>
      </c>
    </row>
    <row r="669" spans="1:15" s="42" customFormat="1" x14ac:dyDescent="0.25">
      <c r="A669" s="42" t="s">
        <v>4697</v>
      </c>
      <c r="B669" s="42" t="s">
        <v>11</v>
      </c>
      <c r="C669" s="42" t="s">
        <v>29</v>
      </c>
      <c r="D669" s="42" t="s">
        <v>3494</v>
      </c>
      <c r="E669" s="42" t="s">
        <v>2348</v>
      </c>
      <c r="F669" s="42">
        <v>1</v>
      </c>
      <c r="G669" s="67">
        <v>50089</v>
      </c>
      <c r="H669" s="42">
        <v>37</v>
      </c>
      <c r="I669" s="67">
        <v>587.70000000000005</v>
      </c>
      <c r="J669" s="67">
        <v>21744.9</v>
      </c>
      <c r="K669" s="67">
        <v>71833.899999999994</v>
      </c>
      <c r="L669" s="42">
        <v>20250708</v>
      </c>
      <c r="M669" s="172">
        <f t="shared" si="65"/>
        <v>27.1</v>
      </c>
      <c r="N669" s="173">
        <f t="shared" si="66"/>
        <v>-9.8999999999999986</v>
      </c>
      <c r="O669" s="261" t="s">
        <v>4317</v>
      </c>
    </row>
    <row r="670" spans="1:15" x14ac:dyDescent="0.25">
      <c r="A670" s="25" t="s">
        <v>4685</v>
      </c>
      <c r="B670" s="25" t="s">
        <v>11</v>
      </c>
      <c r="C670" s="25" t="s">
        <v>163</v>
      </c>
      <c r="D670" s="25" t="s">
        <v>164</v>
      </c>
      <c r="E670" s="25" t="s">
        <v>454</v>
      </c>
      <c r="F670" s="25">
        <v>1</v>
      </c>
      <c r="G670" s="46">
        <v>50089</v>
      </c>
      <c r="H670" s="25">
        <v>252</v>
      </c>
      <c r="I670" s="46">
        <v>587.70000000000005</v>
      </c>
      <c r="J670" s="46">
        <v>148100.40000000002</v>
      </c>
      <c r="K670" s="46">
        <v>198189.40000000002</v>
      </c>
      <c r="L670" s="25">
        <v>20250716</v>
      </c>
      <c r="M670" s="170">
        <f t="shared" si="65"/>
        <v>126</v>
      </c>
      <c r="N670" s="171">
        <f t="shared" si="66"/>
        <v>-126</v>
      </c>
    </row>
    <row r="671" spans="1:15" x14ac:dyDescent="0.25">
      <c r="A671" s="25" t="s">
        <v>4672</v>
      </c>
      <c r="B671" s="25" t="s">
        <v>11</v>
      </c>
      <c r="C671" s="25" t="s">
        <v>26</v>
      </c>
      <c r="D671" s="25" t="s">
        <v>145</v>
      </c>
      <c r="E671" s="25" t="s">
        <v>3203</v>
      </c>
      <c r="F671" s="25">
        <v>1</v>
      </c>
      <c r="G671" s="46">
        <v>50089</v>
      </c>
      <c r="H671" s="25">
        <v>75</v>
      </c>
      <c r="I671" s="46">
        <v>587.70000000000005</v>
      </c>
      <c r="J671" s="46">
        <v>44077.5</v>
      </c>
      <c r="K671" s="46">
        <v>94166.5</v>
      </c>
      <c r="L671" s="25">
        <v>20250717</v>
      </c>
      <c r="M671" s="170">
        <f t="shared" si="65"/>
        <v>75.3</v>
      </c>
      <c r="N671" s="171">
        <f t="shared" si="66"/>
        <v>0.29999999999999716</v>
      </c>
    </row>
    <row r="672" spans="1:15" x14ac:dyDescent="0.25">
      <c r="A672" s="25" t="s">
        <v>4673</v>
      </c>
      <c r="B672" s="25" t="s">
        <v>11</v>
      </c>
      <c r="C672" s="25" t="s">
        <v>163</v>
      </c>
      <c r="D672" s="25" t="s">
        <v>164</v>
      </c>
      <c r="E672" s="25" t="s">
        <v>4254</v>
      </c>
      <c r="F672" s="25">
        <v>1</v>
      </c>
      <c r="G672" s="46">
        <v>50089</v>
      </c>
      <c r="H672" s="25">
        <v>126</v>
      </c>
      <c r="I672" s="46">
        <v>587.70000000000005</v>
      </c>
      <c r="J672" s="46">
        <v>74050.200000000012</v>
      </c>
      <c r="K672" s="46">
        <v>124139.20000000001</v>
      </c>
      <c r="L672" s="25">
        <v>20250725</v>
      </c>
      <c r="M672" s="170">
        <f t="shared" si="65"/>
        <v>126</v>
      </c>
      <c r="N672" s="171">
        <f t="shared" si="66"/>
        <v>0</v>
      </c>
    </row>
    <row r="673" spans="1:15" s="42" customFormat="1" x14ac:dyDescent="0.25">
      <c r="A673" s="42" t="s">
        <v>4639</v>
      </c>
      <c r="B673" s="42" t="s">
        <v>11</v>
      </c>
      <c r="C673" s="42" t="s">
        <v>29</v>
      </c>
      <c r="D673" s="42" t="s">
        <v>3494</v>
      </c>
      <c r="E673" s="42" t="s">
        <v>4526</v>
      </c>
      <c r="F673" s="42">
        <v>1</v>
      </c>
      <c r="G673" s="67">
        <v>50089</v>
      </c>
      <c r="H673" s="42">
        <v>37</v>
      </c>
      <c r="I673" s="67">
        <v>587.70000000000005</v>
      </c>
      <c r="J673" s="67">
        <v>21744.9</v>
      </c>
      <c r="K673" s="67">
        <v>71833.899999999994</v>
      </c>
      <c r="L673" s="42">
        <v>20250726</v>
      </c>
      <c r="M673" s="172">
        <f t="shared" si="65"/>
        <v>27.1</v>
      </c>
      <c r="N673" s="173">
        <f t="shared" si="66"/>
        <v>-9.8999999999999986</v>
      </c>
      <c r="O673" s="261" t="s">
        <v>4317</v>
      </c>
    </row>
    <row r="674" spans="1:15" x14ac:dyDescent="0.25">
      <c r="N674" s="171"/>
    </row>
    <row r="675" spans="1:15" x14ac:dyDescent="0.25">
      <c r="N675" s="171"/>
    </row>
    <row r="676" spans="1:15" x14ac:dyDescent="0.25">
      <c r="A676" s="25" t="s">
        <v>4797</v>
      </c>
      <c r="B676" s="25" t="s">
        <v>11</v>
      </c>
      <c r="C676" s="25" t="s">
        <v>337</v>
      </c>
      <c r="D676" s="25" t="s">
        <v>162</v>
      </c>
      <c r="E676" s="25" t="s">
        <v>3073</v>
      </c>
      <c r="F676" s="25">
        <v>1</v>
      </c>
      <c r="G676" s="46">
        <v>50089</v>
      </c>
      <c r="H676" s="25">
        <v>69</v>
      </c>
      <c r="I676" s="46">
        <v>587.70000000000005</v>
      </c>
      <c r="J676" s="46">
        <v>40551.300000000003</v>
      </c>
      <c r="K676" s="46">
        <v>90640.3</v>
      </c>
      <c r="L676" s="25">
        <v>20250804</v>
      </c>
      <c r="M676" s="170">
        <f t="shared" ref="M676:M684" si="67">VLOOKUP(D676,tablapertex,11,FALSE)</f>
        <v>68.8</v>
      </c>
      <c r="N676" s="171">
        <f t="shared" ref="N676:N684" si="68">M676-H676</f>
        <v>-0.20000000000000284</v>
      </c>
    </row>
    <row r="677" spans="1:15" x14ac:dyDescent="0.25">
      <c r="A677" s="25" t="s">
        <v>4795</v>
      </c>
      <c r="B677" s="25" t="s">
        <v>11</v>
      </c>
      <c r="C677" s="25" t="s">
        <v>28</v>
      </c>
      <c r="D677" s="25" t="s">
        <v>200</v>
      </c>
      <c r="E677" s="25" t="s">
        <v>201</v>
      </c>
      <c r="F677" s="25">
        <v>1</v>
      </c>
      <c r="G677" s="46">
        <v>50089</v>
      </c>
      <c r="H677" s="25">
        <v>251</v>
      </c>
      <c r="I677" s="46">
        <v>587.70000000000005</v>
      </c>
      <c r="J677" s="46">
        <v>147512.70000000001</v>
      </c>
      <c r="K677" s="46">
        <v>197601.7</v>
      </c>
      <c r="L677" s="25">
        <v>20250805</v>
      </c>
      <c r="M677" s="170">
        <f t="shared" si="67"/>
        <v>251</v>
      </c>
      <c r="N677" s="171">
        <f t="shared" si="68"/>
        <v>0</v>
      </c>
    </row>
    <row r="678" spans="1:15" x14ac:dyDescent="0.25">
      <c r="A678" s="25" t="s">
        <v>4793</v>
      </c>
      <c r="B678" s="25" t="s">
        <v>11</v>
      </c>
      <c r="C678" s="25" t="s">
        <v>34</v>
      </c>
      <c r="D678" s="25" t="s">
        <v>35</v>
      </c>
      <c r="E678" s="25" t="s">
        <v>3747</v>
      </c>
      <c r="F678" s="25">
        <v>1</v>
      </c>
      <c r="G678" s="46">
        <v>50089</v>
      </c>
      <c r="H678" s="25">
        <v>78</v>
      </c>
      <c r="I678" s="46">
        <v>587.70000000000005</v>
      </c>
      <c r="J678" s="46">
        <v>45840.600000000006</v>
      </c>
      <c r="K678" s="46">
        <v>95929.600000000006</v>
      </c>
      <c r="L678" s="25">
        <v>20250806</v>
      </c>
      <c r="M678" s="170">
        <f t="shared" si="67"/>
        <v>77.2</v>
      </c>
      <c r="N678" s="171">
        <f t="shared" si="68"/>
        <v>-0.79999999999999716</v>
      </c>
    </row>
    <row r="679" spans="1:15" x14ac:dyDescent="0.25">
      <c r="A679" s="25" t="s">
        <v>4787</v>
      </c>
      <c r="B679" s="25" t="s">
        <v>11</v>
      </c>
      <c r="C679" s="25" t="s">
        <v>28</v>
      </c>
      <c r="D679" s="25" t="s">
        <v>1160</v>
      </c>
      <c r="E679" s="25" t="s">
        <v>3643</v>
      </c>
      <c r="F679" s="25">
        <v>1</v>
      </c>
      <c r="G679" s="46">
        <v>50089</v>
      </c>
      <c r="H679" s="25">
        <v>57</v>
      </c>
      <c r="I679" s="46">
        <v>587.70000000000005</v>
      </c>
      <c r="J679" s="46">
        <v>33498.9</v>
      </c>
      <c r="K679" s="46">
        <v>83587.899999999994</v>
      </c>
      <c r="L679" s="25">
        <v>20250808</v>
      </c>
      <c r="M679" s="170">
        <f t="shared" si="67"/>
        <v>56.5</v>
      </c>
      <c r="N679" s="171">
        <f t="shared" si="68"/>
        <v>-0.5</v>
      </c>
    </row>
    <row r="680" spans="1:15" x14ac:dyDescent="0.25">
      <c r="A680" s="25" t="s">
        <v>4775</v>
      </c>
      <c r="B680" s="25" t="s">
        <v>11</v>
      </c>
      <c r="C680" s="25" t="s">
        <v>163</v>
      </c>
      <c r="D680" s="25" t="s">
        <v>164</v>
      </c>
      <c r="E680" s="25" t="s">
        <v>4254</v>
      </c>
      <c r="F680" s="25">
        <v>1</v>
      </c>
      <c r="G680" s="46">
        <v>50089</v>
      </c>
      <c r="H680" s="25">
        <v>126</v>
      </c>
      <c r="I680" s="46">
        <v>587.70000000000005</v>
      </c>
      <c r="J680" s="46">
        <v>74050.200000000012</v>
      </c>
      <c r="K680" s="46">
        <v>124139.20000000001</v>
      </c>
      <c r="L680" s="25">
        <v>20250812</v>
      </c>
      <c r="M680" s="170">
        <f t="shared" si="67"/>
        <v>126</v>
      </c>
      <c r="N680" s="171">
        <f t="shared" si="68"/>
        <v>0</v>
      </c>
    </row>
    <row r="681" spans="1:15" x14ac:dyDescent="0.25">
      <c r="A681" s="25" t="s">
        <v>4791</v>
      </c>
      <c r="B681" s="25" t="s">
        <v>11</v>
      </c>
      <c r="C681" s="25" t="s">
        <v>28</v>
      </c>
      <c r="D681" s="25" t="s">
        <v>1703</v>
      </c>
      <c r="E681" s="25" t="s">
        <v>2436</v>
      </c>
      <c r="F681" s="25">
        <v>1</v>
      </c>
      <c r="G681" s="46">
        <v>50089</v>
      </c>
      <c r="H681" s="25">
        <v>321</v>
      </c>
      <c r="I681" s="46">
        <v>587.70000000000005</v>
      </c>
      <c r="J681" s="46">
        <v>188651.7</v>
      </c>
      <c r="K681" s="46">
        <v>238740.7</v>
      </c>
      <c r="L681" s="25">
        <v>20250818</v>
      </c>
      <c r="M681" s="170">
        <f t="shared" si="67"/>
        <v>242</v>
      </c>
      <c r="N681" s="171">
        <f t="shared" si="68"/>
        <v>-79</v>
      </c>
    </row>
    <row r="682" spans="1:15" x14ac:dyDescent="0.25">
      <c r="A682" s="42" t="s">
        <v>4766</v>
      </c>
      <c r="B682" s="42" t="s">
        <v>1209</v>
      </c>
      <c r="C682" s="42" t="s">
        <v>4748</v>
      </c>
      <c r="D682" s="42" t="s">
        <v>4767</v>
      </c>
      <c r="E682" s="42" t="s">
        <v>4768</v>
      </c>
      <c r="F682" s="42">
        <v>1</v>
      </c>
      <c r="G682" s="67">
        <v>50089</v>
      </c>
      <c r="H682" s="42">
        <v>149</v>
      </c>
      <c r="I682" s="67">
        <v>587.70000000000005</v>
      </c>
      <c r="J682" s="67">
        <v>87567.3</v>
      </c>
      <c r="K682" s="67">
        <v>137656.29999999999</v>
      </c>
      <c r="L682" s="42">
        <v>20250819</v>
      </c>
      <c r="M682" s="172">
        <f t="shared" si="67"/>
        <v>148</v>
      </c>
      <c r="N682" s="173">
        <f t="shared" si="68"/>
        <v>-1</v>
      </c>
    </row>
    <row r="683" spans="1:15" x14ac:dyDescent="0.25">
      <c r="A683" s="42" t="s">
        <v>4733</v>
      </c>
      <c r="B683" s="42" t="s">
        <v>11</v>
      </c>
      <c r="C683" s="42" t="s">
        <v>4490</v>
      </c>
      <c r="D683" s="42" t="s">
        <v>368</v>
      </c>
      <c r="E683" s="42" t="s">
        <v>369</v>
      </c>
      <c r="F683" s="42">
        <v>1</v>
      </c>
      <c r="G683" s="67">
        <v>50089</v>
      </c>
      <c r="H683" s="42">
        <v>123</v>
      </c>
      <c r="I683" s="67">
        <v>587.70000000000005</v>
      </c>
      <c r="J683" s="67">
        <v>72287.100000000006</v>
      </c>
      <c r="K683" s="67">
        <v>122376.1</v>
      </c>
      <c r="L683" s="42">
        <v>20250822</v>
      </c>
      <c r="M683" s="172">
        <f t="shared" si="67"/>
        <v>111</v>
      </c>
      <c r="N683" s="173">
        <f t="shared" si="68"/>
        <v>-12</v>
      </c>
    </row>
    <row r="684" spans="1:15" x14ac:dyDescent="0.25">
      <c r="A684" s="42" t="s">
        <v>4754</v>
      </c>
      <c r="B684" s="42" t="s">
        <v>1209</v>
      </c>
      <c r="C684" s="42" t="s">
        <v>4748</v>
      </c>
      <c r="D684" s="42" t="s">
        <v>4755</v>
      </c>
      <c r="E684" s="42" t="s">
        <v>4756</v>
      </c>
      <c r="F684" s="42">
        <v>1</v>
      </c>
      <c r="G684" s="67">
        <v>50089</v>
      </c>
      <c r="H684" s="42">
        <v>126</v>
      </c>
      <c r="I684" s="67">
        <v>587.70000000000005</v>
      </c>
      <c r="J684" s="67">
        <v>74050.200000000012</v>
      </c>
      <c r="K684" s="67">
        <v>124139.20000000001</v>
      </c>
      <c r="L684" s="42">
        <v>20250826</v>
      </c>
      <c r="M684" s="170">
        <f t="shared" si="67"/>
        <v>127</v>
      </c>
      <c r="N684" s="170">
        <f t="shared" si="68"/>
        <v>1</v>
      </c>
    </row>
    <row r="685" spans="1:15" x14ac:dyDescent="0.25">
      <c r="N685" s="170"/>
    </row>
    <row r="686" spans="1:15" x14ac:dyDescent="0.25">
      <c r="N686" s="170"/>
    </row>
    <row r="687" spans="1:15" s="42" customFormat="1" x14ac:dyDescent="0.25">
      <c r="A687" s="42" t="s">
        <v>4874</v>
      </c>
      <c r="B687" s="42" t="s">
        <v>11</v>
      </c>
      <c r="C687" s="42" t="s">
        <v>337</v>
      </c>
      <c r="D687" s="42" t="s">
        <v>35</v>
      </c>
      <c r="E687" s="42" t="s">
        <v>402</v>
      </c>
      <c r="F687" s="42">
        <v>1</v>
      </c>
      <c r="G687" s="67">
        <v>50089</v>
      </c>
      <c r="H687" s="42">
        <v>72</v>
      </c>
      <c r="I687" s="67">
        <v>587.70000000000005</v>
      </c>
      <c r="J687" s="67">
        <v>42314.400000000001</v>
      </c>
      <c r="K687" s="67">
        <v>92403.4</v>
      </c>
      <c r="L687" s="42">
        <v>20250902</v>
      </c>
      <c r="M687" s="172">
        <f t="shared" ref="M687:M695" si="69">VLOOKUP(D687,tablapertex,11,FALSE)</f>
        <v>77.2</v>
      </c>
      <c r="N687" s="172">
        <f t="shared" ref="N687:N695" si="70">M687-H687</f>
        <v>5.2000000000000028</v>
      </c>
      <c r="O687" s="42" t="s">
        <v>4883</v>
      </c>
    </row>
    <row r="688" spans="1:15" x14ac:dyDescent="0.25">
      <c r="A688" s="25" t="s">
        <v>4869</v>
      </c>
      <c r="B688" s="25" t="s">
        <v>11</v>
      </c>
      <c r="C688" s="25" t="s">
        <v>28</v>
      </c>
      <c r="D688" s="25" t="s">
        <v>267</v>
      </c>
      <c r="E688" s="25" t="s">
        <v>268</v>
      </c>
      <c r="F688" s="25">
        <v>1</v>
      </c>
      <c r="G688" s="46">
        <v>50089</v>
      </c>
      <c r="H688" s="25">
        <v>146</v>
      </c>
      <c r="I688" s="46">
        <v>587.70000000000005</v>
      </c>
      <c r="J688" s="46">
        <v>85804.200000000012</v>
      </c>
      <c r="K688" s="46">
        <v>135893.20000000001</v>
      </c>
      <c r="L688" s="25">
        <v>20250905</v>
      </c>
      <c r="M688" s="170">
        <f t="shared" si="69"/>
        <v>146</v>
      </c>
      <c r="N688" s="170">
        <f t="shared" si="70"/>
        <v>0</v>
      </c>
    </row>
    <row r="689" spans="1:15" s="42" customFormat="1" x14ac:dyDescent="0.25">
      <c r="A689" s="42" t="s">
        <v>4868</v>
      </c>
      <c r="B689" s="42" t="s">
        <v>11</v>
      </c>
      <c r="C689" s="42" t="s">
        <v>337</v>
      </c>
      <c r="D689" s="42" t="s">
        <v>35</v>
      </c>
      <c r="E689" s="42" t="s">
        <v>402</v>
      </c>
      <c r="F689" s="42">
        <v>1</v>
      </c>
      <c r="G689" s="67">
        <v>50089</v>
      </c>
      <c r="H689" s="42">
        <v>72</v>
      </c>
      <c r="I689" s="67">
        <v>587.70000000000005</v>
      </c>
      <c r="J689" s="67">
        <v>42314.400000000001</v>
      </c>
      <c r="K689" s="67">
        <v>92403.4</v>
      </c>
      <c r="L689" s="42">
        <v>20250909</v>
      </c>
      <c r="M689" s="172">
        <f t="shared" si="69"/>
        <v>77.2</v>
      </c>
      <c r="N689" s="172">
        <f t="shared" si="70"/>
        <v>5.2000000000000028</v>
      </c>
      <c r="O689" s="42" t="s">
        <v>4883</v>
      </c>
    </row>
    <row r="690" spans="1:15" x14ac:dyDescent="0.25">
      <c r="A690" s="42" t="s">
        <v>4872</v>
      </c>
      <c r="B690" s="42" t="s">
        <v>11</v>
      </c>
      <c r="C690" s="42" t="s">
        <v>4490</v>
      </c>
      <c r="D690" s="42" t="s">
        <v>368</v>
      </c>
      <c r="E690" s="42" t="s">
        <v>369</v>
      </c>
      <c r="F690" s="42">
        <v>1</v>
      </c>
      <c r="G690" s="67">
        <v>50089</v>
      </c>
      <c r="H690" s="42">
        <v>123</v>
      </c>
      <c r="I690" s="67">
        <v>587.70000000000005</v>
      </c>
      <c r="J690" s="67">
        <v>72287.100000000006</v>
      </c>
      <c r="K690" s="67">
        <v>122376.1</v>
      </c>
      <c r="L690" s="42">
        <v>20250911</v>
      </c>
      <c r="M690" s="172">
        <f t="shared" si="69"/>
        <v>111</v>
      </c>
      <c r="N690" s="172">
        <f t="shared" si="70"/>
        <v>-12</v>
      </c>
      <c r="O690" s="25" t="s">
        <v>4882</v>
      </c>
    </row>
    <row r="691" spans="1:15" x14ac:dyDescent="0.25">
      <c r="A691" s="25" t="s">
        <v>4845</v>
      </c>
      <c r="B691" s="25" t="s">
        <v>11</v>
      </c>
      <c r="C691" s="25" t="s">
        <v>28</v>
      </c>
      <c r="D691" s="25" t="s">
        <v>2284</v>
      </c>
      <c r="E691" s="25" t="s">
        <v>2285</v>
      </c>
      <c r="F691" s="25">
        <v>1</v>
      </c>
      <c r="G691" s="46">
        <v>50089</v>
      </c>
      <c r="H691" s="25">
        <v>148</v>
      </c>
      <c r="I691" s="46">
        <v>587.70000000000005</v>
      </c>
      <c r="J691" s="46">
        <v>86979.6</v>
      </c>
      <c r="K691" s="46">
        <v>137068.6</v>
      </c>
      <c r="L691" s="25">
        <v>20250912</v>
      </c>
      <c r="M691" s="170">
        <f t="shared" si="69"/>
        <v>148</v>
      </c>
      <c r="N691" s="170">
        <f t="shared" si="70"/>
        <v>0</v>
      </c>
    </row>
    <row r="692" spans="1:15" x14ac:dyDescent="0.25">
      <c r="A692" s="25" t="s">
        <v>4825</v>
      </c>
      <c r="B692" s="25" t="s">
        <v>11</v>
      </c>
      <c r="C692" s="25" t="s">
        <v>26</v>
      </c>
      <c r="D692" s="25" t="s">
        <v>351</v>
      </c>
      <c r="E692" s="25" t="s">
        <v>2501</v>
      </c>
      <c r="F692" s="25">
        <v>1</v>
      </c>
      <c r="G692" s="46">
        <v>50089</v>
      </c>
      <c r="H692" s="25">
        <v>67</v>
      </c>
      <c r="I692" s="46">
        <v>587.70000000000005</v>
      </c>
      <c r="J692" s="46">
        <v>39375.9</v>
      </c>
      <c r="K692" s="46">
        <v>89464.9</v>
      </c>
      <c r="L692" s="25">
        <v>20250922</v>
      </c>
      <c r="M692" s="170">
        <f t="shared" si="69"/>
        <v>67.2</v>
      </c>
      <c r="N692" s="170">
        <f t="shared" si="70"/>
        <v>0.20000000000000284</v>
      </c>
    </row>
    <row r="693" spans="1:15" x14ac:dyDescent="0.25">
      <c r="A693" s="42" t="s">
        <v>4824</v>
      </c>
      <c r="B693" s="42" t="s">
        <v>11</v>
      </c>
      <c r="C693" s="42" t="s">
        <v>29</v>
      </c>
      <c r="D693" s="42" t="s">
        <v>3494</v>
      </c>
      <c r="E693" s="42" t="s">
        <v>4526</v>
      </c>
      <c r="F693" s="42">
        <v>1</v>
      </c>
      <c r="G693" s="67">
        <v>50089</v>
      </c>
      <c r="H693" s="42">
        <v>37</v>
      </c>
      <c r="I693" s="67">
        <v>587.70000000000005</v>
      </c>
      <c r="J693" s="67">
        <v>21744.9</v>
      </c>
      <c r="K693" s="67">
        <v>71833.899999999994</v>
      </c>
      <c r="L693" s="42">
        <v>20250924</v>
      </c>
      <c r="M693" s="172">
        <f t="shared" si="69"/>
        <v>27.1</v>
      </c>
      <c r="N693" s="172">
        <f t="shared" si="70"/>
        <v>-9.8999999999999986</v>
      </c>
      <c r="O693" s="25" t="s">
        <v>4881</v>
      </c>
    </row>
    <row r="694" spans="1:15" s="42" customFormat="1" x14ac:dyDescent="0.25">
      <c r="A694" s="42" t="s">
        <v>4812</v>
      </c>
      <c r="B694" s="42" t="s">
        <v>11</v>
      </c>
      <c r="C694" s="42" t="s">
        <v>337</v>
      </c>
      <c r="D694" s="42" t="s">
        <v>35</v>
      </c>
      <c r="E694" s="42" t="s">
        <v>4813</v>
      </c>
      <c r="F694" s="42">
        <v>1</v>
      </c>
      <c r="G694" s="67">
        <v>50089</v>
      </c>
      <c r="H694" s="42">
        <v>72</v>
      </c>
      <c r="I694" s="67">
        <v>587.70000000000005</v>
      </c>
      <c r="J694" s="67">
        <v>42314.400000000001</v>
      </c>
      <c r="K694" s="67">
        <v>92403.4</v>
      </c>
      <c r="L694" s="42">
        <v>20250926</v>
      </c>
      <c r="M694" s="172">
        <f t="shared" si="69"/>
        <v>77.2</v>
      </c>
      <c r="N694" s="172">
        <f t="shared" si="70"/>
        <v>5.2000000000000028</v>
      </c>
      <c r="O694" s="42" t="s">
        <v>4883</v>
      </c>
    </row>
    <row r="695" spans="1:15" s="42" customFormat="1" x14ac:dyDescent="0.25">
      <c r="A695" s="42" t="s">
        <v>4808</v>
      </c>
      <c r="B695" s="42" t="s">
        <v>137</v>
      </c>
      <c r="C695" s="42" t="s">
        <v>29</v>
      </c>
      <c r="D695" s="42" t="s">
        <v>1656</v>
      </c>
      <c r="E695" s="42" t="s">
        <v>4311</v>
      </c>
      <c r="F695" s="42">
        <v>1</v>
      </c>
      <c r="G695" s="67">
        <v>25035</v>
      </c>
      <c r="H695" s="42">
        <v>37</v>
      </c>
      <c r="I695" s="67">
        <v>587.70000000000005</v>
      </c>
      <c r="J695" s="67">
        <v>21744.9</v>
      </c>
      <c r="K695" s="67">
        <v>46779.9</v>
      </c>
      <c r="L695" s="42">
        <v>20250929</v>
      </c>
      <c r="M695" s="172">
        <f t="shared" si="69"/>
        <v>0</v>
      </c>
      <c r="N695" s="172">
        <f t="shared" si="70"/>
        <v>-37</v>
      </c>
    </row>
    <row r="696" spans="1:15" x14ac:dyDescent="0.25">
      <c r="N696" s="170"/>
    </row>
    <row r="697" spans="1:15" x14ac:dyDescent="0.25">
      <c r="N697" s="170"/>
    </row>
    <row r="698" spans="1:15" x14ac:dyDescent="0.25">
      <c r="A698" s="25" t="s">
        <v>5069</v>
      </c>
      <c r="B698" s="25" t="s">
        <v>1209</v>
      </c>
      <c r="C698" s="25" t="s">
        <v>26</v>
      </c>
      <c r="D698" s="25" t="s">
        <v>153</v>
      </c>
      <c r="E698" s="25" t="s">
        <v>5070</v>
      </c>
      <c r="F698" s="25">
        <v>1</v>
      </c>
      <c r="G698" s="46">
        <v>52844</v>
      </c>
      <c r="H698" s="25">
        <v>32</v>
      </c>
      <c r="I698" s="46">
        <v>627.1</v>
      </c>
      <c r="J698" s="46">
        <v>20067.2</v>
      </c>
      <c r="K698" s="46">
        <v>72911.199999999997</v>
      </c>
      <c r="L698" s="25">
        <v>20251003</v>
      </c>
      <c r="M698" s="170">
        <f>VLOOKUP(D698,tablapertex,11,FALSE)</f>
        <v>32.299999999999997</v>
      </c>
      <c r="N698" s="170">
        <f t="shared" ref="N698:N709" si="71">M698-H698</f>
        <v>0.29999999999999716</v>
      </c>
    </row>
    <row r="699" spans="1:15" x14ac:dyDescent="0.25">
      <c r="A699" s="25" t="s">
        <v>5042</v>
      </c>
      <c r="B699" s="25" t="s">
        <v>11</v>
      </c>
      <c r="C699" s="25" t="s">
        <v>26</v>
      </c>
      <c r="D699" s="25" t="s">
        <v>224</v>
      </c>
      <c r="E699" s="25" t="s">
        <v>2907</v>
      </c>
      <c r="F699" s="25">
        <v>1</v>
      </c>
      <c r="G699" s="46">
        <v>52844</v>
      </c>
      <c r="H699" s="25">
        <v>58</v>
      </c>
      <c r="I699" s="46">
        <v>627.1</v>
      </c>
      <c r="J699" s="46">
        <v>36371.800000000003</v>
      </c>
      <c r="K699" s="46">
        <v>89215.8</v>
      </c>
      <c r="L699" s="25">
        <v>20251007</v>
      </c>
      <c r="M699" s="170">
        <f t="shared" ref="M699:M708" si="72">VLOOKUP(D699,tablapertex,11,FALSE)</f>
        <v>57.6</v>
      </c>
      <c r="N699" s="170">
        <f t="shared" si="71"/>
        <v>-0.39999999999999858</v>
      </c>
    </row>
    <row r="700" spans="1:15" x14ac:dyDescent="0.25">
      <c r="A700" s="264" t="s">
        <v>5046</v>
      </c>
      <c r="B700" s="264" t="s">
        <v>11</v>
      </c>
      <c r="C700" s="264" t="s">
        <v>29</v>
      </c>
      <c r="D700" s="264" t="s">
        <v>3494</v>
      </c>
      <c r="E700" s="264" t="s">
        <v>3631</v>
      </c>
      <c r="F700" s="264">
        <v>1</v>
      </c>
      <c r="G700" s="263">
        <v>52844</v>
      </c>
      <c r="H700" s="264">
        <v>37</v>
      </c>
      <c r="I700" s="263">
        <v>627.1</v>
      </c>
      <c r="J700" s="263">
        <v>23202.7</v>
      </c>
      <c r="K700" s="263">
        <v>76046.7</v>
      </c>
      <c r="L700" s="264">
        <v>20251007</v>
      </c>
      <c r="M700" s="265">
        <f t="shared" si="72"/>
        <v>27.1</v>
      </c>
      <c r="N700" s="265">
        <f t="shared" si="71"/>
        <v>-9.8999999999999986</v>
      </c>
      <c r="O700" s="25" t="s">
        <v>4881</v>
      </c>
    </row>
    <row r="701" spans="1:15" x14ac:dyDescent="0.25">
      <c r="A701" s="264" t="s">
        <v>5020</v>
      </c>
      <c r="B701" s="264" t="s">
        <v>11</v>
      </c>
      <c r="C701" s="264" t="s">
        <v>29</v>
      </c>
      <c r="D701" s="264" t="s">
        <v>3494</v>
      </c>
      <c r="E701" s="264" t="s">
        <v>3631</v>
      </c>
      <c r="F701" s="264">
        <v>1</v>
      </c>
      <c r="G701" s="263">
        <v>52844</v>
      </c>
      <c r="H701" s="264">
        <v>37</v>
      </c>
      <c r="I701" s="263">
        <v>627.1</v>
      </c>
      <c r="J701" s="263">
        <v>23202.7</v>
      </c>
      <c r="K701" s="263">
        <v>76046.7</v>
      </c>
      <c r="L701" s="264">
        <v>20251008</v>
      </c>
      <c r="M701" s="265">
        <f t="shared" si="72"/>
        <v>27.1</v>
      </c>
      <c r="N701" s="265">
        <f t="shared" si="71"/>
        <v>-9.8999999999999986</v>
      </c>
      <c r="O701" s="25" t="s">
        <v>4881</v>
      </c>
    </row>
    <row r="702" spans="1:15" x14ac:dyDescent="0.25">
      <c r="A702" s="25" t="s">
        <v>5021</v>
      </c>
      <c r="B702" s="25" t="s">
        <v>11</v>
      </c>
      <c r="C702" s="25" t="s">
        <v>4748</v>
      </c>
      <c r="D702" s="25" t="s">
        <v>4761</v>
      </c>
      <c r="E702" s="25" t="s">
        <v>4762</v>
      </c>
      <c r="F702" s="25">
        <v>1</v>
      </c>
      <c r="G702" s="46">
        <v>52844</v>
      </c>
      <c r="H702" s="25">
        <v>35</v>
      </c>
      <c r="I702" s="46">
        <v>627.1</v>
      </c>
      <c r="J702" s="46">
        <v>21948.5</v>
      </c>
      <c r="K702" s="46">
        <v>74792.5</v>
      </c>
      <c r="L702" s="25">
        <v>20251013</v>
      </c>
      <c r="M702" s="170">
        <f t="shared" si="72"/>
        <v>34.9</v>
      </c>
      <c r="N702" s="170">
        <f t="shared" si="71"/>
        <v>-0.10000000000000142</v>
      </c>
    </row>
    <row r="703" spans="1:15" x14ac:dyDescent="0.25">
      <c r="A703" s="25" t="s">
        <v>5048</v>
      </c>
      <c r="B703" s="25" t="s">
        <v>11</v>
      </c>
      <c r="C703" s="25" t="s">
        <v>337</v>
      </c>
      <c r="D703" s="25" t="s">
        <v>35</v>
      </c>
      <c r="E703" s="25" t="s">
        <v>1484</v>
      </c>
      <c r="F703" s="25">
        <v>1</v>
      </c>
      <c r="G703" s="46">
        <v>52844</v>
      </c>
      <c r="H703" s="25">
        <v>77</v>
      </c>
      <c r="I703" s="46">
        <v>627.1</v>
      </c>
      <c r="J703" s="46">
        <v>48286.700000000004</v>
      </c>
      <c r="K703" s="46">
        <v>101130.70000000001</v>
      </c>
      <c r="L703" s="25">
        <v>20251014</v>
      </c>
      <c r="M703" s="170">
        <f t="shared" si="72"/>
        <v>77.2</v>
      </c>
      <c r="N703" s="170">
        <f t="shared" si="71"/>
        <v>0.20000000000000284</v>
      </c>
    </row>
    <row r="704" spans="1:15" x14ac:dyDescent="0.25">
      <c r="A704" s="264" t="s">
        <v>5000</v>
      </c>
      <c r="B704" s="264" t="s">
        <v>11</v>
      </c>
      <c r="C704" s="264" t="s">
        <v>29</v>
      </c>
      <c r="D704" s="264" t="s">
        <v>3494</v>
      </c>
      <c r="E704" s="264" t="s">
        <v>4526</v>
      </c>
      <c r="F704" s="264">
        <v>1</v>
      </c>
      <c r="G704" s="263">
        <v>52844</v>
      </c>
      <c r="H704" s="264">
        <v>37</v>
      </c>
      <c r="I704" s="263">
        <v>627.1</v>
      </c>
      <c r="J704" s="263">
        <v>23202.7</v>
      </c>
      <c r="K704" s="263">
        <v>76046.7</v>
      </c>
      <c r="L704" s="264">
        <v>20251015</v>
      </c>
      <c r="M704" s="265">
        <f t="shared" si="72"/>
        <v>27.1</v>
      </c>
      <c r="N704" s="265">
        <f t="shared" si="71"/>
        <v>-9.8999999999999986</v>
      </c>
      <c r="O704" s="25" t="s">
        <v>4881</v>
      </c>
    </row>
    <row r="705" spans="1:15" x14ac:dyDescent="0.25">
      <c r="A705" s="25" t="s">
        <v>5040</v>
      </c>
      <c r="B705" s="25" t="s">
        <v>1209</v>
      </c>
      <c r="C705" s="25" t="s">
        <v>26</v>
      </c>
      <c r="D705" s="25" t="s">
        <v>351</v>
      </c>
      <c r="E705" s="25" t="s">
        <v>5041</v>
      </c>
      <c r="F705" s="25">
        <v>1</v>
      </c>
      <c r="G705" s="46">
        <v>52844</v>
      </c>
      <c r="H705" s="25">
        <v>67</v>
      </c>
      <c r="I705" s="46">
        <v>627.1</v>
      </c>
      <c r="J705" s="46">
        <v>42015.700000000004</v>
      </c>
      <c r="K705" s="46">
        <v>94859.700000000012</v>
      </c>
      <c r="L705" s="25">
        <v>20251017</v>
      </c>
      <c r="M705" s="170">
        <f t="shared" si="72"/>
        <v>67.2</v>
      </c>
      <c r="N705" s="170">
        <f t="shared" si="71"/>
        <v>0.20000000000000284</v>
      </c>
    </row>
    <row r="706" spans="1:15" x14ac:dyDescent="0.25">
      <c r="A706" s="25" t="s">
        <v>4958</v>
      </c>
      <c r="B706" s="25" t="s">
        <v>11</v>
      </c>
      <c r="C706" s="25" t="s">
        <v>28</v>
      </c>
      <c r="D706" s="25" t="s">
        <v>1710</v>
      </c>
      <c r="E706" s="25" t="s">
        <v>3044</v>
      </c>
      <c r="F706" s="25">
        <v>1</v>
      </c>
      <c r="G706" s="46">
        <v>52844</v>
      </c>
      <c r="H706" s="25">
        <v>177</v>
      </c>
      <c r="I706" s="46">
        <v>627.1</v>
      </c>
      <c r="J706" s="46">
        <v>110996.7</v>
      </c>
      <c r="K706" s="46">
        <v>163840.70000000001</v>
      </c>
      <c r="L706" s="25">
        <v>20251021</v>
      </c>
      <c r="M706" s="170">
        <f t="shared" si="72"/>
        <v>177</v>
      </c>
      <c r="N706" s="170">
        <f t="shared" si="71"/>
        <v>0</v>
      </c>
    </row>
    <row r="707" spans="1:15" x14ac:dyDescent="0.25">
      <c r="A707" s="25" t="s">
        <v>4971</v>
      </c>
      <c r="B707" s="25" t="s">
        <v>1209</v>
      </c>
      <c r="C707" s="25" t="s">
        <v>26</v>
      </c>
      <c r="D707" s="25" t="s">
        <v>141</v>
      </c>
      <c r="E707" s="25" t="s">
        <v>4972</v>
      </c>
      <c r="F707" s="25">
        <v>1</v>
      </c>
      <c r="G707" s="46">
        <v>52844</v>
      </c>
      <c r="H707" s="25">
        <v>138</v>
      </c>
      <c r="I707" s="46">
        <v>627.1</v>
      </c>
      <c r="J707" s="46">
        <v>86539.8</v>
      </c>
      <c r="K707" s="46">
        <v>139383.79999999999</v>
      </c>
      <c r="L707" s="25">
        <v>20251028</v>
      </c>
      <c r="M707" s="170">
        <f t="shared" si="72"/>
        <v>138</v>
      </c>
      <c r="N707" s="170">
        <f t="shared" si="71"/>
        <v>0</v>
      </c>
      <c r="O707" s="25" t="s">
        <v>24</v>
      </c>
    </row>
    <row r="708" spans="1:15" x14ac:dyDescent="0.25">
      <c r="A708" s="264" t="s">
        <v>5012</v>
      </c>
      <c r="B708" s="264" t="s">
        <v>11</v>
      </c>
      <c r="C708" s="264" t="s">
        <v>1006</v>
      </c>
      <c r="D708" s="264" t="s">
        <v>1007</v>
      </c>
      <c r="E708" s="264" t="s">
        <v>1008</v>
      </c>
      <c r="F708" s="264">
        <v>1</v>
      </c>
      <c r="G708" s="263">
        <v>52844</v>
      </c>
      <c r="H708" s="264">
        <v>240</v>
      </c>
      <c r="I708" s="263">
        <v>627.1</v>
      </c>
      <c r="J708" s="263">
        <v>150504</v>
      </c>
      <c r="K708" s="263">
        <v>203348</v>
      </c>
      <c r="L708" s="264">
        <v>20251028</v>
      </c>
      <c r="M708" s="265">
        <f t="shared" si="72"/>
        <v>240</v>
      </c>
      <c r="N708" s="265">
        <f t="shared" si="71"/>
        <v>0</v>
      </c>
      <c r="O708" s="247" t="s">
        <v>5086</v>
      </c>
    </row>
    <row r="709" spans="1:15" x14ac:dyDescent="0.25">
      <c r="A709" s="25" t="s">
        <v>4963</v>
      </c>
      <c r="B709" s="25" t="s">
        <v>1209</v>
      </c>
      <c r="C709" s="25" t="s">
        <v>26</v>
      </c>
      <c r="D709" s="25" t="s">
        <v>1781</v>
      </c>
      <c r="E709" s="25" t="s">
        <v>4964</v>
      </c>
      <c r="F709" s="25">
        <v>1</v>
      </c>
      <c r="G709" s="46">
        <v>52844</v>
      </c>
      <c r="H709" s="25">
        <v>126</v>
      </c>
      <c r="I709" s="46">
        <v>627.1</v>
      </c>
      <c r="J709" s="46">
        <v>79014.600000000006</v>
      </c>
      <c r="K709" s="46">
        <v>131858.6</v>
      </c>
      <c r="L709" s="25">
        <v>20251031</v>
      </c>
      <c r="M709" s="170">
        <f>VLOOKUP(D709,tablapertex,11,FALSE)</f>
        <v>126</v>
      </c>
      <c r="N709" s="170">
        <f t="shared" si="71"/>
        <v>0</v>
      </c>
    </row>
    <row r="712" spans="1:15" x14ac:dyDescent="0.25">
      <c r="A712" s="52" t="s">
        <v>5112</v>
      </c>
      <c r="B712" s="32" t="s">
        <v>11</v>
      </c>
      <c r="C712" s="32" t="s">
        <v>3085</v>
      </c>
      <c r="D712" s="273" t="s">
        <v>5098</v>
      </c>
      <c r="E712" s="32" t="s">
        <v>5113</v>
      </c>
      <c r="F712" s="273">
        <v>1</v>
      </c>
      <c r="G712" s="32" t="s">
        <v>5096</v>
      </c>
      <c r="H712" s="32">
        <v>67</v>
      </c>
      <c r="I712" s="45" t="s">
        <v>5092</v>
      </c>
      <c r="J712" s="45" t="s">
        <v>5115</v>
      </c>
      <c r="K712" s="32" t="s">
        <v>5116</v>
      </c>
      <c r="L712" s="53">
        <v>20251128</v>
      </c>
      <c r="M712" s="170">
        <v>68</v>
      </c>
      <c r="N712" s="170">
        <f>H712-M712</f>
        <v>-1</v>
      </c>
    </row>
    <row r="713" spans="1:15" x14ac:dyDescent="0.25">
      <c r="A713" s="52" t="s">
        <v>5132</v>
      </c>
      <c r="B713" s="32" t="s">
        <v>1209</v>
      </c>
      <c r="C713" s="32" t="s">
        <v>26</v>
      </c>
      <c r="D713" s="273" t="s">
        <v>3037</v>
      </c>
      <c r="E713" s="32" t="s">
        <v>3046</v>
      </c>
      <c r="F713" s="273">
        <v>1</v>
      </c>
      <c r="G713" s="32" t="s">
        <v>5096</v>
      </c>
      <c r="H713" s="32">
        <v>76</v>
      </c>
      <c r="I713" s="45" t="s">
        <v>5092</v>
      </c>
      <c r="J713" s="45" t="s">
        <v>5134</v>
      </c>
      <c r="K713" s="32" t="s">
        <v>5135</v>
      </c>
      <c r="L713" s="53">
        <v>20251128</v>
      </c>
      <c r="M713" s="170">
        <v>76</v>
      </c>
      <c r="N713" s="170">
        <f t="shared" ref="N713:N721" si="73">H713-M713</f>
        <v>0</v>
      </c>
    </row>
    <row r="714" spans="1:15" x14ac:dyDescent="0.25">
      <c r="A714" s="52" t="s">
        <v>5163</v>
      </c>
      <c r="B714" s="32" t="s">
        <v>1209</v>
      </c>
      <c r="C714" s="32" t="s">
        <v>26</v>
      </c>
      <c r="D714" s="273" t="s">
        <v>497</v>
      </c>
      <c r="E714" s="32" t="s">
        <v>5164</v>
      </c>
      <c r="F714" s="273">
        <v>1</v>
      </c>
      <c r="G714" s="32" t="s">
        <v>5096</v>
      </c>
      <c r="H714" s="32">
        <v>148</v>
      </c>
      <c r="I714" s="45" t="s">
        <v>5092</v>
      </c>
      <c r="J714" s="45" t="s">
        <v>5166</v>
      </c>
      <c r="K714" s="32" t="s">
        <v>5167</v>
      </c>
      <c r="L714" s="53">
        <v>20251128</v>
      </c>
      <c r="M714" s="170">
        <v>148</v>
      </c>
      <c r="N714" s="170">
        <f t="shared" si="73"/>
        <v>0</v>
      </c>
    </row>
    <row r="715" spans="1:15" x14ac:dyDescent="0.25">
      <c r="A715" s="52" t="s">
        <v>5168</v>
      </c>
      <c r="B715" s="32" t="s">
        <v>11</v>
      </c>
      <c r="C715" s="32" t="s">
        <v>5119</v>
      </c>
      <c r="D715" s="273" t="s">
        <v>5120</v>
      </c>
      <c r="E715" s="32" t="s">
        <v>5169</v>
      </c>
      <c r="F715" s="273">
        <v>1</v>
      </c>
      <c r="G715" s="32" t="s">
        <v>5096</v>
      </c>
      <c r="H715" s="32">
        <v>88</v>
      </c>
      <c r="I715" s="45" t="s">
        <v>5092</v>
      </c>
      <c r="J715" s="45" t="s">
        <v>5170</v>
      </c>
      <c r="K715" s="32" t="s">
        <v>5171</v>
      </c>
      <c r="L715" s="53">
        <v>20251118</v>
      </c>
      <c r="M715" s="170">
        <v>88</v>
      </c>
      <c r="N715" s="170">
        <f t="shared" si="73"/>
        <v>0</v>
      </c>
    </row>
    <row r="716" spans="1:15" x14ac:dyDescent="0.25">
      <c r="A716" s="52" t="s">
        <v>5203</v>
      </c>
      <c r="B716" s="32" t="s">
        <v>11</v>
      </c>
      <c r="C716" s="32" t="s">
        <v>1006</v>
      </c>
      <c r="D716" s="273" t="s">
        <v>1007</v>
      </c>
      <c r="E716" s="32" t="s">
        <v>1008</v>
      </c>
      <c r="F716" s="273">
        <v>1</v>
      </c>
      <c r="G716" s="32" t="s">
        <v>5096</v>
      </c>
      <c r="H716" s="32">
        <v>240</v>
      </c>
      <c r="I716" s="45" t="s">
        <v>5092</v>
      </c>
      <c r="J716" s="45" t="s">
        <v>5205</v>
      </c>
      <c r="K716" s="32" t="s">
        <v>5206</v>
      </c>
      <c r="L716" s="53">
        <v>20251113</v>
      </c>
      <c r="M716" s="170">
        <v>240</v>
      </c>
      <c r="N716" s="170">
        <f t="shared" si="73"/>
        <v>0</v>
      </c>
    </row>
    <row r="717" spans="1:15" x14ac:dyDescent="0.25">
      <c r="A717" s="52" t="s">
        <v>5184</v>
      </c>
      <c r="B717" s="32" t="s">
        <v>1209</v>
      </c>
      <c r="C717" s="32" t="s">
        <v>26</v>
      </c>
      <c r="D717" s="273" t="s">
        <v>224</v>
      </c>
      <c r="E717" s="32" t="s">
        <v>5185</v>
      </c>
      <c r="F717" s="273">
        <v>1</v>
      </c>
      <c r="G717" s="32" t="s">
        <v>5096</v>
      </c>
      <c r="H717" s="32">
        <v>58</v>
      </c>
      <c r="I717" s="45" t="s">
        <v>5092</v>
      </c>
      <c r="J717" s="45" t="s">
        <v>5187</v>
      </c>
      <c r="K717" s="32" t="s">
        <v>5188</v>
      </c>
      <c r="L717" s="53">
        <v>20251111</v>
      </c>
      <c r="M717" s="170">
        <v>58</v>
      </c>
      <c r="N717" s="170">
        <f t="shared" si="73"/>
        <v>0</v>
      </c>
    </row>
    <row r="718" spans="1:15" x14ac:dyDescent="0.25">
      <c r="A718" s="52" t="s">
        <v>5192</v>
      </c>
      <c r="B718" s="32" t="s">
        <v>11</v>
      </c>
      <c r="C718" s="32" t="s">
        <v>28</v>
      </c>
      <c r="D718" s="273" t="s">
        <v>5193</v>
      </c>
      <c r="E718" s="32" t="s">
        <v>5194</v>
      </c>
      <c r="F718" s="273">
        <v>1</v>
      </c>
      <c r="G718" s="32" t="s">
        <v>5096</v>
      </c>
      <c r="H718" s="32">
        <v>222</v>
      </c>
      <c r="I718" s="45" t="s">
        <v>5092</v>
      </c>
      <c r="J718" s="45" t="s">
        <v>5196</v>
      </c>
      <c r="K718" s="32" t="s">
        <v>5197</v>
      </c>
      <c r="L718" s="53">
        <v>20251110</v>
      </c>
      <c r="M718" s="170">
        <v>222</v>
      </c>
      <c r="N718" s="170">
        <f t="shared" si="73"/>
        <v>0</v>
      </c>
    </row>
    <row r="719" spans="1:15" x14ac:dyDescent="0.25">
      <c r="A719" s="52" t="s">
        <v>5225</v>
      </c>
      <c r="B719" s="32" t="s">
        <v>11</v>
      </c>
      <c r="C719" s="32" t="s">
        <v>337</v>
      </c>
      <c r="D719" s="273" t="s">
        <v>162</v>
      </c>
      <c r="E719" s="32" t="s">
        <v>3741</v>
      </c>
      <c r="F719" s="273">
        <v>1</v>
      </c>
      <c r="G719" s="32" t="s">
        <v>5096</v>
      </c>
      <c r="H719" s="32">
        <v>69</v>
      </c>
      <c r="I719" s="45" t="s">
        <v>5092</v>
      </c>
      <c r="J719" s="45" t="s">
        <v>5227</v>
      </c>
      <c r="K719" s="32" t="s">
        <v>5228</v>
      </c>
      <c r="L719" s="53">
        <v>20251110</v>
      </c>
      <c r="M719" s="170">
        <v>69</v>
      </c>
      <c r="N719" s="170">
        <f t="shared" si="73"/>
        <v>0</v>
      </c>
    </row>
    <row r="720" spans="1:15" x14ac:dyDescent="0.25">
      <c r="A720" s="52" t="s">
        <v>5211</v>
      </c>
      <c r="B720" s="32" t="s">
        <v>1209</v>
      </c>
      <c r="C720" s="32" t="s">
        <v>4748</v>
      </c>
      <c r="D720" s="273" t="s">
        <v>5212</v>
      </c>
      <c r="E720" s="32" t="s">
        <v>5213</v>
      </c>
      <c r="F720" s="273">
        <v>1</v>
      </c>
      <c r="G720" s="32" t="s">
        <v>5096</v>
      </c>
      <c r="H720" s="32">
        <v>206</v>
      </c>
      <c r="I720" s="45" t="s">
        <v>5092</v>
      </c>
      <c r="J720" s="45" t="s">
        <v>5214</v>
      </c>
      <c r="K720" s="32" t="s">
        <v>5215</v>
      </c>
      <c r="L720" s="53">
        <v>20251107</v>
      </c>
      <c r="M720" s="170">
        <v>206</v>
      </c>
      <c r="N720" s="170">
        <f t="shared" si="73"/>
        <v>0</v>
      </c>
    </row>
    <row r="721" spans="1:15" x14ac:dyDescent="0.25">
      <c r="A721" s="52" t="s">
        <v>5198</v>
      </c>
      <c r="B721" s="32" t="s">
        <v>11</v>
      </c>
      <c r="C721" s="32" t="s">
        <v>28</v>
      </c>
      <c r="D721" s="273" t="s">
        <v>1300</v>
      </c>
      <c r="E721" s="32" t="s">
        <v>1301</v>
      </c>
      <c r="F721" s="273">
        <v>1</v>
      </c>
      <c r="G721" s="32" t="s">
        <v>5096</v>
      </c>
      <c r="H721" s="32">
        <v>204</v>
      </c>
      <c r="I721" s="45" t="s">
        <v>5092</v>
      </c>
      <c r="J721" s="45" t="s">
        <v>5200</v>
      </c>
      <c r="K721" s="32" t="s">
        <v>5201</v>
      </c>
      <c r="L721" s="53">
        <v>20251104</v>
      </c>
      <c r="M721" s="170">
        <v>204</v>
      </c>
      <c r="N721" s="170">
        <f t="shared" si="73"/>
        <v>0</v>
      </c>
    </row>
    <row r="723" spans="1:15" x14ac:dyDescent="0.25">
      <c r="A723" s="25" t="s">
        <v>5346</v>
      </c>
      <c r="B723" s="25" t="s">
        <v>137</v>
      </c>
      <c r="C723" s="25" t="s">
        <v>202</v>
      </c>
      <c r="D723" s="25" t="s">
        <v>203</v>
      </c>
      <c r="E723" s="25" t="s">
        <v>2200</v>
      </c>
      <c r="F723" s="25">
        <v>1</v>
      </c>
      <c r="G723" s="46">
        <v>26412</v>
      </c>
      <c r="H723" s="25">
        <v>100</v>
      </c>
      <c r="I723" s="46">
        <v>627.1</v>
      </c>
      <c r="J723" s="46">
        <v>62710</v>
      </c>
      <c r="K723" s="46">
        <v>89122</v>
      </c>
      <c r="L723" s="25">
        <v>20251209</v>
      </c>
      <c r="M723" s="170">
        <f t="shared" ref="M723:M730" si="74">VLOOKUP(D723,tablapertex,11,FALSE)</f>
        <v>100</v>
      </c>
      <c r="N723" s="170">
        <f>M723-H723</f>
        <v>0</v>
      </c>
    </row>
    <row r="724" spans="1:15" x14ac:dyDescent="0.25">
      <c r="A724" s="25" t="s">
        <v>5288</v>
      </c>
      <c r="B724" s="25" t="s">
        <v>137</v>
      </c>
      <c r="C724" s="25" t="s">
        <v>4655</v>
      </c>
      <c r="D724" s="25" t="s">
        <v>5286</v>
      </c>
      <c r="E724" s="25" t="s">
        <v>5289</v>
      </c>
      <c r="F724" s="25">
        <v>1</v>
      </c>
      <c r="G724" s="46">
        <v>26412</v>
      </c>
      <c r="H724" s="25">
        <v>32</v>
      </c>
      <c r="I724" s="46">
        <v>627.1</v>
      </c>
      <c r="J724" s="46">
        <v>20067.2</v>
      </c>
      <c r="K724" s="46">
        <v>46479.199999999997</v>
      </c>
      <c r="L724" s="25">
        <v>20251216</v>
      </c>
      <c r="M724" s="170">
        <f t="shared" si="74"/>
        <v>32</v>
      </c>
      <c r="N724" s="170">
        <f t="shared" ref="N724:N730" si="75">M724-H724</f>
        <v>0</v>
      </c>
    </row>
    <row r="725" spans="1:15" x14ac:dyDescent="0.25">
      <c r="A725" s="264" t="s">
        <v>5273</v>
      </c>
      <c r="B725" s="264" t="s">
        <v>11</v>
      </c>
      <c r="C725" s="264" t="s">
        <v>29</v>
      </c>
      <c r="D725" s="264" t="s">
        <v>5262</v>
      </c>
      <c r="E725" s="264" t="s">
        <v>4526</v>
      </c>
      <c r="F725" s="264">
        <v>1</v>
      </c>
      <c r="G725" s="263">
        <v>52844</v>
      </c>
      <c r="H725" s="264">
        <v>27</v>
      </c>
      <c r="I725" s="263">
        <v>627.1</v>
      </c>
      <c r="J725" s="263">
        <v>16931.7</v>
      </c>
      <c r="K725" s="263">
        <v>69775.7</v>
      </c>
      <c r="L725" s="264">
        <v>20251219</v>
      </c>
      <c r="M725" s="265">
        <f t="shared" si="74"/>
        <v>27.1</v>
      </c>
      <c r="N725" s="265">
        <f t="shared" si="75"/>
        <v>0.10000000000000142</v>
      </c>
    </row>
    <row r="726" spans="1:15" x14ac:dyDescent="0.25">
      <c r="A726" s="264" t="s">
        <v>5297</v>
      </c>
      <c r="B726" s="264" t="s">
        <v>137</v>
      </c>
      <c r="C726" s="264" t="s">
        <v>654</v>
      </c>
      <c r="D726" s="264" t="s">
        <v>1470</v>
      </c>
      <c r="E726" s="264" t="s">
        <v>3909</v>
      </c>
      <c r="F726" s="264">
        <v>1</v>
      </c>
      <c r="G726" s="263">
        <v>26412</v>
      </c>
      <c r="H726" s="264">
        <v>37</v>
      </c>
      <c r="I726" s="263">
        <v>627.1</v>
      </c>
      <c r="J726" s="263">
        <v>23202.7</v>
      </c>
      <c r="K726" s="263">
        <v>49614.7</v>
      </c>
      <c r="L726" s="264">
        <v>20251219</v>
      </c>
      <c r="M726" s="265">
        <f t="shared" si="74"/>
        <v>37.200000000000003</v>
      </c>
      <c r="N726" s="265">
        <f t="shared" si="75"/>
        <v>0.20000000000000284</v>
      </c>
      <c r="O726" s="25">
        <f>SUM(H725:H726)</f>
        <v>64</v>
      </c>
    </row>
    <row r="727" spans="1:15" x14ac:dyDescent="0.25">
      <c r="A727" s="113" t="s">
        <v>5274</v>
      </c>
      <c r="B727" s="113" t="s">
        <v>11</v>
      </c>
      <c r="C727" s="113" t="s">
        <v>5119</v>
      </c>
      <c r="D727" s="113" t="s">
        <v>5120</v>
      </c>
      <c r="E727" s="113" t="s">
        <v>5129</v>
      </c>
      <c r="F727" s="113">
        <v>1</v>
      </c>
      <c r="G727" s="114">
        <v>52844</v>
      </c>
      <c r="H727" s="113">
        <v>90</v>
      </c>
      <c r="I727" s="114">
        <v>627.1</v>
      </c>
      <c r="J727" s="114">
        <v>56439</v>
      </c>
      <c r="K727" s="114">
        <v>109283</v>
      </c>
      <c r="L727" s="113">
        <v>20251224</v>
      </c>
      <c r="M727" s="181">
        <f t="shared" si="74"/>
        <v>85.4</v>
      </c>
      <c r="N727" s="181">
        <f t="shared" si="75"/>
        <v>-4.5999999999999943</v>
      </c>
    </row>
    <row r="728" spans="1:15" x14ac:dyDescent="0.25">
      <c r="A728" s="25" t="s">
        <v>5264</v>
      </c>
      <c r="B728" s="25" t="s">
        <v>137</v>
      </c>
      <c r="C728" s="25" t="s">
        <v>29</v>
      </c>
      <c r="D728" s="25" t="s">
        <v>5262</v>
      </c>
      <c r="E728" s="25" t="s">
        <v>4526</v>
      </c>
      <c r="F728" s="25">
        <v>1</v>
      </c>
      <c r="G728" s="46">
        <v>26412</v>
      </c>
      <c r="H728" s="25">
        <v>27</v>
      </c>
      <c r="I728" s="46">
        <v>627.1</v>
      </c>
      <c r="J728" s="46">
        <v>16931.7</v>
      </c>
      <c r="K728" s="46">
        <v>43343.7</v>
      </c>
      <c r="L728" s="25">
        <v>20251229</v>
      </c>
      <c r="M728" s="170">
        <f t="shared" si="74"/>
        <v>27.1</v>
      </c>
      <c r="N728" s="170">
        <f t="shared" si="75"/>
        <v>0.10000000000000142</v>
      </c>
    </row>
    <row r="729" spans="1:15" x14ac:dyDescent="0.25">
      <c r="A729" s="264" t="s">
        <v>5253</v>
      </c>
      <c r="B729" s="264" t="s">
        <v>11</v>
      </c>
      <c r="C729" s="264" t="s">
        <v>5119</v>
      </c>
      <c r="D729" s="264" t="s">
        <v>5120</v>
      </c>
      <c r="E729" s="264" t="s">
        <v>5143</v>
      </c>
      <c r="F729" s="264">
        <v>1</v>
      </c>
      <c r="G729" s="263">
        <v>52844</v>
      </c>
      <c r="H729" s="264">
        <v>90</v>
      </c>
      <c r="I729" s="263">
        <v>627.1</v>
      </c>
      <c r="J729" s="263">
        <v>56439</v>
      </c>
      <c r="K729" s="263">
        <v>109283</v>
      </c>
      <c r="L729" s="264">
        <v>20251230</v>
      </c>
      <c r="M729" s="265">
        <f t="shared" si="74"/>
        <v>85.4</v>
      </c>
      <c r="N729" s="265">
        <f t="shared" si="75"/>
        <v>-4.5999999999999943</v>
      </c>
    </row>
    <row r="730" spans="1:15" x14ac:dyDescent="0.25">
      <c r="A730" s="264" t="s">
        <v>5389</v>
      </c>
      <c r="B730" s="264" t="s">
        <v>11</v>
      </c>
      <c r="C730" s="264" t="s">
        <v>5390</v>
      </c>
      <c r="D730" s="264" t="s">
        <v>5391</v>
      </c>
      <c r="E730" s="264" t="s">
        <v>5392</v>
      </c>
      <c r="F730" s="264">
        <v>1</v>
      </c>
      <c r="G730" s="263">
        <v>52844</v>
      </c>
      <c r="H730" s="264">
        <v>90</v>
      </c>
      <c r="I730" s="263">
        <v>627.1</v>
      </c>
      <c r="J730" s="263">
        <v>56439</v>
      </c>
      <c r="K730" s="263">
        <v>109283</v>
      </c>
      <c r="L730" s="264">
        <v>20251230</v>
      </c>
      <c r="M730" s="265">
        <f t="shared" si="74"/>
        <v>84.1</v>
      </c>
      <c r="N730" s="265">
        <f t="shared" si="75"/>
        <v>-5.9000000000000057</v>
      </c>
      <c r="O730" s="247" t="s">
        <v>5410</v>
      </c>
    </row>
    <row r="731" spans="1:15" x14ac:dyDescent="0.25">
      <c r="N731" s="170"/>
    </row>
    <row r="732" spans="1:15" x14ac:dyDescent="0.25">
      <c r="N732" s="170"/>
    </row>
    <row r="733" spans="1:15" x14ac:dyDescent="0.25">
      <c r="A733" s="177" t="s">
        <v>5504</v>
      </c>
      <c r="B733" s="178" t="s">
        <v>11</v>
      </c>
      <c r="C733" s="178" t="s">
        <v>29</v>
      </c>
      <c r="D733" s="178" t="s">
        <v>4778</v>
      </c>
      <c r="E733" s="178" t="s">
        <v>1248</v>
      </c>
      <c r="F733" s="178">
        <v>1</v>
      </c>
      <c r="G733" s="179">
        <v>52844</v>
      </c>
      <c r="H733" s="178">
        <v>56</v>
      </c>
      <c r="I733" s="179">
        <v>627.1</v>
      </c>
      <c r="J733" s="179">
        <v>35117.599999999999</v>
      </c>
      <c r="K733" s="179">
        <v>87961.600000000006</v>
      </c>
      <c r="L733" s="180">
        <v>20260105</v>
      </c>
      <c r="M733" s="181">
        <f t="shared" ref="M733:M741" si="76">VLOOKUP(D733,tablapertex,11,FALSE)</f>
        <v>54.6</v>
      </c>
      <c r="N733" s="181">
        <f t="shared" ref="N733:N741" si="77">M733-H733</f>
        <v>-1.3999999999999986</v>
      </c>
    </row>
    <row r="734" spans="1:15" x14ac:dyDescent="0.25">
      <c r="A734" s="50" t="s">
        <v>5487</v>
      </c>
      <c r="B734" s="30" t="s">
        <v>11</v>
      </c>
      <c r="C734" s="30" t="s">
        <v>26</v>
      </c>
      <c r="D734" s="266" t="s">
        <v>3037</v>
      </c>
      <c r="E734" s="30" t="s">
        <v>5138</v>
      </c>
      <c r="F734" s="30">
        <v>1</v>
      </c>
      <c r="G734" s="44">
        <v>56596</v>
      </c>
      <c r="H734" s="30">
        <v>76</v>
      </c>
      <c r="I734" s="44">
        <v>684.2</v>
      </c>
      <c r="J734" s="44">
        <v>51999.200000000004</v>
      </c>
      <c r="K734" s="44">
        <v>108595.20000000001</v>
      </c>
      <c r="L734" s="51">
        <v>20260106</v>
      </c>
      <c r="M734" s="170">
        <f t="shared" si="76"/>
        <v>75.7</v>
      </c>
      <c r="N734" s="170">
        <f t="shared" si="77"/>
        <v>-0.29999999999999716</v>
      </c>
    </row>
    <row r="735" spans="1:15" x14ac:dyDescent="0.25">
      <c r="A735" s="177" t="s">
        <v>5517</v>
      </c>
      <c r="B735" s="178" t="s">
        <v>137</v>
      </c>
      <c r="C735" s="178" t="s">
        <v>4490</v>
      </c>
      <c r="D735" s="178" t="s">
        <v>494</v>
      </c>
      <c r="E735" s="178" t="s">
        <v>596</v>
      </c>
      <c r="F735" s="178">
        <v>1</v>
      </c>
      <c r="G735" s="179">
        <v>28287</v>
      </c>
      <c r="H735" s="178">
        <v>111</v>
      </c>
      <c r="I735" s="179">
        <v>684.2</v>
      </c>
      <c r="J735" s="179">
        <v>75946.200000000012</v>
      </c>
      <c r="K735" s="179">
        <v>104233.20000000001</v>
      </c>
      <c r="L735" s="180">
        <v>20260107</v>
      </c>
      <c r="M735" s="181">
        <f t="shared" si="76"/>
        <v>123</v>
      </c>
      <c r="N735" s="181">
        <f t="shared" si="77"/>
        <v>12</v>
      </c>
    </row>
    <row r="736" spans="1:15" x14ac:dyDescent="0.25">
      <c r="A736" s="50" t="s">
        <v>5476</v>
      </c>
      <c r="B736" s="30" t="s">
        <v>137</v>
      </c>
      <c r="C736" s="30" t="s">
        <v>4149</v>
      </c>
      <c r="D736" s="266" t="s">
        <v>4150</v>
      </c>
      <c r="E736" s="30" t="s">
        <v>4151</v>
      </c>
      <c r="F736" s="30">
        <v>1</v>
      </c>
      <c r="G736" s="44">
        <v>28287</v>
      </c>
      <c r="H736" s="30">
        <v>39</v>
      </c>
      <c r="I736" s="44">
        <v>684.2</v>
      </c>
      <c r="J736" s="44">
        <v>26683.800000000003</v>
      </c>
      <c r="K736" s="44">
        <v>54970.8</v>
      </c>
      <c r="L736" s="51">
        <v>20260109</v>
      </c>
      <c r="M736" s="170">
        <f t="shared" si="76"/>
        <v>38.9</v>
      </c>
      <c r="N736" s="170">
        <f t="shared" si="77"/>
        <v>-0.10000000000000142</v>
      </c>
    </row>
    <row r="737" spans="1:15" x14ac:dyDescent="0.25">
      <c r="A737" s="50" t="s">
        <v>5486</v>
      </c>
      <c r="B737" s="30" t="s">
        <v>11</v>
      </c>
      <c r="C737" s="30" t="s">
        <v>337</v>
      </c>
      <c r="D737" s="266" t="s">
        <v>162</v>
      </c>
      <c r="E737" s="30" t="s">
        <v>3741</v>
      </c>
      <c r="F737" s="30">
        <v>1</v>
      </c>
      <c r="G737" s="44">
        <v>56596</v>
      </c>
      <c r="H737" s="30">
        <v>69</v>
      </c>
      <c r="I737" s="44">
        <v>684.2</v>
      </c>
      <c r="J737" s="44">
        <v>47209.8</v>
      </c>
      <c r="K737" s="44">
        <v>103805.8</v>
      </c>
      <c r="L737" s="51">
        <v>20260114</v>
      </c>
      <c r="M737" s="170">
        <f t="shared" si="76"/>
        <v>68.8</v>
      </c>
      <c r="N737" s="170">
        <f t="shared" si="77"/>
        <v>-0.20000000000000284</v>
      </c>
    </row>
    <row r="738" spans="1:15" x14ac:dyDescent="0.25">
      <c r="A738" s="177" t="s">
        <v>5479</v>
      </c>
      <c r="B738" s="178" t="s">
        <v>11</v>
      </c>
      <c r="C738" s="178" t="s">
        <v>5390</v>
      </c>
      <c r="D738" s="178" t="s">
        <v>5391</v>
      </c>
      <c r="E738" s="178" t="s">
        <v>5480</v>
      </c>
      <c r="F738" s="178">
        <v>1</v>
      </c>
      <c r="G738" s="179">
        <v>56596</v>
      </c>
      <c r="H738" s="178">
        <v>90</v>
      </c>
      <c r="I738" s="179">
        <v>684.2</v>
      </c>
      <c r="J738" s="179">
        <v>61578.000000000007</v>
      </c>
      <c r="K738" s="179">
        <v>118174</v>
      </c>
      <c r="L738" s="180">
        <v>20260120</v>
      </c>
      <c r="M738" s="181">
        <f t="shared" si="76"/>
        <v>84.1</v>
      </c>
      <c r="N738" s="181">
        <f t="shared" si="77"/>
        <v>-5.9000000000000057</v>
      </c>
    </row>
    <row r="739" spans="1:15" x14ac:dyDescent="0.25">
      <c r="A739" s="177" t="s">
        <v>5457</v>
      </c>
      <c r="B739" s="178" t="s">
        <v>11</v>
      </c>
      <c r="C739" s="178" t="s">
        <v>29</v>
      </c>
      <c r="D739" s="178" t="s">
        <v>5262</v>
      </c>
      <c r="E739" s="178" t="s">
        <v>4526</v>
      </c>
      <c r="F739" s="178">
        <v>1</v>
      </c>
      <c r="G739" s="179">
        <v>56596</v>
      </c>
      <c r="H739" s="178">
        <v>32</v>
      </c>
      <c r="I739" s="179">
        <v>684.2</v>
      </c>
      <c r="J739" s="179">
        <v>21894.400000000001</v>
      </c>
      <c r="K739" s="179">
        <v>78490.399999999994</v>
      </c>
      <c r="L739" s="180">
        <v>20260121</v>
      </c>
      <c r="M739" s="181">
        <f t="shared" si="76"/>
        <v>27.1</v>
      </c>
      <c r="N739" s="181">
        <f t="shared" si="77"/>
        <v>-4.8999999999999986</v>
      </c>
      <c r="O739" s="25" t="s">
        <v>5525</v>
      </c>
    </row>
    <row r="740" spans="1:15" x14ac:dyDescent="0.25">
      <c r="A740" s="50" t="s">
        <v>5442</v>
      </c>
      <c r="B740" s="30" t="s">
        <v>1209</v>
      </c>
      <c r="C740" s="30" t="s">
        <v>26</v>
      </c>
      <c r="D740" s="266" t="s">
        <v>226</v>
      </c>
      <c r="E740" s="30" t="s">
        <v>5443</v>
      </c>
      <c r="F740" s="30">
        <v>1</v>
      </c>
      <c r="G740" s="44">
        <v>56596</v>
      </c>
      <c r="H740" s="30">
        <v>149</v>
      </c>
      <c r="I740" s="44">
        <v>684.2</v>
      </c>
      <c r="J740" s="44">
        <v>101945.8</v>
      </c>
      <c r="K740" s="44">
        <v>158541.79999999999</v>
      </c>
      <c r="L740" s="51">
        <v>20260128</v>
      </c>
      <c r="M740" s="170">
        <f t="shared" si="76"/>
        <v>149</v>
      </c>
      <c r="N740" s="170">
        <f t="shared" si="77"/>
        <v>0</v>
      </c>
    </row>
    <row r="741" spans="1:15" x14ac:dyDescent="0.25">
      <c r="A741" s="50" t="s">
        <v>5411</v>
      </c>
      <c r="B741" s="30" t="s">
        <v>11</v>
      </c>
      <c r="C741" s="30" t="s">
        <v>337</v>
      </c>
      <c r="D741" s="266" t="s">
        <v>162</v>
      </c>
      <c r="E741" s="30" t="s">
        <v>3741</v>
      </c>
      <c r="F741" s="30">
        <v>1</v>
      </c>
      <c r="G741" s="44">
        <v>56596</v>
      </c>
      <c r="H741" s="30">
        <v>69</v>
      </c>
      <c r="I741" s="44">
        <v>684.2</v>
      </c>
      <c r="J741" s="44">
        <v>47209.8</v>
      </c>
      <c r="K741" s="44">
        <v>103805.8</v>
      </c>
      <c r="L741" s="51">
        <v>20260130</v>
      </c>
      <c r="M741" s="170">
        <f t="shared" si="76"/>
        <v>68.8</v>
      </c>
      <c r="N741" s="170">
        <f t="shared" si="77"/>
        <v>-0.20000000000000284</v>
      </c>
    </row>
    <row r="742" spans="1:15" x14ac:dyDescent="0.25">
      <c r="N742" s="170"/>
    </row>
    <row r="743" spans="1:15" x14ac:dyDescent="0.25">
      <c r="N743" s="170"/>
    </row>
    <row r="744" spans="1:15" x14ac:dyDescent="0.25">
      <c r="A744" s="50" t="s">
        <v>5591</v>
      </c>
      <c r="B744" s="30" t="s">
        <v>11</v>
      </c>
      <c r="C744" s="30" t="s">
        <v>29</v>
      </c>
      <c r="D744" s="266" t="s">
        <v>5262</v>
      </c>
      <c r="E744" s="30" t="s">
        <v>4526</v>
      </c>
      <c r="F744" s="30">
        <v>1</v>
      </c>
      <c r="G744" s="44">
        <v>56596</v>
      </c>
      <c r="H744" s="30">
        <v>32</v>
      </c>
      <c r="I744" s="44">
        <v>684.2</v>
      </c>
      <c r="J744" s="44">
        <v>21894.400000000001</v>
      </c>
      <c r="K744" s="44">
        <v>78490.399999999994</v>
      </c>
      <c r="L744" s="51">
        <v>20260210</v>
      </c>
      <c r="M744" s="170">
        <f t="shared" ref="M744:M751" si="78">VLOOKUP(D744,tablapertex,11,FALSE)</f>
        <v>27.1</v>
      </c>
      <c r="N744" s="170">
        <f t="shared" ref="N744:N751" si="79">M744-H744</f>
        <v>-4.8999999999999986</v>
      </c>
      <c r="O744" s="25" t="s">
        <v>5626</v>
      </c>
    </row>
    <row r="745" spans="1:15" x14ac:dyDescent="0.25">
      <c r="A745" s="50" t="s">
        <v>5553</v>
      </c>
      <c r="B745" s="30" t="s">
        <v>11</v>
      </c>
      <c r="C745" s="30" t="s">
        <v>29</v>
      </c>
      <c r="D745" s="266" t="s">
        <v>5262</v>
      </c>
      <c r="E745" s="30" t="s">
        <v>4526</v>
      </c>
      <c r="F745" s="30">
        <v>1</v>
      </c>
      <c r="G745" s="44">
        <v>56596</v>
      </c>
      <c r="H745" s="30">
        <v>32</v>
      </c>
      <c r="I745" s="44">
        <v>684.2</v>
      </c>
      <c r="J745" s="44">
        <v>21894.400000000001</v>
      </c>
      <c r="K745" s="44">
        <v>78490.399999999994</v>
      </c>
      <c r="L745" s="51">
        <v>20260213</v>
      </c>
      <c r="M745" s="170">
        <f t="shared" si="78"/>
        <v>27.1</v>
      </c>
      <c r="N745" s="170">
        <f t="shared" si="79"/>
        <v>-4.8999999999999986</v>
      </c>
      <c r="O745" s="25" t="s">
        <v>5626</v>
      </c>
    </row>
    <row r="746" spans="1:15" x14ac:dyDescent="0.25">
      <c r="A746" s="50" t="s">
        <v>5598</v>
      </c>
      <c r="B746" s="30" t="s">
        <v>11</v>
      </c>
      <c r="C746" s="30" t="s">
        <v>28</v>
      </c>
      <c r="D746" s="266" t="s">
        <v>1183</v>
      </c>
      <c r="E746" s="30" t="s">
        <v>1184</v>
      </c>
      <c r="F746" s="30">
        <v>1</v>
      </c>
      <c r="G746" s="44">
        <v>56596</v>
      </c>
      <c r="H746" s="30">
        <v>276</v>
      </c>
      <c r="I746" s="44">
        <v>684.2</v>
      </c>
      <c r="J746" s="44">
        <v>188839.2</v>
      </c>
      <c r="K746" s="44">
        <v>245435.2</v>
      </c>
      <c r="L746" s="51">
        <v>20260218</v>
      </c>
      <c r="M746" s="170">
        <f t="shared" si="78"/>
        <v>138</v>
      </c>
      <c r="N746" s="170">
        <f t="shared" si="79"/>
        <v>-138</v>
      </c>
      <c r="O746" s="25" t="s">
        <v>5627</v>
      </c>
    </row>
    <row r="747" spans="1:15" x14ac:dyDescent="0.25">
      <c r="A747" s="50" t="s">
        <v>5550</v>
      </c>
      <c r="B747" s="30" t="s">
        <v>137</v>
      </c>
      <c r="C747" s="30" t="s">
        <v>337</v>
      </c>
      <c r="D747" s="266" t="s">
        <v>35</v>
      </c>
      <c r="E747" s="30" t="s">
        <v>4866</v>
      </c>
      <c r="F747" s="30">
        <v>1</v>
      </c>
      <c r="G747" s="44">
        <v>28287</v>
      </c>
      <c r="H747" s="30">
        <v>77</v>
      </c>
      <c r="I747" s="44">
        <v>684.2</v>
      </c>
      <c r="J747" s="44">
        <v>52683.4</v>
      </c>
      <c r="K747" s="44">
        <v>80970.399999999994</v>
      </c>
      <c r="L747" s="51">
        <v>20260220</v>
      </c>
      <c r="M747" s="170">
        <f t="shared" si="78"/>
        <v>77.2</v>
      </c>
      <c r="N747" s="170">
        <f t="shared" si="79"/>
        <v>0.20000000000000284</v>
      </c>
    </row>
    <row r="748" spans="1:15" x14ac:dyDescent="0.25">
      <c r="A748" s="50" t="s">
        <v>5572</v>
      </c>
      <c r="B748" s="30" t="s">
        <v>137</v>
      </c>
      <c r="C748" s="30" t="s">
        <v>5390</v>
      </c>
      <c r="D748" s="266" t="s">
        <v>5391</v>
      </c>
      <c r="E748" s="30" t="s">
        <v>5573</v>
      </c>
      <c r="F748" s="30">
        <v>1</v>
      </c>
      <c r="G748" s="44">
        <v>28287</v>
      </c>
      <c r="H748" s="30">
        <v>84</v>
      </c>
      <c r="I748" s="44">
        <v>684.2</v>
      </c>
      <c r="J748" s="44">
        <v>57472.800000000003</v>
      </c>
      <c r="K748" s="44">
        <v>85759.8</v>
      </c>
      <c r="L748" s="51">
        <v>20260220</v>
      </c>
      <c r="M748" s="170">
        <f t="shared" si="78"/>
        <v>84.1</v>
      </c>
      <c r="N748" s="170">
        <f t="shared" si="79"/>
        <v>9.9999999999994316E-2</v>
      </c>
    </row>
    <row r="749" spans="1:15" x14ac:dyDescent="0.25">
      <c r="A749" s="50" t="s">
        <v>5532</v>
      </c>
      <c r="B749" s="30" t="s">
        <v>137</v>
      </c>
      <c r="C749" s="30" t="s">
        <v>337</v>
      </c>
      <c r="D749" s="266" t="s">
        <v>162</v>
      </c>
      <c r="E749" s="30" t="s">
        <v>2316</v>
      </c>
      <c r="F749" s="30">
        <v>1</v>
      </c>
      <c r="G749" s="44">
        <v>28287</v>
      </c>
      <c r="H749" s="30">
        <v>69</v>
      </c>
      <c r="I749" s="44">
        <v>684.2</v>
      </c>
      <c r="J749" s="44">
        <v>47209.8</v>
      </c>
      <c r="K749" s="44">
        <v>75496.800000000003</v>
      </c>
      <c r="L749" s="51">
        <v>20260223</v>
      </c>
      <c r="M749" s="170">
        <f t="shared" si="78"/>
        <v>68.8</v>
      </c>
      <c r="N749" s="170">
        <f t="shared" si="79"/>
        <v>-0.20000000000000284</v>
      </c>
    </row>
    <row r="750" spans="1:15" x14ac:dyDescent="0.25">
      <c r="A750" s="50" t="s">
        <v>5533</v>
      </c>
      <c r="B750" s="30" t="s">
        <v>11</v>
      </c>
      <c r="C750" s="30" t="s">
        <v>29</v>
      </c>
      <c r="D750" s="266" t="s">
        <v>5262</v>
      </c>
      <c r="E750" s="30" t="s">
        <v>4526</v>
      </c>
      <c r="F750" s="30">
        <v>1</v>
      </c>
      <c r="G750" s="44">
        <v>56596</v>
      </c>
      <c r="H750" s="30">
        <v>32</v>
      </c>
      <c r="I750" s="44">
        <v>684.2</v>
      </c>
      <c r="J750" s="44">
        <v>21894.400000000001</v>
      </c>
      <c r="K750" s="44">
        <v>78490.399999999994</v>
      </c>
      <c r="L750" s="51">
        <v>20260223</v>
      </c>
      <c r="M750" s="170">
        <f t="shared" si="78"/>
        <v>27.1</v>
      </c>
      <c r="N750" s="170">
        <f t="shared" si="79"/>
        <v>-4.8999999999999986</v>
      </c>
      <c r="O750" s="25" t="s">
        <v>5626</v>
      </c>
    </row>
    <row r="751" spans="1:15" x14ac:dyDescent="0.25">
      <c r="A751" s="91" t="s">
        <v>5585</v>
      </c>
      <c r="B751" s="92" t="s">
        <v>137</v>
      </c>
      <c r="C751" s="92" t="s">
        <v>5119</v>
      </c>
      <c r="D751" s="92" t="s">
        <v>5120</v>
      </c>
      <c r="E751" s="92" t="s">
        <v>5131</v>
      </c>
      <c r="F751" s="92">
        <v>1</v>
      </c>
      <c r="G751" s="93">
        <v>28287</v>
      </c>
      <c r="H751" s="92">
        <v>90</v>
      </c>
      <c r="I751" s="93">
        <v>684.2</v>
      </c>
      <c r="J751" s="93">
        <v>61578.000000000007</v>
      </c>
      <c r="K751" s="93">
        <v>89865</v>
      </c>
      <c r="L751" s="94">
        <v>20260224</v>
      </c>
      <c r="M751" s="265">
        <f t="shared" si="78"/>
        <v>85.4</v>
      </c>
      <c r="N751" s="265">
        <f t="shared" si="79"/>
        <v>-4.5999999999999943</v>
      </c>
      <c r="O751" s="264" t="s">
        <v>5628</v>
      </c>
    </row>
    <row r="752" spans="1:15" x14ac:dyDescent="0.25">
      <c r="M752" s="297"/>
      <c r="N752" s="297"/>
    </row>
    <row r="753" spans="1:14" x14ac:dyDescent="0.25">
      <c r="A753" s="50" t="s">
        <v>5720</v>
      </c>
      <c r="B753" s="30" t="s">
        <v>11</v>
      </c>
      <c r="C753" s="30" t="s">
        <v>5390</v>
      </c>
      <c r="D753" s="266" t="s">
        <v>5557</v>
      </c>
      <c r="E753" s="30" t="s">
        <v>5721</v>
      </c>
      <c r="F753" s="30">
        <v>1</v>
      </c>
      <c r="G753" s="44">
        <v>56596</v>
      </c>
      <c r="H753" s="30">
        <v>84</v>
      </c>
      <c r="I753" s="44">
        <v>684.2</v>
      </c>
      <c r="J753" s="44">
        <v>57472.800000000003</v>
      </c>
      <c r="K753" s="44">
        <v>114068.8</v>
      </c>
      <c r="L753" s="51">
        <v>20260304</v>
      </c>
      <c r="M753" s="297"/>
      <c r="N753" s="297"/>
    </row>
    <row r="754" spans="1:14" x14ac:dyDescent="0.25">
      <c r="A754" s="50" t="s">
        <v>5716</v>
      </c>
      <c r="B754" s="30" t="s">
        <v>11</v>
      </c>
      <c r="C754" s="30" t="s">
        <v>5119</v>
      </c>
      <c r="D754" s="266" t="s">
        <v>5120</v>
      </c>
      <c r="E754" s="30" t="s">
        <v>5717</v>
      </c>
      <c r="F754" s="30">
        <v>1</v>
      </c>
      <c r="G754" s="44">
        <v>56596</v>
      </c>
      <c r="H754" s="30">
        <v>174</v>
      </c>
      <c r="I754" s="44">
        <v>684.2</v>
      </c>
      <c r="J754" s="44">
        <v>119050.8</v>
      </c>
      <c r="K754" s="44">
        <v>175646.8</v>
      </c>
      <c r="L754" s="51">
        <v>20260310</v>
      </c>
      <c r="M754" s="297"/>
      <c r="N754" s="297"/>
    </row>
    <row r="755" spans="1:14" x14ac:dyDescent="0.25">
      <c r="A755" s="50" t="s">
        <v>5686</v>
      </c>
      <c r="B755" s="30" t="s">
        <v>11</v>
      </c>
      <c r="C755" s="30" t="s">
        <v>28</v>
      </c>
      <c r="D755" s="266" t="s">
        <v>1729</v>
      </c>
      <c r="E755" s="30" t="s">
        <v>3593</v>
      </c>
      <c r="F755" s="30">
        <v>1</v>
      </c>
      <c r="G755" s="44">
        <v>56596</v>
      </c>
      <c r="H755" s="30">
        <v>258</v>
      </c>
      <c r="I755" s="44">
        <v>684.2</v>
      </c>
      <c r="J755" s="44">
        <v>176523.6</v>
      </c>
      <c r="K755" s="44">
        <v>233119.6</v>
      </c>
      <c r="L755" s="51">
        <v>20260316</v>
      </c>
      <c r="M755" s="297"/>
      <c r="N755" s="297"/>
    </row>
    <row r="756" spans="1:14" x14ac:dyDescent="0.25">
      <c r="A756" s="50" t="s">
        <v>5707</v>
      </c>
      <c r="B756" s="30" t="s">
        <v>1209</v>
      </c>
      <c r="C756" s="30" t="s">
        <v>26</v>
      </c>
      <c r="D756" s="266" t="s">
        <v>5697</v>
      </c>
      <c r="E756" s="30" t="s">
        <v>5708</v>
      </c>
      <c r="F756" s="30">
        <v>1</v>
      </c>
      <c r="G756" s="44">
        <v>56596</v>
      </c>
      <c r="H756" s="30">
        <v>286</v>
      </c>
      <c r="I756" s="44">
        <v>684.2</v>
      </c>
      <c r="J756" s="44">
        <v>195681.2</v>
      </c>
      <c r="K756" s="44">
        <v>252277.2</v>
      </c>
      <c r="L756" s="51">
        <v>20260316</v>
      </c>
      <c r="M756" s="297"/>
      <c r="N756" s="297"/>
    </row>
    <row r="757" spans="1:14" x14ac:dyDescent="0.25">
      <c r="A757" s="50" t="s">
        <v>5714</v>
      </c>
      <c r="B757" s="30" t="s">
        <v>11</v>
      </c>
      <c r="C757" s="30" t="s">
        <v>1053</v>
      </c>
      <c r="D757" s="266" t="s">
        <v>1054</v>
      </c>
      <c r="E757" s="30" t="s">
        <v>3297</v>
      </c>
      <c r="F757" s="30">
        <v>1</v>
      </c>
      <c r="G757" s="44">
        <v>56596</v>
      </c>
      <c r="H757" s="30">
        <v>73</v>
      </c>
      <c r="I757" s="44">
        <v>684.2</v>
      </c>
      <c r="J757" s="44">
        <v>49946.600000000006</v>
      </c>
      <c r="K757" s="44">
        <v>106542.6</v>
      </c>
      <c r="L757" s="51">
        <v>20260317</v>
      </c>
      <c r="M757" s="297"/>
      <c r="N757" s="297"/>
    </row>
    <row r="758" spans="1:14" x14ac:dyDescent="0.25">
      <c r="A758" s="50" t="s">
        <v>5718</v>
      </c>
      <c r="B758" s="30" t="s">
        <v>11</v>
      </c>
      <c r="C758" s="30" t="s">
        <v>337</v>
      </c>
      <c r="D758" s="266" t="s">
        <v>35</v>
      </c>
      <c r="E758" s="30" t="s">
        <v>1318</v>
      </c>
      <c r="F758" s="30">
        <v>1</v>
      </c>
      <c r="G758" s="44">
        <v>56596</v>
      </c>
      <c r="H758" s="30">
        <v>77</v>
      </c>
      <c r="I758" s="44">
        <v>684.2</v>
      </c>
      <c r="J758" s="44">
        <v>52683.4</v>
      </c>
      <c r="K758" s="44">
        <v>109279.4</v>
      </c>
      <c r="L758" s="51">
        <v>20260317</v>
      </c>
      <c r="M758" s="297"/>
      <c r="N758" s="297"/>
    </row>
    <row r="759" spans="1:14" x14ac:dyDescent="0.25">
      <c r="A759" s="50" t="s">
        <v>5638</v>
      </c>
      <c r="B759" s="30" t="s">
        <v>137</v>
      </c>
      <c r="C759" s="30" t="s">
        <v>29</v>
      </c>
      <c r="D759" s="266" t="s">
        <v>5262</v>
      </c>
      <c r="E759" s="30" t="s">
        <v>4526</v>
      </c>
      <c r="F759" s="30">
        <v>1</v>
      </c>
      <c r="G759" s="44">
        <v>28287</v>
      </c>
      <c r="H759" s="30">
        <v>32</v>
      </c>
      <c r="I759" s="44">
        <v>684.2</v>
      </c>
      <c r="J759" s="44">
        <v>21894.400000000001</v>
      </c>
      <c r="K759" s="44">
        <v>50181.4</v>
      </c>
      <c r="L759" s="51">
        <v>20260326</v>
      </c>
      <c r="M759" s="297"/>
      <c r="N759" s="297"/>
    </row>
    <row r="760" spans="1:14" x14ac:dyDescent="0.25">
      <c r="A760" s="50" t="s">
        <v>5668</v>
      </c>
      <c r="B760" s="30" t="s">
        <v>11</v>
      </c>
      <c r="C760" s="30" t="s">
        <v>5390</v>
      </c>
      <c r="D760" s="266" t="s">
        <v>5669</v>
      </c>
      <c r="E760" s="30" t="s">
        <v>5670</v>
      </c>
      <c r="F760" s="30">
        <v>1</v>
      </c>
      <c r="G760" s="44">
        <v>56596</v>
      </c>
      <c r="H760" s="30">
        <v>84</v>
      </c>
      <c r="I760" s="44">
        <v>684.2</v>
      </c>
      <c r="J760" s="44">
        <v>57472.800000000003</v>
      </c>
      <c r="K760" s="44">
        <v>114068.8</v>
      </c>
      <c r="L760" s="51">
        <v>20260327</v>
      </c>
      <c r="M760" s="297"/>
      <c r="N760" s="297"/>
    </row>
    <row r="761" spans="1:14" x14ac:dyDescent="0.25">
      <c r="A761" s="50" t="s">
        <v>5633</v>
      </c>
      <c r="B761" s="30" t="s">
        <v>11</v>
      </c>
      <c r="C761" s="30" t="s">
        <v>28</v>
      </c>
      <c r="D761" s="266" t="s">
        <v>1297</v>
      </c>
      <c r="E761" s="30" t="s">
        <v>1298</v>
      </c>
      <c r="F761" s="30">
        <v>1</v>
      </c>
      <c r="G761" s="44">
        <v>56596</v>
      </c>
      <c r="H761" s="30">
        <v>32</v>
      </c>
      <c r="I761" s="44">
        <v>684.2</v>
      </c>
      <c r="J761" s="44">
        <v>21894.400000000001</v>
      </c>
      <c r="K761" s="44">
        <v>78490.399999999994</v>
      </c>
      <c r="L761" s="51">
        <v>20260330</v>
      </c>
      <c r="M761" s="297"/>
      <c r="N761" s="297"/>
    </row>
    <row r="762" spans="1:14" x14ac:dyDescent="0.25">
      <c r="A762" s="50" t="s">
        <v>5663</v>
      </c>
      <c r="B762" s="30" t="s">
        <v>11</v>
      </c>
      <c r="C762" s="30" t="s">
        <v>5390</v>
      </c>
      <c r="D762" s="266" t="s">
        <v>5391</v>
      </c>
      <c r="E762" s="30" t="s">
        <v>5480</v>
      </c>
      <c r="F762" s="30">
        <v>1</v>
      </c>
      <c r="G762" s="44">
        <v>56596</v>
      </c>
      <c r="H762" s="30">
        <v>84</v>
      </c>
      <c r="I762" s="44">
        <v>684.2</v>
      </c>
      <c r="J762" s="44">
        <v>57472.800000000003</v>
      </c>
      <c r="K762" s="44">
        <v>114068.8</v>
      </c>
      <c r="L762" s="51">
        <v>20260331</v>
      </c>
      <c r="M762" s="297"/>
      <c r="N762" s="297"/>
    </row>
    <row r="763" spans="1:14" x14ac:dyDescent="0.25">
      <c r="M763" s="297"/>
      <c r="N763" s="297"/>
    </row>
    <row r="764" spans="1:14" x14ac:dyDescent="0.25">
      <c r="M764" s="297"/>
      <c r="N764" s="297"/>
    </row>
    <row r="765" spans="1:14" x14ac:dyDescent="0.25">
      <c r="A765" s="50" t="s">
        <v>5800</v>
      </c>
      <c r="B765" s="30" t="s">
        <v>11</v>
      </c>
      <c r="C765" s="30" t="s">
        <v>28</v>
      </c>
      <c r="D765" s="266" t="s">
        <v>1703</v>
      </c>
      <c r="E765" s="30" t="s">
        <v>2436</v>
      </c>
      <c r="F765" s="30">
        <v>1</v>
      </c>
      <c r="G765" s="44">
        <v>61633</v>
      </c>
      <c r="H765" s="30">
        <v>242</v>
      </c>
      <c r="I765" s="44">
        <v>776.6</v>
      </c>
      <c r="J765" s="44">
        <v>187937.2</v>
      </c>
      <c r="K765" s="44">
        <v>249570.2</v>
      </c>
      <c r="L765" s="51">
        <v>20260414</v>
      </c>
      <c r="M765" s="297">
        <f t="shared" ref="M752:M767" si="80">VLOOKUP(D765,tablapertex,11,FALSE)</f>
        <v>242</v>
      </c>
      <c r="N765" s="297">
        <f t="shared" ref="N752:N767" si="81">M765-H765</f>
        <v>0</v>
      </c>
    </row>
    <row r="766" spans="1:14" x14ac:dyDescent="0.25">
      <c r="A766" s="50" t="s">
        <v>5763</v>
      </c>
      <c r="B766" s="30" t="s">
        <v>11</v>
      </c>
      <c r="C766" s="30" t="s">
        <v>337</v>
      </c>
      <c r="D766" s="266" t="s">
        <v>162</v>
      </c>
      <c r="E766" s="30" t="s">
        <v>3073</v>
      </c>
      <c r="F766" s="30">
        <v>1</v>
      </c>
      <c r="G766" s="44">
        <v>61633</v>
      </c>
      <c r="H766" s="30">
        <v>69</v>
      </c>
      <c r="I766" s="44">
        <v>776.6</v>
      </c>
      <c r="J766" s="44">
        <v>53585.4</v>
      </c>
      <c r="K766" s="44">
        <v>115218.4</v>
      </c>
      <c r="L766" s="51">
        <v>20260417</v>
      </c>
      <c r="M766" s="297">
        <f t="shared" si="80"/>
        <v>68.8</v>
      </c>
      <c r="N766" s="297">
        <f t="shared" si="81"/>
        <v>-0.20000000000000284</v>
      </c>
    </row>
    <row r="767" spans="1:14" x14ac:dyDescent="0.25">
      <c r="A767" s="50" t="s">
        <v>5779</v>
      </c>
      <c r="B767" s="30" t="s">
        <v>11</v>
      </c>
      <c r="C767" s="30" t="s">
        <v>337</v>
      </c>
      <c r="D767" s="266" t="s">
        <v>35</v>
      </c>
      <c r="E767" s="30" t="s">
        <v>3011</v>
      </c>
      <c r="F767" s="30">
        <v>1</v>
      </c>
      <c r="G767" s="44">
        <v>61633</v>
      </c>
      <c r="H767" s="30">
        <v>77</v>
      </c>
      <c r="I767" s="44">
        <v>776.6</v>
      </c>
      <c r="J767" s="44">
        <v>59798.200000000004</v>
      </c>
      <c r="K767" s="44">
        <v>121431.20000000001</v>
      </c>
      <c r="L767" s="51">
        <v>20260420</v>
      </c>
      <c r="M767" s="297">
        <f t="shared" si="80"/>
        <v>77.2</v>
      </c>
      <c r="N767" s="297">
        <f t="shared" si="81"/>
        <v>0.20000000000000284</v>
      </c>
    </row>
  </sheetData>
  <sortState xmlns:xlrd2="http://schemas.microsoft.com/office/spreadsheetml/2017/richdata2" ref="A753:L762">
    <sortCondition ref="L753:L762"/>
  </sortState>
  <conditionalFormatting sqref="A84:A86">
    <cfRule type="duplicateValues" dxfId="38" priority="37"/>
  </conditionalFormatting>
  <conditionalFormatting sqref="A113:A118">
    <cfRule type="duplicateValues" dxfId="37" priority="34"/>
  </conditionalFormatting>
  <conditionalFormatting sqref="A119:A130">
    <cfRule type="duplicateValues" dxfId="36" priority="33"/>
  </conditionalFormatting>
  <conditionalFormatting sqref="A218:A225">
    <cfRule type="duplicateValues" dxfId="35" priority="28"/>
  </conditionalFormatting>
  <conditionalFormatting sqref="A482">
    <cfRule type="duplicateValues" dxfId="34" priority="14"/>
  </conditionalFormatting>
  <conditionalFormatting sqref="A658 A620:A634 A486 A462 A297:A313 A1:A83 A87 A93:A112 A131:A141 A154:A168 A182:A183 A194 A207:A217 A226:A227 A233:A234 A249:A275 A322:A345 A350:A372 A377 A384 A393:A452 A497 A502:A592 A600:A611 A645:A647 A664:A665 A674:A675 A685:A697 A710:A711 A722 A731:A732 A742:A1048576">
    <cfRule type="duplicateValues" dxfId="33" priority="38"/>
  </conditionalFormatting>
  <conditionalFormatting sqref="D462:D481 D483">
    <cfRule type="duplicateValues" dxfId="32" priority="17"/>
  </conditionalFormatting>
  <conditionalFormatting sqref="D462:D481 D483:D484">
    <cfRule type="duplicateValues" dxfId="31" priority="15"/>
  </conditionalFormatting>
  <conditionalFormatting sqref="D484">
    <cfRule type="duplicateValues" dxfId="30" priority="16"/>
  </conditionalFormatting>
  <conditionalFormatting sqref="E35:E38">
    <cfRule type="duplicateValues" dxfId="29" priority="48"/>
  </conditionalFormatting>
  <conditionalFormatting sqref="E63:E66">
    <cfRule type="duplicateValues" dxfId="28" priority="47"/>
  </conditionalFormatting>
  <conditionalFormatting sqref="E85">
    <cfRule type="duplicateValues" dxfId="27" priority="36"/>
  </conditionalFormatting>
  <conditionalFormatting sqref="E91:E92">
    <cfRule type="duplicateValues" dxfId="26" priority="35"/>
  </conditionalFormatting>
  <conditionalFormatting sqref="E95:E96">
    <cfRule type="duplicateValues" dxfId="25" priority="46"/>
  </conditionalFormatting>
  <conditionalFormatting sqref="E140:E141">
    <cfRule type="duplicateValues" dxfId="24" priority="44"/>
  </conditionalFormatting>
  <conditionalFormatting sqref="E152:E153">
    <cfRule type="duplicateValues" dxfId="23" priority="32"/>
  </conditionalFormatting>
  <conditionalFormatting sqref="E182:E183">
    <cfRule type="duplicateValues" dxfId="22" priority="42"/>
  </conditionalFormatting>
  <conditionalFormatting sqref="E211:E212">
    <cfRule type="duplicateValues" dxfId="21" priority="41"/>
  </conditionalFormatting>
  <conditionalFormatting sqref="E214:E217">
    <cfRule type="duplicateValues" dxfId="20" priority="39"/>
  </conditionalFormatting>
  <conditionalFormatting sqref="E218:E225">
    <cfRule type="duplicateValues" dxfId="19" priority="29"/>
  </conditionalFormatting>
  <conditionalFormatting sqref="E246:E248">
    <cfRule type="duplicateValues" dxfId="18" priority="27"/>
  </conditionalFormatting>
  <conditionalFormatting sqref="E376">
    <cfRule type="duplicateValues" dxfId="17" priority="25"/>
  </conditionalFormatting>
  <conditionalFormatting sqref="E378:E383">
    <cfRule type="duplicateValues" dxfId="16" priority="24"/>
  </conditionalFormatting>
  <conditionalFormatting sqref="E385:E392">
    <cfRule type="duplicateValues" dxfId="15" priority="22"/>
  </conditionalFormatting>
  <conditionalFormatting sqref="E453:E457">
    <cfRule type="duplicateValues" dxfId="14" priority="20"/>
  </conditionalFormatting>
  <conditionalFormatting sqref="E460:E461">
    <cfRule type="duplicateValues" dxfId="13" priority="19"/>
  </conditionalFormatting>
  <conditionalFormatting sqref="E484:E485">
    <cfRule type="duplicateValues" dxfId="12" priority="18"/>
  </conditionalFormatting>
  <conditionalFormatting sqref="E487:E496">
    <cfRule type="duplicateValues" dxfId="11" priority="13"/>
  </conditionalFormatting>
  <conditionalFormatting sqref="E498:E501">
    <cfRule type="duplicateValues" dxfId="10" priority="12"/>
  </conditionalFormatting>
  <conditionalFormatting sqref="E593:E599">
    <cfRule type="duplicateValues" dxfId="9" priority="11"/>
  </conditionalFormatting>
  <conditionalFormatting sqref="E612:E619">
    <cfRule type="duplicateValues" dxfId="8" priority="10"/>
  </conditionalFormatting>
  <conditionalFormatting sqref="E648:E657">
    <cfRule type="duplicateValues" dxfId="7" priority="9"/>
  </conditionalFormatting>
  <conditionalFormatting sqref="E666:E673">
    <cfRule type="duplicateValues" dxfId="6" priority="8"/>
  </conditionalFormatting>
  <conditionalFormatting sqref="E676:E684">
    <cfRule type="duplicateValues" dxfId="5" priority="7"/>
  </conditionalFormatting>
  <conditionalFormatting sqref="E698:E709">
    <cfRule type="duplicateValues" dxfId="4" priority="6"/>
  </conditionalFormatting>
  <conditionalFormatting sqref="E723:E730">
    <cfRule type="duplicateValues" dxfId="3" priority="3"/>
  </conditionalFormatting>
  <conditionalFormatting sqref="E733:E741">
    <cfRule type="duplicateValues" dxfId="2" priority="1"/>
  </conditionalFormatting>
  <conditionalFormatting sqref="L698:L709">
    <cfRule type="duplicateValues" dxfId="1" priority="5"/>
  </conditionalFormatting>
  <conditionalFormatting sqref="L723:L730">
    <cfRule type="duplicateValues" dxfId="0" priority="2"/>
  </conditionalFormatting>
  <hyperlinks>
    <hyperlink ref="A104" r:id="rId1" display="http://webagentes.canaldirecto.com.ar/incidents/view/649181-5" xr:uid="{00000000-0004-0000-0100-000000000000}"/>
    <hyperlink ref="A105" r:id="rId2" display="http://webagentes.canaldirecto.com.ar/incidents/view/648928-1" xr:uid="{00000000-0004-0000-0100-000001000000}"/>
    <hyperlink ref="A106" r:id="rId3" display="http://webagentes.canaldirecto.com.ar/incidents/view/650745-3" xr:uid="{00000000-0004-0000-0100-000002000000}"/>
    <hyperlink ref="A107" r:id="rId4" display="http://webagentes.canaldirecto.com.ar/incidents/view/651558-6" xr:uid="{00000000-0004-0000-0100-000003000000}"/>
    <hyperlink ref="A109" r:id="rId5" display="http://webagentes.canaldirecto.com.ar/incidents/view/652051-5" xr:uid="{00000000-0004-0000-0100-000004000000}"/>
    <hyperlink ref="A111" r:id="rId6" display="http://webagentes.canaldirecto.com.ar/incidents/view/652429-2" xr:uid="{00000000-0004-0000-0100-000005000000}"/>
    <hyperlink ref="A110" r:id="rId7" display="http://webagentes.canaldirecto.com.ar/incidents/view/652199-4" xr:uid="{00000000-0004-0000-0100-000006000000}"/>
    <hyperlink ref="A108" r:id="rId8" display="http://webagentes.canaldirecto.com.ar/incidents/view/652058-8" xr:uid="{00000000-0004-0000-0100-000007000000}"/>
    <hyperlink ref="A113" r:id="rId9" display="http://webagentes.canaldirecto.com.ar/incidents/view/648809-7" xr:uid="{00000000-0004-0000-0100-000008000000}"/>
    <hyperlink ref="A114" r:id="rId10" display="http://webagentes.canaldirecto.com.ar/incidents/view/653815-2" xr:uid="{00000000-0004-0000-0100-000009000000}"/>
    <hyperlink ref="A115" r:id="rId11" display="http://webagentes.canaldirecto.com.ar/incidents/view/653476-7" xr:uid="{00000000-0004-0000-0100-00000A000000}"/>
    <hyperlink ref="A116" r:id="rId12" display="http://webagentes.canaldirecto.com.ar/incidents/view/653340-3" xr:uid="{00000000-0004-0000-0100-00000B000000}"/>
    <hyperlink ref="A117" r:id="rId13" display="http://webagentes.canaldirecto.com.ar/incidents/view/652749-3" xr:uid="{00000000-0004-0000-0100-00000C000000}"/>
    <hyperlink ref="A119" r:id="rId14" display="http://webagentes.canaldirecto.com.ar/incidents/view/654960-8" xr:uid="{00000000-0004-0000-0100-00000D000000}"/>
    <hyperlink ref="A120" r:id="rId15" display="http://webagentes.canaldirecto.com.ar/incidents/view/655087-1" xr:uid="{00000000-0004-0000-0100-00000E000000}"/>
    <hyperlink ref="A121" r:id="rId16" display="http://webagentes.canaldirecto.com.ar/incidents/view/655590-0" xr:uid="{00000000-0004-0000-0100-00000F000000}"/>
    <hyperlink ref="A122" r:id="rId17" display="http://webagentes.canaldirecto.com.ar/incidents/view/655446-0" xr:uid="{00000000-0004-0000-0100-000010000000}"/>
    <hyperlink ref="A123" r:id="rId18" display="http://webagentes.canaldirecto.com.ar/incidents/view/655149-0" xr:uid="{00000000-0004-0000-0100-000011000000}"/>
    <hyperlink ref="A124" r:id="rId19" display="http://webagentes.canaldirecto.com.ar/incidents/view/655650-1" xr:uid="{00000000-0004-0000-0100-000012000000}"/>
    <hyperlink ref="A125" r:id="rId20" display="http://webagentes.canaldirecto.com.ar/incidents/view/656426-3" xr:uid="{00000000-0004-0000-0100-000013000000}"/>
    <hyperlink ref="A126" r:id="rId21" display="http://webagentes.canaldirecto.com.ar/incidents/view/657259-0" xr:uid="{00000000-0004-0000-0100-000014000000}"/>
    <hyperlink ref="A127" r:id="rId22" display="http://webagentes.canaldirecto.com.ar/incidents/view/656692-4" xr:uid="{00000000-0004-0000-0100-000015000000}"/>
    <hyperlink ref="A128" r:id="rId23" display="http://webagentes.canaldirecto.com.ar/incidents/view/654901-5" xr:uid="{00000000-0004-0000-0100-000016000000}"/>
    <hyperlink ref="A129" r:id="rId24" display="http://webagentes.canaldirecto.com.ar/incidents/view/656682-7" xr:uid="{00000000-0004-0000-0100-000017000000}"/>
    <hyperlink ref="A130" r:id="rId25" display="http://webagentes.canaldirecto.com.ar/incidents/view/658029-8" xr:uid="{00000000-0004-0000-0100-000018000000}"/>
    <hyperlink ref="A132" r:id="rId26" display="http://webagentes.canaldirecto.com.ar/incidents/view/658483-2" xr:uid="{00000000-0004-0000-0100-000019000000}"/>
    <hyperlink ref="A133" r:id="rId27" display="http://webagentes.canaldirecto.com.ar/incidents/view/658384-2" xr:uid="{00000000-0004-0000-0100-00001A000000}"/>
    <hyperlink ref="A134" r:id="rId28" display="http://webagentes.canaldirecto.com.ar/incidents/view/659135-5" xr:uid="{00000000-0004-0000-0100-00001B000000}"/>
    <hyperlink ref="A135" r:id="rId29" display="http://webagentes.canaldirecto.com.ar/incidents/view/659012-5" xr:uid="{00000000-0004-0000-0100-00001C000000}"/>
    <hyperlink ref="A136" r:id="rId30" display="http://webagentes.canaldirecto.com.ar/incidents/view/659703-0" xr:uid="{00000000-0004-0000-0100-00001D000000}"/>
    <hyperlink ref="A140" r:id="rId31" display="http://webagentes.canaldirecto.com.ar/incidents/view/660745-2" xr:uid="{00000000-0004-0000-0100-00001E000000}"/>
    <hyperlink ref="A138" r:id="rId32" display="http://webagentes.canaldirecto.com.ar/incidents/view/660490-5" xr:uid="{00000000-0004-0000-0100-00001F000000}"/>
    <hyperlink ref="A139" r:id="rId33" display="http://webagentes.canaldirecto.com.ar/incidents/view/660055-6" xr:uid="{00000000-0004-0000-0100-000020000000}"/>
    <hyperlink ref="A137" r:id="rId34" display="http://webagentes.canaldirecto.com.ar/incidents/view/660791-1" xr:uid="{00000000-0004-0000-0100-000021000000}"/>
    <hyperlink ref="A142" r:id="rId35" display="https://webagentes.canaldirecto.com.ar/incidents/view/661190-5" xr:uid="{00000000-0004-0000-0100-000022000000}"/>
    <hyperlink ref="A143" r:id="rId36" display="https://webagentes.canaldirecto.com.ar/incidents/view/661610-4" xr:uid="{00000000-0004-0000-0100-000023000000}"/>
    <hyperlink ref="A144" r:id="rId37" display="https://webagentes.canaldirecto.com.ar/incidents/view/661767-1" xr:uid="{00000000-0004-0000-0100-000024000000}"/>
    <hyperlink ref="A145" r:id="rId38" display="https://webagentes.canaldirecto.com.ar/incidents/view/662375-1" xr:uid="{00000000-0004-0000-0100-000025000000}"/>
    <hyperlink ref="A146" r:id="rId39" display="https://webagentes.canaldirecto.com.ar/incidents/view/662775-7" xr:uid="{00000000-0004-0000-0100-000026000000}"/>
    <hyperlink ref="A147" r:id="rId40" display="https://webagentes.canaldirecto.com.ar/incidents/view/662691-6" xr:uid="{00000000-0004-0000-0100-000027000000}"/>
    <hyperlink ref="A148" r:id="rId41" display="https://webagentes.canaldirecto.com.ar/incidents/view/662504-1" xr:uid="{00000000-0004-0000-0100-000028000000}"/>
    <hyperlink ref="A149" r:id="rId42" display="https://webagentes.canaldirecto.com.ar/incidents/view/662840-0" xr:uid="{00000000-0004-0000-0100-000029000000}"/>
    <hyperlink ref="A150" r:id="rId43" display="https://webagentes.canaldirecto.com.ar/incidents/view/662602-2" xr:uid="{00000000-0004-0000-0100-00002A000000}"/>
    <hyperlink ref="A151" r:id="rId44" display="https://webagentes.canaldirecto.com.ar/incidents/view/662601-3" xr:uid="{00000000-0004-0000-0100-00002B000000}"/>
    <hyperlink ref="A152" r:id="rId45" display="https://webagentes.canaldirecto.com.ar/incidents/view/662422-8" xr:uid="{00000000-0004-0000-0100-00002C000000}"/>
    <hyperlink ref="A153" r:id="rId46" display="https://webagentes.canaldirecto.com.ar/incidents/view/662714-6" xr:uid="{00000000-0004-0000-0100-00002D000000}"/>
    <hyperlink ref="A155" r:id="rId47" display="https://webagentes.canaldirecto.com.ar/incidents/view/662706-7" xr:uid="{00000000-0004-0000-0100-00002E000000}"/>
    <hyperlink ref="A156" r:id="rId48" display="https://webagentes.canaldirecto.com.ar/incidents/view/663947-9" xr:uid="{00000000-0004-0000-0100-00002F000000}"/>
    <hyperlink ref="A158" r:id="rId49" display="https://webagentes.canaldirecto.com.ar/incidents/view/664690-1" xr:uid="{00000000-0004-0000-0100-000030000000}"/>
    <hyperlink ref="A157" r:id="rId50" display="https://webagentes.canaldirecto.com.ar/incidents/view/664610-5" xr:uid="{00000000-0004-0000-0100-000031000000}"/>
    <hyperlink ref="A159" r:id="rId51" display="https://webagentes.canaldirecto.com.ar/incidents/view/665013-5" xr:uid="{00000000-0004-0000-0100-000032000000}"/>
    <hyperlink ref="A160" r:id="rId52" display="https://webagentes.canaldirecto.com.ar/incidents/view/665254-0" xr:uid="{00000000-0004-0000-0100-000033000000}"/>
    <hyperlink ref="A161" r:id="rId53" display="https://webagentes.canaldirecto.com.ar/incidents/view/665439-9" xr:uid="{00000000-0004-0000-0100-000034000000}"/>
    <hyperlink ref="A162" r:id="rId54" display="https://webagentes.canaldirecto.com.ar/incidents/view/665123-1" xr:uid="{00000000-0004-0000-0100-000035000000}"/>
    <hyperlink ref="A163" r:id="rId55" display="https://webagentes.canaldirecto.com.ar/incidents/view/665348-8" xr:uid="{00000000-0004-0000-0100-000036000000}"/>
    <hyperlink ref="A164" r:id="rId56" display="https://webagentes.canaldirecto.com.ar/incidents/view/665766-0" xr:uid="{00000000-0004-0000-0100-000037000000}"/>
    <hyperlink ref="A167" r:id="rId57" display="https://webagentes.canaldirecto.com.ar/incidents/view/667017-5" xr:uid="{00000000-0004-0000-0100-000038000000}"/>
    <hyperlink ref="A165" r:id="rId58" display="https://webagentes.canaldirecto.com.ar/incidents/view/666822-2" xr:uid="{00000000-0004-0000-0100-000039000000}"/>
    <hyperlink ref="A166" r:id="rId59" display="https://webagentes.canaldirecto.com.ar/incidents/view/666593-3" xr:uid="{00000000-0004-0000-0100-00003A000000}"/>
    <hyperlink ref="A170" r:id="rId60" display="https://webagentes.canaldirecto.com.ar/incidents/view/668345-2" xr:uid="{00000000-0004-0000-0100-00003B000000}"/>
    <hyperlink ref="A169" r:id="rId61" display="https://webagentes.canaldirecto.com.ar/incidents/view/668108-3" xr:uid="{00000000-0004-0000-0100-00003C000000}"/>
    <hyperlink ref="A171" r:id="rId62" display="https://webagentes.canaldirecto.com.ar/incidents/view/668127-8" xr:uid="{00000000-0004-0000-0100-00003D000000}"/>
    <hyperlink ref="A172" r:id="rId63" display="https://webagentes.canaldirecto.com.ar/incidents/view/668144-5" xr:uid="{00000000-0004-0000-0100-00003E000000}"/>
    <hyperlink ref="A173" r:id="rId64" display="https://webagentes.canaldirecto.com.ar/incidents/view/668837-8" xr:uid="{00000000-0004-0000-0100-00003F000000}"/>
    <hyperlink ref="A174" r:id="rId65" display="https://webagentes.canaldirecto.com.ar/incidents/view/668746-7" xr:uid="{00000000-0004-0000-0100-000040000000}"/>
    <hyperlink ref="A175" r:id="rId66" display="https://webagentes.canaldirecto.com.ar/incidents/view/668511-3" xr:uid="{00000000-0004-0000-0100-000041000000}"/>
    <hyperlink ref="A177" r:id="rId67" display="https://webagentes.canaldirecto.com.ar/incidents/view/669308-8" xr:uid="{00000000-0004-0000-0100-000042000000}"/>
    <hyperlink ref="A176" r:id="rId68" display="https://webagentes.canaldirecto.com.ar/incidents/view/668242-6" xr:uid="{00000000-0004-0000-0100-000043000000}"/>
    <hyperlink ref="A178" r:id="rId69" display="https://webagentes.canaldirecto.com.ar/incidents/view/669248-7" xr:uid="{00000000-0004-0000-0100-000044000000}"/>
    <hyperlink ref="A179" r:id="rId70" display="https://webagentes.canaldirecto.com.ar/incidents/view/669409-6" xr:uid="{00000000-0004-0000-0100-000045000000}"/>
    <hyperlink ref="A180" r:id="rId71" display="https://webagentes.canaldirecto.com.ar/incidents/view/669893-1" xr:uid="{00000000-0004-0000-0100-000046000000}"/>
    <hyperlink ref="A181" r:id="rId72" display="https://webagentes.canaldirecto.com.ar/incidents/view/670082-9" xr:uid="{00000000-0004-0000-0100-000047000000}"/>
    <hyperlink ref="A185" r:id="rId73" display="https://webagentes.canaldirecto.com.ar/incidents/view/670023-6" xr:uid="{00000000-0004-0000-0100-000048000000}"/>
    <hyperlink ref="A186" r:id="rId74" display="https://webagentes.canaldirecto.com.ar/incidents/view/669608-5" xr:uid="{00000000-0004-0000-0100-000049000000}"/>
    <hyperlink ref="A188" r:id="rId75" display="https://webagentes.canaldirecto.com.ar/incidents/view/670915-8" xr:uid="{00000000-0004-0000-0100-00004A000000}"/>
    <hyperlink ref="A190" r:id="rId76" display="https://webagentes.canaldirecto.com.ar/incidents/view/670661-0" xr:uid="{00000000-0004-0000-0100-00004B000000}"/>
    <hyperlink ref="A187" r:id="rId77" display="https://webagentes.canaldirecto.com.ar/incidents/view/670623-0" xr:uid="{00000000-0004-0000-0100-00004C000000}"/>
    <hyperlink ref="A189" r:id="rId78" display="https://webagentes.canaldirecto.com.ar/incidents/view/670606-3" xr:uid="{00000000-0004-0000-0100-00004D000000}"/>
    <hyperlink ref="A191" r:id="rId79" display="https://webagentes.canaldirecto.com.ar/incidents/view/670031-5" xr:uid="{00000000-0004-0000-0100-00004E000000}"/>
    <hyperlink ref="A192" r:id="rId80" display="https://webagentes.canaldirecto.com.ar/incidents/view/672774-7" xr:uid="{00000000-0004-0000-0100-00004F000000}"/>
    <hyperlink ref="A193" r:id="rId81" display="https://webagentes.canaldirecto.com.ar/incidents/view/672468-9" xr:uid="{00000000-0004-0000-0100-000050000000}"/>
    <hyperlink ref="A184" r:id="rId82" display="https://webagentes.canaldirecto.com.ar/incidents/view/670273-9" xr:uid="{00000000-0004-0000-0100-000051000000}"/>
    <hyperlink ref="A195" r:id="rId83" display="https://webagentes.canaldirecto.com.ar/incidents/view/674002-1" xr:uid="{00000000-0004-0000-0100-000052000000}"/>
    <hyperlink ref="A196" r:id="rId84" display="https://webagentes.canaldirecto.com.ar/incidents/view/673636-5" xr:uid="{00000000-0004-0000-0100-000053000000}"/>
    <hyperlink ref="A197" r:id="rId85" display="https://webagentes.canaldirecto.com.ar/incidents/view/674633-5" xr:uid="{00000000-0004-0000-0100-000054000000}"/>
    <hyperlink ref="A200" r:id="rId86" display="https://webagentes.canaldirecto.com.ar/incidents/view/674618-6" xr:uid="{00000000-0004-0000-0100-000055000000}"/>
    <hyperlink ref="A198" r:id="rId87" display="https://webagentes.canaldirecto.com.ar/incidents/view/674154-3" xr:uid="{00000000-0004-0000-0100-000056000000}"/>
    <hyperlink ref="A199" r:id="rId88" display="https://webagentes.canaldirecto.com.ar/incidents/view/673686-0" xr:uid="{00000000-0004-0000-0100-000057000000}"/>
    <hyperlink ref="A202" r:id="rId89" display="https://webagentes.canaldirecto.com.ar/incidents/view/675624-4" xr:uid="{00000000-0004-0000-0100-000058000000}"/>
    <hyperlink ref="A206" r:id="rId90" display="https://webagentes.canaldirecto.com.ar/incidents/view/674042-9" xr:uid="{00000000-0004-0000-0100-000059000000}"/>
    <hyperlink ref="A205" r:id="rId91" display="https://webagentes.canaldirecto.com.ar/incidents/view/673869-1" xr:uid="{00000000-0004-0000-0100-00005A000000}"/>
    <hyperlink ref="A201" r:id="rId92" display="https://webagentes.canaldirecto.com.ar/incidents/view/675608-6" xr:uid="{00000000-0004-0000-0100-00005B000000}"/>
    <hyperlink ref="A203" r:id="rId93" display="https://webagentes.canaldirecto.com.ar/incidents/view/676201-4" xr:uid="{00000000-0004-0000-0100-00005C000000}"/>
    <hyperlink ref="A204" r:id="rId94" display="https://webagentes.canaldirecto.com.ar/incidents/view/676927-5" xr:uid="{00000000-0004-0000-0100-00005D000000}"/>
    <hyperlink ref="A211" r:id="rId95" display="https://webagentes.canaldirecto.com.ar/incidents/view/678128-6" xr:uid="{00000000-0004-0000-0100-00005E000000}"/>
    <hyperlink ref="A209" r:id="rId96" display="https://webagentes.canaldirecto.com.ar/incidents/view/676823-0" xr:uid="{00000000-0004-0000-0100-00005F000000}"/>
    <hyperlink ref="A212" r:id="rId97" display="https://webagentes.canaldirecto.com.ar/incidents/view/677942-1" xr:uid="{00000000-0004-0000-0100-000060000000}"/>
    <hyperlink ref="A213" r:id="rId98" display="https://webagentes.canaldirecto.com.ar/incidents/view/678032-0" xr:uid="{00000000-0004-0000-0100-000061000000}"/>
    <hyperlink ref="A214" r:id="rId99" display="https://webagentes.canaldirecto.com.ar/incidents/view/677947-6" xr:uid="{00000000-0004-0000-0100-000062000000}"/>
    <hyperlink ref="A215" r:id="rId100" display="https://webagentes.canaldirecto.com.ar/incidents/view/679635-8" xr:uid="{00000000-0004-0000-0100-000063000000}"/>
    <hyperlink ref="A216" r:id="rId101" display="https://webagentes.canaldirecto.com.ar/incidents/view/680004-0" xr:uid="{00000000-0004-0000-0100-000064000000}"/>
    <hyperlink ref="A210" r:id="rId102" display="https://webagentes.canaldirecto.com.ar/incidents/view/678082-5" xr:uid="{00000000-0004-0000-0100-000065000000}"/>
    <hyperlink ref="A218" r:id="rId103" display="https://webagentes.canaldirecto.com.ar/incidents/view/679711-7" xr:uid="{00000000-0004-0000-0100-000066000000}"/>
    <hyperlink ref="A219" r:id="rId104" display="https://webagentes.canaldirecto.com.ar/incidents/view/671056-1" xr:uid="{00000000-0004-0000-0100-000067000000}"/>
    <hyperlink ref="A220" r:id="rId105" display="https://webagentes.canaldirecto.com.ar/incidents/view/680996-2" xr:uid="{00000000-0004-0000-0100-000068000000}"/>
    <hyperlink ref="A221" r:id="rId106" display="https://webagentes.canaldirecto.com.ar/incidents/view/683237-7" xr:uid="{00000000-0004-0000-0100-000069000000}"/>
    <hyperlink ref="A222" r:id="rId107" display="https://webagentes.canaldirecto.com.ar/incidents/view/682491-6" xr:uid="{00000000-0004-0000-0100-00006A000000}"/>
    <hyperlink ref="A223" r:id="rId108" display="https://webagentes.canaldirecto.com.ar/incidents/view/683202-1" xr:uid="{00000000-0004-0000-0100-00006B000000}"/>
    <hyperlink ref="A224" r:id="rId109" display="https://webagentes.canaldirecto.com.ar/incidents/view/683703-5" xr:uid="{00000000-0004-0000-0100-00006C000000}"/>
    <hyperlink ref="A225" r:id="rId110" display="https://webagentes.canaldirecto.com.ar/incidents/view/683572-7" xr:uid="{00000000-0004-0000-0100-00006D000000}"/>
    <hyperlink ref="A228" r:id="rId111" display="https://webagentes.canaldirecto.com.ar/incidents/view/684764-3" xr:uid="{00000000-0004-0000-0100-00006E000000}"/>
    <hyperlink ref="A229" r:id="rId112" display="https://webagentes.canaldirecto.com.ar/incidents/view/684253-2" xr:uid="{00000000-0004-0000-0100-00006F000000}"/>
    <hyperlink ref="A230" r:id="rId113" display="https://webagentes.canaldirecto.com.ar/incidents/view/686644-4" xr:uid="{00000000-0004-0000-0100-000070000000}"/>
    <hyperlink ref="A231" r:id="rId114" display="https://webagentes.canaldirecto.com.ar/incidents/view/684749-4" xr:uid="{00000000-0004-0000-0100-000071000000}"/>
    <hyperlink ref="A232" r:id="rId115" display="https://webagentes.canaldirecto.com.ar/incidents/view/686963-6" xr:uid="{00000000-0004-0000-0100-000072000000}"/>
    <hyperlink ref="A236" r:id="rId116" display="https://webagentes.canaldirecto.com.ar/incidents/view/687647-8" xr:uid="{00000000-0004-0000-0100-000073000000}"/>
    <hyperlink ref="A235" r:id="rId117" display="https://webagentes.canaldirecto.com.ar/incidents/view/687260-3" xr:uid="{00000000-0004-0000-0100-000074000000}"/>
    <hyperlink ref="A237" r:id="rId118" display="https://webagentes.canaldirecto.com.ar/incidents/view/685586-4" xr:uid="{00000000-0004-0000-0100-000075000000}"/>
    <hyperlink ref="A239" r:id="rId119" display="https://webagentes.canaldirecto.com.ar/incidents/view/687519-6" xr:uid="{00000000-0004-0000-0100-000076000000}"/>
    <hyperlink ref="A238" r:id="rId120" display="https://webagentes.canaldirecto.com.ar/incidents/view/687518-7" xr:uid="{00000000-0004-0000-0100-000077000000}"/>
    <hyperlink ref="A240" r:id="rId121" display="https://webagentes.canaldirecto.com.ar/incidents/view/687654-8" xr:uid="{00000000-0004-0000-0100-000078000000}"/>
    <hyperlink ref="A241" r:id="rId122" display="https://webagentes.canaldirecto.com.ar/incidents/view/687530-9" xr:uid="{00000000-0004-0000-0100-000079000000}"/>
    <hyperlink ref="A242" r:id="rId123" display="https://webagentes.canaldirecto.com.ar/incidents/view/689110-3" xr:uid="{00000000-0004-0000-0100-00007A000000}"/>
    <hyperlink ref="A244" r:id="rId124" display="https://webagentes.canaldirecto.com.ar/incidents/view/689423-4" xr:uid="{00000000-0004-0000-0100-00007B000000}"/>
    <hyperlink ref="A243" r:id="rId125" display="https://webagentes.canaldirecto.com.ar/incidents/view/686659-6" xr:uid="{00000000-0004-0000-0100-00007C000000}"/>
    <hyperlink ref="A247" r:id="rId126" display="https://webagentes.canaldirecto.com.ar/incidents/view/690258-8" xr:uid="{00000000-0004-0000-0100-00007D000000}"/>
    <hyperlink ref="A245" r:id="rId127" display="https://webagentes.canaldirecto.com.ar/incidents/view/689372-1" xr:uid="{00000000-0004-0000-0100-00007E000000}"/>
    <hyperlink ref="A246" r:id="rId128" display="https://webagentes.canaldirecto.com.ar/incidents/view/689536-7" xr:uid="{00000000-0004-0000-0100-00007F000000}"/>
    <hyperlink ref="A248" r:id="rId129" display="https://webagentes.canaldirecto.com.ar/incidents/view/690270-0" xr:uid="{00000000-0004-0000-0100-000080000000}"/>
    <hyperlink ref="A251" r:id="rId130" display="https://webagentes.canaldirecto.com.ar/incidents/view/689246-7" xr:uid="{00000000-0004-0000-0100-000081000000}"/>
    <hyperlink ref="A252" r:id="rId131" display="https://webagentes.canaldirecto.com.ar/incidents/view/688515-7" xr:uid="{00000000-0004-0000-0100-000082000000}"/>
    <hyperlink ref="A255" r:id="rId132" display="https://webagentes.canaldirecto.com.ar/incidents/view/690638-0" xr:uid="{00000000-0004-0000-0100-000083000000}"/>
    <hyperlink ref="A256" r:id="rId133" display="https://webagentes.canaldirecto.com.ar/incidents/view/690396-7" xr:uid="{00000000-0004-0000-0100-000084000000}"/>
    <hyperlink ref="A258" r:id="rId134" display="https://webagentes.canaldirecto.com.ar/incidents/view/690842-1" xr:uid="{00000000-0004-0000-0100-000085000000}"/>
    <hyperlink ref="A260" r:id="rId135" display="https://webagentes.canaldirecto.com.ar/incidents/view/691151-3" xr:uid="{00000000-0004-0000-0100-000086000000}"/>
    <hyperlink ref="A265" r:id="rId136" display="https://webagentes.canaldirecto.com.ar/incidents/view/691107-2" xr:uid="{00000000-0004-0000-0100-000087000000}"/>
    <hyperlink ref="A263" r:id="rId137" display="https://webagentes.canaldirecto.com.ar/incidents/view/691079-0" xr:uid="{00000000-0004-0000-0100-000088000000}"/>
    <hyperlink ref="A261" r:id="rId138" display="https://webagentes.canaldirecto.com.ar/incidents/view/690634-4" xr:uid="{00000000-0004-0000-0100-000089000000}"/>
    <hyperlink ref="A267" r:id="rId139" display="https://webagentes.canaldirecto.com.ar/incidents/view/691370-6" xr:uid="{00000000-0004-0000-0100-00008A000000}"/>
    <hyperlink ref="A271" r:id="rId140" display="https://webagentes.canaldirecto.com.ar/incidents/view/692043-2" xr:uid="{00000000-0004-0000-0100-00008B000000}"/>
    <hyperlink ref="A269" r:id="rId141" display="https://webagentes.canaldirecto.com.ar/incidents/view/691978-2" xr:uid="{00000000-0004-0000-0100-00008C000000}"/>
    <hyperlink ref="A273" r:id="rId142" display="https://webagentes.canaldirecto.com.ar/incidents/view/692563-1" xr:uid="{00000000-0004-0000-0100-00008D000000}"/>
    <hyperlink ref="A253" r:id="rId143" display="https://webagentes.canaldirecto.com.ar/incidents/view/690400-9" xr:uid="{00000000-0004-0000-0100-00008E000000}"/>
    <hyperlink ref="A276" r:id="rId144" display="https://webagentes.canaldirecto.com.ar/incidents/view/693578-0" xr:uid="{00000000-0004-0000-0100-00008F000000}"/>
    <hyperlink ref="A280" r:id="rId145" display="https://webagentes.canaldirecto.com.ar/incidents/view/693709-8" xr:uid="{00000000-0004-0000-0100-000090000000}"/>
    <hyperlink ref="A278" r:id="rId146" display="https://webagentes.canaldirecto.com.ar/incidents/view/693194-2" xr:uid="{00000000-0004-0000-0100-000091000000}"/>
    <hyperlink ref="A282" r:id="rId147" display="https://webagentes.canaldirecto.com.ar/incidents/view/694538-9" xr:uid="{00000000-0004-0000-0100-000092000000}"/>
    <hyperlink ref="A284" r:id="rId148" display="https://webagentes.canaldirecto.com.ar/incidents/view/694659-1" xr:uid="{00000000-0004-0000-0100-000093000000}"/>
    <hyperlink ref="A286" r:id="rId149" display="https://webagentes.canaldirecto.com.ar/incidents/view/694896-0" xr:uid="{00000000-0004-0000-0100-000094000000}"/>
    <hyperlink ref="A288" r:id="rId150" display="https://webagentes.canaldirecto.com.ar/incidents/view/695012-3" xr:uid="{00000000-0004-0000-0100-000095000000}"/>
    <hyperlink ref="A291" r:id="rId151" display="https://webagentes.canaldirecto.com.ar/incidents/view/694762-4" xr:uid="{00000000-0004-0000-0100-000096000000}"/>
    <hyperlink ref="A290" r:id="rId152" display="https://webagentes.canaldirecto.com.ar/incidents/view/692362-4" xr:uid="{00000000-0004-0000-0100-000097000000}"/>
    <hyperlink ref="A293" r:id="rId153" display="https://webagentes.canaldirecto.com.ar/incidents/view/695161-8" xr:uid="{00000000-0004-0000-0100-000098000000}"/>
    <hyperlink ref="A295" r:id="rId154" display="https://webagentes.canaldirecto.com.ar/incidents/view/695070-7" xr:uid="{00000000-0004-0000-0100-000099000000}"/>
    <hyperlink ref="A296" r:id="rId155" display="https://webagentes.canaldirecto.com.ar/incidents/view/693810-3" xr:uid="{00000000-0004-0000-0100-00009A000000}"/>
    <hyperlink ref="A298" r:id="rId156" display="https://webagentes.canaldirecto.com.ar/incidents/view/696058-2" xr:uid="{00000000-0004-0000-0100-00009B000000}"/>
    <hyperlink ref="A299" r:id="rId157" display="https://webagentes.canaldirecto.com.ar/incidents/view/695166-3" xr:uid="{00000000-0004-0000-0100-00009C000000}"/>
    <hyperlink ref="A300" r:id="rId158" display="https://webagentes.canaldirecto.com.ar/incidents/view/696328-8" xr:uid="{00000000-0004-0000-0100-00009D000000}"/>
    <hyperlink ref="A301" r:id="rId159" display="https://webagentes.canaldirecto.com.ar/incidents/view/696989-3" xr:uid="{00000000-0004-0000-0100-00009E000000}"/>
    <hyperlink ref="A303" r:id="rId160" display="https://webagentes.canaldirecto.com.ar/incidents/view/698159-4" xr:uid="{00000000-0004-0000-0100-00009F000000}"/>
    <hyperlink ref="A302" r:id="rId161" display="https://webagentes.canaldirecto.com.ar/incidents/view/697607-9" xr:uid="{00000000-0004-0000-0100-0000A0000000}"/>
    <hyperlink ref="A305" r:id="rId162" display="https://webagentes.canaldirecto.com.ar/incidents/view/698167-3" xr:uid="{00000000-0004-0000-0100-0000A1000000}"/>
    <hyperlink ref="A306" r:id="rId163" display="https://webagentes.canaldirecto.com.ar/incidents/view/699535-7" xr:uid="{00000000-0004-0000-0100-0000A2000000}"/>
    <hyperlink ref="A307" r:id="rId164" display="https://webagentes.canaldirecto.com.ar/incidents/view/699454-3" xr:uid="{00000000-0004-0000-0100-0000A3000000}"/>
    <hyperlink ref="A308" r:id="rId165" display="https://webagentes.canaldirecto.com.ar/incidents/view/700002-7" xr:uid="{00000000-0004-0000-0100-0000A4000000}"/>
    <hyperlink ref="A309" r:id="rId166" display="https://webagentes.canaldirecto.com.ar/incidents/view/699148-5" xr:uid="{00000000-0004-0000-0100-0000A5000000}"/>
    <hyperlink ref="A312" r:id="rId167" display="https://webagentes.canaldirecto.com.ar/incidents/view/700518-3" xr:uid="{00000000-0004-0000-0100-0000A6000000}"/>
    <hyperlink ref="A310" r:id="rId168" display="https://webagentes.canaldirecto.com.ar/incidents/view/700441-2" xr:uid="{00000000-0004-0000-0100-0000A7000000}"/>
    <hyperlink ref="A311" r:id="rId169" display="https://webagentes.canaldirecto.com.ar/incidents/view/699253-6" xr:uid="{00000000-0004-0000-0100-0000A8000000}"/>
    <hyperlink ref="A314" r:id="rId170" display="https://webagentes.canaldirecto.com.ar/incidents/view/700641-0" xr:uid="{00000000-0004-0000-0100-0000A9000000}"/>
    <hyperlink ref="A315" r:id="rId171" display="https://webagentes.canaldirecto.com.ar/incidents/view/701752-2" xr:uid="{00000000-0004-0000-0100-0000AA000000}"/>
    <hyperlink ref="A316" r:id="rId172" display="https://webagentes.canaldirecto.com.ar/incidents/view/701871-6" xr:uid="{00000000-0004-0000-0100-0000AB000000}"/>
    <hyperlink ref="A317" r:id="rId173" display="https://webagentes.canaldirecto.com.ar/incidents/view/702537-2" xr:uid="{00000000-0004-0000-0100-0000AC000000}"/>
    <hyperlink ref="A318" r:id="rId174" display="https://webagentes.canaldirecto.com.ar/incidents/view/702784-8" xr:uid="{00000000-0004-0000-0100-0000AD000000}"/>
    <hyperlink ref="A319" r:id="rId175" display="https://webagentes.canaldirecto.com.ar/incidents/view/703340-5" xr:uid="{00000000-0004-0000-0100-0000AE000000}"/>
    <hyperlink ref="A320" r:id="rId176" display="https://webagentes.canaldirecto.com.ar/incidents/view/703158-6" xr:uid="{00000000-0004-0000-0100-0000AF000000}"/>
    <hyperlink ref="A321" r:id="rId177" display="https://webagentes.canaldirecto.com.ar/incidents/view/703349-6" xr:uid="{00000000-0004-0000-0100-0000B0000000}"/>
    <hyperlink ref="A323" r:id="rId178" display="https://webagentes.canaldirecto.com.ar/incidents/view/703699-8" xr:uid="{00000000-0004-0000-0100-0000B1000000}"/>
    <hyperlink ref="A324" r:id="rId179" display="https://webagentes.canaldirecto.com.ar/incidents/view/698644-7" xr:uid="{00000000-0004-0000-0100-0000B2000000}"/>
    <hyperlink ref="A325" r:id="rId180" display="https://webagentes.canaldirecto.com.ar/incidents/view/704167-1" xr:uid="{00000000-0004-0000-0100-0000B3000000}"/>
    <hyperlink ref="A326" r:id="rId181" display="https://webagentes.canaldirecto.com.ar/incidents/view/705230-3" xr:uid="{00000000-0004-0000-0100-0000B4000000}"/>
    <hyperlink ref="A327" r:id="rId182" display="https://webagentes.canaldirecto.com.ar/incidents/view/705279-2" xr:uid="{00000000-0004-0000-0100-0000B5000000}"/>
    <hyperlink ref="A328" r:id="rId183" display="https://webagentes.canaldirecto.com.ar/incidents/view/704426-1" xr:uid="{00000000-0004-0000-0100-0000B6000000}"/>
    <hyperlink ref="A329" r:id="rId184" display="https://webagentes.canaldirecto.com.ar/incidents/view/705902-3" xr:uid="{00000000-0004-0000-0100-0000B7000000}"/>
    <hyperlink ref="A330" r:id="rId185" display="https://webagentes.canaldirecto.com.ar/incidents/view/705776-0" xr:uid="{00000000-0004-0000-0100-0000B8000000}"/>
    <hyperlink ref="A331" r:id="rId186" display="https://webagentes.canaldirecto.com.ar/incidents/view/705747-8" xr:uid="{00000000-0004-0000-0100-0000B9000000}"/>
    <hyperlink ref="A332" r:id="rId187" display="https://webagentes.canaldirecto.com.ar/incidents/view/706710-1" xr:uid="{00000000-0004-0000-0100-0000BA000000}"/>
    <hyperlink ref="A343" r:id="rId188" display="https://webagentes.canaldirecto.com.ar/incidents/view/710617-2" xr:uid="{00000000-0004-0000-0100-0000BB000000}"/>
    <hyperlink ref="A341" r:id="rId189" display="https://webagentes.canaldirecto.com.ar/incidents/view/709908-5" xr:uid="{00000000-0004-0000-0100-0000BC000000}"/>
    <hyperlink ref="A342" r:id="rId190" display="https://webagentes.canaldirecto.com.ar/incidents/view/708680-5" xr:uid="{00000000-0004-0000-0100-0000BD000000}"/>
    <hyperlink ref="A340" r:id="rId191" display="https://webagentes.canaldirecto.com.ar/incidents/view/708529-5" xr:uid="{00000000-0004-0000-0100-0000BE000000}"/>
    <hyperlink ref="A338" r:id="rId192" display="https://webagentes.canaldirecto.com.ar/incidents/view/708283-6" xr:uid="{00000000-0004-0000-0100-0000BF000000}"/>
    <hyperlink ref="A339" r:id="rId193" display="https://webagentes.canaldirecto.com.ar/incidents/view/707355-5" xr:uid="{00000000-0004-0000-0100-0000C0000000}"/>
    <hyperlink ref="A336" r:id="rId194" display="https://webagentes.canaldirecto.com.ar/incidents/view/707066-4" xr:uid="{00000000-0004-0000-0100-0000C1000000}"/>
    <hyperlink ref="A337" r:id="rId195" display="https://webagentes.canaldirecto.com.ar/incidents/view/705881-1" xr:uid="{00000000-0004-0000-0100-0000C2000000}"/>
    <hyperlink ref="A335" r:id="rId196" display="https://webagentes.canaldirecto.com.ar/incidents/view/693396-8" xr:uid="{00000000-0004-0000-0100-0000C3000000}"/>
    <hyperlink ref="A346" r:id="rId197" display="https://webagentes.canaldirecto.com.ar/incidents/view/712062-2" xr:uid="{00000000-0004-0000-0100-0000C4000000}"/>
    <hyperlink ref="A348" r:id="rId198" display="https://webagentes.canaldirecto.com.ar/incidents/view/712401-7" xr:uid="{00000000-0004-0000-0100-0000C5000000}"/>
    <hyperlink ref="A347" r:id="rId199" display="https://webagentes.canaldirecto.com.ar/incidents/view/711947-7" xr:uid="{00000000-0004-0000-0100-0000C6000000}"/>
    <hyperlink ref="A349" r:id="rId200" display="https://webagentes.canaldirecto.com.ar/incidents/view/713267-2" xr:uid="{00000000-0004-0000-0100-0000C7000000}"/>
    <hyperlink ref="A352" r:id="rId201" display="https://webagentes.canaldirecto.com.ar/incidents/view/714266-0" xr:uid="{00000000-0004-0000-0100-0000C8000000}"/>
    <hyperlink ref="A354" r:id="rId202" display="https://webagentes.canaldirecto.com.ar/incidents/view/713530-5" xr:uid="{00000000-0004-0000-0100-0000C9000000}"/>
    <hyperlink ref="A356" r:id="rId203" display="https://webagentes.canaldirecto.com.ar/incidents/view/714259-0" xr:uid="{00000000-0004-0000-0100-0000CA000000}"/>
    <hyperlink ref="A360" r:id="rId204" display="https://webagentes.canaldirecto.com.ar/incidents/view/715942-0" xr:uid="{00000000-0004-0000-0100-0000CB000000}"/>
    <hyperlink ref="A363" r:id="rId205" display="https://webagentes.canaldirecto.com.ar/incidents/view/715650-2" xr:uid="{00000000-0004-0000-0100-0000CC000000}"/>
    <hyperlink ref="A358" r:id="rId206" display="https://webagentes.canaldirecto.com.ar/incidents/view/715383-3" xr:uid="{00000000-0004-0000-0100-0000CD000000}"/>
    <hyperlink ref="A359" r:id="rId207" display="https://webagentes.canaldirecto.com.ar/incidents/view/714547-2" xr:uid="{00000000-0004-0000-0100-0000CE000000}"/>
    <hyperlink ref="A367" r:id="rId208" display="https://webagentes.canaldirecto.com.ar/incidents/view/716348-7" xr:uid="{00000000-0004-0000-0100-0000CF000000}"/>
    <hyperlink ref="A365" r:id="rId209" display="https://webagentes.canaldirecto.com.ar/incidents/view/716185-0" xr:uid="{00000000-0004-0000-0100-0000D0000000}"/>
    <hyperlink ref="A370" r:id="rId210" display="https://webagentes.canaldirecto.com.ar/incidents/view/716131-9" xr:uid="{00000000-0004-0000-0100-0000D1000000}"/>
    <hyperlink ref="A361" r:id="rId211" display="https://webagentes.canaldirecto.com.ar/incidents/view/716124-9" xr:uid="{00000000-0004-0000-0100-0000D2000000}"/>
    <hyperlink ref="A369" r:id="rId212" display="https://webagentes.canaldirecto.com.ar/incidents/view/717049-6" xr:uid="{00000000-0004-0000-0100-0000D3000000}"/>
    <hyperlink ref="A373" r:id="rId213" display="https://webagentes.canaldirecto.com.ar/incidents/view/717272-2" xr:uid="{00000000-0004-0000-0100-0000D4000000}"/>
    <hyperlink ref="A374" r:id="rId214" display="https://webagentes.canaldirecto.com.ar/incidents/view/717523-3" xr:uid="{00000000-0004-0000-0100-0000D5000000}"/>
    <hyperlink ref="A375" r:id="rId215" display="https://webagentes.canaldirecto.com.ar/incidents/view/720392-5" xr:uid="{00000000-0004-0000-0100-0000D6000000}"/>
    <hyperlink ref="A376" r:id="rId216" display="https://webagentes.canaldirecto.com.ar/incidents/view/720026-5" xr:uid="{00000000-0004-0000-0100-0000D7000000}"/>
    <hyperlink ref="A378" r:id="rId217" display="https://webagentes.canaldirecto.com.ar/incidents/view/720820-3" xr:uid="{00000000-0004-0000-0100-0000D8000000}"/>
    <hyperlink ref="A379" r:id="rId218" display="https://webagentes.canaldirecto.com.ar/incidents/view/720621-4" xr:uid="{00000000-0004-0000-0100-0000D9000000}"/>
    <hyperlink ref="A380" r:id="rId219" display="https://webagentes.canaldirecto.com.ar/incidents/view/721906-9" xr:uid="{00000000-0004-0000-0100-0000DA000000}"/>
    <hyperlink ref="A381" r:id="rId220" display="https://webagentes.canaldirecto.com.ar/incidents/view/721823-7" xr:uid="{00000000-0004-0000-0100-0000DB000000}"/>
    <hyperlink ref="A382" r:id="rId221" display="https://webagentes.canaldirecto.com.ar/incidents/view/722084-3" xr:uid="{00000000-0004-0000-0100-0000DC000000}"/>
    <hyperlink ref="A383" r:id="rId222" display="https://webagentes.canaldirecto.com.ar/incidents/view/721988-3" xr:uid="{00000000-0004-0000-0100-0000DD000000}"/>
    <hyperlink ref="A392" r:id="rId223" display="https://webagentes.canaldirecto.com.ar/incidents/view/726060-1" xr:uid="{00000000-0004-0000-0100-0000DE000000}"/>
    <hyperlink ref="A390" r:id="rId224" display="https://webagentes.canaldirecto.com.ar/incidents/view/725953-5" xr:uid="{00000000-0004-0000-0100-0000DF000000}"/>
    <hyperlink ref="A391" r:id="rId225" display="https://webagentes.canaldirecto.com.ar/incidents/view/725775-9" xr:uid="{00000000-0004-0000-0100-0000E0000000}"/>
    <hyperlink ref="A389" r:id="rId226" display="https://webagentes.canaldirecto.com.ar/incidents/view/725132-0" xr:uid="{00000000-0004-0000-0100-0000E1000000}"/>
    <hyperlink ref="A388" r:id="rId227" display="https://webagentes.canaldirecto.com.ar/incidents/view/724725-7" xr:uid="{00000000-0004-0000-0100-0000E2000000}"/>
    <hyperlink ref="A386" r:id="rId228" display="https://webagentes.canaldirecto.com.ar/incidents/view/723364-3" xr:uid="{00000000-0004-0000-0100-0000E3000000}"/>
    <hyperlink ref="A387" r:id="rId229" display="https://webagentes.canaldirecto.com.ar/incidents/view/723014-1" xr:uid="{00000000-0004-0000-0100-0000E4000000}"/>
    <hyperlink ref="A385" r:id="rId230" display="https://webagentes.canaldirecto.com.ar/incidents/view/720138-9" xr:uid="{00000000-0004-0000-0100-0000E5000000}"/>
    <hyperlink ref="A395" r:id="rId231" display="https://webagentes.canaldirecto.com.ar/incidents/view/727489-9" xr:uid="{00000000-0004-0000-0100-0000E6000000}"/>
    <hyperlink ref="A394" r:id="rId232" display="https://webagentes.canaldirecto.com.ar/incidents/view/726620-7" xr:uid="{00000000-0004-0000-0100-0000E7000000}"/>
    <hyperlink ref="A396" r:id="rId233" display="https://webagentes.canaldirecto.com.ar/incidents/view/727571-9" xr:uid="{00000000-0004-0000-0100-0000E8000000}"/>
    <hyperlink ref="A397" r:id="rId234" display="https://webagentes.canaldirecto.com.ar/incidents/view/727679-0" xr:uid="{00000000-0004-0000-0100-0000E9000000}"/>
    <hyperlink ref="A399" r:id="rId235" display="https://webagentes.canaldirecto.com.ar/incidents/view/728060-5" xr:uid="{00000000-0004-0000-0100-0000EA000000}"/>
    <hyperlink ref="A400" r:id="rId236" display="https://webagentes.canaldirecto.com.ar/incidents/view/728185-3" xr:uid="{00000000-0004-0000-0100-0000EB000000}"/>
    <hyperlink ref="A401" r:id="rId237" display="https://webagentes.canaldirecto.com.ar/incidents/view/726881-6" xr:uid="{00000000-0004-0000-0100-0000EC000000}"/>
    <hyperlink ref="A402" r:id="rId238" display="https://webagentes.canaldirecto.com.ar/incidents/view/729988-9" xr:uid="{00000000-0004-0000-0100-0000ED000000}"/>
    <hyperlink ref="A403" r:id="rId239" display="https://webagentes.canaldirecto.com.ar/incidents/view/729736-8" xr:uid="{00000000-0004-0000-0100-0000EE000000}"/>
    <hyperlink ref="A404" r:id="rId240" display="https://webagentes.canaldirecto.com.ar/incidents/view/730363-2" xr:uid="{00000000-0004-0000-0100-0000EF000000}"/>
    <hyperlink ref="A407" r:id="rId241" display="https://webagentes.canaldirecto.com.ar/incidents/view/731605-2" xr:uid="{00000000-0004-0000-0100-0000F0000000}"/>
    <hyperlink ref="A408" r:id="rId242" display="https://webagentes.canaldirecto.com.ar/incidents/view/730335-9" xr:uid="{00000000-0004-0000-0100-0000F1000000}"/>
    <hyperlink ref="A409" r:id="rId243" display="https://webagentes.canaldirecto.com.ar/incidents/view/732583-8" xr:uid="{00000000-0004-0000-0100-0000F2000000}"/>
    <hyperlink ref="A411" r:id="rId244" display="https://webagentes.canaldirecto.com.ar/incidents/view/732841-9" xr:uid="{00000000-0004-0000-0100-0000F3000000}"/>
    <hyperlink ref="A410" r:id="rId245" display="https://webagentes.canaldirecto.com.ar/incidents/view/732646-6" xr:uid="{00000000-0004-0000-0100-0000F4000000}"/>
    <hyperlink ref="A413" r:id="rId246" display="https://webagentes.canaldirecto.com.ar/incidents/view/733255-5" xr:uid="{00000000-0004-0000-0100-0000F5000000}"/>
    <hyperlink ref="A415" r:id="rId247" display="https://webagentes.canaldirecto.com.ar/incidents/view/734320-5" xr:uid="{00000000-0004-0000-0100-0000F6000000}"/>
    <hyperlink ref="A416" r:id="rId248" display="https://webagentes.canaldirecto.com.ar/incidents/view/734268-6" xr:uid="{00000000-0004-0000-0100-0000F7000000}"/>
    <hyperlink ref="A418" r:id="rId249" display="https://webagentes.canaldirecto.com.ar/incidents/view/736067-3" xr:uid="{00000000-0004-0000-0100-0000F8000000}"/>
    <hyperlink ref="A414" r:id="rId250" display="https://webagentes.canaldirecto.com.ar/incidents/view/734020-8" xr:uid="{00000000-0004-0000-0100-0000F9000000}"/>
    <hyperlink ref="A417" r:id="rId251" display="https://webagentes.canaldirecto.com.ar/incidents/view/735612-0" xr:uid="{00000000-0004-0000-0100-0000FA000000}"/>
    <hyperlink ref="A421" r:id="rId252" display="https://webagentes.canaldirecto.com.ar/incidents/view/736736-6" xr:uid="{00000000-0004-0000-0100-0000FB000000}"/>
    <hyperlink ref="A422" r:id="rId253" display="https://webagentes.canaldirecto.com.ar/incidents/view/736071-6" xr:uid="{00000000-0004-0000-0100-0000FC000000}"/>
    <hyperlink ref="A424" r:id="rId254" display="https://webagentes.canaldirecto.com.ar/incidents/view/736990-2" xr:uid="{00000000-0004-0000-0100-0000FD000000}"/>
    <hyperlink ref="A423" r:id="rId255" display="https://webagentes.canaldirecto.com.ar/incidents/view/736753-3" xr:uid="{00000000-0004-0000-0100-0000FE000000}"/>
    <hyperlink ref="A427" r:id="rId256" display="https://webagentes.canaldirecto.com.ar/incidents/view/737479-1" xr:uid="{00000000-0004-0000-0100-0000FF000000}"/>
    <hyperlink ref="A429" r:id="rId257" display="https://webagentes.canaldirecto.com.ar/incidents/view/737330-3" xr:uid="{00000000-0004-0000-0100-000000010000}"/>
    <hyperlink ref="A428" r:id="rId258" display="https://webagentes.canaldirecto.com.ar/incidents/view/737269-6" xr:uid="{00000000-0004-0000-0100-000001010000}"/>
    <hyperlink ref="A426" r:id="rId259" display="https://webagentes.canaldirecto.com.ar/incidents/view/737055-5" xr:uid="{00000000-0004-0000-0100-000002010000}"/>
    <hyperlink ref="A430" r:id="rId260" display="https://webagentes.canaldirecto.com.ar/incidents/view/736941-6" xr:uid="{00000000-0004-0000-0100-000003010000}"/>
    <hyperlink ref="A431" r:id="rId261" display="https://webagentes.canaldirecto.com.ar/incidents/view/737869-0" xr:uid="{00000000-0004-0000-0100-000004010000}"/>
    <hyperlink ref="A432" r:id="rId262" display="https://webagentes.canaldirecto.com.ar/incidents/view/738502-5" xr:uid="{00000000-0004-0000-0100-000005010000}"/>
    <hyperlink ref="A425" r:id="rId263" display="https://webagentes.canaldirecto.com.ar/incidents/view/737512-5" xr:uid="{00000000-0004-0000-0100-000006010000}"/>
    <hyperlink ref="A435" r:id="rId264" display="https://webagentes.canaldirecto.com.ar/incidents/view/739122-0" xr:uid="{00000000-0004-0000-0100-000007010000}"/>
    <hyperlink ref="A436" r:id="rId265" display="https://webagentes.canaldirecto.com.ar/incidents/view/739018-8" xr:uid="{00000000-0004-0000-0100-000008010000}"/>
    <hyperlink ref="A437" r:id="rId266" display="https://webagentes.canaldirecto.com.ar/incidents/view/740678-0" xr:uid="{00000000-0004-0000-0100-000009010000}"/>
    <hyperlink ref="A439" r:id="rId267" display="https://webagentes.canaldirecto.com.ar/incidents/view/740428-7" xr:uid="{00000000-0004-0000-0100-00000A010000}"/>
    <hyperlink ref="A438" r:id="rId268" display="https://webagentes.canaldirecto.com.ar/incidents/view/740206-7" xr:uid="{00000000-0004-0000-0100-00000B010000}"/>
    <hyperlink ref="A440" r:id="rId269" display="https://webagentes.canaldirecto.com.ar/incidents/view/740770-7" xr:uid="{00000000-0004-0000-0100-00000C010000}"/>
    <hyperlink ref="A450" r:id="rId270" display="https://webagentes.canaldirecto.com.ar/incidents/view/744127-9" xr:uid="{00000000-0004-0000-0100-00000D010000}"/>
    <hyperlink ref="A446" r:id="rId271" display="https://webagentes.canaldirecto.com.ar/incidents/view/742931-0" xr:uid="{00000000-0004-0000-0100-00000E010000}"/>
    <hyperlink ref="A448" r:id="rId272" display="https://webagentes.canaldirecto.com.ar/incidents/view/742722-4" xr:uid="{00000000-0004-0000-0100-00000F010000}"/>
    <hyperlink ref="A447" r:id="rId273" display="https://webagentes.canaldirecto.com.ar/incidents/view/742366-2" xr:uid="{00000000-0004-0000-0100-000010010000}"/>
    <hyperlink ref="A443" r:id="rId274" display="https://webagentes.canaldirecto.com.ar/incidents/view/741893-4" xr:uid="{00000000-0004-0000-0100-000011010000}"/>
    <hyperlink ref="A449" r:id="rId275" display="https://webagentes.canaldirecto.com.ar/incidents/view/741391-1" xr:uid="{00000000-0004-0000-0100-000012010000}"/>
    <hyperlink ref="A444" r:id="rId276" display="https://webagentes.canaldirecto.com.ar/incidents/view/741262-0" xr:uid="{00000000-0004-0000-0100-000013010000}"/>
    <hyperlink ref="A445" r:id="rId277" display="https://webagentes.canaldirecto.com.ar/incidents/view/739447-6" xr:uid="{00000000-0004-0000-0100-000014010000}"/>
    <hyperlink ref="A458" r:id="rId278" display="https://webagentes.canaldirecto.com.ar/incidents/view/746317-4" xr:uid="{00000000-0004-0000-0100-000015010000}"/>
    <hyperlink ref="A455" r:id="rId279" display="https://webagentes.canaldirecto.com.ar/incidents/view/745598-0" xr:uid="{00000000-0004-0000-0100-000016010000}"/>
    <hyperlink ref="A456" r:id="rId280" display="https://webagentes.canaldirecto.com.ar/incidents/view/745119-7" xr:uid="{00000000-0004-0000-0100-000017010000}"/>
    <hyperlink ref="A454" r:id="rId281" display="https://webagentes.canaldirecto.com.ar/incidents/view/744914-7" xr:uid="{00000000-0004-0000-0100-000018010000}"/>
    <hyperlink ref="A452" r:id="rId282" display="https://webagentes.canaldirecto.com.ar/incidents/view/744591-0" xr:uid="{00000000-0004-0000-0100-000019010000}"/>
    <hyperlink ref="A457" r:id="rId283" display="https://webagentes.canaldirecto.com.ar/incidents/view/739547-5" xr:uid="{00000000-0004-0000-0100-00001A010000}"/>
    <hyperlink ref="A453" r:id="rId284" display="https://webagentes.canaldirecto.com.ar/incidents/view/744440-7" xr:uid="{00000000-0004-0000-0100-00001B010000}"/>
    <hyperlink ref="A459" r:id="rId285" display="https://webagentes.canaldirecto.com.ar/incidents/view/745924-1" xr:uid="{00000000-0004-0000-0100-00001C010000}"/>
    <hyperlink ref="A460" r:id="rId286" display="https://webagentes.canaldirecto.com.ar/incidents/view/745700-3" xr:uid="{00000000-0004-0000-0100-00001D010000}"/>
    <hyperlink ref="A463" r:id="rId287" display="https://webagentes.canaldirecto.com.ar/incidents/view/747032-3" xr:uid="{00000000-0004-0000-0100-00001E010000}"/>
    <hyperlink ref="A462" r:id="rId288" display="https://webagentes.canaldirecto.com.ar/incidents/view/746279-5" xr:uid="{00000000-0004-0000-0100-00001F010000}"/>
    <hyperlink ref="A465" r:id="rId289" display="https://webagentes.canaldirecto.com.ar/incidents/view/747062-4" xr:uid="{00000000-0004-0000-0100-000020010000}"/>
    <hyperlink ref="A468" r:id="rId290" display="https://webagentes.canaldirecto.com.ar/incidents/view/747734-4" xr:uid="{00000000-0004-0000-0100-000021010000}"/>
    <hyperlink ref="A467" r:id="rId291" display="https://webagentes.canaldirecto.com.ar/incidents/view/747732-6" xr:uid="{00000000-0004-0000-0100-000022010000}"/>
    <hyperlink ref="A470" r:id="rId292" display="https://webagentes.canaldirecto.com.ar/incidents/view/747986-5" xr:uid="{00000000-0004-0000-0100-000023010000}"/>
    <hyperlink ref="A472" r:id="rId293" display="https://webagentes.canaldirecto.com.ar/incidents/view/747816-7" xr:uid="{00000000-0004-0000-0100-000024010000}"/>
    <hyperlink ref="A473" r:id="rId294" display="https://webagentes.canaldirecto.com.ar/incidents/view/745903-8" xr:uid="{00000000-0004-0000-0100-000025010000}"/>
    <hyperlink ref="A477" r:id="rId295" display="https://webagentes.canaldirecto.com.ar/incidents/view/748547-7" xr:uid="{00000000-0004-0000-0100-000026010000}"/>
    <hyperlink ref="A481" r:id="rId296" display="https://webagentes.canaldirecto.com.ar/incidents/view/748701-3" xr:uid="{00000000-0004-0000-0100-000027010000}"/>
    <hyperlink ref="A484" r:id="rId297" display="https://webagentes.canaldirecto.com.ar/incidents/view/749356-4" xr:uid="{00000000-0004-0000-0100-000028010000}"/>
    <hyperlink ref="A483" r:id="rId298" display="https://webagentes.canaldirecto.com.ar/incidents/view/749128-3" xr:uid="{00000000-0004-0000-0100-000029010000}"/>
    <hyperlink ref="A475" r:id="rId299" display="https://webagentes.canaldirecto.com.ar/incidents/view/748430-8" xr:uid="{00000000-0004-0000-0100-00002A010000}"/>
    <hyperlink ref="A479" r:id="rId300" display="https://webagentes.canaldirecto.com.ar/incidents/view/749317-5" xr:uid="{00000000-0004-0000-0100-00002B010000}"/>
    <hyperlink ref="A487" r:id="rId301" display="https://webagentes.canaldirecto.com.ar/incidents/view/749179-7" xr:uid="{00000000-0004-0000-0100-00002C010000}"/>
    <hyperlink ref="A488" r:id="rId302" display="https://webagentes.canaldirecto.com.ar/incidents/view/749121-0" xr:uid="{00000000-0004-0000-0100-00002D010000}"/>
    <hyperlink ref="A489" r:id="rId303" display="https://webagentes.canaldirecto.com.ar/incidents/view/749482-8" xr:uid="{00000000-0004-0000-0100-00002E010000}"/>
    <hyperlink ref="A490" r:id="rId304" display="https://webagentes.canaldirecto.com.ar/incidents/view/749279-6" xr:uid="{00000000-0004-0000-0100-00002F010000}"/>
    <hyperlink ref="A493" r:id="rId305" display="https://webagentes.canaldirecto.com.ar/incidents/view/750992-6" xr:uid="{00000000-0004-0000-0100-000030010000}"/>
    <hyperlink ref="A491" r:id="rId306" display="https://webagentes.canaldirecto.com.ar/incidents/view/750016-5" xr:uid="{00000000-0004-0000-0100-000031010000}"/>
    <hyperlink ref="A492" r:id="rId307" display="https://webagentes.canaldirecto.com.ar/incidents/view/749663-1" xr:uid="{00000000-0004-0000-0100-000032010000}"/>
    <hyperlink ref="A494" r:id="rId308" display="https://webagentes.canaldirecto.com.ar/incidents/view/750687-7" xr:uid="{00000000-0004-0000-0100-000033010000}"/>
    <hyperlink ref="A496" r:id="rId309" display="https://webagentes.canaldirecto.com.ar/incidents/view/751015-3" xr:uid="{00000000-0004-0000-0100-000034010000}"/>
    <hyperlink ref="A495" r:id="rId310" display="https://webagentes.canaldirecto.com.ar/incidents/view/749081-3" xr:uid="{00000000-0004-0000-0100-000035010000}"/>
    <hyperlink ref="A501" r:id="rId311" display="https://webagentes.canaldirecto.com.ar/incidents/view/753128-0" xr:uid="{00000000-0004-0000-0100-000036010000}"/>
    <hyperlink ref="A500" r:id="rId312" display="https://webagentes.canaldirecto.com.ar/incidents/view/753047-6" xr:uid="{00000000-0004-0000-0100-000037010000}"/>
    <hyperlink ref="A499" r:id="rId313" display="https://webagentes.canaldirecto.com.ar/incidents/view/752850-5" xr:uid="{00000000-0004-0000-0100-000038010000}"/>
    <hyperlink ref="A498" r:id="rId314" display="https://webagentes.canaldirecto.com.ar/incidents/view/751023-2" xr:uid="{00000000-0004-0000-0100-000039010000}"/>
    <hyperlink ref="A504" r:id="rId315" display="https://webagentes.canaldirecto.com.ar/incidents/view/753977-8" xr:uid="{00000000-0004-0000-0100-00003A010000}"/>
    <hyperlink ref="A505" r:id="rId316" display="https://webagentes.canaldirecto.com.ar/incidents/view/754898-9" xr:uid="{00000000-0004-0000-0100-00003B010000}"/>
    <hyperlink ref="A506" r:id="rId317" display="https://webagentes.canaldirecto.com.ar/incidents/view/755627-0" xr:uid="{00000000-0004-0000-0100-00003C010000}"/>
    <hyperlink ref="A507" r:id="rId318" display="https://webagentes.canaldirecto.com.ar/incidents/view/756936-2" xr:uid="{00000000-0004-0000-0100-00003D010000}"/>
    <hyperlink ref="A510" r:id="rId319" display="https://webagentes.canaldirecto.com.ar/incidents/view/756915-9" xr:uid="{00000000-0004-0000-0100-00003E010000}"/>
    <hyperlink ref="A511" r:id="rId320" display="https://webagentes.canaldirecto.com.ar/incidents/view/757687-6" xr:uid="{00000000-0004-0000-0100-00003F010000}"/>
    <hyperlink ref="A516" r:id="rId321" display="https://webagentes.canaldirecto.com.ar/incidents/view/760297-7" xr:uid="{00000000-0004-0000-0100-000040010000}"/>
    <hyperlink ref="A517" r:id="rId322" display="https://webagentes.canaldirecto.com.ar/incidents/view/760205-6" xr:uid="{00000000-0004-0000-0100-000041010000}"/>
    <hyperlink ref="A518" r:id="rId323" display="https://webagentes.canaldirecto.com.ar/incidents/view/760837-9" xr:uid="{00000000-0004-0000-0100-000042010000}"/>
    <hyperlink ref="A519" r:id="rId324" display="https://webagentes.canaldirecto.com.ar/incidents/view/761295-6" xr:uid="{00000000-0004-0000-0100-000043010000}"/>
    <hyperlink ref="A520" r:id="rId325" display="https://webagentes.canaldirecto.com.ar/incidents/view/760942-0" xr:uid="{00000000-0004-0000-0100-000044010000}"/>
    <hyperlink ref="A515" r:id="rId326" display="https://webagentes.canaldirecto.com.ar/incidents/view/760038-6" xr:uid="{00000000-0004-0000-0100-000045010000}"/>
    <hyperlink ref="A524" r:id="rId327" display="https://webagentes.canaldirecto.com.ar/incidents/view/761008-2" xr:uid="{00000000-0004-0000-0100-000046010000}"/>
    <hyperlink ref="A525" r:id="rId328" display="https://webagentes.canaldirecto.com.ar/incidents/view/761816-3" xr:uid="{00000000-0004-0000-0100-000047010000}"/>
    <hyperlink ref="A526" r:id="rId329" display="https://webagentes.canaldirecto.com.ar/incidents/view/763003-1" xr:uid="{00000000-0004-0000-0100-000048010000}"/>
    <hyperlink ref="A527" r:id="rId330" display="https://webagentes.canaldirecto.com.ar/incidents/view/763516-0" xr:uid="{00000000-0004-0000-0100-000049010000}"/>
    <hyperlink ref="A528" r:id="rId331" display="https://webagentes.canaldirecto.com.ar/incidents/view/763187-2" xr:uid="{00000000-0004-0000-0100-00004A010000}"/>
    <hyperlink ref="A535" r:id="rId332" display="https://webagentes.canaldirecto.com.ar/incidents/view/766660-1" xr:uid="{00000000-0004-0000-0100-00004B010000}"/>
    <hyperlink ref="A534" r:id="rId333" display="https://webagentes.canaldirecto.com.ar/incidents/view/765996-6" xr:uid="{00000000-0004-0000-0100-00004C010000}"/>
    <hyperlink ref="A533" r:id="rId334" display="https://webagentes.canaldirecto.com.ar/incidents/view/765922-1" xr:uid="{00000000-0004-0000-0100-00004D010000}"/>
    <hyperlink ref="A532" r:id="rId335" display="https://webagentes.canaldirecto.com.ar/incidents/view/764707-7" xr:uid="{00000000-0004-0000-0100-00004E010000}"/>
    <hyperlink ref="A530" r:id="rId336" display="https://webagentes.canaldirecto.com.ar/incidents/view/763041-1" xr:uid="{00000000-0004-0000-0100-00004F010000}"/>
    <hyperlink ref="A531" r:id="rId337" display="https://webagentes.canaldirecto.com.ar/incidents/view/763038-7" xr:uid="{00000000-0004-0000-0100-000050010000}"/>
    <hyperlink ref="A539" r:id="rId338" display="https://webagentes.canaldirecto.com.ar/incidents/view/766771-6" xr:uid="{00000000-0004-0000-0100-000051010000}"/>
    <hyperlink ref="A538" r:id="rId339" display="https://webagentes.canaldirecto.com.ar/incidents/view/766305-7" xr:uid="{00000000-0004-0000-0100-000052010000}"/>
    <hyperlink ref="A541" r:id="rId340" display="https://webagentes.canaldirecto.com.ar/incidents/view/767255-0" xr:uid="{00000000-0004-0000-0100-000053010000}"/>
    <hyperlink ref="A540" r:id="rId341" display="https://webagentes.canaldirecto.com.ar/incidents/view/766817-7" xr:uid="{00000000-0004-0000-0100-000054010000}"/>
    <hyperlink ref="A542" r:id="rId342" display="https://webagentes.canaldirecto.com.ar/incidents/view/767056-1" xr:uid="{00000000-0004-0000-0100-000055010000}"/>
    <hyperlink ref="A543" r:id="rId343" display="https://webagentes.canaldirecto.com.ar/incidents/view/767457-6" xr:uid="{00000000-0004-0000-0100-000056010000}"/>
    <hyperlink ref="A544" r:id="rId344" display="https://webagentes.canaldirecto.com.ar/incidents/view/767299-4" xr:uid="{00000000-0004-0000-0100-000057010000}"/>
    <hyperlink ref="A545" r:id="rId345" display="https://webagentes.canaldirecto.com.ar/incidents/view/767868-8" xr:uid="{00000000-0004-0000-0100-000058010000}"/>
    <hyperlink ref="A546" r:id="rId346" display="https://webagentes.canaldirecto.com.ar/incidents/view/767779-5" xr:uid="{00000000-0004-0000-0100-000059010000}"/>
    <hyperlink ref="A547" r:id="rId347" display="https://webagentes.canaldirecto.com.ar/incidents/view/768124-8" xr:uid="{00000000-0004-0000-0100-00005A010000}"/>
    <hyperlink ref="A548" r:id="rId348" display="https://webagentes.canaldirecto.com.ar/incidents/view/767705-0" xr:uid="{00000000-0004-0000-0100-00005B010000}"/>
    <hyperlink ref="A556" r:id="rId349" display="https://webagentes.canaldirecto.com.ar/incidents/view/770533-5" xr:uid="{00000000-0004-0000-0100-00005C010000}"/>
    <hyperlink ref="A558" r:id="rId350" display="https://webagentes.canaldirecto.com.ar/incidents/view/770428-4" xr:uid="{00000000-0004-0000-0100-00005D010000}"/>
    <hyperlink ref="A555" r:id="rId351" display="https://webagentes.canaldirecto.com.ar/incidents/view/770156-0" xr:uid="{00000000-0004-0000-0100-00005E010000}"/>
    <hyperlink ref="A554" r:id="rId352" display="https://webagentes.canaldirecto.com.ar/incidents/view/769643-5" xr:uid="{00000000-0004-0000-0100-00005F010000}"/>
    <hyperlink ref="A557" r:id="rId353" display="https://webagentes.canaldirecto.com.ar/incidents/view/769636-5" xr:uid="{00000000-0004-0000-0100-000060010000}"/>
    <hyperlink ref="A552" r:id="rId354" display="https://webagentes.canaldirecto.com.ar/incidents/view/769500-1" xr:uid="{00000000-0004-0000-0100-000061010000}"/>
    <hyperlink ref="A553" r:id="rId355" display="https://webagentes.canaldirecto.com.ar/incidents/view/769383-6" xr:uid="{00000000-0004-0000-0100-000062010000}"/>
    <hyperlink ref="A551" r:id="rId356" display="https://webagentes.canaldirecto.com.ar/incidents/view/769223-5" xr:uid="{00000000-0004-0000-0100-000063010000}"/>
    <hyperlink ref="A550" r:id="rId357" display="https://webagentes.canaldirecto.com.ar/incidents/view/767187-0" xr:uid="{00000000-0004-0000-0100-000064010000}"/>
    <hyperlink ref="A568" r:id="rId358" display="https://webagentes.canaldirecto.com.ar/incidents/view/773589-5" xr:uid="{00000000-0004-0000-0100-000065010000}"/>
    <hyperlink ref="A570" r:id="rId359" display="https://webagentes.canaldirecto.com.ar/incidents/view/773469-2" xr:uid="{00000000-0004-0000-0100-000066010000}"/>
    <hyperlink ref="A569" r:id="rId360" display="https://webagentes.canaldirecto.com.ar/incidents/view/773172-9" xr:uid="{00000000-0004-0000-0100-000067010000}"/>
    <hyperlink ref="A566" r:id="rId361" display="https://webagentes.canaldirecto.com.ar/incidents/view/772793-9" xr:uid="{00000000-0004-0000-0100-000068010000}"/>
    <hyperlink ref="A567" r:id="rId362" display="https://webagentes.canaldirecto.com.ar/incidents/view/772764-7" xr:uid="{00000000-0004-0000-0100-000069010000}"/>
    <hyperlink ref="A564" r:id="rId363" display="https://webagentes.canaldirecto.com.ar/incidents/view/772306-7" xr:uid="{00000000-0004-0000-0100-00006A010000}"/>
    <hyperlink ref="A565" r:id="rId364" display="https://webagentes.canaldirecto.com.ar/incidents/view/772211-0" xr:uid="{00000000-0004-0000-0100-00006B010000}"/>
    <hyperlink ref="A563" r:id="rId365" display="https://webagentes.canaldirecto.com.ar/incidents/view/772057-4" xr:uid="{00000000-0004-0000-0100-00006C010000}"/>
    <hyperlink ref="A561" r:id="rId366" display="https://webagentes.canaldirecto.com.ar/incidents/view/771987-9" xr:uid="{00000000-0004-0000-0100-00006D010000}"/>
    <hyperlink ref="A562" r:id="rId367" display="https://webagentes.canaldirecto.com.ar/incidents/view/771703-9" xr:uid="{00000000-0004-0000-0100-00006E010000}"/>
    <hyperlink ref="A560" r:id="rId368" display="https://webagentes.canaldirecto.com.ar/incidents/view/771348-6" xr:uid="{00000000-0004-0000-0100-00006F010000}"/>
    <hyperlink ref="A577" r:id="rId369" display="https://webagentes.canaldirecto.com.ar/incidents/view/776912-0" xr:uid="{00000000-0004-0000-0100-000070010000}"/>
    <hyperlink ref="A576" r:id="rId370" display="https://webagentes.canaldirecto.com.ar/incidents/view/776655-8" xr:uid="{00000000-0004-0000-0100-000071010000}"/>
    <hyperlink ref="A574" r:id="rId371" display="https://webagentes.canaldirecto.com.ar/incidents/view/776032-3" xr:uid="{00000000-0004-0000-0100-000072010000}"/>
    <hyperlink ref="A573" r:id="rId372" display="https://webagentes.canaldirecto.com.ar/incidents/view/776024-4" xr:uid="{00000000-0004-0000-0100-000073010000}"/>
    <hyperlink ref="A575" r:id="rId373" display="https://webagentes.canaldirecto.com.ar/incidents/view/776012-9" xr:uid="{00000000-0004-0000-0100-000074010000}"/>
    <hyperlink ref="A572" r:id="rId374" display="https://webagentes.canaldirecto.com.ar/incidents/view/775293-5" xr:uid="{00000000-0004-0000-0100-000075010000}"/>
    <hyperlink ref="A589" r:id="rId375" display="https://webagentes.canaldirecto.com.ar/incidents/view/780423-8" xr:uid="{00000000-0004-0000-0100-000076010000}"/>
    <hyperlink ref="A587" r:id="rId376" display="https://webagentes.canaldirecto.com.ar/incidents/view/779817-7" xr:uid="{00000000-0004-0000-0100-000077010000}"/>
    <hyperlink ref="A585" r:id="rId377" display="https://webagentes.canaldirecto.com.ar/incidents/view/779209-4" xr:uid="{00000000-0004-0000-0100-000078010000}"/>
    <hyperlink ref="A584" r:id="rId378" display="https://webagentes.canaldirecto.com.ar/incidents/view/778786-1" xr:uid="{00000000-0004-0000-0100-000079010000}"/>
    <hyperlink ref="A586" r:id="rId379" display="https://webagentes.canaldirecto.com.ar/incidents/view/778110-4" xr:uid="{00000000-0004-0000-0100-00007A010000}"/>
    <hyperlink ref="A581" r:id="rId380" display="https://webagentes.canaldirecto.com.ar/incidents/view/777805-8" xr:uid="{00000000-0004-0000-0100-00007B010000}"/>
    <hyperlink ref="A580" r:id="rId381" display="https://webagentes.canaldirecto.com.ar/incidents/view/777739-6" xr:uid="{00000000-0004-0000-0100-00007C010000}"/>
    <hyperlink ref="A582" r:id="rId382" display="https://webagentes.canaldirecto.com.ar/incidents/view/777405-2" xr:uid="{00000000-0004-0000-0100-00007D010000}"/>
    <hyperlink ref="A583" r:id="rId383" display="https://webagentes.canaldirecto.com.ar/incidents/view/777324-8" xr:uid="{00000000-0004-0000-0100-00007E010000}"/>
    <hyperlink ref="A588" r:id="rId384" display="https://webagentes.canaldirecto.com.ar/incidents/view/776894-5" xr:uid="{00000000-0004-0000-0100-00007F010000}"/>
    <hyperlink ref="A579" r:id="rId385" display="https://webagentes.canaldirecto.com.ar/incidents/view/774919-9" xr:uid="{00000000-0004-0000-0100-000080010000}"/>
    <hyperlink ref="A599" r:id="rId386" display="https://webagentes.canaldirecto.com.ar/incidents/view/782752-1" xr:uid="{00000000-0004-0000-0100-000081010000}"/>
    <hyperlink ref="A598" r:id="rId387" display="https://webagentes.canaldirecto.com.ar/incidents/view/781728-7" xr:uid="{00000000-0004-0000-0100-000082010000}"/>
    <hyperlink ref="A597" r:id="rId388" display="https://webagentes.canaldirecto.com.ar/incidents/view/781662-2" xr:uid="{00000000-0004-0000-0100-000083010000}"/>
    <hyperlink ref="A596" r:id="rId389" display="https://webagentes.canaldirecto.com.ar/incidents/view/781197-3" xr:uid="{00000000-0004-0000-0100-000084010000}"/>
    <hyperlink ref="A594" r:id="rId390" display="https://webagentes.canaldirecto.com.ar/incidents/view/781121-0" xr:uid="{00000000-0004-0000-0100-000085010000}"/>
    <hyperlink ref="A595" r:id="rId391" display="https://webagentes.canaldirecto.com.ar/incidents/view/780928-8" xr:uid="{00000000-0004-0000-0100-000086010000}"/>
    <hyperlink ref="A593" r:id="rId392" display="https://webagentes.canaldirecto.com.ar/incidents/view/780297-5" xr:uid="{00000000-0004-0000-0100-000087010000}"/>
    <hyperlink ref="A606" r:id="rId393" display="https://webagentes.canaldirecto.com.ar/incidents/view/783477-0" xr:uid="{00000000-0004-0000-0100-000088010000}"/>
    <hyperlink ref="A605" r:id="rId394" display="https://webagentes.canaldirecto.com.ar/incidents/view/783304-5" xr:uid="{00000000-0004-0000-0100-000089010000}"/>
    <hyperlink ref="A607" r:id="rId395" display="https://webagentes.canaldirecto.com.ar/incidents/view/784154-9" xr:uid="{00000000-0004-0000-0100-00008A010000}"/>
    <hyperlink ref="A608" r:id="rId396" display="https://webagentes.canaldirecto.com.ar/incidents/view/784223-8" xr:uid="{00000000-0004-0000-0100-00008B010000}"/>
    <hyperlink ref="A609" r:id="rId397" display="https://webagentes.canaldirecto.com.ar/incidents/view/784348-6" xr:uid="{00000000-0004-0000-0100-00008C010000}"/>
    <hyperlink ref="A603" r:id="rId398" display="https://webagentes.canaldirecto.com.ar/incidents/view/783086-2" xr:uid="{00000000-0004-0000-0100-00008D010000}"/>
    <hyperlink ref="A604" r:id="rId399" display="https://webagentes.canaldirecto.com.ar/incidents/view/783080-8" xr:uid="{00000000-0004-0000-0100-00008E010000}"/>
    <hyperlink ref="A618" r:id="rId400" display="https://webagentes.canaldirecto.com.ar/incidents/view/787155-9" xr:uid="{00000000-0004-0000-0100-00008F010000}"/>
    <hyperlink ref="A616" r:id="rId401" display="https://webagentes.canaldirecto.com.ar/incidents/view/786621-0" xr:uid="{00000000-0004-0000-0100-000090010000}"/>
    <hyperlink ref="A617" r:id="rId402" display="https://webagentes.canaldirecto.com.ar/incidents/view/786538-1" xr:uid="{00000000-0004-0000-0100-000091010000}"/>
    <hyperlink ref="A613" r:id="rId403" display="https://webagentes.canaldirecto.com.ar/incidents/view/786386-0" xr:uid="{00000000-0004-0000-0100-000092010000}"/>
    <hyperlink ref="A614" r:id="rId404" display="https://webagentes.canaldirecto.com.ar/incidents/view/786085-4" xr:uid="{00000000-0004-0000-0100-000093010000}"/>
    <hyperlink ref="A615" r:id="rId405" display="https://webagentes.canaldirecto.com.ar/incidents/view/785999-1" xr:uid="{00000000-0004-0000-0100-000094010000}"/>
    <hyperlink ref="A612" r:id="rId406" display="https://webagentes.canaldirecto.com.ar/incidents/view/785619-8" xr:uid="{00000000-0004-0000-0100-000095010000}"/>
    <hyperlink ref="A611" r:id="rId407" display="https://webagentes.canaldirecto.com.ar/incidents/view/785600-0" xr:uid="{00000000-0004-0000-0100-000096010000}"/>
    <hyperlink ref="A624" r:id="rId408" display="https://webagentes.canaldirecto.com.ar/incidents/view/788634-8" xr:uid="{00000000-0004-0000-0100-000097010000}"/>
    <hyperlink ref="A625" r:id="rId409" display="https://webagentes.canaldirecto.com.ar/incidents/view/788540-0" xr:uid="{00000000-0004-0000-0100-000098010000}"/>
    <hyperlink ref="A623" r:id="rId410" display="https://webagentes.canaldirecto.com.ar/incidents/view/788204-1" xr:uid="{00000000-0004-0000-0100-000099010000}"/>
    <hyperlink ref="A622" r:id="rId411" display="https://webagentes.canaldirecto.com.ar/incidents/view/788095-5" xr:uid="{00000000-0004-0000-0100-00009A010000}"/>
    <hyperlink ref="A621" r:id="rId412" display="https://webagentes.canaldirecto.com.ar/incidents/view/787202-6" xr:uid="{00000000-0004-0000-0100-00009B010000}"/>
    <hyperlink ref="A628" r:id="rId413" display="https://webagentes.canaldirecto.com.ar/incidents/view/789998-0" xr:uid="{00000000-0004-0000-0100-00009C010000}"/>
    <hyperlink ref="A629" r:id="rId414" display="https://webagentes.canaldirecto.com.ar/incidents/view/791211-1" xr:uid="{00000000-0004-0000-0100-00009D010000}"/>
    <hyperlink ref="A630" r:id="rId415" display="https://webagentes.canaldirecto.com.ar/incidents/view/790161-0" xr:uid="{00000000-0004-0000-0100-00009E010000}"/>
    <hyperlink ref="A631" r:id="rId416" display="https://webagentes.canaldirecto.com.ar/incidents/view/791470-2" xr:uid="{00000000-0004-0000-0100-00009F010000}"/>
    <hyperlink ref="A632" r:id="rId417" display="https://webagentes.canaldirecto.com.ar/incidents/view/791453-5" xr:uid="{00000000-0004-0000-0100-0000A0010000}"/>
    <hyperlink ref="A627" r:id="rId418" display="https://webagentes.canaldirecto.com.ar/incidents/view/789944-9" xr:uid="{00000000-0004-0000-0100-0000A1010000}"/>
    <hyperlink ref="P632" r:id="rId419" xr:uid="{00000000-0004-0000-0100-0000A2010000}"/>
    <hyperlink ref="P630" r:id="rId420" xr:uid="{00000000-0004-0000-0100-0000A3010000}"/>
    <hyperlink ref="A635" r:id="rId421" display="https://webagentes.canaldirecto.com.ar/incidents/view/791834-6" xr:uid="{00000000-0004-0000-0100-0000A4010000}"/>
    <hyperlink ref="A636" r:id="rId422" display="https://webagentes.canaldirecto.com.ar/incidents/view/792107-6" xr:uid="{00000000-0004-0000-0100-0000A5010000}"/>
    <hyperlink ref="A637" r:id="rId423" display="https://webagentes.canaldirecto.com.ar/incidents/view/792643-3" xr:uid="{00000000-0004-0000-0100-0000A6010000}"/>
    <hyperlink ref="A638" r:id="rId424" display="https://webagentes.canaldirecto.com.ar/incidents/view/792878-7" xr:uid="{00000000-0004-0000-0100-0000A7010000}"/>
    <hyperlink ref="A639" r:id="rId425" display="https://webagentes.canaldirecto.com.ar/incidents/view/792603-5" xr:uid="{00000000-0004-0000-0100-0000A8010000}"/>
    <hyperlink ref="A640" r:id="rId426" display="https://webagentes.canaldirecto.com.ar/incidents/view/792581-4" xr:uid="{00000000-0004-0000-0100-0000A9010000}"/>
    <hyperlink ref="A641" r:id="rId427" display="https://webagentes.canaldirecto.com.ar/incidents/view/792689-5" xr:uid="{00000000-0004-0000-0100-0000AA010000}"/>
    <hyperlink ref="A642" r:id="rId428" display="https://webagentes.canaldirecto.com.ar/incidents/view/793116-1" xr:uid="{00000000-0004-0000-0100-0000AB010000}"/>
    <hyperlink ref="A643" r:id="rId429" display="https://webagentes.canaldirecto.com.ar/incidents/view/794036-3" xr:uid="{00000000-0004-0000-0100-0000AC010000}"/>
    <hyperlink ref="A644" r:id="rId430" display="https://webagentes.canaldirecto.com.ar/incidents/view/793916-3" xr:uid="{00000000-0004-0000-0100-0000AD010000}"/>
    <hyperlink ref="P639" r:id="rId431" display="https://www.google.com/maps/dir/Av.+Bordabehere+3811,+S2002+KNC,+Santa+Fe/20+920,+S2505+Las+Parejas,+Santa+Fe/Rafaela+alimentos+S.A.,+RN33+744,+Casilda,+Santa+Fe/Av.+Bordabehere+3811,+S2002+KNC,+Santa+Fe/@-32.8623215,-61.4446541,10z/data=!3m1!4b1!4m26!4m25!1m5!1m1!1s0x95b7ab55726d7baf:0xff0f95afeea1648d!2m2!1d-60.6737651!2d-32.9335712!1m5!1m1!1s0x95c9ef866a7e3d9f:0x4c3d415800965065!2m2!1d-61.5180288!2d-32.6802823!1m5!1m1!1s0x95b62d01b8c86dbf:0x6f191765e9707cd6!2m2!1d-61.1444102!2d-33.0461604!1m5!1m1!1s0x95b7ab55726d7baf:0xff0f95afeea1648d!2m2!1d-60.6737651!2d-32.9335712!3e0?entry=ttu&amp;g_ep=EgoyMDI1MDUwMy4wIKXMDSoJLDEwMjExNDU1SAFQAw%3D%3D" xr:uid="{00000000-0004-0000-0100-0000AE010000}"/>
    <hyperlink ref="A656" r:id="rId432" display="https://webagentes.canaldirecto.com.ar/incidents/view/796882-8" xr:uid="{00000000-0004-0000-0100-0000AF010000}"/>
    <hyperlink ref="A654" r:id="rId433" display="https://webagentes.canaldirecto.com.ar/incidents/view/796377-1" xr:uid="{00000000-0004-0000-0100-0000B0010000}"/>
    <hyperlink ref="A655" r:id="rId434" display="https://webagentes.canaldirecto.com.ar/incidents/view/796305-4" xr:uid="{00000000-0004-0000-0100-0000B1010000}"/>
    <hyperlink ref="A653" r:id="rId435" display="https://webagentes.canaldirecto.com.ar/incidents/view/796145-4" xr:uid="{00000000-0004-0000-0100-0000B2010000}"/>
    <hyperlink ref="A650" r:id="rId436" display="https://webagentes.canaldirecto.com.ar/incidents/view/795351-6" xr:uid="{00000000-0004-0000-0100-0000B3010000}"/>
    <hyperlink ref="A651" r:id="rId437" display="https://webagentes.canaldirecto.com.ar/incidents/view/795334-9" xr:uid="{00000000-0004-0000-0100-0000B4010000}"/>
    <hyperlink ref="A647" r:id="rId438" display="https://webagentes.canaldirecto.com.ar/incidents/view/794900-9" xr:uid="{00000000-0004-0000-0100-0000B5010000}"/>
    <hyperlink ref="A648" r:id="rId439" display="https://webagentes.canaldirecto.com.ar/incidents/view/794867-5" xr:uid="{00000000-0004-0000-0100-0000B6010000}"/>
    <hyperlink ref="A659" r:id="rId440" display="https://webagentes.canaldirecto.com.ar/incidents/view/797194-7" xr:uid="{00000000-0004-0000-0100-0000B7010000}"/>
    <hyperlink ref="A660" r:id="rId441" display="https://webagentes.canaldirecto.com.ar/incidents/view/797032-8" xr:uid="{00000000-0004-0000-0100-0000B8010000}"/>
    <hyperlink ref="A661" r:id="rId442" display="https://webagentes.canaldirecto.com.ar/incidents/view/798069-9" xr:uid="{00000000-0004-0000-0100-0000B9010000}"/>
    <hyperlink ref="A662" r:id="rId443" display="https://webagentes.canaldirecto.com.ar/incidents/view/797937-4" xr:uid="{00000000-0004-0000-0100-0000BA010000}"/>
    <hyperlink ref="A663" r:id="rId444" display="https://webagentes.canaldirecto.com.ar/incidents/view/798245-7" xr:uid="{00000000-0004-0000-0100-0000BB010000}"/>
    <hyperlink ref="A666" r:id="rId445" display="https://webagentes.canaldirecto.com.ar/incidents/view/799500-8" xr:uid="{00000000-0004-0000-0100-0000BC010000}"/>
    <hyperlink ref="A667" r:id="rId446" display="https://webagentes.canaldirecto.com.ar/incidents/view/800425-1" xr:uid="{00000000-0004-0000-0100-0000BD010000}"/>
    <hyperlink ref="A668" r:id="rId447" display="https://webagentes.canaldirecto.com.ar/incidents/view/800837-2" xr:uid="{00000000-0004-0000-0100-0000BE010000}"/>
    <hyperlink ref="A669" r:id="rId448" display="https://webagentes.canaldirecto.com.ar/incidents/view/801151-6" xr:uid="{00000000-0004-0000-0100-0000BF010000}"/>
    <hyperlink ref="A671" r:id="rId449" display="https://webagentes.canaldirecto.com.ar/incidents/view/802199-3" xr:uid="{00000000-0004-0000-0100-0000C0010000}"/>
    <hyperlink ref="A670" r:id="rId450" display="https://webagentes.canaldirecto.com.ar/incidents/view/801458-6" xr:uid="{00000000-0004-0000-0100-0000C1010000}"/>
    <hyperlink ref="A672" r:id="rId451" display="https://webagentes.canaldirecto.com.ar/incidents/view/802173-5" xr:uid="{00000000-0004-0000-0100-0000C2010000}"/>
    <hyperlink ref="A673" r:id="rId452" display="https://webagentes.canaldirecto.com.ar/incidents/view/802962-1" xr:uid="{00000000-0004-0000-0100-0000C3010000}"/>
    <hyperlink ref="O669" r:id="rId453" xr:uid="{00000000-0004-0000-0100-0000C4010000}"/>
    <hyperlink ref="O673" r:id="rId454" xr:uid="{00000000-0004-0000-0100-0000C5010000}"/>
    <hyperlink ref="A676" r:id="rId455" display="https://webagentes.canaldirecto.com.ar/incidents/view/802542-1" xr:uid="{00000000-0004-0000-0100-0000C6010000}"/>
    <hyperlink ref="A678" r:id="rId456" display="https://webagentes.canaldirecto.com.ar/incidents/view/803491-5" xr:uid="{00000000-0004-0000-0100-0000C7010000}"/>
    <hyperlink ref="A677" r:id="rId457" display="https://webagentes.canaldirecto.com.ar/incidents/view/803027-4" xr:uid="{00000000-0004-0000-0100-0000C8010000}"/>
    <hyperlink ref="A679" r:id="rId458" display="https://webagentes.canaldirecto.com.ar/incidents/view/804180-9" xr:uid="{00000000-0004-0000-0100-0000C9010000}"/>
    <hyperlink ref="A680" r:id="rId459" display="https://webagentes.canaldirecto.com.ar/incidents/view/804626-6" xr:uid="{00000000-0004-0000-0100-0000CA010000}"/>
    <hyperlink ref="A681" r:id="rId460" display="https://webagentes.canaldirecto.com.ar/incidents/view/804079-4" xr:uid="{00000000-0004-0000-0100-0000CB010000}"/>
    <hyperlink ref="A682" r:id="rId461" display="https://webagentes.canaldirecto.com.ar/incidents/view/804973-1" xr:uid="{00000000-0004-0000-0100-0000CC010000}"/>
    <hyperlink ref="A683" r:id="rId462" display="https://webagentes.canaldirecto.com.ar/incidents/view/805944-6" xr:uid="{00000000-0004-0000-0100-0000CD010000}"/>
    <hyperlink ref="A684" r:id="rId463" display="https://webagentes.canaldirecto.com.ar/incidents/view/805004-7" xr:uid="{00000000-0004-0000-0100-0000CE010000}"/>
    <hyperlink ref="A695" r:id="rId464" display="https://webagentes.canaldirecto.com.ar/incidents/view/809580-0" xr:uid="{00000000-0004-0000-0100-0000CF010000}"/>
    <hyperlink ref="A694" r:id="rId465" display="https://webagentes.canaldirecto.com.ar/incidents/view/809404-1" xr:uid="{00000000-0004-0000-0100-0000D0010000}"/>
    <hyperlink ref="A693" r:id="rId466" display="https://webagentes.canaldirecto.com.ar/incidents/view/809072-6" xr:uid="{00000000-0004-0000-0100-0000D1010000}"/>
    <hyperlink ref="A692" r:id="rId467" display="https://webagentes.canaldirecto.com.ar/incidents/view/809013-3" xr:uid="{00000000-0004-0000-0100-0000D2010000}"/>
    <hyperlink ref="A691" r:id="rId468" display="https://webagentes.canaldirecto.com.ar/incidents/view/807937-0" xr:uid="{00000000-0004-0000-0100-0000D3010000}"/>
    <hyperlink ref="A689" r:id="rId469" display="https://webagentes.canaldirecto.com.ar/incidents/view/807066-1" xr:uid="{00000000-0004-0000-0100-0000D4010000}"/>
    <hyperlink ref="A688" r:id="rId470" display="https://webagentes.canaldirecto.com.ar/incidents/view/807055-5" xr:uid="{00000000-0004-0000-0100-0000D5010000}"/>
    <hyperlink ref="A690" r:id="rId471" display="https://webagentes.canaldirecto.com.ar/incidents/view/806725-0" xr:uid="{00000000-0004-0000-0100-0000D6010000}"/>
    <hyperlink ref="A687" r:id="rId472" display="https://webagentes.canaldirecto.com.ar/incidents/view/806472-1" xr:uid="{00000000-0004-0000-0100-0000D7010000}"/>
    <hyperlink ref="A706" r:id="rId473" display="https://webagentes.canaldirecto.com.ar/incidents/view/812383-9" xr:uid="{00000000-0004-0000-0100-0000D8010000}"/>
    <hyperlink ref="A709" r:id="rId474" display="https://webagentes.canaldirecto.com.ar/incidents/view/812377-8" xr:uid="{00000000-0004-0000-0100-0000D9010000}"/>
    <hyperlink ref="A707" r:id="rId475" display="https://webagentes.canaldirecto.com.ar/incidents/view/812169-1" xr:uid="{00000000-0004-0000-0100-0000DA010000}"/>
    <hyperlink ref="A704" r:id="rId476" display="https://webagentes.canaldirecto.com.ar/incidents/view/811682-0" xr:uid="{00000000-0004-0000-0100-0000DB010000}"/>
    <hyperlink ref="A708" r:id="rId477" display="https://webagentes.canaldirecto.com.ar/incidents/view/811375-3" xr:uid="{00000000-0004-0000-0100-0000DC010000}"/>
    <hyperlink ref="A701" r:id="rId478" display="https://webagentes.canaldirecto.com.ar/incidents/view/811128-7" xr:uid="{00000000-0004-0000-0100-0000DD010000}"/>
    <hyperlink ref="A702" r:id="rId479" display="https://webagentes.canaldirecto.com.ar/incidents/view/811039-4" xr:uid="{00000000-0004-0000-0100-0000DE010000}"/>
    <hyperlink ref="A705" r:id="rId480" display="https://webagentes.canaldirecto.com.ar/incidents/view/810843-2" xr:uid="{00000000-0004-0000-0100-0000DF010000}"/>
    <hyperlink ref="A699" r:id="rId481" display="https://webagentes.canaldirecto.com.ar/incidents/view/810840-5" xr:uid="{00000000-0004-0000-0100-0000E0010000}"/>
    <hyperlink ref="A700" r:id="rId482" display="https://webagentes.canaldirecto.com.ar/incidents/view/810692-0" xr:uid="{00000000-0004-0000-0100-0000E1010000}"/>
    <hyperlink ref="A703" r:id="rId483" display="https://webagentes.canaldirecto.com.ar/incidents/view/810442-7" xr:uid="{00000000-0004-0000-0100-0000E2010000}"/>
    <hyperlink ref="A698" r:id="rId484" display="https://webagentes.canaldirecto.com.ar/incidents/view/809153-0" xr:uid="{00000000-0004-0000-0100-0000E3010000}"/>
    <hyperlink ref="O708" r:id="rId485" xr:uid="{00000000-0004-0000-0100-0000E4010000}"/>
    <hyperlink ref="A712" r:id="rId486" display="https://webagentes.canaldirecto.com.ar/incidents/view/816180-2" xr:uid="{00000000-0004-0000-0100-0000E5010000}"/>
    <hyperlink ref="A713" r:id="rId487" display="https://webagentes.canaldirecto.com.ar/incidents/view/815679-4" xr:uid="{00000000-0004-0000-0100-0000E6010000}"/>
    <hyperlink ref="A714" r:id="rId488" display="https://webagentes.canaldirecto.com.ar/incidents/view/814544-2" xr:uid="{00000000-0004-0000-0100-0000E7010000}"/>
    <hyperlink ref="A715" r:id="rId489" display="https://webagentes.canaldirecto.com.ar/incidents/view/814519-6" xr:uid="{00000000-0004-0000-0100-0000E8010000}"/>
    <hyperlink ref="A716" r:id="rId490" display="https://webagentes.canaldirecto.com.ar/incidents/view/813982-1" xr:uid="{00000000-0004-0000-0100-0000E9010000}"/>
    <hyperlink ref="A717" r:id="rId491" display="https://webagentes.canaldirecto.com.ar/incidents/view/814449-8" xr:uid="{00000000-0004-0000-0100-0000EA010000}"/>
    <hyperlink ref="A718" r:id="rId492" display="https://webagentes.canaldirecto.com.ar/incidents/view/814051-7" xr:uid="{00000000-0004-0000-0100-0000EB010000}"/>
    <hyperlink ref="A719" r:id="rId493" display="https://webagentes.canaldirecto.com.ar/incidents/view/811974-8" xr:uid="{00000000-0004-0000-0100-0000EC010000}"/>
    <hyperlink ref="A720" r:id="rId494" display="https://webagentes.canaldirecto.com.ar/incidents/view/813866-4" xr:uid="{00000000-0004-0000-0100-0000ED010000}"/>
    <hyperlink ref="A721" r:id="rId495" display="https://webagentes.canaldirecto.com.ar/incidents/view/814042-9" xr:uid="{00000000-0004-0000-0100-0000EE010000}"/>
    <hyperlink ref="A729" r:id="rId496" display="https://webagentes.canaldirecto.com.ar/incidents/view/819621-5" xr:uid="{C8D17EF3-502F-4BBF-8D11-0362F3667600}"/>
    <hyperlink ref="A728" r:id="rId497" display="https://webagentes.canaldirecto.com.ar/incidents/view/819527-0" xr:uid="{BA42FDBA-5334-4E18-A68E-C211ACCC2512}"/>
    <hyperlink ref="A725" r:id="rId498" display="https://webagentes.canaldirecto.com.ar/incidents/view/818793-4" xr:uid="{EF7F2A38-284A-44E1-9467-D1EA35E9F003}"/>
    <hyperlink ref="A727" r:id="rId499" display="https://webagentes.canaldirecto.com.ar/incidents/view/818792-5" xr:uid="{D1D1F13B-06F2-4D6A-955A-A6B09E525F6E}"/>
    <hyperlink ref="A724" r:id="rId500" display="https://webagentes.canaldirecto.com.ar/incidents/view/818543-1" xr:uid="{112947B2-F3B3-4140-8313-CE89556B078D}"/>
    <hyperlink ref="A726" r:id="rId501" display="https://webagentes.canaldirecto.com.ar/incidents/view/818512-1" xr:uid="{47864CC8-C939-433D-BFAA-AC86266D748E}"/>
    <hyperlink ref="A723" r:id="rId502" display="https://webagentes.canaldirecto.com.ar/incidents/view/817729-2" xr:uid="{43938B4F-6E62-42E5-ACCF-ADEE9F4D633F}"/>
    <hyperlink ref="A730" r:id="rId503" display="https://webagentes.canaldirecto.com.ar/incidents/view/816724-0" xr:uid="{2DF64D1B-4011-4E35-B437-FAAD10553FB2}"/>
    <hyperlink ref="O730" r:id="rId504" display="El recorrido completo a Smurfitt y Conectar da 321 kms; dejar los kms a uno solo" xr:uid="{1C180D17-F00F-4B6D-BDFB-A8CE34793550}"/>
    <hyperlink ref="A741" r:id="rId505" display="https://webagentes.canaldirecto.com.ar/incidents/view/822604-8" xr:uid="{C2CE3F67-9896-4397-B849-8995158D9B48}"/>
    <hyperlink ref="A740" r:id="rId506" display="https://webagentes.canaldirecto.com.ar/incidents/view/821972-9" xr:uid="{CE0F089C-DCB3-4316-BB67-1D285488B399}"/>
    <hyperlink ref="A739" r:id="rId507" display="https://webagentes.canaldirecto.com.ar/incidents/view/821767-9" xr:uid="{16ECFE49-0CFD-49F4-AE97-D21E103701B7}"/>
    <hyperlink ref="A736" r:id="rId508" display="https://webagentes.canaldirecto.com.ar/incidents/view/820854-7" xr:uid="{962D108E-E35F-441B-88B5-38B700BC28BB}"/>
    <hyperlink ref="A738" r:id="rId509" display="https://webagentes.canaldirecto.com.ar/incidents/view/820793-7" xr:uid="{18168C96-7118-4288-A289-4F0771F562DA}"/>
    <hyperlink ref="A737" r:id="rId510" display="https://webagentes.canaldirecto.com.ar/incidents/view/820359-7" xr:uid="{C8C10145-CC7D-477F-A797-F5F32A4299F0}"/>
    <hyperlink ref="A734" r:id="rId511" display="https://webagentes.canaldirecto.com.ar/incidents/view/820257-0" xr:uid="{1101207F-58CE-479C-B9A6-11978D08F18D}"/>
    <hyperlink ref="A733" r:id="rId512" display="https://webagentes.canaldirecto.com.ar/incidents/view/819691-4" xr:uid="{FC6E942A-7B29-4A22-A98C-8052F28EB758}"/>
    <hyperlink ref="A735" r:id="rId513" display="https://webagentes.canaldirecto.com.ar/incidents/view/818423-8" xr:uid="{0C3C5C2C-1E96-4B70-902C-62DA103C1D46}"/>
    <hyperlink ref="A749" r:id="rId514" display="https://webagentes.canaldirecto.com.ar/incidents/view/824857-2" xr:uid="{349B00BE-A5AB-4B8C-8CBF-E2199E0263D3}"/>
    <hyperlink ref="A750" r:id="rId515" display="https://webagentes.canaldirecto.com.ar/incidents/view/824830-5" xr:uid="{D8CE3904-A0CE-4059-9349-FF90908494AD}"/>
    <hyperlink ref="A747" r:id="rId516" display="https://webagentes.canaldirecto.com.ar/incidents/view/824664-4" xr:uid="{DAC37231-2106-48BD-9711-A97909208A64}"/>
    <hyperlink ref="A745" r:id="rId517" display="https://webagentes.canaldirecto.com.ar/incidents/view/824306-3" xr:uid="{BD6CE16D-8F98-410E-A588-08C604E456A0}"/>
    <hyperlink ref="A748" r:id="rId518" display="https://webagentes.canaldirecto.com.ar/incidents/view/824131-1" xr:uid="{66682511-A395-41A4-8079-101259F11C01}"/>
    <hyperlink ref="A751" r:id="rId519" display="https://webagentes.canaldirecto.com.ar/incidents/view/824118-0" xr:uid="{FC1FB829-CF4C-4A67-8BB5-D4FA411135E4}"/>
    <hyperlink ref="A744" r:id="rId520" display="https://webagentes.canaldirecto.com.ar/incidents/view/823468-5" xr:uid="{C445C69A-3623-4DAD-A84C-A9C69802AA2A}"/>
    <hyperlink ref="A746" r:id="rId521" display="https://webagentes.canaldirecto.com.ar/incidents/view/823242-9" xr:uid="{D7332550-AA74-4205-B3B7-2A4EE00BDFB6}"/>
    <hyperlink ref="A761" r:id="rId522" display="https://webagentes.canaldirecto.com.ar/incidents/view/828026-8" xr:uid="{7460A623-078C-422D-9093-FDFFECF0D491}"/>
    <hyperlink ref="A759" r:id="rId523" display="https://webagentes.canaldirecto.com.ar/incidents/view/827925-3" xr:uid="{2CB4294D-9F97-4888-BF37-55DAFD55742F}"/>
    <hyperlink ref="A762" r:id="rId524" display="https://webagentes.canaldirecto.com.ar/incidents/view/827245-4" xr:uid="{D065C694-CFC4-48CC-AD68-DDCD55A540A7}"/>
    <hyperlink ref="A760" r:id="rId525" display="https://webagentes.canaldirecto.com.ar/incidents/view/826948-7" xr:uid="{909ABDD6-44D5-45FE-BE6E-4DAA77EA92B3}"/>
    <hyperlink ref="A755" r:id="rId526" display="https://webagentes.canaldirecto.com.ar/incidents/view/826271-2" xr:uid="{9BE16252-A6F8-4217-9594-480939838E10}"/>
    <hyperlink ref="A756" r:id="rId527" display="https://webagentes.canaldirecto.com.ar/incidents/view/825948-0" xr:uid="{EB6BC1A6-DD45-495B-82B6-37921AC9ACE0}"/>
    <hyperlink ref="A757" r:id="rId528" display="https://webagentes.canaldirecto.com.ar/incidents/view/825666-9" xr:uid="{A830F5C0-E943-48C8-8A57-8C802A601FA6}"/>
    <hyperlink ref="A754" r:id="rId529" display="https://webagentes.canaldirecto.com.ar/incidents/view/825450-0" xr:uid="{B260C6D5-C7E2-4100-951F-A127820E44E7}"/>
    <hyperlink ref="A758" r:id="rId530" display="https://webagentes.canaldirecto.com.ar/incidents/view/825178-9" xr:uid="{F10DCC22-932E-496B-973B-8DFBC25F1CE9}"/>
    <hyperlink ref="A753" r:id="rId531" display="https://webagentes.canaldirecto.com.ar/incidents/view/824717-5" xr:uid="{0CDB94EB-F2C3-4881-87A2-900310D0BB0A}"/>
    <hyperlink ref="A765" r:id="rId532" display="https://webagentes.canaldirecto.com.ar/incidents/view/829410-0" xr:uid="{86DB9E5B-B6B3-442D-81DA-589636D3C8E2}"/>
    <hyperlink ref="A766" r:id="rId533" display="https://webagentes.canaldirecto.com.ar/incidents/view/830004-9" xr:uid="{61C898D3-F31B-4F3D-B444-04BB9C4E73BD}"/>
    <hyperlink ref="A767" r:id="rId534" display="https://webagentes.canaldirecto.com.ar/incidents/view/829799-4" xr:uid="{5253642A-8343-4E82-B75B-3E50298B9201}"/>
  </hyperlinks>
  <pageMargins left="0.7" right="0.7" top="0.75" bottom="0.75" header="0.3" footer="0.3"/>
  <pageSetup paperSize="9" orientation="portrait" r:id="rId53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98"/>
  <sheetViews>
    <sheetView workbookViewId="0">
      <pane ySplit="1" topLeftCell="A11" activePane="bottomLeft" state="frozen"/>
      <selection pane="bottomLeft" activeCell="A38" sqref="A38"/>
    </sheetView>
  </sheetViews>
  <sheetFormatPr baseColWidth="10" defaultColWidth="91.7109375" defaultRowHeight="15" x14ac:dyDescent="0.25"/>
  <cols>
    <col min="1" max="1" width="28.28515625" customWidth="1"/>
    <col min="2" max="2" width="29.28515625" bestFit="1" customWidth="1"/>
    <col min="3" max="3" width="35.7109375" customWidth="1"/>
    <col min="4" max="4" width="26.7109375" bestFit="1" customWidth="1"/>
    <col min="5" max="5" width="11.42578125" bestFit="1" customWidth="1"/>
    <col min="6" max="6" width="24.140625" customWidth="1"/>
    <col min="7" max="7" width="8.42578125" customWidth="1"/>
    <col min="8" max="8" width="7.7109375" customWidth="1"/>
    <col min="9" max="9" width="12.7109375" bestFit="1" customWidth="1"/>
    <col min="10" max="10" width="12.140625" customWidth="1"/>
    <col min="11" max="12" width="13.140625" customWidth="1"/>
    <col min="13" max="13" width="255.7109375" style="25" bestFit="1" customWidth="1"/>
  </cols>
  <sheetData>
    <row r="1" spans="1:13" s="150" customFormat="1" ht="14.65" customHeight="1" x14ac:dyDescent="0.25">
      <c r="A1" s="150" t="s">
        <v>3</v>
      </c>
      <c r="B1" s="150" t="s">
        <v>2</v>
      </c>
      <c r="C1" s="150" t="s">
        <v>1615</v>
      </c>
      <c r="D1" s="150" t="s">
        <v>1616</v>
      </c>
      <c r="E1" s="150" t="s">
        <v>1617</v>
      </c>
      <c r="F1" s="150" t="s">
        <v>1618</v>
      </c>
      <c r="G1" s="150" t="s">
        <v>1616</v>
      </c>
      <c r="H1" s="150" t="s">
        <v>1617</v>
      </c>
      <c r="I1" s="150" t="s">
        <v>1619</v>
      </c>
      <c r="J1" s="150" t="s">
        <v>1620</v>
      </c>
      <c r="K1" s="150" t="s">
        <v>1621</v>
      </c>
      <c r="L1" s="150" t="s">
        <v>1622</v>
      </c>
      <c r="M1" s="150" t="s">
        <v>1623</v>
      </c>
    </row>
    <row r="2" spans="1:13" s="151" customFormat="1" x14ac:dyDescent="0.25">
      <c r="A2" s="151" t="s">
        <v>35</v>
      </c>
      <c r="B2" s="151" t="s">
        <v>337</v>
      </c>
      <c r="C2" s="151" t="s">
        <v>1633</v>
      </c>
      <c r="D2" s="152" t="s">
        <v>1634</v>
      </c>
      <c r="E2" s="151" t="s">
        <v>95</v>
      </c>
      <c r="F2" s="153" t="s">
        <v>1626</v>
      </c>
      <c r="G2" s="151" t="s">
        <v>298</v>
      </c>
      <c r="H2" s="151" t="s">
        <v>95</v>
      </c>
      <c r="I2" s="154">
        <v>77.2</v>
      </c>
      <c r="J2" s="153" t="str">
        <f>IF(I2&gt;30,"Si","No")</f>
        <v>Si</v>
      </c>
      <c r="K2" s="156">
        <f t="shared" ref="K2:K33" si="0">IF(J2="si",I2,0)</f>
        <v>77.2</v>
      </c>
      <c r="L2" s="157">
        <v>78</v>
      </c>
      <c r="M2" s="158" t="s">
        <v>4043</v>
      </c>
    </row>
    <row r="3" spans="1:13" s="151" customFormat="1" x14ac:dyDescent="0.25">
      <c r="A3" s="151" t="s">
        <v>162</v>
      </c>
      <c r="B3" s="151" t="s">
        <v>337</v>
      </c>
      <c r="C3" s="151" t="s">
        <v>1624</v>
      </c>
      <c r="D3" s="152" t="s">
        <v>1625</v>
      </c>
      <c r="E3" s="151" t="s">
        <v>95</v>
      </c>
      <c r="F3" s="153" t="s">
        <v>1626</v>
      </c>
      <c r="G3" s="151" t="s">
        <v>298</v>
      </c>
      <c r="H3" s="151" t="s">
        <v>95</v>
      </c>
      <c r="I3" s="154">
        <v>68.8</v>
      </c>
      <c r="J3" s="153" t="str">
        <f>IF(I3&gt;30,"Si","No")</f>
        <v>Si</v>
      </c>
      <c r="K3" s="152">
        <f t="shared" si="0"/>
        <v>68.8</v>
      </c>
      <c r="L3" s="152"/>
      <c r="M3" s="155" t="s">
        <v>1627</v>
      </c>
    </row>
    <row r="4" spans="1:13" s="151" customFormat="1" x14ac:dyDescent="0.25">
      <c r="A4" s="151" t="s">
        <v>1630</v>
      </c>
      <c r="B4" s="151" t="s">
        <v>337</v>
      </c>
      <c r="C4" s="151" t="s">
        <v>1631</v>
      </c>
      <c r="D4" s="152" t="s">
        <v>298</v>
      </c>
      <c r="E4" s="151" t="s">
        <v>95</v>
      </c>
      <c r="F4" s="153" t="s">
        <v>1626</v>
      </c>
      <c r="G4" s="151" t="s">
        <v>298</v>
      </c>
      <c r="H4" s="151" t="s">
        <v>95</v>
      </c>
      <c r="I4" s="154">
        <v>8.4</v>
      </c>
      <c r="J4" s="153" t="str">
        <f>IF(I4&gt;30,"Si","No")</f>
        <v>No</v>
      </c>
      <c r="K4" s="152">
        <f t="shared" si="0"/>
        <v>0</v>
      </c>
      <c r="L4" s="152"/>
      <c r="M4" s="155" t="s">
        <v>1632</v>
      </c>
    </row>
    <row r="5" spans="1:13" s="151" customFormat="1" x14ac:dyDescent="0.25">
      <c r="A5" s="151" t="s">
        <v>1436</v>
      </c>
      <c r="B5" s="151" t="s">
        <v>337</v>
      </c>
      <c r="C5" s="151" t="s">
        <v>1628</v>
      </c>
      <c r="D5" s="152" t="s">
        <v>298</v>
      </c>
      <c r="E5" s="151" t="s">
        <v>95</v>
      </c>
      <c r="F5" s="153" t="s">
        <v>1626</v>
      </c>
      <c r="G5" s="151" t="s">
        <v>298</v>
      </c>
      <c r="H5" s="151" t="s">
        <v>95</v>
      </c>
      <c r="I5" s="154">
        <v>10.3</v>
      </c>
      <c r="J5" s="153" t="str">
        <f>IF(I5&gt;30,"Si","No")</f>
        <v>No</v>
      </c>
      <c r="K5" s="152">
        <f t="shared" si="0"/>
        <v>0</v>
      </c>
      <c r="L5" s="152"/>
      <c r="M5" s="155" t="s">
        <v>1629</v>
      </c>
    </row>
    <row r="6" spans="1:13" s="151" customFormat="1" x14ac:dyDescent="0.25">
      <c r="A6" s="42" t="s">
        <v>1470</v>
      </c>
      <c r="B6" s="151" t="s">
        <v>654</v>
      </c>
      <c r="C6" s="175" t="s">
        <v>3063</v>
      </c>
      <c r="D6" s="152" t="s">
        <v>1656</v>
      </c>
      <c r="E6" s="151" t="s">
        <v>95</v>
      </c>
      <c r="F6" s="153" t="s">
        <v>1657</v>
      </c>
      <c r="G6" s="151" t="s">
        <v>95</v>
      </c>
      <c r="H6" s="151" t="s">
        <v>95</v>
      </c>
      <c r="I6" s="154">
        <v>37.200000000000003</v>
      </c>
      <c r="J6" s="153" t="str">
        <f>IF(I6&gt;20,"Si","No")</f>
        <v>Si</v>
      </c>
      <c r="K6" s="152">
        <f t="shared" si="0"/>
        <v>37.200000000000003</v>
      </c>
      <c r="L6" s="152"/>
      <c r="M6" s="155" t="s">
        <v>3064</v>
      </c>
    </row>
    <row r="7" spans="1:13" s="151" customFormat="1" x14ac:dyDescent="0.25">
      <c r="A7" s="188" t="s">
        <v>1388</v>
      </c>
      <c r="B7" s="151" t="s">
        <v>654</v>
      </c>
      <c r="C7" s="151" t="s">
        <v>1635</v>
      </c>
      <c r="D7" s="152" t="s">
        <v>298</v>
      </c>
      <c r="E7" s="151" t="s">
        <v>95</v>
      </c>
      <c r="F7" s="153" t="s">
        <v>1626</v>
      </c>
      <c r="G7" s="151" t="s">
        <v>298</v>
      </c>
      <c r="H7" s="151" t="s">
        <v>95</v>
      </c>
      <c r="I7" s="154">
        <v>7.3</v>
      </c>
      <c r="J7" s="153" t="str">
        <f t="shared" ref="J7:J16" si="1">IF(I7&gt;30,"Si","No")</f>
        <v>No</v>
      </c>
      <c r="K7" s="152">
        <f t="shared" si="0"/>
        <v>0</v>
      </c>
      <c r="L7" s="152"/>
      <c r="M7" s="155" t="s">
        <v>1636</v>
      </c>
    </row>
    <row r="8" spans="1:13" s="151" customFormat="1" x14ac:dyDescent="0.25">
      <c r="A8" s="151" t="s">
        <v>368</v>
      </c>
      <c r="B8" s="151" t="s">
        <v>270</v>
      </c>
      <c r="C8" s="151" t="s">
        <v>1650</v>
      </c>
      <c r="D8" s="152" t="s">
        <v>1647</v>
      </c>
      <c r="E8" s="151" t="s">
        <v>95</v>
      </c>
      <c r="F8" s="153" t="s">
        <v>1626</v>
      </c>
      <c r="G8" s="151" t="s">
        <v>298</v>
      </c>
      <c r="H8" s="151" t="s">
        <v>95</v>
      </c>
      <c r="I8" s="154">
        <v>111</v>
      </c>
      <c r="J8" s="153" t="str">
        <f t="shared" si="1"/>
        <v>Si</v>
      </c>
      <c r="K8" s="152">
        <f t="shared" si="0"/>
        <v>111</v>
      </c>
      <c r="L8" s="152"/>
      <c r="M8" s="158" t="s">
        <v>4043</v>
      </c>
    </row>
    <row r="9" spans="1:13" s="151" customFormat="1" x14ac:dyDescent="0.25">
      <c r="A9" s="151" t="s">
        <v>380</v>
      </c>
      <c r="B9" s="151" t="s">
        <v>270</v>
      </c>
      <c r="C9" s="151" t="s">
        <v>1646</v>
      </c>
      <c r="D9" s="152" t="s">
        <v>1647</v>
      </c>
      <c r="E9" s="151" t="s">
        <v>95</v>
      </c>
      <c r="F9" s="153" t="s">
        <v>1626</v>
      </c>
      <c r="G9" s="151" t="s">
        <v>298</v>
      </c>
      <c r="H9" s="151" t="s">
        <v>95</v>
      </c>
      <c r="I9" s="154">
        <v>123</v>
      </c>
      <c r="J9" s="153" t="str">
        <f t="shared" si="1"/>
        <v>Si</v>
      </c>
      <c r="K9" s="152">
        <f t="shared" si="0"/>
        <v>123</v>
      </c>
      <c r="L9" s="152"/>
      <c r="M9" s="155" t="s">
        <v>1648</v>
      </c>
    </row>
    <row r="10" spans="1:13" s="151" customFormat="1" x14ac:dyDescent="0.25">
      <c r="A10" s="151" t="s">
        <v>3523</v>
      </c>
      <c r="B10" s="151" t="s">
        <v>270</v>
      </c>
      <c r="C10" s="151" t="s">
        <v>3534</v>
      </c>
      <c r="D10" s="152" t="s">
        <v>3535</v>
      </c>
      <c r="F10" s="153" t="s">
        <v>1626</v>
      </c>
      <c r="G10" s="151" t="s">
        <v>298</v>
      </c>
      <c r="H10" s="151" t="s">
        <v>95</v>
      </c>
      <c r="I10" s="154">
        <v>164</v>
      </c>
      <c r="J10" s="153" t="str">
        <f t="shared" si="1"/>
        <v>Si</v>
      </c>
      <c r="K10" s="152">
        <f t="shared" si="0"/>
        <v>164</v>
      </c>
      <c r="L10" s="152"/>
      <c r="M10" s="155" t="s">
        <v>3533</v>
      </c>
    </row>
    <row r="11" spans="1:13" s="151" customFormat="1" x14ac:dyDescent="0.25">
      <c r="A11" s="151" t="s">
        <v>1651</v>
      </c>
      <c r="B11" s="151" t="s">
        <v>270</v>
      </c>
      <c r="C11" s="151" t="s">
        <v>1652</v>
      </c>
      <c r="D11" s="152" t="s">
        <v>1653</v>
      </c>
      <c r="E11" s="151" t="s">
        <v>95</v>
      </c>
      <c r="F11" s="153" t="s">
        <v>1626</v>
      </c>
      <c r="G11" s="151" t="s">
        <v>298</v>
      </c>
      <c r="H11" s="151" t="s">
        <v>95</v>
      </c>
      <c r="I11" s="154">
        <v>140</v>
      </c>
      <c r="J11" s="153" t="str">
        <f t="shared" si="1"/>
        <v>Si</v>
      </c>
      <c r="K11" s="152">
        <f t="shared" si="0"/>
        <v>140</v>
      </c>
      <c r="L11" s="152"/>
      <c r="M11" s="155" t="s">
        <v>1654</v>
      </c>
    </row>
    <row r="12" spans="1:13" s="151" customFormat="1" x14ac:dyDescent="0.25">
      <c r="A12" s="151" t="s">
        <v>494</v>
      </c>
      <c r="B12" s="151" t="s">
        <v>270</v>
      </c>
      <c r="C12" s="151" t="s">
        <v>1649</v>
      </c>
      <c r="D12" s="152" t="s">
        <v>1647</v>
      </c>
      <c r="E12" s="151" t="s">
        <v>95</v>
      </c>
      <c r="F12" s="153" t="s">
        <v>1626</v>
      </c>
      <c r="G12" s="151" t="s">
        <v>298</v>
      </c>
      <c r="H12" s="151" t="s">
        <v>95</v>
      </c>
      <c r="I12" s="154">
        <v>123</v>
      </c>
      <c r="J12" s="153" t="str">
        <f t="shared" si="1"/>
        <v>Si</v>
      </c>
      <c r="K12" s="152">
        <f t="shared" si="0"/>
        <v>123</v>
      </c>
      <c r="L12" s="152"/>
      <c r="M12" s="158" t="s">
        <v>4317</v>
      </c>
    </row>
    <row r="13" spans="1:13" s="151" customFormat="1" x14ac:dyDescent="0.25">
      <c r="A13" s="151" t="s">
        <v>1639</v>
      </c>
      <c r="B13" s="151" t="s">
        <v>270</v>
      </c>
      <c r="C13" s="151" t="s">
        <v>1640</v>
      </c>
      <c r="D13" s="152" t="s">
        <v>1625</v>
      </c>
      <c r="E13" s="151" t="s">
        <v>95</v>
      </c>
      <c r="F13" s="153" t="s">
        <v>1626</v>
      </c>
      <c r="G13" s="151" t="s">
        <v>298</v>
      </c>
      <c r="H13" s="151" t="s">
        <v>95</v>
      </c>
      <c r="I13" s="154">
        <v>86</v>
      </c>
      <c r="J13" s="153" t="str">
        <f t="shared" si="1"/>
        <v>Si</v>
      </c>
      <c r="K13" s="152">
        <f t="shared" si="0"/>
        <v>86</v>
      </c>
      <c r="L13" s="152"/>
      <c r="M13" s="155" t="s">
        <v>1641</v>
      </c>
    </row>
    <row r="14" spans="1:13" s="151" customFormat="1" x14ac:dyDescent="0.25">
      <c r="A14" s="25" t="s">
        <v>1341</v>
      </c>
      <c r="B14" s="151" t="s">
        <v>270</v>
      </c>
      <c r="C14" s="246" t="s">
        <v>4042</v>
      </c>
      <c r="D14" s="152" t="s">
        <v>1882</v>
      </c>
      <c r="E14" s="151" t="s">
        <v>1883</v>
      </c>
      <c r="F14" s="153" t="s">
        <v>1626</v>
      </c>
      <c r="G14" s="151" t="s">
        <v>298</v>
      </c>
      <c r="H14" s="151" t="s">
        <v>95</v>
      </c>
      <c r="I14" s="154">
        <v>159</v>
      </c>
      <c r="J14" s="153" t="str">
        <f t="shared" si="1"/>
        <v>Si</v>
      </c>
      <c r="K14" s="152">
        <f t="shared" si="0"/>
        <v>159</v>
      </c>
      <c r="L14" s="152"/>
      <c r="M14" s="158" t="s">
        <v>4043</v>
      </c>
    </row>
    <row r="15" spans="1:13" s="151" customFormat="1" x14ac:dyDescent="0.25">
      <c r="A15" s="151" t="s">
        <v>24</v>
      </c>
      <c r="B15" s="151" t="s">
        <v>270</v>
      </c>
      <c r="C15" s="151" t="s">
        <v>1637</v>
      </c>
      <c r="D15" s="152" t="s">
        <v>298</v>
      </c>
      <c r="E15" s="151" t="s">
        <v>95</v>
      </c>
      <c r="F15" s="153" t="s">
        <v>1626</v>
      </c>
      <c r="G15" s="151" t="s">
        <v>298</v>
      </c>
      <c r="H15" s="151" t="s">
        <v>95</v>
      </c>
      <c r="I15" s="154">
        <v>11.1</v>
      </c>
      <c r="J15" s="153" t="str">
        <f t="shared" si="1"/>
        <v>No</v>
      </c>
      <c r="K15" s="152">
        <f t="shared" si="0"/>
        <v>0</v>
      </c>
      <c r="L15" s="152"/>
      <c r="M15" s="155" t="s">
        <v>1638</v>
      </c>
    </row>
    <row r="16" spans="1:13" s="151" customFormat="1" x14ac:dyDescent="0.25">
      <c r="A16" s="151" t="s">
        <v>66</v>
      </c>
      <c r="B16" s="151" t="s">
        <v>270</v>
      </c>
      <c r="C16" s="151" t="s">
        <v>1642</v>
      </c>
      <c r="D16" s="152" t="s">
        <v>1643</v>
      </c>
      <c r="E16" s="151" t="s">
        <v>1644</v>
      </c>
      <c r="F16" s="153" t="s">
        <v>1626</v>
      </c>
      <c r="G16" s="151" t="s">
        <v>298</v>
      </c>
      <c r="H16" s="151" t="s">
        <v>95</v>
      </c>
      <c r="I16" s="154">
        <v>157</v>
      </c>
      <c r="J16" s="153" t="str">
        <f t="shared" si="1"/>
        <v>Si</v>
      </c>
      <c r="K16" s="152">
        <f t="shared" si="0"/>
        <v>157</v>
      </c>
      <c r="L16" s="152"/>
      <c r="M16" s="155" t="s">
        <v>1645</v>
      </c>
    </row>
    <row r="17" spans="1:21" s="159" customFormat="1" x14ac:dyDescent="0.25">
      <c r="A17" s="159" t="s">
        <v>1394</v>
      </c>
      <c r="B17" s="159" t="s">
        <v>1393</v>
      </c>
      <c r="C17" s="159" t="s">
        <v>1655</v>
      </c>
      <c r="D17" s="160" t="s">
        <v>1656</v>
      </c>
      <c r="E17" s="159" t="s">
        <v>95</v>
      </c>
      <c r="F17" s="161" t="s">
        <v>1657</v>
      </c>
      <c r="G17" s="159" t="s">
        <v>95</v>
      </c>
      <c r="H17" s="159" t="s">
        <v>95</v>
      </c>
      <c r="I17" s="162">
        <v>14</v>
      </c>
      <c r="J17" s="161" t="str">
        <f>IF(I17&gt;20,"Si","No")</f>
        <v>No</v>
      </c>
      <c r="K17" s="160">
        <f t="shared" si="0"/>
        <v>0</v>
      </c>
      <c r="L17" s="160"/>
      <c r="M17" s="163" t="s">
        <v>1658</v>
      </c>
    </row>
    <row r="18" spans="1:21" s="151" customFormat="1" x14ac:dyDescent="0.25">
      <c r="A18" s="151" t="s">
        <v>252</v>
      </c>
      <c r="B18" s="151" t="s">
        <v>251</v>
      </c>
      <c r="C18" s="151" t="s">
        <v>1675</v>
      </c>
      <c r="D18" s="152" t="s">
        <v>298</v>
      </c>
      <c r="E18" s="151" t="s">
        <v>95</v>
      </c>
      <c r="F18" s="153" t="s">
        <v>1626</v>
      </c>
      <c r="G18" s="151" t="s">
        <v>298</v>
      </c>
      <c r="H18" s="151" t="s">
        <v>95</v>
      </c>
      <c r="I18" s="154">
        <v>3.2</v>
      </c>
      <c r="J18" s="153" t="str">
        <f t="shared" ref="J18:J49" si="2">IF(I18&gt;30,"Si","No")</f>
        <v>No</v>
      </c>
      <c r="K18" s="152">
        <f t="shared" si="0"/>
        <v>0</v>
      </c>
      <c r="L18" s="152"/>
      <c r="M18" s="155" t="s">
        <v>1676</v>
      </c>
    </row>
    <row r="19" spans="1:21" s="151" customFormat="1" x14ac:dyDescent="0.25">
      <c r="A19" s="151" t="s">
        <v>933</v>
      </c>
      <c r="B19" s="151" t="s">
        <v>251</v>
      </c>
      <c r="C19" s="151" t="s">
        <v>1669</v>
      </c>
      <c r="D19" s="152" t="s">
        <v>298</v>
      </c>
      <c r="E19" s="151" t="s">
        <v>95</v>
      </c>
      <c r="F19" s="153" t="s">
        <v>1626</v>
      </c>
      <c r="G19" s="151" t="s">
        <v>298</v>
      </c>
      <c r="H19" s="151" t="s">
        <v>95</v>
      </c>
      <c r="I19" s="154">
        <v>4</v>
      </c>
      <c r="J19" s="153" t="str">
        <f t="shared" si="2"/>
        <v>No</v>
      </c>
      <c r="K19" s="152">
        <f t="shared" si="0"/>
        <v>0</v>
      </c>
      <c r="L19" s="152"/>
      <c r="M19" s="155" t="s">
        <v>1670</v>
      </c>
    </row>
    <row r="20" spans="1:21" s="151" customFormat="1" x14ac:dyDescent="0.25">
      <c r="A20" s="151" t="s">
        <v>744</v>
      </c>
      <c r="B20" s="164" t="s">
        <v>251</v>
      </c>
      <c r="C20" s="151" t="s">
        <v>1667</v>
      </c>
      <c r="D20" s="152" t="s">
        <v>298</v>
      </c>
      <c r="E20" s="151" t="s">
        <v>95</v>
      </c>
      <c r="F20" s="153" t="s">
        <v>1626</v>
      </c>
      <c r="G20" s="151" t="s">
        <v>298</v>
      </c>
      <c r="H20" s="151" t="s">
        <v>95</v>
      </c>
      <c r="I20" s="154">
        <v>8.9</v>
      </c>
      <c r="J20" s="153" t="str">
        <f t="shared" si="2"/>
        <v>No</v>
      </c>
      <c r="K20" s="152">
        <f t="shared" si="0"/>
        <v>0</v>
      </c>
      <c r="L20" s="152"/>
      <c r="M20" s="155" t="s">
        <v>1668</v>
      </c>
    </row>
    <row r="21" spans="1:21" s="151" customFormat="1" x14ac:dyDescent="0.25">
      <c r="A21" s="151" t="s">
        <v>1231</v>
      </c>
      <c r="B21" s="151" t="s">
        <v>251</v>
      </c>
      <c r="C21" s="151" t="s">
        <v>1665</v>
      </c>
      <c r="D21" s="152" t="s">
        <v>298</v>
      </c>
      <c r="E21" s="151" t="s">
        <v>95</v>
      </c>
      <c r="F21" s="153" t="s">
        <v>1626</v>
      </c>
      <c r="G21" s="151" t="s">
        <v>298</v>
      </c>
      <c r="H21" s="151" t="s">
        <v>95</v>
      </c>
      <c r="I21" s="154">
        <v>27.9</v>
      </c>
      <c r="J21" s="153" t="str">
        <f t="shared" si="2"/>
        <v>No</v>
      </c>
      <c r="K21" s="152">
        <f t="shared" si="0"/>
        <v>0</v>
      </c>
      <c r="L21" s="152"/>
      <c r="M21" s="155" t="s">
        <v>1666</v>
      </c>
    </row>
    <row r="22" spans="1:21" s="151" customFormat="1" x14ac:dyDescent="0.25">
      <c r="A22" s="151" t="s">
        <v>1202</v>
      </c>
      <c r="B22" s="151" t="s">
        <v>251</v>
      </c>
      <c r="C22" s="151" t="s">
        <v>1659</v>
      </c>
      <c r="D22" s="152" t="s">
        <v>298</v>
      </c>
      <c r="E22" s="151" t="s">
        <v>95</v>
      </c>
      <c r="F22" s="153" t="s">
        <v>1626</v>
      </c>
      <c r="G22" s="151" t="s">
        <v>298</v>
      </c>
      <c r="H22" s="151" t="s">
        <v>95</v>
      </c>
      <c r="I22" s="154">
        <v>15.4</v>
      </c>
      <c r="J22" s="153" t="str">
        <f t="shared" si="2"/>
        <v>No</v>
      </c>
      <c r="K22" s="152">
        <f t="shared" si="0"/>
        <v>0</v>
      </c>
      <c r="L22" s="152"/>
      <c r="M22" s="155" t="s">
        <v>1660</v>
      </c>
    </row>
    <row r="23" spans="1:21" s="151" customFormat="1" x14ac:dyDescent="0.25">
      <c r="A23" s="151" t="s">
        <v>375</v>
      </c>
      <c r="B23" s="151" t="s">
        <v>251</v>
      </c>
      <c r="C23" s="151" t="s">
        <v>1673</v>
      </c>
      <c r="D23" s="152" t="s">
        <v>298</v>
      </c>
      <c r="E23" s="151" t="s">
        <v>95</v>
      </c>
      <c r="F23" s="153" t="s">
        <v>1626</v>
      </c>
      <c r="G23" s="151" t="s">
        <v>298</v>
      </c>
      <c r="H23" s="151" t="s">
        <v>95</v>
      </c>
      <c r="I23" s="154">
        <v>10.8</v>
      </c>
      <c r="J23" s="153" t="str">
        <f t="shared" si="2"/>
        <v>No</v>
      </c>
      <c r="K23" s="152">
        <f t="shared" si="0"/>
        <v>0</v>
      </c>
      <c r="L23" s="152"/>
      <c r="M23" s="155" t="s">
        <v>1674</v>
      </c>
    </row>
    <row r="24" spans="1:21" s="151" customFormat="1" x14ac:dyDescent="0.25">
      <c r="A24" s="151" t="s">
        <v>740</v>
      </c>
      <c r="B24" s="151" t="s">
        <v>251</v>
      </c>
      <c r="C24" s="151" t="s">
        <v>1671</v>
      </c>
      <c r="D24" s="152" t="s">
        <v>298</v>
      </c>
      <c r="E24" s="151" t="s">
        <v>95</v>
      </c>
      <c r="F24" s="153" t="s">
        <v>1626</v>
      </c>
      <c r="G24" s="151" t="s">
        <v>298</v>
      </c>
      <c r="H24" s="151" t="s">
        <v>95</v>
      </c>
      <c r="I24" s="154">
        <v>7.8</v>
      </c>
      <c r="J24" s="153" t="str">
        <f t="shared" si="2"/>
        <v>No</v>
      </c>
      <c r="K24" s="152">
        <f t="shared" si="0"/>
        <v>0</v>
      </c>
      <c r="L24" s="152"/>
      <c r="M24" s="155" t="s">
        <v>1672</v>
      </c>
    </row>
    <row r="25" spans="1:21" s="151" customFormat="1" x14ac:dyDescent="0.25">
      <c r="A25" s="151" t="s">
        <v>767</v>
      </c>
      <c r="B25" s="151" t="s">
        <v>251</v>
      </c>
      <c r="C25" s="151" t="s">
        <v>1661</v>
      </c>
      <c r="D25" s="152" t="s">
        <v>298</v>
      </c>
      <c r="E25" s="151" t="s">
        <v>95</v>
      </c>
      <c r="F25" s="153" t="s">
        <v>1626</v>
      </c>
      <c r="G25" s="151" t="s">
        <v>298</v>
      </c>
      <c r="H25" s="151" t="s">
        <v>95</v>
      </c>
      <c r="I25" s="154">
        <v>7.3</v>
      </c>
      <c r="J25" s="153" t="str">
        <f t="shared" si="2"/>
        <v>No</v>
      </c>
      <c r="K25" s="152">
        <f t="shared" si="0"/>
        <v>0</v>
      </c>
      <c r="L25" s="152"/>
      <c r="M25" s="155" t="s">
        <v>1662</v>
      </c>
    </row>
    <row r="26" spans="1:21" s="151" customFormat="1" x14ac:dyDescent="0.25">
      <c r="A26" s="151" t="s">
        <v>764</v>
      </c>
      <c r="B26" s="151" t="s">
        <v>251</v>
      </c>
      <c r="C26" s="151" t="s">
        <v>1663</v>
      </c>
      <c r="D26" s="152" t="s">
        <v>298</v>
      </c>
      <c r="E26" s="151" t="s">
        <v>95</v>
      </c>
      <c r="F26" s="153" t="s">
        <v>1626</v>
      </c>
      <c r="G26" s="151" t="s">
        <v>298</v>
      </c>
      <c r="H26" s="151" t="s">
        <v>95</v>
      </c>
      <c r="I26" s="154">
        <v>7</v>
      </c>
      <c r="J26" s="153" t="str">
        <f t="shared" si="2"/>
        <v>No</v>
      </c>
      <c r="K26" s="152">
        <f t="shared" si="0"/>
        <v>0</v>
      </c>
      <c r="L26" s="152"/>
      <c r="M26" s="155" t="s">
        <v>1664</v>
      </c>
    </row>
    <row r="27" spans="1:21" s="151" customFormat="1" x14ac:dyDescent="0.25">
      <c r="A27" s="151" t="s">
        <v>1677</v>
      </c>
      <c r="B27" s="151" t="s">
        <v>646</v>
      </c>
      <c r="C27" s="151" t="s">
        <v>1678</v>
      </c>
      <c r="D27" s="152" t="s">
        <v>298</v>
      </c>
      <c r="E27" s="151" t="s">
        <v>95</v>
      </c>
      <c r="F27" s="153" t="s">
        <v>1626</v>
      </c>
      <c r="G27" s="151" t="s">
        <v>298</v>
      </c>
      <c r="H27" s="151" t="s">
        <v>95</v>
      </c>
      <c r="I27" s="154">
        <v>9.8000000000000007</v>
      </c>
      <c r="J27" s="153" t="str">
        <f t="shared" si="2"/>
        <v>No</v>
      </c>
      <c r="K27" s="152">
        <f t="shared" si="0"/>
        <v>0</v>
      </c>
      <c r="L27" s="152"/>
      <c r="M27" s="155" t="s">
        <v>1679</v>
      </c>
    </row>
    <row r="28" spans="1:21" s="151" customFormat="1" x14ac:dyDescent="0.25">
      <c r="A28" s="151" t="s">
        <v>24</v>
      </c>
      <c r="B28" s="151" t="s">
        <v>646</v>
      </c>
      <c r="C28" s="151" t="s">
        <v>1680</v>
      </c>
      <c r="D28" s="152" t="s">
        <v>298</v>
      </c>
      <c r="E28" s="151" t="s">
        <v>95</v>
      </c>
      <c r="F28" s="153" t="s">
        <v>1626</v>
      </c>
      <c r="G28" s="151" t="s">
        <v>298</v>
      </c>
      <c r="H28" s="151" t="s">
        <v>95</v>
      </c>
      <c r="I28" s="154">
        <v>9.8000000000000007</v>
      </c>
      <c r="J28" s="153" t="str">
        <f t="shared" si="2"/>
        <v>No</v>
      </c>
      <c r="K28" s="152">
        <f t="shared" si="0"/>
        <v>0</v>
      </c>
      <c r="L28" s="152"/>
      <c r="M28" s="155" t="s">
        <v>1679</v>
      </c>
    </row>
    <row r="29" spans="1:21" s="151" customFormat="1" x14ac:dyDescent="0.25">
      <c r="A29" s="175" t="s">
        <v>104</v>
      </c>
      <c r="B29" s="175" t="s">
        <v>103</v>
      </c>
      <c r="C29" s="175" t="s">
        <v>2369</v>
      </c>
      <c r="D29" s="152" t="s">
        <v>1882</v>
      </c>
      <c r="E29" s="151" t="s">
        <v>1883</v>
      </c>
      <c r="F29" s="153" t="s">
        <v>1626</v>
      </c>
      <c r="G29" s="151" t="s">
        <v>298</v>
      </c>
      <c r="H29" s="151" t="s">
        <v>95</v>
      </c>
      <c r="I29" s="154">
        <v>159</v>
      </c>
      <c r="J29" s="153" t="str">
        <f t="shared" si="2"/>
        <v>Si</v>
      </c>
      <c r="K29" s="152">
        <f t="shared" si="0"/>
        <v>159</v>
      </c>
      <c r="L29"/>
      <c r="M29" s="25" t="s">
        <v>2368</v>
      </c>
      <c r="N29"/>
      <c r="O29"/>
      <c r="P29"/>
      <c r="Q29"/>
      <c r="R29"/>
      <c r="S29"/>
      <c r="T29"/>
      <c r="U29"/>
    </row>
    <row r="30" spans="1:21" s="151" customFormat="1" x14ac:dyDescent="0.25">
      <c r="A30" s="151" t="s">
        <v>750</v>
      </c>
      <c r="B30" s="151" t="s">
        <v>28</v>
      </c>
      <c r="C30" s="151" t="s">
        <v>1740</v>
      </c>
      <c r="D30" s="152" t="s">
        <v>298</v>
      </c>
      <c r="E30" s="151" t="s">
        <v>95</v>
      </c>
      <c r="F30" s="153" t="s">
        <v>1626</v>
      </c>
      <c r="G30" s="151" t="s">
        <v>298</v>
      </c>
      <c r="H30" s="151" t="s">
        <v>95</v>
      </c>
      <c r="I30" s="154">
        <v>3.4</v>
      </c>
      <c r="J30" s="153" t="str">
        <f t="shared" si="2"/>
        <v>No</v>
      </c>
      <c r="K30" s="152">
        <f t="shared" si="0"/>
        <v>0</v>
      </c>
      <c r="L30" s="152"/>
      <c r="M30" s="155" t="s">
        <v>1741</v>
      </c>
    </row>
    <row r="31" spans="1:21" s="151" customFormat="1" x14ac:dyDescent="0.25">
      <c r="A31" s="188" t="s">
        <v>470</v>
      </c>
      <c r="B31" s="151" t="s">
        <v>28</v>
      </c>
      <c r="C31" s="151" t="s">
        <v>1701</v>
      </c>
      <c r="D31" s="152" t="s">
        <v>298</v>
      </c>
      <c r="E31" s="151" t="s">
        <v>95</v>
      </c>
      <c r="F31" s="153" t="s">
        <v>1626</v>
      </c>
      <c r="G31" s="151" t="s">
        <v>298</v>
      </c>
      <c r="H31" s="151" t="s">
        <v>95</v>
      </c>
      <c r="I31" s="154">
        <v>12.4</v>
      </c>
      <c r="J31" s="153" t="str">
        <f t="shared" si="2"/>
        <v>No</v>
      </c>
      <c r="K31" s="152">
        <f t="shared" si="0"/>
        <v>0</v>
      </c>
      <c r="L31" s="152"/>
      <c r="M31" s="155" t="s">
        <v>1702</v>
      </c>
    </row>
    <row r="32" spans="1:21" s="151" customFormat="1" x14ac:dyDescent="0.25">
      <c r="A32" s="151" t="s">
        <v>371</v>
      </c>
      <c r="B32" s="151" t="s">
        <v>28</v>
      </c>
      <c r="C32" s="151" t="s">
        <v>1706</v>
      </c>
      <c r="D32" s="152" t="s">
        <v>298</v>
      </c>
      <c r="E32" s="151" t="s">
        <v>95</v>
      </c>
      <c r="F32" s="153" t="s">
        <v>1626</v>
      </c>
      <c r="G32" s="151" t="s">
        <v>298</v>
      </c>
      <c r="H32" s="151" t="s">
        <v>95</v>
      </c>
      <c r="I32" s="154">
        <v>14</v>
      </c>
      <c r="J32" s="153" t="str">
        <f t="shared" si="2"/>
        <v>No</v>
      </c>
      <c r="K32" s="152">
        <f t="shared" si="0"/>
        <v>0</v>
      </c>
      <c r="L32" s="152"/>
      <c r="M32" s="155" t="s">
        <v>1707</v>
      </c>
    </row>
    <row r="33" spans="1:13" s="151" customFormat="1" x14ac:dyDescent="0.25">
      <c r="A33" s="151" t="s">
        <v>1742</v>
      </c>
      <c r="B33" s="151" t="s">
        <v>28</v>
      </c>
      <c r="C33" s="151" t="s">
        <v>1743</v>
      </c>
      <c r="D33" s="152" t="s">
        <v>298</v>
      </c>
      <c r="E33" s="151" t="s">
        <v>95</v>
      </c>
      <c r="F33" s="153" t="s">
        <v>1626</v>
      </c>
      <c r="G33" s="151" t="s">
        <v>298</v>
      </c>
      <c r="H33" s="151" t="s">
        <v>95</v>
      </c>
      <c r="I33" s="154">
        <v>12.5</v>
      </c>
      <c r="J33" s="153" t="str">
        <f t="shared" si="2"/>
        <v>No</v>
      </c>
      <c r="K33" s="152">
        <f t="shared" si="0"/>
        <v>0</v>
      </c>
      <c r="L33" s="152"/>
      <c r="M33" s="155" t="s">
        <v>1744</v>
      </c>
    </row>
    <row r="34" spans="1:13" s="151" customFormat="1" x14ac:dyDescent="0.25">
      <c r="A34" s="25" t="s">
        <v>2284</v>
      </c>
      <c r="B34" s="151" t="s">
        <v>28</v>
      </c>
      <c r="C34" s="175" t="s">
        <v>2422</v>
      </c>
      <c r="D34" s="152" t="s">
        <v>1882</v>
      </c>
      <c r="E34" s="151" t="s">
        <v>1883</v>
      </c>
      <c r="F34" s="153" t="s">
        <v>1626</v>
      </c>
      <c r="G34" s="151" t="s">
        <v>298</v>
      </c>
      <c r="H34" s="151" t="s">
        <v>95</v>
      </c>
      <c r="I34" s="154">
        <v>148</v>
      </c>
      <c r="J34" s="153" t="str">
        <f t="shared" si="2"/>
        <v>Si</v>
      </c>
      <c r="K34" s="152">
        <f t="shared" ref="K34:K65" si="3">IF(J34="si",I34,0)</f>
        <v>148</v>
      </c>
      <c r="L34" s="152"/>
      <c r="M34" s="155" t="s">
        <v>2423</v>
      </c>
    </row>
    <row r="35" spans="1:13" s="151" customFormat="1" x14ac:dyDescent="0.25">
      <c r="A35" s="151" t="s">
        <v>1026</v>
      </c>
      <c r="B35" s="151" t="s">
        <v>28</v>
      </c>
      <c r="C35" s="151" t="s">
        <v>1721</v>
      </c>
      <c r="D35" s="152" t="s">
        <v>1454</v>
      </c>
      <c r="E35" s="151" t="s">
        <v>95</v>
      </c>
      <c r="F35" s="153" t="s">
        <v>1626</v>
      </c>
      <c r="G35" s="151" t="s">
        <v>298</v>
      </c>
      <c r="H35" s="151" t="s">
        <v>95</v>
      </c>
      <c r="I35" s="154">
        <v>127</v>
      </c>
      <c r="J35" s="153" t="str">
        <f t="shared" si="2"/>
        <v>Si</v>
      </c>
      <c r="K35" s="152">
        <f t="shared" si="3"/>
        <v>127</v>
      </c>
      <c r="L35" s="152"/>
      <c r="M35" s="155" t="s">
        <v>1722</v>
      </c>
    </row>
    <row r="36" spans="1:13" s="151" customFormat="1" x14ac:dyDescent="0.25">
      <c r="A36" s="151" t="s">
        <v>1714</v>
      </c>
      <c r="B36" s="151" t="s">
        <v>28</v>
      </c>
      <c r="C36" s="151" t="s">
        <v>1715</v>
      </c>
      <c r="D36" s="152" t="s">
        <v>1716</v>
      </c>
      <c r="E36" s="151" t="s">
        <v>95</v>
      </c>
      <c r="F36" s="153" t="s">
        <v>1626</v>
      </c>
      <c r="G36" s="151" t="s">
        <v>298</v>
      </c>
      <c r="H36" s="151" t="s">
        <v>95</v>
      </c>
      <c r="I36" s="154">
        <v>210</v>
      </c>
      <c r="J36" s="153" t="str">
        <f t="shared" si="2"/>
        <v>Si</v>
      </c>
      <c r="K36" s="152">
        <f t="shared" si="3"/>
        <v>210</v>
      </c>
      <c r="L36" s="152"/>
      <c r="M36" s="155" t="s">
        <v>1717</v>
      </c>
    </row>
    <row r="37" spans="1:13" s="151" customFormat="1" x14ac:dyDescent="0.25">
      <c r="A37" s="151" t="s">
        <v>200</v>
      </c>
      <c r="B37" s="151" t="s">
        <v>28</v>
      </c>
      <c r="C37" s="151" t="s">
        <v>1723</v>
      </c>
      <c r="D37" s="152" t="s">
        <v>1724</v>
      </c>
      <c r="E37" s="151" t="s">
        <v>95</v>
      </c>
      <c r="F37" s="153" t="s">
        <v>1626</v>
      </c>
      <c r="G37" s="151" t="s">
        <v>298</v>
      </c>
      <c r="H37" s="151" t="s">
        <v>95</v>
      </c>
      <c r="I37" s="154">
        <v>251</v>
      </c>
      <c r="J37" s="153" t="str">
        <f t="shared" si="2"/>
        <v>Si</v>
      </c>
      <c r="K37" s="152">
        <f t="shared" si="3"/>
        <v>251</v>
      </c>
      <c r="L37" s="152"/>
      <c r="M37" s="155" t="s">
        <v>1725</v>
      </c>
    </row>
    <row r="38" spans="1:13" s="151" customFormat="1" x14ac:dyDescent="0.25">
      <c r="A38" s="151" t="s">
        <v>1703</v>
      </c>
      <c r="B38" s="151" t="s">
        <v>28</v>
      </c>
      <c r="C38" s="151" t="s">
        <v>1704</v>
      </c>
      <c r="D38" s="152" t="s">
        <v>1705</v>
      </c>
      <c r="E38" s="151" t="s">
        <v>95</v>
      </c>
      <c r="F38" s="153" t="s">
        <v>5089</v>
      </c>
      <c r="G38" s="151" t="s">
        <v>4889</v>
      </c>
      <c r="H38" s="151" t="s">
        <v>95</v>
      </c>
      <c r="I38" s="154">
        <v>242</v>
      </c>
      <c r="J38" s="153" t="str">
        <f t="shared" si="2"/>
        <v>Si</v>
      </c>
      <c r="K38" s="152">
        <f t="shared" si="3"/>
        <v>242</v>
      </c>
      <c r="L38" s="152"/>
      <c r="M38" s="158" t="s">
        <v>4043</v>
      </c>
    </row>
    <row r="39" spans="1:13" s="151" customFormat="1" x14ac:dyDescent="0.25">
      <c r="A39" s="151" t="s">
        <v>396</v>
      </c>
      <c r="B39" s="151" t="s">
        <v>28</v>
      </c>
      <c r="C39" s="151" t="s">
        <v>1747</v>
      </c>
      <c r="D39" s="152" t="s">
        <v>1748</v>
      </c>
      <c r="E39" s="151" t="s">
        <v>95</v>
      </c>
      <c r="F39" s="153" t="s">
        <v>1626</v>
      </c>
      <c r="G39" s="151" t="s">
        <v>298</v>
      </c>
      <c r="H39" s="151" t="s">
        <v>95</v>
      </c>
      <c r="I39" s="154">
        <v>86.5</v>
      </c>
      <c r="J39" s="153" t="str">
        <f t="shared" si="2"/>
        <v>Si</v>
      </c>
      <c r="K39" s="152">
        <f t="shared" si="3"/>
        <v>86.5</v>
      </c>
      <c r="L39" s="152"/>
      <c r="M39" s="155" t="s">
        <v>1749</v>
      </c>
    </row>
    <row r="40" spans="1:13" s="151" customFormat="1" x14ac:dyDescent="0.25">
      <c r="A40" s="151" t="s">
        <v>1160</v>
      </c>
      <c r="B40" s="151" t="s">
        <v>28</v>
      </c>
      <c r="C40" s="151" t="s">
        <v>1766</v>
      </c>
      <c r="D40" s="152" t="s">
        <v>148</v>
      </c>
      <c r="E40" s="151" t="s">
        <v>95</v>
      </c>
      <c r="F40" s="153" t="s">
        <v>1626</v>
      </c>
      <c r="G40" s="151" t="s">
        <v>298</v>
      </c>
      <c r="H40" s="151" t="s">
        <v>95</v>
      </c>
      <c r="I40" s="154">
        <v>56.5</v>
      </c>
      <c r="J40" s="153" t="str">
        <f t="shared" si="2"/>
        <v>Si</v>
      </c>
      <c r="K40" s="152">
        <f t="shared" si="3"/>
        <v>56.5</v>
      </c>
      <c r="L40" s="152"/>
      <c r="M40" s="158" t="s">
        <v>4317</v>
      </c>
    </row>
    <row r="41" spans="1:13" s="151" customFormat="1" x14ac:dyDescent="0.25">
      <c r="A41" s="151" t="s">
        <v>759</v>
      </c>
      <c r="B41" s="151" t="s">
        <v>28</v>
      </c>
      <c r="C41" s="151" t="s">
        <v>1745</v>
      </c>
      <c r="D41" s="152" t="s">
        <v>298</v>
      </c>
      <c r="E41" s="151" t="s">
        <v>95</v>
      </c>
      <c r="F41" s="153" t="s">
        <v>1626</v>
      </c>
      <c r="G41" s="151" t="s">
        <v>298</v>
      </c>
      <c r="H41" s="151" t="s">
        <v>95</v>
      </c>
      <c r="I41" s="154">
        <v>7.9</v>
      </c>
      <c r="J41" s="153" t="str">
        <f t="shared" si="2"/>
        <v>No</v>
      </c>
      <c r="K41" s="152">
        <f t="shared" si="3"/>
        <v>0</v>
      </c>
      <c r="L41" s="152"/>
      <c r="M41" s="155" t="s">
        <v>1746</v>
      </c>
    </row>
    <row r="42" spans="1:13" s="151" customFormat="1" x14ac:dyDescent="0.25">
      <c r="A42" s="151" t="s">
        <v>724</v>
      </c>
      <c r="B42" s="151" t="s">
        <v>28</v>
      </c>
      <c r="C42" s="151" t="s">
        <v>1738</v>
      </c>
      <c r="D42" s="152" t="s">
        <v>241</v>
      </c>
      <c r="E42" s="151" t="s">
        <v>95</v>
      </c>
      <c r="F42" s="153" t="s">
        <v>1626</v>
      </c>
      <c r="G42" s="151" t="s">
        <v>298</v>
      </c>
      <c r="H42" s="151" t="s">
        <v>95</v>
      </c>
      <c r="I42" s="154">
        <v>149</v>
      </c>
      <c r="J42" s="153" t="str">
        <f t="shared" si="2"/>
        <v>Si</v>
      </c>
      <c r="K42" s="152">
        <f t="shared" si="3"/>
        <v>149</v>
      </c>
      <c r="L42" s="152"/>
      <c r="M42" s="155" t="s">
        <v>1739</v>
      </c>
    </row>
    <row r="43" spans="1:13" s="151" customFormat="1" x14ac:dyDescent="0.25">
      <c r="A43" s="151" t="s">
        <v>1329</v>
      </c>
      <c r="B43" s="151" t="s">
        <v>28</v>
      </c>
      <c r="C43" s="151" t="s">
        <v>1687</v>
      </c>
      <c r="D43" s="152" t="s">
        <v>1688</v>
      </c>
      <c r="E43" s="151" t="s">
        <v>95</v>
      </c>
      <c r="F43" s="153" t="s">
        <v>1626</v>
      </c>
      <c r="G43" s="151" t="s">
        <v>298</v>
      </c>
      <c r="H43" s="151" t="s">
        <v>95</v>
      </c>
      <c r="I43" s="154">
        <v>29.2</v>
      </c>
      <c r="J43" s="153" t="str">
        <f t="shared" si="2"/>
        <v>No</v>
      </c>
      <c r="K43" s="152">
        <f t="shared" si="3"/>
        <v>0</v>
      </c>
      <c r="L43" s="152"/>
      <c r="M43" s="155" t="s">
        <v>1689</v>
      </c>
    </row>
    <row r="44" spans="1:13" s="151" customFormat="1" x14ac:dyDescent="0.25">
      <c r="A44" s="151" t="s">
        <v>1300</v>
      </c>
      <c r="B44" s="151" t="s">
        <v>28</v>
      </c>
      <c r="C44" s="151" t="s">
        <v>1708</v>
      </c>
      <c r="D44" s="152" t="s">
        <v>1709</v>
      </c>
      <c r="E44" s="151" t="s">
        <v>95</v>
      </c>
      <c r="F44" s="153" t="s">
        <v>1626</v>
      </c>
      <c r="G44" s="151" t="s">
        <v>298</v>
      </c>
      <c r="H44" s="151" t="s">
        <v>95</v>
      </c>
      <c r="I44" s="154">
        <v>204</v>
      </c>
      <c r="J44" s="153" t="str">
        <f t="shared" si="2"/>
        <v>Si</v>
      </c>
      <c r="K44" s="152">
        <f t="shared" si="3"/>
        <v>204</v>
      </c>
      <c r="L44" s="152"/>
      <c r="M44" s="158" t="s">
        <v>4043</v>
      </c>
    </row>
    <row r="45" spans="1:13" s="151" customFormat="1" x14ac:dyDescent="0.25">
      <c r="A45" s="151" t="s">
        <v>1099</v>
      </c>
      <c r="B45" s="151" t="s">
        <v>28</v>
      </c>
      <c r="C45" s="151" t="s">
        <v>1753</v>
      </c>
      <c r="D45" s="152" t="s">
        <v>1754</v>
      </c>
      <c r="E45" s="151" t="s">
        <v>95</v>
      </c>
      <c r="F45" s="153" t="s">
        <v>1626</v>
      </c>
      <c r="G45" s="151" t="s">
        <v>298</v>
      </c>
      <c r="H45" s="151" t="s">
        <v>95</v>
      </c>
      <c r="I45" s="154">
        <v>61.4</v>
      </c>
      <c r="J45" s="153" t="str">
        <f t="shared" si="2"/>
        <v>Si</v>
      </c>
      <c r="K45" s="152">
        <f t="shared" si="3"/>
        <v>61.4</v>
      </c>
      <c r="L45" s="152"/>
      <c r="M45" s="155" t="s">
        <v>1755</v>
      </c>
    </row>
    <row r="46" spans="1:13" s="151" customFormat="1" x14ac:dyDescent="0.25">
      <c r="A46" s="151" t="s">
        <v>1103</v>
      </c>
      <c r="B46" s="151" t="s">
        <v>28</v>
      </c>
      <c r="C46" s="151" t="s">
        <v>1736</v>
      </c>
      <c r="D46" s="152" t="s">
        <v>1634</v>
      </c>
      <c r="E46" s="151" t="s">
        <v>95</v>
      </c>
      <c r="F46" s="153" t="s">
        <v>1626</v>
      </c>
      <c r="G46" s="151" t="s">
        <v>298</v>
      </c>
      <c r="H46" s="151" t="s">
        <v>95</v>
      </c>
      <c r="I46" s="154">
        <v>75.3</v>
      </c>
      <c r="J46" s="153" t="str">
        <f t="shared" si="2"/>
        <v>Si</v>
      </c>
      <c r="K46" s="152">
        <f t="shared" si="3"/>
        <v>75.3</v>
      </c>
      <c r="L46" s="152"/>
      <c r="M46" s="155" t="s">
        <v>1737</v>
      </c>
    </row>
    <row r="47" spans="1:13" s="151" customFormat="1" x14ac:dyDescent="0.25">
      <c r="A47" s="151" t="s">
        <v>462</v>
      </c>
      <c r="B47" s="151" t="s">
        <v>28</v>
      </c>
      <c r="C47" s="151" t="s">
        <v>1726</v>
      </c>
      <c r="D47" s="152" t="s">
        <v>1727</v>
      </c>
      <c r="E47" s="151" t="s">
        <v>95</v>
      </c>
      <c r="F47" s="153" t="s">
        <v>1626</v>
      </c>
      <c r="G47" s="151" t="s">
        <v>298</v>
      </c>
      <c r="H47" s="151" t="s">
        <v>95</v>
      </c>
      <c r="I47" s="154">
        <v>45.4</v>
      </c>
      <c r="J47" s="153" t="str">
        <f t="shared" si="2"/>
        <v>Si</v>
      </c>
      <c r="K47" s="152">
        <f t="shared" si="3"/>
        <v>45.4</v>
      </c>
      <c r="L47" s="152"/>
      <c r="M47" s="155" t="s">
        <v>1728</v>
      </c>
    </row>
    <row r="48" spans="1:13" s="151" customFormat="1" x14ac:dyDescent="0.25">
      <c r="A48" s="151" t="s">
        <v>753</v>
      </c>
      <c r="B48" s="151" t="s">
        <v>28</v>
      </c>
      <c r="C48" s="151" t="s">
        <v>1760</v>
      </c>
      <c r="D48" s="152" t="s">
        <v>298</v>
      </c>
      <c r="E48" s="151" t="s">
        <v>95</v>
      </c>
      <c r="F48" s="153" t="s">
        <v>1626</v>
      </c>
      <c r="G48" s="151" t="s">
        <v>298</v>
      </c>
      <c r="H48" s="151" t="s">
        <v>95</v>
      </c>
      <c r="I48" s="154">
        <v>9.6</v>
      </c>
      <c r="J48" s="153" t="str">
        <f t="shared" si="2"/>
        <v>No</v>
      </c>
      <c r="K48" s="152">
        <f t="shared" si="3"/>
        <v>0</v>
      </c>
      <c r="L48" s="152"/>
      <c r="M48" s="155" t="s">
        <v>1761</v>
      </c>
    </row>
    <row r="49" spans="1:13" s="151" customFormat="1" x14ac:dyDescent="0.25">
      <c r="A49" s="151" t="s">
        <v>1409</v>
      </c>
      <c r="B49" s="151" t="s">
        <v>28</v>
      </c>
      <c r="C49" s="151" t="s">
        <v>1750</v>
      </c>
      <c r="D49" s="152" t="s">
        <v>1751</v>
      </c>
      <c r="E49" s="151" t="s">
        <v>95</v>
      </c>
      <c r="F49" s="153" t="s">
        <v>1626</v>
      </c>
      <c r="G49" s="151" t="s">
        <v>298</v>
      </c>
      <c r="H49" s="151" t="s">
        <v>95</v>
      </c>
      <c r="I49" s="154">
        <v>25.6</v>
      </c>
      <c r="J49" s="153" t="str">
        <f t="shared" si="2"/>
        <v>No</v>
      </c>
      <c r="K49" s="152">
        <f t="shared" si="3"/>
        <v>0</v>
      </c>
      <c r="L49" s="152"/>
      <c r="M49" s="155" t="s">
        <v>1752</v>
      </c>
    </row>
    <row r="50" spans="1:13" s="151" customFormat="1" x14ac:dyDescent="0.25">
      <c r="A50" s="151" t="s">
        <v>1297</v>
      </c>
      <c r="B50" s="151" t="s">
        <v>28</v>
      </c>
      <c r="C50" s="151" t="s">
        <v>1696</v>
      </c>
      <c r="D50" s="152" t="s">
        <v>1697</v>
      </c>
      <c r="E50" s="151" t="s">
        <v>95</v>
      </c>
      <c r="F50" s="153" t="s">
        <v>1626</v>
      </c>
      <c r="G50" s="151" t="s">
        <v>298</v>
      </c>
      <c r="H50" s="151" t="s">
        <v>95</v>
      </c>
      <c r="I50" s="154">
        <v>31.6</v>
      </c>
      <c r="J50" s="153" t="str">
        <f t="shared" ref="J50:J74" si="4">IF(I50&gt;30,"Si","No")</f>
        <v>Si</v>
      </c>
      <c r="K50" s="152">
        <f t="shared" si="3"/>
        <v>31.6</v>
      </c>
      <c r="L50" s="152"/>
      <c r="M50" s="155" t="s">
        <v>1698</v>
      </c>
    </row>
    <row r="51" spans="1:13" s="151" customFormat="1" x14ac:dyDescent="0.25">
      <c r="A51" s="151" t="s">
        <v>383</v>
      </c>
      <c r="B51" s="151" t="s">
        <v>28</v>
      </c>
      <c r="C51" s="151" t="s">
        <v>1718</v>
      </c>
      <c r="D51" s="152" t="s">
        <v>1719</v>
      </c>
      <c r="E51" s="151" t="s">
        <v>95</v>
      </c>
      <c r="F51" s="153" t="s">
        <v>1626</v>
      </c>
      <c r="G51" s="151" t="s">
        <v>298</v>
      </c>
      <c r="H51" s="151" t="s">
        <v>95</v>
      </c>
      <c r="I51" s="154">
        <v>354</v>
      </c>
      <c r="J51" s="153" t="str">
        <f t="shared" si="4"/>
        <v>Si</v>
      </c>
      <c r="K51" s="152">
        <f t="shared" si="3"/>
        <v>354</v>
      </c>
      <c r="L51" s="152"/>
      <c r="M51" s="155" t="s">
        <v>1720</v>
      </c>
    </row>
    <row r="52" spans="1:13" s="151" customFormat="1" x14ac:dyDescent="0.25">
      <c r="A52" s="151" t="s">
        <v>1762</v>
      </c>
      <c r="B52" s="151" t="s">
        <v>28</v>
      </c>
      <c r="C52" s="151" t="s">
        <v>1763</v>
      </c>
      <c r="D52" s="152" t="s">
        <v>1764</v>
      </c>
      <c r="E52" s="151" t="s">
        <v>95</v>
      </c>
      <c r="F52" s="153" t="s">
        <v>1626</v>
      </c>
      <c r="G52" s="151" t="s">
        <v>298</v>
      </c>
      <c r="H52" s="151" t="s">
        <v>95</v>
      </c>
      <c r="I52" s="154">
        <v>376</v>
      </c>
      <c r="J52" s="153" t="str">
        <f t="shared" si="4"/>
        <v>Si</v>
      </c>
      <c r="K52" s="152">
        <f t="shared" si="3"/>
        <v>376</v>
      </c>
      <c r="L52" s="152"/>
      <c r="M52" s="155" t="s">
        <v>1765</v>
      </c>
    </row>
    <row r="53" spans="1:13" s="151" customFormat="1" x14ac:dyDescent="0.25">
      <c r="A53" s="25" t="s">
        <v>3066</v>
      </c>
      <c r="B53" s="151" t="s">
        <v>28</v>
      </c>
      <c r="C53" s="175" t="s">
        <v>3260</v>
      </c>
      <c r="D53" s="152" t="s">
        <v>3259</v>
      </c>
      <c r="E53" s="151" t="s">
        <v>1883</v>
      </c>
      <c r="F53" s="153" t="s">
        <v>1626</v>
      </c>
      <c r="G53" s="151" t="s">
        <v>298</v>
      </c>
      <c r="H53" s="151" t="s">
        <v>95</v>
      </c>
      <c r="I53" s="154">
        <v>234</v>
      </c>
      <c r="J53" s="153" t="str">
        <f t="shared" si="4"/>
        <v>Si</v>
      </c>
      <c r="K53" s="152">
        <f t="shared" si="3"/>
        <v>234</v>
      </c>
      <c r="L53" s="152"/>
      <c r="M53" s="155" t="s">
        <v>3261</v>
      </c>
    </row>
    <row r="54" spans="1:13" s="151" customFormat="1" x14ac:dyDescent="0.25">
      <c r="A54" s="25" t="s">
        <v>3200</v>
      </c>
      <c r="B54" s="151" t="s">
        <v>28</v>
      </c>
      <c r="C54" s="175" t="s">
        <v>3262</v>
      </c>
      <c r="D54" s="152" t="s">
        <v>3263</v>
      </c>
      <c r="E54" s="151" t="s">
        <v>1883</v>
      </c>
      <c r="F54" s="153" t="s">
        <v>1626</v>
      </c>
      <c r="G54" s="151" t="s">
        <v>298</v>
      </c>
      <c r="H54" s="151" t="s">
        <v>95</v>
      </c>
      <c r="I54" s="154">
        <v>315</v>
      </c>
      <c r="J54" s="153" t="str">
        <f t="shared" si="4"/>
        <v>Si</v>
      </c>
      <c r="K54" s="152">
        <f t="shared" si="3"/>
        <v>315</v>
      </c>
      <c r="L54" s="152"/>
      <c r="M54" s="155" t="s">
        <v>3264</v>
      </c>
    </row>
    <row r="55" spans="1:13" s="151" customFormat="1" x14ac:dyDescent="0.25">
      <c r="A55" s="151" t="s">
        <v>412</v>
      </c>
      <c r="B55" s="151" t="s">
        <v>28</v>
      </c>
      <c r="C55" s="151" t="s">
        <v>1685</v>
      </c>
      <c r="D55" s="152" t="s">
        <v>298</v>
      </c>
      <c r="E55" s="151" t="s">
        <v>95</v>
      </c>
      <c r="F55" s="153" t="s">
        <v>1626</v>
      </c>
      <c r="G55" s="151" t="s">
        <v>298</v>
      </c>
      <c r="H55" s="151" t="s">
        <v>95</v>
      </c>
      <c r="I55" s="154">
        <v>26.5</v>
      </c>
      <c r="J55" s="153" t="str">
        <f t="shared" si="4"/>
        <v>No</v>
      </c>
      <c r="K55" s="152">
        <f t="shared" si="3"/>
        <v>0</v>
      </c>
      <c r="L55" s="152"/>
      <c r="M55" s="155" t="s">
        <v>1686</v>
      </c>
    </row>
    <row r="56" spans="1:13" s="151" customFormat="1" x14ac:dyDescent="0.25">
      <c r="A56" s="25" t="s">
        <v>3216</v>
      </c>
      <c r="B56" s="151" t="s">
        <v>28</v>
      </c>
      <c r="C56" s="175" t="s">
        <v>3257</v>
      </c>
      <c r="D56" s="152" t="s">
        <v>3140</v>
      </c>
      <c r="E56" s="151" t="s">
        <v>1883</v>
      </c>
      <c r="F56" s="153" t="s">
        <v>1626</v>
      </c>
      <c r="G56" s="151" t="s">
        <v>298</v>
      </c>
      <c r="H56" s="151" t="s">
        <v>95</v>
      </c>
      <c r="I56" s="154">
        <v>382</v>
      </c>
      <c r="J56" s="153" t="str">
        <f t="shared" si="4"/>
        <v>Si</v>
      </c>
      <c r="K56" s="152">
        <f t="shared" si="3"/>
        <v>382</v>
      </c>
      <c r="L56" s="152"/>
      <c r="M56" s="155" t="s">
        <v>3258</v>
      </c>
    </row>
    <row r="57" spans="1:13" s="151" customFormat="1" x14ac:dyDescent="0.25">
      <c r="A57" s="151" t="s">
        <v>49</v>
      </c>
      <c r="B57" s="151" t="s">
        <v>28</v>
      </c>
      <c r="C57" s="151" t="s">
        <v>1690</v>
      </c>
      <c r="D57" s="152" t="s">
        <v>1691</v>
      </c>
      <c r="E57" s="151" t="s">
        <v>95</v>
      </c>
      <c r="F57" s="153" t="s">
        <v>1626</v>
      </c>
      <c r="G57" s="151" t="s">
        <v>298</v>
      </c>
      <c r="H57" s="151" t="s">
        <v>95</v>
      </c>
      <c r="I57" s="154">
        <v>18</v>
      </c>
      <c r="J57" s="153" t="str">
        <f t="shared" si="4"/>
        <v>No</v>
      </c>
      <c r="K57" s="152">
        <f t="shared" si="3"/>
        <v>0</v>
      </c>
      <c r="L57" s="152"/>
      <c r="M57" s="155" t="s">
        <v>1692</v>
      </c>
    </row>
    <row r="58" spans="1:13" s="151" customFormat="1" x14ac:dyDescent="0.25">
      <c r="A58" s="151" t="s">
        <v>1729</v>
      </c>
      <c r="B58" s="151" t="s">
        <v>28</v>
      </c>
      <c r="C58" s="151" t="s">
        <v>1730</v>
      </c>
      <c r="D58" s="152" t="s">
        <v>1731</v>
      </c>
      <c r="E58" s="151" t="s">
        <v>95</v>
      </c>
      <c r="F58" s="153" t="s">
        <v>1626</v>
      </c>
      <c r="G58" s="151" t="s">
        <v>298</v>
      </c>
      <c r="H58" s="151" t="s">
        <v>95</v>
      </c>
      <c r="I58" s="154">
        <v>290</v>
      </c>
      <c r="J58" s="153" t="str">
        <f t="shared" si="4"/>
        <v>Si</v>
      </c>
      <c r="K58" s="152">
        <f t="shared" si="3"/>
        <v>290</v>
      </c>
      <c r="L58" s="152"/>
      <c r="M58" s="155" t="s">
        <v>1732</v>
      </c>
    </row>
    <row r="59" spans="1:13" s="151" customFormat="1" x14ac:dyDescent="0.25">
      <c r="A59" s="151" t="s">
        <v>1710</v>
      </c>
      <c r="B59" s="151" t="s">
        <v>28</v>
      </c>
      <c r="C59" s="151" t="s">
        <v>1711</v>
      </c>
      <c r="D59" s="152" t="s">
        <v>1712</v>
      </c>
      <c r="E59" s="151" t="s">
        <v>95</v>
      </c>
      <c r="F59" s="153" t="s">
        <v>1626</v>
      </c>
      <c r="G59" s="151" t="s">
        <v>298</v>
      </c>
      <c r="H59" s="151" t="s">
        <v>95</v>
      </c>
      <c r="I59" s="154">
        <v>177</v>
      </c>
      <c r="J59" s="153" t="str">
        <f t="shared" si="4"/>
        <v>Si</v>
      </c>
      <c r="K59" s="152">
        <f t="shared" si="3"/>
        <v>177</v>
      </c>
      <c r="L59" s="152"/>
      <c r="M59" s="155" t="s">
        <v>1713</v>
      </c>
    </row>
    <row r="60" spans="1:13" s="151" customFormat="1" x14ac:dyDescent="0.25">
      <c r="A60" s="151" t="s">
        <v>1756</v>
      </c>
      <c r="B60" s="151" t="s">
        <v>28</v>
      </c>
      <c r="C60" s="151" t="s">
        <v>1757</v>
      </c>
      <c r="D60" s="152" t="s">
        <v>1758</v>
      </c>
      <c r="E60" s="151" t="s">
        <v>95</v>
      </c>
      <c r="F60" s="153" t="s">
        <v>1626</v>
      </c>
      <c r="G60" s="151" t="s">
        <v>298</v>
      </c>
      <c r="H60" s="151" t="s">
        <v>95</v>
      </c>
      <c r="I60" s="154">
        <v>118</v>
      </c>
      <c r="J60" s="153" t="str">
        <f t="shared" si="4"/>
        <v>Si</v>
      </c>
      <c r="K60" s="152">
        <f t="shared" si="3"/>
        <v>118</v>
      </c>
      <c r="L60" s="152"/>
      <c r="M60" s="155" t="s">
        <v>1759</v>
      </c>
    </row>
    <row r="61" spans="1:13" s="151" customFormat="1" x14ac:dyDescent="0.25">
      <c r="A61" s="151" t="s">
        <v>1183</v>
      </c>
      <c r="B61" s="151" t="s">
        <v>28</v>
      </c>
      <c r="C61" s="151" t="s">
        <v>1699</v>
      </c>
      <c r="D61" s="152" t="s">
        <v>1647</v>
      </c>
      <c r="E61" s="151" t="s">
        <v>95</v>
      </c>
      <c r="F61" s="153" t="s">
        <v>1626</v>
      </c>
      <c r="G61" s="151" t="s">
        <v>298</v>
      </c>
      <c r="H61" s="151" t="s">
        <v>95</v>
      </c>
      <c r="I61" s="154">
        <v>138</v>
      </c>
      <c r="J61" s="153" t="str">
        <f t="shared" si="4"/>
        <v>Si</v>
      </c>
      <c r="K61" s="152">
        <f t="shared" si="3"/>
        <v>138</v>
      </c>
      <c r="L61" s="152"/>
      <c r="M61" s="155" t="s">
        <v>1700</v>
      </c>
    </row>
    <row r="62" spans="1:13" s="151" customFormat="1" x14ac:dyDescent="0.25">
      <c r="A62" s="151" t="s">
        <v>267</v>
      </c>
      <c r="B62" s="151" t="s">
        <v>28</v>
      </c>
      <c r="C62" s="151" t="s">
        <v>1693</v>
      </c>
      <c r="D62" s="152" t="s">
        <v>1694</v>
      </c>
      <c r="E62" s="151" t="s">
        <v>95</v>
      </c>
      <c r="F62" s="153" t="s">
        <v>1626</v>
      </c>
      <c r="G62" s="151" t="s">
        <v>298</v>
      </c>
      <c r="H62" s="151" t="s">
        <v>95</v>
      </c>
      <c r="I62" s="154">
        <v>146</v>
      </c>
      <c r="J62" s="153" t="str">
        <f t="shared" si="4"/>
        <v>Si</v>
      </c>
      <c r="K62" s="152">
        <f t="shared" si="3"/>
        <v>146</v>
      </c>
      <c r="L62" s="152"/>
      <c r="M62" s="155" t="s">
        <v>1695</v>
      </c>
    </row>
    <row r="63" spans="1:13" s="151" customFormat="1" x14ac:dyDescent="0.25">
      <c r="A63" s="151" t="s">
        <v>1681</v>
      </c>
      <c r="B63" s="151" t="s">
        <v>28</v>
      </c>
      <c r="C63" s="151" t="s">
        <v>1682</v>
      </c>
      <c r="D63" s="152" t="s">
        <v>1683</v>
      </c>
      <c r="E63" s="151" t="s">
        <v>95</v>
      </c>
      <c r="F63" s="153" t="s">
        <v>1626</v>
      </c>
      <c r="G63" s="151" t="s">
        <v>298</v>
      </c>
      <c r="H63" s="151" t="s">
        <v>95</v>
      </c>
      <c r="I63" s="154">
        <v>191</v>
      </c>
      <c r="J63" s="153" t="str">
        <f t="shared" si="4"/>
        <v>Si</v>
      </c>
      <c r="K63" s="152">
        <f t="shared" si="3"/>
        <v>191</v>
      </c>
      <c r="L63" s="152"/>
      <c r="M63" s="155" t="s">
        <v>1684</v>
      </c>
    </row>
    <row r="64" spans="1:13" s="151" customFormat="1" x14ac:dyDescent="0.25">
      <c r="A64" s="151" t="s">
        <v>1733</v>
      </c>
      <c r="B64" s="151" t="s">
        <v>28</v>
      </c>
      <c r="C64" s="151" t="s">
        <v>1734</v>
      </c>
      <c r="D64" s="152" t="s">
        <v>298</v>
      </c>
      <c r="E64" s="151" t="s">
        <v>95</v>
      </c>
      <c r="F64" s="153" t="s">
        <v>1626</v>
      </c>
      <c r="G64" s="151" t="s">
        <v>298</v>
      </c>
      <c r="H64" s="151" t="s">
        <v>95</v>
      </c>
      <c r="I64" s="154">
        <v>3.9</v>
      </c>
      <c r="J64" s="153" t="str">
        <f t="shared" si="4"/>
        <v>No</v>
      </c>
      <c r="K64" s="152">
        <f t="shared" si="3"/>
        <v>0</v>
      </c>
      <c r="L64" s="152"/>
      <c r="M64" s="155" t="s">
        <v>1735</v>
      </c>
    </row>
    <row r="65" spans="1:21" s="151" customFormat="1" x14ac:dyDescent="0.25">
      <c r="A65" s="151" t="s">
        <v>41</v>
      </c>
      <c r="B65" s="151" t="s">
        <v>26</v>
      </c>
      <c r="C65" s="151" t="s">
        <v>1786</v>
      </c>
      <c r="D65" s="152" t="s">
        <v>298</v>
      </c>
      <c r="E65" s="151" t="s">
        <v>95</v>
      </c>
      <c r="F65" s="153" t="s">
        <v>1626</v>
      </c>
      <c r="G65" s="151" t="s">
        <v>298</v>
      </c>
      <c r="H65" s="151" t="s">
        <v>95</v>
      </c>
      <c r="I65" s="154">
        <v>6.8</v>
      </c>
      <c r="J65" s="153" t="str">
        <f t="shared" si="4"/>
        <v>No</v>
      </c>
      <c r="K65" s="152">
        <f t="shared" si="3"/>
        <v>0</v>
      </c>
      <c r="L65" s="152"/>
      <c r="M65" s="155" t="s">
        <v>1787</v>
      </c>
    </row>
    <row r="66" spans="1:21" s="151" customFormat="1" x14ac:dyDescent="0.25">
      <c r="A66" s="151" t="s">
        <v>226</v>
      </c>
      <c r="B66" s="151" t="s">
        <v>26</v>
      </c>
      <c r="C66" s="151" t="s">
        <v>1807</v>
      </c>
      <c r="D66" s="152" t="s">
        <v>241</v>
      </c>
      <c r="E66" s="151" t="s">
        <v>95</v>
      </c>
      <c r="F66" s="153" t="s">
        <v>1626</v>
      </c>
      <c r="G66" s="151" t="s">
        <v>298</v>
      </c>
      <c r="H66" s="151" t="s">
        <v>95</v>
      </c>
      <c r="I66" s="154">
        <v>149</v>
      </c>
      <c r="J66" s="153" t="str">
        <f t="shared" si="4"/>
        <v>Si</v>
      </c>
      <c r="K66" s="152">
        <f t="shared" ref="K66:K98" si="5">IF(J66="si",I66,0)</f>
        <v>149</v>
      </c>
      <c r="L66" s="152"/>
      <c r="M66" s="155" t="s">
        <v>1808</v>
      </c>
    </row>
    <row r="67" spans="1:21" s="151" customFormat="1" x14ac:dyDescent="0.25">
      <c r="A67" s="151" t="s">
        <v>2217</v>
      </c>
      <c r="B67" s="151" t="s">
        <v>26</v>
      </c>
      <c r="C67" s="175" t="s">
        <v>2250</v>
      </c>
      <c r="D67" s="152" t="s">
        <v>2251</v>
      </c>
      <c r="E67" s="151" t="s">
        <v>95</v>
      </c>
      <c r="F67" s="153" t="s">
        <v>1626</v>
      </c>
      <c r="G67" s="151" t="s">
        <v>298</v>
      </c>
      <c r="H67" s="151" t="s">
        <v>95</v>
      </c>
      <c r="I67" s="154">
        <v>227</v>
      </c>
      <c r="J67" s="153" t="str">
        <f t="shared" si="4"/>
        <v>Si</v>
      </c>
      <c r="K67" s="152">
        <f t="shared" si="5"/>
        <v>227</v>
      </c>
      <c r="L67" s="152"/>
      <c r="M67" s="158" t="s">
        <v>2265</v>
      </c>
      <c r="N67" s="176">
        <v>332312546</v>
      </c>
      <c r="O67" s="151" t="s">
        <v>2266</v>
      </c>
      <c r="P67" s="151" t="s">
        <v>2254</v>
      </c>
      <c r="Q67" s="151" t="s">
        <v>2267</v>
      </c>
      <c r="R67" s="151" t="s">
        <v>2268</v>
      </c>
      <c r="S67" s="151" t="s">
        <v>2269</v>
      </c>
      <c r="T67" s="151" t="s">
        <v>2258</v>
      </c>
      <c r="U67" s="151" t="s">
        <v>2259</v>
      </c>
    </row>
    <row r="68" spans="1:21" s="151" customFormat="1" x14ac:dyDescent="0.25">
      <c r="A68" s="151" t="s">
        <v>228</v>
      </c>
      <c r="B68" s="151" t="s">
        <v>26</v>
      </c>
      <c r="C68" s="151" t="s">
        <v>1817</v>
      </c>
      <c r="D68" s="152" t="s">
        <v>298</v>
      </c>
      <c r="E68" s="151" t="s">
        <v>95</v>
      </c>
      <c r="F68" s="153" t="s">
        <v>1626</v>
      </c>
      <c r="G68" s="151" t="s">
        <v>298</v>
      </c>
      <c r="H68" s="151" t="s">
        <v>95</v>
      </c>
      <c r="I68" s="154">
        <v>8.3000000000000007</v>
      </c>
      <c r="J68" s="153" t="str">
        <f t="shared" si="4"/>
        <v>No</v>
      </c>
      <c r="K68" s="152">
        <f t="shared" si="5"/>
        <v>0</v>
      </c>
      <c r="L68" s="152"/>
      <c r="M68" s="155" t="s">
        <v>1818</v>
      </c>
    </row>
    <row r="69" spans="1:21" s="151" customFormat="1" x14ac:dyDescent="0.25">
      <c r="A69" s="151" t="s">
        <v>497</v>
      </c>
      <c r="B69" s="151" t="s">
        <v>26</v>
      </c>
      <c r="C69" s="151" t="s">
        <v>2707</v>
      </c>
      <c r="D69" s="152" t="s">
        <v>1882</v>
      </c>
      <c r="E69" s="151" t="s">
        <v>1883</v>
      </c>
      <c r="F69" s="153" t="s">
        <v>1626</v>
      </c>
      <c r="G69" s="151" t="s">
        <v>298</v>
      </c>
      <c r="H69" s="151" t="s">
        <v>95</v>
      </c>
      <c r="I69" s="154">
        <v>148</v>
      </c>
      <c r="J69" s="153" t="str">
        <f t="shared" si="4"/>
        <v>Si</v>
      </c>
      <c r="K69" s="152">
        <f t="shared" si="5"/>
        <v>148</v>
      </c>
      <c r="L69" s="152"/>
      <c r="M69" s="158" t="s">
        <v>4043</v>
      </c>
    </row>
    <row r="70" spans="1:21" s="151" customFormat="1" x14ac:dyDescent="0.25">
      <c r="A70" s="151" t="s">
        <v>204</v>
      </c>
      <c r="B70" s="151" t="s">
        <v>26</v>
      </c>
      <c r="C70" s="151" t="s">
        <v>1779</v>
      </c>
      <c r="D70" s="152" t="s">
        <v>298</v>
      </c>
      <c r="E70" s="151" t="s">
        <v>95</v>
      </c>
      <c r="F70" s="153" t="s">
        <v>1626</v>
      </c>
      <c r="G70" s="151" t="s">
        <v>298</v>
      </c>
      <c r="H70" s="151" t="s">
        <v>95</v>
      </c>
      <c r="I70" s="154">
        <v>9.5</v>
      </c>
      <c r="J70" s="153" t="str">
        <f t="shared" si="4"/>
        <v>No</v>
      </c>
      <c r="K70" s="152">
        <f t="shared" si="5"/>
        <v>0</v>
      </c>
      <c r="L70" s="152"/>
      <c r="M70" s="155" t="s">
        <v>1780</v>
      </c>
    </row>
    <row r="71" spans="1:21" s="151" customFormat="1" x14ac:dyDescent="0.25">
      <c r="A71" s="151" t="s">
        <v>556</v>
      </c>
      <c r="B71" s="151" t="s">
        <v>26</v>
      </c>
      <c r="C71" s="151" t="s">
        <v>1794</v>
      </c>
      <c r="D71" s="152" t="s">
        <v>298</v>
      </c>
      <c r="E71" s="151" t="s">
        <v>95</v>
      </c>
      <c r="F71" s="153" t="s">
        <v>1626</v>
      </c>
      <c r="G71" s="151" t="s">
        <v>298</v>
      </c>
      <c r="H71" s="151" t="s">
        <v>95</v>
      </c>
      <c r="I71" s="154">
        <v>7.3</v>
      </c>
      <c r="J71" s="153" t="str">
        <f t="shared" si="4"/>
        <v>No</v>
      </c>
      <c r="K71" s="152">
        <f t="shared" si="5"/>
        <v>0</v>
      </c>
      <c r="L71" s="152"/>
      <c r="M71" s="155" t="s">
        <v>1795</v>
      </c>
    </row>
    <row r="72" spans="1:21" s="151" customFormat="1" x14ac:dyDescent="0.25">
      <c r="A72" s="151" t="s">
        <v>224</v>
      </c>
      <c r="B72" s="151" t="s">
        <v>26</v>
      </c>
      <c r="C72" s="151" t="s">
        <v>1773</v>
      </c>
      <c r="D72" s="152" t="s">
        <v>148</v>
      </c>
      <c r="E72" s="151" t="s">
        <v>95</v>
      </c>
      <c r="F72" s="153" t="s">
        <v>1626</v>
      </c>
      <c r="G72" s="151" t="s">
        <v>298</v>
      </c>
      <c r="H72" s="151" t="s">
        <v>95</v>
      </c>
      <c r="I72" s="154">
        <v>57.6</v>
      </c>
      <c r="J72" s="153" t="str">
        <f t="shared" si="4"/>
        <v>Si</v>
      </c>
      <c r="K72" s="152">
        <f t="shared" si="5"/>
        <v>57.6</v>
      </c>
      <c r="L72" s="152"/>
      <c r="M72" s="155" t="s">
        <v>1774</v>
      </c>
    </row>
    <row r="73" spans="1:21" s="151" customFormat="1" x14ac:dyDescent="0.25">
      <c r="A73" s="151" t="s">
        <v>582</v>
      </c>
      <c r="B73" s="151" t="s">
        <v>26</v>
      </c>
      <c r="C73" s="151" t="s">
        <v>1803</v>
      </c>
      <c r="D73" s="152" t="s">
        <v>298</v>
      </c>
      <c r="E73" s="151" t="s">
        <v>95</v>
      </c>
      <c r="F73" s="153" t="s">
        <v>1626</v>
      </c>
      <c r="G73" s="151" t="s">
        <v>298</v>
      </c>
      <c r="H73" s="151" t="s">
        <v>95</v>
      </c>
      <c r="I73" s="154">
        <v>3.4</v>
      </c>
      <c r="J73" s="153" t="str">
        <f t="shared" si="4"/>
        <v>No</v>
      </c>
      <c r="K73" s="152">
        <f t="shared" si="5"/>
        <v>0</v>
      </c>
      <c r="L73" s="152"/>
      <c r="M73" s="155" t="s">
        <v>1804</v>
      </c>
    </row>
    <row r="74" spans="1:21" s="151" customFormat="1" x14ac:dyDescent="0.25">
      <c r="A74" s="151" t="s">
        <v>521</v>
      </c>
      <c r="B74" s="151" t="s">
        <v>26</v>
      </c>
      <c r="C74" s="151" t="s">
        <v>1777</v>
      </c>
      <c r="D74" s="152" t="s">
        <v>298</v>
      </c>
      <c r="E74" s="151" t="s">
        <v>95</v>
      </c>
      <c r="F74" s="153" t="s">
        <v>1626</v>
      </c>
      <c r="G74" s="151" t="s">
        <v>298</v>
      </c>
      <c r="H74" s="151" t="s">
        <v>95</v>
      </c>
      <c r="I74" s="154">
        <v>11.3</v>
      </c>
      <c r="J74" s="153" t="str">
        <f t="shared" si="4"/>
        <v>No</v>
      </c>
      <c r="K74" s="152">
        <f t="shared" si="5"/>
        <v>0</v>
      </c>
      <c r="L74" s="152"/>
      <c r="M74" s="155" t="s">
        <v>1778</v>
      </c>
    </row>
    <row r="75" spans="1:21" s="151" customFormat="1" x14ac:dyDescent="0.25">
      <c r="A75" s="151" t="s">
        <v>3037</v>
      </c>
      <c r="B75" s="151" t="s">
        <v>26</v>
      </c>
      <c r="C75" s="151" t="s">
        <v>3057</v>
      </c>
      <c r="D75" s="152" t="s">
        <v>3058</v>
      </c>
      <c r="E75" s="151" t="s">
        <v>95</v>
      </c>
      <c r="F75" s="161" t="s">
        <v>1657</v>
      </c>
      <c r="G75" s="151" t="s">
        <v>95</v>
      </c>
      <c r="H75" s="151" t="s">
        <v>95</v>
      </c>
      <c r="I75" s="154">
        <v>75.7</v>
      </c>
      <c r="J75" s="153" t="str">
        <f>IF(I75&gt;20,"Si","No")</f>
        <v>Si</v>
      </c>
      <c r="K75" s="152">
        <f t="shared" si="5"/>
        <v>75.7</v>
      </c>
      <c r="L75" s="152"/>
      <c r="M75" s="155" t="s">
        <v>3059</v>
      </c>
    </row>
    <row r="76" spans="1:21" s="151" customFormat="1" x14ac:dyDescent="0.25">
      <c r="A76" s="151" t="s">
        <v>418</v>
      </c>
      <c r="B76" s="151" t="s">
        <v>26</v>
      </c>
      <c r="C76" s="151" t="s">
        <v>1798</v>
      </c>
      <c r="D76" s="152" t="s">
        <v>1643</v>
      </c>
      <c r="E76" s="151" t="s">
        <v>1644</v>
      </c>
      <c r="F76" s="153" t="s">
        <v>1626</v>
      </c>
      <c r="G76" s="151" t="s">
        <v>298</v>
      </c>
      <c r="H76" s="151" t="s">
        <v>95</v>
      </c>
      <c r="I76" s="154">
        <v>148</v>
      </c>
      <c r="J76" s="153" t="str">
        <f t="shared" ref="J76:J108" si="6">IF(I76&gt;30,"Si","No")</f>
        <v>Si</v>
      </c>
      <c r="K76" s="152">
        <f t="shared" si="5"/>
        <v>148</v>
      </c>
      <c r="L76" s="152"/>
      <c r="M76" s="155" t="s">
        <v>1799</v>
      </c>
    </row>
    <row r="77" spans="1:21" s="151" customFormat="1" x14ac:dyDescent="0.25">
      <c r="A77" s="151" t="s">
        <v>544</v>
      </c>
      <c r="B77" s="151" t="s">
        <v>26</v>
      </c>
      <c r="C77" s="151" t="s">
        <v>1771</v>
      </c>
      <c r="D77" s="152" t="s">
        <v>298</v>
      </c>
      <c r="E77" s="151" t="s">
        <v>95</v>
      </c>
      <c r="F77" s="153" t="s">
        <v>1626</v>
      </c>
      <c r="G77" s="151" t="s">
        <v>298</v>
      </c>
      <c r="H77" s="151" t="s">
        <v>95</v>
      </c>
      <c r="I77" s="154">
        <v>5.2</v>
      </c>
      <c r="J77" s="153" t="str">
        <f t="shared" si="6"/>
        <v>No</v>
      </c>
      <c r="K77" s="152">
        <f t="shared" si="5"/>
        <v>0</v>
      </c>
      <c r="L77" s="152"/>
      <c r="M77" s="155" t="s">
        <v>1772</v>
      </c>
    </row>
    <row r="78" spans="1:21" s="151" customFormat="1" x14ac:dyDescent="0.25">
      <c r="A78" s="151" t="s">
        <v>280</v>
      </c>
      <c r="B78" s="151" t="s">
        <v>26</v>
      </c>
      <c r="C78" s="151" t="s">
        <v>1815</v>
      </c>
      <c r="D78" s="152" t="s">
        <v>1724</v>
      </c>
      <c r="E78" s="151" t="s">
        <v>95</v>
      </c>
      <c r="F78" s="153" t="s">
        <v>1626</v>
      </c>
      <c r="G78" s="151" t="s">
        <v>298</v>
      </c>
      <c r="H78" s="151" t="s">
        <v>95</v>
      </c>
      <c r="I78" s="154">
        <v>250</v>
      </c>
      <c r="J78" s="153" t="str">
        <f t="shared" si="6"/>
        <v>Si</v>
      </c>
      <c r="K78" s="152">
        <f t="shared" si="5"/>
        <v>250</v>
      </c>
      <c r="L78" s="152"/>
      <c r="M78" s="155" t="s">
        <v>1816</v>
      </c>
    </row>
    <row r="79" spans="1:21" s="151" customFormat="1" x14ac:dyDescent="0.25">
      <c r="A79" s="151" t="s">
        <v>1800</v>
      </c>
      <c r="B79" s="151" t="s">
        <v>26</v>
      </c>
      <c r="C79" s="151" t="s">
        <v>1801</v>
      </c>
      <c r="D79" s="152" t="s">
        <v>1705</v>
      </c>
      <c r="E79" s="151" t="s">
        <v>95</v>
      </c>
      <c r="F79" s="153" t="s">
        <v>1626</v>
      </c>
      <c r="G79" s="151" t="s">
        <v>298</v>
      </c>
      <c r="H79" s="151" t="s">
        <v>95</v>
      </c>
      <c r="I79" s="154">
        <v>321</v>
      </c>
      <c r="J79" s="153" t="str">
        <f t="shared" si="6"/>
        <v>Si</v>
      </c>
      <c r="K79" s="152">
        <f t="shared" si="5"/>
        <v>321</v>
      </c>
      <c r="L79" s="152"/>
      <c r="M79" s="155" t="s">
        <v>1802</v>
      </c>
    </row>
    <row r="80" spans="1:21" s="151" customFormat="1" x14ac:dyDescent="0.25">
      <c r="A80" s="151" t="s">
        <v>141</v>
      </c>
      <c r="B80" s="151" t="s">
        <v>26</v>
      </c>
      <c r="C80" s="151" t="s">
        <v>1767</v>
      </c>
      <c r="D80" s="152" t="s">
        <v>1647</v>
      </c>
      <c r="E80" s="151" t="s">
        <v>95</v>
      </c>
      <c r="F80" s="153" t="s">
        <v>1626</v>
      </c>
      <c r="G80" s="151" t="s">
        <v>298</v>
      </c>
      <c r="H80" s="151" t="s">
        <v>95</v>
      </c>
      <c r="I80" s="154">
        <v>138</v>
      </c>
      <c r="J80" s="153" t="str">
        <f t="shared" si="6"/>
        <v>Si</v>
      </c>
      <c r="K80" s="152">
        <f t="shared" si="5"/>
        <v>138</v>
      </c>
      <c r="L80" s="152"/>
      <c r="M80" s="155" t="s">
        <v>1768</v>
      </c>
    </row>
    <row r="81" spans="1:13" s="151" customFormat="1" x14ac:dyDescent="0.25">
      <c r="A81" s="151" t="s">
        <v>153</v>
      </c>
      <c r="B81" s="151" t="s">
        <v>26</v>
      </c>
      <c r="C81" s="151" t="s">
        <v>1775</v>
      </c>
      <c r="D81" s="152" t="s">
        <v>1776</v>
      </c>
      <c r="E81" s="151" t="s">
        <v>95</v>
      </c>
      <c r="F81" s="153" t="s">
        <v>1626</v>
      </c>
      <c r="G81" s="151" t="s">
        <v>298</v>
      </c>
      <c r="H81" s="151" t="s">
        <v>95</v>
      </c>
      <c r="I81" s="154">
        <v>32.299999999999997</v>
      </c>
      <c r="J81" s="153" t="str">
        <f t="shared" si="6"/>
        <v>Si</v>
      </c>
      <c r="K81" s="152">
        <f t="shared" si="5"/>
        <v>32.299999999999997</v>
      </c>
      <c r="L81" s="152"/>
      <c r="M81" s="158" t="s">
        <v>4317</v>
      </c>
    </row>
    <row r="82" spans="1:13" s="151" customFormat="1" x14ac:dyDescent="0.25">
      <c r="A82" s="151" t="s">
        <v>1781</v>
      </c>
      <c r="B82" s="151" t="s">
        <v>26</v>
      </c>
      <c r="C82" s="151" t="s">
        <v>1782</v>
      </c>
      <c r="D82" s="152" t="s">
        <v>1454</v>
      </c>
      <c r="E82" s="151" t="s">
        <v>95</v>
      </c>
      <c r="F82" s="153" t="s">
        <v>1626</v>
      </c>
      <c r="G82" s="151" t="s">
        <v>298</v>
      </c>
      <c r="H82" s="151" t="s">
        <v>95</v>
      </c>
      <c r="I82" s="154">
        <v>126</v>
      </c>
      <c r="J82" s="153" t="str">
        <f t="shared" si="6"/>
        <v>Si</v>
      </c>
      <c r="K82" s="152">
        <f t="shared" si="5"/>
        <v>126</v>
      </c>
      <c r="L82" s="152"/>
      <c r="M82" s="155" t="s">
        <v>1783</v>
      </c>
    </row>
    <row r="83" spans="1:13" s="151" customFormat="1" x14ac:dyDescent="0.25">
      <c r="A83" s="151" t="s">
        <v>145</v>
      </c>
      <c r="B83" s="151" t="s">
        <v>26</v>
      </c>
      <c r="C83" s="151" t="s">
        <v>1805</v>
      </c>
      <c r="D83" s="152" t="s">
        <v>1634</v>
      </c>
      <c r="E83" s="151" t="s">
        <v>95</v>
      </c>
      <c r="F83" s="153" t="s">
        <v>1626</v>
      </c>
      <c r="G83" s="151" t="s">
        <v>298</v>
      </c>
      <c r="H83" s="151" t="s">
        <v>95</v>
      </c>
      <c r="I83" s="154">
        <v>75.3</v>
      </c>
      <c r="J83" s="153" t="str">
        <f t="shared" si="6"/>
        <v>Si</v>
      </c>
      <c r="K83" s="152">
        <f t="shared" si="5"/>
        <v>75.3</v>
      </c>
      <c r="L83" s="152"/>
      <c r="M83" s="155" t="s">
        <v>1806</v>
      </c>
    </row>
    <row r="84" spans="1:13" s="151" customFormat="1" x14ac:dyDescent="0.25">
      <c r="A84" s="151" t="s">
        <v>566</v>
      </c>
      <c r="B84" s="151" t="s">
        <v>26</v>
      </c>
      <c r="C84" s="151" t="s">
        <v>1769</v>
      </c>
      <c r="D84" s="152" t="s">
        <v>298</v>
      </c>
      <c r="E84" s="151" t="s">
        <v>95</v>
      </c>
      <c r="F84" s="153" t="s">
        <v>1626</v>
      </c>
      <c r="G84" s="151" t="s">
        <v>298</v>
      </c>
      <c r="H84" s="151" t="s">
        <v>95</v>
      </c>
      <c r="I84" s="154">
        <v>5.6</v>
      </c>
      <c r="J84" s="153" t="str">
        <f t="shared" si="6"/>
        <v>No</v>
      </c>
      <c r="K84" s="152">
        <f t="shared" si="5"/>
        <v>0</v>
      </c>
      <c r="L84" s="152"/>
      <c r="M84" s="155" t="s">
        <v>1770</v>
      </c>
    </row>
    <row r="85" spans="1:13" s="151" customFormat="1" x14ac:dyDescent="0.25">
      <c r="A85" s="151" t="s">
        <v>616</v>
      </c>
      <c r="B85" s="151" t="s">
        <v>26</v>
      </c>
      <c r="C85" s="151" t="s">
        <v>1812</v>
      </c>
      <c r="D85" s="152" t="s">
        <v>298</v>
      </c>
      <c r="E85" s="151" t="s">
        <v>95</v>
      </c>
      <c r="F85" s="153" t="s">
        <v>1626</v>
      </c>
      <c r="G85" s="151" t="s">
        <v>298</v>
      </c>
      <c r="H85" s="151" t="s">
        <v>95</v>
      </c>
      <c r="I85" s="154">
        <v>3.9</v>
      </c>
      <c r="J85" s="153" t="str">
        <f t="shared" si="6"/>
        <v>No</v>
      </c>
      <c r="K85" s="152">
        <f t="shared" si="5"/>
        <v>0</v>
      </c>
      <c r="L85" s="152"/>
      <c r="M85" s="155" t="s">
        <v>1813</v>
      </c>
    </row>
    <row r="86" spans="1:13" s="151" customFormat="1" x14ac:dyDescent="0.25">
      <c r="A86" s="151" t="s">
        <v>307</v>
      </c>
      <c r="B86" s="151" t="s">
        <v>26</v>
      </c>
      <c r="C86" s="151" t="s">
        <v>1792</v>
      </c>
      <c r="D86" s="152" t="s">
        <v>1751</v>
      </c>
      <c r="E86" s="151" t="s">
        <v>95</v>
      </c>
      <c r="F86" s="153" t="s">
        <v>1626</v>
      </c>
      <c r="G86" s="151" t="s">
        <v>298</v>
      </c>
      <c r="H86" s="151" t="s">
        <v>95</v>
      </c>
      <c r="I86" s="154">
        <v>25.6</v>
      </c>
      <c r="J86" s="153" t="str">
        <f t="shared" si="6"/>
        <v>No</v>
      </c>
      <c r="K86" s="152">
        <f t="shared" si="5"/>
        <v>0</v>
      </c>
      <c r="L86" s="152"/>
      <c r="M86" s="155" t="s">
        <v>1793</v>
      </c>
    </row>
    <row r="87" spans="1:13" s="151" customFormat="1" x14ac:dyDescent="0.25">
      <c r="A87" s="151" t="s">
        <v>351</v>
      </c>
      <c r="B87" s="151" t="s">
        <v>26</v>
      </c>
      <c r="C87" s="151" t="s">
        <v>1814</v>
      </c>
      <c r="D87" s="152" t="s">
        <v>1625</v>
      </c>
      <c r="E87" s="151" t="s">
        <v>95</v>
      </c>
      <c r="F87" s="153" t="s">
        <v>1626</v>
      </c>
      <c r="G87" s="151" t="s">
        <v>298</v>
      </c>
      <c r="H87" s="151" t="s">
        <v>95</v>
      </c>
      <c r="I87" s="154">
        <v>67.2</v>
      </c>
      <c r="J87" s="153" t="str">
        <f t="shared" si="6"/>
        <v>Si</v>
      </c>
      <c r="K87" s="152">
        <f t="shared" si="5"/>
        <v>67.2</v>
      </c>
      <c r="L87" s="152"/>
      <c r="M87" s="158" t="s">
        <v>4317</v>
      </c>
    </row>
    <row r="88" spans="1:13" s="151" customFormat="1" x14ac:dyDescent="0.25">
      <c r="A88" s="32" t="s">
        <v>2978</v>
      </c>
      <c r="B88" s="151" t="s">
        <v>26</v>
      </c>
      <c r="C88" s="175" t="s">
        <v>3061</v>
      </c>
      <c r="D88" s="152" t="s">
        <v>3060</v>
      </c>
      <c r="E88" s="151" t="s">
        <v>95</v>
      </c>
      <c r="F88" s="153" t="s">
        <v>1657</v>
      </c>
      <c r="G88" s="151" t="s">
        <v>95</v>
      </c>
      <c r="H88" s="151" t="s">
        <v>95</v>
      </c>
      <c r="I88" s="154">
        <v>68.7</v>
      </c>
      <c r="J88" s="153" t="str">
        <f t="shared" si="6"/>
        <v>Si</v>
      </c>
      <c r="K88" s="152">
        <f t="shared" si="5"/>
        <v>68.7</v>
      </c>
      <c r="L88" s="152"/>
      <c r="M88" s="155" t="s">
        <v>3062</v>
      </c>
    </row>
    <row r="89" spans="1:13" s="151" customFormat="1" x14ac:dyDescent="0.25">
      <c r="A89" s="151" t="s">
        <v>802</v>
      </c>
      <c r="B89" s="151" t="s">
        <v>26</v>
      </c>
      <c r="C89" s="151" t="s">
        <v>1784</v>
      </c>
      <c r="D89" s="152" t="s">
        <v>298</v>
      </c>
      <c r="E89" s="151" t="s">
        <v>95</v>
      </c>
      <c r="F89" s="153" t="s">
        <v>1626</v>
      </c>
      <c r="G89" s="151" t="s">
        <v>298</v>
      </c>
      <c r="H89" s="151" t="s">
        <v>95</v>
      </c>
      <c r="I89" s="154">
        <v>6.2</v>
      </c>
      <c r="J89" s="153" t="str">
        <f t="shared" si="6"/>
        <v>No</v>
      </c>
      <c r="K89" s="152">
        <f t="shared" si="5"/>
        <v>0</v>
      </c>
      <c r="L89" s="152"/>
      <c r="M89" s="155" t="s">
        <v>1785</v>
      </c>
    </row>
    <row r="90" spans="1:13" s="151" customFormat="1" x14ac:dyDescent="0.25">
      <c r="A90" s="151" t="s">
        <v>952</v>
      </c>
      <c r="B90" s="151" t="s">
        <v>26</v>
      </c>
      <c r="C90" s="151" t="s">
        <v>1786</v>
      </c>
      <c r="D90" s="152" t="s">
        <v>298</v>
      </c>
      <c r="E90" s="151" t="s">
        <v>95</v>
      </c>
      <c r="F90" s="153" t="s">
        <v>1626</v>
      </c>
      <c r="G90" s="151" t="s">
        <v>298</v>
      </c>
      <c r="H90" s="151" t="s">
        <v>95</v>
      </c>
      <c r="I90" s="154">
        <v>6.8</v>
      </c>
      <c r="J90" s="153" t="str">
        <f t="shared" si="6"/>
        <v>No</v>
      </c>
      <c r="K90" s="152">
        <f t="shared" si="5"/>
        <v>0</v>
      </c>
      <c r="L90" s="152"/>
      <c r="M90" s="155" t="s">
        <v>1788</v>
      </c>
    </row>
    <row r="91" spans="1:13" s="151" customFormat="1" x14ac:dyDescent="0.25">
      <c r="A91" s="151" t="s">
        <v>1789</v>
      </c>
      <c r="B91" s="151" t="s">
        <v>26</v>
      </c>
      <c r="C91" s="151" t="s">
        <v>1790</v>
      </c>
      <c r="D91" s="152" t="s">
        <v>298</v>
      </c>
      <c r="E91" s="151" t="s">
        <v>95</v>
      </c>
      <c r="F91" s="153" t="s">
        <v>1626</v>
      </c>
      <c r="G91" s="151" t="s">
        <v>298</v>
      </c>
      <c r="H91" s="151" t="s">
        <v>95</v>
      </c>
      <c r="I91" s="154">
        <v>7.4</v>
      </c>
      <c r="J91" s="153" t="str">
        <f t="shared" si="6"/>
        <v>No</v>
      </c>
      <c r="K91" s="152">
        <f t="shared" si="5"/>
        <v>0</v>
      </c>
      <c r="L91" s="152"/>
      <c r="M91" s="155" t="s">
        <v>1791</v>
      </c>
    </row>
    <row r="92" spans="1:13" s="151" customFormat="1" x14ac:dyDescent="0.25">
      <c r="A92" s="151" t="s">
        <v>1809</v>
      </c>
      <c r="B92" s="151" t="s">
        <v>26</v>
      </c>
      <c r="C92" s="151" t="s">
        <v>1810</v>
      </c>
      <c r="D92" s="152" t="s">
        <v>298</v>
      </c>
      <c r="E92" s="151" t="s">
        <v>95</v>
      </c>
      <c r="F92" s="153" t="s">
        <v>1626</v>
      </c>
      <c r="G92" s="151" t="s">
        <v>298</v>
      </c>
      <c r="H92" s="151" t="s">
        <v>95</v>
      </c>
      <c r="I92" s="154">
        <v>5</v>
      </c>
      <c r="J92" s="153" t="str">
        <f t="shared" si="6"/>
        <v>No</v>
      </c>
      <c r="K92" s="152">
        <f t="shared" si="5"/>
        <v>0</v>
      </c>
      <c r="L92" s="152"/>
      <c r="M92" s="155" t="s">
        <v>1811</v>
      </c>
    </row>
    <row r="93" spans="1:13" s="151" customFormat="1" x14ac:dyDescent="0.25">
      <c r="A93" s="151" t="s">
        <v>179</v>
      </c>
      <c r="B93" s="151" t="s">
        <v>26</v>
      </c>
      <c r="C93" s="151" t="s">
        <v>1796</v>
      </c>
      <c r="D93" s="152" t="s">
        <v>298</v>
      </c>
      <c r="E93" s="151" t="s">
        <v>95</v>
      </c>
      <c r="F93" s="153" t="s">
        <v>1626</v>
      </c>
      <c r="G93" s="151" t="s">
        <v>298</v>
      </c>
      <c r="H93" s="151" t="s">
        <v>95</v>
      </c>
      <c r="I93" s="154">
        <v>11.3</v>
      </c>
      <c r="J93" s="153" t="str">
        <f t="shared" si="6"/>
        <v>No</v>
      </c>
      <c r="K93" s="152">
        <f t="shared" si="5"/>
        <v>0</v>
      </c>
      <c r="L93" s="152"/>
      <c r="M93" s="155" t="s">
        <v>1797</v>
      </c>
    </row>
    <row r="94" spans="1:13" s="151" customFormat="1" x14ac:dyDescent="0.25">
      <c r="A94" s="151" t="s">
        <v>24</v>
      </c>
      <c r="B94" s="151" t="s">
        <v>868</v>
      </c>
      <c r="C94" s="151" t="s">
        <v>1819</v>
      </c>
      <c r="D94" s="152" t="s">
        <v>298</v>
      </c>
      <c r="E94" s="151" t="s">
        <v>95</v>
      </c>
      <c r="F94" s="153" t="s">
        <v>1626</v>
      </c>
      <c r="G94" s="151" t="s">
        <v>298</v>
      </c>
      <c r="H94" s="151" t="s">
        <v>95</v>
      </c>
      <c r="I94" s="154">
        <v>7.3</v>
      </c>
      <c r="J94" s="153" t="str">
        <f t="shared" si="6"/>
        <v>No</v>
      </c>
      <c r="K94" s="152">
        <f t="shared" si="5"/>
        <v>0</v>
      </c>
      <c r="L94" s="152"/>
      <c r="M94" s="155" t="s">
        <v>1820</v>
      </c>
    </row>
    <row r="95" spans="1:13" s="151" customFormat="1" x14ac:dyDescent="0.25">
      <c r="A95" s="151" t="s">
        <v>24</v>
      </c>
      <c r="B95" s="151" t="s">
        <v>505</v>
      </c>
      <c r="C95" s="151" t="s">
        <v>1821</v>
      </c>
      <c r="D95" s="152" t="s">
        <v>298</v>
      </c>
      <c r="E95" s="151" t="s">
        <v>95</v>
      </c>
      <c r="F95" s="153" t="s">
        <v>1626</v>
      </c>
      <c r="G95" s="151" t="s">
        <v>298</v>
      </c>
      <c r="H95" s="151" t="s">
        <v>95</v>
      </c>
      <c r="I95" s="154">
        <v>14.8</v>
      </c>
      <c r="J95" s="153" t="str">
        <f t="shared" si="6"/>
        <v>No</v>
      </c>
      <c r="K95" s="152">
        <f t="shared" si="5"/>
        <v>0</v>
      </c>
      <c r="L95" s="152"/>
      <c r="M95" s="155" t="s">
        <v>1822</v>
      </c>
    </row>
    <row r="96" spans="1:13" s="151" customFormat="1" x14ac:dyDescent="0.25">
      <c r="A96" s="151" t="s">
        <v>24</v>
      </c>
      <c r="B96" s="151" t="s">
        <v>515</v>
      </c>
      <c r="C96" s="151" t="s">
        <v>1823</v>
      </c>
      <c r="D96" s="152" t="s">
        <v>298</v>
      </c>
      <c r="E96" s="151" t="s">
        <v>95</v>
      </c>
      <c r="F96" s="153" t="s">
        <v>1626</v>
      </c>
      <c r="G96" s="151" t="s">
        <v>298</v>
      </c>
      <c r="H96" s="151" t="s">
        <v>95</v>
      </c>
      <c r="I96" s="154">
        <v>7.8</v>
      </c>
      <c r="J96" s="153" t="str">
        <f t="shared" si="6"/>
        <v>No</v>
      </c>
      <c r="K96" s="152">
        <f t="shared" si="5"/>
        <v>0</v>
      </c>
      <c r="L96" s="152"/>
      <c r="M96" s="155" t="s">
        <v>1824</v>
      </c>
    </row>
    <row r="97" spans="1:22" s="151" customFormat="1" x14ac:dyDescent="0.25">
      <c r="A97" s="151" t="s">
        <v>24</v>
      </c>
      <c r="B97" s="151" t="s">
        <v>364</v>
      </c>
      <c r="C97" s="151" t="s">
        <v>1825</v>
      </c>
      <c r="D97" s="152" t="s">
        <v>298</v>
      </c>
      <c r="E97" s="151" t="s">
        <v>95</v>
      </c>
      <c r="F97" s="153" t="s">
        <v>1626</v>
      </c>
      <c r="G97" s="151" t="s">
        <v>298</v>
      </c>
      <c r="H97" s="151" t="s">
        <v>95</v>
      </c>
      <c r="I97" s="154">
        <v>19.3</v>
      </c>
      <c r="J97" s="153" t="str">
        <f t="shared" si="6"/>
        <v>No</v>
      </c>
      <c r="K97" s="152">
        <f t="shared" si="5"/>
        <v>0</v>
      </c>
      <c r="L97" s="152"/>
      <c r="M97" s="155" t="s">
        <v>1826</v>
      </c>
    </row>
    <row r="98" spans="1:22" s="151" customFormat="1" x14ac:dyDescent="0.25">
      <c r="A98" s="246" t="s">
        <v>4150</v>
      </c>
      <c r="B98" s="246" t="s">
        <v>4149</v>
      </c>
      <c r="C98" s="246" t="s">
        <v>4174</v>
      </c>
      <c r="D98" s="152" t="s">
        <v>4175</v>
      </c>
      <c r="E98" s="151" t="s">
        <v>95</v>
      </c>
      <c r="F98" s="153" t="s">
        <v>1626</v>
      </c>
      <c r="I98" s="154">
        <v>38.9</v>
      </c>
      <c r="J98" s="153" t="str">
        <f t="shared" si="6"/>
        <v>Si</v>
      </c>
      <c r="K98" s="152">
        <f t="shared" si="5"/>
        <v>38.9</v>
      </c>
      <c r="L98" s="152"/>
      <c r="M98" s="158" t="s">
        <v>4043</v>
      </c>
    </row>
    <row r="99" spans="1:22" s="151" customFormat="1" x14ac:dyDescent="0.25">
      <c r="A99" s="151" t="s">
        <v>58</v>
      </c>
      <c r="B99" s="151" t="s">
        <v>57</v>
      </c>
      <c r="C99" s="246" t="s">
        <v>3951</v>
      </c>
      <c r="D99" s="246" t="s">
        <v>3952</v>
      </c>
      <c r="E99" s="151" t="s">
        <v>95</v>
      </c>
      <c r="F99" s="153" t="s">
        <v>1626</v>
      </c>
      <c r="G99" s="151" t="s">
        <v>298</v>
      </c>
      <c r="H99" s="151" t="s">
        <v>95</v>
      </c>
      <c r="I99" s="154">
        <v>34.4</v>
      </c>
      <c r="J99" s="153" t="str">
        <f t="shared" si="6"/>
        <v>Si</v>
      </c>
      <c r="K99" s="152">
        <f t="shared" ref="K99:K122" si="7">IF(J99="si",I99,0)</f>
        <v>34.4</v>
      </c>
      <c r="L99" s="152"/>
      <c r="M99" s="158" t="s">
        <v>3946</v>
      </c>
      <c r="N99" s="249">
        <v>329875285</v>
      </c>
      <c r="O99" s="250" t="s">
        <v>3947</v>
      </c>
      <c r="P99" s="250" t="s">
        <v>3932</v>
      </c>
      <c r="Q99" s="250" t="s">
        <v>3948</v>
      </c>
      <c r="R99" s="250" t="s">
        <v>3949</v>
      </c>
      <c r="S99" s="250" t="s">
        <v>3950</v>
      </c>
      <c r="T99" s="250" t="s">
        <v>3932</v>
      </c>
      <c r="U99" s="250" t="s">
        <v>3945</v>
      </c>
    </row>
    <row r="100" spans="1:22" s="151" customFormat="1" x14ac:dyDescent="0.25">
      <c r="A100" s="151" t="s">
        <v>46</v>
      </c>
      <c r="B100" s="151" t="s">
        <v>45</v>
      </c>
      <c r="C100" s="151" t="s">
        <v>1827</v>
      </c>
      <c r="D100" s="152" t="s">
        <v>1828</v>
      </c>
      <c r="E100" s="151" t="s">
        <v>95</v>
      </c>
      <c r="F100" s="153" t="s">
        <v>1626</v>
      </c>
      <c r="G100" s="151" t="s">
        <v>298</v>
      </c>
      <c r="H100" s="151" t="s">
        <v>95</v>
      </c>
      <c r="I100" s="154">
        <v>71.3</v>
      </c>
      <c r="J100" s="153" t="str">
        <f t="shared" si="6"/>
        <v>Si</v>
      </c>
      <c r="K100" s="152">
        <f t="shared" si="7"/>
        <v>71.3</v>
      </c>
      <c r="L100" s="152"/>
      <c r="M100" s="155" t="s">
        <v>1829</v>
      </c>
    </row>
    <row r="101" spans="1:22" s="151" customFormat="1" x14ac:dyDescent="0.25">
      <c r="A101" s="25" t="s">
        <v>3384</v>
      </c>
      <c r="B101" s="25" t="s">
        <v>45</v>
      </c>
      <c r="C101" s="246" t="s">
        <v>3755</v>
      </c>
      <c r="D101" s="152" t="s">
        <v>3756</v>
      </c>
      <c r="E101" s="151" t="s">
        <v>95</v>
      </c>
      <c r="F101" s="153" t="s">
        <v>1657</v>
      </c>
      <c r="G101" s="151" t="s">
        <v>95</v>
      </c>
      <c r="H101" s="151" t="s">
        <v>95</v>
      </c>
      <c r="I101" s="154">
        <v>39</v>
      </c>
      <c r="J101" s="153" t="str">
        <f t="shared" si="6"/>
        <v>Si</v>
      </c>
      <c r="K101" s="152">
        <f t="shared" si="7"/>
        <v>39</v>
      </c>
      <c r="L101"/>
      <c r="M101" s="25" t="s">
        <v>3754</v>
      </c>
      <c r="N101" s="245">
        <v>31667757</v>
      </c>
      <c r="O101" t="s">
        <v>3748</v>
      </c>
      <c r="P101" t="s">
        <v>3749</v>
      </c>
      <c r="Q101" t="s">
        <v>3750</v>
      </c>
      <c r="R101" t="s">
        <v>3751</v>
      </c>
      <c r="S101" t="s">
        <v>3752</v>
      </c>
      <c r="T101" t="s">
        <v>3749</v>
      </c>
      <c r="U101" t="s">
        <v>3753</v>
      </c>
    </row>
    <row r="102" spans="1:22" s="151" customFormat="1" x14ac:dyDescent="0.25">
      <c r="A102" s="151" t="s">
        <v>24</v>
      </c>
      <c r="B102" s="151" t="s">
        <v>1021</v>
      </c>
      <c r="C102" s="151" t="s">
        <v>1830</v>
      </c>
      <c r="D102" s="152" t="s">
        <v>298</v>
      </c>
      <c r="E102" s="151" t="s">
        <v>95</v>
      </c>
      <c r="F102" s="153" t="s">
        <v>1626</v>
      </c>
      <c r="G102" s="151" t="s">
        <v>298</v>
      </c>
      <c r="H102" s="151" t="s">
        <v>95</v>
      </c>
      <c r="I102" s="154">
        <v>9.4</v>
      </c>
      <c r="J102" s="153" t="str">
        <f t="shared" si="6"/>
        <v>No</v>
      </c>
      <c r="K102" s="152">
        <f t="shared" si="7"/>
        <v>0</v>
      </c>
      <c r="L102" s="152"/>
      <c r="M102" s="155" t="s">
        <v>1831</v>
      </c>
    </row>
    <row r="103" spans="1:22" s="151" customFormat="1" x14ac:dyDescent="0.25">
      <c r="A103" s="151" t="s">
        <v>95</v>
      </c>
      <c r="B103" s="151" t="s">
        <v>1021</v>
      </c>
      <c r="C103" s="151" t="s">
        <v>1832</v>
      </c>
      <c r="D103" s="152" t="s">
        <v>1656</v>
      </c>
      <c r="E103" s="151" t="s">
        <v>95</v>
      </c>
      <c r="F103" s="153" t="s">
        <v>1626</v>
      </c>
      <c r="G103" s="151" t="s">
        <v>298</v>
      </c>
      <c r="H103" s="151" t="s">
        <v>95</v>
      </c>
      <c r="I103" s="154">
        <v>6.7</v>
      </c>
      <c r="J103" s="153" t="str">
        <f t="shared" si="6"/>
        <v>No</v>
      </c>
      <c r="K103" s="152">
        <f t="shared" si="7"/>
        <v>0</v>
      </c>
      <c r="L103" s="152"/>
      <c r="M103" s="155" t="s">
        <v>1833</v>
      </c>
    </row>
    <row r="104" spans="1:22" s="151" customFormat="1" x14ac:dyDescent="0.25">
      <c r="A104" s="151" t="s">
        <v>40</v>
      </c>
      <c r="B104" s="151" t="s">
        <v>39</v>
      </c>
      <c r="C104" s="151" t="s">
        <v>1834</v>
      </c>
      <c r="D104" s="152" t="s">
        <v>298</v>
      </c>
      <c r="E104" s="151" t="s">
        <v>95</v>
      </c>
      <c r="F104" s="153" t="s">
        <v>1626</v>
      </c>
      <c r="G104" s="151" t="s">
        <v>298</v>
      </c>
      <c r="H104" s="151" t="s">
        <v>95</v>
      </c>
      <c r="I104" s="154">
        <v>4</v>
      </c>
      <c r="J104" s="153" t="str">
        <f t="shared" si="6"/>
        <v>No</v>
      </c>
      <c r="K104" s="152">
        <f t="shared" si="7"/>
        <v>0</v>
      </c>
      <c r="L104" s="152"/>
      <c r="M104" s="155" t="s">
        <v>1835</v>
      </c>
    </row>
    <row r="105" spans="1:22" s="151" customFormat="1" x14ac:dyDescent="0.25">
      <c r="A105" s="151" t="s">
        <v>2231</v>
      </c>
      <c r="B105" s="151" t="s">
        <v>2230</v>
      </c>
      <c r="C105" s="41" t="s">
        <v>2248</v>
      </c>
      <c r="D105" s="152" t="s">
        <v>1882</v>
      </c>
      <c r="E105" s="151" t="s">
        <v>1883</v>
      </c>
      <c r="F105" s="153" t="s">
        <v>1626</v>
      </c>
      <c r="G105" s="151" t="s">
        <v>298</v>
      </c>
      <c r="H105" s="151" t="s">
        <v>95</v>
      </c>
      <c r="I105" s="154">
        <v>149</v>
      </c>
      <c r="J105" s="153" t="str">
        <f t="shared" si="6"/>
        <v>Si</v>
      </c>
      <c r="K105" s="152">
        <f t="shared" si="7"/>
        <v>149</v>
      </c>
      <c r="L105" s="152"/>
      <c r="M105" s="158" t="s">
        <v>2252</v>
      </c>
      <c r="N105" s="176">
        <v>331491233</v>
      </c>
      <c r="O105" s="151" t="s">
        <v>2253</v>
      </c>
      <c r="P105" s="151" t="s">
        <v>2254</v>
      </c>
      <c r="Q105" s="151" t="s">
        <v>2255</v>
      </c>
      <c r="R105" s="151" t="s">
        <v>2256</v>
      </c>
      <c r="S105" s="151" t="s">
        <v>2257</v>
      </c>
      <c r="T105" s="151" t="s">
        <v>2258</v>
      </c>
      <c r="U105" s="151" t="s">
        <v>2259</v>
      </c>
    </row>
    <row r="106" spans="1:22" s="151" customFormat="1" x14ac:dyDescent="0.25">
      <c r="A106" s="151" t="s">
        <v>937</v>
      </c>
      <c r="B106" s="151" t="s">
        <v>936</v>
      </c>
      <c r="C106" s="151" t="s">
        <v>1836</v>
      </c>
      <c r="D106" s="152" t="s">
        <v>298</v>
      </c>
      <c r="E106" s="151" t="s">
        <v>95</v>
      </c>
      <c r="F106" s="153" t="s">
        <v>1626</v>
      </c>
      <c r="G106" s="151" t="s">
        <v>298</v>
      </c>
      <c r="H106" s="151" t="s">
        <v>95</v>
      </c>
      <c r="I106" s="154">
        <v>3.7</v>
      </c>
      <c r="J106" s="153" t="str">
        <f t="shared" si="6"/>
        <v>No</v>
      </c>
      <c r="K106" s="152">
        <f t="shared" si="7"/>
        <v>0</v>
      </c>
      <c r="L106" s="152"/>
      <c r="M106" s="155" t="s">
        <v>1837</v>
      </c>
    </row>
    <row r="107" spans="1:22" s="151" customFormat="1" x14ac:dyDescent="0.25">
      <c r="A107" s="151" t="s">
        <v>24</v>
      </c>
      <c r="B107" s="151" t="s">
        <v>607</v>
      </c>
      <c r="C107" s="151" t="s">
        <v>1838</v>
      </c>
      <c r="D107" s="152" t="s">
        <v>298</v>
      </c>
      <c r="E107" s="151" t="s">
        <v>95</v>
      </c>
      <c r="F107" s="153" t="s">
        <v>1626</v>
      </c>
      <c r="G107" s="151" t="s">
        <v>298</v>
      </c>
      <c r="H107" s="151" t="s">
        <v>95</v>
      </c>
      <c r="I107" s="154">
        <v>14.3</v>
      </c>
      <c r="J107" s="153" t="str">
        <f t="shared" si="6"/>
        <v>No</v>
      </c>
      <c r="K107" s="152">
        <f t="shared" si="7"/>
        <v>0</v>
      </c>
      <c r="L107" s="152"/>
      <c r="M107" s="155" t="s">
        <v>1839</v>
      </c>
    </row>
    <row r="108" spans="1:22" s="159" customFormat="1" x14ac:dyDescent="0.25">
      <c r="A108" s="151" t="s">
        <v>24</v>
      </c>
      <c r="B108" s="151" t="s">
        <v>770</v>
      </c>
      <c r="C108" s="151" t="s">
        <v>1840</v>
      </c>
      <c r="D108" s="152" t="s">
        <v>298</v>
      </c>
      <c r="E108" s="151" t="s">
        <v>95</v>
      </c>
      <c r="F108" s="153" t="s">
        <v>1626</v>
      </c>
      <c r="G108" s="151" t="s">
        <v>298</v>
      </c>
      <c r="H108" s="151" t="s">
        <v>95</v>
      </c>
      <c r="I108" s="154">
        <v>8.9</v>
      </c>
      <c r="J108" s="153" t="str">
        <f t="shared" si="6"/>
        <v>No</v>
      </c>
      <c r="K108" s="152">
        <f t="shared" si="7"/>
        <v>0</v>
      </c>
      <c r="L108" s="152"/>
      <c r="M108" s="155" t="s">
        <v>1841</v>
      </c>
      <c r="N108" s="151"/>
      <c r="O108" s="151"/>
      <c r="P108" s="151"/>
      <c r="Q108" s="151"/>
      <c r="R108" s="151"/>
      <c r="S108" s="151"/>
      <c r="T108" s="151"/>
      <c r="U108" s="151"/>
    </row>
    <row r="109" spans="1:22" s="151" customFormat="1" x14ac:dyDescent="0.25">
      <c r="A109" s="25" t="s">
        <v>3928</v>
      </c>
      <c r="B109" s="25" t="s">
        <v>3112</v>
      </c>
      <c r="C109" s="151" t="s">
        <v>3937</v>
      </c>
      <c r="D109" s="152" t="s">
        <v>1882</v>
      </c>
      <c r="E109" s="151" t="s">
        <v>1883</v>
      </c>
      <c r="F109" s="153" t="s">
        <v>1626</v>
      </c>
      <c r="G109" s="151" t="s">
        <v>298</v>
      </c>
      <c r="H109" s="151" t="s">
        <v>95</v>
      </c>
      <c r="I109" s="154">
        <v>163</v>
      </c>
      <c r="J109" s="153" t="str">
        <f t="shared" ref="J109:J140" si="8">IF(I109&gt;30,"Si","No")</f>
        <v>Si</v>
      </c>
      <c r="K109" s="152">
        <f t="shared" si="7"/>
        <v>163</v>
      </c>
      <c r="L109"/>
      <c r="M109" s="247" t="s">
        <v>3930</v>
      </c>
      <c r="N109" s="248">
        <v>33161213</v>
      </c>
      <c r="O109" s="247" t="s">
        <v>3931</v>
      </c>
      <c r="P109" s="247" t="s">
        <v>3932</v>
      </c>
      <c r="Q109" s="247" t="s">
        <v>3933</v>
      </c>
      <c r="R109" s="247" t="s">
        <v>3934</v>
      </c>
      <c r="S109" s="247" t="s">
        <v>3935</v>
      </c>
      <c r="T109" s="247" t="s">
        <v>3932</v>
      </c>
      <c r="U109" s="247" t="s">
        <v>3936</v>
      </c>
      <c r="V109"/>
    </row>
    <row r="110" spans="1:22" s="151" customFormat="1" x14ac:dyDescent="0.25">
      <c r="A110" s="151" t="s">
        <v>24</v>
      </c>
      <c r="B110" s="151" t="s">
        <v>76</v>
      </c>
      <c r="C110" s="151" t="s">
        <v>1842</v>
      </c>
      <c r="D110" s="152" t="s">
        <v>298</v>
      </c>
      <c r="E110" s="151" t="s">
        <v>95</v>
      </c>
      <c r="F110" s="153" t="s">
        <v>1626</v>
      </c>
      <c r="G110" s="151" t="s">
        <v>298</v>
      </c>
      <c r="H110" s="151" t="s">
        <v>95</v>
      </c>
      <c r="I110" s="154">
        <v>19</v>
      </c>
      <c r="J110" s="153" t="str">
        <f t="shared" si="8"/>
        <v>No</v>
      </c>
      <c r="K110" s="152">
        <f t="shared" si="7"/>
        <v>0</v>
      </c>
      <c r="L110" s="152"/>
      <c r="M110" s="155" t="s">
        <v>1843</v>
      </c>
    </row>
    <row r="111" spans="1:22" s="151" customFormat="1" x14ac:dyDescent="0.25">
      <c r="A111" s="151" t="s">
        <v>879</v>
      </c>
      <c r="B111" s="151" t="s">
        <v>873</v>
      </c>
      <c r="C111" s="151" t="s">
        <v>1849</v>
      </c>
      <c r="D111" s="152" t="s">
        <v>298</v>
      </c>
      <c r="E111" s="151" t="s">
        <v>95</v>
      </c>
      <c r="F111" s="153" t="s">
        <v>1626</v>
      </c>
      <c r="G111" s="151" t="s">
        <v>298</v>
      </c>
      <c r="H111" s="151" t="s">
        <v>95</v>
      </c>
      <c r="I111" s="154">
        <v>15.3</v>
      </c>
      <c r="J111" s="153" t="str">
        <f t="shared" si="8"/>
        <v>No</v>
      </c>
      <c r="K111" s="152">
        <f t="shared" si="7"/>
        <v>0</v>
      </c>
      <c r="L111" s="152"/>
      <c r="M111" s="155" t="s">
        <v>1850</v>
      </c>
      <c r="N111" s="159"/>
      <c r="O111" s="159"/>
      <c r="P111" s="159"/>
      <c r="Q111" s="159"/>
      <c r="R111" s="159"/>
      <c r="S111" s="159"/>
      <c r="T111" s="159"/>
      <c r="U111" s="159"/>
    </row>
    <row r="112" spans="1:22" s="151" customFormat="1" x14ac:dyDescent="0.25">
      <c r="A112" s="151" t="s">
        <v>874</v>
      </c>
      <c r="B112" s="151" t="s">
        <v>873</v>
      </c>
      <c r="C112" s="151" t="s">
        <v>1847</v>
      </c>
      <c r="D112" s="152" t="s">
        <v>298</v>
      </c>
      <c r="E112" s="151" t="s">
        <v>95</v>
      </c>
      <c r="F112" s="153" t="s">
        <v>1626</v>
      </c>
      <c r="G112" s="151" t="s">
        <v>298</v>
      </c>
      <c r="H112" s="151" t="s">
        <v>95</v>
      </c>
      <c r="I112" s="154">
        <v>8.1</v>
      </c>
      <c r="J112" s="153" t="str">
        <f t="shared" si="8"/>
        <v>No</v>
      </c>
      <c r="K112" s="152">
        <f t="shared" si="7"/>
        <v>0</v>
      </c>
      <c r="L112" s="152"/>
      <c r="M112" s="155" t="s">
        <v>1848</v>
      </c>
    </row>
    <row r="113" spans="1:22" s="151" customFormat="1" x14ac:dyDescent="0.25">
      <c r="A113" s="159" t="s">
        <v>1844</v>
      </c>
      <c r="B113" s="159" t="s">
        <v>873</v>
      </c>
      <c r="C113" s="159" t="s">
        <v>1845</v>
      </c>
      <c r="D113" s="160" t="s">
        <v>1656</v>
      </c>
      <c r="E113" s="159" t="s">
        <v>95</v>
      </c>
      <c r="F113" s="161" t="s">
        <v>1657</v>
      </c>
      <c r="G113" s="159" t="s">
        <v>95</v>
      </c>
      <c r="H113" s="159" t="s">
        <v>95</v>
      </c>
      <c r="I113" s="162">
        <v>4.3</v>
      </c>
      <c r="J113" s="161" t="str">
        <f t="shared" si="8"/>
        <v>No</v>
      </c>
      <c r="K113" s="160">
        <f t="shared" si="7"/>
        <v>0</v>
      </c>
      <c r="L113" s="160"/>
      <c r="M113" s="163" t="s">
        <v>1846</v>
      </c>
    </row>
    <row r="114" spans="1:22" s="151" customFormat="1" x14ac:dyDescent="0.25">
      <c r="A114" s="151" t="s">
        <v>703</v>
      </c>
      <c r="B114" s="151" t="s">
        <v>172</v>
      </c>
      <c r="C114" s="151" t="s">
        <v>1853</v>
      </c>
      <c r="D114" s="152" t="s">
        <v>298</v>
      </c>
      <c r="E114" s="151" t="s">
        <v>95</v>
      </c>
      <c r="F114" s="153" t="s">
        <v>1626</v>
      </c>
      <c r="G114" s="151" t="s">
        <v>298</v>
      </c>
      <c r="H114" s="151" t="s">
        <v>95</v>
      </c>
      <c r="I114" s="154">
        <v>6.7</v>
      </c>
      <c r="J114" s="153" t="str">
        <f t="shared" si="8"/>
        <v>No</v>
      </c>
      <c r="K114" s="152">
        <f t="shared" si="7"/>
        <v>0</v>
      </c>
      <c r="L114" s="152"/>
      <c r="M114" s="155" t="s">
        <v>1854</v>
      </c>
    </row>
    <row r="115" spans="1:22" s="151" customFormat="1" x14ac:dyDescent="0.25">
      <c r="A115" s="151" t="s">
        <v>195</v>
      </c>
      <c r="B115" s="151" t="s">
        <v>172</v>
      </c>
      <c r="C115" s="151" t="s">
        <v>1851</v>
      </c>
      <c r="D115" s="152" t="s">
        <v>148</v>
      </c>
      <c r="E115" s="151" t="s">
        <v>95</v>
      </c>
      <c r="F115" s="153" t="s">
        <v>1626</v>
      </c>
      <c r="G115" s="151" t="s">
        <v>298</v>
      </c>
      <c r="H115" s="151" t="s">
        <v>95</v>
      </c>
      <c r="I115" s="154">
        <v>55.6</v>
      </c>
      <c r="J115" s="153" t="str">
        <f t="shared" si="8"/>
        <v>Si</v>
      </c>
      <c r="K115" s="152">
        <f t="shared" si="7"/>
        <v>55.6</v>
      </c>
      <c r="L115" s="152"/>
      <c r="M115" s="155" t="s">
        <v>1852</v>
      </c>
    </row>
    <row r="116" spans="1:22" s="151" customFormat="1" x14ac:dyDescent="0.25">
      <c r="A116" s="151" t="s">
        <v>173</v>
      </c>
      <c r="B116" s="151" t="s">
        <v>172</v>
      </c>
      <c r="C116" s="175" t="s">
        <v>2249</v>
      </c>
      <c r="D116" s="152" t="s">
        <v>1882</v>
      </c>
      <c r="E116" s="151" t="s">
        <v>1883</v>
      </c>
      <c r="F116" s="153" t="s">
        <v>1626</v>
      </c>
      <c r="G116" s="151" t="s">
        <v>298</v>
      </c>
      <c r="H116" s="151" t="s">
        <v>95</v>
      </c>
      <c r="I116" s="154">
        <v>147</v>
      </c>
      <c r="J116" s="153" t="str">
        <f t="shared" si="8"/>
        <v>Si</v>
      </c>
      <c r="K116" s="152">
        <f t="shared" si="7"/>
        <v>147</v>
      </c>
      <c r="L116" s="152"/>
      <c r="M116" s="158" t="s">
        <v>2260</v>
      </c>
      <c r="N116" s="176">
        <v>331491233</v>
      </c>
      <c r="O116" s="151" t="s">
        <v>2261</v>
      </c>
      <c r="P116" s="151" t="s">
        <v>2254</v>
      </c>
      <c r="Q116" s="151" t="s">
        <v>2262</v>
      </c>
      <c r="R116" s="151" t="s">
        <v>2263</v>
      </c>
      <c r="S116" s="151" t="s">
        <v>2264</v>
      </c>
      <c r="T116" s="151" t="s">
        <v>2258</v>
      </c>
      <c r="U116" s="151" t="s">
        <v>2259</v>
      </c>
    </row>
    <row r="117" spans="1:22" s="151" customFormat="1" x14ac:dyDescent="0.25">
      <c r="A117" s="151" t="s">
        <v>713</v>
      </c>
      <c r="B117" s="151" t="s">
        <v>712</v>
      </c>
      <c r="C117" s="151" t="s">
        <v>1855</v>
      </c>
      <c r="D117" s="152" t="s">
        <v>298</v>
      </c>
      <c r="E117" s="151" t="s">
        <v>95</v>
      </c>
      <c r="F117" s="153" t="s">
        <v>1626</v>
      </c>
      <c r="G117" s="151" t="s">
        <v>298</v>
      </c>
      <c r="H117" s="151" t="s">
        <v>95</v>
      </c>
      <c r="I117" s="154">
        <v>6.2</v>
      </c>
      <c r="J117" s="153" t="str">
        <f t="shared" si="8"/>
        <v>No</v>
      </c>
      <c r="K117" s="152">
        <f t="shared" si="7"/>
        <v>0</v>
      </c>
      <c r="L117" s="152"/>
      <c r="M117" s="155" t="s">
        <v>1856</v>
      </c>
    </row>
    <row r="118" spans="1:22" s="151" customFormat="1" x14ac:dyDescent="0.25">
      <c r="A118" s="151" t="s">
        <v>1264</v>
      </c>
      <c r="B118" s="151" t="s">
        <v>405</v>
      </c>
      <c r="C118" s="151" t="s">
        <v>1859</v>
      </c>
      <c r="D118" s="152" t="s">
        <v>1691</v>
      </c>
      <c r="E118" s="151" t="s">
        <v>95</v>
      </c>
      <c r="F118" s="153" t="s">
        <v>1626</v>
      </c>
      <c r="G118" s="151" t="s">
        <v>298</v>
      </c>
      <c r="H118" s="151" t="s">
        <v>95</v>
      </c>
      <c r="I118" s="154">
        <v>19.100000000000001</v>
      </c>
      <c r="J118" s="153" t="str">
        <f t="shared" si="8"/>
        <v>No</v>
      </c>
      <c r="K118" s="152">
        <f t="shared" si="7"/>
        <v>0</v>
      </c>
      <c r="L118" s="152"/>
      <c r="M118" s="155" t="s">
        <v>1860</v>
      </c>
    </row>
    <row r="119" spans="1:22" s="151" customFormat="1" x14ac:dyDescent="0.25">
      <c r="A119" s="151" t="s">
        <v>24</v>
      </c>
      <c r="B119" s="151" t="s">
        <v>405</v>
      </c>
      <c r="C119" s="151" t="s">
        <v>1857</v>
      </c>
      <c r="D119" s="152" t="s">
        <v>298</v>
      </c>
      <c r="E119" s="151" t="s">
        <v>95</v>
      </c>
      <c r="F119" s="153" t="s">
        <v>1626</v>
      </c>
      <c r="G119" s="151" t="s">
        <v>298</v>
      </c>
      <c r="H119" s="151" t="s">
        <v>95</v>
      </c>
      <c r="I119" s="154">
        <v>17.3</v>
      </c>
      <c r="J119" s="153" t="str">
        <f t="shared" si="8"/>
        <v>No</v>
      </c>
      <c r="K119" s="152">
        <f t="shared" si="7"/>
        <v>0</v>
      </c>
      <c r="L119" s="152"/>
      <c r="M119" s="155" t="s">
        <v>1858</v>
      </c>
    </row>
    <row r="120" spans="1:22" s="151" customFormat="1" x14ac:dyDescent="0.25">
      <c r="A120" s="151" t="s">
        <v>1861</v>
      </c>
      <c r="B120" s="151" t="s">
        <v>405</v>
      </c>
      <c r="C120" s="151" t="s">
        <v>1862</v>
      </c>
      <c r="D120" s="152" t="s">
        <v>1688</v>
      </c>
      <c r="E120" s="151" t="s">
        <v>95</v>
      </c>
      <c r="F120" s="153" t="s">
        <v>1626</v>
      </c>
      <c r="G120" s="151" t="s">
        <v>298</v>
      </c>
      <c r="H120" s="151" t="s">
        <v>95</v>
      </c>
      <c r="I120" s="154">
        <v>16.399999999999999</v>
      </c>
      <c r="J120" s="153" t="str">
        <f t="shared" si="8"/>
        <v>No</v>
      </c>
      <c r="K120" s="152">
        <f t="shared" si="7"/>
        <v>0</v>
      </c>
      <c r="L120" s="152"/>
      <c r="M120" s="155" t="s">
        <v>1863</v>
      </c>
    </row>
    <row r="121" spans="1:22" s="151" customFormat="1" x14ac:dyDescent="0.25">
      <c r="A121" s="25" t="s">
        <v>1959</v>
      </c>
      <c r="B121" s="25" t="s">
        <v>3901</v>
      </c>
      <c r="C121" s="246" t="s">
        <v>3938</v>
      </c>
      <c r="D121" s="152" t="s">
        <v>1959</v>
      </c>
      <c r="E121" s="151" t="s">
        <v>95</v>
      </c>
      <c r="F121" s="153" t="s">
        <v>1626</v>
      </c>
      <c r="G121" s="151" t="s">
        <v>298</v>
      </c>
      <c r="H121" s="151" t="s">
        <v>95</v>
      </c>
      <c r="I121" s="154">
        <v>96.8</v>
      </c>
      <c r="J121" s="153" t="str">
        <f t="shared" si="8"/>
        <v>Si</v>
      </c>
      <c r="K121" s="152">
        <f t="shared" si="7"/>
        <v>96.8</v>
      </c>
      <c r="L121"/>
      <c r="M121" s="247" t="s">
        <v>3939</v>
      </c>
      <c r="N121" s="248" t="s">
        <v>3940</v>
      </c>
      <c r="O121" s="248">
        <v>327618532</v>
      </c>
      <c r="P121" s="247" t="s">
        <v>3941</v>
      </c>
      <c r="Q121" s="247" t="s">
        <v>3932</v>
      </c>
      <c r="R121" s="247" t="s">
        <v>3942</v>
      </c>
      <c r="S121" s="247" t="s">
        <v>3943</v>
      </c>
      <c r="T121" s="247" t="s">
        <v>3944</v>
      </c>
      <c r="U121" s="247" t="s">
        <v>3932</v>
      </c>
      <c r="V121" s="247" t="s">
        <v>3945</v>
      </c>
    </row>
    <row r="122" spans="1:22" s="151" customFormat="1" x14ac:dyDescent="0.25">
      <c r="A122" s="151" t="s">
        <v>1007</v>
      </c>
      <c r="B122" s="151" t="s">
        <v>1006</v>
      </c>
      <c r="C122" s="151" t="s">
        <v>1864</v>
      </c>
      <c r="D122" s="152" t="s">
        <v>1705</v>
      </c>
      <c r="E122" s="151" t="s">
        <v>95</v>
      </c>
      <c r="F122" s="153" t="s">
        <v>5089</v>
      </c>
      <c r="G122" s="151" t="s">
        <v>4889</v>
      </c>
      <c r="H122" s="151" t="s">
        <v>95</v>
      </c>
      <c r="I122" s="154">
        <v>240</v>
      </c>
      <c r="J122" s="153" t="str">
        <f t="shared" si="8"/>
        <v>Si</v>
      </c>
      <c r="K122" s="152">
        <f t="shared" si="7"/>
        <v>240</v>
      </c>
      <c r="L122" s="152"/>
      <c r="M122" s="158" t="s">
        <v>4317</v>
      </c>
    </row>
    <row r="123" spans="1:22" s="151" customFormat="1" x14ac:dyDescent="0.25">
      <c r="A123" s="151" t="s">
        <v>1514</v>
      </c>
      <c r="B123" s="151" t="s">
        <v>1513</v>
      </c>
      <c r="C123" s="151" t="s">
        <v>1865</v>
      </c>
      <c r="D123" s="152" t="s">
        <v>1705</v>
      </c>
      <c r="E123" s="151" t="s">
        <v>95</v>
      </c>
      <c r="F123" s="153" t="s">
        <v>1626</v>
      </c>
      <c r="G123" s="151" t="s">
        <v>298</v>
      </c>
      <c r="H123" s="151" t="s">
        <v>95</v>
      </c>
      <c r="I123" s="154">
        <v>359</v>
      </c>
      <c r="J123" s="153" t="str">
        <f t="shared" si="8"/>
        <v>Si</v>
      </c>
      <c r="K123" s="152">
        <f t="shared" ref="K123:K154" si="9">IF(J123="si",I123,0)</f>
        <v>359</v>
      </c>
      <c r="L123" s="152"/>
      <c r="M123" s="155" t="s">
        <v>1866</v>
      </c>
    </row>
    <row r="124" spans="1:22" s="151" customFormat="1" x14ac:dyDescent="0.25">
      <c r="A124" s="151" t="s">
        <v>24</v>
      </c>
      <c r="B124" s="151" t="s">
        <v>1237</v>
      </c>
      <c r="C124" s="151" t="s">
        <v>1867</v>
      </c>
      <c r="D124" s="152" t="s">
        <v>298</v>
      </c>
      <c r="E124" s="151" t="s">
        <v>95</v>
      </c>
      <c r="F124" s="153" t="s">
        <v>1626</v>
      </c>
      <c r="G124" s="151" t="s">
        <v>298</v>
      </c>
      <c r="H124" s="151" t="s">
        <v>95</v>
      </c>
      <c r="I124" s="154">
        <v>8.9</v>
      </c>
      <c r="J124" s="153" t="str">
        <f t="shared" si="8"/>
        <v>No</v>
      </c>
      <c r="K124" s="152">
        <f t="shared" si="9"/>
        <v>0</v>
      </c>
      <c r="L124" s="152"/>
      <c r="M124" s="155" t="s">
        <v>1868</v>
      </c>
    </row>
    <row r="125" spans="1:22" s="151" customFormat="1" x14ac:dyDescent="0.25">
      <c r="A125" s="151" t="s">
        <v>24</v>
      </c>
      <c r="B125" s="151" t="s">
        <v>919</v>
      </c>
      <c r="C125" s="151" t="s">
        <v>1869</v>
      </c>
      <c r="D125" s="152" t="s">
        <v>298</v>
      </c>
      <c r="E125" s="151" t="s">
        <v>95</v>
      </c>
      <c r="F125" s="153" t="s">
        <v>1626</v>
      </c>
      <c r="G125" s="151" t="s">
        <v>298</v>
      </c>
      <c r="H125" s="151" t="s">
        <v>95</v>
      </c>
      <c r="I125" s="154">
        <v>9.5</v>
      </c>
      <c r="J125" s="153" t="str">
        <f t="shared" si="8"/>
        <v>No</v>
      </c>
      <c r="K125" s="152">
        <f t="shared" si="9"/>
        <v>0</v>
      </c>
      <c r="L125" s="152"/>
      <c r="M125" s="155" t="s">
        <v>1870</v>
      </c>
    </row>
    <row r="126" spans="1:22" s="151" customFormat="1" x14ac:dyDescent="0.25">
      <c r="A126" s="151" t="s">
        <v>475</v>
      </c>
      <c r="B126" s="151" t="s">
        <v>474</v>
      </c>
      <c r="C126" s="151" t="s">
        <v>1871</v>
      </c>
      <c r="D126" s="152" t="s">
        <v>298</v>
      </c>
      <c r="E126" s="151" t="s">
        <v>95</v>
      </c>
      <c r="F126" s="153" t="s">
        <v>1626</v>
      </c>
      <c r="G126" s="151" t="s">
        <v>298</v>
      </c>
      <c r="H126" s="151" t="s">
        <v>95</v>
      </c>
      <c r="I126" s="154">
        <v>4</v>
      </c>
      <c r="J126" s="153" t="str">
        <f t="shared" si="8"/>
        <v>No</v>
      </c>
      <c r="K126" s="152">
        <f t="shared" si="9"/>
        <v>0</v>
      </c>
      <c r="L126" s="152"/>
      <c r="M126" s="155" t="s">
        <v>1670</v>
      </c>
    </row>
    <row r="127" spans="1:22" s="151" customFormat="1" x14ac:dyDescent="0.25">
      <c r="A127" s="151" t="s">
        <v>24</v>
      </c>
      <c r="B127" s="151" t="s">
        <v>474</v>
      </c>
      <c r="C127" s="151" t="s">
        <v>1872</v>
      </c>
      <c r="D127" s="152" t="s">
        <v>298</v>
      </c>
      <c r="E127" s="151" t="s">
        <v>95</v>
      </c>
      <c r="F127" s="153" t="s">
        <v>1626</v>
      </c>
      <c r="G127" s="151" t="s">
        <v>298</v>
      </c>
      <c r="H127" s="151" t="s">
        <v>95</v>
      </c>
      <c r="I127" s="154">
        <v>7.3</v>
      </c>
      <c r="J127" s="153" t="str">
        <f t="shared" si="8"/>
        <v>No</v>
      </c>
      <c r="K127" s="152">
        <f t="shared" si="9"/>
        <v>0</v>
      </c>
      <c r="L127" s="152"/>
      <c r="M127" s="155" t="s">
        <v>1873</v>
      </c>
    </row>
    <row r="128" spans="1:22" s="159" customFormat="1" x14ac:dyDescent="0.25">
      <c r="A128" s="151" t="s">
        <v>135</v>
      </c>
      <c r="B128" s="151" t="s">
        <v>134</v>
      </c>
      <c r="C128" s="151" t="s">
        <v>1874</v>
      </c>
      <c r="D128" s="152" t="s">
        <v>1691</v>
      </c>
      <c r="E128" s="151" t="s">
        <v>95</v>
      </c>
      <c r="F128" s="153" t="s">
        <v>1626</v>
      </c>
      <c r="G128" s="151" t="s">
        <v>298</v>
      </c>
      <c r="H128" s="151" t="s">
        <v>95</v>
      </c>
      <c r="I128" s="154">
        <v>23</v>
      </c>
      <c r="J128" s="153" t="str">
        <f t="shared" si="8"/>
        <v>No</v>
      </c>
      <c r="K128" s="152">
        <f t="shared" si="9"/>
        <v>0</v>
      </c>
      <c r="L128" s="157">
        <v>24</v>
      </c>
      <c r="M128" s="155" t="s">
        <v>1875</v>
      </c>
      <c r="N128" s="151"/>
      <c r="O128" s="151"/>
      <c r="P128" s="151"/>
      <c r="Q128" s="151"/>
      <c r="R128" s="151"/>
      <c r="S128" s="151"/>
      <c r="T128" s="151"/>
      <c r="U128" s="151"/>
      <c r="V128" s="151"/>
    </row>
    <row r="129" spans="1:22" s="165" customFormat="1" x14ac:dyDescent="0.25">
      <c r="A129" s="151" t="s">
        <v>354</v>
      </c>
      <c r="B129" s="151" t="s">
        <v>134</v>
      </c>
      <c r="C129" s="151" t="s">
        <v>1876</v>
      </c>
      <c r="D129" s="152" t="s">
        <v>298</v>
      </c>
      <c r="E129" s="151" t="s">
        <v>95</v>
      </c>
      <c r="F129" s="153" t="s">
        <v>1626</v>
      </c>
      <c r="G129" s="151" t="s">
        <v>298</v>
      </c>
      <c r="H129" s="151" t="s">
        <v>95</v>
      </c>
      <c r="I129" s="154">
        <v>1.6</v>
      </c>
      <c r="J129" s="153" t="str">
        <f t="shared" si="8"/>
        <v>No</v>
      </c>
      <c r="K129" s="152">
        <f t="shared" si="9"/>
        <v>0</v>
      </c>
      <c r="L129" s="152"/>
      <c r="M129" s="155" t="s">
        <v>1877</v>
      </c>
      <c r="N129" s="151"/>
      <c r="O129" s="151"/>
      <c r="P129" s="151"/>
      <c r="Q129" s="151"/>
      <c r="R129" s="151"/>
      <c r="S129" s="151"/>
      <c r="T129" s="151"/>
      <c r="U129" s="151"/>
      <c r="V129" s="151"/>
    </row>
    <row r="130" spans="1:22" s="151" customFormat="1" x14ac:dyDescent="0.25">
      <c r="A130" s="151" t="s">
        <v>679</v>
      </c>
      <c r="B130" s="151" t="s">
        <v>666</v>
      </c>
      <c r="C130" s="151" t="s">
        <v>1911</v>
      </c>
      <c r="D130" s="152" t="s">
        <v>298</v>
      </c>
      <c r="E130" s="151" t="s">
        <v>95</v>
      </c>
      <c r="F130" s="153" t="s">
        <v>1626</v>
      </c>
      <c r="G130" s="151" t="s">
        <v>298</v>
      </c>
      <c r="H130" s="151" t="s">
        <v>95</v>
      </c>
      <c r="I130" s="154">
        <v>3.2</v>
      </c>
      <c r="J130" s="153" t="str">
        <f t="shared" si="8"/>
        <v>No</v>
      </c>
      <c r="K130" s="152">
        <f t="shared" si="9"/>
        <v>0</v>
      </c>
      <c r="L130" s="152"/>
      <c r="M130" s="155" t="s">
        <v>1912</v>
      </c>
      <c r="V130" s="159"/>
    </row>
    <row r="131" spans="1:22" s="151" customFormat="1" x14ac:dyDescent="0.25">
      <c r="A131" s="151" t="s">
        <v>682</v>
      </c>
      <c r="B131" s="151" t="s">
        <v>666</v>
      </c>
      <c r="C131" s="151" t="s">
        <v>1899</v>
      </c>
      <c r="D131" s="152" t="s">
        <v>298</v>
      </c>
      <c r="E131" s="151" t="s">
        <v>95</v>
      </c>
      <c r="F131" s="153" t="s">
        <v>1626</v>
      </c>
      <c r="G131" s="151" t="s">
        <v>298</v>
      </c>
      <c r="H131" s="151" t="s">
        <v>95</v>
      </c>
      <c r="I131" s="154">
        <v>10.8</v>
      </c>
      <c r="J131" s="153" t="str">
        <f t="shared" si="8"/>
        <v>No</v>
      </c>
      <c r="K131" s="152">
        <f t="shared" si="9"/>
        <v>0</v>
      </c>
      <c r="L131" s="152"/>
      <c r="M131" s="155" t="s">
        <v>1900</v>
      </c>
      <c r="V131" s="165"/>
    </row>
    <row r="132" spans="1:22" s="151" customFormat="1" x14ac:dyDescent="0.25">
      <c r="A132" s="151" t="s">
        <v>1878</v>
      </c>
      <c r="B132" s="151" t="s">
        <v>666</v>
      </c>
      <c r="C132" s="151" t="s">
        <v>1879</v>
      </c>
      <c r="D132" s="152" t="s">
        <v>298</v>
      </c>
      <c r="E132" s="151" t="s">
        <v>95</v>
      </c>
      <c r="F132" s="153" t="s">
        <v>1626</v>
      </c>
      <c r="G132" s="151" t="s">
        <v>298</v>
      </c>
      <c r="H132" s="151" t="s">
        <v>95</v>
      </c>
      <c r="I132" s="154">
        <v>9</v>
      </c>
      <c r="J132" s="153" t="str">
        <f t="shared" si="8"/>
        <v>No</v>
      </c>
      <c r="K132" s="152">
        <f t="shared" si="9"/>
        <v>0</v>
      </c>
      <c r="L132" s="152"/>
      <c r="M132" s="155" t="s">
        <v>1880</v>
      </c>
    </row>
    <row r="133" spans="1:22" s="159" customFormat="1" x14ac:dyDescent="0.25">
      <c r="A133" s="151" t="s">
        <v>1418</v>
      </c>
      <c r="B133" s="151" t="s">
        <v>666</v>
      </c>
      <c r="C133" s="151" t="s">
        <v>1891</v>
      </c>
      <c r="D133" s="152" t="s">
        <v>298</v>
      </c>
      <c r="E133" s="151" t="s">
        <v>95</v>
      </c>
      <c r="F133" s="153" t="s">
        <v>1626</v>
      </c>
      <c r="G133" s="151" t="s">
        <v>298</v>
      </c>
      <c r="H133" s="151" t="s">
        <v>95</v>
      </c>
      <c r="I133" s="154">
        <v>19.2</v>
      </c>
      <c r="J133" s="153" t="str">
        <f t="shared" si="8"/>
        <v>No</v>
      </c>
      <c r="K133" s="152">
        <f t="shared" si="9"/>
        <v>0</v>
      </c>
      <c r="L133" s="152"/>
      <c r="M133" s="155" t="s">
        <v>1892</v>
      </c>
      <c r="V133" s="151"/>
    </row>
    <row r="134" spans="1:22" s="151" customFormat="1" x14ac:dyDescent="0.25">
      <c r="A134" s="151" t="s">
        <v>984</v>
      </c>
      <c r="B134" s="151" t="s">
        <v>666</v>
      </c>
      <c r="C134" s="151" t="s">
        <v>1881</v>
      </c>
      <c r="D134" s="152" t="s">
        <v>1882</v>
      </c>
      <c r="E134" s="151" t="s">
        <v>1883</v>
      </c>
      <c r="F134" s="153" t="s">
        <v>1626</v>
      </c>
      <c r="G134" s="151" t="s">
        <v>298</v>
      </c>
      <c r="H134" s="151" t="s">
        <v>95</v>
      </c>
      <c r="I134" s="154">
        <v>147</v>
      </c>
      <c r="J134" s="153" t="str">
        <f t="shared" si="8"/>
        <v>Si</v>
      </c>
      <c r="K134" s="152">
        <f t="shared" si="9"/>
        <v>147</v>
      </c>
      <c r="L134" s="152"/>
      <c r="M134" s="155" t="s">
        <v>1884</v>
      </c>
    </row>
    <row r="135" spans="1:22" s="151" customFormat="1" x14ac:dyDescent="0.25">
      <c r="A135" s="159" t="s">
        <v>1348</v>
      </c>
      <c r="B135" s="159" t="s">
        <v>666</v>
      </c>
      <c r="C135" s="159" t="s">
        <v>1919</v>
      </c>
      <c r="D135" s="160" t="s">
        <v>1656</v>
      </c>
      <c r="E135" s="159" t="s">
        <v>95</v>
      </c>
      <c r="F135" s="161" t="s">
        <v>1657</v>
      </c>
      <c r="G135" s="159" t="s">
        <v>95</v>
      </c>
      <c r="H135" s="159" t="s">
        <v>95</v>
      </c>
      <c r="I135" s="162">
        <v>6</v>
      </c>
      <c r="J135" s="161" t="str">
        <f t="shared" si="8"/>
        <v>No</v>
      </c>
      <c r="K135" s="160">
        <f t="shared" si="9"/>
        <v>0</v>
      </c>
      <c r="L135" s="160"/>
      <c r="M135" s="163" t="s">
        <v>1920</v>
      </c>
      <c r="V135" s="159"/>
    </row>
    <row r="136" spans="1:22" s="151" customFormat="1" x14ac:dyDescent="0.25">
      <c r="A136" s="165" t="s">
        <v>1345</v>
      </c>
      <c r="B136" s="165" t="s">
        <v>666</v>
      </c>
      <c r="C136" s="165" t="s">
        <v>1926</v>
      </c>
      <c r="D136" s="166" t="s">
        <v>1927</v>
      </c>
      <c r="E136" s="165" t="s">
        <v>95</v>
      </c>
      <c r="F136" s="167" t="s">
        <v>1626</v>
      </c>
      <c r="G136" s="165" t="s">
        <v>298</v>
      </c>
      <c r="H136" s="165" t="s">
        <v>95</v>
      </c>
      <c r="I136" s="168"/>
      <c r="J136" s="167" t="str">
        <f t="shared" si="8"/>
        <v>No</v>
      </c>
      <c r="K136" s="166">
        <f t="shared" si="9"/>
        <v>0</v>
      </c>
      <c r="L136" s="166"/>
      <c r="M136" s="169"/>
    </row>
    <row r="137" spans="1:22" s="159" customFormat="1" x14ac:dyDescent="0.25">
      <c r="A137" s="151" t="s">
        <v>1074</v>
      </c>
      <c r="B137" s="151" t="s">
        <v>666</v>
      </c>
      <c r="C137" s="151" t="s">
        <v>1897</v>
      </c>
      <c r="D137" s="152" t="s">
        <v>298</v>
      </c>
      <c r="E137" s="151" t="s">
        <v>95</v>
      </c>
      <c r="F137" s="153" t="s">
        <v>1626</v>
      </c>
      <c r="G137" s="151" t="s">
        <v>298</v>
      </c>
      <c r="H137" s="151" t="s">
        <v>95</v>
      </c>
      <c r="I137" s="154">
        <v>5.7</v>
      </c>
      <c r="J137" s="153" t="str">
        <f t="shared" si="8"/>
        <v>No</v>
      </c>
      <c r="K137" s="152">
        <f t="shared" si="9"/>
        <v>0</v>
      </c>
      <c r="L137" s="152"/>
      <c r="M137" s="155" t="s">
        <v>1898</v>
      </c>
      <c r="N137" s="151"/>
      <c r="O137" s="151"/>
      <c r="P137" s="151"/>
      <c r="Q137" s="151"/>
      <c r="R137" s="151"/>
      <c r="S137" s="151"/>
      <c r="T137" s="151"/>
      <c r="U137" s="151"/>
      <c r="V137" s="151"/>
    </row>
    <row r="138" spans="1:22" s="151" customFormat="1" x14ac:dyDescent="0.25">
      <c r="A138" s="151" t="s">
        <v>858</v>
      </c>
      <c r="B138" s="151" t="s">
        <v>666</v>
      </c>
      <c r="C138" s="151" t="s">
        <v>1895</v>
      </c>
      <c r="D138" s="152" t="s">
        <v>298</v>
      </c>
      <c r="E138" s="151" t="s">
        <v>95</v>
      </c>
      <c r="F138" s="153" t="s">
        <v>1626</v>
      </c>
      <c r="G138" s="151" t="s">
        <v>298</v>
      </c>
      <c r="H138" s="151" t="s">
        <v>95</v>
      </c>
      <c r="I138" s="154">
        <v>9.8000000000000007</v>
      </c>
      <c r="J138" s="153" t="str">
        <f t="shared" si="8"/>
        <v>No</v>
      </c>
      <c r="K138" s="152">
        <f t="shared" si="9"/>
        <v>0</v>
      </c>
      <c r="L138" s="152"/>
      <c r="M138" s="155" t="s">
        <v>1896</v>
      </c>
    </row>
    <row r="139" spans="1:22" s="159" customFormat="1" x14ac:dyDescent="0.25">
      <c r="A139" s="151" t="s">
        <v>862</v>
      </c>
      <c r="B139" s="151" t="s">
        <v>666</v>
      </c>
      <c r="C139" s="151" t="s">
        <v>1907</v>
      </c>
      <c r="D139" s="152" t="s">
        <v>298</v>
      </c>
      <c r="E139" s="151" t="s">
        <v>95</v>
      </c>
      <c r="F139" s="153" t="s">
        <v>1626</v>
      </c>
      <c r="G139" s="151" t="s">
        <v>298</v>
      </c>
      <c r="H139" s="151" t="s">
        <v>95</v>
      </c>
      <c r="I139" s="154">
        <v>3.9</v>
      </c>
      <c r="J139" s="153" t="str">
        <f t="shared" si="8"/>
        <v>No</v>
      </c>
      <c r="K139" s="152">
        <f t="shared" si="9"/>
        <v>0</v>
      </c>
      <c r="L139" s="152"/>
      <c r="M139" s="155" t="s">
        <v>1908</v>
      </c>
      <c r="N139" s="151"/>
      <c r="O139" s="151"/>
      <c r="P139" s="151"/>
      <c r="Q139" s="151"/>
      <c r="R139" s="151"/>
      <c r="S139" s="151"/>
      <c r="T139" s="151"/>
      <c r="U139" s="151"/>
    </row>
    <row r="140" spans="1:22" s="151" customFormat="1" x14ac:dyDescent="0.25">
      <c r="A140" s="159" t="s">
        <v>1272</v>
      </c>
      <c r="B140" s="159" t="s">
        <v>666</v>
      </c>
      <c r="C140" s="159" t="s">
        <v>1917</v>
      </c>
      <c r="D140" s="160" t="s">
        <v>1656</v>
      </c>
      <c r="E140" s="159" t="s">
        <v>95</v>
      </c>
      <c r="F140" s="161" t="s">
        <v>1657</v>
      </c>
      <c r="G140" s="159" t="s">
        <v>95</v>
      </c>
      <c r="H140" s="159" t="s">
        <v>95</v>
      </c>
      <c r="I140" s="162">
        <v>6.2</v>
      </c>
      <c r="J140" s="161" t="str">
        <f t="shared" si="8"/>
        <v>No</v>
      </c>
      <c r="K140" s="160">
        <f t="shared" si="9"/>
        <v>0</v>
      </c>
      <c r="L140" s="160"/>
      <c r="M140" s="163" t="s">
        <v>1918</v>
      </c>
    </row>
    <row r="141" spans="1:22" s="151" customFormat="1" x14ac:dyDescent="0.25">
      <c r="A141" s="151" t="s">
        <v>853</v>
      </c>
      <c r="B141" s="151" t="s">
        <v>666</v>
      </c>
      <c r="C141" s="151" t="s">
        <v>1913</v>
      </c>
      <c r="D141" s="152" t="s">
        <v>298</v>
      </c>
      <c r="E141" s="151" t="s">
        <v>95</v>
      </c>
      <c r="F141" s="153" t="s">
        <v>1626</v>
      </c>
      <c r="G141" s="151" t="s">
        <v>298</v>
      </c>
      <c r="H141" s="151" t="s">
        <v>95</v>
      </c>
      <c r="I141" s="154">
        <v>8.1999999999999993</v>
      </c>
      <c r="J141" s="153" t="str">
        <f t="shared" ref="J141:J153" si="10">IF(I141&gt;30,"Si","No")</f>
        <v>No</v>
      </c>
      <c r="K141" s="152">
        <f t="shared" si="9"/>
        <v>0</v>
      </c>
      <c r="L141" s="152"/>
      <c r="M141" s="155" t="s">
        <v>1914</v>
      </c>
      <c r="N141" s="159"/>
      <c r="O141" s="159"/>
      <c r="P141" s="159"/>
      <c r="Q141" s="159"/>
      <c r="R141" s="159"/>
      <c r="S141" s="159"/>
      <c r="T141" s="159"/>
      <c r="U141" s="159"/>
      <c r="V141" s="159"/>
    </row>
    <row r="142" spans="1:22" s="151" customFormat="1" x14ac:dyDescent="0.25">
      <c r="A142" s="151" t="s">
        <v>916</v>
      </c>
      <c r="B142" s="151" t="s">
        <v>666</v>
      </c>
      <c r="C142" s="151" t="s">
        <v>1923</v>
      </c>
      <c r="D142" s="152" t="s">
        <v>1924</v>
      </c>
      <c r="E142" s="151" t="s">
        <v>95</v>
      </c>
      <c r="F142" s="153" t="s">
        <v>1626</v>
      </c>
      <c r="G142" s="151" t="s">
        <v>298</v>
      </c>
      <c r="H142" s="151" t="s">
        <v>95</v>
      </c>
      <c r="I142" s="154">
        <v>27.9</v>
      </c>
      <c r="J142" s="153" t="str">
        <f t="shared" si="10"/>
        <v>No</v>
      </c>
      <c r="K142" s="152">
        <f t="shared" si="9"/>
        <v>0</v>
      </c>
      <c r="L142" s="152"/>
      <c r="M142" s="155" t="s">
        <v>1925</v>
      </c>
    </row>
    <row r="143" spans="1:22" s="151" customFormat="1" x14ac:dyDescent="0.25">
      <c r="A143" s="151" t="s">
        <v>1174</v>
      </c>
      <c r="B143" s="151" t="s">
        <v>666</v>
      </c>
      <c r="C143" s="151" t="s">
        <v>1887</v>
      </c>
      <c r="D143" s="152" t="s">
        <v>298</v>
      </c>
      <c r="E143" s="151" t="s">
        <v>95</v>
      </c>
      <c r="F143" s="153" t="s">
        <v>1626</v>
      </c>
      <c r="G143" s="151" t="s">
        <v>298</v>
      </c>
      <c r="H143" s="151" t="s">
        <v>95</v>
      </c>
      <c r="I143" s="154">
        <v>7.8</v>
      </c>
      <c r="J143" s="153" t="str">
        <f t="shared" si="10"/>
        <v>No</v>
      </c>
      <c r="K143" s="152">
        <f t="shared" si="9"/>
        <v>0</v>
      </c>
      <c r="L143" s="152"/>
      <c r="M143" s="155" t="s">
        <v>1888</v>
      </c>
    </row>
    <row r="144" spans="1:22" s="151" customFormat="1" x14ac:dyDescent="0.25">
      <c r="A144" s="159" t="s">
        <v>667</v>
      </c>
      <c r="B144" s="159" t="s">
        <v>666</v>
      </c>
      <c r="C144" s="159" t="s">
        <v>1909</v>
      </c>
      <c r="D144" s="160" t="s">
        <v>1656</v>
      </c>
      <c r="E144" s="159" t="s">
        <v>95</v>
      </c>
      <c r="F144" s="161" t="s">
        <v>1657</v>
      </c>
      <c r="G144" s="159" t="s">
        <v>95</v>
      </c>
      <c r="H144" s="159" t="s">
        <v>95</v>
      </c>
      <c r="I144" s="162">
        <v>3.1</v>
      </c>
      <c r="J144" s="161" t="str">
        <f t="shared" si="10"/>
        <v>No</v>
      </c>
      <c r="K144" s="160">
        <f t="shared" si="9"/>
        <v>0</v>
      </c>
      <c r="L144" s="160"/>
      <c r="M144" s="163" t="s">
        <v>1910</v>
      </c>
      <c r="N144" s="159"/>
      <c r="O144" s="159"/>
      <c r="P144" s="159"/>
      <c r="Q144" s="159"/>
      <c r="R144" s="159"/>
      <c r="S144" s="159"/>
      <c r="T144" s="159"/>
      <c r="U144" s="159"/>
    </row>
    <row r="145" spans="1:21" s="151" customFormat="1" x14ac:dyDescent="0.25">
      <c r="A145" s="151" t="s">
        <v>975</v>
      </c>
      <c r="B145" s="151" t="s">
        <v>666</v>
      </c>
      <c r="C145" s="151" t="s">
        <v>1921</v>
      </c>
      <c r="D145" s="152" t="s">
        <v>1882</v>
      </c>
      <c r="E145" s="151" t="s">
        <v>1883</v>
      </c>
      <c r="F145" s="153" t="s">
        <v>1626</v>
      </c>
      <c r="G145" s="151" t="s">
        <v>298</v>
      </c>
      <c r="H145" s="151" t="s">
        <v>95</v>
      </c>
      <c r="I145" s="154">
        <v>147</v>
      </c>
      <c r="J145" s="153" t="str">
        <f t="shared" si="10"/>
        <v>Si</v>
      </c>
      <c r="K145" s="152">
        <f t="shared" si="9"/>
        <v>147</v>
      </c>
      <c r="L145" s="152"/>
      <c r="M145" s="155" t="s">
        <v>1922</v>
      </c>
    </row>
    <row r="146" spans="1:21" s="151" customFormat="1" x14ac:dyDescent="0.25">
      <c r="A146" s="159" t="s">
        <v>978</v>
      </c>
      <c r="B146" s="159" t="s">
        <v>666</v>
      </c>
      <c r="C146" s="159" t="s">
        <v>1893</v>
      </c>
      <c r="D146" s="160" t="s">
        <v>1656</v>
      </c>
      <c r="E146" s="159" t="s">
        <v>95</v>
      </c>
      <c r="F146" s="161" t="s">
        <v>1657</v>
      </c>
      <c r="G146" s="159" t="s">
        <v>95</v>
      </c>
      <c r="H146" s="159" t="s">
        <v>95</v>
      </c>
      <c r="I146" s="162">
        <v>5</v>
      </c>
      <c r="J146" s="161" t="str">
        <f t="shared" si="10"/>
        <v>No</v>
      </c>
      <c r="K146" s="160">
        <f t="shared" si="9"/>
        <v>0</v>
      </c>
      <c r="L146" s="160"/>
      <c r="M146" s="163" t="s">
        <v>1894</v>
      </c>
      <c r="N146" s="165"/>
      <c r="O146" s="165"/>
      <c r="P146" s="165"/>
      <c r="Q146" s="165"/>
      <c r="R146" s="165"/>
      <c r="S146" s="165"/>
      <c r="T146" s="165"/>
      <c r="U146" s="165"/>
    </row>
    <row r="147" spans="1:21" s="151" customFormat="1" x14ac:dyDescent="0.25">
      <c r="A147" s="151" t="s">
        <v>841</v>
      </c>
      <c r="B147" s="151" t="s">
        <v>666</v>
      </c>
      <c r="C147" s="151" t="s">
        <v>1905</v>
      </c>
      <c r="D147" s="152" t="s">
        <v>298</v>
      </c>
      <c r="E147" s="151" t="s">
        <v>95</v>
      </c>
      <c r="F147" s="153" t="s">
        <v>1626</v>
      </c>
      <c r="G147" s="151" t="s">
        <v>298</v>
      </c>
      <c r="H147" s="151" t="s">
        <v>95</v>
      </c>
      <c r="I147" s="154">
        <v>5.3</v>
      </c>
      <c r="J147" s="153" t="str">
        <f t="shared" si="10"/>
        <v>No</v>
      </c>
      <c r="K147" s="152">
        <f t="shared" si="9"/>
        <v>0</v>
      </c>
      <c r="L147" s="152"/>
      <c r="M147" s="155" t="s">
        <v>1906</v>
      </c>
    </row>
    <row r="148" spans="1:21" s="151" customFormat="1" x14ac:dyDescent="0.25">
      <c r="A148" s="151" t="s">
        <v>987</v>
      </c>
      <c r="B148" s="151" t="s">
        <v>666</v>
      </c>
      <c r="C148" s="151" t="s">
        <v>1889</v>
      </c>
      <c r="D148" s="152" t="s">
        <v>298</v>
      </c>
      <c r="E148" s="151" t="s">
        <v>95</v>
      </c>
      <c r="F148" s="153" t="s">
        <v>1626</v>
      </c>
      <c r="G148" s="151" t="s">
        <v>298</v>
      </c>
      <c r="H148" s="151" t="s">
        <v>95</v>
      </c>
      <c r="I148" s="154">
        <v>4</v>
      </c>
      <c r="J148" s="153" t="str">
        <f t="shared" si="10"/>
        <v>No</v>
      </c>
      <c r="K148" s="152">
        <f t="shared" si="9"/>
        <v>0</v>
      </c>
      <c r="L148" s="152"/>
      <c r="M148" s="155" t="s">
        <v>1890</v>
      </c>
    </row>
    <row r="149" spans="1:21" s="151" customFormat="1" x14ac:dyDescent="0.25">
      <c r="A149" s="151" t="s">
        <v>1071</v>
      </c>
      <c r="B149" s="151" t="s">
        <v>666</v>
      </c>
      <c r="C149" s="151" t="s">
        <v>1885</v>
      </c>
      <c r="D149" s="152" t="s">
        <v>298</v>
      </c>
      <c r="E149" s="151" t="s">
        <v>95</v>
      </c>
      <c r="F149" s="153" t="s">
        <v>1626</v>
      </c>
      <c r="G149" s="151" t="s">
        <v>298</v>
      </c>
      <c r="H149" s="151" t="s">
        <v>95</v>
      </c>
      <c r="I149" s="154">
        <v>14.6</v>
      </c>
      <c r="J149" s="153" t="str">
        <f t="shared" si="10"/>
        <v>No</v>
      </c>
      <c r="K149" s="152">
        <f t="shared" si="9"/>
        <v>0</v>
      </c>
      <c r="L149" s="152"/>
      <c r="M149" s="155" t="s">
        <v>1886</v>
      </c>
    </row>
    <row r="150" spans="1:21" s="151" customFormat="1" x14ac:dyDescent="0.25">
      <c r="A150" s="151" t="s">
        <v>1010</v>
      </c>
      <c r="B150" s="151" t="s">
        <v>666</v>
      </c>
      <c r="C150" s="151" t="s">
        <v>1903</v>
      </c>
      <c r="D150" s="152" t="s">
        <v>298</v>
      </c>
      <c r="E150" s="151" t="s">
        <v>95</v>
      </c>
      <c r="F150" s="153" t="s">
        <v>1626</v>
      </c>
      <c r="G150" s="151" t="s">
        <v>298</v>
      </c>
      <c r="H150" s="151" t="s">
        <v>95</v>
      </c>
      <c r="I150" s="154">
        <v>9.9</v>
      </c>
      <c r="J150" s="153" t="str">
        <f t="shared" si="10"/>
        <v>No</v>
      </c>
      <c r="K150" s="152">
        <f t="shared" si="9"/>
        <v>0</v>
      </c>
      <c r="L150" s="152"/>
      <c r="M150" s="155" t="s">
        <v>1904</v>
      </c>
    </row>
    <row r="151" spans="1:21" s="151" customFormat="1" x14ac:dyDescent="0.25">
      <c r="A151" s="151" t="s">
        <v>1000</v>
      </c>
      <c r="B151" s="151" t="s">
        <v>666</v>
      </c>
      <c r="C151" s="151" t="s">
        <v>1901</v>
      </c>
      <c r="D151" s="152" t="s">
        <v>298</v>
      </c>
      <c r="E151" s="151" t="s">
        <v>95</v>
      </c>
      <c r="F151" s="153" t="s">
        <v>1626</v>
      </c>
      <c r="G151" s="151" t="s">
        <v>298</v>
      </c>
      <c r="H151" s="151" t="s">
        <v>95</v>
      </c>
      <c r="I151" s="154">
        <v>8.5</v>
      </c>
      <c r="J151" s="153" t="str">
        <f t="shared" si="10"/>
        <v>No</v>
      </c>
      <c r="K151" s="152">
        <f t="shared" si="9"/>
        <v>0</v>
      </c>
      <c r="L151" s="152"/>
      <c r="M151" s="155" t="s">
        <v>1902</v>
      </c>
      <c r="N151" s="159"/>
      <c r="O151" s="159"/>
      <c r="P151" s="159"/>
      <c r="Q151" s="159"/>
      <c r="R151" s="159"/>
      <c r="S151" s="159"/>
      <c r="T151" s="159"/>
      <c r="U151" s="159"/>
    </row>
    <row r="152" spans="1:21" s="151" customFormat="1" x14ac:dyDescent="0.25">
      <c r="A152" s="151" t="s">
        <v>997</v>
      </c>
      <c r="B152" s="151" t="s">
        <v>666</v>
      </c>
      <c r="C152" s="151" t="s">
        <v>1915</v>
      </c>
      <c r="D152" s="152" t="s">
        <v>298</v>
      </c>
      <c r="E152" s="151" t="s">
        <v>95</v>
      </c>
      <c r="F152" s="153" t="s">
        <v>1626</v>
      </c>
      <c r="G152" s="151" t="s">
        <v>298</v>
      </c>
      <c r="H152" s="151" t="s">
        <v>95</v>
      </c>
      <c r="I152" s="154">
        <v>18.399999999999999</v>
      </c>
      <c r="J152" s="153" t="str">
        <f t="shared" si="10"/>
        <v>No</v>
      </c>
      <c r="K152" s="152">
        <f t="shared" si="9"/>
        <v>0</v>
      </c>
      <c r="L152" s="152"/>
      <c r="M152" s="155" t="s">
        <v>1916</v>
      </c>
    </row>
    <row r="153" spans="1:21" s="151" customFormat="1" x14ac:dyDescent="0.25">
      <c r="A153" s="151" t="s">
        <v>241</v>
      </c>
      <c r="B153" s="151" t="s">
        <v>29</v>
      </c>
      <c r="C153" s="151" t="s">
        <v>1934</v>
      </c>
      <c r="D153" s="152" t="s">
        <v>241</v>
      </c>
      <c r="E153" s="151" t="s">
        <v>95</v>
      </c>
      <c r="F153" s="153" t="s">
        <v>1626</v>
      </c>
      <c r="G153" s="151" t="s">
        <v>298</v>
      </c>
      <c r="H153" s="151" t="s">
        <v>95</v>
      </c>
      <c r="I153" s="154">
        <v>149</v>
      </c>
      <c r="J153" s="153" t="str">
        <f t="shared" si="10"/>
        <v>Si</v>
      </c>
      <c r="K153" s="152">
        <f t="shared" si="9"/>
        <v>149</v>
      </c>
      <c r="L153" s="152"/>
      <c r="M153" s="155" t="s">
        <v>1935</v>
      </c>
    </row>
    <row r="154" spans="1:21" s="151" customFormat="1" x14ac:dyDescent="0.25">
      <c r="A154" s="25" t="s">
        <v>3494</v>
      </c>
      <c r="B154" s="25" t="s">
        <v>29</v>
      </c>
      <c r="C154" s="246" t="s">
        <v>3757</v>
      </c>
      <c r="D154" s="152" t="s">
        <v>3494</v>
      </c>
      <c r="E154" s="151" t="s">
        <v>95</v>
      </c>
      <c r="F154" s="153" t="s">
        <v>1657</v>
      </c>
      <c r="G154" s="151" t="s">
        <v>95</v>
      </c>
      <c r="H154" s="151" t="s">
        <v>95</v>
      </c>
      <c r="I154" s="154">
        <v>27.1</v>
      </c>
      <c r="J154" s="153" t="str">
        <f>IF(I154&gt;20,"Si","No")</f>
        <v>Si</v>
      </c>
      <c r="K154" s="152">
        <f t="shared" si="9"/>
        <v>27.1</v>
      </c>
      <c r="L154" t="s">
        <v>4719</v>
      </c>
      <c r="M154" s="247" t="s">
        <v>4317</v>
      </c>
      <c r="N154" s="245">
        <v>315779742</v>
      </c>
      <c r="O154" t="s">
        <v>3758</v>
      </c>
      <c r="P154" t="s">
        <v>3749</v>
      </c>
      <c r="Q154" t="s">
        <v>3759</v>
      </c>
      <c r="R154" t="s">
        <v>3760</v>
      </c>
      <c r="S154" t="s">
        <v>3761</v>
      </c>
      <c r="T154" t="s">
        <v>3749</v>
      </c>
      <c r="U154" t="s">
        <v>3753</v>
      </c>
    </row>
    <row r="155" spans="1:21" s="151" customFormat="1" x14ac:dyDescent="0.25">
      <c r="A155" s="151" t="s">
        <v>24</v>
      </c>
      <c r="B155" s="151" t="s">
        <v>29</v>
      </c>
      <c r="C155" s="151" t="s">
        <v>1939</v>
      </c>
      <c r="D155" s="152" t="s">
        <v>298</v>
      </c>
      <c r="E155" s="151" t="s">
        <v>95</v>
      </c>
      <c r="F155" s="153" t="s">
        <v>1626</v>
      </c>
      <c r="G155" s="151" t="s">
        <v>298</v>
      </c>
      <c r="H155" s="151" t="s">
        <v>95</v>
      </c>
      <c r="I155" s="154">
        <v>3.9</v>
      </c>
      <c r="J155" s="153" t="str">
        <f t="shared" ref="J155:J190" si="11">IF(I155&gt;30,"Si","No")</f>
        <v>No</v>
      </c>
      <c r="K155" s="152">
        <f t="shared" ref="K155:K190" si="12">IF(J155="si",I155,0)</f>
        <v>0</v>
      </c>
      <c r="L155" s="152"/>
      <c r="M155" s="155" t="s">
        <v>1940</v>
      </c>
    </row>
    <row r="156" spans="1:21" s="151" customFormat="1" x14ac:dyDescent="0.25">
      <c r="A156" s="151" t="s">
        <v>389</v>
      </c>
      <c r="B156" s="151" t="s">
        <v>29</v>
      </c>
      <c r="C156" s="151" t="s">
        <v>1930</v>
      </c>
      <c r="D156" s="152" t="s">
        <v>298</v>
      </c>
      <c r="E156" s="151" t="s">
        <v>95</v>
      </c>
      <c r="F156" s="153" t="s">
        <v>1626</v>
      </c>
      <c r="G156" s="151" t="s">
        <v>298</v>
      </c>
      <c r="H156" s="151" t="s">
        <v>95</v>
      </c>
      <c r="I156" s="154">
        <v>8.4</v>
      </c>
      <c r="J156" s="153" t="str">
        <f t="shared" si="11"/>
        <v>No</v>
      </c>
      <c r="K156" s="152">
        <f t="shared" si="12"/>
        <v>0</v>
      </c>
      <c r="L156" s="152"/>
      <c r="M156" s="155" t="s">
        <v>1931</v>
      </c>
    </row>
    <row r="157" spans="1:21" s="151" customFormat="1" x14ac:dyDescent="0.25">
      <c r="A157" s="151" t="s">
        <v>1385</v>
      </c>
      <c r="B157" s="151" t="s">
        <v>29</v>
      </c>
      <c r="C157" s="151" t="s">
        <v>1941</v>
      </c>
      <c r="D157" s="152" t="s">
        <v>298</v>
      </c>
      <c r="E157" s="151" t="s">
        <v>95</v>
      </c>
      <c r="F157" s="153" t="s">
        <v>1626</v>
      </c>
      <c r="G157" s="151" t="s">
        <v>298</v>
      </c>
      <c r="H157" s="151" t="s">
        <v>95</v>
      </c>
      <c r="I157" s="154">
        <v>27.7</v>
      </c>
      <c r="J157" s="153" t="str">
        <f t="shared" si="11"/>
        <v>No</v>
      </c>
      <c r="K157" s="152">
        <f t="shared" si="12"/>
        <v>0</v>
      </c>
      <c r="L157" s="152"/>
      <c r="M157" s="155" t="s">
        <v>1942</v>
      </c>
    </row>
    <row r="158" spans="1:21" s="151" customFormat="1" x14ac:dyDescent="0.25">
      <c r="A158" s="151" t="s">
        <v>148</v>
      </c>
      <c r="B158" s="151" t="s">
        <v>29</v>
      </c>
      <c r="C158" s="151" t="s">
        <v>1932</v>
      </c>
      <c r="D158" s="152" t="s">
        <v>148</v>
      </c>
      <c r="E158" s="151" t="s">
        <v>95</v>
      </c>
      <c r="F158" s="153" t="s">
        <v>1626</v>
      </c>
      <c r="G158" s="151" t="s">
        <v>298</v>
      </c>
      <c r="H158" s="151" t="s">
        <v>95</v>
      </c>
      <c r="I158" s="154">
        <v>56.1</v>
      </c>
      <c r="J158" s="153" t="str">
        <f t="shared" si="11"/>
        <v>Si</v>
      </c>
      <c r="K158" s="152">
        <f t="shared" si="12"/>
        <v>56.1</v>
      </c>
      <c r="L158" s="152"/>
      <c r="M158" s="155" t="s">
        <v>1933</v>
      </c>
    </row>
    <row r="159" spans="1:21" s="151" customFormat="1" x14ac:dyDescent="0.25">
      <c r="A159" s="151" t="s">
        <v>735</v>
      </c>
      <c r="B159" s="151" t="s">
        <v>29</v>
      </c>
      <c r="C159" s="151" t="s">
        <v>1928</v>
      </c>
      <c r="D159" s="152" t="s">
        <v>298</v>
      </c>
      <c r="E159" s="151" t="s">
        <v>95</v>
      </c>
      <c r="F159" s="153" t="s">
        <v>1626</v>
      </c>
      <c r="G159" s="151" t="s">
        <v>298</v>
      </c>
      <c r="H159" s="151" t="s">
        <v>95</v>
      </c>
      <c r="I159" s="154">
        <v>16.600000000000001</v>
      </c>
      <c r="J159" s="153" t="str">
        <f t="shared" si="11"/>
        <v>No</v>
      </c>
      <c r="K159" s="152">
        <f t="shared" si="12"/>
        <v>0</v>
      </c>
      <c r="L159" s="152"/>
      <c r="M159" s="155" t="s">
        <v>1929</v>
      </c>
    </row>
    <row r="160" spans="1:21" s="151" customFormat="1" x14ac:dyDescent="0.25">
      <c r="A160" s="151" t="s">
        <v>1454</v>
      </c>
      <c r="B160" s="151" t="s">
        <v>29</v>
      </c>
      <c r="C160" s="151" t="s">
        <v>1936</v>
      </c>
      <c r="D160" s="152" t="s">
        <v>1454</v>
      </c>
      <c r="E160" s="151" t="s">
        <v>95</v>
      </c>
      <c r="F160" s="153" t="s">
        <v>1626</v>
      </c>
      <c r="G160" s="151" t="s">
        <v>298</v>
      </c>
      <c r="H160" s="151" t="s">
        <v>95</v>
      </c>
      <c r="I160" s="154">
        <v>127</v>
      </c>
      <c r="J160" s="153" t="str">
        <f t="shared" si="11"/>
        <v>Si</v>
      </c>
      <c r="K160" s="152">
        <f t="shared" si="12"/>
        <v>127</v>
      </c>
      <c r="L160" s="152"/>
      <c r="M160" s="155" t="s">
        <v>1937</v>
      </c>
    </row>
    <row r="161" spans="1:22" s="151" customFormat="1" x14ac:dyDescent="0.25">
      <c r="A161" s="151" t="s">
        <v>30</v>
      </c>
      <c r="B161" s="151" t="s">
        <v>1938</v>
      </c>
      <c r="C161" s="151" t="s">
        <v>3536</v>
      </c>
      <c r="D161" s="152" t="s">
        <v>1882</v>
      </c>
      <c r="E161" s="151" t="s">
        <v>95</v>
      </c>
      <c r="F161" s="153" t="s">
        <v>1626</v>
      </c>
      <c r="G161" s="151" t="s">
        <v>298</v>
      </c>
      <c r="H161" s="151" t="s">
        <v>95</v>
      </c>
      <c r="I161" s="154">
        <v>158</v>
      </c>
      <c r="J161" s="153" t="str">
        <f t="shared" si="11"/>
        <v>Si</v>
      </c>
      <c r="K161" s="152">
        <f t="shared" si="12"/>
        <v>158</v>
      </c>
      <c r="L161" s="157">
        <v>156</v>
      </c>
      <c r="M161" s="155" t="s">
        <v>3537</v>
      </c>
    </row>
    <row r="162" spans="1:22" s="151" customFormat="1" x14ac:dyDescent="0.25">
      <c r="A162" s="151" t="s">
        <v>24</v>
      </c>
      <c r="B162" s="151" t="s">
        <v>865</v>
      </c>
      <c r="C162" s="151" t="s">
        <v>1943</v>
      </c>
      <c r="D162" s="152" t="s">
        <v>298</v>
      </c>
      <c r="E162" s="151" t="s">
        <v>95</v>
      </c>
      <c r="F162" s="153" t="s">
        <v>1626</v>
      </c>
      <c r="G162" s="151" t="s">
        <v>298</v>
      </c>
      <c r="H162" s="151" t="s">
        <v>95</v>
      </c>
      <c r="I162" s="154">
        <v>10</v>
      </c>
      <c r="J162" s="153" t="str">
        <f t="shared" si="11"/>
        <v>No</v>
      </c>
      <c r="K162" s="152">
        <f t="shared" si="12"/>
        <v>0</v>
      </c>
      <c r="L162" s="152"/>
      <c r="M162" s="155" t="s">
        <v>1944</v>
      </c>
    </row>
    <row r="163" spans="1:22" s="151" customFormat="1" x14ac:dyDescent="0.25">
      <c r="A163" s="151" t="s">
        <v>24</v>
      </c>
      <c r="B163" s="151" t="s">
        <v>51</v>
      </c>
      <c r="C163" s="151" t="s">
        <v>1945</v>
      </c>
      <c r="D163" s="152" t="s">
        <v>298</v>
      </c>
      <c r="E163" s="151" t="s">
        <v>95</v>
      </c>
      <c r="F163" s="153" t="s">
        <v>1626</v>
      </c>
      <c r="G163" s="151" t="s">
        <v>298</v>
      </c>
      <c r="H163" s="151" t="s">
        <v>95</v>
      </c>
      <c r="I163" s="154">
        <v>7.3</v>
      </c>
      <c r="J163" s="153" t="str">
        <f t="shared" si="11"/>
        <v>No</v>
      </c>
      <c r="K163" s="152">
        <f t="shared" si="12"/>
        <v>0</v>
      </c>
      <c r="L163" s="152"/>
      <c r="M163" s="155" t="s">
        <v>1946</v>
      </c>
    </row>
    <row r="164" spans="1:22" s="151" customFormat="1" x14ac:dyDescent="0.25">
      <c r="A164" s="151" t="s">
        <v>849</v>
      </c>
      <c r="B164" s="151" t="s">
        <v>848</v>
      </c>
      <c r="C164" s="151" t="s">
        <v>1947</v>
      </c>
      <c r="D164" s="152" t="s">
        <v>298</v>
      </c>
      <c r="E164" s="151" t="s">
        <v>95</v>
      </c>
      <c r="F164" s="153" t="s">
        <v>1626</v>
      </c>
      <c r="G164" s="151" t="s">
        <v>298</v>
      </c>
      <c r="H164" s="151" t="s">
        <v>95</v>
      </c>
      <c r="I164" s="154">
        <v>14</v>
      </c>
      <c r="J164" s="153" t="str">
        <f t="shared" si="11"/>
        <v>No</v>
      </c>
      <c r="K164" s="152">
        <f t="shared" si="12"/>
        <v>0</v>
      </c>
      <c r="L164" s="152"/>
      <c r="M164" s="155" t="s">
        <v>1948</v>
      </c>
    </row>
    <row r="165" spans="1:22" s="165" customFormat="1" x14ac:dyDescent="0.25">
      <c r="A165" s="151" t="s">
        <v>1949</v>
      </c>
      <c r="B165" s="151" t="s">
        <v>32</v>
      </c>
      <c r="C165" s="151" t="s">
        <v>1950</v>
      </c>
      <c r="D165" s="152" t="s">
        <v>1625</v>
      </c>
      <c r="E165" s="151" t="s">
        <v>95</v>
      </c>
      <c r="F165" s="153" t="s">
        <v>1626</v>
      </c>
      <c r="G165" s="151" t="s">
        <v>298</v>
      </c>
      <c r="H165" s="151" t="s">
        <v>95</v>
      </c>
      <c r="I165" s="154">
        <v>68.900000000000006</v>
      </c>
      <c r="J165" s="153" t="str">
        <f t="shared" si="11"/>
        <v>Si</v>
      </c>
      <c r="K165" s="152">
        <f t="shared" si="12"/>
        <v>68.900000000000006</v>
      </c>
      <c r="L165" s="152"/>
      <c r="M165" s="155" t="s">
        <v>1951</v>
      </c>
      <c r="N165" s="151"/>
      <c r="O165" s="151"/>
      <c r="P165" s="151"/>
      <c r="Q165" s="151"/>
      <c r="R165" s="151"/>
      <c r="S165" s="151"/>
      <c r="T165" s="151"/>
      <c r="U165" s="151"/>
      <c r="V165" s="151"/>
    </row>
    <row r="166" spans="1:22" s="151" customFormat="1" x14ac:dyDescent="0.25">
      <c r="A166" s="151" t="s">
        <v>24</v>
      </c>
      <c r="B166" s="151" t="s">
        <v>899</v>
      </c>
      <c r="C166" s="151" t="s">
        <v>1952</v>
      </c>
      <c r="D166" s="152" t="s">
        <v>298</v>
      </c>
      <c r="E166" s="151" t="s">
        <v>95</v>
      </c>
      <c r="F166" s="153" t="s">
        <v>1626</v>
      </c>
      <c r="G166" s="151" t="s">
        <v>298</v>
      </c>
      <c r="H166" s="151" t="s">
        <v>95</v>
      </c>
      <c r="I166" s="154">
        <v>11.9</v>
      </c>
      <c r="J166" s="153" t="str">
        <f t="shared" si="11"/>
        <v>No</v>
      </c>
      <c r="K166" s="152">
        <f t="shared" si="12"/>
        <v>0</v>
      </c>
      <c r="L166" s="152"/>
      <c r="M166" s="155" t="s">
        <v>1953</v>
      </c>
    </row>
    <row r="167" spans="1:22" s="151" customFormat="1" x14ac:dyDescent="0.25">
      <c r="A167" s="25" t="s">
        <v>169</v>
      </c>
      <c r="B167" s="25" t="s">
        <v>168</v>
      </c>
      <c r="C167" s="41" t="s">
        <v>3300</v>
      </c>
      <c r="D167" s="152" t="s">
        <v>1882</v>
      </c>
      <c r="E167" s="151" t="s">
        <v>1883</v>
      </c>
      <c r="F167" s="153" t="s">
        <v>1626</v>
      </c>
      <c r="G167" s="151" t="s">
        <v>298</v>
      </c>
      <c r="H167" s="151" t="s">
        <v>95</v>
      </c>
      <c r="I167" s="154">
        <v>148</v>
      </c>
      <c r="J167" s="153" t="str">
        <f t="shared" si="11"/>
        <v>Si</v>
      </c>
      <c r="K167" s="152">
        <f t="shared" si="12"/>
        <v>148</v>
      </c>
      <c r="L167"/>
      <c r="M167" s="247" t="s">
        <v>4317</v>
      </c>
      <c r="N167"/>
      <c r="O167"/>
      <c r="P167"/>
      <c r="Q167"/>
      <c r="R167"/>
      <c r="S167"/>
      <c r="T167"/>
      <c r="U167"/>
      <c r="V167" s="165"/>
    </row>
    <row r="168" spans="1:22" s="151" customFormat="1" x14ac:dyDescent="0.25">
      <c r="A168" s="151" t="s">
        <v>35</v>
      </c>
      <c r="B168" s="151" t="s">
        <v>34</v>
      </c>
      <c r="C168" s="151" t="s">
        <v>1954</v>
      </c>
      <c r="D168" s="152" t="s">
        <v>1634</v>
      </c>
      <c r="E168" s="151" t="s">
        <v>95</v>
      </c>
      <c r="F168" s="153" t="s">
        <v>1626</v>
      </c>
      <c r="G168" s="151" t="s">
        <v>298</v>
      </c>
      <c r="H168" s="151" t="s">
        <v>95</v>
      </c>
      <c r="I168" s="154">
        <v>78.599999999999994</v>
      </c>
      <c r="J168" s="153" t="str">
        <f t="shared" si="11"/>
        <v>Si</v>
      </c>
      <c r="K168" s="152">
        <f t="shared" si="12"/>
        <v>78.599999999999994</v>
      </c>
      <c r="L168" s="152"/>
      <c r="M168" s="158" t="s">
        <v>4043</v>
      </c>
    </row>
    <row r="169" spans="1:22" s="151" customFormat="1" x14ac:dyDescent="0.25">
      <c r="A169" s="151" t="s">
        <v>164</v>
      </c>
      <c r="B169" s="151" t="s">
        <v>163</v>
      </c>
      <c r="C169" s="151" t="s">
        <v>1955</v>
      </c>
      <c r="D169" s="152" t="s">
        <v>1647</v>
      </c>
      <c r="E169" s="151" t="s">
        <v>95</v>
      </c>
      <c r="F169" s="153" t="s">
        <v>1626</v>
      </c>
      <c r="G169" s="151" t="s">
        <v>298</v>
      </c>
      <c r="H169" s="151" t="s">
        <v>95</v>
      </c>
      <c r="I169" s="154">
        <v>126</v>
      </c>
      <c r="J169" s="153" t="str">
        <f t="shared" si="11"/>
        <v>Si</v>
      </c>
      <c r="K169" s="152">
        <f t="shared" si="12"/>
        <v>126</v>
      </c>
      <c r="L169" s="152"/>
      <c r="M169" s="158" t="s">
        <v>4043</v>
      </c>
    </row>
    <row r="170" spans="1:22" s="151" customFormat="1" x14ac:dyDescent="0.25">
      <c r="A170" s="151" t="s">
        <v>1957</v>
      </c>
      <c r="B170" s="151" t="s">
        <v>1956</v>
      </c>
      <c r="C170" s="151" t="s">
        <v>1958</v>
      </c>
      <c r="D170" s="152" t="s">
        <v>1959</v>
      </c>
      <c r="E170" s="151" t="s">
        <v>95</v>
      </c>
      <c r="F170" s="153" t="s">
        <v>1626</v>
      </c>
      <c r="G170" s="151" t="s">
        <v>298</v>
      </c>
      <c r="H170" s="151" t="s">
        <v>95</v>
      </c>
      <c r="I170" s="154">
        <v>95.9</v>
      </c>
      <c r="J170" s="153" t="str">
        <f t="shared" si="11"/>
        <v>Si</v>
      </c>
      <c r="K170" s="152">
        <f t="shared" si="12"/>
        <v>95.9</v>
      </c>
      <c r="L170" s="152"/>
      <c r="M170" s="155" t="s">
        <v>1960</v>
      </c>
    </row>
    <row r="171" spans="1:22" s="151" customFormat="1" x14ac:dyDescent="0.25">
      <c r="A171" s="151" t="s">
        <v>994</v>
      </c>
      <c r="B171" s="151" t="s">
        <v>993</v>
      </c>
      <c r="C171" s="151" t="s">
        <v>1961</v>
      </c>
      <c r="D171" s="152" t="s">
        <v>298</v>
      </c>
      <c r="E171" s="151" t="s">
        <v>95</v>
      </c>
      <c r="F171" s="153" t="s">
        <v>1626</v>
      </c>
      <c r="G171" s="151" t="s">
        <v>298</v>
      </c>
      <c r="H171" s="151" t="s">
        <v>95</v>
      </c>
      <c r="I171" s="154">
        <v>2.1</v>
      </c>
      <c r="J171" s="153" t="str">
        <f t="shared" si="11"/>
        <v>No</v>
      </c>
      <c r="K171" s="152">
        <f t="shared" si="12"/>
        <v>0</v>
      </c>
      <c r="L171" s="152"/>
      <c r="M171" s="155" t="s">
        <v>1962</v>
      </c>
    </row>
    <row r="172" spans="1:22" s="151" customFormat="1" x14ac:dyDescent="0.25">
      <c r="A172" s="151" t="s">
        <v>24</v>
      </c>
      <c r="B172" s="151" t="s">
        <v>636</v>
      </c>
      <c r="C172" s="151" t="s">
        <v>1963</v>
      </c>
      <c r="D172" s="152" t="s">
        <v>298</v>
      </c>
      <c r="E172" s="151" t="s">
        <v>95</v>
      </c>
      <c r="F172" s="153" t="s">
        <v>1626</v>
      </c>
      <c r="G172" s="151" t="s">
        <v>298</v>
      </c>
      <c r="H172" s="151" t="s">
        <v>95</v>
      </c>
      <c r="I172" s="154">
        <v>7.2</v>
      </c>
      <c r="J172" s="153" t="str">
        <f t="shared" si="11"/>
        <v>No</v>
      </c>
      <c r="K172" s="152">
        <f t="shared" si="12"/>
        <v>0</v>
      </c>
      <c r="L172" s="152"/>
      <c r="M172" s="155" t="s">
        <v>1964</v>
      </c>
    </row>
    <row r="173" spans="1:22" s="151" customFormat="1" x14ac:dyDescent="0.25">
      <c r="A173" s="151" t="s">
        <v>1555</v>
      </c>
      <c r="B173" s="151" t="s">
        <v>636</v>
      </c>
      <c r="C173" s="151" t="s">
        <v>1965</v>
      </c>
      <c r="D173" s="152" t="s">
        <v>298</v>
      </c>
      <c r="E173" s="151" t="s">
        <v>95</v>
      </c>
      <c r="F173" s="153" t="s">
        <v>1626</v>
      </c>
      <c r="G173" s="151" t="s">
        <v>298</v>
      </c>
      <c r="H173" s="151" t="s">
        <v>95</v>
      </c>
      <c r="I173" s="154">
        <v>7.7</v>
      </c>
      <c r="J173" s="153" t="str">
        <f t="shared" si="11"/>
        <v>No</v>
      </c>
      <c r="K173" s="152">
        <f t="shared" si="12"/>
        <v>0</v>
      </c>
      <c r="L173" s="152"/>
      <c r="M173" s="155" t="s">
        <v>1966</v>
      </c>
    </row>
    <row r="174" spans="1:22" s="151" customFormat="1" x14ac:dyDescent="0.25">
      <c r="A174" s="165" t="s">
        <v>1054</v>
      </c>
      <c r="B174" s="165" t="s">
        <v>1053</v>
      </c>
      <c r="C174" s="165" t="s">
        <v>1967</v>
      </c>
      <c r="D174" s="166" t="s">
        <v>1688</v>
      </c>
      <c r="E174" s="165" t="s">
        <v>95</v>
      </c>
      <c r="F174" s="167" t="s">
        <v>1626</v>
      </c>
      <c r="G174" s="165" t="s">
        <v>298</v>
      </c>
      <c r="H174" s="165" t="s">
        <v>95</v>
      </c>
      <c r="I174" s="168"/>
      <c r="J174" s="167" t="str">
        <f t="shared" si="11"/>
        <v>No</v>
      </c>
      <c r="K174" s="166">
        <f t="shared" si="12"/>
        <v>0</v>
      </c>
      <c r="L174" s="166"/>
      <c r="M174" s="169"/>
      <c r="N174" s="165"/>
      <c r="O174" s="165"/>
      <c r="P174" s="165"/>
      <c r="Q174" s="165"/>
      <c r="R174" s="165"/>
      <c r="S174" s="165"/>
      <c r="T174" s="165"/>
      <c r="U174" s="165"/>
    </row>
    <row r="175" spans="1:22" s="151" customFormat="1" x14ac:dyDescent="0.25">
      <c r="A175" s="151" t="s">
        <v>655</v>
      </c>
      <c r="B175" s="151" t="s">
        <v>1968</v>
      </c>
      <c r="C175" s="151" t="s">
        <v>1969</v>
      </c>
      <c r="D175" s="152" t="s">
        <v>298</v>
      </c>
      <c r="E175" s="151" t="s">
        <v>95</v>
      </c>
      <c r="F175" s="153" t="s">
        <v>1626</v>
      </c>
      <c r="G175" s="151" t="s">
        <v>298</v>
      </c>
      <c r="H175" s="151" t="s">
        <v>95</v>
      </c>
      <c r="I175" s="154">
        <v>23.2</v>
      </c>
      <c r="J175" s="153" t="str">
        <f t="shared" si="11"/>
        <v>No</v>
      </c>
      <c r="K175" s="152">
        <f t="shared" si="12"/>
        <v>0</v>
      </c>
      <c r="L175" s="152"/>
      <c r="M175" s="155" t="s">
        <v>1970</v>
      </c>
    </row>
    <row r="176" spans="1:22" s="159" customFormat="1" x14ac:dyDescent="0.25">
      <c r="A176" s="151" t="s">
        <v>24</v>
      </c>
      <c r="B176" s="151" t="s">
        <v>922</v>
      </c>
      <c r="C176" s="151" t="s">
        <v>1971</v>
      </c>
      <c r="D176" s="152" t="s">
        <v>298</v>
      </c>
      <c r="E176" s="151" t="s">
        <v>95</v>
      </c>
      <c r="F176" s="153" t="s">
        <v>1626</v>
      </c>
      <c r="G176" s="151" t="s">
        <v>298</v>
      </c>
      <c r="H176" s="151" t="s">
        <v>95</v>
      </c>
      <c r="I176" s="154">
        <v>8.4</v>
      </c>
      <c r="J176" s="153" t="str">
        <f t="shared" si="11"/>
        <v>No</v>
      </c>
      <c r="K176" s="152">
        <f t="shared" si="12"/>
        <v>0</v>
      </c>
      <c r="L176" s="152"/>
      <c r="M176" s="155" t="s">
        <v>1972</v>
      </c>
      <c r="N176" s="151"/>
      <c r="O176" s="151"/>
      <c r="P176" s="151"/>
      <c r="Q176" s="151"/>
      <c r="R176" s="151"/>
      <c r="S176" s="151"/>
      <c r="T176" s="151"/>
      <c r="U176" s="151"/>
      <c r="V176" s="151"/>
    </row>
    <row r="177" spans="1:22" s="151" customFormat="1" x14ac:dyDescent="0.25">
      <c r="A177" s="151" t="s">
        <v>24</v>
      </c>
      <c r="B177" s="151" t="s">
        <v>1234</v>
      </c>
      <c r="C177" s="151" t="s">
        <v>1973</v>
      </c>
      <c r="D177" s="152" t="s">
        <v>298</v>
      </c>
      <c r="E177" s="151" t="s">
        <v>95</v>
      </c>
      <c r="F177" s="153" t="s">
        <v>1626</v>
      </c>
      <c r="G177" s="151" t="s">
        <v>298</v>
      </c>
      <c r="H177" s="151" t="s">
        <v>95</v>
      </c>
      <c r="I177" s="154">
        <v>14.9</v>
      </c>
      <c r="J177" s="153" t="str">
        <f t="shared" si="11"/>
        <v>No</v>
      </c>
      <c r="K177" s="152">
        <f t="shared" si="12"/>
        <v>0</v>
      </c>
      <c r="L177" s="152"/>
      <c r="M177" s="155" t="s">
        <v>1974</v>
      </c>
    </row>
    <row r="178" spans="1:22" s="151" customFormat="1" x14ac:dyDescent="0.25">
      <c r="A178" s="151" t="s">
        <v>1388</v>
      </c>
      <c r="B178" s="151" t="s">
        <v>1444</v>
      </c>
      <c r="C178" s="151" t="s">
        <v>1975</v>
      </c>
      <c r="D178" s="152" t="s">
        <v>298</v>
      </c>
      <c r="E178" s="151" t="s">
        <v>95</v>
      </c>
      <c r="F178" s="153" t="s">
        <v>1626</v>
      </c>
      <c r="G178" s="151" t="s">
        <v>298</v>
      </c>
      <c r="H178" s="151" t="s">
        <v>95</v>
      </c>
      <c r="I178" s="154">
        <v>23.2</v>
      </c>
      <c r="J178" s="153" t="str">
        <f t="shared" si="11"/>
        <v>No</v>
      </c>
      <c r="K178" s="152">
        <f t="shared" si="12"/>
        <v>0</v>
      </c>
      <c r="L178" s="152"/>
      <c r="M178" s="155" t="s">
        <v>1970</v>
      </c>
      <c r="V178" s="159"/>
    </row>
    <row r="179" spans="1:22" s="151" customFormat="1" x14ac:dyDescent="0.25">
      <c r="A179" s="151" t="s">
        <v>1977</v>
      </c>
      <c r="B179" s="151" t="s">
        <v>1976</v>
      </c>
      <c r="C179" s="151" t="s">
        <v>1978</v>
      </c>
      <c r="D179" s="152" t="s">
        <v>298</v>
      </c>
      <c r="E179" s="151" t="s">
        <v>95</v>
      </c>
      <c r="F179" s="153" t="s">
        <v>1626</v>
      </c>
      <c r="G179" s="151" t="s">
        <v>298</v>
      </c>
      <c r="H179" s="151" t="s">
        <v>95</v>
      </c>
      <c r="I179" s="154">
        <v>8.9</v>
      </c>
      <c r="J179" s="153" t="str">
        <f t="shared" si="11"/>
        <v>No</v>
      </c>
      <c r="K179" s="152">
        <f t="shared" si="12"/>
        <v>0</v>
      </c>
      <c r="L179" s="152"/>
      <c r="M179" s="155" t="s">
        <v>1979</v>
      </c>
    </row>
    <row r="180" spans="1:22" s="151" customFormat="1" x14ac:dyDescent="0.25">
      <c r="A180" s="151" t="s">
        <v>203</v>
      </c>
      <c r="B180" s="151" t="s">
        <v>202</v>
      </c>
      <c r="C180" s="151" t="s">
        <v>1980</v>
      </c>
      <c r="D180" s="152" t="s">
        <v>1959</v>
      </c>
      <c r="E180" s="151" t="s">
        <v>95</v>
      </c>
      <c r="F180" s="153" t="s">
        <v>1626</v>
      </c>
      <c r="G180" s="151" t="s">
        <v>298</v>
      </c>
      <c r="H180" s="151" t="s">
        <v>95</v>
      </c>
      <c r="I180" s="154">
        <v>100</v>
      </c>
      <c r="J180" s="153" t="str">
        <f t="shared" si="11"/>
        <v>Si</v>
      </c>
      <c r="K180" s="152">
        <f t="shared" si="12"/>
        <v>100</v>
      </c>
      <c r="L180" s="152"/>
      <c r="M180" s="155" t="s">
        <v>1981</v>
      </c>
    </row>
    <row r="181" spans="1:22" x14ac:dyDescent="0.25">
      <c r="A181" s="151" t="s">
        <v>1983</v>
      </c>
      <c r="B181" s="151" t="s">
        <v>1982</v>
      </c>
      <c r="C181" s="151" t="s">
        <v>1984</v>
      </c>
      <c r="D181" s="152" t="s">
        <v>1882</v>
      </c>
      <c r="E181" s="151" t="s">
        <v>1883</v>
      </c>
      <c r="F181" s="153" t="s">
        <v>1626</v>
      </c>
      <c r="G181" s="151" t="s">
        <v>298</v>
      </c>
      <c r="H181" s="151" t="s">
        <v>95</v>
      </c>
      <c r="I181" s="154">
        <v>163</v>
      </c>
      <c r="J181" s="153" t="str">
        <f t="shared" si="11"/>
        <v>Si</v>
      </c>
      <c r="K181" s="152">
        <f t="shared" si="12"/>
        <v>163</v>
      </c>
      <c r="L181" s="152"/>
      <c r="M181" s="155" t="s">
        <v>1985</v>
      </c>
      <c r="N181" s="151"/>
      <c r="O181" s="151"/>
      <c r="P181" s="151"/>
      <c r="Q181" s="151"/>
      <c r="R181" s="151"/>
      <c r="S181" s="151"/>
      <c r="T181" s="151"/>
      <c r="U181" s="151"/>
      <c r="V181" s="151"/>
    </row>
    <row r="182" spans="1:22" x14ac:dyDescent="0.25">
      <c r="A182" s="151" t="s">
        <v>24</v>
      </c>
      <c r="B182" s="151" t="s">
        <v>91</v>
      </c>
      <c r="C182" s="151" t="s">
        <v>1986</v>
      </c>
      <c r="D182" s="152" t="s">
        <v>298</v>
      </c>
      <c r="E182" s="151" t="s">
        <v>95</v>
      </c>
      <c r="F182" s="153" t="s">
        <v>1626</v>
      </c>
      <c r="G182" s="151" t="s">
        <v>298</v>
      </c>
      <c r="H182" s="151" t="s">
        <v>95</v>
      </c>
      <c r="I182" s="154">
        <v>9.1</v>
      </c>
      <c r="J182" s="153" t="str">
        <f t="shared" si="11"/>
        <v>No</v>
      </c>
      <c r="K182" s="152">
        <f t="shared" si="12"/>
        <v>0</v>
      </c>
      <c r="L182" s="152"/>
      <c r="M182" s="155" t="s">
        <v>1987</v>
      </c>
      <c r="N182" s="151"/>
      <c r="O182" s="151"/>
      <c r="P182" s="151"/>
      <c r="Q182" s="151"/>
      <c r="R182" s="151"/>
      <c r="S182" s="151"/>
      <c r="T182" s="151"/>
      <c r="U182" s="151"/>
      <c r="V182" s="151"/>
    </row>
    <row r="183" spans="1:22" x14ac:dyDescent="0.25">
      <c r="A183" s="151" t="s">
        <v>24</v>
      </c>
      <c r="B183" s="151" t="s">
        <v>53</v>
      </c>
      <c r="C183" s="151" t="s">
        <v>1988</v>
      </c>
      <c r="D183" s="152" t="s">
        <v>298</v>
      </c>
      <c r="E183" s="151" t="s">
        <v>95</v>
      </c>
      <c r="F183" s="153" t="s">
        <v>1626</v>
      </c>
      <c r="G183" s="151" t="s">
        <v>298</v>
      </c>
      <c r="H183" s="151" t="s">
        <v>95</v>
      </c>
      <c r="I183" s="154">
        <v>18.399999999999999</v>
      </c>
      <c r="J183" s="153" t="str">
        <f t="shared" si="11"/>
        <v>No</v>
      </c>
      <c r="K183" s="152">
        <f t="shared" si="12"/>
        <v>0</v>
      </c>
      <c r="L183" s="152"/>
      <c r="M183" s="155" t="s">
        <v>1989</v>
      </c>
      <c r="N183" s="151"/>
      <c r="O183" s="151"/>
      <c r="P183" s="151"/>
      <c r="Q183" s="151"/>
      <c r="R183" s="151"/>
      <c r="S183" s="151"/>
      <c r="T183" s="151"/>
      <c r="U183" s="151"/>
    </row>
    <row r="184" spans="1:22" x14ac:dyDescent="0.25">
      <c r="A184" s="151" t="s">
        <v>896</v>
      </c>
      <c r="B184" s="151" t="s">
        <v>895</v>
      </c>
      <c r="C184" s="151" t="s">
        <v>1990</v>
      </c>
      <c r="D184" s="152" t="s">
        <v>298</v>
      </c>
      <c r="E184" s="151" t="s">
        <v>95</v>
      </c>
      <c r="F184" s="153" t="s">
        <v>1626</v>
      </c>
      <c r="G184" s="151" t="s">
        <v>298</v>
      </c>
      <c r="H184" s="151" t="s">
        <v>95</v>
      </c>
      <c r="I184" s="154">
        <v>8.4</v>
      </c>
      <c r="J184" s="153" t="str">
        <f t="shared" si="11"/>
        <v>No</v>
      </c>
      <c r="K184" s="152">
        <f t="shared" si="12"/>
        <v>0</v>
      </c>
      <c r="L184" s="152"/>
      <c r="M184" s="155" t="s">
        <v>1991</v>
      </c>
      <c r="N184" s="151"/>
      <c r="O184" s="151"/>
      <c r="P184" s="151"/>
      <c r="Q184" s="151"/>
      <c r="R184" s="151"/>
      <c r="S184" s="151"/>
      <c r="T184" s="151"/>
      <c r="U184" s="151"/>
    </row>
    <row r="185" spans="1:22" x14ac:dyDescent="0.25">
      <c r="A185" s="159" t="s">
        <v>95</v>
      </c>
      <c r="B185" s="159" t="s">
        <v>94</v>
      </c>
      <c r="C185" s="159" t="s">
        <v>1992</v>
      </c>
      <c r="D185" s="160" t="s">
        <v>1656</v>
      </c>
      <c r="E185" s="159" t="s">
        <v>95</v>
      </c>
      <c r="F185" s="161" t="s">
        <v>1657</v>
      </c>
      <c r="G185" s="159" t="s">
        <v>95</v>
      </c>
      <c r="H185" s="159" t="s">
        <v>95</v>
      </c>
      <c r="I185" s="162">
        <v>6.2</v>
      </c>
      <c r="J185" s="161" t="str">
        <f t="shared" si="11"/>
        <v>No</v>
      </c>
      <c r="K185" s="160">
        <f t="shared" si="12"/>
        <v>0</v>
      </c>
      <c r="L185" s="160"/>
      <c r="M185" s="163" t="s">
        <v>1993</v>
      </c>
      <c r="N185" s="159"/>
      <c r="O185" s="159"/>
      <c r="P185" s="159"/>
      <c r="Q185" s="159"/>
      <c r="R185" s="159"/>
      <c r="S185" s="159"/>
      <c r="T185" s="159"/>
      <c r="U185" s="159"/>
    </row>
    <row r="186" spans="1:22" x14ac:dyDescent="0.25">
      <c r="A186" s="151" t="s">
        <v>592</v>
      </c>
      <c r="B186" s="151" t="s">
        <v>591</v>
      </c>
      <c r="C186" s="151" t="s">
        <v>1994</v>
      </c>
      <c r="D186" s="152" t="s">
        <v>1882</v>
      </c>
      <c r="E186" s="151" t="s">
        <v>1883</v>
      </c>
      <c r="F186" s="153" t="s">
        <v>1626</v>
      </c>
      <c r="G186" s="151" t="s">
        <v>298</v>
      </c>
      <c r="H186" s="151" t="s">
        <v>95</v>
      </c>
      <c r="I186" s="154">
        <v>158</v>
      </c>
      <c r="J186" s="153" t="str">
        <f t="shared" si="11"/>
        <v>Si</v>
      </c>
      <c r="K186" s="152">
        <f t="shared" si="12"/>
        <v>158</v>
      </c>
      <c r="L186" s="152"/>
      <c r="M186" s="155" t="s">
        <v>1995</v>
      </c>
      <c r="N186" s="151"/>
      <c r="O186" s="151"/>
      <c r="P186" s="151"/>
      <c r="Q186" s="151"/>
      <c r="R186" s="151"/>
      <c r="S186" s="151"/>
      <c r="T186" s="151"/>
      <c r="U186" s="151"/>
    </row>
    <row r="187" spans="1:22" x14ac:dyDescent="0.25">
      <c r="A187" s="25" t="s">
        <v>4767</v>
      </c>
      <c r="B187" s="25" t="s">
        <v>4748</v>
      </c>
      <c r="C187" s="151" t="s">
        <v>4801</v>
      </c>
      <c r="D187" s="152" t="s">
        <v>1882</v>
      </c>
      <c r="E187" s="151" t="s">
        <v>1883</v>
      </c>
      <c r="F187" s="153" t="s">
        <v>1626</v>
      </c>
      <c r="G187" s="151" t="s">
        <v>298</v>
      </c>
      <c r="H187" s="151" t="s">
        <v>95</v>
      </c>
      <c r="I187" s="154">
        <v>148</v>
      </c>
      <c r="J187" s="153" t="str">
        <f t="shared" si="11"/>
        <v>Si</v>
      </c>
      <c r="K187" s="152">
        <f t="shared" si="12"/>
        <v>148</v>
      </c>
      <c r="M187" s="247" t="s">
        <v>4043</v>
      </c>
    </row>
    <row r="188" spans="1:22" x14ac:dyDescent="0.25">
      <c r="A188" s="25" t="s">
        <v>4755</v>
      </c>
      <c r="B188" s="25" t="s">
        <v>4748</v>
      </c>
      <c r="C188" s="151" t="s">
        <v>4802</v>
      </c>
      <c r="D188" s="152" t="s">
        <v>1454</v>
      </c>
      <c r="E188" s="151" t="s">
        <v>1883</v>
      </c>
      <c r="F188" s="153" t="s">
        <v>1626</v>
      </c>
      <c r="G188" s="151" t="s">
        <v>298</v>
      </c>
      <c r="H188" s="151" t="s">
        <v>95</v>
      </c>
      <c r="I188" s="154">
        <v>127</v>
      </c>
      <c r="J188" s="153" t="str">
        <f t="shared" si="11"/>
        <v>Si</v>
      </c>
      <c r="K188" s="152">
        <f t="shared" si="12"/>
        <v>127</v>
      </c>
      <c r="M188" s="247" t="s">
        <v>4043</v>
      </c>
    </row>
    <row r="189" spans="1:22" x14ac:dyDescent="0.25">
      <c r="A189" s="25" t="s">
        <v>1656</v>
      </c>
      <c r="B189" s="25" t="s">
        <v>29</v>
      </c>
      <c r="C189" s="246" t="s">
        <v>4880</v>
      </c>
      <c r="D189" s="152" t="s">
        <v>1656</v>
      </c>
      <c r="E189" s="151" t="s">
        <v>95</v>
      </c>
      <c r="F189" s="153" t="s">
        <v>1657</v>
      </c>
      <c r="G189" s="151" t="s">
        <v>95</v>
      </c>
      <c r="H189" s="151" t="s">
        <v>95</v>
      </c>
      <c r="I189" s="154">
        <v>7.2</v>
      </c>
      <c r="J189" s="153" t="str">
        <f t="shared" si="11"/>
        <v>No</v>
      </c>
      <c r="K189" s="152">
        <f t="shared" si="12"/>
        <v>0</v>
      </c>
      <c r="M189" s="247" t="s">
        <v>4317</v>
      </c>
    </row>
    <row r="190" spans="1:22" ht="18" customHeight="1" x14ac:dyDescent="0.25">
      <c r="A190" s="25" t="s">
        <v>4761</v>
      </c>
      <c r="B190" s="246" t="s">
        <v>4748</v>
      </c>
      <c r="C190" s="246" t="s">
        <v>5087</v>
      </c>
      <c r="D190" s="246" t="s">
        <v>5088</v>
      </c>
      <c r="E190" s="151" t="s">
        <v>95</v>
      </c>
      <c r="F190" s="153" t="s">
        <v>1626</v>
      </c>
      <c r="G190" s="151" t="s">
        <v>298</v>
      </c>
      <c r="H190" s="151" t="s">
        <v>95</v>
      </c>
      <c r="I190" s="154">
        <v>34.9</v>
      </c>
      <c r="J190" s="153" t="str">
        <f t="shared" si="11"/>
        <v>Si</v>
      </c>
      <c r="K190" s="152">
        <f t="shared" si="12"/>
        <v>34.9</v>
      </c>
      <c r="M190" s="247" t="s">
        <v>4317</v>
      </c>
    </row>
    <row r="191" spans="1:22" x14ac:dyDescent="0.25">
      <c r="A191" s="25" t="s">
        <v>5098</v>
      </c>
      <c r="B191" t="s">
        <v>3085</v>
      </c>
      <c r="C191" s="246" t="s">
        <v>5234</v>
      </c>
      <c r="D191" t="s">
        <v>5098</v>
      </c>
      <c r="E191" s="151" t="s">
        <v>1644</v>
      </c>
      <c r="F191" s="153" t="s">
        <v>1657</v>
      </c>
      <c r="G191" s="151" t="s">
        <v>95</v>
      </c>
      <c r="H191" s="151" t="s">
        <v>95</v>
      </c>
      <c r="I191" s="154">
        <v>67.8</v>
      </c>
      <c r="J191" s="153" t="str">
        <f t="shared" ref="J191:J198" si="13">IF(I191&gt;30,"Si","No")</f>
        <v>Si</v>
      </c>
      <c r="K191" s="152">
        <f t="shared" ref="K191:K198" si="14">IF(J191="si",I191,0)</f>
        <v>67.8</v>
      </c>
      <c r="M191" s="25" t="s">
        <v>5233</v>
      </c>
    </row>
    <row r="192" spans="1:22" x14ac:dyDescent="0.25">
      <c r="A192" s="259" t="s">
        <v>5120</v>
      </c>
      <c r="B192" t="s">
        <v>5235</v>
      </c>
      <c r="C192" s="246" t="s">
        <v>5236</v>
      </c>
      <c r="D192" t="s">
        <v>5120</v>
      </c>
      <c r="E192" s="151" t="s">
        <v>95</v>
      </c>
      <c r="F192" s="153" t="s">
        <v>5089</v>
      </c>
      <c r="G192" s="151" t="s">
        <v>4889</v>
      </c>
      <c r="H192" s="151" t="s">
        <v>95</v>
      </c>
      <c r="I192" s="154">
        <v>85.4</v>
      </c>
      <c r="J192" s="153" t="str">
        <f t="shared" si="13"/>
        <v>Si</v>
      </c>
      <c r="K192" s="152">
        <f t="shared" si="14"/>
        <v>85.4</v>
      </c>
      <c r="L192" t="s">
        <v>5629</v>
      </c>
      <c r="M192" s="247" t="s">
        <v>4317</v>
      </c>
    </row>
    <row r="193" spans="1:13" x14ac:dyDescent="0.25">
      <c r="A193" s="188" t="s">
        <v>5193</v>
      </c>
      <c r="B193" t="s">
        <v>28</v>
      </c>
      <c r="C193" s="246" t="s">
        <v>5237</v>
      </c>
      <c r="D193" t="s">
        <v>5238</v>
      </c>
      <c r="E193" s="151" t="s">
        <v>95</v>
      </c>
      <c r="F193" s="153" t="s">
        <v>5089</v>
      </c>
      <c r="G193" s="151" t="s">
        <v>4889</v>
      </c>
      <c r="H193" s="151" t="s">
        <v>95</v>
      </c>
      <c r="I193" s="154">
        <v>222</v>
      </c>
      <c r="J193" s="153" t="str">
        <f t="shared" si="13"/>
        <v>Si</v>
      </c>
      <c r="K193" s="152">
        <f t="shared" si="14"/>
        <v>222</v>
      </c>
      <c r="M193" s="25" t="s">
        <v>5239</v>
      </c>
    </row>
    <row r="194" spans="1:13" x14ac:dyDescent="0.25">
      <c r="A194" s="188" t="s">
        <v>5212</v>
      </c>
      <c r="B194" s="25" t="s">
        <v>4748</v>
      </c>
      <c r="C194" s="246" t="s">
        <v>5240</v>
      </c>
      <c r="D194" t="s">
        <v>5241</v>
      </c>
      <c r="E194" s="151" t="s">
        <v>1883</v>
      </c>
      <c r="F194" s="153" t="s">
        <v>1626</v>
      </c>
      <c r="G194" s="151" t="s">
        <v>298</v>
      </c>
      <c r="H194" s="151" t="s">
        <v>95</v>
      </c>
      <c r="I194" s="154">
        <v>206</v>
      </c>
      <c r="J194" s="153" t="str">
        <f t="shared" si="13"/>
        <v>Si</v>
      </c>
      <c r="K194" s="152">
        <f t="shared" si="14"/>
        <v>206</v>
      </c>
      <c r="M194" s="25" t="s">
        <v>5242</v>
      </c>
    </row>
    <row r="195" spans="1:13" x14ac:dyDescent="0.25">
      <c r="A195" s="25" t="s">
        <v>5286</v>
      </c>
      <c r="B195" s="25" t="s">
        <v>4655</v>
      </c>
      <c r="C195" s="246" t="s">
        <v>5405</v>
      </c>
      <c r="D195" t="s">
        <v>1656</v>
      </c>
      <c r="E195" s="151" t="s">
        <v>95</v>
      </c>
      <c r="F195" s="153" t="s">
        <v>1657</v>
      </c>
      <c r="G195" s="151" t="s">
        <v>95</v>
      </c>
      <c r="H195" s="151" t="s">
        <v>95</v>
      </c>
      <c r="I195" s="154">
        <v>32</v>
      </c>
      <c r="J195" s="153" t="str">
        <f t="shared" si="13"/>
        <v>Si</v>
      </c>
      <c r="K195" s="152">
        <f t="shared" si="14"/>
        <v>32</v>
      </c>
      <c r="M195" s="247" t="s">
        <v>4043</v>
      </c>
    </row>
    <row r="196" spans="1:13" x14ac:dyDescent="0.25">
      <c r="A196" s="25" t="s">
        <v>5262</v>
      </c>
      <c r="B196" s="25" t="s">
        <v>29</v>
      </c>
      <c r="C196" s="246" t="s">
        <v>5406</v>
      </c>
      <c r="D196" s="246" t="s">
        <v>5407</v>
      </c>
      <c r="E196" s="151" t="s">
        <v>95</v>
      </c>
      <c r="F196" s="153" t="s">
        <v>1657</v>
      </c>
      <c r="G196" s="151" t="s">
        <v>95</v>
      </c>
      <c r="H196" s="151" t="s">
        <v>95</v>
      </c>
      <c r="I196" s="154">
        <v>27.1</v>
      </c>
      <c r="J196" s="153" t="str">
        <f>IF(I196&gt;27,"Si","No")</f>
        <v>Si</v>
      </c>
      <c r="K196" s="152">
        <f t="shared" si="14"/>
        <v>27.1</v>
      </c>
      <c r="L196" t="s">
        <v>4719</v>
      </c>
      <c r="M196" s="247" t="s">
        <v>4043</v>
      </c>
    </row>
    <row r="197" spans="1:13" x14ac:dyDescent="0.25">
      <c r="A197" s="25" t="s">
        <v>5391</v>
      </c>
      <c r="B197" s="25" t="s">
        <v>5390</v>
      </c>
      <c r="C197" s="246" t="s">
        <v>5409</v>
      </c>
      <c r="D197" s="246" t="s">
        <v>5408</v>
      </c>
      <c r="E197" s="151" t="s">
        <v>95</v>
      </c>
      <c r="F197" s="153" t="s">
        <v>5089</v>
      </c>
      <c r="G197" s="151" t="s">
        <v>4889</v>
      </c>
      <c r="H197" s="151" t="s">
        <v>95</v>
      </c>
      <c r="I197" s="154">
        <v>84.1</v>
      </c>
      <c r="J197" s="153" t="str">
        <f t="shared" si="13"/>
        <v>Si</v>
      </c>
      <c r="K197" s="152">
        <f t="shared" si="14"/>
        <v>84.1</v>
      </c>
      <c r="M197" s="247" t="s">
        <v>4043</v>
      </c>
    </row>
    <row r="198" spans="1:13" x14ac:dyDescent="0.25">
      <c r="A198" s="246" t="s">
        <v>4778</v>
      </c>
      <c r="B198" s="246" t="s">
        <v>29</v>
      </c>
      <c r="C198" s="246" t="s">
        <v>5524</v>
      </c>
      <c r="D198" t="s">
        <v>148</v>
      </c>
      <c r="E198" s="151" t="s">
        <v>95</v>
      </c>
      <c r="F198" s="153" t="s">
        <v>1626</v>
      </c>
      <c r="G198" s="151" t="s">
        <v>298</v>
      </c>
      <c r="H198" s="151" t="s">
        <v>95</v>
      </c>
      <c r="I198" s="154">
        <v>54.6</v>
      </c>
      <c r="J198" s="153" t="str">
        <f t="shared" si="13"/>
        <v>Si</v>
      </c>
      <c r="K198" s="152">
        <f t="shared" si="14"/>
        <v>54.6</v>
      </c>
      <c r="M198" s="247" t="s">
        <v>4043</v>
      </c>
    </row>
  </sheetData>
  <sortState xmlns:xlrd2="http://schemas.microsoft.com/office/spreadsheetml/2017/richdata2" ref="A2:V186">
    <sortCondition ref="B186"/>
  </sortState>
  <hyperlinks>
    <hyperlink ref="M67" r:id="rId1" xr:uid="{00000000-0004-0000-0200-000000000000}"/>
    <hyperlink ref="M116" r:id="rId2" xr:uid="{00000000-0004-0000-0200-000001000000}"/>
    <hyperlink ref="M105" r:id="rId3" xr:uid="{00000000-0004-0000-0200-000002000000}"/>
    <hyperlink ref="M109:U109" r:id="rId4" display="https://www.google.com/maps/dir/Av.+Bordabehere+3811,+S2002+KNC,+Santa+Fe/Avenida+Savio+2900,+San+Nicol%C3%A1s+de+Los+Arroyos,+Provincia+de+Buenos+Aires/Av.+Bordabehere+3811,+S2002+KNC,+Santa+Fe/@" xr:uid="{00000000-0004-0000-0200-000003000000}"/>
    <hyperlink ref="M121:V121" r:id="rId5" display="https://www.google.com/maps/dir/Av.+Bordabehere+3811,+S2002+KNC,+Santa+Fe/Albanesi+" xr:uid="{00000000-0004-0000-0200-000004000000}"/>
    <hyperlink ref="M99:U99" r:id="rId6" display="https://www.google.com.ar/maps/dir/Avenida+Bordabehere+3811,+KNC,+Provincia+de+Santa+Fe/Juan+XXIII+3185,+S2124+Villa+Gdor.+Galvez,+Santa+Fe/Av.+Bordabehere+3811,+S2002+KNC,+Santa+Fe/@" xr:uid="{00000000-0004-0000-0200-000005000000}"/>
    <hyperlink ref="M14" r:id="rId7" xr:uid="{00000000-0004-0000-0200-000006000000}"/>
    <hyperlink ref="M69" r:id="rId8" display="https://www.google.com/maps/dir/Av.+Bordabehere+3811,+S2002+KNC,+Santa+Fe/Bartolom%C3%A9+Mitre+293,+San+Nicol%C3%A1s+de+Los+Arroyos,+Provincia+de+Buenos+Aires/Av.+Bordabehere+3811,+S2002+KNC,+Santa+Fe/@-33.1413132,-60.8011623,10z/data=!3m1!4b1!4m20!4m19!1m5!1m1!1s0x95b7ab55726d7baf:0xff0f95afeea1648d!2m2!1d-60.6737505!2d-32.9335742!1m5!1m1!1s0x95b7678e7896cf9b:0x9ef2c7330e1a2a7b!2m2!1d-60.2207509!2d-33.3321237!1m5!1m1!1s0x95b7ab55726d7baf:0xff0f95afeea1648d!2m2!1d-60.6737505!2d-32.9335742!3e0?entry=ttu" xr:uid="{00000000-0004-0000-0200-000007000000}"/>
    <hyperlink ref="M8" r:id="rId9" xr:uid="{00000000-0004-0000-0200-000008000000}"/>
    <hyperlink ref="M98" r:id="rId10" xr:uid="{00000000-0004-0000-0200-000009000000}"/>
    <hyperlink ref="M167" r:id="rId11" xr:uid="{00000000-0004-0000-0200-00000A000000}"/>
    <hyperlink ref="M81" r:id="rId12" xr:uid="{00000000-0004-0000-0200-00000B000000}"/>
    <hyperlink ref="M44" r:id="rId13" xr:uid="{00000000-0004-0000-0200-00000C000000}"/>
    <hyperlink ref="M169" r:id="rId14" xr:uid="{00000000-0004-0000-0200-00000D000000}"/>
    <hyperlink ref="M87" r:id="rId15" xr:uid="{00000000-0004-0000-0200-00000E000000}"/>
    <hyperlink ref="M40" r:id="rId16" xr:uid="{00000000-0004-0000-0200-00000F000000}"/>
    <hyperlink ref="M2" r:id="rId17" xr:uid="{00000000-0004-0000-0200-000010000000}"/>
    <hyperlink ref="M168" r:id="rId18" xr:uid="{00000000-0004-0000-0200-000011000000}"/>
    <hyperlink ref="M154" r:id="rId19" xr:uid="{00000000-0004-0000-0200-000012000000}"/>
    <hyperlink ref="M187" r:id="rId20" xr:uid="{00000000-0004-0000-0200-000013000000}"/>
    <hyperlink ref="M188" r:id="rId21" xr:uid="{00000000-0004-0000-0200-000014000000}"/>
    <hyperlink ref="M189" r:id="rId22" xr:uid="{00000000-0004-0000-0200-000015000000}"/>
    <hyperlink ref="M190" r:id="rId23" xr:uid="{00000000-0004-0000-0200-000016000000}"/>
    <hyperlink ref="M122" r:id="rId24" xr:uid="{00000000-0004-0000-0200-000017000000}"/>
    <hyperlink ref="M195" r:id="rId25" xr:uid="{B8ACC191-3109-4E3C-B6EE-7244A6C94576}"/>
    <hyperlink ref="M196" r:id="rId26" xr:uid="{CE9CC5A5-638E-430B-8F2F-45DAC02A22B7}"/>
    <hyperlink ref="M197" r:id="rId27" xr:uid="{CC29852C-C638-44C1-975C-DB7E2DFED670}"/>
    <hyperlink ref="M192" r:id="rId28" xr:uid="{503AE642-ADCD-479F-B9AC-C01A480078E9}"/>
    <hyperlink ref="M198" r:id="rId29" xr:uid="{06FFA9F0-5946-4513-B859-D38629F48050}"/>
    <hyperlink ref="M12" r:id="rId30" display="https://www.google.com/maps/dir/Av.+Bordabehere+3811,+S2002+KNC,+Santa+Fe/Nutrien+Ag+Solutions+-+Casilda,+RN33+745,+Casilda,+Santa+Fe/Av.+Bordabehere+3811,+S2002+KNC,+Santa+Fe/@-33.030205,-61.1341093,13.08z/data=!4m20!4m19!1m5!1m1!1s0x95b7ab55726d7baf:0xff0f95afeea1648d!2m2!1d-60.6737762!2d-32.9335525!1m5!1m1!1s0x95b633f121531e2d:0x5ca4c393b9cab942!2m2!1d-61.1323116!2d-33.0391882!1m5!1m1!1s0x95b7ab55726d7baf:0xff0f95afeea1648d!2m2!1d-60.6737762!2d-32.9335525!3e0" xr:uid="{70B94582-0FD3-4D5A-9D1F-27759DA05BD9}"/>
    <hyperlink ref="M38" r:id="rId31" xr:uid="{A0DD2068-5150-455A-B8BF-789EDB7BD93A}"/>
  </hyperlinks>
  <pageMargins left="0.7" right="0.7" top="0.75" bottom="0.75" header="0.3" footer="0.3"/>
  <pageSetup orientation="portrait" r:id="rId3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287"/>
  <sheetViews>
    <sheetView topLeftCell="A4198" workbookViewId="0">
      <selection activeCell="L4222" sqref="A4200:L4222"/>
    </sheetView>
  </sheetViews>
  <sheetFormatPr baseColWidth="10" defaultColWidth="69" defaultRowHeight="15" x14ac:dyDescent="0.25"/>
  <cols>
    <col min="1" max="1" width="9.42578125" style="25" bestFit="1" customWidth="1"/>
    <col min="2" max="2" width="24.42578125" style="25" bestFit="1" customWidth="1"/>
    <col min="3" max="3" width="31.7109375" style="25" bestFit="1" customWidth="1"/>
    <col min="4" max="4" width="39.42578125" style="25" customWidth="1"/>
    <col min="5" max="5" width="20" style="25" bestFit="1" customWidth="1"/>
    <col min="6" max="6" width="2" bestFit="1" customWidth="1"/>
    <col min="7" max="7" width="11.5703125" style="25" bestFit="1" customWidth="1"/>
    <col min="8" max="9" width="9.28515625" style="25" bestFit="1" customWidth="1"/>
    <col min="10" max="11" width="11.7109375" style="25" bestFit="1" customWidth="1"/>
    <col min="12" max="12" width="12" bestFit="1" customWidth="1"/>
    <col min="13" max="13" width="4.5703125" style="25" bestFit="1" customWidth="1"/>
    <col min="14" max="16384" width="69" style="25"/>
  </cols>
  <sheetData>
    <row r="1" spans="1:12" ht="15.75" thickBot="1" x14ac:dyDescent="0.3">
      <c r="A1" s="69" t="s">
        <v>0</v>
      </c>
      <c r="B1" s="70" t="s">
        <v>1</v>
      </c>
      <c r="C1" s="70" t="s">
        <v>2</v>
      </c>
      <c r="D1" s="70" t="s">
        <v>3</v>
      </c>
      <c r="E1" s="70" t="s">
        <v>4</v>
      </c>
      <c r="F1" s="70"/>
      <c r="G1" s="71" t="s">
        <v>6</v>
      </c>
      <c r="H1" s="70" t="s">
        <v>7</v>
      </c>
      <c r="I1" s="71" t="s">
        <v>8</v>
      </c>
      <c r="J1" s="71" t="s">
        <v>9</v>
      </c>
      <c r="K1" s="71" t="s">
        <v>10</v>
      </c>
      <c r="L1" s="72" t="s">
        <v>5</v>
      </c>
    </row>
    <row r="2" spans="1:12" x14ac:dyDescent="0.25">
      <c r="A2" s="77" t="s">
        <v>338</v>
      </c>
      <c r="B2" s="78" t="s">
        <v>11</v>
      </c>
      <c r="C2" s="78" t="s">
        <v>337</v>
      </c>
      <c r="D2" s="78" t="s">
        <v>35</v>
      </c>
      <c r="E2" s="78" t="s">
        <v>122</v>
      </c>
      <c r="F2" s="78">
        <v>1</v>
      </c>
      <c r="G2" s="79">
        <v>1870</v>
      </c>
      <c r="H2" s="78">
        <v>64</v>
      </c>
      <c r="I2" s="79">
        <v>25</v>
      </c>
      <c r="J2" s="79">
        <f>I2*H2</f>
        <v>1600</v>
      </c>
      <c r="K2" s="79">
        <f t="shared" ref="K2:K38" si="0">J2+G2</f>
        <v>3470</v>
      </c>
      <c r="L2" s="80">
        <v>20210503</v>
      </c>
    </row>
    <row r="3" spans="1:12" x14ac:dyDescent="0.25">
      <c r="A3" s="50" t="s">
        <v>339</v>
      </c>
      <c r="B3" s="30" t="s">
        <v>11</v>
      </c>
      <c r="C3" s="30" t="s">
        <v>337</v>
      </c>
      <c r="D3" s="30" t="s">
        <v>35</v>
      </c>
      <c r="E3" s="30" t="s">
        <v>340</v>
      </c>
      <c r="F3" s="30">
        <v>1</v>
      </c>
      <c r="G3" s="44">
        <v>1870</v>
      </c>
      <c r="H3" s="30"/>
      <c r="I3" s="44"/>
      <c r="J3" s="44"/>
      <c r="K3" s="44">
        <f t="shared" si="0"/>
        <v>1870</v>
      </c>
      <c r="L3" s="51">
        <v>20210503</v>
      </c>
    </row>
    <row r="4" spans="1:12" x14ac:dyDescent="0.25">
      <c r="A4" s="50" t="s">
        <v>344</v>
      </c>
      <c r="B4" s="30" t="s">
        <v>27</v>
      </c>
      <c r="C4" s="30" t="s">
        <v>251</v>
      </c>
      <c r="D4" s="30" t="s">
        <v>24</v>
      </c>
      <c r="E4" s="30" t="s">
        <v>345</v>
      </c>
      <c r="F4" s="30">
        <v>1</v>
      </c>
      <c r="G4" s="44">
        <v>1870</v>
      </c>
      <c r="H4" s="30"/>
      <c r="I4" s="44"/>
      <c r="J4" s="44"/>
      <c r="K4" s="44">
        <f t="shared" si="0"/>
        <v>1870</v>
      </c>
      <c r="L4" s="51">
        <v>20210504</v>
      </c>
    </row>
    <row r="5" spans="1:12" x14ac:dyDescent="0.25">
      <c r="A5" s="50" t="s">
        <v>341</v>
      </c>
      <c r="B5" s="30" t="s">
        <v>11</v>
      </c>
      <c r="C5" s="30" t="s">
        <v>26</v>
      </c>
      <c r="D5" s="30" t="s">
        <v>204</v>
      </c>
      <c r="E5" s="30" t="s">
        <v>205</v>
      </c>
      <c r="F5" s="30">
        <v>1</v>
      </c>
      <c r="G5" s="44">
        <v>1870</v>
      </c>
      <c r="H5" s="30"/>
      <c r="I5" s="44"/>
      <c r="J5" s="44"/>
      <c r="K5" s="44">
        <f t="shared" si="0"/>
        <v>1870</v>
      </c>
      <c r="L5" s="51">
        <v>20210504</v>
      </c>
    </row>
    <row r="6" spans="1:12" x14ac:dyDescent="0.25">
      <c r="A6" s="50" t="s">
        <v>342</v>
      </c>
      <c r="B6" s="30" t="s">
        <v>27</v>
      </c>
      <c r="C6" s="30" t="s">
        <v>29</v>
      </c>
      <c r="D6" s="30" t="s">
        <v>24</v>
      </c>
      <c r="E6" s="30" t="s">
        <v>322</v>
      </c>
      <c r="F6" s="30">
        <v>1</v>
      </c>
      <c r="G6" s="44">
        <v>1870</v>
      </c>
      <c r="H6" s="30"/>
      <c r="I6" s="44"/>
      <c r="J6" s="44"/>
      <c r="K6" s="44">
        <f t="shared" si="0"/>
        <v>1870</v>
      </c>
      <c r="L6" s="51">
        <v>20210504</v>
      </c>
    </row>
    <row r="7" spans="1:12" x14ac:dyDescent="0.25">
      <c r="A7" s="52" t="s">
        <v>336</v>
      </c>
      <c r="B7" s="32" t="s">
        <v>11</v>
      </c>
      <c r="C7" s="32" t="s">
        <v>337</v>
      </c>
      <c r="D7" s="32" t="s">
        <v>162</v>
      </c>
      <c r="E7" s="32" t="s">
        <v>235</v>
      </c>
      <c r="F7" s="32">
        <v>1</v>
      </c>
      <c r="G7" s="45">
        <v>1870</v>
      </c>
      <c r="H7" s="32">
        <v>60</v>
      </c>
      <c r="I7" s="45">
        <v>25</v>
      </c>
      <c r="J7" s="45">
        <f>I7*H7</f>
        <v>1500</v>
      </c>
      <c r="K7" s="45">
        <f t="shared" si="0"/>
        <v>3370</v>
      </c>
      <c r="L7" s="53">
        <v>20210505</v>
      </c>
    </row>
    <row r="8" spans="1:12" x14ac:dyDescent="0.25">
      <c r="A8" s="50" t="s">
        <v>333</v>
      </c>
      <c r="B8" s="30" t="s">
        <v>11</v>
      </c>
      <c r="C8" s="30" t="s">
        <v>26</v>
      </c>
      <c r="D8" s="30" t="s">
        <v>179</v>
      </c>
      <c r="E8" s="30" t="s">
        <v>223</v>
      </c>
      <c r="F8" s="30">
        <v>1</v>
      </c>
      <c r="G8" s="44">
        <v>1870</v>
      </c>
      <c r="H8" s="30"/>
      <c r="I8" s="44"/>
      <c r="J8" s="44"/>
      <c r="K8" s="44">
        <f t="shared" si="0"/>
        <v>1870</v>
      </c>
      <c r="L8" s="51">
        <v>20210506</v>
      </c>
    </row>
    <row r="9" spans="1:12" x14ac:dyDescent="0.25">
      <c r="A9" s="50" t="s">
        <v>332</v>
      </c>
      <c r="B9" s="30" t="s">
        <v>11</v>
      </c>
      <c r="C9" s="30" t="s">
        <v>26</v>
      </c>
      <c r="D9" s="30" t="s">
        <v>179</v>
      </c>
      <c r="E9" s="30" t="s">
        <v>180</v>
      </c>
      <c r="F9" s="30">
        <v>1</v>
      </c>
      <c r="G9" s="44">
        <v>1870</v>
      </c>
      <c r="H9" s="30"/>
      <c r="I9" s="44"/>
      <c r="J9" s="44"/>
      <c r="K9" s="44">
        <f t="shared" si="0"/>
        <v>1870</v>
      </c>
      <c r="L9" s="51">
        <v>20210506</v>
      </c>
    </row>
    <row r="10" spans="1:12" x14ac:dyDescent="0.25">
      <c r="A10" s="50" t="s">
        <v>335</v>
      </c>
      <c r="B10" s="30" t="s">
        <v>11</v>
      </c>
      <c r="C10" s="30" t="s">
        <v>163</v>
      </c>
      <c r="D10" s="30" t="s">
        <v>164</v>
      </c>
      <c r="E10" s="30" t="s">
        <v>166</v>
      </c>
      <c r="F10" s="30">
        <v>1</v>
      </c>
      <c r="G10" s="44">
        <v>1870</v>
      </c>
      <c r="H10" s="30"/>
      <c r="I10" s="44"/>
      <c r="J10" s="44"/>
      <c r="K10" s="44">
        <f t="shared" si="0"/>
        <v>1870</v>
      </c>
      <c r="L10" s="51">
        <v>20210507</v>
      </c>
    </row>
    <row r="11" spans="1:12" x14ac:dyDescent="0.25">
      <c r="A11" s="52" t="s">
        <v>334</v>
      </c>
      <c r="B11" s="32" t="s">
        <v>11</v>
      </c>
      <c r="C11" s="32" t="s">
        <v>163</v>
      </c>
      <c r="D11" s="32" t="s">
        <v>164</v>
      </c>
      <c r="E11" s="32" t="s">
        <v>207</v>
      </c>
      <c r="F11" s="32">
        <v>1</v>
      </c>
      <c r="G11" s="45">
        <v>1870</v>
      </c>
      <c r="H11" s="32">
        <v>120</v>
      </c>
      <c r="I11" s="45">
        <v>25</v>
      </c>
      <c r="J11" s="45">
        <f>I11*H11</f>
        <v>3000</v>
      </c>
      <c r="K11" s="45">
        <f t="shared" si="0"/>
        <v>4870</v>
      </c>
      <c r="L11" s="53">
        <v>20210507</v>
      </c>
    </row>
    <row r="12" spans="1:12" x14ac:dyDescent="0.25">
      <c r="A12" s="50" t="s">
        <v>327</v>
      </c>
      <c r="B12" s="30" t="s">
        <v>11</v>
      </c>
      <c r="C12" s="30" t="s">
        <v>29</v>
      </c>
      <c r="D12" s="30" t="s">
        <v>24</v>
      </c>
      <c r="E12" s="30" t="s">
        <v>188</v>
      </c>
      <c r="F12" s="30">
        <v>1</v>
      </c>
      <c r="G12" s="44">
        <v>1870</v>
      </c>
      <c r="H12" s="30"/>
      <c r="I12" s="44"/>
      <c r="J12" s="44"/>
      <c r="K12" s="44">
        <f t="shared" si="0"/>
        <v>1870</v>
      </c>
      <c r="L12" s="51">
        <v>20210510</v>
      </c>
    </row>
    <row r="13" spans="1:12" x14ac:dyDescent="0.25">
      <c r="A13" s="50" t="s">
        <v>324</v>
      </c>
      <c r="B13" s="30" t="s">
        <v>11</v>
      </c>
      <c r="C13" s="30" t="s">
        <v>94</v>
      </c>
      <c r="D13" s="30" t="s">
        <v>95</v>
      </c>
      <c r="E13" s="30" t="s">
        <v>260</v>
      </c>
      <c r="F13" s="30">
        <v>1</v>
      </c>
      <c r="G13" s="44">
        <v>1870</v>
      </c>
      <c r="H13" s="30"/>
      <c r="I13" s="44"/>
      <c r="J13" s="44"/>
      <c r="K13" s="44">
        <f t="shared" si="0"/>
        <v>1870</v>
      </c>
      <c r="L13" s="51">
        <v>20210510</v>
      </c>
    </row>
    <row r="14" spans="1:12" x14ac:dyDescent="0.25">
      <c r="A14" s="50" t="s">
        <v>325</v>
      </c>
      <c r="B14" s="30" t="s">
        <v>11</v>
      </c>
      <c r="C14" s="30" t="s">
        <v>94</v>
      </c>
      <c r="D14" s="30" t="s">
        <v>95</v>
      </c>
      <c r="E14" s="30" t="s">
        <v>326</v>
      </c>
      <c r="F14" s="30">
        <v>1</v>
      </c>
      <c r="G14" s="44">
        <v>1870</v>
      </c>
      <c r="H14" s="30"/>
      <c r="I14" s="44"/>
      <c r="J14" s="44"/>
      <c r="K14" s="44">
        <f t="shared" si="0"/>
        <v>1870</v>
      </c>
      <c r="L14" s="51">
        <v>20210510</v>
      </c>
    </row>
    <row r="15" spans="1:12" x14ac:dyDescent="0.25">
      <c r="A15" s="52" t="s">
        <v>315</v>
      </c>
      <c r="B15" s="32" t="s">
        <v>11</v>
      </c>
      <c r="C15" s="32" t="s">
        <v>26</v>
      </c>
      <c r="D15" s="32" t="s">
        <v>224</v>
      </c>
      <c r="E15" s="32" t="s">
        <v>316</v>
      </c>
      <c r="F15" s="32">
        <v>1</v>
      </c>
      <c r="G15" s="45">
        <v>1870</v>
      </c>
      <c r="H15" s="32">
        <v>50</v>
      </c>
      <c r="I15" s="45">
        <v>25</v>
      </c>
      <c r="J15" s="45">
        <f>I15*H15</f>
        <v>1250</v>
      </c>
      <c r="K15" s="45">
        <f t="shared" si="0"/>
        <v>3120</v>
      </c>
      <c r="L15" s="53">
        <v>20210511</v>
      </c>
    </row>
    <row r="16" spans="1:12" x14ac:dyDescent="0.25">
      <c r="A16" s="50" t="s">
        <v>328</v>
      </c>
      <c r="B16" s="30" t="s">
        <v>27</v>
      </c>
      <c r="C16" s="30" t="s">
        <v>57</v>
      </c>
      <c r="D16" s="30" t="s">
        <v>58</v>
      </c>
      <c r="E16" s="30" t="s">
        <v>329</v>
      </c>
      <c r="F16" s="30">
        <v>1</v>
      </c>
      <c r="G16" s="44">
        <v>1870</v>
      </c>
      <c r="H16" s="30"/>
      <c r="I16" s="44"/>
      <c r="J16" s="44"/>
      <c r="K16" s="44">
        <f t="shared" si="0"/>
        <v>1870</v>
      </c>
      <c r="L16" s="51">
        <v>20210511</v>
      </c>
    </row>
    <row r="17" spans="1:12" x14ac:dyDescent="0.25">
      <c r="A17" s="50" t="s">
        <v>330</v>
      </c>
      <c r="B17" s="30" t="s">
        <v>27</v>
      </c>
      <c r="C17" s="30" t="s">
        <v>57</v>
      </c>
      <c r="D17" s="30" t="s">
        <v>58</v>
      </c>
      <c r="E17" s="30" t="s">
        <v>331</v>
      </c>
      <c r="F17" s="30">
        <v>1</v>
      </c>
      <c r="G17" s="44">
        <v>1870</v>
      </c>
      <c r="H17" s="30"/>
      <c r="I17" s="44"/>
      <c r="J17" s="44"/>
      <c r="K17" s="44">
        <f t="shared" si="0"/>
        <v>1870</v>
      </c>
      <c r="L17" s="51">
        <v>20210511</v>
      </c>
    </row>
    <row r="18" spans="1:12" x14ac:dyDescent="0.25">
      <c r="A18" s="50" t="s">
        <v>343</v>
      </c>
      <c r="B18" s="30" t="s">
        <v>11</v>
      </c>
      <c r="C18" s="30" t="s">
        <v>129</v>
      </c>
      <c r="D18" s="30" t="s">
        <v>24</v>
      </c>
      <c r="E18" s="30" t="s">
        <v>130</v>
      </c>
      <c r="F18" s="30">
        <v>1</v>
      </c>
      <c r="G18" s="44">
        <v>1870</v>
      </c>
      <c r="H18" s="30"/>
      <c r="I18" s="44"/>
      <c r="J18" s="44"/>
      <c r="K18" s="44">
        <f t="shared" si="0"/>
        <v>1870</v>
      </c>
      <c r="L18" s="51">
        <v>20210512</v>
      </c>
    </row>
    <row r="19" spans="1:12" x14ac:dyDescent="0.25">
      <c r="A19" s="50" t="s">
        <v>294</v>
      </c>
      <c r="B19" s="30" t="s">
        <v>11</v>
      </c>
      <c r="C19" s="30" t="s">
        <v>76</v>
      </c>
      <c r="D19" s="30" t="s">
        <v>24</v>
      </c>
      <c r="E19" s="30" t="s">
        <v>83</v>
      </c>
      <c r="F19" s="30">
        <v>1</v>
      </c>
      <c r="G19" s="44">
        <v>1870</v>
      </c>
      <c r="H19" s="30"/>
      <c r="I19" s="44"/>
      <c r="J19" s="44"/>
      <c r="K19" s="44">
        <f t="shared" si="0"/>
        <v>1870</v>
      </c>
      <c r="L19" s="51">
        <v>20210512</v>
      </c>
    </row>
    <row r="20" spans="1:12" x14ac:dyDescent="0.25">
      <c r="A20" s="50" t="s">
        <v>288</v>
      </c>
      <c r="B20" s="30" t="s">
        <v>11</v>
      </c>
      <c r="C20" s="30" t="s">
        <v>76</v>
      </c>
      <c r="D20" s="30" t="s">
        <v>24</v>
      </c>
      <c r="E20" s="30" t="s">
        <v>255</v>
      </c>
      <c r="F20" s="30">
        <v>1</v>
      </c>
      <c r="G20" s="44">
        <v>1870</v>
      </c>
      <c r="H20" s="30"/>
      <c r="I20" s="44"/>
      <c r="J20" s="44"/>
      <c r="K20" s="44">
        <f t="shared" si="0"/>
        <v>1870</v>
      </c>
      <c r="L20" s="51">
        <v>20210513</v>
      </c>
    </row>
    <row r="21" spans="1:12" x14ac:dyDescent="0.25">
      <c r="A21" s="50" t="s">
        <v>290</v>
      </c>
      <c r="B21" s="30" t="s">
        <v>11</v>
      </c>
      <c r="C21" s="30" t="s">
        <v>76</v>
      </c>
      <c r="D21" s="30" t="s">
        <v>24</v>
      </c>
      <c r="E21" s="30" t="s">
        <v>77</v>
      </c>
      <c r="F21" s="30">
        <v>1</v>
      </c>
      <c r="G21" s="44">
        <v>1870</v>
      </c>
      <c r="H21" s="30"/>
      <c r="I21" s="44"/>
      <c r="J21" s="44"/>
      <c r="K21" s="44">
        <f t="shared" si="0"/>
        <v>1870</v>
      </c>
      <c r="L21" s="51">
        <v>20210513</v>
      </c>
    </row>
    <row r="22" spans="1:12" x14ac:dyDescent="0.25">
      <c r="A22" s="50" t="s">
        <v>295</v>
      </c>
      <c r="B22" s="30" t="s">
        <v>11</v>
      </c>
      <c r="C22" s="30" t="s">
        <v>29</v>
      </c>
      <c r="D22" s="30" t="s">
        <v>24</v>
      </c>
      <c r="E22" s="30" t="s">
        <v>188</v>
      </c>
      <c r="F22" s="30">
        <v>1</v>
      </c>
      <c r="G22" s="44">
        <v>1870</v>
      </c>
      <c r="H22" s="30"/>
      <c r="I22" s="44"/>
      <c r="J22" s="44"/>
      <c r="K22" s="44">
        <f t="shared" si="0"/>
        <v>1870</v>
      </c>
      <c r="L22" s="51">
        <v>20210514</v>
      </c>
    </row>
    <row r="23" spans="1:12" x14ac:dyDescent="0.25">
      <c r="A23" s="52" t="s">
        <v>266</v>
      </c>
      <c r="B23" s="32" t="s">
        <v>11</v>
      </c>
      <c r="C23" s="32" t="s">
        <v>28</v>
      </c>
      <c r="D23" s="32" t="s">
        <v>267</v>
      </c>
      <c r="E23" s="32" t="s">
        <v>268</v>
      </c>
      <c r="F23" s="32">
        <v>1</v>
      </c>
      <c r="G23" s="45">
        <v>1870</v>
      </c>
      <c r="H23" s="32">
        <v>136</v>
      </c>
      <c r="I23" s="45">
        <v>25</v>
      </c>
      <c r="J23" s="45">
        <f>I23*H23</f>
        <v>3400</v>
      </c>
      <c r="K23" s="45">
        <f t="shared" si="0"/>
        <v>5270</v>
      </c>
      <c r="L23" s="53">
        <v>20210517</v>
      </c>
    </row>
    <row r="24" spans="1:12" x14ac:dyDescent="0.25">
      <c r="A24" s="52" t="s">
        <v>289</v>
      </c>
      <c r="B24" s="32" t="s">
        <v>11</v>
      </c>
      <c r="C24" s="32" t="s">
        <v>163</v>
      </c>
      <c r="D24" s="32" t="s">
        <v>164</v>
      </c>
      <c r="E24" s="32" t="s">
        <v>166</v>
      </c>
      <c r="F24" s="32">
        <v>1</v>
      </c>
      <c r="G24" s="45">
        <v>1870</v>
      </c>
      <c r="H24" s="32">
        <v>120</v>
      </c>
      <c r="I24" s="45">
        <v>25</v>
      </c>
      <c r="J24" s="45">
        <f>I24*H24</f>
        <v>3000</v>
      </c>
      <c r="K24" s="45">
        <f t="shared" si="0"/>
        <v>4870</v>
      </c>
      <c r="L24" s="53">
        <v>20210517</v>
      </c>
    </row>
    <row r="25" spans="1:12" x14ac:dyDescent="0.25">
      <c r="A25" s="52" t="s">
        <v>304</v>
      </c>
      <c r="B25" s="32" t="s">
        <v>11</v>
      </c>
      <c r="C25" s="32" t="s">
        <v>163</v>
      </c>
      <c r="D25" s="32" t="s">
        <v>164</v>
      </c>
      <c r="E25" s="32" t="s">
        <v>305</v>
      </c>
      <c r="F25" s="32">
        <v>1</v>
      </c>
      <c r="G25" s="45">
        <v>1870</v>
      </c>
      <c r="H25" s="32">
        <v>120</v>
      </c>
      <c r="I25" s="45">
        <v>25</v>
      </c>
      <c r="J25" s="45">
        <f>I25*H25</f>
        <v>3000</v>
      </c>
      <c r="K25" s="45">
        <f t="shared" si="0"/>
        <v>4870</v>
      </c>
      <c r="L25" s="53">
        <v>20210517</v>
      </c>
    </row>
    <row r="26" spans="1:12" x14ac:dyDescent="0.25">
      <c r="A26" s="50" t="s">
        <v>261</v>
      </c>
      <c r="B26" s="30" t="s">
        <v>11</v>
      </c>
      <c r="C26" s="30" t="s">
        <v>94</v>
      </c>
      <c r="D26" s="30" t="s">
        <v>95</v>
      </c>
      <c r="E26" s="30" t="s">
        <v>262</v>
      </c>
      <c r="F26" s="30">
        <v>1</v>
      </c>
      <c r="G26" s="44">
        <v>1870</v>
      </c>
      <c r="H26" s="30"/>
      <c r="I26" s="44"/>
      <c r="J26" s="44"/>
      <c r="K26" s="44">
        <f t="shared" si="0"/>
        <v>1870</v>
      </c>
      <c r="L26" s="51">
        <v>20210517</v>
      </c>
    </row>
    <row r="27" spans="1:12" x14ac:dyDescent="0.25">
      <c r="A27" s="50" t="s">
        <v>265</v>
      </c>
      <c r="B27" s="30" t="s">
        <v>11</v>
      </c>
      <c r="C27" s="30" t="s">
        <v>28</v>
      </c>
      <c r="D27" s="30" t="s">
        <v>49</v>
      </c>
      <c r="E27" s="30" t="s">
        <v>50</v>
      </c>
      <c r="F27" s="30">
        <v>1</v>
      </c>
      <c r="G27" s="44">
        <v>1870</v>
      </c>
      <c r="H27" s="30"/>
      <c r="I27" s="44"/>
      <c r="J27" s="44"/>
      <c r="K27" s="44">
        <f t="shared" si="0"/>
        <v>1870</v>
      </c>
      <c r="L27" s="51">
        <v>20210518</v>
      </c>
    </row>
    <row r="28" spans="1:12" x14ac:dyDescent="0.25">
      <c r="A28" s="52" t="s">
        <v>263</v>
      </c>
      <c r="B28" s="32" t="s">
        <v>11</v>
      </c>
      <c r="C28" s="32" t="s">
        <v>134</v>
      </c>
      <c r="D28" s="32" t="s">
        <v>135</v>
      </c>
      <c r="E28" s="32" t="s">
        <v>264</v>
      </c>
      <c r="F28" s="32">
        <v>1</v>
      </c>
      <c r="G28" s="45">
        <v>1870</v>
      </c>
      <c r="H28" s="32">
        <v>25</v>
      </c>
      <c r="I28" s="45">
        <v>25</v>
      </c>
      <c r="J28" s="45">
        <f>I28*H28</f>
        <v>625</v>
      </c>
      <c r="K28" s="45">
        <f t="shared" si="0"/>
        <v>2495</v>
      </c>
      <c r="L28" s="53">
        <v>20210518</v>
      </c>
    </row>
    <row r="29" spans="1:12" x14ac:dyDescent="0.25">
      <c r="A29" s="50" t="s">
        <v>302</v>
      </c>
      <c r="B29" s="30" t="s">
        <v>27</v>
      </c>
      <c r="C29" s="30" t="s">
        <v>297</v>
      </c>
      <c r="D29" s="30" t="s">
        <v>298</v>
      </c>
      <c r="E29" s="30" t="s">
        <v>303</v>
      </c>
      <c r="F29" s="30">
        <v>1</v>
      </c>
      <c r="G29" s="44">
        <v>1870</v>
      </c>
      <c r="H29" s="30"/>
      <c r="I29" s="44"/>
      <c r="J29" s="44"/>
      <c r="K29" s="44">
        <f t="shared" si="0"/>
        <v>1870</v>
      </c>
      <c r="L29" s="51">
        <v>20210519</v>
      </c>
    </row>
    <row r="30" spans="1:12" x14ac:dyDescent="0.25">
      <c r="A30" s="50" t="s">
        <v>300</v>
      </c>
      <c r="B30" s="30" t="s">
        <v>27</v>
      </c>
      <c r="C30" s="30" t="s">
        <v>297</v>
      </c>
      <c r="D30" s="30" t="s">
        <v>298</v>
      </c>
      <c r="E30" s="30" t="s">
        <v>301</v>
      </c>
      <c r="F30" s="30">
        <v>1</v>
      </c>
      <c r="G30" s="44">
        <v>1870</v>
      </c>
      <c r="H30" s="30"/>
      <c r="I30" s="44"/>
      <c r="J30" s="44"/>
      <c r="K30" s="44">
        <f t="shared" si="0"/>
        <v>1870</v>
      </c>
      <c r="L30" s="51">
        <v>20210519</v>
      </c>
    </row>
    <row r="31" spans="1:12" x14ac:dyDescent="0.25">
      <c r="A31" s="50" t="s">
        <v>296</v>
      </c>
      <c r="B31" s="30" t="s">
        <v>27</v>
      </c>
      <c r="C31" s="30" t="s">
        <v>297</v>
      </c>
      <c r="D31" s="30" t="s">
        <v>298</v>
      </c>
      <c r="E31" s="30" t="s">
        <v>299</v>
      </c>
      <c r="F31" s="30">
        <v>1</v>
      </c>
      <c r="G31" s="44">
        <v>1870</v>
      </c>
      <c r="H31" s="30"/>
      <c r="I31" s="44"/>
      <c r="J31" s="44"/>
      <c r="K31" s="44">
        <f t="shared" si="0"/>
        <v>1870</v>
      </c>
      <c r="L31" s="51">
        <v>20210519</v>
      </c>
    </row>
    <row r="32" spans="1:12" x14ac:dyDescent="0.25">
      <c r="A32" s="50" t="s">
        <v>256</v>
      </c>
      <c r="B32" s="30" t="s">
        <v>11</v>
      </c>
      <c r="C32" s="30" t="s">
        <v>26</v>
      </c>
      <c r="D32" s="30" t="s">
        <v>228</v>
      </c>
      <c r="E32" s="30" t="s">
        <v>257</v>
      </c>
      <c r="F32" s="30">
        <v>1</v>
      </c>
      <c r="G32" s="44">
        <v>1870</v>
      </c>
      <c r="H32" s="30"/>
      <c r="I32" s="44"/>
      <c r="J32" s="44"/>
      <c r="K32" s="44">
        <f t="shared" si="0"/>
        <v>1870</v>
      </c>
      <c r="L32" s="51">
        <v>20210521</v>
      </c>
    </row>
    <row r="33" spans="1:12" x14ac:dyDescent="0.25">
      <c r="A33" s="50" t="s">
        <v>258</v>
      </c>
      <c r="B33" s="30" t="s">
        <v>11</v>
      </c>
      <c r="C33" s="30" t="s">
        <v>39</v>
      </c>
      <c r="D33" s="30" t="s">
        <v>40</v>
      </c>
      <c r="E33" s="30" t="s">
        <v>44</v>
      </c>
      <c r="F33" s="30">
        <v>1</v>
      </c>
      <c r="G33" s="44">
        <v>1870</v>
      </c>
      <c r="H33" s="30"/>
      <c r="I33" s="44"/>
      <c r="J33" s="44"/>
      <c r="K33" s="44">
        <f t="shared" si="0"/>
        <v>1870</v>
      </c>
      <c r="L33" s="51">
        <v>20210521</v>
      </c>
    </row>
    <row r="34" spans="1:12" x14ac:dyDescent="0.25">
      <c r="A34" s="50" t="s">
        <v>259</v>
      </c>
      <c r="B34" s="30" t="s">
        <v>11</v>
      </c>
      <c r="C34" s="30" t="s">
        <v>94</v>
      </c>
      <c r="D34" s="30" t="s">
        <v>95</v>
      </c>
      <c r="E34" s="30" t="s">
        <v>260</v>
      </c>
      <c r="F34" s="30">
        <v>1</v>
      </c>
      <c r="G34" s="44">
        <v>1870</v>
      </c>
      <c r="H34" s="30"/>
      <c r="I34" s="44"/>
      <c r="J34" s="44"/>
      <c r="K34" s="44">
        <f t="shared" si="0"/>
        <v>1870</v>
      </c>
      <c r="L34" s="51">
        <v>20210521</v>
      </c>
    </row>
    <row r="35" spans="1:12" x14ac:dyDescent="0.25">
      <c r="A35" s="50" t="s">
        <v>254</v>
      </c>
      <c r="B35" s="30" t="s">
        <v>11</v>
      </c>
      <c r="C35" s="30" t="s">
        <v>76</v>
      </c>
      <c r="D35" s="30" t="s">
        <v>24</v>
      </c>
      <c r="E35" s="30" t="s">
        <v>255</v>
      </c>
      <c r="F35" s="30">
        <v>1</v>
      </c>
      <c r="G35" s="44">
        <v>1870</v>
      </c>
      <c r="H35" s="30"/>
      <c r="I35" s="44"/>
      <c r="J35" s="44"/>
      <c r="K35" s="44">
        <f t="shared" si="0"/>
        <v>1870</v>
      </c>
      <c r="L35" s="51">
        <v>20210528</v>
      </c>
    </row>
    <row r="36" spans="1:12" x14ac:dyDescent="0.25">
      <c r="A36" s="52" t="s">
        <v>291</v>
      </c>
      <c r="B36" s="32" t="s">
        <v>11</v>
      </c>
      <c r="C36" s="32" t="s">
        <v>34</v>
      </c>
      <c r="D36" s="32" t="s">
        <v>35</v>
      </c>
      <c r="E36" s="32" t="s">
        <v>292</v>
      </c>
      <c r="F36" s="32">
        <v>1</v>
      </c>
      <c r="G36" s="45">
        <v>1870</v>
      </c>
      <c r="H36" s="32">
        <v>64</v>
      </c>
      <c r="I36" s="45">
        <v>25</v>
      </c>
      <c r="J36" s="45">
        <f>I36*H36</f>
        <v>1600</v>
      </c>
      <c r="K36" s="45">
        <f t="shared" si="0"/>
        <v>3470</v>
      </c>
      <c r="L36" s="53">
        <v>20210528</v>
      </c>
    </row>
    <row r="37" spans="1:12" x14ac:dyDescent="0.25">
      <c r="A37" s="52" t="s">
        <v>293</v>
      </c>
      <c r="B37" s="32" t="s">
        <v>11</v>
      </c>
      <c r="C37" s="32" t="s">
        <v>34</v>
      </c>
      <c r="D37" s="32" t="s">
        <v>35</v>
      </c>
      <c r="E37" s="32" t="s">
        <v>114</v>
      </c>
      <c r="F37" s="32">
        <v>1</v>
      </c>
      <c r="G37" s="45">
        <v>1870</v>
      </c>
      <c r="H37" s="32">
        <v>64</v>
      </c>
      <c r="I37" s="45">
        <v>25</v>
      </c>
      <c r="J37" s="45">
        <f>I37*H37</f>
        <v>1600</v>
      </c>
      <c r="K37" s="45">
        <f t="shared" si="0"/>
        <v>3470</v>
      </c>
      <c r="L37" s="53">
        <v>20210528</v>
      </c>
    </row>
    <row r="38" spans="1:12" ht="15.75" thickBot="1" x14ac:dyDescent="0.3">
      <c r="A38" s="54" t="s">
        <v>250</v>
      </c>
      <c r="B38" s="36" t="s">
        <v>11</v>
      </c>
      <c r="C38" s="36" t="s">
        <v>251</v>
      </c>
      <c r="D38" s="36" t="s">
        <v>252</v>
      </c>
      <c r="E38" s="36" t="s">
        <v>253</v>
      </c>
      <c r="F38" s="36">
        <v>1</v>
      </c>
      <c r="G38" s="65">
        <v>1870</v>
      </c>
      <c r="H38" s="36"/>
      <c r="I38" s="65"/>
      <c r="J38" s="65"/>
      <c r="K38" s="65">
        <f t="shared" si="0"/>
        <v>1870</v>
      </c>
      <c r="L38" s="55">
        <v>20210531</v>
      </c>
    </row>
    <row r="39" spans="1:12" x14ac:dyDescent="0.25">
      <c r="A39" s="73"/>
      <c r="B39" s="74"/>
      <c r="C39" s="74"/>
      <c r="D39" s="74"/>
      <c r="E39" s="74"/>
      <c r="F39" s="74"/>
      <c r="G39" s="75"/>
      <c r="H39" s="74"/>
      <c r="I39" s="75"/>
      <c r="J39" s="75"/>
      <c r="K39" s="75"/>
      <c r="L39" s="76"/>
    </row>
    <row r="40" spans="1:12" ht="15.75" thickBot="1" x14ac:dyDescent="0.3">
      <c r="A40" s="69"/>
      <c r="B40" s="70"/>
      <c r="C40" s="70"/>
      <c r="D40" s="70"/>
      <c r="E40" s="70"/>
      <c r="F40" s="70"/>
      <c r="G40" s="71"/>
      <c r="H40" s="70"/>
      <c r="I40" s="71"/>
      <c r="J40" s="71"/>
      <c r="K40" s="71"/>
      <c r="L40" s="72"/>
    </row>
    <row r="41" spans="1:12" x14ac:dyDescent="0.25">
      <c r="A41" s="48" t="s">
        <v>313</v>
      </c>
      <c r="B41" s="34" t="s">
        <v>137</v>
      </c>
      <c r="C41" s="34" t="s">
        <v>26</v>
      </c>
      <c r="D41" s="34" t="s">
        <v>307</v>
      </c>
      <c r="E41" s="34" t="s">
        <v>314</v>
      </c>
      <c r="F41" s="34">
        <v>1</v>
      </c>
      <c r="G41" s="64">
        <v>935</v>
      </c>
      <c r="H41" s="34"/>
      <c r="I41" s="64"/>
      <c r="J41" s="64"/>
      <c r="K41" s="64">
        <f t="shared" ref="K41:K58" si="1">J41+G41</f>
        <v>935</v>
      </c>
      <c r="L41" s="49">
        <v>20210510</v>
      </c>
    </row>
    <row r="42" spans="1:12" x14ac:dyDescent="0.25">
      <c r="A42" s="52" t="s">
        <v>311</v>
      </c>
      <c r="B42" s="32" t="s">
        <v>137</v>
      </c>
      <c r="C42" s="32" t="s">
        <v>26</v>
      </c>
      <c r="D42" s="32" t="s">
        <v>307</v>
      </c>
      <c r="E42" s="32" t="s">
        <v>312</v>
      </c>
      <c r="F42" s="32">
        <v>1</v>
      </c>
      <c r="G42" s="45">
        <v>935</v>
      </c>
      <c r="H42" s="32">
        <v>24</v>
      </c>
      <c r="I42" s="45">
        <v>25</v>
      </c>
      <c r="J42" s="45">
        <f>I42*H42</f>
        <v>600</v>
      </c>
      <c r="K42" s="45">
        <f t="shared" si="1"/>
        <v>1535</v>
      </c>
      <c r="L42" s="53">
        <v>20210510</v>
      </c>
    </row>
    <row r="43" spans="1:12" x14ac:dyDescent="0.25">
      <c r="A43" s="50" t="s">
        <v>309</v>
      </c>
      <c r="B43" s="30" t="s">
        <v>137</v>
      </c>
      <c r="C43" s="30" t="s">
        <v>26</v>
      </c>
      <c r="D43" s="30" t="s">
        <v>307</v>
      </c>
      <c r="E43" s="30" t="s">
        <v>310</v>
      </c>
      <c r="F43" s="30">
        <v>1</v>
      </c>
      <c r="G43" s="44">
        <v>935</v>
      </c>
      <c r="H43" s="30"/>
      <c r="I43" s="44"/>
      <c r="J43" s="44"/>
      <c r="K43" s="44">
        <f t="shared" si="1"/>
        <v>935</v>
      </c>
      <c r="L43" s="51">
        <v>20210510</v>
      </c>
    </row>
    <row r="44" spans="1:12" x14ac:dyDescent="0.25">
      <c r="A44" s="50" t="s">
        <v>306</v>
      </c>
      <c r="B44" s="30" t="s">
        <v>137</v>
      </c>
      <c r="C44" s="30" t="s">
        <v>26</v>
      </c>
      <c r="D44" s="30" t="s">
        <v>307</v>
      </c>
      <c r="E44" s="30" t="s">
        <v>308</v>
      </c>
      <c r="F44" s="30">
        <v>1</v>
      </c>
      <c r="G44" s="44">
        <v>935</v>
      </c>
      <c r="H44" s="30"/>
      <c r="I44" s="44"/>
      <c r="J44" s="44"/>
      <c r="K44" s="44">
        <f t="shared" si="1"/>
        <v>935</v>
      </c>
      <c r="L44" s="51">
        <v>20210510</v>
      </c>
    </row>
    <row r="45" spans="1:12" x14ac:dyDescent="0.25">
      <c r="A45" s="50" t="s">
        <v>323</v>
      </c>
      <c r="B45" s="30" t="s">
        <v>137</v>
      </c>
      <c r="C45" s="30" t="s">
        <v>29</v>
      </c>
      <c r="D45" s="30" t="s">
        <v>24</v>
      </c>
      <c r="E45" s="30" t="s">
        <v>210</v>
      </c>
      <c r="F45" s="30">
        <v>1</v>
      </c>
      <c r="G45" s="44">
        <v>935</v>
      </c>
      <c r="H45" s="30"/>
      <c r="I45" s="44"/>
      <c r="J45" s="44"/>
      <c r="K45" s="44">
        <f t="shared" si="1"/>
        <v>935</v>
      </c>
      <c r="L45" s="51">
        <v>20210510</v>
      </c>
    </row>
    <row r="46" spans="1:12" x14ac:dyDescent="0.25">
      <c r="A46" s="50" t="s">
        <v>321</v>
      </c>
      <c r="B46" s="30" t="s">
        <v>137</v>
      </c>
      <c r="C46" s="30" t="s">
        <v>29</v>
      </c>
      <c r="D46" s="30" t="s">
        <v>24</v>
      </c>
      <c r="E46" s="30" t="s">
        <v>322</v>
      </c>
      <c r="F46" s="30">
        <v>1</v>
      </c>
      <c r="G46" s="44">
        <v>935</v>
      </c>
      <c r="H46" s="30"/>
      <c r="I46" s="44"/>
      <c r="J46" s="44"/>
      <c r="K46" s="44">
        <f t="shared" si="1"/>
        <v>935</v>
      </c>
      <c r="L46" s="51">
        <v>20210510</v>
      </c>
    </row>
    <row r="47" spans="1:12" x14ac:dyDescent="0.25">
      <c r="A47" s="50" t="s">
        <v>320</v>
      </c>
      <c r="B47" s="30" t="s">
        <v>137</v>
      </c>
      <c r="C47" s="30" t="s">
        <v>29</v>
      </c>
      <c r="D47" s="30" t="s">
        <v>24</v>
      </c>
      <c r="E47" s="30" t="s">
        <v>56</v>
      </c>
      <c r="F47" s="30">
        <v>1</v>
      </c>
      <c r="G47" s="44">
        <v>935</v>
      </c>
      <c r="H47" s="30"/>
      <c r="I47" s="44"/>
      <c r="J47" s="44"/>
      <c r="K47" s="44">
        <f t="shared" si="1"/>
        <v>935</v>
      </c>
      <c r="L47" s="51">
        <v>20210510</v>
      </c>
    </row>
    <row r="48" spans="1:12" x14ac:dyDescent="0.25">
      <c r="A48" s="50" t="s">
        <v>319</v>
      </c>
      <c r="B48" s="30" t="s">
        <v>137</v>
      </c>
      <c r="C48" s="30" t="s">
        <v>29</v>
      </c>
      <c r="D48" s="30" t="s">
        <v>24</v>
      </c>
      <c r="E48" s="30" t="s">
        <v>89</v>
      </c>
      <c r="F48" s="30">
        <v>1</v>
      </c>
      <c r="G48" s="44">
        <v>935</v>
      </c>
      <c r="H48" s="30"/>
      <c r="I48" s="44"/>
      <c r="J48" s="44"/>
      <c r="K48" s="44">
        <f t="shared" si="1"/>
        <v>935</v>
      </c>
      <c r="L48" s="51">
        <v>20210510</v>
      </c>
    </row>
    <row r="49" spans="1:12" x14ac:dyDescent="0.25">
      <c r="A49" s="50" t="s">
        <v>318</v>
      </c>
      <c r="B49" s="30" t="s">
        <v>137</v>
      </c>
      <c r="C49" s="30" t="s">
        <v>29</v>
      </c>
      <c r="D49" s="30" t="s">
        <v>24</v>
      </c>
      <c r="E49" s="30" t="s">
        <v>209</v>
      </c>
      <c r="F49" s="30">
        <v>1</v>
      </c>
      <c r="G49" s="44">
        <v>935</v>
      </c>
      <c r="H49" s="30"/>
      <c r="I49" s="44"/>
      <c r="J49" s="44"/>
      <c r="K49" s="44">
        <f t="shared" si="1"/>
        <v>935</v>
      </c>
      <c r="L49" s="51">
        <v>20210510</v>
      </c>
    </row>
    <row r="50" spans="1:12" x14ac:dyDescent="0.25">
      <c r="A50" s="50" t="s">
        <v>317</v>
      </c>
      <c r="B50" s="30" t="s">
        <v>137</v>
      </c>
      <c r="C50" s="30" t="s">
        <v>29</v>
      </c>
      <c r="D50" s="30" t="s">
        <v>24</v>
      </c>
      <c r="E50" s="30" t="s">
        <v>208</v>
      </c>
      <c r="F50" s="30">
        <v>1</v>
      </c>
      <c r="G50" s="44">
        <v>935</v>
      </c>
      <c r="H50" s="30"/>
      <c r="I50" s="44"/>
      <c r="J50" s="44"/>
      <c r="K50" s="44">
        <f t="shared" si="1"/>
        <v>935</v>
      </c>
      <c r="L50" s="51">
        <v>20210510</v>
      </c>
    </row>
    <row r="51" spans="1:12" x14ac:dyDescent="0.25">
      <c r="A51" s="50" t="s">
        <v>277</v>
      </c>
      <c r="B51" s="30" t="s">
        <v>137</v>
      </c>
      <c r="C51" s="30" t="s">
        <v>270</v>
      </c>
      <c r="D51" s="30" t="s">
        <v>271</v>
      </c>
      <c r="E51" s="30" t="s">
        <v>278</v>
      </c>
      <c r="F51" s="30">
        <v>1</v>
      </c>
      <c r="G51" s="44">
        <v>935</v>
      </c>
      <c r="H51" s="30"/>
      <c r="I51" s="44"/>
      <c r="J51" s="44"/>
      <c r="K51" s="44">
        <f t="shared" si="1"/>
        <v>935</v>
      </c>
      <c r="L51" s="51">
        <v>20210513</v>
      </c>
    </row>
    <row r="52" spans="1:12" x14ac:dyDescent="0.25">
      <c r="A52" s="50" t="s">
        <v>275</v>
      </c>
      <c r="B52" s="30" t="s">
        <v>137</v>
      </c>
      <c r="C52" s="30" t="s">
        <v>270</v>
      </c>
      <c r="D52" s="30" t="s">
        <v>271</v>
      </c>
      <c r="E52" s="30" t="s">
        <v>276</v>
      </c>
      <c r="F52" s="30">
        <v>1</v>
      </c>
      <c r="G52" s="44">
        <v>935</v>
      </c>
      <c r="H52" s="30"/>
      <c r="I52" s="44"/>
      <c r="J52" s="44"/>
      <c r="K52" s="44">
        <f t="shared" si="1"/>
        <v>935</v>
      </c>
      <c r="L52" s="51">
        <v>20210513</v>
      </c>
    </row>
    <row r="53" spans="1:12" x14ac:dyDescent="0.25">
      <c r="A53" s="50" t="s">
        <v>273</v>
      </c>
      <c r="B53" s="30" t="s">
        <v>137</v>
      </c>
      <c r="C53" s="30" t="s">
        <v>270</v>
      </c>
      <c r="D53" s="30" t="s">
        <v>271</v>
      </c>
      <c r="E53" s="30" t="s">
        <v>274</v>
      </c>
      <c r="F53" s="30">
        <v>1</v>
      </c>
      <c r="G53" s="44">
        <v>935</v>
      </c>
      <c r="H53" s="30"/>
      <c r="I53" s="44"/>
      <c r="J53" s="44"/>
      <c r="K53" s="44">
        <f t="shared" si="1"/>
        <v>935</v>
      </c>
      <c r="L53" s="51">
        <v>20210513</v>
      </c>
    </row>
    <row r="54" spans="1:12" x14ac:dyDescent="0.25">
      <c r="A54" s="52" t="s">
        <v>269</v>
      </c>
      <c r="B54" s="32" t="s">
        <v>137</v>
      </c>
      <c r="C54" s="32" t="s">
        <v>270</v>
      </c>
      <c r="D54" s="32" t="s">
        <v>271</v>
      </c>
      <c r="E54" s="32" t="s">
        <v>272</v>
      </c>
      <c r="F54" s="32">
        <v>1</v>
      </c>
      <c r="G54" s="45">
        <v>935</v>
      </c>
      <c r="H54" s="32">
        <v>234</v>
      </c>
      <c r="I54" s="45">
        <v>25</v>
      </c>
      <c r="J54" s="45">
        <f>I54*H54</f>
        <v>5850</v>
      </c>
      <c r="K54" s="45">
        <f t="shared" si="1"/>
        <v>6785</v>
      </c>
      <c r="L54" s="53">
        <v>20210513</v>
      </c>
    </row>
    <row r="55" spans="1:12" x14ac:dyDescent="0.25">
      <c r="A55" s="50" t="s">
        <v>286</v>
      </c>
      <c r="B55" s="30" t="s">
        <v>137</v>
      </c>
      <c r="C55" s="30" t="s">
        <v>26</v>
      </c>
      <c r="D55" s="30" t="s">
        <v>280</v>
      </c>
      <c r="E55" s="30" t="s">
        <v>287</v>
      </c>
      <c r="F55" s="30">
        <v>1</v>
      </c>
      <c r="G55" s="44">
        <v>935</v>
      </c>
      <c r="H55" s="30"/>
      <c r="I55" s="44"/>
      <c r="J55" s="44"/>
      <c r="K55" s="44">
        <f t="shared" si="1"/>
        <v>935</v>
      </c>
      <c r="L55" s="51">
        <v>20210513</v>
      </c>
    </row>
    <row r="56" spans="1:12" x14ac:dyDescent="0.25">
      <c r="A56" s="50" t="s">
        <v>284</v>
      </c>
      <c r="B56" s="30" t="s">
        <v>137</v>
      </c>
      <c r="C56" s="30" t="s">
        <v>26</v>
      </c>
      <c r="D56" s="30" t="s">
        <v>280</v>
      </c>
      <c r="E56" s="30" t="s">
        <v>285</v>
      </c>
      <c r="F56" s="30">
        <v>1</v>
      </c>
      <c r="G56" s="44">
        <v>935</v>
      </c>
      <c r="H56" s="30"/>
      <c r="I56" s="44"/>
      <c r="J56" s="44"/>
      <c r="K56" s="44">
        <f t="shared" si="1"/>
        <v>935</v>
      </c>
      <c r="L56" s="51">
        <v>20210513</v>
      </c>
    </row>
    <row r="57" spans="1:12" x14ac:dyDescent="0.25">
      <c r="A57" s="50" t="s">
        <v>282</v>
      </c>
      <c r="B57" s="30" t="s">
        <v>137</v>
      </c>
      <c r="C57" s="30" t="s">
        <v>26</v>
      </c>
      <c r="D57" s="30" t="s">
        <v>280</v>
      </c>
      <c r="E57" s="30" t="s">
        <v>283</v>
      </c>
      <c r="F57" s="30">
        <v>1</v>
      </c>
      <c r="G57" s="44">
        <v>935</v>
      </c>
      <c r="H57" s="30"/>
      <c r="I57" s="44"/>
      <c r="J57" s="44"/>
      <c r="K57" s="44">
        <f t="shared" si="1"/>
        <v>935</v>
      </c>
      <c r="L57" s="51">
        <v>20210513</v>
      </c>
    </row>
    <row r="58" spans="1:12" ht="15.75" thickBot="1" x14ac:dyDescent="0.3">
      <c r="A58" s="54" t="s">
        <v>279</v>
      </c>
      <c r="B58" s="36" t="s">
        <v>137</v>
      </c>
      <c r="C58" s="36" t="s">
        <v>26</v>
      </c>
      <c r="D58" s="36" t="s">
        <v>280</v>
      </c>
      <c r="E58" s="36" t="s">
        <v>281</v>
      </c>
      <c r="F58" s="36">
        <v>1</v>
      </c>
      <c r="G58" s="65">
        <v>935</v>
      </c>
      <c r="H58" s="36"/>
      <c r="I58" s="65"/>
      <c r="J58" s="65"/>
      <c r="K58" s="65">
        <f t="shared" si="1"/>
        <v>935</v>
      </c>
      <c r="L58" s="55">
        <v>20210513</v>
      </c>
    </row>
    <row r="60" spans="1:12" ht="15.75" thickBot="1" x14ac:dyDescent="0.3">
      <c r="A60" s="69" t="s">
        <v>0</v>
      </c>
      <c r="B60" s="70" t="s">
        <v>1</v>
      </c>
      <c r="C60" s="70" t="s">
        <v>2</v>
      </c>
      <c r="D60" s="70" t="s">
        <v>3</v>
      </c>
      <c r="E60" s="70" t="s">
        <v>4</v>
      </c>
      <c r="F60" s="70"/>
      <c r="G60" s="71" t="s">
        <v>6</v>
      </c>
      <c r="H60" s="70" t="s">
        <v>7</v>
      </c>
      <c r="I60" s="71" t="s">
        <v>8</v>
      </c>
      <c r="J60" s="71" t="s">
        <v>9</v>
      </c>
      <c r="K60" s="71" t="s">
        <v>10</v>
      </c>
      <c r="L60" s="72" t="s">
        <v>5</v>
      </c>
    </row>
    <row r="61" spans="1:12" x14ac:dyDescent="0.25">
      <c r="A61" s="77" t="s">
        <v>415</v>
      </c>
      <c r="B61" s="78" t="s">
        <v>11</v>
      </c>
      <c r="C61" s="78" t="s">
        <v>337</v>
      </c>
      <c r="D61" s="78" t="s">
        <v>162</v>
      </c>
      <c r="E61" s="78" t="s">
        <v>239</v>
      </c>
      <c r="F61" s="78">
        <v>1</v>
      </c>
      <c r="G61" s="79">
        <v>1870</v>
      </c>
      <c r="H61" s="78">
        <v>60</v>
      </c>
      <c r="I61" s="79">
        <v>25</v>
      </c>
      <c r="J61" s="79">
        <f>I61*H61</f>
        <v>1500</v>
      </c>
      <c r="K61" s="79">
        <f t="shared" ref="K61:K92" si="2">J61+G61</f>
        <v>3370</v>
      </c>
      <c r="L61" s="80">
        <v>20210520</v>
      </c>
    </row>
    <row r="62" spans="1:12" x14ac:dyDescent="0.25">
      <c r="A62" s="50" t="s">
        <v>411</v>
      </c>
      <c r="B62" s="30" t="s">
        <v>11</v>
      </c>
      <c r="C62" s="30" t="s">
        <v>28</v>
      </c>
      <c r="D62" s="30" t="s">
        <v>412</v>
      </c>
      <c r="E62" s="30" t="s">
        <v>413</v>
      </c>
      <c r="F62" s="30">
        <v>1</v>
      </c>
      <c r="G62" s="44">
        <v>1870</v>
      </c>
      <c r="H62" s="30"/>
      <c r="I62" s="44"/>
      <c r="J62" s="44"/>
      <c r="K62" s="44">
        <f t="shared" si="2"/>
        <v>1870</v>
      </c>
      <c r="L62" s="51">
        <v>20210601</v>
      </c>
    </row>
    <row r="63" spans="1:12" x14ac:dyDescent="0.25">
      <c r="A63" s="50" t="s">
        <v>409</v>
      </c>
      <c r="B63" s="30" t="s">
        <v>11</v>
      </c>
      <c r="C63" s="30" t="s">
        <v>134</v>
      </c>
      <c r="D63" s="30" t="s">
        <v>354</v>
      </c>
      <c r="E63" s="30" t="s">
        <v>410</v>
      </c>
      <c r="F63" s="30">
        <v>1</v>
      </c>
      <c r="G63" s="44">
        <v>1870</v>
      </c>
      <c r="H63" s="30"/>
      <c r="I63" s="44"/>
      <c r="J63" s="44"/>
      <c r="K63" s="44">
        <f t="shared" si="2"/>
        <v>1870</v>
      </c>
      <c r="L63" s="51">
        <v>20210602</v>
      </c>
    </row>
    <row r="64" spans="1:12" x14ac:dyDescent="0.25">
      <c r="A64" s="52" t="s">
        <v>414</v>
      </c>
      <c r="B64" s="32" t="s">
        <v>11</v>
      </c>
      <c r="C64" s="32" t="s">
        <v>168</v>
      </c>
      <c r="D64" s="32" t="s">
        <v>169</v>
      </c>
      <c r="E64" s="32" t="s">
        <v>170</v>
      </c>
      <c r="F64" s="32">
        <v>1</v>
      </c>
      <c r="G64" s="45">
        <v>1870</v>
      </c>
      <c r="H64" s="32">
        <v>140</v>
      </c>
      <c r="I64" s="45">
        <v>25</v>
      </c>
      <c r="J64" s="45">
        <f>I64*H64</f>
        <v>3500</v>
      </c>
      <c r="K64" s="45">
        <f t="shared" si="2"/>
        <v>5370</v>
      </c>
      <c r="L64" s="53">
        <v>20210602</v>
      </c>
    </row>
    <row r="65" spans="1:12" x14ac:dyDescent="0.25">
      <c r="A65" s="50" t="s">
        <v>408</v>
      </c>
      <c r="B65" s="30" t="s">
        <v>11</v>
      </c>
      <c r="C65" s="30" t="s">
        <v>26</v>
      </c>
      <c r="D65" s="30" t="s">
        <v>204</v>
      </c>
      <c r="E65" s="30" t="s">
        <v>205</v>
      </c>
      <c r="F65" s="30">
        <v>1</v>
      </c>
      <c r="G65" s="44">
        <v>1870</v>
      </c>
      <c r="H65" s="30"/>
      <c r="I65" s="44"/>
      <c r="J65" s="44"/>
      <c r="K65" s="44">
        <f t="shared" si="2"/>
        <v>1870</v>
      </c>
      <c r="L65" s="51">
        <v>20210603</v>
      </c>
    </row>
    <row r="66" spans="1:12" x14ac:dyDescent="0.25">
      <c r="A66" s="52" t="s">
        <v>407</v>
      </c>
      <c r="B66" s="32" t="s">
        <v>11</v>
      </c>
      <c r="C66" s="32" t="s">
        <v>29</v>
      </c>
      <c r="D66" s="32" t="s">
        <v>148</v>
      </c>
      <c r="E66" s="32" t="s">
        <v>149</v>
      </c>
      <c r="F66" s="32">
        <v>1</v>
      </c>
      <c r="G66" s="45">
        <v>1870</v>
      </c>
      <c r="H66" s="32">
        <v>50</v>
      </c>
      <c r="I66" s="45">
        <v>25</v>
      </c>
      <c r="J66" s="45">
        <f>I66*H66</f>
        <v>1250</v>
      </c>
      <c r="K66" s="45">
        <f t="shared" si="2"/>
        <v>3120</v>
      </c>
      <c r="L66" s="53">
        <v>20210607</v>
      </c>
    </row>
    <row r="67" spans="1:12" x14ac:dyDescent="0.25">
      <c r="A67" s="52" t="s">
        <v>404</v>
      </c>
      <c r="B67" s="32" t="s">
        <v>11</v>
      </c>
      <c r="C67" s="32" t="s">
        <v>405</v>
      </c>
      <c r="D67" s="32" t="s">
        <v>24</v>
      </c>
      <c r="E67" s="32" t="s">
        <v>406</v>
      </c>
      <c r="F67" s="32">
        <v>1</v>
      </c>
      <c r="G67" s="45">
        <v>1870</v>
      </c>
      <c r="H67" s="32">
        <v>30</v>
      </c>
      <c r="I67" s="45">
        <v>25</v>
      </c>
      <c r="J67" s="45">
        <f>I67*H67</f>
        <v>750</v>
      </c>
      <c r="K67" s="45">
        <f t="shared" si="2"/>
        <v>2620</v>
      </c>
      <c r="L67" s="53">
        <v>20210608</v>
      </c>
    </row>
    <row r="68" spans="1:12" x14ac:dyDescent="0.25">
      <c r="A68" s="50" t="s">
        <v>400</v>
      </c>
      <c r="B68" s="30" t="s">
        <v>11</v>
      </c>
      <c r="C68" s="30" t="s">
        <v>26</v>
      </c>
      <c r="D68" s="30" t="s">
        <v>41</v>
      </c>
      <c r="E68" s="30" t="s">
        <v>55</v>
      </c>
      <c r="F68" s="30">
        <v>1</v>
      </c>
      <c r="G68" s="44">
        <v>1870</v>
      </c>
      <c r="H68" s="30"/>
      <c r="I68" s="44"/>
      <c r="J68" s="44"/>
      <c r="K68" s="44">
        <f t="shared" si="2"/>
        <v>1870</v>
      </c>
      <c r="L68" s="51">
        <v>20210610</v>
      </c>
    </row>
    <row r="69" spans="1:12" x14ac:dyDescent="0.25">
      <c r="A69" s="52" t="s">
        <v>403</v>
      </c>
      <c r="B69" s="32" t="s">
        <v>11</v>
      </c>
      <c r="C69" s="32" t="s">
        <v>163</v>
      </c>
      <c r="D69" s="32" t="s">
        <v>164</v>
      </c>
      <c r="E69" s="32" t="s">
        <v>305</v>
      </c>
      <c r="F69" s="32">
        <v>1</v>
      </c>
      <c r="G69" s="45">
        <v>1870</v>
      </c>
      <c r="H69" s="32">
        <v>120</v>
      </c>
      <c r="I69" s="45">
        <v>25</v>
      </c>
      <c r="J69" s="45">
        <f>I69*H69</f>
        <v>3000</v>
      </c>
      <c r="K69" s="45">
        <f t="shared" si="2"/>
        <v>4870</v>
      </c>
      <c r="L69" s="53">
        <v>20210610</v>
      </c>
    </row>
    <row r="70" spans="1:12" x14ac:dyDescent="0.25">
      <c r="A70" s="50" t="s">
        <v>388</v>
      </c>
      <c r="B70" s="30" t="s">
        <v>11</v>
      </c>
      <c r="C70" s="30" t="s">
        <v>29</v>
      </c>
      <c r="D70" s="30" t="s">
        <v>389</v>
      </c>
      <c r="E70" s="30" t="s">
        <v>390</v>
      </c>
      <c r="F70" s="30">
        <v>1</v>
      </c>
      <c r="G70" s="44">
        <v>1870</v>
      </c>
      <c r="H70" s="30"/>
      <c r="I70" s="44"/>
      <c r="J70" s="44"/>
      <c r="K70" s="44">
        <f t="shared" si="2"/>
        <v>1870</v>
      </c>
      <c r="L70" s="51">
        <v>20210611</v>
      </c>
    </row>
    <row r="71" spans="1:12" x14ac:dyDescent="0.25">
      <c r="A71" s="50" t="s">
        <v>393</v>
      </c>
      <c r="B71" s="30" t="s">
        <v>11</v>
      </c>
      <c r="C71" s="30" t="s">
        <v>364</v>
      </c>
      <c r="D71" s="30" t="s">
        <v>24</v>
      </c>
      <c r="E71" s="30" t="s">
        <v>394</v>
      </c>
      <c r="F71" s="30">
        <v>1</v>
      </c>
      <c r="G71" s="44">
        <v>1870</v>
      </c>
      <c r="H71" s="30"/>
      <c r="I71" s="44"/>
      <c r="J71" s="44"/>
      <c r="K71" s="44">
        <f t="shared" si="2"/>
        <v>1870</v>
      </c>
      <c r="L71" s="51">
        <v>20210611</v>
      </c>
    </row>
    <row r="72" spans="1:12" x14ac:dyDescent="0.25">
      <c r="A72" s="50" t="s">
        <v>385</v>
      </c>
      <c r="B72" s="30" t="s">
        <v>11</v>
      </c>
      <c r="C72" s="30" t="s">
        <v>57</v>
      </c>
      <c r="D72" s="30" t="s">
        <v>58</v>
      </c>
      <c r="E72" s="30" t="s">
        <v>60</v>
      </c>
      <c r="F72" s="30">
        <v>1</v>
      </c>
      <c r="G72" s="44">
        <v>1870</v>
      </c>
      <c r="H72" s="30"/>
      <c r="I72" s="44"/>
      <c r="J72" s="44"/>
      <c r="K72" s="44">
        <f t="shared" si="2"/>
        <v>1870</v>
      </c>
      <c r="L72" s="51">
        <v>20210614</v>
      </c>
    </row>
    <row r="73" spans="1:12" x14ac:dyDescent="0.25">
      <c r="A73" s="50" t="s">
        <v>387</v>
      </c>
      <c r="B73" s="30" t="s">
        <v>11</v>
      </c>
      <c r="C73" s="30" t="s">
        <v>57</v>
      </c>
      <c r="D73" s="30" t="s">
        <v>58</v>
      </c>
      <c r="E73" s="30" t="s">
        <v>329</v>
      </c>
      <c r="F73" s="30">
        <v>1</v>
      </c>
      <c r="G73" s="44">
        <v>1870</v>
      </c>
      <c r="H73" s="30"/>
      <c r="I73" s="44"/>
      <c r="J73" s="44"/>
      <c r="K73" s="44">
        <f t="shared" si="2"/>
        <v>1870</v>
      </c>
      <c r="L73" s="51">
        <v>20210614</v>
      </c>
    </row>
    <row r="74" spans="1:12" x14ac:dyDescent="0.25">
      <c r="A74" s="52" t="s">
        <v>395</v>
      </c>
      <c r="B74" s="32" t="s">
        <v>11</v>
      </c>
      <c r="C74" s="32" t="s">
        <v>28</v>
      </c>
      <c r="D74" s="32" t="s">
        <v>396</v>
      </c>
      <c r="E74" s="32" t="s">
        <v>397</v>
      </c>
      <c r="F74" s="32">
        <v>1</v>
      </c>
      <c r="G74" s="45">
        <v>1870</v>
      </c>
      <c r="H74" s="32">
        <v>76</v>
      </c>
      <c r="I74" s="45">
        <v>25</v>
      </c>
      <c r="J74" s="45">
        <f>I74*H74</f>
        <v>1900</v>
      </c>
      <c r="K74" s="45">
        <f t="shared" si="2"/>
        <v>3770</v>
      </c>
      <c r="L74" s="53">
        <v>20210614</v>
      </c>
    </row>
    <row r="75" spans="1:12" x14ac:dyDescent="0.25">
      <c r="A75" s="50" t="s">
        <v>398</v>
      </c>
      <c r="B75" s="30" t="s">
        <v>27</v>
      </c>
      <c r="C75" s="30" t="s">
        <v>57</v>
      </c>
      <c r="D75" s="30" t="s">
        <v>58</v>
      </c>
      <c r="E75" s="30" t="s">
        <v>399</v>
      </c>
      <c r="F75" s="30">
        <v>1</v>
      </c>
      <c r="G75" s="44">
        <v>1870</v>
      </c>
      <c r="H75" s="30"/>
      <c r="I75" s="44"/>
      <c r="J75" s="44"/>
      <c r="K75" s="44">
        <f t="shared" si="2"/>
        <v>1870</v>
      </c>
      <c r="L75" s="51">
        <v>20210614</v>
      </c>
    </row>
    <row r="76" spans="1:12" x14ac:dyDescent="0.25">
      <c r="A76" s="52" t="s">
        <v>382</v>
      </c>
      <c r="B76" s="32" t="s">
        <v>11</v>
      </c>
      <c r="C76" s="32" t="s">
        <v>28</v>
      </c>
      <c r="D76" s="32" t="s">
        <v>383</v>
      </c>
      <c r="E76" s="32" t="s">
        <v>384</v>
      </c>
      <c r="F76" s="32">
        <v>1</v>
      </c>
      <c r="G76" s="45">
        <v>1870</v>
      </c>
      <c r="H76" s="32">
        <v>370</v>
      </c>
      <c r="I76" s="45">
        <v>25</v>
      </c>
      <c r="J76" s="45">
        <f>I76*H76</f>
        <v>9250</v>
      </c>
      <c r="K76" s="45">
        <f t="shared" si="2"/>
        <v>11120</v>
      </c>
      <c r="L76" s="53">
        <v>20210615</v>
      </c>
    </row>
    <row r="77" spans="1:12" x14ac:dyDescent="0.25">
      <c r="A77" s="52" t="s">
        <v>401</v>
      </c>
      <c r="B77" s="32" t="s">
        <v>11</v>
      </c>
      <c r="C77" s="32" t="s">
        <v>337</v>
      </c>
      <c r="D77" s="32" t="s">
        <v>35</v>
      </c>
      <c r="E77" s="32" t="s">
        <v>402</v>
      </c>
      <c r="F77" s="32">
        <v>1</v>
      </c>
      <c r="G77" s="45">
        <v>1870</v>
      </c>
      <c r="H77" s="32">
        <v>64</v>
      </c>
      <c r="I77" s="45">
        <v>25</v>
      </c>
      <c r="J77" s="45">
        <f>I77*H77</f>
        <v>1600</v>
      </c>
      <c r="K77" s="45">
        <f t="shared" si="2"/>
        <v>3470</v>
      </c>
      <c r="L77" s="53">
        <v>20210616</v>
      </c>
    </row>
    <row r="78" spans="1:12" x14ac:dyDescent="0.25">
      <c r="A78" s="50" t="s">
        <v>379</v>
      </c>
      <c r="B78" s="30" t="s">
        <v>11</v>
      </c>
      <c r="C78" s="30" t="s">
        <v>270</v>
      </c>
      <c r="D78" s="30" t="s">
        <v>380</v>
      </c>
      <c r="E78" s="30" t="s">
        <v>381</v>
      </c>
      <c r="F78" s="30">
        <v>1</v>
      </c>
      <c r="G78" s="44">
        <v>1870</v>
      </c>
      <c r="H78" s="30"/>
      <c r="I78" s="44"/>
      <c r="J78" s="44"/>
      <c r="K78" s="44">
        <f t="shared" si="2"/>
        <v>1870</v>
      </c>
      <c r="L78" s="51">
        <v>20210617</v>
      </c>
    </row>
    <row r="79" spans="1:12" x14ac:dyDescent="0.25">
      <c r="A79" s="52" t="s">
        <v>386</v>
      </c>
      <c r="B79" s="32" t="s">
        <v>11</v>
      </c>
      <c r="C79" s="32" t="s">
        <v>163</v>
      </c>
      <c r="D79" s="32" t="s">
        <v>164</v>
      </c>
      <c r="E79" s="32" t="s">
        <v>305</v>
      </c>
      <c r="F79" s="32">
        <v>1</v>
      </c>
      <c r="G79" s="45">
        <v>1870</v>
      </c>
      <c r="H79" s="32">
        <v>120</v>
      </c>
      <c r="I79" s="45">
        <v>25</v>
      </c>
      <c r="J79" s="45">
        <f>I79*H79</f>
        <v>3000</v>
      </c>
      <c r="K79" s="45">
        <f t="shared" si="2"/>
        <v>4870</v>
      </c>
      <c r="L79" s="53">
        <v>20210617</v>
      </c>
    </row>
    <row r="80" spans="1:12" x14ac:dyDescent="0.25">
      <c r="A80" s="50" t="s">
        <v>374</v>
      </c>
      <c r="B80" s="30" t="s">
        <v>11</v>
      </c>
      <c r="C80" s="30" t="s">
        <v>251</v>
      </c>
      <c r="D80" s="30" t="s">
        <v>375</v>
      </c>
      <c r="E80" s="30" t="s">
        <v>376</v>
      </c>
      <c r="F80" s="30">
        <v>1</v>
      </c>
      <c r="G80" s="44">
        <v>1870</v>
      </c>
      <c r="H80" s="30"/>
      <c r="I80" s="44"/>
      <c r="J80" s="44"/>
      <c r="K80" s="44">
        <f t="shared" si="2"/>
        <v>1870</v>
      </c>
      <c r="L80" s="51">
        <v>20210618</v>
      </c>
    </row>
    <row r="81" spans="1:12" x14ac:dyDescent="0.25">
      <c r="A81" s="50" t="s">
        <v>373</v>
      </c>
      <c r="B81" s="30" t="s">
        <v>11</v>
      </c>
      <c r="C81" s="30" t="s">
        <v>94</v>
      </c>
      <c r="D81" s="30" t="s">
        <v>95</v>
      </c>
      <c r="E81" s="30" t="s">
        <v>260</v>
      </c>
      <c r="F81" s="30">
        <v>1</v>
      </c>
      <c r="G81" s="44">
        <v>1870</v>
      </c>
      <c r="H81" s="30"/>
      <c r="I81" s="44"/>
      <c r="J81" s="44"/>
      <c r="K81" s="44">
        <f t="shared" si="2"/>
        <v>1870</v>
      </c>
      <c r="L81" s="51">
        <v>20210622</v>
      </c>
    </row>
    <row r="82" spans="1:12" x14ac:dyDescent="0.25">
      <c r="A82" s="52" t="s">
        <v>377</v>
      </c>
      <c r="B82" s="32" t="s">
        <v>11</v>
      </c>
      <c r="C82" s="32" t="s">
        <v>337</v>
      </c>
      <c r="D82" s="32" t="s">
        <v>162</v>
      </c>
      <c r="E82" s="32" t="s">
        <v>378</v>
      </c>
      <c r="F82" s="32">
        <v>1</v>
      </c>
      <c r="G82" s="45">
        <v>1870</v>
      </c>
      <c r="H82" s="32">
        <v>60</v>
      </c>
      <c r="I82" s="45">
        <v>25</v>
      </c>
      <c r="J82" s="45">
        <f>I82*H82</f>
        <v>1500</v>
      </c>
      <c r="K82" s="45">
        <f t="shared" si="2"/>
        <v>3370</v>
      </c>
      <c r="L82" s="53">
        <v>20210622</v>
      </c>
    </row>
    <row r="83" spans="1:12" x14ac:dyDescent="0.25">
      <c r="A83" s="50" t="s">
        <v>362</v>
      </c>
      <c r="B83" s="30" t="s">
        <v>11</v>
      </c>
      <c r="C83" s="30" t="s">
        <v>26</v>
      </c>
      <c r="D83" s="30" t="s">
        <v>204</v>
      </c>
      <c r="E83" s="30" t="s">
        <v>205</v>
      </c>
      <c r="F83" s="30">
        <v>1</v>
      </c>
      <c r="G83" s="44">
        <v>1870</v>
      </c>
      <c r="H83" s="30"/>
      <c r="I83" s="44"/>
      <c r="J83" s="44"/>
      <c r="K83" s="44">
        <f t="shared" si="2"/>
        <v>1870</v>
      </c>
      <c r="L83" s="51">
        <v>20210624</v>
      </c>
    </row>
    <row r="84" spans="1:12" x14ac:dyDescent="0.25">
      <c r="A84" s="50" t="s">
        <v>363</v>
      </c>
      <c r="B84" s="30" t="s">
        <v>11</v>
      </c>
      <c r="C84" s="30" t="s">
        <v>364</v>
      </c>
      <c r="D84" s="30" t="s">
        <v>24</v>
      </c>
      <c r="E84" s="30" t="s">
        <v>365</v>
      </c>
      <c r="F84" s="30">
        <v>1</v>
      </c>
      <c r="G84" s="44">
        <v>1870</v>
      </c>
      <c r="H84" s="30"/>
      <c r="I84" s="44"/>
      <c r="J84" s="44"/>
      <c r="K84" s="44">
        <f t="shared" si="2"/>
        <v>1870</v>
      </c>
      <c r="L84" s="51">
        <v>20210624</v>
      </c>
    </row>
    <row r="85" spans="1:12" x14ac:dyDescent="0.25">
      <c r="A85" s="50" t="s">
        <v>370</v>
      </c>
      <c r="B85" s="30" t="s">
        <v>11</v>
      </c>
      <c r="C85" s="30" t="s">
        <v>28</v>
      </c>
      <c r="D85" s="30" t="s">
        <v>371</v>
      </c>
      <c r="E85" s="30" t="s">
        <v>372</v>
      </c>
      <c r="F85" s="30">
        <v>1</v>
      </c>
      <c r="G85" s="44">
        <v>1870</v>
      </c>
      <c r="H85" s="30"/>
      <c r="I85" s="44"/>
      <c r="J85" s="44"/>
      <c r="K85" s="44">
        <f t="shared" si="2"/>
        <v>1870</v>
      </c>
      <c r="L85" s="51">
        <v>20210624</v>
      </c>
    </row>
    <row r="86" spans="1:12" x14ac:dyDescent="0.25">
      <c r="A86" s="50" t="s">
        <v>366</v>
      </c>
      <c r="B86" s="30" t="s">
        <v>11</v>
      </c>
      <c r="C86" s="30" t="s">
        <v>94</v>
      </c>
      <c r="D86" s="30" t="s">
        <v>95</v>
      </c>
      <c r="E86" s="30" t="s">
        <v>326</v>
      </c>
      <c r="F86" s="30">
        <v>1</v>
      </c>
      <c r="G86" s="44">
        <v>1870</v>
      </c>
      <c r="H86" s="30"/>
      <c r="I86" s="44"/>
      <c r="J86" s="44"/>
      <c r="K86" s="44">
        <f t="shared" si="2"/>
        <v>1870</v>
      </c>
      <c r="L86" s="51">
        <v>20210625</v>
      </c>
    </row>
    <row r="87" spans="1:12" x14ac:dyDescent="0.25">
      <c r="A87" s="52" t="s">
        <v>360</v>
      </c>
      <c r="B87" s="32" t="s">
        <v>11</v>
      </c>
      <c r="C87" s="32" t="s">
        <v>163</v>
      </c>
      <c r="D87" s="32" t="s">
        <v>164</v>
      </c>
      <c r="E87" s="32" t="s">
        <v>361</v>
      </c>
      <c r="F87" s="32">
        <v>1</v>
      </c>
      <c r="G87" s="45">
        <v>1870</v>
      </c>
      <c r="H87" s="32">
        <v>120</v>
      </c>
      <c r="I87" s="45">
        <v>25</v>
      </c>
      <c r="J87" s="45">
        <f>I87*H87</f>
        <v>3000</v>
      </c>
      <c r="K87" s="45">
        <f t="shared" si="2"/>
        <v>4870</v>
      </c>
      <c r="L87" s="53">
        <v>20210628</v>
      </c>
    </row>
    <row r="88" spans="1:12" x14ac:dyDescent="0.25">
      <c r="A88" s="52" t="s">
        <v>367</v>
      </c>
      <c r="B88" s="32" t="s">
        <v>11</v>
      </c>
      <c r="C88" s="32" t="s">
        <v>270</v>
      </c>
      <c r="D88" s="32" t="s">
        <v>368</v>
      </c>
      <c r="E88" s="32" t="s">
        <v>369</v>
      </c>
      <c r="F88" s="32">
        <v>1</v>
      </c>
      <c r="G88" s="45">
        <v>1870</v>
      </c>
      <c r="H88" s="32">
        <v>120</v>
      </c>
      <c r="I88" s="45">
        <v>25</v>
      </c>
      <c r="J88" s="45">
        <f>I88*H88</f>
        <v>3000</v>
      </c>
      <c r="K88" s="45">
        <f t="shared" si="2"/>
        <v>4870</v>
      </c>
      <c r="L88" s="53">
        <v>20210628</v>
      </c>
    </row>
    <row r="89" spans="1:12" x14ac:dyDescent="0.25">
      <c r="A89" s="52" t="s">
        <v>350</v>
      </c>
      <c r="B89" s="32" t="s">
        <v>11</v>
      </c>
      <c r="C89" s="32" t="s">
        <v>26</v>
      </c>
      <c r="D89" s="32" t="s">
        <v>351</v>
      </c>
      <c r="E89" s="32" t="s">
        <v>352</v>
      </c>
      <c r="F89" s="32">
        <v>1</v>
      </c>
      <c r="G89" s="45">
        <v>1870</v>
      </c>
      <c r="H89" s="32">
        <v>60</v>
      </c>
      <c r="I89" s="45">
        <v>25</v>
      </c>
      <c r="J89" s="45">
        <f>I89*H89</f>
        <v>1500</v>
      </c>
      <c r="K89" s="45">
        <f t="shared" si="2"/>
        <v>3370</v>
      </c>
      <c r="L89" s="53">
        <v>20210629</v>
      </c>
    </row>
    <row r="90" spans="1:12" x14ac:dyDescent="0.25">
      <c r="A90" s="50" t="s">
        <v>353</v>
      </c>
      <c r="B90" s="30" t="s">
        <v>11</v>
      </c>
      <c r="C90" s="30" t="s">
        <v>134</v>
      </c>
      <c r="D90" s="30" t="s">
        <v>354</v>
      </c>
      <c r="E90" s="30" t="s">
        <v>355</v>
      </c>
      <c r="F90" s="30">
        <v>1</v>
      </c>
      <c r="G90" s="44">
        <v>1870</v>
      </c>
      <c r="H90" s="30"/>
      <c r="I90" s="44"/>
      <c r="J90" s="44"/>
      <c r="K90" s="44">
        <f t="shared" si="2"/>
        <v>1870</v>
      </c>
      <c r="L90" s="51">
        <v>20210629</v>
      </c>
    </row>
    <row r="91" spans="1:12" x14ac:dyDescent="0.25">
      <c r="A91" s="50" t="s">
        <v>356</v>
      </c>
      <c r="B91" s="30" t="s">
        <v>11</v>
      </c>
      <c r="C91" s="30" t="s">
        <v>134</v>
      </c>
      <c r="D91" s="30" t="s">
        <v>354</v>
      </c>
      <c r="E91" s="30" t="s">
        <v>357</v>
      </c>
      <c r="F91" s="30">
        <v>1</v>
      </c>
      <c r="G91" s="44">
        <v>1870</v>
      </c>
      <c r="H91" s="30"/>
      <c r="I91" s="44"/>
      <c r="J91" s="44"/>
      <c r="K91" s="44">
        <f t="shared" si="2"/>
        <v>1870</v>
      </c>
      <c r="L91" s="51">
        <v>20210629</v>
      </c>
    </row>
    <row r="92" spans="1:12" ht="15.75" thickBot="1" x14ac:dyDescent="0.3">
      <c r="A92" s="54" t="s">
        <v>358</v>
      </c>
      <c r="B92" s="36" t="s">
        <v>11</v>
      </c>
      <c r="C92" s="36" t="s">
        <v>134</v>
      </c>
      <c r="D92" s="36" t="s">
        <v>354</v>
      </c>
      <c r="E92" s="36" t="s">
        <v>359</v>
      </c>
      <c r="F92" s="36">
        <v>1</v>
      </c>
      <c r="G92" s="65">
        <v>1870</v>
      </c>
      <c r="H92" s="36"/>
      <c r="I92" s="65"/>
      <c r="J92" s="65"/>
      <c r="K92" s="65">
        <f t="shared" si="2"/>
        <v>1870</v>
      </c>
      <c r="L92" s="55">
        <v>20210629</v>
      </c>
    </row>
    <row r="94" spans="1:12" x14ac:dyDescent="0.25">
      <c r="A94" s="50" t="s">
        <v>391</v>
      </c>
      <c r="B94" s="30" t="s">
        <v>137</v>
      </c>
      <c r="C94" s="30" t="s">
        <v>364</v>
      </c>
      <c r="D94" s="30" t="s">
        <v>24</v>
      </c>
      <c r="E94" s="30" t="s">
        <v>392</v>
      </c>
      <c r="F94" s="30">
        <v>1</v>
      </c>
      <c r="G94" s="44">
        <v>935</v>
      </c>
      <c r="H94" s="30"/>
      <c r="I94" s="44"/>
      <c r="J94" s="44"/>
      <c r="K94" s="44">
        <f>J94+G94</f>
        <v>935</v>
      </c>
      <c r="L94" s="51">
        <v>20210611</v>
      </c>
    </row>
    <row r="100" spans="1:12" ht="15.75" thickBot="1" x14ac:dyDescent="0.3">
      <c r="A100" s="69" t="s">
        <v>0</v>
      </c>
      <c r="B100" s="70" t="s">
        <v>1</v>
      </c>
      <c r="C100" s="70" t="s">
        <v>2</v>
      </c>
      <c r="D100" s="70" t="s">
        <v>3</v>
      </c>
      <c r="E100" s="70" t="s">
        <v>4</v>
      </c>
      <c r="F100" s="70"/>
      <c r="G100" s="71" t="s">
        <v>6</v>
      </c>
      <c r="H100" s="70" t="s">
        <v>7</v>
      </c>
      <c r="I100" s="71" t="s">
        <v>8</v>
      </c>
      <c r="J100" s="71" t="s">
        <v>9</v>
      </c>
      <c r="K100" s="71" t="s">
        <v>10</v>
      </c>
      <c r="L100" s="72" t="s">
        <v>5</v>
      </c>
    </row>
    <row r="101" spans="1:12" x14ac:dyDescent="0.25">
      <c r="A101" s="48" t="s">
        <v>512</v>
      </c>
      <c r="B101" s="34" t="s">
        <v>11</v>
      </c>
      <c r="C101" s="34" t="s">
        <v>26</v>
      </c>
      <c r="D101" s="34" t="s">
        <v>418</v>
      </c>
      <c r="E101" s="34" t="s">
        <v>421</v>
      </c>
      <c r="F101" s="34">
        <v>1</v>
      </c>
      <c r="G101" s="64">
        <v>1870</v>
      </c>
      <c r="H101" s="34"/>
      <c r="I101" s="64"/>
      <c r="J101" s="64"/>
      <c r="K101" s="64">
        <f t="shared" ref="K101:K146" si="3">J101+G101</f>
        <v>1870</v>
      </c>
      <c r="L101" s="49">
        <v>20210702</v>
      </c>
    </row>
    <row r="102" spans="1:12" x14ac:dyDescent="0.25">
      <c r="A102" s="50" t="s">
        <v>514</v>
      </c>
      <c r="B102" s="30" t="s">
        <v>11</v>
      </c>
      <c r="C102" s="30" t="s">
        <v>515</v>
      </c>
      <c r="D102" s="30" t="s">
        <v>24</v>
      </c>
      <c r="E102" s="30" t="s">
        <v>516</v>
      </c>
      <c r="F102" s="30">
        <v>1</v>
      </c>
      <c r="G102" s="44">
        <v>1870</v>
      </c>
      <c r="H102" s="30"/>
      <c r="I102" s="44"/>
      <c r="J102" s="44"/>
      <c r="K102" s="44">
        <f t="shared" si="3"/>
        <v>1870</v>
      </c>
      <c r="L102" s="51">
        <v>20210702</v>
      </c>
    </row>
    <row r="103" spans="1:12" x14ac:dyDescent="0.25">
      <c r="A103" s="50" t="s">
        <v>513</v>
      </c>
      <c r="B103" s="30" t="s">
        <v>11</v>
      </c>
      <c r="C103" s="30" t="s">
        <v>91</v>
      </c>
      <c r="D103" s="30" t="s">
        <v>24</v>
      </c>
      <c r="E103" s="30" t="s">
        <v>92</v>
      </c>
      <c r="F103" s="30">
        <v>1</v>
      </c>
      <c r="G103" s="44">
        <v>1870</v>
      </c>
      <c r="H103" s="30"/>
      <c r="I103" s="44"/>
      <c r="J103" s="44"/>
      <c r="K103" s="44">
        <f t="shared" si="3"/>
        <v>1870</v>
      </c>
      <c r="L103" s="51">
        <v>20210702</v>
      </c>
    </row>
    <row r="104" spans="1:12" x14ac:dyDescent="0.25">
      <c r="A104" s="50" t="s">
        <v>504</v>
      </c>
      <c r="B104" s="30" t="s">
        <v>11</v>
      </c>
      <c r="C104" s="30" t="s">
        <v>505</v>
      </c>
      <c r="D104" s="30" t="s">
        <v>24</v>
      </c>
      <c r="E104" s="30" t="s">
        <v>506</v>
      </c>
      <c r="F104" s="30">
        <v>1</v>
      </c>
      <c r="G104" s="44">
        <v>1870</v>
      </c>
      <c r="H104" s="30"/>
      <c r="I104" s="44"/>
      <c r="J104" s="44"/>
      <c r="K104" s="44">
        <f t="shared" si="3"/>
        <v>1870</v>
      </c>
      <c r="L104" s="51">
        <v>20210705</v>
      </c>
    </row>
    <row r="105" spans="1:12" x14ac:dyDescent="0.25">
      <c r="A105" s="50" t="s">
        <v>510</v>
      </c>
      <c r="B105" s="30" t="s">
        <v>11</v>
      </c>
      <c r="C105" s="30" t="s">
        <v>337</v>
      </c>
      <c r="D105" s="30" t="s">
        <v>35</v>
      </c>
      <c r="E105" s="30" t="s">
        <v>511</v>
      </c>
      <c r="F105" s="30">
        <v>1</v>
      </c>
      <c r="G105" s="44">
        <v>1870</v>
      </c>
      <c r="H105" s="30"/>
      <c r="I105" s="44"/>
      <c r="J105" s="44"/>
      <c r="K105" s="44">
        <f t="shared" si="3"/>
        <v>1870</v>
      </c>
      <c r="L105" s="51">
        <v>20210706</v>
      </c>
    </row>
    <row r="106" spans="1:12" x14ac:dyDescent="0.25">
      <c r="A106" s="50" t="s">
        <v>500</v>
      </c>
      <c r="B106" s="30" t="s">
        <v>11</v>
      </c>
      <c r="C106" s="30" t="s">
        <v>337</v>
      </c>
      <c r="D106" s="30" t="s">
        <v>35</v>
      </c>
      <c r="E106" s="30" t="s">
        <v>157</v>
      </c>
      <c r="F106" s="30">
        <v>1</v>
      </c>
      <c r="G106" s="44">
        <v>1870</v>
      </c>
      <c r="H106" s="30"/>
      <c r="I106" s="44"/>
      <c r="J106" s="44"/>
      <c r="K106" s="44">
        <f t="shared" si="3"/>
        <v>1870</v>
      </c>
      <c r="L106" s="51">
        <v>20210706</v>
      </c>
    </row>
    <row r="107" spans="1:12" x14ac:dyDescent="0.25">
      <c r="A107" s="50" t="s">
        <v>508</v>
      </c>
      <c r="B107" s="30" t="s">
        <v>11</v>
      </c>
      <c r="C107" s="30" t="s">
        <v>29</v>
      </c>
      <c r="D107" s="30" t="s">
        <v>30</v>
      </c>
      <c r="E107" s="30" t="s">
        <v>509</v>
      </c>
      <c r="F107" s="30">
        <v>1</v>
      </c>
      <c r="G107" s="44">
        <v>1870</v>
      </c>
      <c r="H107" s="30"/>
      <c r="I107" s="44"/>
      <c r="J107" s="44"/>
      <c r="K107" s="44">
        <f t="shared" si="3"/>
        <v>1870</v>
      </c>
      <c r="L107" s="51">
        <v>20210706</v>
      </c>
    </row>
    <row r="108" spans="1:12" x14ac:dyDescent="0.25">
      <c r="A108" s="50" t="s">
        <v>517</v>
      </c>
      <c r="B108" s="30" t="s">
        <v>11</v>
      </c>
      <c r="C108" s="30" t="s">
        <v>34</v>
      </c>
      <c r="D108" s="30" t="s">
        <v>35</v>
      </c>
      <c r="E108" s="30" t="s">
        <v>198</v>
      </c>
      <c r="F108" s="30">
        <v>1</v>
      </c>
      <c r="G108" s="44">
        <v>1870</v>
      </c>
      <c r="H108" s="30"/>
      <c r="I108" s="44"/>
      <c r="J108" s="44"/>
      <c r="K108" s="44">
        <f t="shared" si="3"/>
        <v>1870</v>
      </c>
      <c r="L108" s="51">
        <v>20210706</v>
      </c>
    </row>
    <row r="109" spans="1:12" x14ac:dyDescent="0.25">
      <c r="A109" s="50" t="s">
        <v>507</v>
      </c>
      <c r="B109" s="30" t="s">
        <v>11</v>
      </c>
      <c r="C109" s="30" t="s">
        <v>94</v>
      </c>
      <c r="D109" s="30" t="s">
        <v>95</v>
      </c>
      <c r="E109" s="30" t="s">
        <v>260</v>
      </c>
      <c r="F109" s="30">
        <v>1</v>
      </c>
      <c r="G109" s="44">
        <v>1870</v>
      </c>
      <c r="H109" s="30"/>
      <c r="I109" s="44"/>
      <c r="J109" s="44"/>
      <c r="K109" s="44">
        <f t="shared" si="3"/>
        <v>1870</v>
      </c>
      <c r="L109" s="51">
        <v>20210707</v>
      </c>
    </row>
    <row r="110" spans="1:12" x14ac:dyDescent="0.25">
      <c r="A110" s="50" t="s">
        <v>503</v>
      </c>
      <c r="B110" s="30" t="s">
        <v>11</v>
      </c>
      <c r="C110" s="30" t="s">
        <v>337</v>
      </c>
      <c r="D110" s="30" t="s">
        <v>162</v>
      </c>
      <c r="E110" s="30" t="s">
        <v>235</v>
      </c>
      <c r="F110" s="30">
        <v>1</v>
      </c>
      <c r="G110" s="44">
        <v>1870</v>
      </c>
      <c r="H110" s="30"/>
      <c r="I110" s="44"/>
      <c r="J110" s="44"/>
      <c r="K110" s="44">
        <f t="shared" si="3"/>
        <v>1870</v>
      </c>
      <c r="L110" s="51">
        <v>20210712</v>
      </c>
    </row>
    <row r="111" spans="1:12" x14ac:dyDescent="0.25">
      <c r="A111" s="50" t="s">
        <v>499</v>
      </c>
      <c r="B111" s="30" t="s">
        <v>11</v>
      </c>
      <c r="C111" s="30" t="s">
        <v>26</v>
      </c>
      <c r="D111" s="30" t="s">
        <v>224</v>
      </c>
      <c r="E111" s="30" t="s">
        <v>316</v>
      </c>
      <c r="F111" s="30">
        <v>1</v>
      </c>
      <c r="G111" s="44">
        <v>1870</v>
      </c>
      <c r="H111" s="30">
        <v>50</v>
      </c>
      <c r="I111" s="44">
        <v>25</v>
      </c>
      <c r="J111" s="44">
        <f>I111*H111</f>
        <v>1250</v>
      </c>
      <c r="K111" s="44">
        <f t="shared" si="3"/>
        <v>3120</v>
      </c>
      <c r="L111" s="51">
        <v>20210712</v>
      </c>
    </row>
    <row r="112" spans="1:12" x14ac:dyDescent="0.25">
      <c r="A112" s="50" t="s">
        <v>489</v>
      </c>
      <c r="B112" s="30" t="s">
        <v>11</v>
      </c>
      <c r="C112" s="30" t="s">
        <v>134</v>
      </c>
      <c r="D112" s="30" t="s">
        <v>135</v>
      </c>
      <c r="E112" s="30" t="s">
        <v>190</v>
      </c>
      <c r="F112" s="30">
        <v>1</v>
      </c>
      <c r="G112" s="44">
        <v>1870</v>
      </c>
      <c r="H112" s="30">
        <v>25</v>
      </c>
      <c r="I112" s="44">
        <v>25</v>
      </c>
      <c r="J112" s="44">
        <f>I112*H112</f>
        <v>625</v>
      </c>
      <c r="K112" s="44">
        <f t="shared" si="3"/>
        <v>2495</v>
      </c>
      <c r="L112" s="51">
        <v>20210713</v>
      </c>
    </row>
    <row r="113" spans="1:12" x14ac:dyDescent="0.25">
      <c r="A113" s="50" t="s">
        <v>488</v>
      </c>
      <c r="B113" s="30" t="s">
        <v>11</v>
      </c>
      <c r="C113" s="30" t="s">
        <v>251</v>
      </c>
      <c r="D113" s="30" t="s">
        <v>252</v>
      </c>
      <c r="E113" s="30" t="s">
        <v>253</v>
      </c>
      <c r="F113" s="30">
        <v>1</v>
      </c>
      <c r="G113" s="44">
        <v>1870</v>
      </c>
      <c r="H113" s="30"/>
      <c r="I113" s="44"/>
      <c r="J113" s="44"/>
      <c r="K113" s="44">
        <f t="shared" si="3"/>
        <v>1870</v>
      </c>
      <c r="L113" s="51">
        <v>20210714</v>
      </c>
    </row>
    <row r="114" spans="1:12" x14ac:dyDescent="0.25">
      <c r="A114" s="50" t="s">
        <v>496</v>
      </c>
      <c r="B114" s="30" t="s">
        <v>11</v>
      </c>
      <c r="C114" s="30" t="s">
        <v>26</v>
      </c>
      <c r="D114" s="30" t="s">
        <v>497</v>
      </c>
      <c r="E114" s="30" t="s">
        <v>498</v>
      </c>
      <c r="F114" s="30">
        <v>1</v>
      </c>
      <c r="G114" s="44">
        <v>1870</v>
      </c>
      <c r="H114" s="30">
        <v>140</v>
      </c>
      <c r="I114" s="44">
        <v>25</v>
      </c>
      <c r="J114" s="44">
        <f>I114*H114</f>
        <v>3500</v>
      </c>
      <c r="K114" s="44">
        <f t="shared" si="3"/>
        <v>5370</v>
      </c>
      <c r="L114" s="51">
        <v>20210714</v>
      </c>
    </row>
    <row r="115" spans="1:12" x14ac:dyDescent="0.25">
      <c r="A115" s="50" t="s">
        <v>490</v>
      </c>
      <c r="B115" s="30" t="s">
        <v>11</v>
      </c>
      <c r="C115" s="30" t="s">
        <v>134</v>
      </c>
      <c r="D115" s="30" t="s">
        <v>354</v>
      </c>
      <c r="E115" s="30" t="s">
        <v>355</v>
      </c>
      <c r="F115" s="30">
        <v>1</v>
      </c>
      <c r="G115" s="44">
        <v>1870</v>
      </c>
      <c r="H115" s="30"/>
      <c r="I115" s="44"/>
      <c r="J115" s="44"/>
      <c r="K115" s="44">
        <f t="shared" si="3"/>
        <v>1870</v>
      </c>
      <c r="L115" s="51">
        <v>20210714</v>
      </c>
    </row>
    <row r="116" spans="1:12" x14ac:dyDescent="0.25">
      <c r="A116" s="50" t="s">
        <v>493</v>
      </c>
      <c r="B116" s="30" t="s">
        <v>11</v>
      </c>
      <c r="C116" s="30" t="s">
        <v>270</v>
      </c>
      <c r="D116" s="30" t="s">
        <v>494</v>
      </c>
      <c r="E116" s="30" t="s">
        <v>495</v>
      </c>
      <c r="F116" s="30">
        <v>1</v>
      </c>
      <c r="G116" s="44">
        <v>1870</v>
      </c>
      <c r="H116" s="30">
        <v>120</v>
      </c>
      <c r="I116" s="44">
        <v>25</v>
      </c>
      <c r="J116" s="44">
        <f>I116*H116</f>
        <v>3000</v>
      </c>
      <c r="K116" s="44">
        <f t="shared" si="3"/>
        <v>4870</v>
      </c>
      <c r="L116" s="51">
        <v>20210715</v>
      </c>
    </row>
    <row r="117" spans="1:12" x14ac:dyDescent="0.25">
      <c r="A117" s="50" t="s">
        <v>486</v>
      </c>
      <c r="B117" s="30" t="s">
        <v>11</v>
      </c>
      <c r="C117" s="30" t="s">
        <v>76</v>
      </c>
      <c r="D117" s="30" t="s">
        <v>24</v>
      </c>
      <c r="E117" s="30" t="s">
        <v>83</v>
      </c>
      <c r="F117" s="30">
        <v>1</v>
      </c>
      <c r="G117" s="44">
        <v>1870</v>
      </c>
      <c r="H117" s="30"/>
      <c r="I117" s="44"/>
      <c r="J117" s="44"/>
      <c r="K117" s="44">
        <f t="shared" si="3"/>
        <v>1870</v>
      </c>
      <c r="L117" s="51">
        <v>20210715</v>
      </c>
    </row>
    <row r="118" spans="1:12" x14ac:dyDescent="0.25">
      <c r="A118" s="50" t="s">
        <v>484</v>
      </c>
      <c r="B118" s="30" t="s">
        <v>11</v>
      </c>
      <c r="C118" s="30" t="s">
        <v>94</v>
      </c>
      <c r="D118" s="30" t="s">
        <v>95</v>
      </c>
      <c r="E118" s="30" t="s">
        <v>485</v>
      </c>
      <c r="F118" s="30">
        <v>1</v>
      </c>
      <c r="G118" s="44">
        <v>1870</v>
      </c>
      <c r="H118" s="30"/>
      <c r="I118" s="44"/>
      <c r="J118" s="44"/>
      <c r="K118" s="44">
        <f t="shared" si="3"/>
        <v>1870</v>
      </c>
      <c r="L118" s="51">
        <v>20210715</v>
      </c>
    </row>
    <row r="119" spans="1:12" x14ac:dyDescent="0.25">
      <c r="A119" s="50" t="s">
        <v>483</v>
      </c>
      <c r="B119" s="30" t="s">
        <v>11</v>
      </c>
      <c r="C119" s="30" t="s">
        <v>94</v>
      </c>
      <c r="D119" s="30" t="s">
        <v>95</v>
      </c>
      <c r="E119" s="30" t="s">
        <v>112</v>
      </c>
      <c r="F119" s="30">
        <v>1</v>
      </c>
      <c r="G119" s="44">
        <v>1870</v>
      </c>
      <c r="H119" s="30"/>
      <c r="I119" s="44"/>
      <c r="J119" s="44"/>
      <c r="K119" s="44">
        <f t="shared" si="3"/>
        <v>1870</v>
      </c>
      <c r="L119" s="51">
        <v>20210715</v>
      </c>
    </row>
    <row r="120" spans="1:12" x14ac:dyDescent="0.25">
      <c r="A120" s="50" t="s">
        <v>502</v>
      </c>
      <c r="B120" s="30" t="s">
        <v>11</v>
      </c>
      <c r="C120" s="30" t="s">
        <v>94</v>
      </c>
      <c r="D120" s="30" t="s">
        <v>95</v>
      </c>
      <c r="E120" s="30" t="s">
        <v>467</v>
      </c>
      <c r="F120" s="30">
        <v>1</v>
      </c>
      <c r="G120" s="44">
        <v>1870</v>
      </c>
      <c r="H120" s="30"/>
      <c r="I120" s="44"/>
      <c r="J120" s="44"/>
      <c r="K120" s="44">
        <f t="shared" si="3"/>
        <v>1870</v>
      </c>
      <c r="L120" s="51">
        <v>20210715</v>
      </c>
    </row>
    <row r="121" spans="1:12" x14ac:dyDescent="0.25">
      <c r="A121" s="50" t="s">
        <v>472</v>
      </c>
      <c r="B121" s="30" t="s">
        <v>11</v>
      </c>
      <c r="C121" s="30" t="s">
        <v>337</v>
      </c>
      <c r="D121" s="30" t="s">
        <v>35</v>
      </c>
      <c r="E121" s="30" t="s">
        <v>157</v>
      </c>
      <c r="F121" s="30">
        <v>1</v>
      </c>
      <c r="G121" s="44">
        <v>1870</v>
      </c>
      <c r="H121" s="30">
        <v>64</v>
      </c>
      <c r="I121" s="44">
        <v>25</v>
      </c>
      <c r="J121" s="44">
        <f>I121*H121</f>
        <v>1600</v>
      </c>
      <c r="K121" s="44">
        <f t="shared" si="3"/>
        <v>3470</v>
      </c>
      <c r="L121" s="51">
        <v>20210719</v>
      </c>
    </row>
    <row r="122" spans="1:12" x14ac:dyDescent="0.25">
      <c r="A122" s="50" t="s">
        <v>479</v>
      </c>
      <c r="B122" s="30" t="s">
        <v>11</v>
      </c>
      <c r="C122" s="30" t="s">
        <v>337</v>
      </c>
      <c r="D122" s="30" t="s">
        <v>162</v>
      </c>
      <c r="E122" s="30" t="s">
        <v>423</v>
      </c>
      <c r="F122" s="30">
        <v>1</v>
      </c>
      <c r="G122" s="44">
        <v>1870</v>
      </c>
      <c r="H122" s="30">
        <v>60</v>
      </c>
      <c r="I122" s="44">
        <v>25</v>
      </c>
      <c r="J122" s="44">
        <f>I122*H122</f>
        <v>1500</v>
      </c>
      <c r="K122" s="44">
        <f t="shared" si="3"/>
        <v>3370</v>
      </c>
      <c r="L122" s="51">
        <v>20210719</v>
      </c>
    </row>
    <row r="123" spans="1:12" x14ac:dyDescent="0.25">
      <c r="A123" s="50" t="s">
        <v>469</v>
      </c>
      <c r="B123" s="30" t="s">
        <v>11</v>
      </c>
      <c r="C123" s="30" t="s">
        <v>28</v>
      </c>
      <c r="D123" s="30" t="s">
        <v>470</v>
      </c>
      <c r="E123" s="30" t="s">
        <v>471</v>
      </c>
      <c r="F123" s="30">
        <v>1</v>
      </c>
      <c r="G123" s="44">
        <v>1870</v>
      </c>
      <c r="H123" s="30"/>
      <c r="I123" s="44"/>
      <c r="J123" s="44"/>
      <c r="K123" s="44">
        <f t="shared" si="3"/>
        <v>1870</v>
      </c>
      <c r="L123" s="51">
        <v>20210719</v>
      </c>
    </row>
    <row r="124" spans="1:12" x14ac:dyDescent="0.25">
      <c r="A124" s="50" t="s">
        <v>487</v>
      </c>
      <c r="B124" s="30" t="s">
        <v>11</v>
      </c>
      <c r="C124" s="30" t="s">
        <v>134</v>
      </c>
      <c r="D124" s="30" t="s">
        <v>135</v>
      </c>
      <c r="E124" s="30" t="s">
        <v>190</v>
      </c>
      <c r="F124" s="30">
        <v>1</v>
      </c>
      <c r="G124" s="44">
        <v>1870</v>
      </c>
      <c r="H124" s="30">
        <v>25</v>
      </c>
      <c r="I124" s="44">
        <v>25</v>
      </c>
      <c r="J124" s="44">
        <f>I124*H124</f>
        <v>625</v>
      </c>
      <c r="K124" s="44">
        <f t="shared" si="3"/>
        <v>2495</v>
      </c>
      <c r="L124" s="51">
        <v>20210719</v>
      </c>
    </row>
    <row r="125" spans="1:12" x14ac:dyDescent="0.25">
      <c r="A125" s="50" t="s">
        <v>473</v>
      </c>
      <c r="B125" s="30" t="s">
        <v>11</v>
      </c>
      <c r="C125" s="30" t="s">
        <v>474</v>
      </c>
      <c r="D125" s="30" t="s">
        <v>475</v>
      </c>
      <c r="E125" s="30" t="s">
        <v>476</v>
      </c>
      <c r="F125" s="30">
        <v>1</v>
      </c>
      <c r="G125" s="44">
        <v>1870</v>
      </c>
      <c r="H125" s="30"/>
      <c r="I125" s="44"/>
      <c r="J125" s="44"/>
      <c r="K125" s="44">
        <f t="shared" si="3"/>
        <v>1870</v>
      </c>
      <c r="L125" s="51">
        <v>20210720</v>
      </c>
    </row>
    <row r="126" spans="1:12" x14ac:dyDescent="0.25">
      <c r="A126" s="50" t="s">
        <v>468</v>
      </c>
      <c r="B126" s="30" t="s">
        <v>11</v>
      </c>
      <c r="C126" s="30" t="s">
        <v>29</v>
      </c>
      <c r="D126" s="30" t="s">
        <v>24</v>
      </c>
      <c r="E126" s="30" t="s">
        <v>209</v>
      </c>
      <c r="F126" s="30">
        <v>1</v>
      </c>
      <c r="G126" s="44">
        <v>1870</v>
      </c>
      <c r="H126" s="30"/>
      <c r="I126" s="44"/>
      <c r="J126" s="44"/>
      <c r="K126" s="44">
        <f t="shared" si="3"/>
        <v>1870</v>
      </c>
      <c r="L126" s="51">
        <v>20210720</v>
      </c>
    </row>
    <row r="127" spans="1:12" x14ac:dyDescent="0.25">
      <c r="A127" s="50" t="s">
        <v>466</v>
      </c>
      <c r="B127" s="30" t="s">
        <v>11</v>
      </c>
      <c r="C127" s="30" t="s">
        <v>94</v>
      </c>
      <c r="D127" s="30" t="s">
        <v>95</v>
      </c>
      <c r="E127" s="30" t="s">
        <v>467</v>
      </c>
      <c r="F127" s="30">
        <v>1</v>
      </c>
      <c r="G127" s="44">
        <v>1870</v>
      </c>
      <c r="H127" s="30"/>
      <c r="I127" s="44"/>
      <c r="J127" s="44"/>
      <c r="K127" s="44">
        <f t="shared" si="3"/>
        <v>1870</v>
      </c>
      <c r="L127" s="51">
        <v>20210720</v>
      </c>
    </row>
    <row r="128" spans="1:12" x14ac:dyDescent="0.25">
      <c r="A128" s="50" t="s">
        <v>464</v>
      </c>
      <c r="B128" s="30" t="s">
        <v>11</v>
      </c>
      <c r="C128" s="30" t="s">
        <v>94</v>
      </c>
      <c r="D128" s="30" t="s">
        <v>95</v>
      </c>
      <c r="E128" s="30" t="s">
        <v>458</v>
      </c>
      <c r="F128" s="30">
        <v>1</v>
      </c>
      <c r="G128" s="44">
        <v>1870</v>
      </c>
      <c r="H128" s="30"/>
      <c r="I128" s="44"/>
      <c r="J128" s="44"/>
      <c r="K128" s="44">
        <f t="shared" si="3"/>
        <v>1870</v>
      </c>
      <c r="L128" s="51">
        <v>20210720</v>
      </c>
    </row>
    <row r="129" spans="1:12" x14ac:dyDescent="0.25">
      <c r="A129" s="50" t="s">
        <v>465</v>
      </c>
      <c r="B129" s="30" t="s">
        <v>11</v>
      </c>
      <c r="C129" s="30" t="s">
        <v>94</v>
      </c>
      <c r="D129" s="30" t="s">
        <v>95</v>
      </c>
      <c r="E129" s="30" t="s">
        <v>260</v>
      </c>
      <c r="F129" s="30">
        <v>1</v>
      </c>
      <c r="G129" s="44">
        <v>1870</v>
      </c>
      <c r="H129" s="30"/>
      <c r="I129" s="44"/>
      <c r="J129" s="44"/>
      <c r="K129" s="44">
        <f t="shared" si="3"/>
        <v>1870</v>
      </c>
      <c r="L129" s="51">
        <v>20210720</v>
      </c>
    </row>
    <row r="130" spans="1:12" x14ac:dyDescent="0.25">
      <c r="A130" s="50" t="s">
        <v>491</v>
      </c>
      <c r="B130" s="30" t="s">
        <v>11</v>
      </c>
      <c r="C130" s="30" t="s">
        <v>202</v>
      </c>
      <c r="D130" s="30" t="s">
        <v>203</v>
      </c>
      <c r="E130" s="30" t="s">
        <v>492</v>
      </c>
      <c r="F130" s="30">
        <v>1</v>
      </c>
      <c r="G130" s="44">
        <v>1870</v>
      </c>
      <c r="H130" s="30">
        <v>78</v>
      </c>
      <c r="I130" s="44">
        <v>25</v>
      </c>
      <c r="J130" s="44">
        <f>I130*H130</f>
        <v>1950</v>
      </c>
      <c r="K130" s="44">
        <f t="shared" si="3"/>
        <v>3820</v>
      </c>
      <c r="L130" s="51">
        <v>20210721</v>
      </c>
    </row>
    <row r="131" spans="1:12" x14ac:dyDescent="0.25">
      <c r="A131" s="50" t="s">
        <v>455</v>
      </c>
      <c r="B131" s="30" t="s">
        <v>11</v>
      </c>
      <c r="C131" s="30" t="s">
        <v>163</v>
      </c>
      <c r="D131" s="30" t="s">
        <v>164</v>
      </c>
      <c r="E131" s="30" t="s">
        <v>361</v>
      </c>
      <c r="F131" s="30">
        <v>1</v>
      </c>
      <c r="G131" s="44">
        <v>1870</v>
      </c>
      <c r="H131" s="30">
        <v>120</v>
      </c>
      <c r="I131" s="44">
        <v>25</v>
      </c>
      <c r="J131" s="44">
        <f>I131*H131</f>
        <v>3000</v>
      </c>
      <c r="K131" s="44">
        <f t="shared" si="3"/>
        <v>4870</v>
      </c>
      <c r="L131" s="51">
        <v>20210722</v>
      </c>
    </row>
    <row r="132" spans="1:12" x14ac:dyDescent="0.25">
      <c r="A132" s="50" t="s">
        <v>477</v>
      </c>
      <c r="B132" s="30" t="s">
        <v>11</v>
      </c>
      <c r="C132" s="30" t="s">
        <v>163</v>
      </c>
      <c r="D132" s="30" t="s">
        <v>164</v>
      </c>
      <c r="E132" s="30" t="s">
        <v>478</v>
      </c>
      <c r="F132" s="30">
        <v>1</v>
      </c>
      <c r="G132" s="44">
        <v>1870</v>
      </c>
      <c r="H132" s="30"/>
      <c r="I132" s="44"/>
      <c r="J132" s="44"/>
      <c r="K132" s="44">
        <f t="shared" si="3"/>
        <v>1870</v>
      </c>
      <c r="L132" s="51">
        <v>20210722</v>
      </c>
    </row>
    <row r="133" spans="1:12" x14ac:dyDescent="0.25">
      <c r="A133" s="50" t="s">
        <v>457</v>
      </c>
      <c r="B133" s="30" t="s">
        <v>11</v>
      </c>
      <c r="C133" s="30" t="s">
        <v>94</v>
      </c>
      <c r="D133" s="30" t="s">
        <v>95</v>
      </c>
      <c r="E133" s="30" t="s">
        <v>458</v>
      </c>
      <c r="F133" s="30">
        <v>1</v>
      </c>
      <c r="G133" s="44">
        <v>1870</v>
      </c>
      <c r="H133" s="30"/>
      <c r="I133" s="44"/>
      <c r="J133" s="44"/>
      <c r="K133" s="44">
        <f t="shared" si="3"/>
        <v>1870</v>
      </c>
      <c r="L133" s="51">
        <v>20210722</v>
      </c>
    </row>
    <row r="134" spans="1:12" x14ac:dyDescent="0.25">
      <c r="A134" s="50" t="s">
        <v>459</v>
      </c>
      <c r="B134" s="30" t="s">
        <v>11</v>
      </c>
      <c r="C134" s="30" t="s">
        <v>94</v>
      </c>
      <c r="D134" s="30" t="s">
        <v>95</v>
      </c>
      <c r="E134" s="30" t="s">
        <v>260</v>
      </c>
      <c r="F134" s="30">
        <v>1</v>
      </c>
      <c r="G134" s="44">
        <v>1870</v>
      </c>
      <c r="H134" s="30"/>
      <c r="I134" s="44"/>
      <c r="J134" s="44"/>
      <c r="K134" s="44">
        <f t="shared" si="3"/>
        <v>1870</v>
      </c>
      <c r="L134" s="51">
        <v>20210722</v>
      </c>
    </row>
    <row r="135" spans="1:12" x14ac:dyDescent="0.25">
      <c r="A135" s="50" t="s">
        <v>461</v>
      </c>
      <c r="B135" s="30" t="s">
        <v>11</v>
      </c>
      <c r="C135" s="30" t="s">
        <v>28</v>
      </c>
      <c r="D135" s="30" t="s">
        <v>462</v>
      </c>
      <c r="E135" s="30" t="s">
        <v>463</v>
      </c>
      <c r="F135" s="30">
        <v>1</v>
      </c>
      <c r="G135" s="44">
        <v>1870</v>
      </c>
      <c r="H135" s="30">
        <v>38</v>
      </c>
      <c r="I135" s="44">
        <v>25</v>
      </c>
      <c r="J135" s="44">
        <f>I135*H135</f>
        <v>950</v>
      </c>
      <c r="K135" s="44">
        <f t="shared" si="3"/>
        <v>2820</v>
      </c>
      <c r="L135" s="51">
        <v>20210723</v>
      </c>
    </row>
    <row r="136" spans="1:12" x14ac:dyDescent="0.25">
      <c r="A136" s="50" t="s">
        <v>501</v>
      </c>
      <c r="B136" s="30" t="s">
        <v>11</v>
      </c>
      <c r="C136" s="30" t="s">
        <v>94</v>
      </c>
      <c r="D136" s="30" t="s">
        <v>95</v>
      </c>
      <c r="E136" s="30" t="s">
        <v>96</v>
      </c>
      <c r="F136" s="30">
        <v>1</v>
      </c>
      <c r="G136" s="44">
        <v>1870</v>
      </c>
      <c r="H136" s="30"/>
      <c r="I136" s="44"/>
      <c r="J136" s="44"/>
      <c r="K136" s="44">
        <f t="shared" si="3"/>
        <v>1870</v>
      </c>
      <c r="L136" s="51">
        <v>20210723</v>
      </c>
    </row>
    <row r="137" spans="1:12" x14ac:dyDescent="0.25">
      <c r="A137" s="50" t="s">
        <v>456</v>
      </c>
      <c r="B137" s="30" t="s">
        <v>11</v>
      </c>
      <c r="C137" s="30" t="s">
        <v>94</v>
      </c>
      <c r="D137" s="30" t="s">
        <v>95</v>
      </c>
      <c r="E137" s="30" t="s">
        <v>112</v>
      </c>
      <c r="F137" s="30">
        <v>1</v>
      </c>
      <c r="G137" s="44">
        <v>1870</v>
      </c>
      <c r="H137" s="30"/>
      <c r="I137" s="44"/>
      <c r="J137" s="44"/>
      <c r="K137" s="44">
        <f t="shared" si="3"/>
        <v>1870</v>
      </c>
      <c r="L137" s="51">
        <v>20210723</v>
      </c>
    </row>
    <row r="138" spans="1:12" x14ac:dyDescent="0.25">
      <c r="A138" s="50" t="s">
        <v>435</v>
      </c>
      <c r="B138" s="30" t="s">
        <v>27</v>
      </c>
      <c r="C138" s="30" t="s">
        <v>94</v>
      </c>
      <c r="D138" s="30" t="s">
        <v>95</v>
      </c>
      <c r="E138" s="30" t="s">
        <v>436</v>
      </c>
      <c r="F138" s="30">
        <v>1</v>
      </c>
      <c r="G138" s="44">
        <v>1870</v>
      </c>
      <c r="H138" s="30"/>
      <c r="I138" s="44"/>
      <c r="J138" s="44"/>
      <c r="K138" s="44">
        <f t="shared" si="3"/>
        <v>1870</v>
      </c>
      <c r="L138" s="51">
        <v>20210723</v>
      </c>
    </row>
    <row r="139" spans="1:12" x14ac:dyDescent="0.25">
      <c r="A139" s="50" t="s">
        <v>437</v>
      </c>
      <c r="B139" s="30" t="s">
        <v>11</v>
      </c>
      <c r="C139" s="30" t="s">
        <v>28</v>
      </c>
      <c r="D139" s="30" t="s">
        <v>49</v>
      </c>
      <c r="E139" s="30" t="s">
        <v>50</v>
      </c>
      <c r="F139" s="30">
        <v>1</v>
      </c>
      <c r="G139" s="44">
        <v>1870</v>
      </c>
      <c r="H139" s="30">
        <v>25</v>
      </c>
      <c r="I139" s="44">
        <v>25</v>
      </c>
      <c r="J139" s="44">
        <f>I139*H139</f>
        <v>625</v>
      </c>
      <c r="K139" s="44">
        <f t="shared" si="3"/>
        <v>2495</v>
      </c>
      <c r="L139" s="51">
        <v>20210726</v>
      </c>
    </row>
    <row r="140" spans="1:12" x14ac:dyDescent="0.25">
      <c r="A140" s="50" t="s">
        <v>438</v>
      </c>
      <c r="B140" s="30" t="s">
        <v>11</v>
      </c>
      <c r="C140" s="30" t="s">
        <v>364</v>
      </c>
      <c r="D140" s="30" t="s">
        <v>24</v>
      </c>
      <c r="E140" s="30" t="s">
        <v>394</v>
      </c>
      <c r="F140" s="30">
        <v>1</v>
      </c>
      <c r="G140" s="44">
        <v>1870</v>
      </c>
      <c r="H140" s="30"/>
      <c r="I140" s="44"/>
      <c r="J140" s="44"/>
      <c r="K140" s="44">
        <f t="shared" si="3"/>
        <v>1870</v>
      </c>
      <c r="L140" s="51">
        <v>20210726</v>
      </c>
    </row>
    <row r="141" spans="1:12" x14ac:dyDescent="0.25">
      <c r="A141" s="50" t="s">
        <v>427</v>
      </c>
      <c r="B141" s="30" t="s">
        <v>11</v>
      </c>
      <c r="C141" s="30" t="s">
        <v>26</v>
      </c>
      <c r="D141" s="30" t="s">
        <v>145</v>
      </c>
      <c r="E141" s="30" t="s">
        <v>146</v>
      </c>
      <c r="F141" s="30">
        <v>1</v>
      </c>
      <c r="G141" s="44">
        <v>1870</v>
      </c>
      <c r="H141" s="30">
        <v>64</v>
      </c>
      <c r="I141" s="44">
        <v>25</v>
      </c>
      <c r="J141" s="44">
        <f>I141*H141</f>
        <v>1600</v>
      </c>
      <c r="K141" s="44">
        <f t="shared" si="3"/>
        <v>3470</v>
      </c>
      <c r="L141" s="51">
        <v>20210729</v>
      </c>
    </row>
    <row r="142" spans="1:12" x14ac:dyDescent="0.25">
      <c r="A142" s="50" t="s">
        <v>460</v>
      </c>
      <c r="B142" s="30" t="s">
        <v>27</v>
      </c>
      <c r="C142" s="30" t="s">
        <v>29</v>
      </c>
      <c r="D142" s="30" t="s">
        <v>24</v>
      </c>
      <c r="E142" s="30" t="s">
        <v>322</v>
      </c>
      <c r="F142" s="30">
        <v>1</v>
      </c>
      <c r="G142" s="44">
        <v>1870</v>
      </c>
      <c r="H142" s="30"/>
      <c r="I142" s="44"/>
      <c r="J142" s="44"/>
      <c r="K142" s="44">
        <f t="shared" si="3"/>
        <v>1870</v>
      </c>
      <c r="L142" s="51">
        <v>20210729</v>
      </c>
    </row>
    <row r="143" spans="1:12" x14ac:dyDescent="0.25">
      <c r="A143" s="50" t="s">
        <v>422</v>
      </c>
      <c r="B143" s="30" t="s">
        <v>11</v>
      </c>
      <c r="C143" s="30" t="s">
        <v>337</v>
      </c>
      <c r="D143" s="30" t="s">
        <v>162</v>
      </c>
      <c r="E143" s="30" t="s">
        <v>423</v>
      </c>
      <c r="F143" s="30">
        <v>1</v>
      </c>
      <c r="G143" s="44">
        <v>1870</v>
      </c>
      <c r="H143" s="30">
        <v>60</v>
      </c>
      <c r="I143" s="44">
        <v>25</v>
      </c>
      <c r="J143" s="44">
        <f>I143*H143</f>
        <v>1500</v>
      </c>
      <c r="K143" s="44">
        <f t="shared" si="3"/>
        <v>3370</v>
      </c>
      <c r="L143" s="51">
        <v>20210730</v>
      </c>
    </row>
    <row r="144" spans="1:12" x14ac:dyDescent="0.25">
      <c r="A144" s="50" t="s">
        <v>425</v>
      </c>
      <c r="B144" s="30" t="s">
        <v>11</v>
      </c>
      <c r="C144" s="30" t="s">
        <v>337</v>
      </c>
      <c r="D144" s="30" t="s">
        <v>162</v>
      </c>
      <c r="E144" s="30" t="s">
        <v>426</v>
      </c>
      <c r="F144" s="30">
        <v>1</v>
      </c>
      <c r="G144" s="44">
        <v>1870</v>
      </c>
      <c r="H144" s="30"/>
      <c r="I144" s="44"/>
      <c r="J144" s="44"/>
      <c r="K144" s="44">
        <f t="shared" si="3"/>
        <v>1870</v>
      </c>
      <c r="L144" s="51">
        <v>20210730</v>
      </c>
    </row>
    <row r="145" spans="1:12" x14ac:dyDescent="0.25">
      <c r="A145" s="50" t="s">
        <v>424</v>
      </c>
      <c r="B145" s="30" t="s">
        <v>11</v>
      </c>
      <c r="C145" s="30" t="s">
        <v>337</v>
      </c>
      <c r="D145" s="30" t="s">
        <v>162</v>
      </c>
      <c r="E145" s="30" t="s">
        <v>235</v>
      </c>
      <c r="F145" s="30">
        <v>1</v>
      </c>
      <c r="G145" s="44">
        <v>1870</v>
      </c>
      <c r="H145" s="30"/>
      <c r="I145" s="44"/>
      <c r="J145" s="44"/>
      <c r="K145" s="44">
        <f t="shared" si="3"/>
        <v>1870</v>
      </c>
      <c r="L145" s="51">
        <v>20210730</v>
      </c>
    </row>
    <row r="146" spans="1:12" ht="15.75" thickBot="1" x14ac:dyDescent="0.3">
      <c r="A146" s="54" t="s">
        <v>480</v>
      </c>
      <c r="B146" s="36" t="s">
        <v>27</v>
      </c>
      <c r="C146" s="36" t="s">
        <v>481</v>
      </c>
      <c r="D146" s="36" t="s">
        <v>24</v>
      </c>
      <c r="E146" s="36" t="s">
        <v>482</v>
      </c>
      <c r="F146" s="36">
        <v>1</v>
      </c>
      <c r="G146" s="65">
        <v>1870</v>
      </c>
      <c r="H146" s="36"/>
      <c r="I146" s="65"/>
      <c r="J146" s="65"/>
      <c r="K146" s="65">
        <f t="shared" si="3"/>
        <v>1870</v>
      </c>
      <c r="L146" s="55">
        <v>20210730</v>
      </c>
    </row>
    <row r="147" spans="1:12" x14ac:dyDescent="0.25">
      <c r="A147" s="73"/>
      <c r="B147" s="74"/>
      <c r="C147" s="74"/>
      <c r="D147" s="74"/>
      <c r="E147" s="74"/>
      <c r="F147" s="74"/>
      <c r="G147" s="75"/>
      <c r="H147" s="74"/>
      <c r="I147" s="75"/>
      <c r="J147" s="75"/>
      <c r="K147" s="75"/>
      <c r="L147" s="76"/>
    </row>
    <row r="148" spans="1:12" ht="15.75" thickBot="1" x14ac:dyDescent="0.3">
      <c r="A148" s="69"/>
      <c r="B148" s="70"/>
      <c r="C148" s="70"/>
      <c r="D148" s="70"/>
      <c r="E148" s="70"/>
      <c r="F148" s="70"/>
      <c r="G148" s="71"/>
      <c r="H148" s="70"/>
      <c r="I148" s="71"/>
      <c r="J148" s="71"/>
      <c r="K148" s="71"/>
      <c r="L148" s="72"/>
    </row>
    <row r="149" spans="1:12" x14ac:dyDescent="0.25">
      <c r="A149" s="48" t="s">
        <v>420</v>
      </c>
      <c r="B149" s="34" t="s">
        <v>137</v>
      </c>
      <c r="C149" s="34" t="s">
        <v>26</v>
      </c>
      <c r="D149" s="34" t="s">
        <v>418</v>
      </c>
      <c r="E149" s="34" t="s">
        <v>421</v>
      </c>
      <c r="F149" s="34">
        <v>1</v>
      </c>
      <c r="G149" s="64">
        <v>935</v>
      </c>
      <c r="H149" s="34"/>
      <c r="I149" s="64"/>
      <c r="J149" s="64"/>
      <c r="K149" s="64">
        <f t="shared" ref="K149:K166" si="4">J149+G149</f>
        <v>935</v>
      </c>
      <c r="L149" s="49">
        <v>20210701</v>
      </c>
    </row>
    <row r="150" spans="1:12" x14ac:dyDescent="0.25">
      <c r="A150" s="50" t="s">
        <v>417</v>
      </c>
      <c r="B150" s="30" t="s">
        <v>137</v>
      </c>
      <c r="C150" s="30" t="s">
        <v>26</v>
      </c>
      <c r="D150" s="30" t="s">
        <v>418</v>
      </c>
      <c r="E150" s="30" t="s">
        <v>419</v>
      </c>
      <c r="F150" s="30">
        <v>1</v>
      </c>
      <c r="G150" s="44">
        <v>935</v>
      </c>
      <c r="H150" s="30"/>
      <c r="I150" s="44"/>
      <c r="J150" s="44"/>
      <c r="K150" s="44">
        <f t="shared" si="4"/>
        <v>935</v>
      </c>
      <c r="L150" s="51">
        <v>20210701</v>
      </c>
    </row>
    <row r="151" spans="1:12" x14ac:dyDescent="0.25">
      <c r="A151" s="50" t="s">
        <v>453</v>
      </c>
      <c r="B151" s="30" t="s">
        <v>137</v>
      </c>
      <c r="C151" s="30" t="s">
        <v>163</v>
      </c>
      <c r="D151" s="30" t="s">
        <v>164</v>
      </c>
      <c r="E151" s="30" t="s">
        <v>454</v>
      </c>
      <c r="F151" s="30">
        <v>1</v>
      </c>
      <c r="G151" s="44">
        <v>935</v>
      </c>
      <c r="H151" s="30"/>
      <c r="I151" s="44"/>
      <c r="J151" s="44"/>
      <c r="K151" s="44">
        <f t="shared" si="4"/>
        <v>935</v>
      </c>
      <c r="L151" s="51">
        <v>20210722</v>
      </c>
    </row>
    <row r="152" spans="1:12" x14ac:dyDescent="0.25">
      <c r="A152" s="50" t="s">
        <v>451</v>
      </c>
      <c r="B152" s="30" t="s">
        <v>137</v>
      </c>
      <c r="C152" s="30" t="s">
        <v>163</v>
      </c>
      <c r="D152" s="30" t="s">
        <v>164</v>
      </c>
      <c r="E152" s="30" t="s">
        <v>452</v>
      </c>
      <c r="F152" s="30">
        <v>1</v>
      </c>
      <c r="G152" s="44">
        <v>935</v>
      </c>
      <c r="H152" s="30"/>
      <c r="I152" s="44"/>
      <c r="J152" s="44"/>
      <c r="K152" s="44">
        <f t="shared" si="4"/>
        <v>935</v>
      </c>
      <c r="L152" s="51">
        <v>20210722</v>
      </c>
    </row>
    <row r="153" spans="1:12" x14ac:dyDescent="0.25">
      <c r="A153" s="50" t="s">
        <v>450</v>
      </c>
      <c r="B153" s="30" t="s">
        <v>137</v>
      </c>
      <c r="C153" s="30" t="s">
        <v>163</v>
      </c>
      <c r="D153" s="30" t="s">
        <v>164</v>
      </c>
      <c r="E153" s="30" t="s">
        <v>185</v>
      </c>
      <c r="F153" s="30">
        <v>1</v>
      </c>
      <c r="G153" s="44">
        <v>935</v>
      </c>
      <c r="H153" s="30"/>
      <c r="I153" s="44"/>
      <c r="J153" s="44"/>
      <c r="K153" s="44">
        <f t="shared" si="4"/>
        <v>935</v>
      </c>
      <c r="L153" s="51">
        <v>20210722</v>
      </c>
    </row>
    <row r="154" spans="1:12" x14ac:dyDescent="0.25">
      <c r="A154" s="50" t="s">
        <v>442</v>
      </c>
      <c r="B154" s="30" t="s">
        <v>137</v>
      </c>
      <c r="C154" s="30" t="s">
        <v>163</v>
      </c>
      <c r="D154" s="30" t="s">
        <v>164</v>
      </c>
      <c r="E154" s="30" t="s">
        <v>244</v>
      </c>
      <c r="F154" s="30">
        <v>1</v>
      </c>
      <c r="G154" s="44">
        <v>935</v>
      </c>
      <c r="H154" s="30"/>
      <c r="I154" s="44"/>
      <c r="J154" s="44"/>
      <c r="K154" s="44">
        <f t="shared" si="4"/>
        <v>935</v>
      </c>
      <c r="L154" s="51">
        <v>20210722</v>
      </c>
    </row>
    <row r="155" spans="1:12" x14ac:dyDescent="0.25">
      <c r="A155" s="50" t="s">
        <v>449</v>
      </c>
      <c r="B155" s="30" t="s">
        <v>137</v>
      </c>
      <c r="C155" s="30" t="s">
        <v>163</v>
      </c>
      <c r="D155" s="30" t="s">
        <v>164</v>
      </c>
      <c r="E155" s="30" t="s">
        <v>166</v>
      </c>
      <c r="F155" s="30">
        <v>1</v>
      </c>
      <c r="G155" s="44">
        <v>935</v>
      </c>
      <c r="H155" s="30"/>
      <c r="I155" s="44"/>
      <c r="J155" s="44"/>
      <c r="K155" s="44">
        <f t="shared" si="4"/>
        <v>935</v>
      </c>
      <c r="L155" s="51">
        <v>20210722</v>
      </c>
    </row>
    <row r="156" spans="1:12" x14ac:dyDescent="0.25">
      <c r="A156" s="50" t="s">
        <v>447</v>
      </c>
      <c r="B156" s="30" t="s">
        <v>137</v>
      </c>
      <c r="C156" s="30" t="s">
        <v>163</v>
      </c>
      <c r="D156" s="30" t="s">
        <v>164</v>
      </c>
      <c r="E156" s="30" t="s">
        <v>448</v>
      </c>
      <c r="F156" s="30">
        <v>1</v>
      </c>
      <c r="G156" s="44">
        <v>935</v>
      </c>
      <c r="H156" s="30"/>
      <c r="I156" s="44"/>
      <c r="J156" s="44"/>
      <c r="K156" s="44">
        <f t="shared" si="4"/>
        <v>935</v>
      </c>
      <c r="L156" s="51">
        <v>20210722</v>
      </c>
    </row>
    <row r="157" spans="1:12" x14ac:dyDescent="0.25">
      <c r="A157" s="50" t="s">
        <v>446</v>
      </c>
      <c r="B157" s="30" t="s">
        <v>137</v>
      </c>
      <c r="C157" s="30" t="s">
        <v>163</v>
      </c>
      <c r="D157" s="30" t="s">
        <v>164</v>
      </c>
      <c r="E157" s="30" t="s">
        <v>207</v>
      </c>
      <c r="F157" s="30">
        <v>1</v>
      </c>
      <c r="G157" s="44">
        <v>935</v>
      </c>
      <c r="H157" s="30"/>
      <c r="I157" s="44"/>
      <c r="J157" s="44"/>
      <c r="K157" s="44">
        <f t="shared" si="4"/>
        <v>935</v>
      </c>
      <c r="L157" s="51">
        <v>20210722</v>
      </c>
    </row>
    <row r="158" spans="1:12" x14ac:dyDescent="0.25">
      <c r="A158" s="50" t="s">
        <v>445</v>
      </c>
      <c r="B158" s="30" t="s">
        <v>137</v>
      </c>
      <c r="C158" s="30" t="s">
        <v>163</v>
      </c>
      <c r="D158" s="30" t="s">
        <v>164</v>
      </c>
      <c r="E158" s="30" t="s">
        <v>212</v>
      </c>
      <c r="F158" s="30">
        <v>1</v>
      </c>
      <c r="G158" s="44">
        <v>935</v>
      </c>
      <c r="H158" s="30"/>
      <c r="I158" s="44"/>
      <c r="J158" s="44"/>
      <c r="K158" s="44">
        <f t="shared" si="4"/>
        <v>935</v>
      </c>
      <c r="L158" s="51">
        <v>20210722</v>
      </c>
    </row>
    <row r="159" spans="1:12" x14ac:dyDescent="0.25">
      <c r="A159" s="50" t="s">
        <v>443</v>
      </c>
      <c r="B159" s="30" t="s">
        <v>137</v>
      </c>
      <c r="C159" s="30" t="s">
        <v>163</v>
      </c>
      <c r="D159" s="30" t="s">
        <v>164</v>
      </c>
      <c r="E159" s="30" t="s">
        <v>444</v>
      </c>
      <c r="F159" s="30">
        <v>1</v>
      </c>
      <c r="G159" s="44">
        <v>935</v>
      </c>
      <c r="H159" s="30"/>
      <c r="I159" s="44"/>
      <c r="J159" s="44"/>
      <c r="K159" s="44">
        <f t="shared" si="4"/>
        <v>935</v>
      </c>
      <c r="L159" s="51">
        <v>20210722</v>
      </c>
    </row>
    <row r="160" spans="1:12" x14ac:dyDescent="0.25">
      <c r="A160" s="50" t="s">
        <v>441</v>
      </c>
      <c r="B160" s="30" t="s">
        <v>137</v>
      </c>
      <c r="C160" s="30" t="s">
        <v>163</v>
      </c>
      <c r="D160" s="30" t="s">
        <v>164</v>
      </c>
      <c r="E160" s="30" t="s">
        <v>221</v>
      </c>
      <c r="F160" s="30">
        <v>1</v>
      </c>
      <c r="G160" s="44">
        <v>935</v>
      </c>
      <c r="H160" s="30"/>
      <c r="I160" s="44"/>
      <c r="J160" s="44"/>
      <c r="K160" s="44">
        <f t="shared" si="4"/>
        <v>935</v>
      </c>
      <c r="L160" s="51">
        <v>20210722</v>
      </c>
    </row>
    <row r="161" spans="1:12" x14ac:dyDescent="0.25">
      <c r="A161" s="50" t="s">
        <v>440</v>
      </c>
      <c r="B161" s="30" t="s">
        <v>137</v>
      </c>
      <c r="C161" s="30" t="s">
        <v>163</v>
      </c>
      <c r="D161" s="30" t="s">
        <v>164</v>
      </c>
      <c r="E161" s="30" t="s">
        <v>305</v>
      </c>
      <c r="F161" s="30">
        <v>1</v>
      </c>
      <c r="G161" s="44">
        <v>935</v>
      </c>
      <c r="H161" s="30"/>
      <c r="I161" s="44"/>
      <c r="J161" s="44"/>
      <c r="K161" s="44">
        <f t="shared" si="4"/>
        <v>935</v>
      </c>
      <c r="L161" s="51">
        <v>20210722</v>
      </c>
    </row>
    <row r="162" spans="1:12" x14ac:dyDescent="0.25">
      <c r="A162" s="50" t="s">
        <v>439</v>
      </c>
      <c r="B162" s="30" t="s">
        <v>137</v>
      </c>
      <c r="C162" s="30" t="s">
        <v>163</v>
      </c>
      <c r="D162" s="30" t="s">
        <v>164</v>
      </c>
      <c r="E162" s="30" t="s">
        <v>187</v>
      </c>
      <c r="F162" s="30">
        <v>1</v>
      </c>
      <c r="G162" s="44">
        <v>935</v>
      </c>
      <c r="H162" s="30"/>
      <c r="I162" s="44"/>
      <c r="J162" s="44"/>
      <c r="K162" s="44">
        <f t="shared" si="4"/>
        <v>935</v>
      </c>
      <c r="L162" s="51">
        <v>20210722</v>
      </c>
    </row>
    <row r="163" spans="1:12" x14ac:dyDescent="0.25">
      <c r="A163" s="50" t="s">
        <v>434</v>
      </c>
      <c r="B163" s="30" t="s">
        <v>137</v>
      </c>
      <c r="C163" s="30" t="s">
        <v>26</v>
      </c>
      <c r="D163" s="30" t="s">
        <v>41</v>
      </c>
      <c r="E163" s="30" t="s">
        <v>55</v>
      </c>
      <c r="F163" s="30">
        <v>1</v>
      </c>
      <c r="G163" s="44">
        <v>935</v>
      </c>
      <c r="H163" s="30"/>
      <c r="I163" s="44"/>
      <c r="J163" s="44"/>
      <c r="K163" s="44">
        <f t="shared" si="4"/>
        <v>935</v>
      </c>
      <c r="L163" s="51">
        <v>20210730</v>
      </c>
    </row>
    <row r="164" spans="1:12" x14ac:dyDescent="0.25">
      <c r="A164" s="50" t="s">
        <v>432</v>
      </c>
      <c r="B164" s="30" t="s">
        <v>137</v>
      </c>
      <c r="C164" s="30" t="s">
        <v>26</v>
      </c>
      <c r="D164" s="30" t="s">
        <v>41</v>
      </c>
      <c r="E164" s="30" t="s">
        <v>433</v>
      </c>
      <c r="F164" s="30">
        <v>1</v>
      </c>
      <c r="G164" s="44">
        <v>935</v>
      </c>
      <c r="H164" s="30"/>
      <c r="I164" s="44"/>
      <c r="J164" s="44"/>
      <c r="K164" s="44">
        <f t="shared" si="4"/>
        <v>935</v>
      </c>
      <c r="L164" s="51">
        <v>20210730</v>
      </c>
    </row>
    <row r="165" spans="1:12" x14ac:dyDescent="0.25">
      <c r="A165" s="50" t="s">
        <v>430</v>
      </c>
      <c r="B165" s="30" t="s">
        <v>137</v>
      </c>
      <c r="C165" s="30" t="s">
        <v>26</v>
      </c>
      <c r="D165" s="30" t="s">
        <v>41</v>
      </c>
      <c r="E165" s="30" t="s">
        <v>431</v>
      </c>
      <c r="F165" s="30">
        <v>1</v>
      </c>
      <c r="G165" s="44">
        <v>935</v>
      </c>
      <c r="H165" s="30"/>
      <c r="I165" s="44"/>
      <c r="J165" s="44"/>
      <c r="K165" s="44">
        <f t="shared" si="4"/>
        <v>935</v>
      </c>
      <c r="L165" s="51">
        <v>20210730</v>
      </c>
    </row>
    <row r="166" spans="1:12" ht="15.75" thickBot="1" x14ac:dyDescent="0.3">
      <c r="A166" s="54" t="s">
        <v>428</v>
      </c>
      <c r="B166" s="36" t="s">
        <v>137</v>
      </c>
      <c r="C166" s="36" t="s">
        <v>26</v>
      </c>
      <c r="D166" s="36" t="s">
        <v>41</v>
      </c>
      <c r="E166" s="36" t="s">
        <v>429</v>
      </c>
      <c r="F166" s="36">
        <v>1</v>
      </c>
      <c r="G166" s="65">
        <v>935</v>
      </c>
      <c r="H166" s="36"/>
      <c r="I166" s="65"/>
      <c r="J166" s="65"/>
      <c r="K166" s="65">
        <f t="shared" si="4"/>
        <v>935</v>
      </c>
      <c r="L166" s="55">
        <v>20210730</v>
      </c>
    </row>
    <row r="169" spans="1:12" ht="15.75" thickBot="1" x14ac:dyDescent="0.3">
      <c r="A169" s="69" t="s">
        <v>0</v>
      </c>
      <c r="B169" s="70" t="s">
        <v>1</v>
      </c>
      <c r="C169" s="70" t="s">
        <v>2</v>
      </c>
      <c r="D169" s="70" t="s">
        <v>3</v>
      </c>
      <c r="E169" s="70" t="s">
        <v>4</v>
      </c>
      <c r="F169" s="70"/>
      <c r="G169" s="71" t="s">
        <v>6</v>
      </c>
      <c r="H169" s="70" t="s">
        <v>7</v>
      </c>
      <c r="I169" s="71" t="s">
        <v>8</v>
      </c>
      <c r="J169" s="71" t="s">
        <v>9</v>
      </c>
      <c r="K169" s="71" t="s">
        <v>10</v>
      </c>
      <c r="L169" s="72" t="s">
        <v>5</v>
      </c>
    </row>
    <row r="170" spans="1:12" x14ac:dyDescent="0.25">
      <c r="A170" s="48" t="s">
        <v>624</v>
      </c>
      <c r="B170" s="34" t="s">
        <v>11</v>
      </c>
      <c r="C170" s="34" t="s">
        <v>505</v>
      </c>
      <c r="D170" s="34" t="s">
        <v>24</v>
      </c>
      <c r="E170" s="34" t="s">
        <v>506</v>
      </c>
      <c r="F170" s="34">
        <v>1</v>
      </c>
      <c r="G170" s="64">
        <v>1870</v>
      </c>
      <c r="H170" s="34"/>
      <c r="I170" s="64"/>
      <c r="J170" s="64"/>
      <c r="K170" s="64">
        <f t="shared" ref="K170:K196" si="5">J170+G170</f>
        <v>1870</v>
      </c>
      <c r="L170" s="49">
        <v>20210803</v>
      </c>
    </row>
    <row r="171" spans="1:12" x14ac:dyDescent="0.25">
      <c r="A171" s="50" t="s">
        <v>597</v>
      </c>
      <c r="B171" s="30" t="s">
        <v>11</v>
      </c>
      <c r="C171" s="30" t="s">
        <v>29</v>
      </c>
      <c r="D171" s="30" t="s">
        <v>24</v>
      </c>
      <c r="E171" s="30" t="s">
        <v>210</v>
      </c>
      <c r="F171" s="30">
        <v>1</v>
      </c>
      <c r="G171" s="44">
        <v>1870</v>
      </c>
      <c r="H171" s="30"/>
      <c r="I171" s="44"/>
      <c r="J171" s="44"/>
      <c r="K171" s="44">
        <f t="shared" si="5"/>
        <v>1870</v>
      </c>
      <c r="L171" s="51">
        <v>20210803</v>
      </c>
    </row>
    <row r="172" spans="1:12" x14ac:dyDescent="0.25">
      <c r="A172" s="50" t="s">
        <v>599</v>
      </c>
      <c r="B172" s="30" t="s">
        <v>27</v>
      </c>
      <c r="C172" s="30" t="s">
        <v>29</v>
      </c>
      <c r="D172" s="30" t="s">
        <v>24</v>
      </c>
      <c r="E172" s="30" t="s">
        <v>322</v>
      </c>
      <c r="F172" s="30">
        <v>1</v>
      </c>
      <c r="G172" s="44">
        <v>1870</v>
      </c>
      <c r="H172" s="30"/>
      <c r="I172" s="44"/>
      <c r="J172" s="44"/>
      <c r="K172" s="44">
        <f t="shared" si="5"/>
        <v>1870</v>
      </c>
      <c r="L172" s="51">
        <v>20210803</v>
      </c>
    </row>
    <row r="173" spans="1:12" x14ac:dyDescent="0.25">
      <c r="A173" s="50" t="s">
        <v>598</v>
      </c>
      <c r="B173" s="30" t="s">
        <v>11</v>
      </c>
      <c r="C173" s="30" t="s">
        <v>29</v>
      </c>
      <c r="D173" s="30" t="s">
        <v>24</v>
      </c>
      <c r="E173" s="30" t="s">
        <v>209</v>
      </c>
      <c r="F173" s="30">
        <v>1</v>
      </c>
      <c r="G173" s="44">
        <v>1870</v>
      </c>
      <c r="H173" s="30"/>
      <c r="I173" s="44"/>
      <c r="J173" s="44"/>
      <c r="K173" s="44">
        <f t="shared" si="5"/>
        <v>1870</v>
      </c>
      <c r="L173" s="51">
        <v>20210803</v>
      </c>
    </row>
    <row r="174" spans="1:12" x14ac:dyDescent="0.25">
      <c r="A174" s="50" t="s">
        <v>611</v>
      </c>
      <c r="B174" s="30" t="s">
        <v>11</v>
      </c>
      <c r="C174" s="30" t="s">
        <v>51</v>
      </c>
      <c r="D174" s="30" t="s">
        <v>24</v>
      </c>
      <c r="E174" s="30" t="s">
        <v>52</v>
      </c>
      <c r="F174" s="30">
        <v>1</v>
      </c>
      <c r="G174" s="44">
        <v>1870</v>
      </c>
      <c r="H174" s="30"/>
      <c r="I174" s="44"/>
      <c r="J174" s="44"/>
      <c r="K174" s="44">
        <f t="shared" si="5"/>
        <v>1870</v>
      </c>
      <c r="L174" s="51">
        <v>20210803</v>
      </c>
    </row>
    <row r="175" spans="1:12" x14ac:dyDescent="0.25">
      <c r="A175" s="50" t="s">
        <v>610</v>
      </c>
      <c r="B175" s="30" t="s">
        <v>11</v>
      </c>
      <c r="C175" s="30" t="s">
        <v>337</v>
      </c>
      <c r="D175" s="30" t="s">
        <v>35</v>
      </c>
      <c r="E175" s="30" t="s">
        <v>122</v>
      </c>
      <c r="F175" s="30">
        <v>1</v>
      </c>
      <c r="G175" s="44">
        <v>1870</v>
      </c>
      <c r="H175" s="30"/>
      <c r="I175" s="44"/>
      <c r="J175" s="44"/>
      <c r="K175" s="44">
        <f t="shared" si="5"/>
        <v>1870</v>
      </c>
      <c r="L175" s="51">
        <v>20210804</v>
      </c>
    </row>
    <row r="176" spans="1:12" x14ac:dyDescent="0.25">
      <c r="A176" s="52" t="s">
        <v>614</v>
      </c>
      <c r="B176" s="32" t="s">
        <v>11</v>
      </c>
      <c r="C176" s="32" t="s">
        <v>337</v>
      </c>
      <c r="D176" s="32" t="s">
        <v>35</v>
      </c>
      <c r="E176" s="32" t="s">
        <v>402</v>
      </c>
      <c r="F176" s="32">
        <v>1</v>
      </c>
      <c r="G176" s="45">
        <v>1870</v>
      </c>
      <c r="H176" s="32">
        <v>64</v>
      </c>
      <c r="I176" s="45">
        <v>25</v>
      </c>
      <c r="J176" s="45">
        <f>I176*H176</f>
        <v>1600</v>
      </c>
      <c r="K176" s="45">
        <f t="shared" si="5"/>
        <v>3470</v>
      </c>
      <c r="L176" s="53">
        <v>20210804</v>
      </c>
    </row>
    <row r="177" spans="1:12" x14ac:dyDescent="0.25">
      <c r="A177" s="50" t="s">
        <v>612</v>
      </c>
      <c r="B177" s="30" t="s">
        <v>11</v>
      </c>
      <c r="C177" s="30" t="s">
        <v>337</v>
      </c>
      <c r="D177" s="30" t="s">
        <v>35</v>
      </c>
      <c r="E177" s="30" t="s">
        <v>157</v>
      </c>
      <c r="F177" s="30">
        <v>1</v>
      </c>
      <c r="G177" s="44">
        <v>1870</v>
      </c>
      <c r="H177" s="30"/>
      <c r="I177" s="44"/>
      <c r="J177" s="44"/>
      <c r="K177" s="44">
        <f t="shared" si="5"/>
        <v>1870</v>
      </c>
      <c r="L177" s="51">
        <v>20210804</v>
      </c>
    </row>
    <row r="178" spans="1:12" x14ac:dyDescent="0.25">
      <c r="A178" s="52" t="s">
        <v>625</v>
      </c>
      <c r="B178" s="32" t="s">
        <v>11</v>
      </c>
      <c r="C178" s="32" t="s">
        <v>202</v>
      </c>
      <c r="D178" s="32" t="s">
        <v>203</v>
      </c>
      <c r="E178" s="32" t="s">
        <v>626</v>
      </c>
      <c r="F178" s="32">
        <v>1</v>
      </c>
      <c r="G178" s="45">
        <v>1870</v>
      </c>
      <c r="H178" s="32">
        <v>78</v>
      </c>
      <c r="I178" s="45">
        <v>25</v>
      </c>
      <c r="J178" s="45">
        <f>I178*H178</f>
        <v>1950</v>
      </c>
      <c r="K178" s="45">
        <f t="shared" si="5"/>
        <v>3820</v>
      </c>
      <c r="L178" s="53">
        <v>20210805</v>
      </c>
    </row>
    <row r="179" spans="1:12" x14ac:dyDescent="0.25">
      <c r="A179" s="50" t="s">
        <v>606</v>
      </c>
      <c r="B179" s="30" t="s">
        <v>11</v>
      </c>
      <c r="C179" s="30" t="s">
        <v>607</v>
      </c>
      <c r="D179" s="30" t="s">
        <v>24</v>
      </c>
      <c r="E179" s="30" t="s">
        <v>608</v>
      </c>
      <c r="F179" s="30">
        <v>1</v>
      </c>
      <c r="G179" s="44">
        <v>1870</v>
      </c>
      <c r="H179" s="30"/>
      <c r="I179" s="44"/>
      <c r="J179" s="44"/>
      <c r="K179" s="44">
        <f t="shared" si="5"/>
        <v>1870</v>
      </c>
      <c r="L179" s="51">
        <v>20210806</v>
      </c>
    </row>
    <row r="180" spans="1:12" x14ac:dyDescent="0.25">
      <c r="A180" s="52" t="s">
        <v>594</v>
      </c>
      <c r="B180" s="32" t="s">
        <v>11</v>
      </c>
      <c r="C180" s="32" t="s">
        <v>337</v>
      </c>
      <c r="D180" s="32" t="s">
        <v>162</v>
      </c>
      <c r="E180" s="32" t="s">
        <v>235</v>
      </c>
      <c r="F180" s="32">
        <v>1</v>
      </c>
      <c r="G180" s="45">
        <v>1870</v>
      </c>
      <c r="H180" s="32">
        <v>60</v>
      </c>
      <c r="I180" s="45">
        <v>25</v>
      </c>
      <c r="J180" s="45">
        <f>I180*H180</f>
        <v>1500</v>
      </c>
      <c r="K180" s="45">
        <f t="shared" si="5"/>
        <v>3370</v>
      </c>
      <c r="L180" s="53">
        <v>20210810</v>
      </c>
    </row>
    <row r="181" spans="1:12" x14ac:dyDescent="0.25">
      <c r="A181" s="52" t="s">
        <v>580</v>
      </c>
      <c r="B181" s="32" t="s">
        <v>11</v>
      </c>
      <c r="C181" s="32" t="s">
        <v>29</v>
      </c>
      <c r="D181" s="32" t="s">
        <v>148</v>
      </c>
      <c r="E181" s="32" t="s">
        <v>149</v>
      </c>
      <c r="F181" s="32">
        <v>1</v>
      </c>
      <c r="G181" s="45">
        <v>1870</v>
      </c>
      <c r="H181" s="32">
        <v>50</v>
      </c>
      <c r="I181" s="45">
        <v>25</v>
      </c>
      <c r="J181" s="45">
        <f>I181*H181</f>
        <v>1250</v>
      </c>
      <c r="K181" s="45">
        <f t="shared" si="5"/>
        <v>3120</v>
      </c>
      <c r="L181" s="53">
        <v>20210810</v>
      </c>
    </row>
    <row r="182" spans="1:12" x14ac:dyDescent="0.25">
      <c r="A182" s="52" t="s">
        <v>595</v>
      </c>
      <c r="B182" s="32" t="s">
        <v>11</v>
      </c>
      <c r="C182" s="32" t="s">
        <v>270</v>
      </c>
      <c r="D182" s="32" t="s">
        <v>494</v>
      </c>
      <c r="E182" s="32" t="s">
        <v>596</v>
      </c>
      <c r="F182" s="32">
        <v>1</v>
      </c>
      <c r="G182" s="45">
        <v>1870</v>
      </c>
      <c r="H182" s="32">
        <v>120</v>
      </c>
      <c r="I182" s="45">
        <v>25</v>
      </c>
      <c r="J182" s="45">
        <f>I182*H182</f>
        <v>3000</v>
      </c>
      <c r="K182" s="45">
        <f t="shared" si="5"/>
        <v>4870</v>
      </c>
      <c r="L182" s="53">
        <v>20210812</v>
      </c>
    </row>
    <row r="183" spans="1:12" x14ac:dyDescent="0.25">
      <c r="A183" s="52" t="s">
        <v>590</v>
      </c>
      <c r="B183" s="32" t="s">
        <v>27</v>
      </c>
      <c r="C183" s="32" t="s">
        <v>591</v>
      </c>
      <c r="D183" s="32" t="s">
        <v>592</v>
      </c>
      <c r="E183" s="32" t="s">
        <v>593</v>
      </c>
      <c r="F183" s="32">
        <v>1</v>
      </c>
      <c r="G183" s="45">
        <v>1870</v>
      </c>
      <c r="H183" s="32">
        <v>140</v>
      </c>
      <c r="I183" s="45">
        <v>25</v>
      </c>
      <c r="J183" s="45">
        <f>I183*H183</f>
        <v>3500</v>
      </c>
      <c r="K183" s="45">
        <f t="shared" si="5"/>
        <v>5370</v>
      </c>
      <c r="L183" s="53">
        <v>20210819</v>
      </c>
    </row>
    <row r="184" spans="1:12" x14ac:dyDescent="0.25">
      <c r="A184" s="52" t="s">
        <v>613</v>
      </c>
      <c r="B184" s="32" t="s">
        <v>11</v>
      </c>
      <c r="C184" s="32" t="s">
        <v>26</v>
      </c>
      <c r="D184" s="32" t="s">
        <v>224</v>
      </c>
      <c r="E184" s="32" t="s">
        <v>316</v>
      </c>
      <c r="F184" s="32">
        <v>1</v>
      </c>
      <c r="G184" s="45">
        <v>1870</v>
      </c>
      <c r="H184" s="32">
        <v>50</v>
      </c>
      <c r="I184" s="45">
        <v>25</v>
      </c>
      <c r="J184" s="45">
        <f>I184*H184</f>
        <v>1250</v>
      </c>
      <c r="K184" s="45">
        <f t="shared" si="5"/>
        <v>3120</v>
      </c>
      <c r="L184" s="53">
        <v>20210820</v>
      </c>
    </row>
    <row r="185" spans="1:12" x14ac:dyDescent="0.25">
      <c r="A185" s="50" t="s">
        <v>609</v>
      </c>
      <c r="B185" s="30" t="s">
        <v>11</v>
      </c>
      <c r="C185" s="30" t="s">
        <v>172</v>
      </c>
      <c r="D185" s="30" t="s">
        <v>195</v>
      </c>
      <c r="E185" s="30" t="s">
        <v>196</v>
      </c>
      <c r="F185" s="30">
        <v>1</v>
      </c>
      <c r="G185" s="44">
        <v>1870</v>
      </c>
      <c r="H185" s="30"/>
      <c r="I185" s="44"/>
      <c r="J185" s="44"/>
      <c r="K185" s="44">
        <f t="shared" si="5"/>
        <v>1870</v>
      </c>
      <c r="L185" s="51">
        <v>20210820</v>
      </c>
    </row>
    <row r="186" spans="1:12" x14ac:dyDescent="0.25">
      <c r="A186" s="50" t="s">
        <v>564</v>
      </c>
      <c r="B186" s="30" t="s">
        <v>11</v>
      </c>
      <c r="C186" s="30" t="s">
        <v>29</v>
      </c>
      <c r="D186" s="30" t="s">
        <v>24</v>
      </c>
      <c r="E186" s="30" t="s">
        <v>161</v>
      </c>
      <c r="F186" s="30">
        <v>1</v>
      </c>
      <c r="G186" s="44">
        <v>1870</v>
      </c>
      <c r="H186" s="30"/>
      <c r="I186" s="44"/>
      <c r="J186" s="44"/>
      <c r="K186" s="44">
        <f t="shared" si="5"/>
        <v>1870</v>
      </c>
      <c r="L186" s="51">
        <v>20210823</v>
      </c>
    </row>
    <row r="187" spans="1:12" x14ac:dyDescent="0.25">
      <c r="A187" s="50" t="s">
        <v>553</v>
      </c>
      <c r="B187" s="30" t="s">
        <v>11</v>
      </c>
      <c r="C187" s="30" t="s">
        <v>474</v>
      </c>
      <c r="D187" s="30" t="s">
        <v>24</v>
      </c>
      <c r="E187" s="30" t="s">
        <v>554</v>
      </c>
      <c r="F187" s="30">
        <v>1</v>
      </c>
      <c r="G187" s="44">
        <v>1870</v>
      </c>
      <c r="H187" s="30"/>
      <c r="I187" s="44"/>
      <c r="J187" s="44"/>
      <c r="K187" s="44">
        <f t="shared" si="5"/>
        <v>1870</v>
      </c>
      <c r="L187" s="51">
        <v>20210824</v>
      </c>
    </row>
    <row r="188" spans="1:12" x14ac:dyDescent="0.25">
      <c r="A188" s="52" t="s">
        <v>534</v>
      </c>
      <c r="B188" s="32" t="s">
        <v>11</v>
      </c>
      <c r="C188" s="32" t="s">
        <v>337</v>
      </c>
      <c r="D188" s="32" t="s">
        <v>35</v>
      </c>
      <c r="E188" s="32" t="s">
        <v>122</v>
      </c>
      <c r="F188" s="32">
        <v>1</v>
      </c>
      <c r="G188" s="45">
        <v>1870</v>
      </c>
      <c r="H188" s="32">
        <v>64</v>
      </c>
      <c r="I188" s="45">
        <v>25</v>
      </c>
      <c r="J188" s="45">
        <f>I188*H188</f>
        <v>1600</v>
      </c>
      <c r="K188" s="45">
        <f t="shared" si="5"/>
        <v>3470</v>
      </c>
      <c r="L188" s="53">
        <v>20210826</v>
      </c>
    </row>
    <row r="189" spans="1:12" x14ac:dyDescent="0.25">
      <c r="A189" s="50" t="s">
        <v>542</v>
      </c>
      <c r="B189" s="30" t="s">
        <v>11</v>
      </c>
      <c r="C189" s="30" t="s">
        <v>26</v>
      </c>
      <c r="D189" s="30" t="s">
        <v>145</v>
      </c>
      <c r="E189" s="30" t="s">
        <v>193</v>
      </c>
      <c r="F189" s="30">
        <v>1</v>
      </c>
      <c r="G189" s="44">
        <v>1870</v>
      </c>
      <c r="H189" s="30"/>
      <c r="I189" s="44"/>
      <c r="J189" s="44"/>
      <c r="K189" s="44">
        <f t="shared" si="5"/>
        <v>1870</v>
      </c>
      <c r="L189" s="51">
        <v>20210826</v>
      </c>
    </row>
    <row r="190" spans="1:12" x14ac:dyDescent="0.25">
      <c r="A190" s="50" t="s">
        <v>531</v>
      </c>
      <c r="B190" s="30" t="s">
        <v>27</v>
      </c>
      <c r="C190" s="30" t="s">
        <v>364</v>
      </c>
      <c r="D190" s="30" t="s">
        <v>24</v>
      </c>
      <c r="E190" s="30" t="s">
        <v>532</v>
      </c>
      <c r="F190" s="30">
        <v>1</v>
      </c>
      <c r="G190" s="44">
        <v>1870</v>
      </c>
      <c r="H190" s="30"/>
      <c r="I190" s="44"/>
      <c r="J190" s="44"/>
      <c r="K190" s="44">
        <f t="shared" si="5"/>
        <v>1870</v>
      </c>
      <c r="L190" s="51">
        <v>20210827</v>
      </c>
    </row>
    <row r="191" spans="1:12" x14ac:dyDescent="0.25">
      <c r="A191" s="52" t="s">
        <v>552</v>
      </c>
      <c r="B191" s="32" t="s">
        <v>11</v>
      </c>
      <c r="C191" s="32" t="s">
        <v>29</v>
      </c>
      <c r="D191" s="32" t="s">
        <v>30</v>
      </c>
      <c r="E191" s="32" t="s">
        <v>509</v>
      </c>
      <c r="F191" s="32">
        <v>1</v>
      </c>
      <c r="G191" s="45">
        <v>1870</v>
      </c>
      <c r="H191" s="32">
        <v>140</v>
      </c>
      <c r="I191" s="45">
        <v>25</v>
      </c>
      <c r="J191" s="45">
        <f>I191*H191</f>
        <v>3500</v>
      </c>
      <c r="K191" s="45">
        <f t="shared" si="5"/>
        <v>5370</v>
      </c>
      <c r="L191" s="53">
        <v>20210827</v>
      </c>
    </row>
    <row r="192" spans="1:12" x14ac:dyDescent="0.25">
      <c r="A192" s="50" t="s">
        <v>533</v>
      </c>
      <c r="B192" s="30" t="s">
        <v>11</v>
      </c>
      <c r="C192" s="30" t="s">
        <v>94</v>
      </c>
      <c r="D192" s="30" t="s">
        <v>95</v>
      </c>
      <c r="E192" s="30" t="s">
        <v>467</v>
      </c>
      <c r="F192" s="30">
        <v>1</v>
      </c>
      <c r="G192" s="44">
        <v>1870</v>
      </c>
      <c r="H192" s="30"/>
      <c r="I192" s="44"/>
      <c r="J192" s="44"/>
      <c r="K192" s="44">
        <f t="shared" si="5"/>
        <v>1870</v>
      </c>
      <c r="L192" s="51">
        <v>20210827</v>
      </c>
    </row>
    <row r="193" spans="1:12" x14ac:dyDescent="0.25">
      <c r="A193" s="50" t="s">
        <v>528</v>
      </c>
      <c r="B193" s="30" t="s">
        <v>11</v>
      </c>
      <c r="C193" s="30" t="s">
        <v>251</v>
      </c>
      <c r="D193" s="30" t="s">
        <v>252</v>
      </c>
      <c r="E193" s="30" t="s">
        <v>253</v>
      </c>
      <c r="F193" s="30">
        <v>1</v>
      </c>
      <c r="G193" s="44">
        <v>1870</v>
      </c>
      <c r="H193" s="30"/>
      <c r="I193" s="44"/>
      <c r="J193" s="44"/>
      <c r="K193" s="44">
        <f t="shared" si="5"/>
        <v>1870</v>
      </c>
      <c r="L193" s="51">
        <v>20210831</v>
      </c>
    </row>
    <row r="194" spans="1:12" x14ac:dyDescent="0.25">
      <c r="A194" s="50" t="s">
        <v>529</v>
      </c>
      <c r="B194" s="30" t="s">
        <v>11</v>
      </c>
      <c r="C194" s="30" t="s">
        <v>134</v>
      </c>
      <c r="D194" s="30" t="s">
        <v>354</v>
      </c>
      <c r="E194" s="30" t="s">
        <v>359</v>
      </c>
      <c r="F194" s="30">
        <v>1</v>
      </c>
      <c r="G194" s="44">
        <v>1870</v>
      </c>
      <c r="H194" s="30"/>
      <c r="I194" s="44"/>
      <c r="J194" s="44"/>
      <c r="K194" s="44">
        <f t="shared" si="5"/>
        <v>1870</v>
      </c>
      <c r="L194" s="51">
        <v>20210831</v>
      </c>
    </row>
    <row r="195" spans="1:12" x14ac:dyDescent="0.25">
      <c r="A195" s="50" t="s">
        <v>530</v>
      </c>
      <c r="B195" s="30" t="s">
        <v>11</v>
      </c>
      <c r="C195" s="30" t="s">
        <v>134</v>
      </c>
      <c r="D195" s="30" t="s">
        <v>354</v>
      </c>
      <c r="E195" s="30" t="s">
        <v>357</v>
      </c>
      <c r="F195" s="30">
        <v>1</v>
      </c>
      <c r="G195" s="44">
        <v>1870</v>
      </c>
      <c r="H195" s="30"/>
      <c r="I195" s="44"/>
      <c r="J195" s="44"/>
      <c r="K195" s="44">
        <f t="shared" si="5"/>
        <v>1870</v>
      </c>
      <c r="L195" s="51">
        <v>20210831</v>
      </c>
    </row>
    <row r="196" spans="1:12" ht="15.75" thickBot="1" x14ac:dyDescent="0.3">
      <c r="A196" s="54" t="s">
        <v>527</v>
      </c>
      <c r="B196" s="36" t="s">
        <v>11</v>
      </c>
      <c r="C196" s="36" t="s">
        <v>94</v>
      </c>
      <c r="D196" s="36" t="s">
        <v>95</v>
      </c>
      <c r="E196" s="36" t="s">
        <v>467</v>
      </c>
      <c r="F196" s="36">
        <v>1</v>
      </c>
      <c r="G196" s="65">
        <v>1870</v>
      </c>
      <c r="H196" s="36"/>
      <c r="I196" s="65"/>
      <c r="J196" s="65"/>
      <c r="K196" s="65">
        <f t="shared" si="5"/>
        <v>1870</v>
      </c>
      <c r="L196" s="55">
        <v>20210831</v>
      </c>
    </row>
    <row r="197" spans="1:12" x14ac:dyDescent="0.25">
      <c r="A197" s="73"/>
      <c r="B197" s="74"/>
      <c r="C197" s="74"/>
      <c r="D197" s="74"/>
      <c r="E197" s="74"/>
      <c r="F197" s="74"/>
      <c r="G197" s="75"/>
      <c r="H197" s="74"/>
      <c r="I197" s="75"/>
      <c r="J197" s="75"/>
      <c r="K197" s="75"/>
      <c r="L197" s="76"/>
    </row>
    <row r="198" spans="1:12" x14ac:dyDescent="0.25">
      <c r="A198" s="50" t="s">
        <v>518</v>
      </c>
      <c r="B198" s="30" t="s">
        <v>11</v>
      </c>
      <c r="C198" s="30" t="s">
        <v>134</v>
      </c>
      <c r="D198" s="30" t="s">
        <v>354</v>
      </c>
      <c r="E198" s="30" t="s">
        <v>355</v>
      </c>
      <c r="F198" s="30">
        <v>1</v>
      </c>
      <c r="G198" s="44">
        <v>1870</v>
      </c>
      <c r="H198" s="30"/>
      <c r="I198" s="44"/>
      <c r="J198" s="44"/>
      <c r="K198" s="44">
        <f>J198+G198</f>
        <v>1870</v>
      </c>
      <c r="L198" s="51">
        <v>20210909</v>
      </c>
    </row>
    <row r="199" spans="1:12" x14ac:dyDescent="0.25">
      <c r="A199" s="50"/>
      <c r="B199" s="30"/>
      <c r="C199" s="30"/>
      <c r="D199" s="30"/>
      <c r="E199" s="30"/>
      <c r="F199" s="30"/>
      <c r="G199" s="44"/>
      <c r="H199" s="30"/>
      <c r="I199" s="44"/>
      <c r="J199" s="44"/>
      <c r="K199" s="44"/>
      <c r="L199" s="51"/>
    </row>
    <row r="200" spans="1:12" ht="15.75" thickBot="1" x14ac:dyDescent="0.3">
      <c r="A200" s="69"/>
      <c r="B200" s="70"/>
      <c r="C200" s="70"/>
      <c r="D200" s="70"/>
      <c r="E200" s="70"/>
      <c r="F200" s="70"/>
      <c r="G200" s="71"/>
      <c r="H200" s="70"/>
      <c r="I200" s="71"/>
      <c r="J200" s="71"/>
      <c r="K200" s="71"/>
      <c r="L200" s="72"/>
    </row>
    <row r="201" spans="1:12" x14ac:dyDescent="0.25">
      <c r="A201" s="48" t="s">
        <v>604</v>
      </c>
      <c r="B201" s="34" t="s">
        <v>137</v>
      </c>
      <c r="C201" s="34" t="s">
        <v>26</v>
      </c>
      <c r="D201" s="34" t="s">
        <v>141</v>
      </c>
      <c r="E201" s="34" t="s">
        <v>605</v>
      </c>
      <c r="F201" s="34">
        <v>1</v>
      </c>
      <c r="G201" s="64">
        <v>935</v>
      </c>
      <c r="H201" s="34"/>
      <c r="I201" s="64"/>
      <c r="J201" s="64"/>
      <c r="K201" s="64">
        <f t="shared" ref="K201:K241" si="6">J201+G201</f>
        <v>935</v>
      </c>
      <c r="L201" s="49">
        <v>20210802</v>
      </c>
    </row>
    <row r="202" spans="1:12" x14ac:dyDescent="0.25">
      <c r="A202" s="52" t="s">
        <v>602</v>
      </c>
      <c r="B202" s="32" t="s">
        <v>137</v>
      </c>
      <c r="C202" s="32" t="s">
        <v>26</v>
      </c>
      <c r="D202" s="32" t="s">
        <v>141</v>
      </c>
      <c r="E202" s="32" t="s">
        <v>603</v>
      </c>
      <c r="F202" s="32">
        <v>1</v>
      </c>
      <c r="G202" s="45">
        <v>935</v>
      </c>
      <c r="H202" s="32">
        <v>120</v>
      </c>
      <c r="I202" s="45">
        <v>25</v>
      </c>
      <c r="J202" s="45">
        <f>I202*H202</f>
        <v>3000</v>
      </c>
      <c r="K202" s="45">
        <f t="shared" si="6"/>
        <v>3935</v>
      </c>
      <c r="L202" s="53">
        <v>20210802</v>
      </c>
    </row>
    <row r="203" spans="1:12" x14ac:dyDescent="0.25">
      <c r="A203" s="50" t="s">
        <v>600</v>
      </c>
      <c r="B203" s="30" t="s">
        <v>137</v>
      </c>
      <c r="C203" s="30" t="s">
        <v>26</v>
      </c>
      <c r="D203" s="30" t="s">
        <v>141</v>
      </c>
      <c r="E203" s="30" t="s">
        <v>601</v>
      </c>
      <c r="F203" s="30">
        <v>1</v>
      </c>
      <c r="G203" s="44">
        <v>935</v>
      </c>
      <c r="H203" s="30"/>
      <c r="I203" s="44"/>
      <c r="J203" s="44"/>
      <c r="K203" s="44">
        <f t="shared" si="6"/>
        <v>935</v>
      </c>
      <c r="L203" s="51">
        <v>20210802</v>
      </c>
    </row>
    <row r="204" spans="1:12" x14ac:dyDescent="0.25">
      <c r="A204" s="50" t="s">
        <v>620</v>
      </c>
      <c r="B204" s="30" t="s">
        <v>137</v>
      </c>
      <c r="C204" s="30" t="s">
        <v>26</v>
      </c>
      <c r="D204" s="30" t="s">
        <v>616</v>
      </c>
      <c r="E204" s="30" t="s">
        <v>621</v>
      </c>
      <c r="F204" s="30">
        <v>1</v>
      </c>
      <c r="G204" s="44">
        <v>935</v>
      </c>
      <c r="H204" s="30"/>
      <c r="I204" s="44"/>
      <c r="J204" s="44"/>
      <c r="K204" s="44">
        <f t="shared" si="6"/>
        <v>935</v>
      </c>
      <c r="L204" s="51">
        <v>20210804</v>
      </c>
    </row>
    <row r="205" spans="1:12" x14ac:dyDescent="0.25">
      <c r="A205" s="50" t="s">
        <v>618</v>
      </c>
      <c r="B205" s="30" t="s">
        <v>137</v>
      </c>
      <c r="C205" s="30" t="s">
        <v>26</v>
      </c>
      <c r="D205" s="30" t="s">
        <v>616</v>
      </c>
      <c r="E205" s="30" t="s">
        <v>619</v>
      </c>
      <c r="F205" s="30">
        <v>1</v>
      </c>
      <c r="G205" s="44">
        <v>935</v>
      </c>
      <c r="H205" s="30"/>
      <c r="I205" s="44"/>
      <c r="J205" s="44"/>
      <c r="K205" s="44">
        <f t="shared" si="6"/>
        <v>935</v>
      </c>
      <c r="L205" s="51">
        <v>20210804</v>
      </c>
    </row>
    <row r="206" spans="1:12" x14ac:dyDescent="0.25">
      <c r="A206" s="50" t="s">
        <v>615</v>
      </c>
      <c r="B206" s="30" t="s">
        <v>137</v>
      </c>
      <c r="C206" s="30" t="s">
        <v>26</v>
      </c>
      <c r="D206" s="30" t="s">
        <v>616</v>
      </c>
      <c r="E206" s="30" t="s">
        <v>617</v>
      </c>
      <c r="F206" s="30">
        <v>1</v>
      </c>
      <c r="G206" s="44">
        <v>935</v>
      </c>
      <c r="H206" s="30"/>
      <c r="I206" s="44"/>
      <c r="J206" s="44"/>
      <c r="K206" s="44">
        <f t="shared" si="6"/>
        <v>935</v>
      </c>
      <c r="L206" s="51">
        <v>20210804</v>
      </c>
    </row>
    <row r="207" spans="1:12" x14ac:dyDescent="0.25">
      <c r="A207" s="50" t="s">
        <v>622</v>
      </c>
      <c r="B207" s="30" t="s">
        <v>137</v>
      </c>
      <c r="C207" s="30" t="s">
        <v>26</v>
      </c>
      <c r="D207" s="30" t="s">
        <v>41</v>
      </c>
      <c r="E207" s="30" t="s">
        <v>623</v>
      </c>
      <c r="F207" s="30">
        <v>1</v>
      </c>
      <c r="G207" s="44">
        <v>935</v>
      </c>
      <c r="H207" s="30"/>
      <c r="I207" s="44"/>
      <c r="J207" s="44"/>
      <c r="K207" s="44">
        <f t="shared" si="6"/>
        <v>935</v>
      </c>
      <c r="L207" s="51">
        <v>20210805</v>
      </c>
    </row>
    <row r="208" spans="1:12" x14ac:dyDescent="0.25">
      <c r="A208" s="50" t="s">
        <v>588</v>
      </c>
      <c r="B208" s="30" t="s">
        <v>137</v>
      </c>
      <c r="C208" s="30" t="s">
        <v>26</v>
      </c>
      <c r="D208" s="30" t="s">
        <v>582</v>
      </c>
      <c r="E208" s="30" t="s">
        <v>589</v>
      </c>
      <c r="F208" s="30">
        <v>1</v>
      </c>
      <c r="G208" s="44">
        <v>935</v>
      </c>
      <c r="H208" s="30"/>
      <c r="I208" s="44"/>
      <c r="J208" s="44"/>
      <c r="K208" s="44">
        <f t="shared" si="6"/>
        <v>935</v>
      </c>
      <c r="L208" s="51">
        <v>20210805</v>
      </c>
    </row>
    <row r="209" spans="1:12" x14ac:dyDescent="0.25">
      <c r="A209" s="50" t="s">
        <v>586</v>
      </c>
      <c r="B209" s="30" t="s">
        <v>137</v>
      </c>
      <c r="C209" s="30" t="s">
        <v>26</v>
      </c>
      <c r="D209" s="30" t="s">
        <v>582</v>
      </c>
      <c r="E209" s="30" t="s">
        <v>587</v>
      </c>
      <c r="F209" s="30">
        <v>1</v>
      </c>
      <c r="G209" s="44">
        <v>935</v>
      </c>
      <c r="H209" s="30"/>
      <c r="I209" s="44"/>
      <c r="J209" s="44"/>
      <c r="K209" s="44">
        <f t="shared" si="6"/>
        <v>935</v>
      </c>
      <c r="L209" s="51">
        <v>20210805</v>
      </c>
    </row>
    <row r="210" spans="1:12" x14ac:dyDescent="0.25">
      <c r="A210" s="50" t="s">
        <v>584</v>
      </c>
      <c r="B210" s="30" t="s">
        <v>137</v>
      </c>
      <c r="C210" s="30" t="s">
        <v>26</v>
      </c>
      <c r="D210" s="30" t="s">
        <v>582</v>
      </c>
      <c r="E210" s="30" t="s">
        <v>585</v>
      </c>
      <c r="F210" s="30">
        <v>1</v>
      </c>
      <c r="G210" s="44">
        <v>935</v>
      </c>
      <c r="H210" s="30"/>
      <c r="I210" s="44"/>
      <c r="J210" s="44"/>
      <c r="K210" s="44">
        <f t="shared" si="6"/>
        <v>935</v>
      </c>
      <c r="L210" s="51">
        <v>20210805</v>
      </c>
    </row>
    <row r="211" spans="1:12" x14ac:dyDescent="0.25">
      <c r="A211" s="50" t="s">
        <v>581</v>
      </c>
      <c r="B211" s="30" t="s">
        <v>137</v>
      </c>
      <c r="C211" s="30" t="s">
        <v>26</v>
      </c>
      <c r="D211" s="30" t="s">
        <v>582</v>
      </c>
      <c r="E211" s="30" t="s">
        <v>583</v>
      </c>
      <c r="F211" s="30">
        <v>1</v>
      </c>
      <c r="G211" s="44">
        <v>935</v>
      </c>
      <c r="H211" s="30"/>
      <c r="I211" s="44"/>
      <c r="J211" s="44"/>
      <c r="K211" s="44">
        <f t="shared" si="6"/>
        <v>935</v>
      </c>
      <c r="L211" s="51">
        <v>20210805</v>
      </c>
    </row>
    <row r="212" spans="1:12" x14ac:dyDescent="0.25">
      <c r="A212" s="50" t="s">
        <v>576</v>
      </c>
      <c r="B212" s="30" t="s">
        <v>137</v>
      </c>
      <c r="C212" s="30" t="s">
        <v>29</v>
      </c>
      <c r="D212" s="30" t="s">
        <v>24</v>
      </c>
      <c r="E212" s="30" t="s">
        <v>210</v>
      </c>
      <c r="F212" s="30">
        <v>1</v>
      </c>
      <c r="G212" s="44">
        <v>935</v>
      </c>
      <c r="H212" s="30"/>
      <c r="I212" s="44"/>
      <c r="J212" s="44"/>
      <c r="K212" s="44">
        <f t="shared" si="6"/>
        <v>935</v>
      </c>
      <c r="L212" s="51">
        <v>20210806</v>
      </c>
    </row>
    <row r="213" spans="1:12" x14ac:dyDescent="0.25">
      <c r="A213" s="50" t="s">
        <v>575</v>
      </c>
      <c r="B213" s="30" t="s">
        <v>137</v>
      </c>
      <c r="C213" s="30" t="s">
        <v>29</v>
      </c>
      <c r="D213" s="30" t="s">
        <v>24</v>
      </c>
      <c r="E213" s="30" t="s">
        <v>56</v>
      </c>
      <c r="F213" s="30">
        <v>1</v>
      </c>
      <c r="G213" s="44">
        <v>935</v>
      </c>
      <c r="H213" s="30"/>
      <c r="I213" s="44"/>
      <c r="J213" s="44"/>
      <c r="K213" s="44">
        <f t="shared" si="6"/>
        <v>935</v>
      </c>
      <c r="L213" s="51">
        <v>20210806</v>
      </c>
    </row>
    <row r="214" spans="1:12" x14ac:dyDescent="0.25">
      <c r="A214" s="50" t="s">
        <v>574</v>
      </c>
      <c r="B214" s="30" t="s">
        <v>137</v>
      </c>
      <c r="C214" s="30" t="s">
        <v>29</v>
      </c>
      <c r="D214" s="30" t="s">
        <v>24</v>
      </c>
      <c r="E214" s="30" t="s">
        <v>89</v>
      </c>
      <c r="F214" s="30">
        <v>1</v>
      </c>
      <c r="G214" s="44">
        <v>935</v>
      </c>
      <c r="H214" s="30"/>
      <c r="I214" s="44"/>
      <c r="J214" s="44"/>
      <c r="K214" s="44">
        <f t="shared" si="6"/>
        <v>935</v>
      </c>
      <c r="L214" s="51">
        <v>20210806</v>
      </c>
    </row>
    <row r="215" spans="1:12" x14ac:dyDescent="0.25">
      <c r="A215" s="50" t="s">
        <v>633</v>
      </c>
      <c r="B215" s="30" t="s">
        <v>137</v>
      </c>
      <c r="C215" s="30" t="s">
        <v>29</v>
      </c>
      <c r="D215" s="30" t="s">
        <v>24</v>
      </c>
      <c r="E215" s="30" t="s">
        <v>634</v>
      </c>
      <c r="F215" s="30">
        <v>1</v>
      </c>
      <c r="G215" s="44">
        <v>935</v>
      </c>
      <c r="H215" s="30"/>
      <c r="I215" s="44"/>
      <c r="J215" s="44"/>
      <c r="K215" s="44">
        <f t="shared" si="6"/>
        <v>935</v>
      </c>
      <c r="L215" s="51">
        <v>20210806</v>
      </c>
    </row>
    <row r="216" spans="1:12" x14ac:dyDescent="0.25">
      <c r="A216" s="50" t="s">
        <v>631</v>
      </c>
      <c r="B216" s="30" t="s">
        <v>137</v>
      </c>
      <c r="C216" s="30" t="s">
        <v>29</v>
      </c>
      <c r="D216" s="30" t="s">
        <v>24</v>
      </c>
      <c r="E216" s="30" t="s">
        <v>632</v>
      </c>
      <c r="F216" s="30">
        <v>1</v>
      </c>
      <c r="G216" s="44">
        <v>935</v>
      </c>
      <c r="H216" s="30"/>
      <c r="I216" s="44"/>
      <c r="J216" s="44"/>
      <c r="K216" s="44">
        <f t="shared" si="6"/>
        <v>935</v>
      </c>
      <c r="L216" s="51">
        <v>20210806</v>
      </c>
    </row>
    <row r="217" spans="1:12" x14ac:dyDescent="0.25">
      <c r="A217" s="50" t="s">
        <v>573</v>
      </c>
      <c r="B217" s="30" t="s">
        <v>137</v>
      </c>
      <c r="C217" s="30" t="s">
        <v>29</v>
      </c>
      <c r="D217" s="30" t="s">
        <v>24</v>
      </c>
      <c r="E217" s="30" t="s">
        <v>209</v>
      </c>
      <c r="F217" s="30">
        <v>1</v>
      </c>
      <c r="G217" s="44">
        <v>935</v>
      </c>
      <c r="H217" s="30"/>
      <c r="I217" s="44"/>
      <c r="J217" s="44"/>
      <c r="K217" s="44">
        <f t="shared" si="6"/>
        <v>935</v>
      </c>
      <c r="L217" s="51">
        <v>20210806</v>
      </c>
    </row>
    <row r="218" spans="1:12" x14ac:dyDescent="0.25">
      <c r="A218" s="50" t="s">
        <v>629</v>
      </c>
      <c r="B218" s="30" t="s">
        <v>137</v>
      </c>
      <c r="C218" s="30" t="s">
        <v>29</v>
      </c>
      <c r="D218" s="30" t="s">
        <v>24</v>
      </c>
      <c r="E218" s="30" t="s">
        <v>630</v>
      </c>
      <c r="F218" s="30">
        <v>1</v>
      </c>
      <c r="G218" s="44">
        <v>935</v>
      </c>
      <c r="H218" s="30"/>
      <c r="I218" s="44"/>
      <c r="J218" s="44"/>
      <c r="K218" s="44">
        <f t="shared" si="6"/>
        <v>935</v>
      </c>
      <c r="L218" s="51">
        <v>20210806</v>
      </c>
    </row>
    <row r="219" spans="1:12" x14ac:dyDescent="0.25">
      <c r="A219" s="50" t="s">
        <v>572</v>
      </c>
      <c r="B219" s="30" t="s">
        <v>137</v>
      </c>
      <c r="C219" s="30" t="s">
        <v>29</v>
      </c>
      <c r="D219" s="30" t="s">
        <v>24</v>
      </c>
      <c r="E219" s="30" t="s">
        <v>208</v>
      </c>
      <c r="F219" s="30">
        <v>1</v>
      </c>
      <c r="G219" s="44">
        <v>935</v>
      </c>
      <c r="H219" s="30"/>
      <c r="I219" s="44"/>
      <c r="J219" s="44"/>
      <c r="K219" s="44">
        <f t="shared" si="6"/>
        <v>935</v>
      </c>
      <c r="L219" s="51">
        <v>20210806</v>
      </c>
    </row>
    <row r="220" spans="1:12" x14ac:dyDescent="0.25">
      <c r="A220" s="50" t="s">
        <v>627</v>
      </c>
      <c r="B220" s="30" t="s">
        <v>137</v>
      </c>
      <c r="C220" s="30" t="s">
        <v>29</v>
      </c>
      <c r="D220" s="30" t="s">
        <v>24</v>
      </c>
      <c r="E220" s="30" t="s">
        <v>628</v>
      </c>
      <c r="F220" s="30">
        <v>1</v>
      </c>
      <c r="G220" s="44">
        <v>935</v>
      </c>
      <c r="H220" s="30"/>
      <c r="I220" s="44"/>
      <c r="J220" s="44"/>
      <c r="K220" s="44">
        <f t="shared" si="6"/>
        <v>935</v>
      </c>
      <c r="L220" s="51">
        <v>20210806</v>
      </c>
    </row>
    <row r="221" spans="1:12" x14ac:dyDescent="0.25">
      <c r="A221" s="50" t="s">
        <v>579</v>
      </c>
      <c r="B221" s="30" t="s">
        <v>137</v>
      </c>
      <c r="C221" s="30" t="s">
        <v>29</v>
      </c>
      <c r="D221" s="30" t="s">
        <v>30</v>
      </c>
      <c r="E221" s="30" t="s">
        <v>43</v>
      </c>
      <c r="F221" s="30">
        <v>1</v>
      </c>
      <c r="G221" s="44">
        <v>935</v>
      </c>
      <c r="H221" s="30"/>
      <c r="I221" s="44"/>
      <c r="J221" s="44"/>
      <c r="K221" s="44">
        <f t="shared" si="6"/>
        <v>935</v>
      </c>
      <c r="L221" s="51">
        <v>20210806</v>
      </c>
    </row>
    <row r="222" spans="1:12" x14ac:dyDescent="0.25">
      <c r="A222" s="50" t="s">
        <v>577</v>
      </c>
      <c r="B222" s="30" t="s">
        <v>137</v>
      </c>
      <c r="C222" s="30" t="s">
        <v>29</v>
      </c>
      <c r="D222" s="30" t="s">
        <v>30</v>
      </c>
      <c r="E222" s="30" t="s">
        <v>578</v>
      </c>
      <c r="F222" s="30">
        <v>1</v>
      </c>
      <c r="G222" s="44">
        <v>935</v>
      </c>
      <c r="H222" s="30"/>
      <c r="I222" s="44"/>
      <c r="J222" s="44"/>
      <c r="K222" s="44">
        <f t="shared" si="6"/>
        <v>935</v>
      </c>
      <c r="L222" s="51">
        <v>20210806</v>
      </c>
    </row>
    <row r="223" spans="1:12" x14ac:dyDescent="0.25">
      <c r="A223" s="50" t="s">
        <v>570</v>
      </c>
      <c r="B223" s="30" t="s">
        <v>137</v>
      </c>
      <c r="C223" s="30" t="s">
        <v>26</v>
      </c>
      <c r="D223" s="30" t="s">
        <v>566</v>
      </c>
      <c r="E223" s="30" t="s">
        <v>571</v>
      </c>
      <c r="F223" s="30">
        <v>1</v>
      </c>
      <c r="G223" s="44">
        <v>935</v>
      </c>
      <c r="H223" s="30"/>
      <c r="I223" s="44"/>
      <c r="J223" s="44"/>
      <c r="K223" s="44">
        <f t="shared" si="6"/>
        <v>935</v>
      </c>
      <c r="L223" s="51">
        <v>20210818</v>
      </c>
    </row>
    <row r="224" spans="1:12" x14ac:dyDescent="0.25">
      <c r="A224" s="50" t="s">
        <v>568</v>
      </c>
      <c r="B224" s="30" t="s">
        <v>137</v>
      </c>
      <c r="C224" s="30" t="s">
        <v>26</v>
      </c>
      <c r="D224" s="30" t="s">
        <v>566</v>
      </c>
      <c r="E224" s="30" t="s">
        <v>569</v>
      </c>
      <c r="F224" s="30">
        <v>1</v>
      </c>
      <c r="G224" s="44">
        <v>935</v>
      </c>
      <c r="H224" s="30"/>
      <c r="I224" s="44"/>
      <c r="J224" s="44"/>
      <c r="K224" s="44">
        <f t="shared" si="6"/>
        <v>935</v>
      </c>
      <c r="L224" s="51">
        <v>20210818</v>
      </c>
    </row>
    <row r="225" spans="1:12" x14ac:dyDescent="0.25">
      <c r="A225" s="50" t="s">
        <v>565</v>
      </c>
      <c r="B225" s="30" t="s">
        <v>137</v>
      </c>
      <c r="C225" s="30" t="s">
        <v>26</v>
      </c>
      <c r="D225" s="30" t="s">
        <v>566</v>
      </c>
      <c r="E225" s="30" t="s">
        <v>567</v>
      </c>
      <c r="F225" s="30">
        <v>1</v>
      </c>
      <c r="G225" s="44">
        <v>935</v>
      </c>
      <c r="H225" s="30"/>
      <c r="I225" s="44"/>
      <c r="J225" s="44"/>
      <c r="K225" s="44">
        <f t="shared" si="6"/>
        <v>935</v>
      </c>
      <c r="L225" s="51">
        <v>20210818</v>
      </c>
    </row>
    <row r="226" spans="1:12" x14ac:dyDescent="0.25">
      <c r="A226" s="50" t="s">
        <v>562</v>
      </c>
      <c r="B226" s="30" t="s">
        <v>137</v>
      </c>
      <c r="C226" s="30" t="s">
        <v>26</v>
      </c>
      <c r="D226" s="30" t="s">
        <v>556</v>
      </c>
      <c r="E226" s="30" t="s">
        <v>563</v>
      </c>
      <c r="F226" s="30">
        <v>1</v>
      </c>
      <c r="G226" s="44">
        <v>935</v>
      </c>
      <c r="H226" s="30"/>
      <c r="I226" s="44"/>
      <c r="J226" s="44"/>
      <c r="K226" s="44">
        <f t="shared" si="6"/>
        <v>935</v>
      </c>
      <c r="L226" s="51">
        <v>20210819</v>
      </c>
    </row>
    <row r="227" spans="1:12" x14ac:dyDescent="0.25">
      <c r="A227" s="50" t="s">
        <v>560</v>
      </c>
      <c r="B227" s="30" t="s">
        <v>137</v>
      </c>
      <c r="C227" s="30" t="s">
        <v>26</v>
      </c>
      <c r="D227" s="30" t="s">
        <v>556</v>
      </c>
      <c r="E227" s="30" t="s">
        <v>561</v>
      </c>
      <c r="F227" s="30">
        <v>1</v>
      </c>
      <c r="G227" s="44">
        <v>935</v>
      </c>
      <c r="H227" s="30"/>
      <c r="I227" s="44"/>
      <c r="J227" s="44"/>
      <c r="K227" s="44">
        <f t="shared" si="6"/>
        <v>935</v>
      </c>
      <c r="L227" s="51">
        <v>20210819</v>
      </c>
    </row>
    <row r="228" spans="1:12" x14ac:dyDescent="0.25">
      <c r="A228" s="50" t="s">
        <v>558</v>
      </c>
      <c r="B228" s="30" t="s">
        <v>137</v>
      </c>
      <c r="C228" s="30" t="s">
        <v>26</v>
      </c>
      <c r="D228" s="30" t="s">
        <v>556</v>
      </c>
      <c r="E228" s="30" t="s">
        <v>559</v>
      </c>
      <c r="F228" s="30">
        <v>1</v>
      </c>
      <c r="G228" s="44">
        <v>935</v>
      </c>
      <c r="H228" s="30"/>
      <c r="I228" s="44"/>
      <c r="J228" s="44"/>
      <c r="K228" s="44">
        <f t="shared" si="6"/>
        <v>935</v>
      </c>
      <c r="L228" s="51">
        <v>20210819</v>
      </c>
    </row>
    <row r="229" spans="1:12" x14ac:dyDescent="0.25">
      <c r="A229" s="50" t="s">
        <v>555</v>
      </c>
      <c r="B229" s="30" t="s">
        <v>137</v>
      </c>
      <c r="C229" s="30" t="s">
        <v>26</v>
      </c>
      <c r="D229" s="30" t="s">
        <v>556</v>
      </c>
      <c r="E229" s="30" t="s">
        <v>557</v>
      </c>
      <c r="F229" s="30">
        <v>1</v>
      </c>
      <c r="G229" s="44">
        <v>935</v>
      </c>
      <c r="H229" s="30"/>
      <c r="I229" s="44"/>
      <c r="J229" s="44"/>
      <c r="K229" s="44">
        <f t="shared" si="6"/>
        <v>935</v>
      </c>
      <c r="L229" s="51">
        <v>20210819</v>
      </c>
    </row>
    <row r="230" spans="1:12" x14ac:dyDescent="0.25">
      <c r="A230" s="50" t="s">
        <v>550</v>
      </c>
      <c r="B230" s="30" t="s">
        <v>137</v>
      </c>
      <c r="C230" s="30" t="s">
        <v>26</v>
      </c>
      <c r="D230" s="30" t="s">
        <v>544</v>
      </c>
      <c r="E230" s="30" t="s">
        <v>551</v>
      </c>
      <c r="F230" s="30">
        <v>1</v>
      </c>
      <c r="G230" s="44">
        <v>935</v>
      </c>
      <c r="H230" s="30"/>
      <c r="I230" s="44"/>
      <c r="J230" s="44"/>
      <c r="K230" s="44">
        <f t="shared" si="6"/>
        <v>935</v>
      </c>
      <c r="L230" s="51">
        <v>20210823</v>
      </c>
    </row>
    <row r="231" spans="1:12" x14ac:dyDescent="0.25">
      <c r="A231" s="50" t="s">
        <v>548</v>
      </c>
      <c r="B231" s="30" t="s">
        <v>137</v>
      </c>
      <c r="C231" s="30" t="s">
        <v>26</v>
      </c>
      <c r="D231" s="30" t="s">
        <v>544</v>
      </c>
      <c r="E231" s="30" t="s">
        <v>549</v>
      </c>
      <c r="F231" s="30">
        <v>1</v>
      </c>
      <c r="G231" s="44">
        <v>935</v>
      </c>
      <c r="H231" s="30"/>
      <c r="I231" s="44"/>
      <c r="J231" s="44"/>
      <c r="K231" s="44">
        <f t="shared" si="6"/>
        <v>935</v>
      </c>
      <c r="L231" s="51">
        <v>20210823</v>
      </c>
    </row>
    <row r="232" spans="1:12" x14ac:dyDescent="0.25">
      <c r="A232" s="50" t="s">
        <v>546</v>
      </c>
      <c r="B232" s="30" t="s">
        <v>137</v>
      </c>
      <c r="C232" s="30" t="s">
        <v>26</v>
      </c>
      <c r="D232" s="30" t="s">
        <v>544</v>
      </c>
      <c r="E232" s="30" t="s">
        <v>547</v>
      </c>
      <c r="F232" s="30">
        <v>1</v>
      </c>
      <c r="G232" s="44">
        <v>935</v>
      </c>
      <c r="H232" s="30"/>
      <c r="I232" s="44"/>
      <c r="J232" s="44"/>
      <c r="K232" s="44">
        <f t="shared" si="6"/>
        <v>935</v>
      </c>
      <c r="L232" s="51">
        <v>20210823</v>
      </c>
    </row>
    <row r="233" spans="1:12" x14ac:dyDescent="0.25">
      <c r="A233" s="50" t="s">
        <v>543</v>
      </c>
      <c r="B233" s="30" t="s">
        <v>137</v>
      </c>
      <c r="C233" s="30" t="s">
        <v>26</v>
      </c>
      <c r="D233" s="30" t="s">
        <v>544</v>
      </c>
      <c r="E233" s="30" t="s">
        <v>545</v>
      </c>
      <c r="F233" s="30">
        <v>1</v>
      </c>
      <c r="G233" s="44">
        <v>935</v>
      </c>
      <c r="H233" s="30"/>
      <c r="I233" s="44"/>
      <c r="J233" s="44"/>
      <c r="K233" s="44">
        <f t="shared" si="6"/>
        <v>935</v>
      </c>
      <c r="L233" s="51">
        <v>20210823</v>
      </c>
    </row>
    <row r="234" spans="1:12" x14ac:dyDescent="0.25">
      <c r="A234" s="50" t="s">
        <v>540</v>
      </c>
      <c r="B234" s="30" t="s">
        <v>137</v>
      </c>
      <c r="C234" s="30" t="s">
        <v>26</v>
      </c>
      <c r="D234" s="30" t="s">
        <v>228</v>
      </c>
      <c r="E234" s="30" t="s">
        <v>541</v>
      </c>
      <c r="F234" s="30">
        <v>1</v>
      </c>
      <c r="G234" s="44">
        <v>935</v>
      </c>
      <c r="H234" s="30"/>
      <c r="I234" s="44"/>
      <c r="J234" s="44"/>
      <c r="K234" s="44">
        <f t="shared" si="6"/>
        <v>935</v>
      </c>
      <c r="L234" s="51">
        <v>20210830</v>
      </c>
    </row>
    <row r="235" spans="1:12" x14ac:dyDescent="0.25">
      <c r="A235" s="50" t="s">
        <v>539</v>
      </c>
      <c r="B235" s="30" t="s">
        <v>137</v>
      </c>
      <c r="C235" s="30" t="s">
        <v>26</v>
      </c>
      <c r="D235" s="30" t="s">
        <v>228</v>
      </c>
      <c r="E235" s="30" t="s">
        <v>257</v>
      </c>
      <c r="F235" s="30">
        <v>1</v>
      </c>
      <c r="G235" s="44">
        <v>935</v>
      </c>
      <c r="H235" s="30"/>
      <c r="I235" s="44"/>
      <c r="J235" s="44"/>
      <c r="K235" s="44">
        <f t="shared" si="6"/>
        <v>935</v>
      </c>
      <c r="L235" s="51">
        <v>20210830</v>
      </c>
    </row>
    <row r="236" spans="1:12" x14ac:dyDescent="0.25">
      <c r="A236" s="50" t="s">
        <v>537</v>
      </c>
      <c r="B236" s="30" t="s">
        <v>137</v>
      </c>
      <c r="C236" s="30" t="s">
        <v>26</v>
      </c>
      <c r="D236" s="30" t="s">
        <v>228</v>
      </c>
      <c r="E236" s="30" t="s">
        <v>538</v>
      </c>
      <c r="F236" s="30">
        <v>1</v>
      </c>
      <c r="G236" s="44">
        <v>935</v>
      </c>
      <c r="H236" s="30"/>
      <c r="I236" s="44"/>
      <c r="J236" s="44"/>
      <c r="K236" s="44">
        <f t="shared" si="6"/>
        <v>935</v>
      </c>
      <c r="L236" s="51">
        <v>20210830</v>
      </c>
    </row>
    <row r="237" spans="1:12" x14ac:dyDescent="0.25">
      <c r="A237" s="50" t="s">
        <v>535</v>
      </c>
      <c r="B237" s="30" t="s">
        <v>137</v>
      </c>
      <c r="C237" s="30" t="s">
        <v>26</v>
      </c>
      <c r="D237" s="30" t="s">
        <v>228</v>
      </c>
      <c r="E237" s="30" t="s">
        <v>536</v>
      </c>
      <c r="F237" s="30">
        <v>1</v>
      </c>
      <c r="G237" s="44">
        <v>935</v>
      </c>
      <c r="H237" s="30"/>
      <c r="I237" s="44"/>
      <c r="J237" s="44"/>
      <c r="K237" s="44">
        <f t="shared" si="6"/>
        <v>935</v>
      </c>
      <c r="L237" s="51">
        <v>20210830</v>
      </c>
    </row>
    <row r="238" spans="1:12" x14ac:dyDescent="0.25">
      <c r="A238" s="50" t="s">
        <v>525</v>
      </c>
      <c r="B238" s="30" t="s">
        <v>137</v>
      </c>
      <c r="C238" s="30" t="s">
        <v>26</v>
      </c>
      <c r="D238" s="30" t="s">
        <v>521</v>
      </c>
      <c r="E238" s="30" t="s">
        <v>526</v>
      </c>
      <c r="F238" s="30">
        <v>1</v>
      </c>
      <c r="G238" s="44">
        <v>935</v>
      </c>
      <c r="H238" s="30"/>
      <c r="I238" s="44"/>
      <c r="J238" s="44"/>
      <c r="K238" s="44">
        <f t="shared" si="6"/>
        <v>935</v>
      </c>
      <c r="L238" s="51">
        <v>20210831</v>
      </c>
    </row>
    <row r="239" spans="1:12" x14ac:dyDescent="0.25">
      <c r="A239" s="50" t="s">
        <v>523</v>
      </c>
      <c r="B239" s="30" t="s">
        <v>137</v>
      </c>
      <c r="C239" s="30" t="s">
        <v>26</v>
      </c>
      <c r="D239" s="30" t="s">
        <v>521</v>
      </c>
      <c r="E239" s="30" t="s">
        <v>524</v>
      </c>
      <c r="F239" s="30">
        <v>1</v>
      </c>
      <c r="G239" s="44">
        <v>935</v>
      </c>
      <c r="H239" s="30"/>
      <c r="I239" s="44"/>
      <c r="J239" s="44"/>
      <c r="K239" s="44">
        <f t="shared" si="6"/>
        <v>935</v>
      </c>
      <c r="L239" s="51">
        <v>20210831</v>
      </c>
    </row>
    <row r="240" spans="1:12" x14ac:dyDescent="0.25">
      <c r="A240" s="50" t="s">
        <v>520</v>
      </c>
      <c r="B240" s="30" t="s">
        <v>137</v>
      </c>
      <c r="C240" s="30" t="s">
        <v>26</v>
      </c>
      <c r="D240" s="30" t="s">
        <v>521</v>
      </c>
      <c r="E240" s="30" t="s">
        <v>522</v>
      </c>
      <c r="F240" s="30">
        <v>1</v>
      </c>
      <c r="G240" s="44">
        <v>935</v>
      </c>
      <c r="H240" s="30"/>
      <c r="I240" s="44"/>
      <c r="J240" s="44"/>
      <c r="K240" s="44">
        <f t="shared" si="6"/>
        <v>935</v>
      </c>
      <c r="L240" s="51">
        <v>20210831</v>
      </c>
    </row>
    <row r="241" spans="1:12" ht="15.75" thickBot="1" x14ac:dyDescent="0.3">
      <c r="A241" s="54" t="s">
        <v>519</v>
      </c>
      <c r="B241" s="36" t="s">
        <v>137</v>
      </c>
      <c r="C241" s="36" t="s">
        <v>26</v>
      </c>
      <c r="D241" s="36" t="s">
        <v>179</v>
      </c>
      <c r="E241" s="36" t="s">
        <v>223</v>
      </c>
      <c r="F241" s="36">
        <v>1</v>
      </c>
      <c r="G241" s="65">
        <v>935</v>
      </c>
      <c r="H241" s="36"/>
      <c r="I241" s="65"/>
      <c r="J241" s="65"/>
      <c r="K241" s="65">
        <f t="shared" si="6"/>
        <v>935</v>
      </c>
      <c r="L241" s="55">
        <v>20210831</v>
      </c>
    </row>
    <row r="245" spans="1:12" ht="15.75" thickBot="1" x14ac:dyDescent="0.3">
      <c r="A245" s="69" t="s">
        <v>0</v>
      </c>
      <c r="B245" s="70" t="s">
        <v>1</v>
      </c>
      <c r="C245" s="70" t="s">
        <v>2</v>
      </c>
      <c r="D245" s="70" t="s">
        <v>3</v>
      </c>
      <c r="E245" s="70" t="s">
        <v>4</v>
      </c>
      <c r="F245" s="70"/>
      <c r="G245" s="71" t="s">
        <v>6</v>
      </c>
      <c r="H245" s="70" t="s">
        <v>7</v>
      </c>
      <c r="I245" s="71" t="s">
        <v>8</v>
      </c>
      <c r="J245" s="71" t="s">
        <v>9</v>
      </c>
      <c r="K245" s="71" t="s">
        <v>10</v>
      </c>
      <c r="L245" s="72" t="s">
        <v>5</v>
      </c>
    </row>
    <row r="246" spans="1:12" x14ac:dyDescent="0.25">
      <c r="A246" s="48" t="s">
        <v>817</v>
      </c>
      <c r="B246" s="34" t="s">
        <v>11</v>
      </c>
      <c r="C246" s="34" t="s">
        <v>364</v>
      </c>
      <c r="D246" s="34" t="s">
        <v>24</v>
      </c>
      <c r="E246" s="34" t="s">
        <v>698</v>
      </c>
      <c r="F246" s="34">
        <v>1</v>
      </c>
      <c r="G246" s="64">
        <v>1870</v>
      </c>
      <c r="H246" s="34"/>
      <c r="I246" s="64"/>
      <c r="J246" s="64"/>
      <c r="K246" s="64">
        <f t="shared" ref="K246:K276" si="7">J246+G246</f>
        <v>1870</v>
      </c>
      <c r="L246" s="49">
        <v>20210901</v>
      </c>
    </row>
    <row r="247" spans="1:12" x14ac:dyDescent="0.25">
      <c r="A247" s="50" t="s">
        <v>816</v>
      </c>
      <c r="B247" s="30" t="s">
        <v>11</v>
      </c>
      <c r="C247" s="30" t="s">
        <v>134</v>
      </c>
      <c r="D247" s="30" t="s">
        <v>354</v>
      </c>
      <c r="E247" s="30" t="s">
        <v>355</v>
      </c>
      <c r="F247" s="30">
        <v>1</v>
      </c>
      <c r="G247" s="44">
        <v>1870</v>
      </c>
      <c r="H247" s="30"/>
      <c r="I247" s="44"/>
      <c r="J247" s="44"/>
      <c r="K247" s="44">
        <f t="shared" si="7"/>
        <v>1870</v>
      </c>
      <c r="L247" s="51">
        <v>20210901</v>
      </c>
    </row>
    <row r="248" spans="1:12" x14ac:dyDescent="0.25">
      <c r="A248" s="52" t="s">
        <v>800</v>
      </c>
      <c r="B248" s="32" t="s">
        <v>11</v>
      </c>
      <c r="C248" s="32" t="s">
        <v>26</v>
      </c>
      <c r="D248" s="32" t="s">
        <v>307</v>
      </c>
      <c r="E248" s="32" t="s">
        <v>314</v>
      </c>
      <c r="F248" s="32">
        <v>1</v>
      </c>
      <c r="G248" s="45">
        <v>1870</v>
      </c>
      <c r="H248" s="32">
        <v>24</v>
      </c>
      <c r="I248" s="45">
        <v>25</v>
      </c>
      <c r="J248" s="45">
        <f>I248*H248</f>
        <v>600</v>
      </c>
      <c r="K248" s="45">
        <f t="shared" si="7"/>
        <v>2470</v>
      </c>
      <c r="L248" s="53">
        <v>20210906</v>
      </c>
    </row>
    <row r="249" spans="1:12" x14ac:dyDescent="0.25">
      <c r="A249" s="50" t="s">
        <v>788</v>
      </c>
      <c r="B249" s="30" t="s">
        <v>11</v>
      </c>
      <c r="C249" s="30" t="s">
        <v>364</v>
      </c>
      <c r="D249" s="30" t="s">
        <v>24</v>
      </c>
      <c r="E249" s="30" t="s">
        <v>695</v>
      </c>
      <c r="F249" s="30">
        <v>1</v>
      </c>
      <c r="G249" s="44">
        <v>1870</v>
      </c>
      <c r="H249" s="30"/>
      <c r="I249" s="44"/>
      <c r="J249" s="44"/>
      <c r="K249" s="44">
        <f t="shared" si="7"/>
        <v>1870</v>
      </c>
      <c r="L249" s="51">
        <v>20210907</v>
      </c>
    </row>
    <row r="250" spans="1:12" x14ac:dyDescent="0.25">
      <c r="A250" s="50" t="s">
        <v>789</v>
      </c>
      <c r="B250" s="30" t="s">
        <v>11</v>
      </c>
      <c r="C250" s="30" t="s">
        <v>29</v>
      </c>
      <c r="D250" s="30" t="s">
        <v>24</v>
      </c>
      <c r="E250" s="30" t="s">
        <v>733</v>
      </c>
      <c r="F250" s="30">
        <v>1</v>
      </c>
      <c r="G250" s="44">
        <v>1870</v>
      </c>
      <c r="H250" s="30"/>
      <c r="I250" s="44"/>
      <c r="J250" s="44"/>
      <c r="K250" s="44">
        <f t="shared" si="7"/>
        <v>1870</v>
      </c>
      <c r="L250" s="51">
        <v>20210907</v>
      </c>
    </row>
    <row r="251" spans="1:12" x14ac:dyDescent="0.25">
      <c r="A251" s="50" t="s">
        <v>814</v>
      </c>
      <c r="B251" s="30" t="s">
        <v>11</v>
      </c>
      <c r="C251" s="30" t="s">
        <v>163</v>
      </c>
      <c r="D251" s="30" t="s">
        <v>164</v>
      </c>
      <c r="E251" s="30" t="s">
        <v>478</v>
      </c>
      <c r="F251" s="30">
        <v>1</v>
      </c>
      <c r="G251" s="44">
        <v>1870</v>
      </c>
      <c r="H251" s="30"/>
      <c r="I251" s="44"/>
      <c r="J251" s="44"/>
      <c r="K251" s="44">
        <f t="shared" si="7"/>
        <v>1870</v>
      </c>
      <c r="L251" s="51">
        <v>20210907</v>
      </c>
    </row>
    <row r="252" spans="1:12" x14ac:dyDescent="0.25">
      <c r="A252" s="52" t="s">
        <v>813</v>
      </c>
      <c r="B252" s="32" t="s">
        <v>11</v>
      </c>
      <c r="C252" s="32" t="s">
        <v>163</v>
      </c>
      <c r="D252" s="32" t="s">
        <v>164</v>
      </c>
      <c r="E252" s="32" t="s">
        <v>221</v>
      </c>
      <c r="F252" s="32">
        <v>1</v>
      </c>
      <c r="G252" s="45">
        <v>1870</v>
      </c>
      <c r="H252" s="32">
        <v>120</v>
      </c>
      <c r="I252" s="45">
        <v>25</v>
      </c>
      <c r="J252" s="45">
        <f>I252*H252</f>
        <v>3000</v>
      </c>
      <c r="K252" s="45">
        <f t="shared" si="7"/>
        <v>4870</v>
      </c>
      <c r="L252" s="53">
        <v>20210907</v>
      </c>
    </row>
    <row r="253" spans="1:12" x14ac:dyDescent="0.25">
      <c r="A253" s="50" t="s">
        <v>796</v>
      </c>
      <c r="B253" s="30" t="s">
        <v>11</v>
      </c>
      <c r="C253" s="30" t="s">
        <v>251</v>
      </c>
      <c r="D253" s="30" t="s">
        <v>767</v>
      </c>
      <c r="E253" s="30" t="s">
        <v>768</v>
      </c>
      <c r="F253" s="30">
        <v>1</v>
      </c>
      <c r="G253" s="44">
        <v>1870</v>
      </c>
      <c r="H253" s="30"/>
      <c r="I253" s="44"/>
      <c r="J253" s="44"/>
      <c r="K253" s="44">
        <f t="shared" si="7"/>
        <v>1870</v>
      </c>
      <c r="L253" s="51">
        <v>20210908</v>
      </c>
    </row>
    <row r="254" spans="1:12" x14ac:dyDescent="0.25">
      <c r="A254" s="50" t="s">
        <v>518</v>
      </c>
      <c r="B254" s="30" t="s">
        <v>11</v>
      </c>
      <c r="C254" s="30" t="s">
        <v>134</v>
      </c>
      <c r="D254" s="30" t="s">
        <v>354</v>
      </c>
      <c r="E254" s="30" t="s">
        <v>355</v>
      </c>
      <c r="F254" s="30">
        <v>1</v>
      </c>
      <c r="G254" s="44">
        <v>1870</v>
      </c>
      <c r="H254" s="30"/>
      <c r="I254" s="44"/>
      <c r="J254" s="44"/>
      <c r="K254" s="44">
        <f t="shared" si="7"/>
        <v>1870</v>
      </c>
      <c r="L254" s="51">
        <v>20210909</v>
      </c>
    </row>
    <row r="255" spans="1:12" x14ac:dyDescent="0.25">
      <c r="A255" s="50" t="s">
        <v>787</v>
      </c>
      <c r="B255" s="30" t="s">
        <v>11</v>
      </c>
      <c r="C255" s="30" t="s">
        <v>94</v>
      </c>
      <c r="D255" s="30" t="s">
        <v>95</v>
      </c>
      <c r="E255" s="30" t="s">
        <v>467</v>
      </c>
      <c r="F255" s="30">
        <v>1</v>
      </c>
      <c r="G255" s="44">
        <v>1870</v>
      </c>
      <c r="H255" s="30"/>
      <c r="I255" s="44"/>
      <c r="J255" s="44"/>
      <c r="K255" s="44">
        <f t="shared" si="7"/>
        <v>1870</v>
      </c>
      <c r="L255" s="51">
        <v>20210909</v>
      </c>
    </row>
    <row r="256" spans="1:12" x14ac:dyDescent="0.25">
      <c r="A256" s="52" t="s">
        <v>780</v>
      </c>
      <c r="B256" s="32" t="s">
        <v>11</v>
      </c>
      <c r="C256" s="32" t="s">
        <v>34</v>
      </c>
      <c r="D256" s="32" t="s">
        <v>35</v>
      </c>
      <c r="E256" s="32" t="s">
        <v>114</v>
      </c>
      <c r="F256" s="32">
        <v>1</v>
      </c>
      <c r="G256" s="45">
        <v>1870</v>
      </c>
      <c r="H256" s="32">
        <v>64</v>
      </c>
      <c r="I256" s="45">
        <v>25</v>
      </c>
      <c r="J256" s="45">
        <f>I256*H256</f>
        <v>1600</v>
      </c>
      <c r="K256" s="45">
        <f t="shared" si="7"/>
        <v>3470</v>
      </c>
      <c r="L256" s="53">
        <v>20210910</v>
      </c>
    </row>
    <row r="257" spans="1:12" x14ac:dyDescent="0.25">
      <c r="A257" s="52" t="s">
        <v>790</v>
      </c>
      <c r="B257" s="32" t="s">
        <v>11</v>
      </c>
      <c r="C257" s="32" t="s">
        <v>34</v>
      </c>
      <c r="D257" s="32" t="s">
        <v>35</v>
      </c>
      <c r="E257" s="32" t="s">
        <v>198</v>
      </c>
      <c r="F257" s="32">
        <v>1</v>
      </c>
      <c r="G257" s="45">
        <v>1870</v>
      </c>
      <c r="H257" s="32">
        <v>64</v>
      </c>
      <c r="I257" s="45">
        <v>25</v>
      </c>
      <c r="J257" s="45">
        <f>I257*H257</f>
        <v>1600</v>
      </c>
      <c r="K257" s="45">
        <f t="shared" si="7"/>
        <v>3470</v>
      </c>
      <c r="L257" s="53">
        <v>20210910</v>
      </c>
    </row>
    <row r="258" spans="1:12" x14ac:dyDescent="0.25">
      <c r="A258" s="52" t="s">
        <v>812</v>
      </c>
      <c r="B258" s="32" t="s">
        <v>11</v>
      </c>
      <c r="C258" s="32" t="s">
        <v>337</v>
      </c>
      <c r="D258" s="32" t="s">
        <v>162</v>
      </c>
      <c r="E258" s="32" t="s">
        <v>235</v>
      </c>
      <c r="F258" s="32">
        <v>1</v>
      </c>
      <c r="G258" s="45">
        <v>1870</v>
      </c>
      <c r="H258" s="32">
        <v>60</v>
      </c>
      <c r="I258" s="45">
        <v>25</v>
      </c>
      <c r="J258" s="45">
        <f>I258*H258</f>
        <v>1500</v>
      </c>
      <c r="K258" s="45">
        <f t="shared" si="7"/>
        <v>3370</v>
      </c>
      <c r="L258" s="53">
        <v>20210913</v>
      </c>
    </row>
    <row r="259" spans="1:12" x14ac:dyDescent="0.25">
      <c r="A259" s="52" t="s">
        <v>781</v>
      </c>
      <c r="B259" s="32" t="s">
        <v>11</v>
      </c>
      <c r="C259" s="32" t="s">
        <v>134</v>
      </c>
      <c r="D259" s="32" t="s">
        <v>135</v>
      </c>
      <c r="E259" s="32" t="s">
        <v>190</v>
      </c>
      <c r="F259" s="32">
        <v>1</v>
      </c>
      <c r="G259" s="45">
        <v>1870</v>
      </c>
      <c r="H259" s="32">
        <v>25</v>
      </c>
      <c r="I259" s="45">
        <v>25</v>
      </c>
      <c r="J259" s="45">
        <f>I259*H259</f>
        <v>625</v>
      </c>
      <c r="K259" s="45">
        <f t="shared" si="7"/>
        <v>2495</v>
      </c>
      <c r="L259" s="53">
        <v>20210914</v>
      </c>
    </row>
    <row r="260" spans="1:12" x14ac:dyDescent="0.25">
      <c r="A260" s="50" t="s">
        <v>746</v>
      </c>
      <c r="B260" s="30" t="s">
        <v>11</v>
      </c>
      <c r="C260" s="30" t="s">
        <v>134</v>
      </c>
      <c r="D260" s="30" t="s">
        <v>354</v>
      </c>
      <c r="E260" s="30" t="s">
        <v>355</v>
      </c>
      <c r="F260" s="30">
        <v>1</v>
      </c>
      <c r="G260" s="44">
        <v>1870</v>
      </c>
      <c r="H260" s="30"/>
      <c r="I260" s="44"/>
      <c r="J260" s="44"/>
      <c r="K260" s="44">
        <f t="shared" si="7"/>
        <v>1870</v>
      </c>
      <c r="L260" s="51">
        <v>20210914</v>
      </c>
    </row>
    <row r="261" spans="1:12" x14ac:dyDescent="0.25">
      <c r="A261" s="50" t="s">
        <v>778</v>
      </c>
      <c r="B261" s="30" t="s">
        <v>779</v>
      </c>
      <c r="C261" s="30" t="s">
        <v>26</v>
      </c>
      <c r="D261" s="30" t="s">
        <v>544</v>
      </c>
      <c r="E261" s="30" t="s">
        <v>549</v>
      </c>
      <c r="F261" s="30">
        <v>1</v>
      </c>
      <c r="G261" s="44">
        <v>1870</v>
      </c>
      <c r="H261" s="30"/>
      <c r="I261" s="44"/>
      <c r="J261" s="44"/>
      <c r="K261" s="44">
        <f t="shared" si="7"/>
        <v>1870</v>
      </c>
      <c r="L261" s="51">
        <v>20210915</v>
      </c>
    </row>
    <row r="262" spans="1:12" x14ac:dyDescent="0.25">
      <c r="A262" s="50" t="s">
        <v>732</v>
      </c>
      <c r="B262" s="30" t="s">
        <v>11</v>
      </c>
      <c r="C262" s="30" t="s">
        <v>29</v>
      </c>
      <c r="D262" s="30" t="s">
        <v>24</v>
      </c>
      <c r="E262" s="30" t="s">
        <v>733</v>
      </c>
      <c r="F262" s="30">
        <v>1</v>
      </c>
      <c r="G262" s="44">
        <v>1870</v>
      </c>
      <c r="H262" s="30"/>
      <c r="I262" s="44"/>
      <c r="J262" s="44"/>
      <c r="K262" s="44">
        <f t="shared" si="7"/>
        <v>1870</v>
      </c>
      <c r="L262" s="51">
        <v>20210915</v>
      </c>
    </row>
    <row r="263" spans="1:12" x14ac:dyDescent="0.25">
      <c r="A263" s="50" t="s">
        <v>747</v>
      </c>
      <c r="B263" s="30" t="s">
        <v>11</v>
      </c>
      <c r="C263" s="30" t="s">
        <v>29</v>
      </c>
      <c r="D263" s="30" t="s">
        <v>389</v>
      </c>
      <c r="E263" s="30" t="s">
        <v>390</v>
      </c>
      <c r="F263" s="30">
        <v>1</v>
      </c>
      <c r="G263" s="44">
        <v>1870</v>
      </c>
      <c r="H263" s="30"/>
      <c r="I263" s="44"/>
      <c r="J263" s="44"/>
      <c r="K263" s="44">
        <f t="shared" si="7"/>
        <v>1870</v>
      </c>
      <c r="L263" s="51">
        <v>20210915</v>
      </c>
    </row>
    <row r="264" spans="1:12" x14ac:dyDescent="0.25">
      <c r="A264" s="50" t="s">
        <v>734</v>
      </c>
      <c r="B264" s="30" t="s">
        <v>11</v>
      </c>
      <c r="C264" s="30" t="s">
        <v>29</v>
      </c>
      <c r="D264" s="30" t="s">
        <v>735</v>
      </c>
      <c r="E264" s="30" t="s">
        <v>736</v>
      </c>
      <c r="F264" s="30">
        <v>1</v>
      </c>
      <c r="G264" s="44">
        <v>1870</v>
      </c>
      <c r="H264" s="30"/>
      <c r="I264" s="44"/>
      <c r="J264" s="44"/>
      <c r="K264" s="44">
        <f t="shared" si="7"/>
        <v>1870</v>
      </c>
      <c r="L264" s="51">
        <v>20210915</v>
      </c>
    </row>
    <row r="265" spans="1:12" x14ac:dyDescent="0.25">
      <c r="A265" s="50" t="s">
        <v>742</v>
      </c>
      <c r="B265" s="30" t="s">
        <v>11</v>
      </c>
      <c r="C265" s="30" t="s">
        <v>53</v>
      </c>
      <c r="D265" s="30" t="s">
        <v>24</v>
      </c>
      <c r="E265" s="30" t="s">
        <v>100</v>
      </c>
      <c r="F265" s="30">
        <v>1</v>
      </c>
      <c r="G265" s="44">
        <v>1870</v>
      </c>
      <c r="H265" s="30"/>
      <c r="I265" s="44"/>
      <c r="J265" s="44"/>
      <c r="K265" s="44">
        <f t="shared" si="7"/>
        <v>1870</v>
      </c>
      <c r="L265" s="51">
        <v>20210915</v>
      </c>
    </row>
    <row r="266" spans="1:12" x14ac:dyDescent="0.25">
      <c r="A266" s="50" t="s">
        <v>737</v>
      </c>
      <c r="B266" s="30" t="s">
        <v>11</v>
      </c>
      <c r="C266" s="30" t="s">
        <v>94</v>
      </c>
      <c r="D266" s="30" t="s">
        <v>95</v>
      </c>
      <c r="E266" s="30" t="s">
        <v>738</v>
      </c>
      <c r="F266" s="30">
        <v>1</v>
      </c>
      <c r="G266" s="44">
        <v>1870</v>
      </c>
      <c r="H266" s="30"/>
      <c r="I266" s="44"/>
      <c r="J266" s="44"/>
      <c r="K266" s="44">
        <f t="shared" si="7"/>
        <v>1870</v>
      </c>
      <c r="L266" s="51">
        <v>20210920</v>
      </c>
    </row>
    <row r="267" spans="1:12" x14ac:dyDescent="0.25">
      <c r="A267" s="52" t="s">
        <v>701</v>
      </c>
      <c r="B267" s="32" t="s">
        <v>11</v>
      </c>
      <c r="C267" s="32" t="s">
        <v>337</v>
      </c>
      <c r="D267" s="32" t="s">
        <v>35</v>
      </c>
      <c r="E267" s="32" t="s">
        <v>157</v>
      </c>
      <c r="F267" s="32">
        <v>1</v>
      </c>
      <c r="G267" s="45">
        <v>1870</v>
      </c>
      <c r="H267" s="32">
        <v>64</v>
      </c>
      <c r="I267" s="45">
        <v>25</v>
      </c>
      <c r="J267" s="45">
        <f>I267*H267</f>
        <v>1600</v>
      </c>
      <c r="K267" s="45">
        <f t="shared" si="7"/>
        <v>3470</v>
      </c>
      <c r="L267" s="53">
        <v>20210921</v>
      </c>
    </row>
    <row r="268" spans="1:12" x14ac:dyDescent="0.25">
      <c r="A268" s="50" t="s">
        <v>731</v>
      </c>
      <c r="B268" s="30" t="s">
        <v>27</v>
      </c>
      <c r="C268" s="30" t="s">
        <v>251</v>
      </c>
      <c r="D268" s="30" t="s">
        <v>24</v>
      </c>
      <c r="E268" s="30" t="s">
        <v>345</v>
      </c>
      <c r="F268" s="30">
        <v>1</v>
      </c>
      <c r="G268" s="44">
        <v>1870</v>
      </c>
      <c r="H268" s="30"/>
      <c r="I268" s="44"/>
      <c r="J268" s="44"/>
      <c r="K268" s="44">
        <f t="shared" si="7"/>
        <v>1870</v>
      </c>
      <c r="L268" s="51">
        <v>20210923</v>
      </c>
    </row>
    <row r="269" spans="1:12" x14ac:dyDescent="0.25">
      <c r="A269" s="50" t="s">
        <v>675</v>
      </c>
      <c r="B269" s="30" t="s">
        <v>27</v>
      </c>
      <c r="C269" s="30" t="s">
        <v>666</v>
      </c>
      <c r="D269" s="30" t="s">
        <v>676</v>
      </c>
      <c r="E269" s="30" t="s">
        <v>677</v>
      </c>
      <c r="F269" s="30">
        <v>1</v>
      </c>
      <c r="G269" s="44">
        <v>1870</v>
      </c>
      <c r="H269" s="30"/>
      <c r="I269" s="44"/>
      <c r="J269" s="44"/>
      <c r="K269" s="44">
        <f t="shared" si="7"/>
        <v>1870</v>
      </c>
      <c r="L269" s="51">
        <v>20210927</v>
      </c>
    </row>
    <row r="270" spans="1:12" x14ac:dyDescent="0.25">
      <c r="A270" s="50" t="s">
        <v>678</v>
      </c>
      <c r="B270" s="30" t="s">
        <v>27</v>
      </c>
      <c r="C270" s="30" t="s">
        <v>666</v>
      </c>
      <c r="D270" s="30" t="s">
        <v>679</v>
      </c>
      <c r="E270" s="30" t="s">
        <v>680</v>
      </c>
      <c r="F270" s="30">
        <v>1</v>
      </c>
      <c r="G270" s="44">
        <v>1870</v>
      </c>
      <c r="H270" s="30"/>
      <c r="I270" s="44"/>
      <c r="J270" s="44"/>
      <c r="K270" s="44">
        <f t="shared" si="7"/>
        <v>1870</v>
      </c>
      <c r="L270" s="51">
        <v>20210928</v>
      </c>
    </row>
    <row r="271" spans="1:12" x14ac:dyDescent="0.25">
      <c r="A271" s="50" t="s">
        <v>681</v>
      </c>
      <c r="B271" s="30" t="s">
        <v>27</v>
      </c>
      <c r="C271" s="30" t="s">
        <v>666</v>
      </c>
      <c r="D271" s="30" t="s">
        <v>682</v>
      </c>
      <c r="E271" s="30" t="s">
        <v>683</v>
      </c>
      <c r="F271" s="30">
        <v>1</v>
      </c>
      <c r="G271" s="44">
        <v>1870</v>
      </c>
      <c r="H271" s="30"/>
      <c r="I271" s="44"/>
      <c r="J271" s="44"/>
      <c r="K271" s="44">
        <f t="shared" si="7"/>
        <v>1870</v>
      </c>
      <c r="L271" s="51">
        <v>20210928</v>
      </c>
    </row>
    <row r="272" spans="1:12" x14ac:dyDescent="0.25">
      <c r="A272" s="50" t="s">
        <v>645</v>
      </c>
      <c r="B272" s="30" t="s">
        <v>11</v>
      </c>
      <c r="C272" s="30" t="s">
        <v>646</v>
      </c>
      <c r="D272" s="30" t="s">
        <v>24</v>
      </c>
      <c r="E272" s="30" t="s">
        <v>647</v>
      </c>
      <c r="F272" s="30">
        <v>1</v>
      </c>
      <c r="G272" s="44">
        <v>1870</v>
      </c>
      <c r="H272" s="30"/>
      <c r="I272" s="44"/>
      <c r="J272" s="44"/>
      <c r="K272" s="44">
        <f t="shared" si="7"/>
        <v>1870</v>
      </c>
      <c r="L272" s="51">
        <v>20210929</v>
      </c>
    </row>
    <row r="273" spans="1:12" x14ac:dyDescent="0.25">
      <c r="A273" s="50" t="s">
        <v>665</v>
      </c>
      <c r="B273" s="30" t="s">
        <v>27</v>
      </c>
      <c r="C273" s="30" t="s">
        <v>666</v>
      </c>
      <c r="D273" s="30" t="s">
        <v>667</v>
      </c>
      <c r="E273" s="30" t="s">
        <v>668</v>
      </c>
      <c r="F273" s="30">
        <v>1</v>
      </c>
      <c r="G273" s="44">
        <v>1870</v>
      </c>
      <c r="H273" s="30"/>
      <c r="I273" s="44"/>
      <c r="J273" s="44"/>
      <c r="K273" s="44">
        <f t="shared" si="7"/>
        <v>1870</v>
      </c>
      <c r="L273" s="51">
        <v>20210929</v>
      </c>
    </row>
    <row r="274" spans="1:12" x14ac:dyDescent="0.25">
      <c r="A274" s="50" t="s">
        <v>644</v>
      </c>
      <c r="B274" s="30" t="s">
        <v>11</v>
      </c>
      <c r="C274" s="30" t="s">
        <v>29</v>
      </c>
      <c r="D274" s="30" t="s">
        <v>24</v>
      </c>
      <c r="E274" s="30" t="s">
        <v>210</v>
      </c>
      <c r="F274" s="30">
        <v>1</v>
      </c>
      <c r="G274" s="44">
        <v>1870</v>
      </c>
      <c r="H274" s="30"/>
      <c r="I274" s="44"/>
      <c r="J274" s="44"/>
      <c r="K274" s="44">
        <f t="shared" si="7"/>
        <v>1870</v>
      </c>
      <c r="L274" s="51">
        <v>20210929</v>
      </c>
    </row>
    <row r="275" spans="1:12" x14ac:dyDescent="0.25">
      <c r="A275" s="52" t="s">
        <v>810</v>
      </c>
      <c r="B275" s="32" t="s">
        <v>11</v>
      </c>
      <c r="C275" s="32" t="s">
        <v>405</v>
      </c>
      <c r="D275" s="32" t="s">
        <v>798</v>
      </c>
      <c r="E275" s="32" t="s">
        <v>811</v>
      </c>
      <c r="F275" s="32">
        <v>1</v>
      </c>
      <c r="G275" s="45">
        <v>1870</v>
      </c>
      <c r="H275" s="32">
        <v>25</v>
      </c>
      <c r="I275" s="45">
        <v>25</v>
      </c>
      <c r="J275" s="45">
        <f>I275*H275</f>
        <v>625</v>
      </c>
      <c r="K275" s="45">
        <f t="shared" si="7"/>
        <v>2495</v>
      </c>
      <c r="L275" s="53">
        <v>20210930</v>
      </c>
    </row>
    <row r="276" spans="1:12" ht="15.75" thickBot="1" x14ac:dyDescent="0.3">
      <c r="A276" s="87" t="s">
        <v>797</v>
      </c>
      <c r="B276" s="88" t="s">
        <v>11</v>
      </c>
      <c r="C276" s="88" t="s">
        <v>405</v>
      </c>
      <c r="D276" s="88" t="s">
        <v>798</v>
      </c>
      <c r="E276" s="88" t="s">
        <v>799</v>
      </c>
      <c r="F276" s="88">
        <v>1</v>
      </c>
      <c r="G276" s="89">
        <v>1870</v>
      </c>
      <c r="H276" s="88">
        <v>25</v>
      </c>
      <c r="I276" s="89">
        <v>25</v>
      </c>
      <c r="J276" s="89">
        <f>I276*H276</f>
        <v>625</v>
      </c>
      <c r="K276" s="89">
        <f t="shared" si="7"/>
        <v>2495</v>
      </c>
      <c r="L276" s="90">
        <v>20210930</v>
      </c>
    </row>
    <row r="277" spans="1:12" x14ac:dyDescent="0.25">
      <c r="A277" s="73"/>
      <c r="B277" s="74"/>
      <c r="C277" s="74"/>
      <c r="D277" s="74"/>
      <c r="E277" s="74"/>
      <c r="F277" s="74"/>
      <c r="G277" s="75"/>
      <c r="H277" s="74"/>
      <c r="I277" s="75"/>
      <c r="J277" s="75"/>
      <c r="K277" s="75"/>
      <c r="L277" s="76"/>
    </row>
    <row r="278" spans="1:12" ht="15.75" thickBot="1" x14ac:dyDescent="0.3">
      <c r="A278" s="69"/>
      <c r="B278" s="70"/>
      <c r="C278" s="70"/>
      <c r="D278" s="70"/>
      <c r="E278" s="70"/>
      <c r="F278" s="70"/>
      <c r="G278" s="71"/>
      <c r="H278" s="70"/>
      <c r="I278" s="71"/>
      <c r="J278" s="71"/>
      <c r="K278" s="71"/>
      <c r="L278" s="72"/>
    </row>
    <row r="279" spans="1:12" x14ac:dyDescent="0.25">
      <c r="A279" s="48" t="s">
        <v>815</v>
      </c>
      <c r="B279" s="34" t="s">
        <v>137</v>
      </c>
      <c r="C279" s="34" t="s">
        <v>26</v>
      </c>
      <c r="D279" s="34" t="s">
        <v>179</v>
      </c>
      <c r="E279" s="34" t="s">
        <v>180</v>
      </c>
      <c r="F279" s="34">
        <v>1</v>
      </c>
      <c r="G279" s="64">
        <v>935</v>
      </c>
      <c r="H279" s="34"/>
      <c r="I279" s="64"/>
      <c r="J279" s="64"/>
      <c r="K279" s="64">
        <f t="shared" ref="K279:K310" si="8">J279+G279</f>
        <v>935</v>
      </c>
      <c r="L279" s="49">
        <v>20210902</v>
      </c>
    </row>
    <row r="280" spans="1:12" x14ac:dyDescent="0.25">
      <c r="A280" s="50" t="s">
        <v>808</v>
      </c>
      <c r="B280" s="30" t="s">
        <v>137</v>
      </c>
      <c r="C280" s="30" t="s">
        <v>26</v>
      </c>
      <c r="D280" s="30" t="s">
        <v>802</v>
      </c>
      <c r="E280" s="30" t="s">
        <v>809</v>
      </c>
      <c r="F280" s="30">
        <v>1</v>
      </c>
      <c r="G280" s="44">
        <v>935</v>
      </c>
      <c r="H280" s="30"/>
      <c r="I280" s="44"/>
      <c r="J280" s="44"/>
      <c r="K280" s="44">
        <f t="shared" si="8"/>
        <v>935</v>
      </c>
      <c r="L280" s="51">
        <v>20210903</v>
      </c>
    </row>
    <row r="281" spans="1:12" x14ac:dyDescent="0.25">
      <c r="A281" s="50" t="s">
        <v>806</v>
      </c>
      <c r="B281" s="30" t="s">
        <v>137</v>
      </c>
      <c r="C281" s="30" t="s">
        <v>26</v>
      </c>
      <c r="D281" s="30" t="s">
        <v>802</v>
      </c>
      <c r="E281" s="30" t="s">
        <v>807</v>
      </c>
      <c r="F281" s="30">
        <v>1</v>
      </c>
      <c r="G281" s="44">
        <v>935</v>
      </c>
      <c r="H281" s="30"/>
      <c r="I281" s="44"/>
      <c r="J281" s="44"/>
      <c r="K281" s="44">
        <f t="shared" si="8"/>
        <v>935</v>
      </c>
      <c r="L281" s="51">
        <v>20210903</v>
      </c>
    </row>
    <row r="282" spans="1:12" x14ac:dyDescent="0.25">
      <c r="A282" s="50" t="s">
        <v>804</v>
      </c>
      <c r="B282" s="30" t="s">
        <v>137</v>
      </c>
      <c r="C282" s="30" t="s">
        <v>26</v>
      </c>
      <c r="D282" s="30" t="s">
        <v>802</v>
      </c>
      <c r="E282" s="30" t="s">
        <v>805</v>
      </c>
      <c r="F282" s="30">
        <v>1</v>
      </c>
      <c r="G282" s="44">
        <v>935</v>
      </c>
      <c r="H282" s="30"/>
      <c r="I282" s="44"/>
      <c r="J282" s="44"/>
      <c r="K282" s="44">
        <f t="shared" si="8"/>
        <v>935</v>
      </c>
      <c r="L282" s="51">
        <v>20210903</v>
      </c>
    </row>
    <row r="283" spans="1:12" x14ac:dyDescent="0.25">
      <c r="A283" s="50" t="s">
        <v>801</v>
      </c>
      <c r="B283" s="30" t="s">
        <v>137</v>
      </c>
      <c r="C283" s="30" t="s">
        <v>26</v>
      </c>
      <c r="D283" s="30" t="s">
        <v>802</v>
      </c>
      <c r="E283" s="30" t="s">
        <v>803</v>
      </c>
      <c r="F283" s="30">
        <v>1</v>
      </c>
      <c r="G283" s="44">
        <v>935</v>
      </c>
      <c r="H283" s="30"/>
      <c r="I283" s="44"/>
      <c r="J283" s="44"/>
      <c r="K283" s="44">
        <f t="shared" si="8"/>
        <v>935</v>
      </c>
      <c r="L283" s="51">
        <v>20210903</v>
      </c>
    </row>
    <row r="284" spans="1:12" x14ac:dyDescent="0.25">
      <c r="A284" s="50" t="s">
        <v>795</v>
      </c>
      <c r="B284" s="30" t="s">
        <v>137</v>
      </c>
      <c r="C284" s="30" t="s">
        <v>76</v>
      </c>
      <c r="D284" s="30" t="s">
        <v>24</v>
      </c>
      <c r="E284" s="30" t="s">
        <v>83</v>
      </c>
      <c r="F284" s="30">
        <v>1</v>
      </c>
      <c r="G284" s="44">
        <v>935</v>
      </c>
      <c r="H284" s="30"/>
      <c r="I284" s="44"/>
      <c r="J284" s="44"/>
      <c r="K284" s="44">
        <f t="shared" si="8"/>
        <v>935</v>
      </c>
      <c r="L284" s="51">
        <v>20210906</v>
      </c>
    </row>
    <row r="285" spans="1:12" x14ac:dyDescent="0.25">
      <c r="A285" s="50" t="s">
        <v>794</v>
      </c>
      <c r="B285" s="30" t="s">
        <v>137</v>
      </c>
      <c r="C285" s="30" t="s">
        <v>76</v>
      </c>
      <c r="D285" s="30" t="s">
        <v>24</v>
      </c>
      <c r="E285" s="30" t="s">
        <v>255</v>
      </c>
      <c r="F285" s="30">
        <v>1</v>
      </c>
      <c r="G285" s="44">
        <v>935</v>
      </c>
      <c r="H285" s="30"/>
      <c r="I285" s="44"/>
      <c r="J285" s="44"/>
      <c r="K285" s="44">
        <f t="shared" si="8"/>
        <v>935</v>
      </c>
      <c r="L285" s="51">
        <v>20210906</v>
      </c>
    </row>
    <row r="286" spans="1:12" x14ac:dyDescent="0.25">
      <c r="A286" s="50" t="s">
        <v>792</v>
      </c>
      <c r="B286" s="30" t="s">
        <v>137</v>
      </c>
      <c r="C286" s="30" t="s">
        <v>76</v>
      </c>
      <c r="D286" s="30" t="s">
        <v>24</v>
      </c>
      <c r="E286" s="30" t="s">
        <v>793</v>
      </c>
      <c r="F286" s="30">
        <v>1</v>
      </c>
      <c r="G286" s="44">
        <v>935</v>
      </c>
      <c r="H286" s="30"/>
      <c r="I286" s="44"/>
      <c r="J286" s="44"/>
      <c r="K286" s="44">
        <f t="shared" si="8"/>
        <v>935</v>
      </c>
      <c r="L286" s="51">
        <v>20210906</v>
      </c>
    </row>
    <row r="287" spans="1:12" x14ac:dyDescent="0.25">
      <c r="A287" s="50" t="s">
        <v>791</v>
      </c>
      <c r="B287" s="30" t="s">
        <v>137</v>
      </c>
      <c r="C287" s="30" t="s">
        <v>76</v>
      </c>
      <c r="D287" s="30" t="s">
        <v>24</v>
      </c>
      <c r="E287" s="30" t="s">
        <v>77</v>
      </c>
      <c r="F287" s="30">
        <v>1</v>
      </c>
      <c r="G287" s="44">
        <v>935</v>
      </c>
      <c r="H287" s="30"/>
      <c r="I287" s="44"/>
      <c r="J287" s="44"/>
      <c r="K287" s="44">
        <f t="shared" si="8"/>
        <v>935</v>
      </c>
      <c r="L287" s="51">
        <v>20210906</v>
      </c>
    </row>
    <row r="288" spans="1:12" x14ac:dyDescent="0.25">
      <c r="A288" s="50" t="s">
        <v>782</v>
      </c>
      <c r="B288" s="30" t="s">
        <v>137</v>
      </c>
      <c r="C288" s="30" t="s">
        <v>251</v>
      </c>
      <c r="D288" s="30" t="s">
        <v>375</v>
      </c>
      <c r="E288" s="30" t="s">
        <v>376</v>
      </c>
      <c r="F288" s="30">
        <v>1</v>
      </c>
      <c r="G288" s="44">
        <v>935</v>
      </c>
      <c r="H288" s="30"/>
      <c r="I288" s="44"/>
      <c r="J288" s="44"/>
      <c r="K288" s="44">
        <f t="shared" si="8"/>
        <v>935</v>
      </c>
      <c r="L288" s="51">
        <v>20210908</v>
      </c>
    </row>
    <row r="289" spans="1:12" x14ac:dyDescent="0.25">
      <c r="A289" s="50" t="s">
        <v>785</v>
      </c>
      <c r="B289" s="30" t="s">
        <v>137</v>
      </c>
      <c r="C289" s="30" t="s">
        <v>26</v>
      </c>
      <c r="D289" s="30" t="s">
        <v>204</v>
      </c>
      <c r="E289" s="30" t="s">
        <v>786</v>
      </c>
      <c r="F289" s="30">
        <v>1</v>
      </c>
      <c r="G289" s="44">
        <v>935</v>
      </c>
      <c r="H289" s="30"/>
      <c r="I289" s="44"/>
      <c r="J289" s="44"/>
      <c r="K289" s="44">
        <f t="shared" si="8"/>
        <v>935</v>
      </c>
      <c r="L289" s="51">
        <v>20210908</v>
      </c>
    </row>
    <row r="290" spans="1:12" x14ac:dyDescent="0.25">
      <c r="A290" s="50" t="s">
        <v>784</v>
      </c>
      <c r="B290" s="30" t="s">
        <v>137</v>
      </c>
      <c r="C290" s="30" t="s">
        <v>26</v>
      </c>
      <c r="D290" s="30" t="s">
        <v>204</v>
      </c>
      <c r="E290" s="30" t="s">
        <v>205</v>
      </c>
      <c r="F290" s="30">
        <v>1</v>
      </c>
      <c r="G290" s="44">
        <v>935</v>
      </c>
      <c r="H290" s="30"/>
      <c r="I290" s="44"/>
      <c r="J290" s="44"/>
      <c r="K290" s="44">
        <f t="shared" si="8"/>
        <v>935</v>
      </c>
      <c r="L290" s="51">
        <v>20210908</v>
      </c>
    </row>
    <row r="291" spans="1:12" x14ac:dyDescent="0.25">
      <c r="A291" s="50" t="s">
        <v>783</v>
      </c>
      <c r="B291" s="30" t="s">
        <v>137</v>
      </c>
      <c r="C291" s="30" t="s">
        <v>26</v>
      </c>
      <c r="D291" s="30" t="s">
        <v>204</v>
      </c>
      <c r="E291" s="30" t="s">
        <v>234</v>
      </c>
      <c r="F291" s="30">
        <v>1</v>
      </c>
      <c r="G291" s="44">
        <v>935</v>
      </c>
      <c r="H291" s="30"/>
      <c r="I291" s="44"/>
      <c r="J291" s="44"/>
      <c r="K291" s="44">
        <f t="shared" si="8"/>
        <v>935</v>
      </c>
      <c r="L291" s="51">
        <v>20210908</v>
      </c>
    </row>
    <row r="292" spans="1:12" x14ac:dyDescent="0.25">
      <c r="A292" s="50" t="s">
        <v>743</v>
      </c>
      <c r="B292" s="30" t="s">
        <v>137</v>
      </c>
      <c r="C292" s="30" t="s">
        <v>251</v>
      </c>
      <c r="D292" s="30" t="s">
        <v>744</v>
      </c>
      <c r="E292" s="30" t="s">
        <v>745</v>
      </c>
      <c r="F292" s="30">
        <v>1</v>
      </c>
      <c r="G292" s="44">
        <v>935</v>
      </c>
      <c r="H292" s="30"/>
      <c r="I292" s="44"/>
      <c r="J292" s="44"/>
      <c r="K292" s="44">
        <f t="shared" si="8"/>
        <v>935</v>
      </c>
      <c r="L292" s="51">
        <v>20210913</v>
      </c>
    </row>
    <row r="293" spans="1:12" x14ac:dyDescent="0.25">
      <c r="A293" s="50" t="s">
        <v>739</v>
      </c>
      <c r="B293" s="30" t="s">
        <v>137</v>
      </c>
      <c r="C293" s="30" t="s">
        <v>251</v>
      </c>
      <c r="D293" s="30" t="s">
        <v>740</v>
      </c>
      <c r="E293" s="30" t="s">
        <v>741</v>
      </c>
      <c r="F293" s="30">
        <v>1</v>
      </c>
      <c r="G293" s="44">
        <v>935</v>
      </c>
      <c r="H293" s="30"/>
      <c r="I293" s="44"/>
      <c r="J293" s="44"/>
      <c r="K293" s="44">
        <f t="shared" si="8"/>
        <v>935</v>
      </c>
      <c r="L293" s="51">
        <v>20210914</v>
      </c>
    </row>
    <row r="294" spans="1:12" x14ac:dyDescent="0.25">
      <c r="A294" s="50" t="s">
        <v>748</v>
      </c>
      <c r="B294" s="30" t="s">
        <v>137</v>
      </c>
      <c r="C294" s="30" t="s">
        <v>251</v>
      </c>
      <c r="D294" s="30" t="s">
        <v>252</v>
      </c>
      <c r="E294" s="30" t="s">
        <v>253</v>
      </c>
      <c r="F294" s="30">
        <v>1</v>
      </c>
      <c r="G294" s="44">
        <v>935</v>
      </c>
      <c r="H294" s="30"/>
      <c r="I294" s="44"/>
      <c r="J294" s="44"/>
      <c r="K294" s="44">
        <f t="shared" si="8"/>
        <v>935</v>
      </c>
      <c r="L294" s="51">
        <v>20210916</v>
      </c>
    </row>
    <row r="295" spans="1:12" x14ac:dyDescent="0.25">
      <c r="A295" s="50" t="s">
        <v>766</v>
      </c>
      <c r="B295" s="30" t="s">
        <v>137</v>
      </c>
      <c r="C295" s="30" t="s">
        <v>251</v>
      </c>
      <c r="D295" s="30" t="s">
        <v>767</v>
      </c>
      <c r="E295" s="30" t="s">
        <v>768</v>
      </c>
      <c r="F295" s="30">
        <v>1</v>
      </c>
      <c r="G295" s="44">
        <v>935</v>
      </c>
      <c r="H295" s="30"/>
      <c r="I295" s="44"/>
      <c r="J295" s="44"/>
      <c r="K295" s="44">
        <f t="shared" si="8"/>
        <v>935</v>
      </c>
      <c r="L295" s="51">
        <v>20210916</v>
      </c>
    </row>
    <row r="296" spans="1:12" x14ac:dyDescent="0.25">
      <c r="A296" s="50" t="s">
        <v>776</v>
      </c>
      <c r="B296" s="30" t="s">
        <v>137</v>
      </c>
      <c r="C296" s="30" t="s">
        <v>770</v>
      </c>
      <c r="D296" s="30" t="s">
        <v>24</v>
      </c>
      <c r="E296" s="30" t="s">
        <v>777</v>
      </c>
      <c r="F296" s="30">
        <v>1</v>
      </c>
      <c r="G296" s="44">
        <v>935</v>
      </c>
      <c r="H296" s="30"/>
      <c r="I296" s="44"/>
      <c r="J296" s="44"/>
      <c r="K296" s="44">
        <f t="shared" si="8"/>
        <v>935</v>
      </c>
      <c r="L296" s="51">
        <v>20210916</v>
      </c>
    </row>
    <row r="297" spans="1:12" x14ac:dyDescent="0.25">
      <c r="A297" s="50" t="s">
        <v>774</v>
      </c>
      <c r="B297" s="30" t="s">
        <v>137</v>
      </c>
      <c r="C297" s="30" t="s">
        <v>770</v>
      </c>
      <c r="D297" s="30" t="s">
        <v>24</v>
      </c>
      <c r="E297" s="30" t="s">
        <v>775</v>
      </c>
      <c r="F297" s="30">
        <v>1</v>
      </c>
      <c r="G297" s="44">
        <v>935</v>
      </c>
      <c r="H297" s="30"/>
      <c r="I297" s="44"/>
      <c r="J297" s="44"/>
      <c r="K297" s="44">
        <f t="shared" si="8"/>
        <v>935</v>
      </c>
      <c r="L297" s="51">
        <v>20210916</v>
      </c>
    </row>
    <row r="298" spans="1:12" x14ac:dyDescent="0.25">
      <c r="A298" s="50" t="s">
        <v>772</v>
      </c>
      <c r="B298" s="30" t="s">
        <v>137</v>
      </c>
      <c r="C298" s="30" t="s">
        <v>770</v>
      </c>
      <c r="D298" s="30" t="s">
        <v>24</v>
      </c>
      <c r="E298" s="30" t="s">
        <v>773</v>
      </c>
      <c r="F298" s="30">
        <v>1</v>
      </c>
      <c r="G298" s="44">
        <v>935</v>
      </c>
      <c r="H298" s="30"/>
      <c r="I298" s="44"/>
      <c r="J298" s="44"/>
      <c r="K298" s="44">
        <f t="shared" si="8"/>
        <v>935</v>
      </c>
      <c r="L298" s="51">
        <v>20210916</v>
      </c>
    </row>
    <row r="299" spans="1:12" x14ac:dyDescent="0.25">
      <c r="A299" s="50" t="s">
        <v>769</v>
      </c>
      <c r="B299" s="30" t="s">
        <v>137</v>
      </c>
      <c r="C299" s="30" t="s">
        <v>770</v>
      </c>
      <c r="D299" s="30" t="s">
        <v>24</v>
      </c>
      <c r="E299" s="30" t="s">
        <v>771</v>
      </c>
      <c r="F299" s="30">
        <v>1</v>
      </c>
      <c r="G299" s="44">
        <v>935</v>
      </c>
      <c r="H299" s="30"/>
      <c r="I299" s="44"/>
      <c r="J299" s="44"/>
      <c r="K299" s="44">
        <f t="shared" si="8"/>
        <v>935</v>
      </c>
      <c r="L299" s="51">
        <v>20210916</v>
      </c>
    </row>
    <row r="300" spans="1:12" x14ac:dyDescent="0.25">
      <c r="A300" s="50" t="s">
        <v>761</v>
      </c>
      <c r="B300" s="30" t="s">
        <v>137</v>
      </c>
      <c r="C300" s="30" t="s">
        <v>28</v>
      </c>
      <c r="D300" s="30" t="s">
        <v>759</v>
      </c>
      <c r="E300" s="30" t="s">
        <v>762</v>
      </c>
      <c r="F300" s="30">
        <v>1</v>
      </c>
      <c r="G300" s="44">
        <v>935</v>
      </c>
      <c r="H300" s="30"/>
      <c r="I300" s="44"/>
      <c r="J300" s="44"/>
      <c r="K300" s="44">
        <f t="shared" si="8"/>
        <v>935</v>
      </c>
      <c r="L300" s="51">
        <v>20210917</v>
      </c>
    </row>
    <row r="301" spans="1:12" x14ac:dyDescent="0.25">
      <c r="A301" s="50" t="s">
        <v>758</v>
      </c>
      <c r="B301" s="30" t="s">
        <v>137</v>
      </c>
      <c r="C301" s="30" t="s">
        <v>28</v>
      </c>
      <c r="D301" s="30" t="s">
        <v>759</v>
      </c>
      <c r="E301" s="30" t="s">
        <v>760</v>
      </c>
      <c r="F301" s="30">
        <v>1</v>
      </c>
      <c r="G301" s="44">
        <v>935</v>
      </c>
      <c r="H301" s="30"/>
      <c r="I301" s="44"/>
      <c r="J301" s="44"/>
      <c r="K301" s="44">
        <f t="shared" si="8"/>
        <v>935</v>
      </c>
      <c r="L301" s="51">
        <v>20210917</v>
      </c>
    </row>
    <row r="302" spans="1:12" x14ac:dyDescent="0.25">
      <c r="A302" s="52" t="s">
        <v>723</v>
      </c>
      <c r="B302" s="32" t="s">
        <v>137</v>
      </c>
      <c r="C302" s="32" t="s">
        <v>28</v>
      </c>
      <c r="D302" s="32" t="s">
        <v>724</v>
      </c>
      <c r="E302" s="32" t="s">
        <v>725</v>
      </c>
      <c r="F302" s="32">
        <v>1</v>
      </c>
      <c r="G302" s="45">
        <v>935</v>
      </c>
      <c r="H302" s="32">
        <v>140</v>
      </c>
      <c r="I302" s="45">
        <v>25</v>
      </c>
      <c r="J302" s="45">
        <f>I302*H302</f>
        <v>3500</v>
      </c>
      <c r="K302" s="45">
        <f t="shared" si="8"/>
        <v>4435</v>
      </c>
      <c r="L302" s="53">
        <v>20210917</v>
      </c>
    </row>
    <row r="303" spans="1:12" x14ac:dyDescent="0.25">
      <c r="A303" s="50" t="s">
        <v>729</v>
      </c>
      <c r="B303" s="30" t="s">
        <v>137</v>
      </c>
      <c r="C303" s="30" t="s">
        <v>26</v>
      </c>
      <c r="D303" s="30" t="s">
        <v>226</v>
      </c>
      <c r="E303" s="30" t="s">
        <v>730</v>
      </c>
      <c r="F303" s="30">
        <v>1</v>
      </c>
      <c r="G303" s="44">
        <v>935</v>
      </c>
      <c r="H303" s="30"/>
      <c r="I303" s="44"/>
      <c r="J303" s="44"/>
      <c r="K303" s="44">
        <f t="shared" si="8"/>
        <v>935</v>
      </c>
      <c r="L303" s="51">
        <v>20210917</v>
      </c>
    </row>
    <row r="304" spans="1:12" x14ac:dyDescent="0.25">
      <c r="A304" s="50" t="s">
        <v>727</v>
      </c>
      <c r="B304" s="30" t="s">
        <v>137</v>
      </c>
      <c r="C304" s="30" t="s">
        <v>26</v>
      </c>
      <c r="D304" s="30" t="s">
        <v>226</v>
      </c>
      <c r="E304" s="30" t="s">
        <v>728</v>
      </c>
      <c r="F304" s="30">
        <v>1</v>
      </c>
      <c r="G304" s="44">
        <v>935</v>
      </c>
      <c r="H304" s="30"/>
      <c r="I304" s="44"/>
      <c r="J304" s="44"/>
      <c r="K304" s="44">
        <f t="shared" si="8"/>
        <v>935</v>
      </c>
      <c r="L304" s="51">
        <v>20210917</v>
      </c>
    </row>
    <row r="305" spans="1:12" x14ac:dyDescent="0.25">
      <c r="A305" s="50" t="s">
        <v>709</v>
      </c>
      <c r="B305" s="30" t="s">
        <v>137</v>
      </c>
      <c r="C305" s="30" t="s">
        <v>172</v>
      </c>
      <c r="D305" s="30" t="s">
        <v>703</v>
      </c>
      <c r="E305" s="30" t="s">
        <v>710</v>
      </c>
      <c r="F305" s="30">
        <v>1</v>
      </c>
      <c r="G305" s="44">
        <v>935</v>
      </c>
      <c r="H305" s="30"/>
      <c r="I305" s="44"/>
      <c r="J305" s="44"/>
      <c r="K305" s="44">
        <f t="shared" si="8"/>
        <v>935</v>
      </c>
      <c r="L305" s="51">
        <v>20210917</v>
      </c>
    </row>
    <row r="306" spans="1:12" x14ac:dyDescent="0.25">
      <c r="A306" s="50" t="s">
        <v>707</v>
      </c>
      <c r="B306" s="30" t="s">
        <v>137</v>
      </c>
      <c r="C306" s="30" t="s">
        <v>172</v>
      </c>
      <c r="D306" s="30" t="s">
        <v>703</v>
      </c>
      <c r="E306" s="30" t="s">
        <v>708</v>
      </c>
      <c r="F306" s="30">
        <v>1</v>
      </c>
      <c r="G306" s="44">
        <v>935</v>
      </c>
      <c r="H306" s="30"/>
      <c r="I306" s="44"/>
      <c r="J306" s="44"/>
      <c r="K306" s="44">
        <f t="shared" si="8"/>
        <v>935</v>
      </c>
      <c r="L306" s="51">
        <v>20210917</v>
      </c>
    </row>
    <row r="307" spans="1:12" x14ac:dyDescent="0.25">
      <c r="A307" s="50" t="s">
        <v>705</v>
      </c>
      <c r="B307" s="30" t="s">
        <v>137</v>
      </c>
      <c r="C307" s="30" t="s">
        <v>172</v>
      </c>
      <c r="D307" s="30" t="s">
        <v>703</v>
      </c>
      <c r="E307" s="30" t="s">
        <v>706</v>
      </c>
      <c r="F307" s="30">
        <v>1</v>
      </c>
      <c r="G307" s="44">
        <v>935</v>
      </c>
      <c r="H307" s="30"/>
      <c r="I307" s="44"/>
      <c r="J307" s="44"/>
      <c r="K307" s="44">
        <f t="shared" si="8"/>
        <v>935</v>
      </c>
      <c r="L307" s="51">
        <v>20210917</v>
      </c>
    </row>
    <row r="308" spans="1:12" x14ac:dyDescent="0.25">
      <c r="A308" s="50" t="s">
        <v>702</v>
      </c>
      <c r="B308" s="30" t="s">
        <v>137</v>
      </c>
      <c r="C308" s="30" t="s">
        <v>172</v>
      </c>
      <c r="D308" s="30" t="s">
        <v>703</v>
      </c>
      <c r="E308" s="30" t="s">
        <v>704</v>
      </c>
      <c r="F308" s="30">
        <v>1</v>
      </c>
      <c r="G308" s="44">
        <v>935</v>
      </c>
      <c r="H308" s="30"/>
      <c r="I308" s="44"/>
      <c r="J308" s="44"/>
      <c r="K308" s="44">
        <f t="shared" si="8"/>
        <v>935</v>
      </c>
      <c r="L308" s="51">
        <v>20210917</v>
      </c>
    </row>
    <row r="309" spans="1:12" x14ac:dyDescent="0.25">
      <c r="A309" s="50" t="s">
        <v>721</v>
      </c>
      <c r="B309" s="30" t="s">
        <v>137</v>
      </c>
      <c r="C309" s="30" t="s">
        <v>712</v>
      </c>
      <c r="D309" s="30" t="s">
        <v>713</v>
      </c>
      <c r="E309" s="30" t="s">
        <v>722</v>
      </c>
      <c r="F309" s="30">
        <v>1</v>
      </c>
      <c r="G309" s="44">
        <v>935</v>
      </c>
      <c r="H309" s="30"/>
      <c r="I309" s="44"/>
      <c r="J309" s="44"/>
      <c r="K309" s="44">
        <f t="shared" si="8"/>
        <v>935</v>
      </c>
      <c r="L309" s="51">
        <v>20210917</v>
      </c>
    </row>
    <row r="310" spans="1:12" x14ac:dyDescent="0.25">
      <c r="A310" s="50" t="s">
        <v>719</v>
      </c>
      <c r="B310" s="30" t="s">
        <v>137</v>
      </c>
      <c r="C310" s="30" t="s">
        <v>712</v>
      </c>
      <c r="D310" s="30" t="s">
        <v>713</v>
      </c>
      <c r="E310" s="30" t="s">
        <v>720</v>
      </c>
      <c r="F310" s="30">
        <v>1</v>
      </c>
      <c r="G310" s="44">
        <v>935</v>
      </c>
      <c r="H310" s="30"/>
      <c r="I310" s="44"/>
      <c r="J310" s="44"/>
      <c r="K310" s="44">
        <f t="shared" si="8"/>
        <v>935</v>
      </c>
      <c r="L310" s="51">
        <v>20210917</v>
      </c>
    </row>
    <row r="311" spans="1:12" x14ac:dyDescent="0.25">
      <c r="A311" s="50" t="s">
        <v>717</v>
      </c>
      <c r="B311" s="30" t="s">
        <v>137</v>
      </c>
      <c r="C311" s="30" t="s">
        <v>712</v>
      </c>
      <c r="D311" s="30" t="s">
        <v>713</v>
      </c>
      <c r="E311" s="30" t="s">
        <v>718</v>
      </c>
      <c r="F311" s="30">
        <v>1</v>
      </c>
      <c r="G311" s="44">
        <v>935</v>
      </c>
      <c r="H311" s="30"/>
      <c r="I311" s="44"/>
      <c r="J311" s="44"/>
      <c r="K311" s="44">
        <f t="shared" ref="K311:K342" si="9">J311+G311</f>
        <v>935</v>
      </c>
      <c r="L311" s="51">
        <v>20210917</v>
      </c>
    </row>
    <row r="312" spans="1:12" x14ac:dyDescent="0.25">
      <c r="A312" s="50" t="s">
        <v>715</v>
      </c>
      <c r="B312" s="30" t="s">
        <v>137</v>
      </c>
      <c r="C312" s="30" t="s">
        <v>712</v>
      </c>
      <c r="D312" s="30" t="s">
        <v>713</v>
      </c>
      <c r="E312" s="30" t="s">
        <v>716</v>
      </c>
      <c r="F312" s="30">
        <v>1</v>
      </c>
      <c r="G312" s="44">
        <v>935</v>
      </c>
      <c r="H312" s="30"/>
      <c r="I312" s="44"/>
      <c r="J312" s="44"/>
      <c r="K312" s="44">
        <f t="shared" si="9"/>
        <v>935</v>
      </c>
      <c r="L312" s="51">
        <v>20210917</v>
      </c>
    </row>
    <row r="313" spans="1:12" x14ac:dyDescent="0.25">
      <c r="A313" s="50" t="s">
        <v>711</v>
      </c>
      <c r="B313" s="30" t="s">
        <v>137</v>
      </c>
      <c r="C313" s="30" t="s">
        <v>712</v>
      </c>
      <c r="D313" s="30" t="s">
        <v>713</v>
      </c>
      <c r="E313" s="30" t="s">
        <v>714</v>
      </c>
      <c r="F313" s="30">
        <v>1</v>
      </c>
      <c r="G313" s="44">
        <v>935</v>
      </c>
      <c r="H313" s="30"/>
      <c r="I313" s="44"/>
      <c r="J313" s="44"/>
      <c r="K313" s="44">
        <f t="shared" si="9"/>
        <v>935</v>
      </c>
      <c r="L313" s="51">
        <v>20210917</v>
      </c>
    </row>
    <row r="314" spans="1:12" x14ac:dyDescent="0.25">
      <c r="A314" s="50" t="s">
        <v>726</v>
      </c>
      <c r="B314" s="30" t="s">
        <v>137</v>
      </c>
      <c r="C314" s="30" t="s">
        <v>29</v>
      </c>
      <c r="D314" s="30" t="s">
        <v>241</v>
      </c>
      <c r="E314" s="30" t="s">
        <v>242</v>
      </c>
      <c r="F314" s="30">
        <v>1</v>
      </c>
      <c r="G314" s="44">
        <v>935</v>
      </c>
      <c r="H314" s="30"/>
      <c r="I314" s="44"/>
      <c r="J314" s="44"/>
      <c r="K314" s="44">
        <f t="shared" si="9"/>
        <v>935</v>
      </c>
      <c r="L314" s="51">
        <v>20210917</v>
      </c>
    </row>
    <row r="315" spans="1:12" x14ac:dyDescent="0.25">
      <c r="A315" s="50" t="s">
        <v>763</v>
      </c>
      <c r="B315" s="30" t="s">
        <v>137</v>
      </c>
      <c r="C315" s="30" t="s">
        <v>251</v>
      </c>
      <c r="D315" s="30" t="s">
        <v>764</v>
      </c>
      <c r="E315" s="30" t="s">
        <v>765</v>
      </c>
      <c r="F315" s="30">
        <v>1</v>
      </c>
      <c r="G315" s="44">
        <v>935</v>
      </c>
      <c r="H315" s="30"/>
      <c r="I315" s="44"/>
      <c r="J315" s="44"/>
      <c r="K315" s="44">
        <f t="shared" si="9"/>
        <v>935</v>
      </c>
      <c r="L315" s="51">
        <v>20210920</v>
      </c>
    </row>
    <row r="316" spans="1:12" x14ac:dyDescent="0.25">
      <c r="A316" s="50" t="s">
        <v>699</v>
      </c>
      <c r="B316" s="30" t="s">
        <v>137</v>
      </c>
      <c r="C316" s="30" t="s">
        <v>364</v>
      </c>
      <c r="D316" s="30" t="s">
        <v>24</v>
      </c>
      <c r="E316" s="30" t="s">
        <v>532</v>
      </c>
      <c r="F316" s="30">
        <v>1</v>
      </c>
      <c r="G316" s="44">
        <v>935</v>
      </c>
      <c r="H316" s="30"/>
      <c r="I316" s="44"/>
      <c r="J316" s="44"/>
      <c r="K316" s="44">
        <f t="shared" si="9"/>
        <v>935</v>
      </c>
      <c r="L316" s="51">
        <v>20210920</v>
      </c>
    </row>
    <row r="317" spans="1:12" x14ac:dyDescent="0.25">
      <c r="A317" s="50" t="s">
        <v>697</v>
      </c>
      <c r="B317" s="30" t="s">
        <v>137</v>
      </c>
      <c r="C317" s="30" t="s">
        <v>364</v>
      </c>
      <c r="D317" s="30" t="s">
        <v>24</v>
      </c>
      <c r="E317" s="30" t="s">
        <v>698</v>
      </c>
      <c r="F317" s="30">
        <v>1</v>
      </c>
      <c r="G317" s="44">
        <v>935</v>
      </c>
      <c r="H317" s="30"/>
      <c r="I317" s="44"/>
      <c r="J317" s="44"/>
      <c r="K317" s="44">
        <f t="shared" si="9"/>
        <v>935</v>
      </c>
      <c r="L317" s="51">
        <v>20210920</v>
      </c>
    </row>
    <row r="318" spans="1:12" x14ac:dyDescent="0.25">
      <c r="A318" s="52" t="s">
        <v>689</v>
      </c>
      <c r="B318" s="32" t="s">
        <v>137</v>
      </c>
      <c r="C318" s="32" t="s">
        <v>337</v>
      </c>
      <c r="D318" s="32" t="s">
        <v>35</v>
      </c>
      <c r="E318" s="32" t="s">
        <v>232</v>
      </c>
      <c r="F318" s="32">
        <v>1</v>
      </c>
      <c r="G318" s="45">
        <v>935</v>
      </c>
      <c r="H318" s="32">
        <v>64</v>
      </c>
      <c r="I318" s="45">
        <v>25</v>
      </c>
      <c r="J318" s="45">
        <f>I318*H318</f>
        <v>1600</v>
      </c>
      <c r="K318" s="45">
        <f t="shared" si="9"/>
        <v>2535</v>
      </c>
      <c r="L318" s="53">
        <v>20210922</v>
      </c>
    </row>
    <row r="319" spans="1:12" x14ac:dyDescent="0.25">
      <c r="A319" s="50" t="s">
        <v>688</v>
      </c>
      <c r="B319" s="30" t="s">
        <v>137</v>
      </c>
      <c r="C319" s="30" t="s">
        <v>337</v>
      </c>
      <c r="D319" s="30" t="s">
        <v>35</v>
      </c>
      <c r="E319" s="30" t="s">
        <v>122</v>
      </c>
      <c r="F319" s="30">
        <v>1</v>
      </c>
      <c r="G319" s="44">
        <v>935</v>
      </c>
      <c r="H319" s="30"/>
      <c r="I319" s="44"/>
      <c r="J319" s="44"/>
      <c r="K319" s="44">
        <f t="shared" si="9"/>
        <v>935</v>
      </c>
      <c r="L319" s="51">
        <v>20210922</v>
      </c>
    </row>
    <row r="320" spans="1:12" x14ac:dyDescent="0.25">
      <c r="A320" s="50" t="s">
        <v>687</v>
      </c>
      <c r="B320" s="30" t="s">
        <v>137</v>
      </c>
      <c r="C320" s="30" t="s">
        <v>337</v>
      </c>
      <c r="D320" s="30" t="s">
        <v>35</v>
      </c>
      <c r="E320" s="30" t="s">
        <v>340</v>
      </c>
      <c r="F320" s="30">
        <v>1</v>
      </c>
      <c r="G320" s="44">
        <v>935</v>
      </c>
      <c r="H320" s="30"/>
      <c r="I320" s="44"/>
      <c r="J320" s="44"/>
      <c r="K320" s="44">
        <f t="shared" si="9"/>
        <v>935</v>
      </c>
      <c r="L320" s="51">
        <v>20210922</v>
      </c>
    </row>
    <row r="321" spans="1:12" x14ac:dyDescent="0.25">
      <c r="A321" s="50" t="s">
        <v>685</v>
      </c>
      <c r="B321" s="30" t="s">
        <v>137</v>
      </c>
      <c r="C321" s="30" t="s">
        <v>337</v>
      </c>
      <c r="D321" s="30" t="s">
        <v>35</v>
      </c>
      <c r="E321" s="30" t="s">
        <v>686</v>
      </c>
      <c r="F321" s="30">
        <v>1</v>
      </c>
      <c r="G321" s="44">
        <v>935</v>
      </c>
      <c r="H321" s="30"/>
      <c r="I321" s="44"/>
      <c r="J321" s="44"/>
      <c r="K321" s="44">
        <f t="shared" si="9"/>
        <v>935</v>
      </c>
      <c r="L321" s="51">
        <v>20210922</v>
      </c>
    </row>
    <row r="322" spans="1:12" x14ac:dyDescent="0.25">
      <c r="A322" s="50" t="s">
        <v>684</v>
      </c>
      <c r="B322" s="30" t="s">
        <v>137</v>
      </c>
      <c r="C322" s="30" t="s">
        <v>337</v>
      </c>
      <c r="D322" s="30" t="s">
        <v>35</v>
      </c>
      <c r="E322" s="30" t="s">
        <v>38</v>
      </c>
      <c r="F322" s="30">
        <v>1</v>
      </c>
      <c r="G322" s="44">
        <v>935</v>
      </c>
      <c r="H322" s="30"/>
      <c r="I322" s="44"/>
      <c r="J322" s="44"/>
      <c r="K322" s="44">
        <f t="shared" si="9"/>
        <v>935</v>
      </c>
      <c r="L322" s="51">
        <v>20210922</v>
      </c>
    </row>
    <row r="323" spans="1:12" x14ac:dyDescent="0.25">
      <c r="A323" s="50" t="s">
        <v>673</v>
      </c>
      <c r="B323" s="30" t="s">
        <v>137</v>
      </c>
      <c r="C323" s="30" t="s">
        <v>646</v>
      </c>
      <c r="D323" s="30" t="s">
        <v>24</v>
      </c>
      <c r="E323" s="30" t="s">
        <v>674</v>
      </c>
      <c r="F323" s="30">
        <v>1</v>
      </c>
      <c r="G323" s="44">
        <v>935</v>
      </c>
      <c r="H323" s="30"/>
      <c r="I323" s="44"/>
      <c r="J323" s="44"/>
      <c r="K323" s="44">
        <f t="shared" si="9"/>
        <v>935</v>
      </c>
      <c r="L323" s="51">
        <v>20210923</v>
      </c>
    </row>
    <row r="324" spans="1:12" x14ac:dyDescent="0.25">
      <c r="A324" s="50" t="s">
        <v>671</v>
      </c>
      <c r="B324" s="30" t="s">
        <v>137</v>
      </c>
      <c r="C324" s="30" t="s">
        <v>646</v>
      </c>
      <c r="D324" s="30" t="s">
        <v>24</v>
      </c>
      <c r="E324" s="30" t="s">
        <v>672</v>
      </c>
      <c r="F324" s="30">
        <v>1</v>
      </c>
      <c r="G324" s="44">
        <v>935</v>
      </c>
      <c r="H324" s="30"/>
      <c r="I324" s="44"/>
      <c r="J324" s="44"/>
      <c r="K324" s="44">
        <f t="shared" si="9"/>
        <v>935</v>
      </c>
      <c r="L324" s="51">
        <v>20210923</v>
      </c>
    </row>
    <row r="325" spans="1:12" x14ac:dyDescent="0.25">
      <c r="A325" s="50" t="s">
        <v>669</v>
      </c>
      <c r="B325" s="30" t="s">
        <v>137</v>
      </c>
      <c r="C325" s="30" t="s">
        <v>646</v>
      </c>
      <c r="D325" s="30" t="s">
        <v>24</v>
      </c>
      <c r="E325" s="30" t="s">
        <v>670</v>
      </c>
      <c r="F325" s="30">
        <v>1</v>
      </c>
      <c r="G325" s="44">
        <v>935</v>
      </c>
      <c r="H325" s="30"/>
      <c r="I325" s="44"/>
      <c r="J325" s="44"/>
      <c r="K325" s="44">
        <f t="shared" si="9"/>
        <v>935</v>
      </c>
      <c r="L325" s="51">
        <v>20210923</v>
      </c>
    </row>
    <row r="326" spans="1:12" x14ac:dyDescent="0.25">
      <c r="A326" s="50" t="s">
        <v>755</v>
      </c>
      <c r="B326" s="30" t="s">
        <v>137</v>
      </c>
      <c r="C326" s="30" t="s">
        <v>28</v>
      </c>
      <c r="D326" s="30" t="s">
        <v>753</v>
      </c>
      <c r="E326" s="30" t="s">
        <v>756</v>
      </c>
      <c r="F326" s="30">
        <v>1</v>
      </c>
      <c r="G326" s="44">
        <v>935</v>
      </c>
      <c r="H326" s="30"/>
      <c r="I326" s="44"/>
      <c r="J326" s="44"/>
      <c r="K326" s="44">
        <f t="shared" si="9"/>
        <v>935</v>
      </c>
      <c r="L326" s="51">
        <v>20210923</v>
      </c>
    </row>
    <row r="327" spans="1:12" x14ac:dyDescent="0.25">
      <c r="A327" s="50" t="s">
        <v>752</v>
      </c>
      <c r="B327" s="30" t="s">
        <v>137</v>
      </c>
      <c r="C327" s="30" t="s">
        <v>28</v>
      </c>
      <c r="D327" s="30" t="s">
        <v>753</v>
      </c>
      <c r="E327" s="30" t="s">
        <v>754</v>
      </c>
      <c r="F327" s="30">
        <v>1</v>
      </c>
      <c r="G327" s="44">
        <v>935</v>
      </c>
      <c r="H327" s="30"/>
      <c r="I327" s="44"/>
      <c r="J327" s="44"/>
      <c r="K327" s="44">
        <f t="shared" si="9"/>
        <v>935</v>
      </c>
      <c r="L327" s="51">
        <v>20210923</v>
      </c>
    </row>
    <row r="328" spans="1:12" x14ac:dyDescent="0.25">
      <c r="A328" s="50" t="s">
        <v>663</v>
      </c>
      <c r="B328" s="30" t="s">
        <v>137</v>
      </c>
      <c r="C328" s="30" t="s">
        <v>654</v>
      </c>
      <c r="D328" s="30" t="s">
        <v>655</v>
      </c>
      <c r="E328" s="30" t="s">
        <v>664</v>
      </c>
      <c r="F328" s="30">
        <v>1</v>
      </c>
      <c r="G328" s="44">
        <v>935</v>
      </c>
      <c r="H328" s="30"/>
      <c r="I328" s="44"/>
      <c r="J328" s="44"/>
      <c r="K328" s="44">
        <f t="shared" si="9"/>
        <v>935</v>
      </c>
      <c r="L328" s="51">
        <v>20210928</v>
      </c>
    </row>
    <row r="329" spans="1:12" x14ac:dyDescent="0.25">
      <c r="A329" s="50" t="s">
        <v>661</v>
      </c>
      <c r="B329" s="30" t="s">
        <v>137</v>
      </c>
      <c r="C329" s="30" t="s">
        <v>654</v>
      </c>
      <c r="D329" s="30" t="s">
        <v>655</v>
      </c>
      <c r="E329" s="30" t="s">
        <v>662</v>
      </c>
      <c r="F329" s="30">
        <v>1</v>
      </c>
      <c r="G329" s="44">
        <v>935</v>
      </c>
      <c r="H329" s="30"/>
      <c r="I329" s="44"/>
      <c r="J329" s="44"/>
      <c r="K329" s="44">
        <f t="shared" si="9"/>
        <v>935</v>
      </c>
      <c r="L329" s="51">
        <v>20210928</v>
      </c>
    </row>
    <row r="330" spans="1:12" x14ac:dyDescent="0.25">
      <c r="A330" s="50" t="s">
        <v>659</v>
      </c>
      <c r="B330" s="30" t="s">
        <v>137</v>
      </c>
      <c r="C330" s="30" t="s">
        <v>654</v>
      </c>
      <c r="D330" s="30" t="s">
        <v>655</v>
      </c>
      <c r="E330" s="30" t="s">
        <v>660</v>
      </c>
      <c r="F330" s="30">
        <v>1</v>
      </c>
      <c r="G330" s="44">
        <v>935</v>
      </c>
      <c r="H330" s="30"/>
      <c r="I330" s="44"/>
      <c r="J330" s="44"/>
      <c r="K330" s="44">
        <f t="shared" si="9"/>
        <v>935</v>
      </c>
      <c r="L330" s="51">
        <v>20210928</v>
      </c>
    </row>
    <row r="331" spans="1:12" x14ac:dyDescent="0.25">
      <c r="A331" s="50" t="s">
        <v>657</v>
      </c>
      <c r="B331" s="30" t="s">
        <v>137</v>
      </c>
      <c r="C331" s="30" t="s">
        <v>654</v>
      </c>
      <c r="D331" s="30" t="s">
        <v>655</v>
      </c>
      <c r="E331" s="30" t="s">
        <v>658</v>
      </c>
      <c r="F331" s="30">
        <v>1</v>
      </c>
      <c r="G331" s="44">
        <v>935</v>
      </c>
      <c r="H331" s="30"/>
      <c r="I331" s="44"/>
      <c r="J331" s="44"/>
      <c r="K331" s="44">
        <f t="shared" si="9"/>
        <v>935</v>
      </c>
      <c r="L331" s="51">
        <v>20210928</v>
      </c>
    </row>
    <row r="332" spans="1:12" x14ac:dyDescent="0.25">
      <c r="A332" s="50" t="s">
        <v>653</v>
      </c>
      <c r="B332" s="30" t="s">
        <v>137</v>
      </c>
      <c r="C332" s="30" t="s">
        <v>654</v>
      </c>
      <c r="D332" s="30" t="s">
        <v>655</v>
      </c>
      <c r="E332" s="30" t="s">
        <v>656</v>
      </c>
      <c r="F332" s="30">
        <v>1</v>
      </c>
      <c r="G332" s="44">
        <v>935</v>
      </c>
      <c r="H332" s="30"/>
      <c r="I332" s="44"/>
      <c r="J332" s="44"/>
      <c r="K332" s="44">
        <f t="shared" si="9"/>
        <v>935</v>
      </c>
      <c r="L332" s="51">
        <v>20210928</v>
      </c>
    </row>
    <row r="333" spans="1:12" x14ac:dyDescent="0.25">
      <c r="A333" s="50" t="s">
        <v>652</v>
      </c>
      <c r="B333" s="30" t="s">
        <v>137</v>
      </c>
      <c r="C333" s="30" t="s">
        <v>26</v>
      </c>
      <c r="D333" s="30" t="s">
        <v>153</v>
      </c>
      <c r="E333" s="30" t="s">
        <v>155</v>
      </c>
      <c r="F333" s="30">
        <v>1</v>
      </c>
      <c r="G333" s="44">
        <v>935</v>
      </c>
      <c r="H333" s="30"/>
      <c r="I333" s="44"/>
      <c r="J333" s="44"/>
      <c r="K333" s="44">
        <f t="shared" si="9"/>
        <v>935</v>
      </c>
      <c r="L333" s="51">
        <v>20210928</v>
      </c>
    </row>
    <row r="334" spans="1:12" x14ac:dyDescent="0.25">
      <c r="A334" s="52" t="s">
        <v>650</v>
      </c>
      <c r="B334" s="32" t="s">
        <v>137</v>
      </c>
      <c r="C334" s="32" t="s">
        <v>26</v>
      </c>
      <c r="D334" s="32" t="s">
        <v>153</v>
      </c>
      <c r="E334" s="32" t="s">
        <v>651</v>
      </c>
      <c r="F334" s="32">
        <v>1</v>
      </c>
      <c r="G334" s="45">
        <v>935</v>
      </c>
      <c r="H334" s="32">
        <v>28</v>
      </c>
      <c r="I334" s="45">
        <v>25</v>
      </c>
      <c r="J334" s="45">
        <f>I334*H334</f>
        <v>700</v>
      </c>
      <c r="K334" s="45">
        <f t="shared" si="9"/>
        <v>1635</v>
      </c>
      <c r="L334" s="53">
        <v>20210928</v>
      </c>
    </row>
    <row r="335" spans="1:12" x14ac:dyDescent="0.25">
      <c r="A335" s="50" t="s">
        <v>648</v>
      </c>
      <c r="B335" s="30" t="s">
        <v>137</v>
      </c>
      <c r="C335" s="30" t="s">
        <v>26</v>
      </c>
      <c r="D335" s="30" t="s">
        <v>153</v>
      </c>
      <c r="E335" s="30" t="s">
        <v>649</v>
      </c>
      <c r="F335" s="30">
        <v>1</v>
      </c>
      <c r="G335" s="44">
        <v>935</v>
      </c>
      <c r="H335" s="30"/>
      <c r="I335" s="44"/>
      <c r="J335" s="44"/>
      <c r="K335" s="44">
        <f t="shared" si="9"/>
        <v>935</v>
      </c>
      <c r="L335" s="51">
        <v>20210928</v>
      </c>
    </row>
    <row r="336" spans="1:12" x14ac:dyDescent="0.25">
      <c r="A336" s="50" t="s">
        <v>700</v>
      </c>
      <c r="B336" s="30" t="s">
        <v>137</v>
      </c>
      <c r="C336" s="30" t="s">
        <v>364</v>
      </c>
      <c r="D336" s="30" t="s">
        <v>24</v>
      </c>
      <c r="E336" s="30" t="s">
        <v>365</v>
      </c>
      <c r="F336" s="30">
        <v>1</v>
      </c>
      <c r="G336" s="44">
        <v>935</v>
      </c>
      <c r="H336" s="30"/>
      <c r="I336" s="44"/>
      <c r="J336" s="44"/>
      <c r="K336" s="44">
        <f t="shared" si="9"/>
        <v>935</v>
      </c>
      <c r="L336" s="51">
        <v>20210929</v>
      </c>
    </row>
    <row r="337" spans="1:12" x14ac:dyDescent="0.25">
      <c r="A337" s="50" t="s">
        <v>696</v>
      </c>
      <c r="B337" s="30" t="s">
        <v>137</v>
      </c>
      <c r="C337" s="30" t="s">
        <v>364</v>
      </c>
      <c r="D337" s="30" t="s">
        <v>24</v>
      </c>
      <c r="E337" s="30" t="s">
        <v>392</v>
      </c>
      <c r="F337" s="30">
        <v>1</v>
      </c>
      <c r="G337" s="44">
        <v>935</v>
      </c>
      <c r="H337" s="30"/>
      <c r="I337" s="44"/>
      <c r="J337" s="44"/>
      <c r="K337" s="44">
        <f t="shared" si="9"/>
        <v>935</v>
      </c>
      <c r="L337" s="51">
        <v>20210929</v>
      </c>
    </row>
    <row r="338" spans="1:12" x14ac:dyDescent="0.25">
      <c r="A338" s="50" t="s">
        <v>694</v>
      </c>
      <c r="B338" s="30" t="s">
        <v>137</v>
      </c>
      <c r="C338" s="30" t="s">
        <v>364</v>
      </c>
      <c r="D338" s="30" t="s">
        <v>24</v>
      </c>
      <c r="E338" s="30" t="s">
        <v>695</v>
      </c>
      <c r="F338" s="30">
        <v>1</v>
      </c>
      <c r="G338" s="44">
        <v>935</v>
      </c>
      <c r="H338" s="30"/>
      <c r="I338" s="44"/>
      <c r="J338" s="44"/>
      <c r="K338" s="44">
        <f t="shared" si="9"/>
        <v>935</v>
      </c>
      <c r="L338" s="51">
        <v>20210929</v>
      </c>
    </row>
    <row r="339" spans="1:12" x14ac:dyDescent="0.25">
      <c r="A339" s="50" t="s">
        <v>693</v>
      </c>
      <c r="B339" s="30" t="s">
        <v>137</v>
      </c>
      <c r="C339" s="30" t="s">
        <v>134</v>
      </c>
      <c r="D339" s="30" t="s">
        <v>354</v>
      </c>
      <c r="E339" s="30" t="s">
        <v>355</v>
      </c>
      <c r="F339" s="30">
        <v>1</v>
      </c>
      <c r="G339" s="44">
        <v>935</v>
      </c>
      <c r="H339" s="30"/>
      <c r="I339" s="44"/>
      <c r="J339" s="44"/>
      <c r="K339" s="44">
        <f t="shared" si="9"/>
        <v>935</v>
      </c>
      <c r="L339" s="51">
        <v>20210929</v>
      </c>
    </row>
    <row r="340" spans="1:12" x14ac:dyDescent="0.25">
      <c r="A340" s="50" t="s">
        <v>832</v>
      </c>
      <c r="B340" s="30" t="s">
        <v>137</v>
      </c>
      <c r="C340" s="30" t="s">
        <v>134</v>
      </c>
      <c r="D340" s="30" t="s">
        <v>354</v>
      </c>
      <c r="E340" s="30" t="s">
        <v>833</v>
      </c>
      <c r="F340" s="30">
        <v>1</v>
      </c>
      <c r="G340" s="44">
        <v>935</v>
      </c>
      <c r="H340" s="30"/>
      <c r="I340" s="44"/>
      <c r="J340" s="44"/>
      <c r="K340" s="44">
        <f t="shared" si="9"/>
        <v>935</v>
      </c>
      <c r="L340" s="51">
        <v>20210929</v>
      </c>
    </row>
    <row r="341" spans="1:12" x14ac:dyDescent="0.25">
      <c r="A341" s="50" t="s">
        <v>830</v>
      </c>
      <c r="B341" s="30" t="s">
        <v>137</v>
      </c>
      <c r="C341" s="30" t="s">
        <v>134</v>
      </c>
      <c r="D341" s="30" t="s">
        <v>354</v>
      </c>
      <c r="E341" s="30" t="s">
        <v>831</v>
      </c>
      <c r="F341" s="30">
        <v>1</v>
      </c>
      <c r="G341" s="44">
        <v>935</v>
      </c>
      <c r="H341" s="30"/>
      <c r="I341" s="44"/>
      <c r="J341" s="44"/>
      <c r="K341" s="44">
        <f t="shared" si="9"/>
        <v>935</v>
      </c>
      <c r="L341" s="51">
        <v>20210929</v>
      </c>
    </row>
    <row r="342" spans="1:12" x14ac:dyDescent="0.25">
      <c r="A342" s="50" t="s">
        <v>828</v>
      </c>
      <c r="B342" s="30" t="s">
        <v>137</v>
      </c>
      <c r="C342" s="30" t="s">
        <v>134</v>
      </c>
      <c r="D342" s="30" t="s">
        <v>354</v>
      </c>
      <c r="E342" s="30" t="s">
        <v>829</v>
      </c>
      <c r="F342" s="30">
        <v>1</v>
      </c>
      <c r="G342" s="44">
        <v>935</v>
      </c>
      <c r="H342" s="30"/>
      <c r="I342" s="44"/>
      <c r="J342" s="44"/>
      <c r="K342" s="44">
        <f t="shared" si="9"/>
        <v>935</v>
      </c>
      <c r="L342" s="51">
        <v>20210929</v>
      </c>
    </row>
    <row r="343" spans="1:12" x14ac:dyDescent="0.25">
      <c r="A343" s="50" t="s">
        <v>826</v>
      </c>
      <c r="B343" s="30" t="s">
        <v>137</v>
      </c>
      <c r="C343" s="30" t="s">
        <v>134</v>
      </c>
      <c r="D343" s="30" t="s">
        <v>354</v>
      </c>
      <c r="E343" s="30" t="s">
        <v>827</v>
      </c>
      <c r="F343" s="30">
        <v>1</v>
      </c>
      <c r="G343" s="44">
        <v>935</v>
      </c>
      <c r="H343" s="30"/>
      <c r="I343" s="44"/>
      <c r="J343" s="44"/>
      <c r="K343" s="44">
        <f t="shared" ref="K343:K357" si="10">J343+G343</f>
        <v>935</v>
      </c>
      <c r="L343" s="51">
        <v>20210929</v>
      </c>
    </row>
    <row r="344" spans="1:12" x14ac:dyDescent="0.25">
      <c r="A344" s="50" t="s">
        <v>824</v>
      </c>
      <c r="B344" s="30" t="s">
        <v>137</v>
      </c>
      <c r="C344" s="30" t="s">
        <v>134</v>
      </c>
      <c r="D344" s="30" t="s">
        <v>354</v>
      </c>
      <c r="E344" s="30" t="s">
        <v>825</v>
      </c>
      <c r="F344" s="30">
        <v>1</v>
      </c>
      <c r="G344" s="44">
        <v>935</v>
      </c>
      <c r="H344" s="30"/>
      <c r="I344" s="44"/>
      <c r="J344" s="44"/>
      <c r="K344" s="44">
        <f t="shared" si="10"/>
        <v>935</v>
      </c>
      <c r="L344" s="51">
        <v>20210929</v>
      </c>
    </row>
    <row r="345" spans="1:12" x14ac:dyDescent="0.25">
      <c r="A345" s="50" t="s">
        <v>822</v>
      </c>
      <c r="B345" s="30" t="s">
        <v>137</v>
      </c>
      <c r="C345" s="30" t="s">
        <v>134</v>
      </c>
      <c r="D345" s="30" t="s">
        <v>354</v>
      </c>
      <c r="E345" s="30" t="s">
        <v>823</v>
      </c>
      <c r="F345" s="30">
        <v>1</v>
      </c>
      <c r="G345" s="44">
        <v>935</v>
      </c>
      <c r="H345" s="30"/>
      <c r="I345" s="44"/>
      <c r="J345" s="44"/>
      <c r="K345" s="44">
        <f t="shared" si="10"/>
        <v>935</v>
      </c>
      <c r="L345" s="51">
        <v>20210929</v>
      </c>
    </row>
    <row r="346" spans="1:12" x14ac:dyDescent="0.25">
      <c r="A346" s="50" t="s">
        <v>820</v>
      </c>
      <c r="B346" s="30" t="s">
        <v>137</v>
      </c>
      <c r="C346" s="30" t="s">
        <v>134</v>
      </c>
      <c r="D346" s="30" t="s">
        <v>354</v>
      </c>
      <c r="E346" s="30" t="s">
        <v>821</v>
      </c>
      <c r="F346" s="30">
        <v>1</v>
      </c>
      <c r="G346" s="44">
        <v>935</v>
      </c>
      <c r="H346" s="30"/>
      <c r="I346" s="44"/>
      <c r="J346" s="44"/>
      <c r="K346" s="44">
        <f t="shared" si="10"/>
        <v>935</v>
      </c>
      <c r="L346" s="51">
        <v>20210929</v>
      </c>
    </row>
    <row r="347" spans="1:12" x14ac:dyDescent="0.25">
      <c r="A347" s="50" t="s">
        <v>692</v>
      </c>
      <c r="B347" s="30" t="s">
        <v>137</v>
      </c>
      <c r="C347" s="30" t="s">
        <v>134</v>
      </c>
      <c r="D347" s="30" t="s">
        <v>354</v>
      </c>
      <c r="E347" s="30" t="s">
        <v>410</v>
      </c>
      <c r="F347" s="30">
        <v>1</v>
      </c>
      <c r="G347" s="44">
        <v>935</v>
      </c>
      <c r="H347" s="30"/>
      <c r="I347" s="44"/>
      <c r="J347" s="44"/>
      <c r="K347" s="44">
        <f t="shared" si="10"/>
        <v>935</v>
      </c>
      <c r="L347" s="51">
        <v>20210929</v>
      </c>
    </row>
    <row r="348" spans="1:12" x14ac:dyDescent="0.25">
      <c r="A348" s="50" t="s">
        <v>691</v>
      </c>
      <c r="B348" s="30" t="s">
        <v>137</v>
      </c>
      <c r="C348" s="30" t="s">
        <v>134</v>
      </c>
      <c r="D348" s="30" t="s">
        <v>354</v>
      </c>
      <c r="E348" s="30" t="s">
        <v>359</v>
      </c>
      <c r="F348" s="30">
        <v>1</v>
      </c>
      <c r="G348" s="44">
        <v>935</v>
      </c>
      <c r="H348" s="30"/>
      <c r="I348" s="44"/>
      <c r="J348" s="44"/>
      <c r="K348" s="44">
        <f t="shared" si="10"/>
        <v>935</v>
      </c>
      <c r="L348" s="51">
        <v>20210929</v>
      </c>
    </row>
    <row r="349" spans="1:12" x14ac:dyDescent="0.25">
      <c r="A349" s="50" t="s">
        <v>818</v>
      </c>
      <c r="B349" s="30" t="s">
        <v>137</v>
      </c>
      <c r="C349" s="30" t="s">
        <v>134</v>
      </c>
      <c r="D349" s="30" t="s">
        <v>354</v>
      </c>
      <c r="E349" s="30" t="s">
        <v>819</v>
      </c>
      <c r="F349" s="30">
        <v>1</v>
      </c>
      <c r="G349" s="44">
        <v>935</v>
      </c>
      <c r="H349" s="30"/>
      <c r="I349" s="44"/>
      <c r="J349" s="44"/>
      <c r="K349" s="44">
        <f t="shared" si="10"/>
        <v>935</v>
      </c>
      <c r="L349" s="51">
        <v>20210929</v>
      </c>
    </row>
    <row r="350" spans="1:12" x14ac:dyDescent="0.25">
      <c r="A350" s="50" t="s">
        <v>690</v>
      </c>
      <c r="B350" s="30" t="s">
        <v>137</v>
      </c>
      <c r="C350" s="30" t="s">
        <v>134</v>
      </c>
      <c r="D350" s="30" t="s">
        <v>354</v>
      </c>
      <c r="E350" s="30" t="s">
        <v>357</v>
      </c>
      <c r="F350" s="30">
        <v>1</v>
      </c>
      <c r="G350" s="44">
        <v>935</v>
      </c>
      <c r="H350" s="30"/>
      <c r="I350" s="44"/>
      <c r="J350" s="44"/>
      <c r="K350" s="44">
        <f t="shared" si="10"/>
        <v>935</v>
      </c>
      <c r="L350" s="51">
        <v>20210929</v>
      </c>
    </row>
    <row r="351" spans="1:12" x14ac:dyDescent="0.25">
      <c r="A351" s="50" t="s">
        <v>749</v>
      </c>
      <c r="B351" s="30" t="s">
        <v>137</v>
      </c>
      <c r="C351" s="30" t="s">
        <v>28</v>
      </c>
      <c r="D351" s="30" t="s">
        <v>750</v>
      </c>
      <c r="E351" s="30" t="s">
        <v>751</v>
      </c>
      <c r="F351" s="30">
        <v>1</v>
      </c>
      <c r="G351" s="44">
        <v>935</v>
      </c>
      <c r="H351" s="30"/>
      <c r="I351" s="44"/>
      <c r="J351" s="44"/>
      <c r="K351" s="44">
        <f t="shared" si="10"/>
        <v>935</v>
      </c>
      <c r="L351" s="51">
        <v>20210930</v>
      </c>
    </row>
    <row r="352" spans="1:12" x14ac:dyDescent="0.25">
      <c r="A352" s="50" t="s">
        <v>757</v>
      </c>
      <c r="B352" s="30" t="s">
        <v>137</v>
      </c>
      <c r="C352" s="30" t="s">
        <v>28</v>
      </c>
      <c r="D352" s="30" t="s">
        <v>470</v>
      </c>
      <c r="E352" s="30" t="s">
        <v>471</v>
      </c>
      <c r="F352" s="30">
        <v>1</v>
      </c>
      <c r="G352" s="44">
        <v>935</v>
      </c>
      <c r="H352" s="30"/>
      <c r="I352" s="44"/>
      <c r="J352" s="44"/>
      <c r="K352" s="44">
        <f t="shared" si="10"/>
        <v>935</v>
      </c>
      <c r="L352" s="51">
        <v>20210930</v>
      </c>
    </row>
    <row r="353" spans="1:12" x14ac:dyDescent="0.25">
      <c r="A353" s="50" t="s">
        <v>643</v>
      </c>
      <c r="B353" s="30" t="s">
        <v>137</v>
      </c>
      <c r="C353" s="30" t="s">
        <v>39</v>
      </c>
      <c r="D353" s="30" t="s">
        <v>40</v>
      </c>
      <c r="E353" s="30">
        <v>7917644</v>
      </c>
      <c r="F353" s="30">
        <v>1</v>
      </c>
      <c r="G353" s="44">
        <v>935</v>
      </c>
      <c r="H353" s="30"/>
      <c r="I353" s="44"/>
      <c r="J353" s="44"/>
      <c r="K353" s="44">
        <f t="shared" si="10"/>
        <v>935</v>
      </c>
      <c r="L353" s="51">
        <v>20210930</v>
      </c>
    </row>
    <row r="354" spans="1:12" x14ac:dyDescent="0.25">
      <c r="A354" s="50" t="s">
        <v>642</v>
      </c>
      <c r="B354" s="30" t="s">
        <v>137</v>
      </c>
      <c r="C354" s="30" t="s">
        <v>39</v>
      </c>
      <c r="D354" s="30" t="s">
        <v>40</v>
      </c>
      <c r="E354" s="30" t="s">
        <v>44</v>
      </c>
      <c r="F354" s="30">
        <v>1</v>
      </c>
      <c r="G354" s="44">
        <v>935</v>
      </c>
      <c r="H354" s="30"/>
      <c r="I354" s="44"/>
      <c r="J354" s="44"/>
      <c r="K354" s="44">
        <f t="shared" si="10"/>
        <v>935</v>
      </c>
      <c r="L354" s="51">
        <v>20210930</v>
      </c>
    </row>
    <row r="355" spans="1:12" x14ac:dyDescent="0.25">
      <c r="A355" s="50" t="s">
        <v>640</v>
      </c>
      <c r="B355" s="30" t="s">
        <v>137</v>
      </c>
      <c r="C355" s="30" t="s">
        <v>39</v>
      </c>
      <c r="D355" s="30" t="s">
        <v>40</v>
      </c>
      <c r="E355" s="30" t="s">
        <v>641</v>
      </c>
      <c r="F355" s="30">
        <v>1</v>
      </c>
      <c r="G355" s="44">
        <v>935</v>
      </c>
      <c r="H355" s="30"/>
      <c r="I355" s="44"/>
      <c r="J355" s="44"/>
      <c r="K355" s="44">
        <f t="shared" si="10"/>
        <v>935</v>
      </c>
      <c r="L355" s="51">
        <v>20210930</v>
      </c>
    </row>
    <row r="356" spans="1:12" x14ac:dyDescent="0.25">
      <c r="A356" s="50" t="s">
        <v>638</v>
      </c>
      <c r="B356" s="30" t="s">
        <v>137</v>
      </c>
      <c r="C356" s="30" t="s">
        <v>39</v>
      </c>
      <c r="D356" s="30" t="s">
        <v>40</v>
      </c>
      <c r="E356" s="30" t="s">
        <v>639</v>
      </c>
      <c r="F356" s="30">
        <v>1</v>
      </c>
      <c r="G356" s="44">
        <v>935</v>
      </c>
      <c r="H356" s="30"/>
      <c r="I356" s="44"/>
      <c r="J356" s="44"/>
      <c r="K356" s="44">
        <f t="shared" si="10"/>
        <v>935</v>
      </c>
      <c r="L356" s="51">
        <v>20210930</v>
      </c>
    </row>
    <row r="357" spans="1:12" ht="15.75" thickBot="1" x14ac:dyDescent="0.3">
      <c r="A357" s="54" t="s">
        <v>635</v>
      </c>
      <c r="B357" s="36" t="s">
        <v>137</v>
      </c>
      <c r="C357" s="36" t="s">
        <v>636</v>
      </c>
      <c r="D357" s="36" t="s">
        <v>24</v>
      </c>
      <c r="E357" s="36" t="s">
        <v>637</v>
      </c>
      <c r="F357" s="36">
        <v>1</v>
      </c>
      <c r="G357" s="65">
        <v>935</v>
      </c>
      <c r="H357" s="36"/>
      <c r="I357" s="65"/>
      <c r="J357" s="65"/>
      <c r="K357" s="65">
        <f t="shared" si="10"/>
        <v>935</v>
      </c>
      <c r="L357" s="55">
        <v>20210930</v>
      </c>
    </row>
    <row r="361" spans="1:12" ht="15.75" thickBot="1" x14ac:dyDescent="0.3">
      <c r="A361" s="69" t="s">
        <v>0</v>
      </c>
      <c r="B361" s="70" t="s">
        <v>1</v>
      </c>
      <c r="C361" s="70" t="s">
        <v>2</v>
      </c>
      <c r="D361" s="70" t="s">
        <v>3</v>
      </c>
      <c r="E361" s="70" t="s">
        <v>4</v>
      </c>
      <c r="F361" s="70"/>
      <c r="G361" s="71" t="s">
        <v>6</v>
      </c>
      <c r="H361" s="70" t="s">
        <v>7</v>
      </c>
      <c r="I361" s="71" t="s">
        <v>8</v>
      </c>
      <c r="J361" s="71" t="s">
        <v>9</v>
      </c>
      <c r="K361" s="71" t="s">
        <v>10</v>
      </c>
      <c r="L361" s="72" t="s">
        <v>5</v>
      </c>
    </row>
    <row r="362" spans="1:12" x14ac:dyDescent="0.25">
      <c r="A362" s="48" t="s">
        <v>946</v>
      </c>
      <c r="B362" s="34" t="s">
        <v>11</v>
      </c>
      <c r="C362" s="34" t="s">
        <v>94</v>
      </c>
      <c r="D362" s="34" t="s">
        <v>95</v>
      </c>
      <c r="E362" s="34" t="s">
        <v>112</v>
      </c>
      <c r="F362" s="34">
        <v>1</v>
      </c>
      <c r="G362" s="64">
        <v>1870</v>
      </c>
      <c r="H362" s="34"/>
      <c r="I362" s="64"/>
      <c r="J362" s="64"/>
      <c r="K362" s="64">
        <f t="shared" ref="K362:K390" si="11">J362+G362</f>
        <v>1870</v>
      </c>
      <c r="L362" s="49">
        <v>20210929</v>
      </c>
    </row>
    <row r="363" spans="1:12" x14ac:dyDescent="0.25">
      <c r="A363" s="50" t="s">
        <v>950</v>
      </c>
      <c r="B363" s="30" t="s">
        <v>11</v>
      </c>
      <c r="C363" s="30" t="s">
        <v>51</v>
      </c>
      <c r="D363" s="30" t="s">
        <v>24</v>
      </c>
      <c r="E363" s="30" t="s">
        <v>52</v>
      </c>
      <c r="F363" s="30">
        <v>1</v>
      </c>
      <c r="G363" s="44">
        <v>1870</v>
      </c>
      <c r="H363" s="30"/>
      <c r="I363" s="44"/>
      <c r="J363" s="44"/>
      <c r="K363" s="44">
        <f t="shared" si="11"/>
        <v>1870</v>
      </c>
      <c r="L363" s="51">
        <v>20211001</v>
      </c>
    </row>
    <row r="364" spans="1:12" x14ac:dyDescent="0.25">
      <c r="A364" s="52" t="s">
        <v>947</v>
      </c>
      <c r="B364" s="32" t="s">
        <v>11</v>
      </c>
      <c r="C364" s="32" t="s">
        <v>103</v>
      </c>
      <c r="D364" s="32" t="s">
        <v>104</v>
      </c>
      <c r="E364" s="32" t="s">
        <v>948</v>
      </c>
      <c r="F364" s="32">
        <v>1</v>
      </c>
      <c r="G364" s="45">
        <v>1870</v>
      </c>
      <c r="H364" s="32">
        <v>140</v>
      </c>
      <c r="I364" s="45">
        <v>25</v>
      </c>
      <c r="J364" s="45">
        <f>I364*H364</f>
        <v>3500</v>
      </c>
      <c r="K364" s="45">
        <f t="shared" si="11"/>
        <v>5370</v>
      </c>
      <c r="L364" s="53">
        <v>20211004</v>
      </c>
    </row>
    <row r="365" spans="1:12" x14ac:dyDescent="0.25">
      <c r="A365" s="52" t="s">
        <v>890</v>
      </c>
      <c r="B365" s="32" t="s">
        <v>11</v>
      </c>
      <c r="C365" s="32" t="s">
        <v>163</v>
      </c>
      <c r="D365" s="32" t="s">
        <v>164</v>
      </c>
      <c r="E365" s="32" t="s">
        <v>452</v>
      </c>
      <c r="F365" s="32">
        <v>1</v>
      </c>
      <c r="G365" s="45">
        <v>1870</v>
      </c>
      <c r="H365" s="32">
        <v>120</v>
      </c>
      <c r="I365" s="45">
        <v>25</v>
      </c>
      <c r="J365" s="45">
        <f>I365*H365</f>
        <v>3000</v>
      </c>
      <c r="K365" s="45">
        <f t="shared" si="11"/>
        <v>4870</v>
      </c>
      <c r="L365" s="53">
        <v>20211005</v>
      </c>
    </row>
    <row r="366" spans="1:12" x14ac:dyDescent="0.25">
      <c r="A366" s="50" t="s">
        <v>870</v>
      </c>
      <c r="B366" s="30" t="s">
        <v>11</v>
      </c>
      <c r="C366" s="30" t="s">
        <v>172</v>
      </c>
      <c r="D366" s="30" t="s">
        <v>703</v>
      </c>
      <c r="E366" s="30" t="s">
        <v>706</v>
      </c>
      <c r="F366" s="30">
        <v>1</v>
      </c>
      <c r="G366" s="44">
        <v>1870</v>
      </c>
      <c r="H366" s="30"/>
      <c r="I366" s="44"/>
      <c r="J366" s="44"/>
      <c r="K366" s="44">
        <f t="shared" si="11"/>
        <v>1870</v>
      </c>
      <c r="L366" s="51">
        <v>20211006</v>
      </c>
    </row>
    <row r="367" spans="1:12" x14ac:dyDescent="0.25">
      <c r="A367" s="95" t="s">
        <v>915</v>
      </c>
      <c r="B367" s="96" t="s">
        <v>27</v>
      </c>
      <c r="C367" s="96" t="s">
        <v>666</v>
      </c>
      <c r="D367" s="96" t="s">
        <v>916</v>
      </c>
      <c r="E367" s="96" t="s">
        <v>917</v>
      </c>
      <c r="F367" s="96">
        <v>1</v>
      </c>
      <c r="G367" s="97">
        <v>1870</v>
      </c>
      <c r="H367" s="96">
        <v>44</v>
      </c>
      <c r="I367" s="97">
        <v>25</v>
      </c>
      <c r="J367" s="97">
        <f>I367*H367</f>
        <v>1100</v>
      </c>
      <c r="K367" s="97">
        <f t="shared" si="11"/>
        <v>2970</v>
      </c>
      <c r="L367" s="98">
        <v>20211007</v>
      </c>
    </row>
    <row r="368" spans="1:12" x14ac:dyDescent="0.25">
      <c r="A368" s="50" t="s">
        <v>891</v>
      </c>
      <c r="B368" s="30" t="s">
        <v>892</v>
      </c>
      <c r="C368" s="30" t="s">
        <v>26</v>
      </c>
      <c r="D368" s="30" t="s">
        <v>204</v>
      </c>
      <c r="E368" s="30" t="s">
        <v>205</v>
      </c>
      <c r="F368" s="30">
        <v>1</v>
      </c>
      <c r="G368" s="44">
        <v>1870</v>
      </c>
      <c r="H368" s="30"/>
      <c r="I368" s="44"/>
      <c r="J368" s="44"/>
      <c r="K368" s="44">
        <f t="shared" si="11"/>
        <v>1870</v>
      </c>
      <c r="L368" s="51">
        <v>20211012</v>
      </c>
    </row>
    <row r="369" spans="1:12" x14ac:dyDescent="0.25">
      <c r="A369" s="95" t="s">
        <v>909</v>
      </c>
      <c r="B369" s="96" t="s">
        <v>27</v>
      </c>
      <c r="C369" s="96" t="s">
        <v>666</v>
      </c>
      <c r="D369" s="96" t="s">
        <v>910</v>
      </c>
      <c r="E369" s="96" t="s">
        <v>911</v>
      </c>
      <c r="F369" s="96">
        <v>1</v>
      </c>
      <c r="G369" s="97">
        <v>1870</v>
      </c>
      <c r="H369" s="96">
        <v>28</v>
      </c>
      <c r="I369" s="97">
        <v>25</v>
      </c>
      <c r="J369" s="97">
        <f>I369*H369</f>
        <v>700</v>
      </c>
      <c r="K369" s="97">
        <f t="shared" si="11"/>
        <v>2570</v>
      </c>
      <c r="L369" s="98">
        <v>20211012</v>
      </c>
    </row>
    <row r="370" spans="1:12" x14ac:dyDescent="0.25">
      <c r="A370" s="95" t="s">
        <v>912</v>
      </c>
      <c r="B370" s="96" t="s">
        <v>27</v>
      </c>
      <c r="C370" s="96" t="s">
        <v>666</v>
      </c>
      <c r="D370" s="96" t="s">
        <v>913</v>
      </c>
      <c r="E370" s="96" t="s">
        <v>914</v>
      </c>
      <c r="F370" s="96">
        <v>1</v>
      </c>
      <c r="G370" s="97">
        <v>1870</v>
      </c>
      <c r="H370" s="96">
        <v>40</v>
      </c>
      <c r="I370" s="97">
        <v>25</v>
      </c>
      <c r="J370" s="97">
        <f>I370*H370</f>
        <v>1000</v>
      </c>
      <c r="K370" s="97">
        <f t="shared" si="11"/>
        <v>2870</v>
      </c>
      <c r="L370" s="98">
        <v>20211012</v>
      </c>
    </row>
    <row r="371" spans="1:12" x14ac:dyDescent="0.25">
      <c r="A371" s="50" t="s">
        <v>878</v>
      </c>
      <c r="B371" s="30" t="s">
        <v>27</v>
      </c>
      <c r="C371" s="30" t="s">
        <v>873</v>
      </c>
      <c r="D371" s="30" t="s">
        <v>879</v>
      </c>
      <c r="E371" s="30" t="s">
        <v>880</v>
      </c>
      <c r="F371" s="30">
        <v>1</v>
      </c>
      <c r="G371" s="44">
        <v>1870</v>
      </c>
      <c r="H371" s="30"/>
      <c r="I371" s="44"/>
      <c r="J371" s="44"/>
      <c r="K371" s="44">
        <f t="shared" si="11"/>
        <v>1870</v>
      </c>
      <c r="L371" s="51">
        <v>20211014</v>
      </c>
    </row>
    <row r="372" spans="1:12" x14ac:dyDescent="0.25">
      <c r="A372" s="50" t="s">
        <v>876</v>
      </c>
      <c r="B372" s="30" t="s">
        <v>27</v>
      </c>
      <c r="C372" s="30" t="s">
        <v>873</v>
      </c>
      <c r="D372" s="30" t="s">
        <v>874</v>
      </c>
      <c r="E372" s="30" t="s">
        <v>877</v>
      </c>
      <c r="F372" s="30">
        <v>1</v>
      </c>
      <c r="G372" s="44">
        <v>1870</v>
      </c>
      <c r="H372" s="30"/>
      <c r="I372" s="44"/>
      <c r="J372" s="44"/>
      <c r="K372" s="44">
        <f t="shared" si="11"/>
        <v>1870</v>
      </c>
      <c r="L372" s="51">
        <v>20211014</v>
      </c>
    </row>
    <row r="373" spans="1:12" x14ac:dyDescent="0.25">
      <c r="A373" s="50" t="s">
        <v>872</v>
      </c>
      <c r="B373" s="30" t="s">
        <v>27</v>
      </c>
      <c r="C373" s="30" t="s">
        <v>873</v>
      </c>
      <c r="D373" s="30" t="s">
        <v>874</v>
      </c>
      <c r="E373" s="30" t="s">
        <v>875</v>
      </c>
      <c r="F373" s="30">
        <v>1</v>
      </c>
      <c r="G373" s="44">
        <v>1870</v>
      </c>
      <c r="H373" s="30"/>
      <c r="I373" s="44"/>
      <c r="J373" s="44"/>
      <c r="K373" s="44">
        <f t="shared" si="11"/>
        <v>1870</v>
      </c>
      <c r="L373" s="51">
        <v>20211014</v>
      </c>
    </row>
    <row r="374" spans="1:12" x14ac:dyDescent="0.25">
      <c r="A374" s="50" t="s">
        <v>855</v>
      </c>
      <c r="B374" s="30" t="s">
        <v>11</v>
      </c>
      <c r="C374" s="30" t="s">
        <v>76</v>
      </c>
      <c r="D374" s="30" t="s">
        <v>24</v>
      </c>
      <c r="E374" s="30" t="s">
        <v>83</v>
      </c>
      <c r="F374" s="30">
        <v>1</v>
      </c>
      <c r="G374" s="44">
        <v>1870</v>
      </c>
      <c r="H374" s="30"/>
      <c r="I374" s="44"/>
      <c r="J374" s="44"/>
      <c r="K374" s="44">
        <f t="shared" si="11"/>
        <v>1870</v>
      </c>
      <c r="L374" s="51">
        <v>20211015</v>
      </c>
    </row>
    <row r="375" spans="1:12" x14ac:dyDescent="0.25">
      <c r="A375" s="50" t="s">
        <v>851</v>
      </c>
      <c r="B375" s="30" t="s">
        <v>11</v>
      </c>
      <c r="C375" s="30" t="s">
        <v>134</v>
      </c>
      <c r="D375" s="30" t="s">
        <v>354</v>
      </c>
      <c r="E375" s="30" t="s">
        <v>355</v>
      </c>
      <c r="F375" s="30">
        <v>1</v>
      </c>
      <c r="G375" s="44">
        <v>1870</v>
      </c>
      <c r="H375" s="30"/>
      <c r="I375" s="44"/>
      <c r="J375" s="44"/>
      <c r="K375" s="44">
        <f t="shared" si="11"/>
        <v>1870</v>
      </c>
      <c r="L375" s="51">
        <v>20211015</v>
      </c>
    </row>
    <row r="376" spans="1:12" x14ac:dyDescent="0.25">
      <c r="A376" s="50" t="s">
        <v>857</v>
      </c>
      <c r="B376" s="30" t="s">
        <v>27</v>
      </c>
      <c r="C376" s="30" t="s">
        <v>666</v>
      </c>
      <c r="D376" s="30" t="s">
        <v>858</v>
      </c>
      <c r="E376" s="30" t="s">
        <v>859</v>
      </c>
      <c r="F376" s="30">
        <v>1</v>
      </c>
      <c r="G376" s="44">
        <v>1870</v>
      </c>
      <c r="H376" s="30"/>
      <c r="I376" s="44"/>
      <c r="J376" s="44"/>
      <c r="K376" s="44">
        <f t="shared" si="11"/>
        <v>1870</v>
      </c>
      <c r="L376" s="51">
        <v>20211015</v>
      </c>
    </row>
    <row r="377" spans="1:12" x14ac:dyDescent="0.25">
      <c r="A377" s="50" t="s">
        <v>861</v>
      </c>
      <c r="B377" s="30" t="s">
        <v>27</v>
      </c>
      <c r="C377" s="30" t="s">
        <v>666</v>
      </c>
      <c r="D377" s="30" t="s">
        <v>862</v>
      </c>
      <c r="E377" s="30" t="s">
        <v>863</v>
      </c>
      <c r="F377" s="30">
        <v>1</v>
      </c>
      <c r="G377" s="44">
        <v>1870</v>
      </c>
      <c r="H377" s="30"/>
      <c r="I377" s="44"/>
      <c r="J377" s="44"/>
      <c r="K377" s="44">
        <f t="shared" si="11"/>
        <v>1870</v>
      </c>
      <c r="L377" s="51">
        <v>20211018</v>
      </c>
    </row>
    <row r="378" spans="1:12" x14ac:dyDescent="0.25">
      <c r="A378" s="50" t="s">
        <v>845</v>
      </c>
      <c r="B378" s="30" t="s">
        <v>11</v>
      </c>
      <c r="C378" s="30" t="s">
        <v>76</v>
      </c>
      <c r="D378" s="30" t="s">
        <v>24</v>
      </c>
      <c r="E378" s="30" t="s">
        <v>77</v>
      </c>
      <c r="F378" s="30">
        <v>1</v>
      </c>
      <c r="G378" s="44">
        <v>1870</v>
      </c>
      <c r="H378" s="30"/>
      <c r="I378" s="44"/>
      <c r="J378" s="44"/>
      <c r="K378" s="44">
        <f t="shared" si="11"/>
        <v>1870</v>
      </c>
      <c r="L378" s="51">
        <v>20211019</v>
      </c>
    </row>
    <row r="379" spans="1:12" x14ac:dyDescent="0.25">
      <c r="A379" s="50" t="s">
        <v>856</v>
      </c>
      <c r="B379" s="30" t="s">
        <v>11</v>
      </c>
      <c r="C379" s="30" t="s">
        <v>53</v>
      </c>
      <c r="D379" s="30" t="s">
        <v>24</v>
      </c>
      <c r="E379" s="30" t="s">
        <v>100</v>
      </c>
      <c r="F379" s="30">
        <v>1</v>
      </c>
      <c r="G379" s="44">
        <v>1870</v>
      </c>
      <c r="H379" s="30"/>
      <c r="I379" s="44"/>
      <c r="J379" s="44"/>
      <c r="K379" s="44">
        <f t="shared" si="11"/>
        <v>1870</v>
      </c>
      <c r="L379" s="51">
        <v>20211019</v>
      </c>
    </row>
    <row r="380" spans="1:12" x14ac:dyDescent="0.25">
      <c r="A380" s="50" t="s">
        <v>852</v>
      </c>
      <c r="B380" s="30" t="s">
        <v>27</v>
      </c>
      <c r="C380" s="30" t="s">
        <v>666</v>
      </c>
      <c r="D380" s="30" t="s">
        <v>853</v>
      </c>
      <c r="E380" s="30" t="s">
        <v>854</v>
      </c>
      <c r="F380" s="30">
        <v>1</v>
      </c>
      <c r="G380" s="44">
        <v>1870</v>
      </c>
      <c r="H380" s="30"/>
      <c r="I380" s="44"/>
      <c r="J380" s="44"/>
      <c r="K380" s="44">
        <f t="shared" si="11"/>
        <v>1870</v>
      </c>
      <c r="L380" s="51">
        <v>20211020</v>
      </c>
    </row>
    <row r="381" spans="1:12" x14ac:dyDescent="0.25">
      <c r="A381" s="50" t="s">
        <v>843</v>
      </c>
      <c r="B381" s="30" t="s">
        <v>11</v>
      </c>
      <c r="C381" s="30" t="s">
        <v>364</v>
      </c>
      <c r="D381" s="30" t="s">
        <v>24</v>
      </c>
      <c r="E381" s="30" t="s">
        <v>394</v>
      </c>
      <c r="F381" s="30">
        <v>1</v>
      </c>
      <c r="G381" s="44">
        <v>1870</v>
      </c>
      <c r="H381" s="30"/>
      <c r="I381" s="44"/>
      <c r="J381" s="44"/>
      <c r="K381" s="44">
        <f t="shared" si="11"/>
        <v>1870</v>
      </c>
      <c r="L381" s="51">
        <v>20211021</v>
      </c>
    </row>
    <row r="382" spans="1:12" x14ac:dyDescent="0.25">
      <c r="A382" s="50" t="s">
        <v>860</v>
      </c>
      <c r="B382" s="30" t="s">
        <v>27</v>
      </c>
      <c r="C382" s="30" t="s">
        <v>94</v>
      </c>
      <c r="D382" s="30" t="s">
        <v>95</v>
      </c>
      <c r="E382" s="30" t="s">
        <v>112</v>
      </c>
      <c r="F382" s="30">
        <v>1</v>
      </c>
      <c r="G382" s="44">
        <v>1870</v>
      </c>
      <c r="H382" s="30"/>
      <c r="I382" s="44"/>
      <c r="J382" s="44"/>
      <c r="K382" s="44">
        <f t="shared" si="11"/>
        <v>1870</v>
      </c>
      <c r="L382" s="51">
        <v>20211021</v>
      </c>
    </row>
    <row r="383" spans="1:12" x14ac:dyDescent="0.25">
      <c r="A383" s="52" t="s">
        <v>844</v>
      </c>
      <c r="B383" s="32" t="s">
        <v>11</v>
      </c>
      <c r="C383" s="32" t="s">
        <v>270</v>
      </c>
      <c r="D383" s="32" t="s">
        <v>494</v>
      </c>
      <c r="E383" s="32" t="s">
        <v>495</v>
      </c>
      <c r="F383" s="32">
        <v>1</v>
      </c>
      <c r="G383" s="45">
        <v>1870</v>
      </c>
      <c r="H383" s="32">
        <v>120</v>
      </c>
      <c r="I383" s="45">
        <v>25</v>
      </c>
      <c r="J383" s="45">
        <f>I383*H383</f>
        <v>3000</v>
      </c>
      <c r="K383" s="45">
        <f t="shared" si="11"/>
        <v>4870</v>
      </c>
      <c r="L383" s="53">
        <v>20211026</v>
      </c>
    </row>
    <row r="384" spans="1:12" x14ac:dyDescent="0.25">
      <c r="A384" s="50" t="s">
        <v>835</v>
      </c>
      <c r="B384" s="30" t="s">
        <v>11</v>
      </c>
      <c r="C384" s="30" t="s">
        <v>251</v>
      </c>
      <c r="D384" s="30" t="s">
        <v>375</v>
      </c>
      <c r="E384" s="30" t="s">
        <v>376</v>
      </c>
      <c r="F384" s="30">
        <v>1</v>
      </c>
      <c r="G384" s="44">
        <v>1870</v>
      </c>
      <c r="H384" s="30"/>
      <c r="I384" s="44"/>
      <c r="J384" s="44"/>
      <c r="K384" s="44">
        <f t="shared" si="11"/>
        <v>1870</v>
      </c>
      <c r="L384" s="51">
        <v>20211026</v>
      </c>
    </row>
    <row r="385" spans="1:12" x14ac:dyDescent="0.25">
      <c r="A385" s="52" t="s">
        <v>836</v>
      </c>
      <c r="B385" s="32" t="s">
        <v>11</v>
      </c>
      <c r="C385" s="32" t="s">
        <v>163</v>
      </c>
      <c r="D385" s="32" t="s">
        <v>164</v>
      </c>
      <c r="E385" s="32" t="s">
        <v>305</v>
      </c>
      <c r="F385" s="32">
        <v>1</v>
      </c>
      <c r="G385" s="45">
        <v>1870</v>
      </c>
      <c r="H385" s="32">
        <v>120</v>
      </c>
      <c r="I385" s="45">
        <v>25</v>
      </c>
      <c r="J385" s="45">
        <f>I385*H385</f>
        <v>3000</v>
      </c>
      <c r="K385" s="45">
        <f t="shared" si="11"/>
        <v>4870</v>
      </c>
      <c r="L385" s="53">
        <v>20211026</v>
      </c>
    </row>
    <row r="386" spans="1:12" x14ac:dyDescent="0.25">
      <c r="A386" s="50" t="s">
        <v>834</v>
      </c>
      <c r="B386" s="30" t="s">
        <v>11</v>
      </c>
      <c r="C386" s="30" t="s">
        <v>251</v>
      </c>
      <c r="D386" s="30" t="s">
        <v>252</v>
      </c>
      <c r="E386" s="30" t="s">
        <v>253</v>
      </c>
      <c r="F386" s="30">
        <v>1</v>
      </c>
      <c r="G386" s="44">
        <v>1870</v>
      </c>
      <c r="H386" s="30"/>
      <c r="I386" s="44"/>
      <c r="J386" s="44"/>
      <c r="K386" s="44">
        <f t="shared" si="11"/>
        <v>1870</v>
      </c>
      <c r="L386" s="51">
        <v>20211028</v>
      </c>
    </row>
    <row r="387" spans="1:12" x14ac:dyDescent="0.25">
      <c r="A387" s="50" t="s">
        <v>840</v>
      </c>
      <c r="B387" s="30" t="s">
        <v>27</v>
      </c>
      <c r="C387" s="30" t="s">
        <v>666</v>
      </c>
      <c r="D387" s="30" t="s">
        <v>841</v>
      </c>
      <c r="E387" s="30" t="s">
        <v>842</v>
      </c>
      <c r="F387" s="30">
        <v>1</v>
      </c>
      <c r="G387" s="44">
        <v>1870</v>
      </c>
      <c r="H387" s="30"/>
      <c r="I387" s="44"/>
      <c r="J387" s="44"/>
      <c r="K387" s="44">
        <f t="shared" si="11"/>
        <v>1870</v>
      </c>
      <c r="L387" s="51">
        <v>20211028</v>
      </c>
    </row>
    <row r="388" spans="1:12" x14ac:dyDescent="0.25">
      <c r="A388" s="50" t="s">
        <v>893</v>
      </c>
      <c r="B388" s="30" t="s">
        <v>11</v>
      </c>
      <c r="C388" s="30" t="s">
        <v>29</v>
      </c>
      <c r="D388" s="30" t="s">
        <v>24</v>
      </c>
      <c r="E388" s="30" t="s">
        <v>733</v>
      </c>
      <c r="F388" s="30">
        <v>1</v>
      </c>
      <c r="G388" s="44">
        <v>1870</v>
      </c>
      <c r="H388" s="30"/>
      <c r="I388" s="44"/>
      <c r="J388" s="44"/>
      <c r="K388" s="44">
        <f t="shared" si="11"/>
        <v>1870</v>
      </c>
      <c r="L388" s="51">
        <v>20211028</v>
      </c>
    </row>
    <row r="389" spans="1:12" x14ac:dyDescent="0.25">
      <c r="A389" s="50" t="s">
        <v>837</v>
      </c>
      <c r="B389" s="30" t="s">
        <v>27</v>
      </c>
      <c r="C389" s="30" t="s">
        <v>666</v>
      </c>
      <c r="D389" s="30" t="s">
        <v>838</v>
      </c>
      <c r="E389" s="30" t="s">
        <v>839</v>
      </c>
      <c r="F389" s="30">
        <v>1</v>
      </c>
      <c r="G389" s="44">
        <v>1870</v>
      </c>
      <c r="H389" s="30"/>
      <c r="I389" s="44"/>
      <c r="J389" s="44"/>
      <c r="K389" s="44">
        <f t="shared" si="11"/>
        <v>1870</v>
      </c>
      <c r="L389" s="51">
        <v>20211029</v>
      </c>
    </row>
    <row r="390" spans="1:12" ht="15.75" thickBot="1" x14ac:dyDescent="0.3">
      <c r="A390" s="54" t="s">
        <v>871</v>
      </c>
      <c r="B390" s="36" t="s">
        <v>11</v>
      </c>
      <c r="C390" s="36" t="s">
        <v>94</v>
      </c>
      <c r="D390" s="36" t="s">
        <v>95</v>
      </c>
      <c r="E390" s="36" t="s">
        <v>467</v>
      </c>
      <c r="F390" s="36">
        <v>1</v>
      </c>
      <c r="G390" s="65">
        <v>1870</v>
      </c>
      <c r="H390" s="36"/>
      <c r="I390" s="65"/>
      <c r="J390" s="65"/>
      <c r="K390" s="65">
        <f t="shared" si="11"/>
        <v>1870</v>
      </c>
      <c r="L390" s="55">
        <v>20211029</v>
      </c>
    </row>
    <row r="391" spans="1:12" ht="15.75" thickBot="1" x14ac:dyDescent="0.3">
      <c r="A391" s="99"/>
      <c r="B391" s="100"/>
      <c r="C391" s="100"/>
      <c r="D391" s="100"/>
      <c r="E391" s="100"/>
      <c r="F391" s="100"/>
      <c r="G391" s="101"/>
      <c r="H391" s="100"/>
      <c r="I391" s="101"/>
      <c r="J391" s="101"/>
      <c r="K391" s="101"/>
      <c r="L391" s="102"/>
    </row>
    <row r="392" spans="1:12" x14ac:dyDescent="0.25">
      <c r="A392" s="107" t="s">
        <v>956</v>
      </c>
      <c r="B392" s="108" t="s">
        <v>137</v>
      </c>
      <c r="C392" s="108" t="s">
        <v>26</v>
      </c>
      <c r="D392" s="108" t="s">
        <v>41</v>
      </c>
      <c r="E392" s="108" t="s">
        <v>74</v>
      </c>
      <c r="F392" s="108">
        <v>1</v>
      </c>
      <c r="G392" s="109">
        <v>935</v>
      </c>
      <c r="H392" s="108"/>
      <c r="I392" s="109"/>
      <c r="J392" s="109"/>
      <c r="K392" s="109">
        <f t="shared" ref="K392:K427" si="12">J392+G392</f>
        <v>935</v>
      </c>
      <c r="L392" s="110">
        <v>20210730</v>
      </c>
    </row>
    <row r="393" spans="1:12" x14ac:dyDescent="0.25">
      <c r="A393" s="91" t="s">
        <v>951</v>
      </c>
      <c r="B393" s="92" t="s">
        <v>137</v>
      </c>
      <c r="C393" s="92" t="s">
        <v>26</v>
      </c>
      <c r="D393" s="92" t="s">
        <v>952</v>
      </c>
      <c r="E393" s="92" t="s">
        <v>953</v>
      </c>
      <c r="F393" s="92">
        <v>1</v>
      </c>
      <c r="G393" s="93">
        <v>935</v>
      </c>
      <c r="H393" s="92"/>
      <c r="I393" s="93"/>
      <c r="J393" s="93"/>
      <c r="K393" s="93">
        <f t="shared" si="12"/>
        <v>935</v>
      </c>
      <c r="L393" s="94">
        <v>20210806</v>
      </c>
    </row>
    <row r="394" spans="1:12" x14ac:dyDescent="0.25">
      <c r="A394" s="91" t="s">
        <v>954</v>
      </c>
      <c r="B394" s="92" t="s">
        <v>137</v>
      </c>
      <c r="C394" s="92" t="s">
        <v>26</v>
      </c>
      <c r="D394" s="92" t="s">
        <v>952</v>
      </c>
      <c r="E394" s="92" t="s">
        <v>955</v>
      </c>
      <c r="F394" s="92">
        <v>1</v>
      </c>
      <c r="G394" s="93">
        <v>935</v>
      </c>
      <c r="H394" s="92"/>
      <c r="I394" s="93"/>
      <c r="J394" s="93"/>
      <c r="K394" s="93">
        <f t="shared" si="12"/>
        <v>935</v>
      </c>
      <c r="L394" s="94">
        <v>20210806</v>
      </c>
    </row>
    <row r="395" spans="1:12" x14ac:dyDescent="0.25">
      <c r="A395" s="50" t="s">
        <v>949</v>
      </c>
      <c r="B395" s="30" t="s">
        <v>137</v>
      </c>
      <c r="C395" s="30" t="s">
        <v>646</v>
      </c>
      <c r="D395" s="30" t="s">
        <v>24</v>
      </c>
      <c r="E395" s="30" t="s">
        <v>647</v>
      </c>
      <c r="F395" s="30">
        <v>1</v>
      </c>
      <c r="G395" s="44">
        <v>935</v>
      </c>
      <c r="H395" s="30"/>
      <c r="I395" s="44"/>
      <c r="J395" s="44"/>
      <c r="K395" s="44">
        <f t="shared" si="12"/>
        <v>935</v>
      </c>
      <c r="L395" s="51">
        <v>20210923</v>
      </c>
    </row>
    <row r="396" spans="1:12" x14ac:dyDescent="0.25">
      <c r="A396" s="50" t="s">
        <v>918</v>
      </c>
      <c r="B396" s="30" t="s">
        <v>137</v>
      </c>
      <c r="C396" s="30" t="s">
        <v>919</v>
      </c>
      <c r="D396" s="30" t="s">
        <v>24</v>
      </c>
      <c r="E396" s="30" t="s">
        <v>920</v>
      </c>
      <c r="F396" s="30">
        <v>1</v>
      </c>
      <c r="G396" s="44">
        <v>935</v>
      </c>
      <c r="H396" s="30"/>
      <c r="I396" s="44"/>
      <c r="J396" s="44"/>
      <c r="K396" s="44">
        <f t="shared" si="12"/>
        <v>935</v>
      </c>
      <c r="L396" s="51">
        <v>20211001</v>
      </c>
    </row>
    <row r="397" spans="1:12" x14ac:dyDescent="0.25">
      <c r="A397" s="50" t="s">
        <v>921</v>
      </c>
      <c r="B397" s="30" t="s">
        <v>137</v>
      </c>
      <c r="C397" s="30" t="s">
        <v>922</v>
      </c>
      <c r="D397" s="30" t="s">
        <v>24</v>
      </c>
      <c r="E397" s="30" t="s">
        <v>923</v>
      </c>
      <c r="F397" s="30">
        <v>1</v>
      </c>
      <c r="G397" s="44">
        <v>935</v>
      </c>
      <c r="H397" s="30"/>
      <c r="I397" s="44"/>
      <c r="J397" s="44"/>
      <c r="K397" s="44">
        <f t="shared" si="12"/>
        <v>935</v>
      </c>
      <c r="L397" s="51">
        <v>20211001</v>
      </c>
    </row>
    <row r="398" spans="1:12" x14ac:dyDescent="0.25">
      <c r="A398" s="50" t="s">
        <v>932</v>
      </c>
      <c r="B398" s="30" t="s">
        <v>137</v>
      </c>
      <c r="C398" s="30" t="s">
        <v>251</v>
      </c>
      <c r="D398" s="30" t="s">
        <v>933</v>
      </c>
      <c r="E398" s="30" t="s">
        <v>934</v>
      </c>
      <c r="F398" s="30">
        <v>1</v>
      </c>
      <c r="G398" s="44">
        <v>935</v>
      </c>
      <c r="H398" s="30"/>
      <c r="I398" s="44"/>
      <c r="J398" s="44"/>
      <c r="K398" s="44">
        <f t="shared" si="12"/>
        <v>935</v>
      </c>
      <c r="L398" s="51">
        <v>20211004</v>
      </c>
    </row>
    <row r="399" spans="1:12" x14ac:dyDescent="0.25">
      <c r="A399" s="52" t="s">
        <v>907</v>
      </c>
      <c r="B399" s="32" t="s">
        <v>137</v>
      </c>
      <c r="C399" s="32" t="s">
        <v>103</v>
      </c>
      <c r="D399" s="32" t="s">
        <v>104</v>
      </c>
      <c r="E399" s="32" t="s">
        <v>908</v>
      </c>
      <c r="F399" s="32">
        <v>1</v>
      </c>
      <c r="G399" s="45">
        <v>935</v>
      </c>
      <c r="H399" s="32">
        <v>140</v>
      </c>
      <c r="I399" s="45">
        <v>25</v>
      </c>
      <c r="J399" s="45">
        <f>I399*H399</f>
        <v>3500</v>
      </c>
      <c r="K399" s="45">
        <f t="shared" si="12"/>
        <v>4435</v>
      </c>
      <c r="L399" s="53">
        <v>20211004</v>
      </c>
    </row>
    <row r="400" spans="1:12" x14ac:dyDescent="0.25">
      <c r="A400" s="50" t="s">
        <v>905</v>
      </c>
      <c r="B400" s="30" t="s">
        <v>137</v>
      </c>
      <c r="C400" s="30" t="s">
        <v>103</v>
      </c>
      <c r="D400" s="30" t="s">
        <v>104</v>
      </c>
      <c r="E400" s="30" t="s">
        <v>906</v>
      </c>
      <c r="F400" s="30">
        <v>1</v>
      </c>
      <c r="G400" s="44">
        <v>935</v>
      </c>
      <c r="H400" s="30"/>
      <c r="I400" s="44"/>
      <c r="J400" s="44"/>
      <c r="K400" s="44">
        <f t="shared" si="12"/>
        <v>935</v>
      </c>
      <c r="L400" s="51">
        <v>20211004</v>
      </c>
    </row>
    <row r="401" spans="1:12" x14ac:dyDescent="0.25">
      <c r="A401" s="50" t="s">
        <v>903</v>
      </c>
      <c r="B401" s="30" t="s">
        <v>137</v>
      </c>
      <c r="C401" s="30" t="s">
        <v>103</v>
      </c>
      <c r="D401" s="30" t="s">
        <v>104</v>
      </c>
      <c r="E401" s="30" t="s">
        <v>904</v>
      </c>
      <c r="F401" s="30">
        <v>1</v>
      </c>
      <c r="G401" s="44">
        <v>935</v>
      </c>
      <c r="H401" s="30"/>
      <c r="I401" s="44"/>
      <c r="J401" s="44"/>
      <c r="K401" s="44">
        <f t="shared" si="12"/>
        <v>935</v>
      </c>
      <c r="L401" s="51">
        <v>20211004</v>
      </c>
    </row>
    <row r="402" spans="1:12" x14ac:dyDescent="0.25">
      <c r="A402" s="50" t="s">
        <v>935</v>
      </c>
      <c r="B402" s="30" t="s">
        <v>137</v>
      </c>
      <c r="C402" s="30" t="s">
        <v>936</v>
      </c>
      <c r="D402" s="30" t="s">
        <v>937</v>
      </c>
      <c r="E402" s="30" t="s">
        <v>938</v>
      </c>
      <c r="F402" s="30">
        <v>1</v>
      </c>
      <c r="G402" s="44">
        <v>935</v>
      </c>
      <c r="H402" s="30"/>
      <c r="I402" s="44"/>
      <c r="J402" s="44"/>
      <c r="K402" s="44">
        <f t="shared" si="12"/>
        <v>935</v>
      </c>
      <c r="L402" s="51">
        <v>20211004</v>
      </c>
    </row>
    <row r="403" spans="1:12" x14ac:dyDescent="0.25">
      <c r="A403" s="50" t="s">
        <v>939</v>
      </c>
      <c r="B403" s="30" t="s">
        <v>137</v>
      </c>
      <c r="C403" s="30" t="s">
        <v>474</v>
      </c>
      <c r="D403" s="30" t="s">
        <v>475</v>
      </c>
      <c r="E403" s="30" t="s">
        <v>940</v>
      </c>
      <c r="F403" s="30">
        <v>1</v>
      </c>
      <c r="G403" s="44">
        <v>935</v>
      </c>
      <c r="H403" s="30"/>
      <c r="I403" s="44"/>
      <c r="J403" s="44"/>
      <c r="K403" s="44">
        <f t="shared" si="12"/>
        <v>935</v>
      </c>
      <c r="L403" s="51">
        <v>20211004</v>
      </c>
    </row>
    <row r="404" spans="1:12" x14ac:dyDescent="0.25">
      <c r="A404" s="50" t="s">
        <v>901</v>
      </c>
      <c r="B404" s="30" t="s">
        <v>137</v>
      </c>
      <c r="C404" s="30" t="s">
        <v>899</v>
      </c>
      <c r="D404" s="30" t="s">
        <v>24</v>
      </c>
      <c r="E404" s="30" t="s">
        <v>902</v>
      </c>
      <c r="F404" s="30">
        <v>1</v>
      </c>
      <c r="G404" s="44">
        <v>935</v>
      </c>
      <c r="H404" s="30"/>
      <c r="I404" s="44"/>
      <c r="J404" s="44"/>
      <c r="K404" s="44">
        <f t="shared" si="12"/>
        <v>935</v>
      </c>
      <c r="L404" s="51">
        <v>20211004</v>
      </c>
    </row>
    <row r="405" spans="1:12" x14ac:dyDescent="0.25">
      <c r="A405" s="50" t="s">
        <v>898</v>
      </c>
      <c r="B405" s="30" t="s">
        <v>137</v>
      </c>
      <c r="C405" s="30" t="s">
        <v>899</v>
      </c>
      <c r="D405" s="30" t="s">
        <v>24</v>
      </c>
      <c r="E405" s="30" t="s">
        <v>900</v>
      </c>
      <c r="F405" s="30">
        <v>1</v>
      </c>
      <c r="G405" s="44">
        <v>935</v>
      </c>
      <c r="H405" s="30"/>
      <c r="I405" s="44"/>
      <c r="J405" s="44"/>
      <c r="K405" s="44">
        <f t="shared" si="12"/>
        <v>935</v>
      </c>
      <c r="L405" s="51">
        <v>20211004</v>
      </c>
    </row>
    <row r="406" spans="1:12" x14ac:dyDescent="0.25">
      <c r="A406" s="50" t="s">
        <v>894</v>
      </c>
      <c r="B406" s="30" t="s">
        <v>137</v>
      </c>
      <c r="C406" s="30" t="s">
        <v>895</v>
      </c>
      <c r="D406" s="30" t="s">
        <v>896</v>
      </c>
      <c r="E406" s="30" t="s">
        <v>897</v>
      </c>
      <c r="F406" s="30">
        <v>1</v>
      </c>
      <c r="G406" s="44">
        <v>935</v>
      </c>
      <c r="H406" s="30"/>
      <c r="I406" s="44"/>
      <c r="J406" s="44"/>
      <c r="K406" s="44">
        <f t="shared" si="12"/>
        <v>935</v>
      </c>
      <c r="L406" s="51">
        <v>20211004</v>
      </c>
    </row>
    <row r="407" spans="1:12" x14ac:dyDescent="0.25">
      <c r="A407" s="50" t="s">
        <v>889</v>
      </c>
      <c r="B407" s="30" t="s">
        <v>137</v>
      </c>
      <c r="C407" s="30" t="s">
        <v>29</v>
      </c>
      <c r="D407" s="30" t="s">
        <v>24</v>
      </c>
      <c r="E407" s="30" t="s">
        <v>210</v>
      </c>
      <c r="F407" s="30">
        <v>1</v>
      </c>
      <c r="G407" s="44">
        <v>935</v>
      </c>
      <c r="H407" s="30"/>
      <c r="I407" s="44"/>
      <c r="J407" s="44"/>
      <c r="K407" s="44">
        <f t="shared" si="12"/>
        <v>935</v>
      </c>
      <c r="L407" s="51">
        <v>20211005</v>
      </c>
    </row>
    <row r="408" spans="1:12" x14ac:dyDescent="0.25">
      <c r="A408" s="50" t="s">
        <v>888</v>
      </c>
      <c r="B408" s="30" t="s">
        <v>137</v>
      </c>
      <c r="C408" s="30" t="s">
        <v>29</v>
      </c>
      <c r="D408" s="30" t="s">
        <v>24</v>
      </c>
      <c r="E408" s="30" t="s">
        <v>161</v>
      </c>
      <c r="F408" s="30">
        <v>1</v>
      </c>
      <c r="G408" s="44">
        <v>935</v>
      </c>
      <c r="H408" s="30"/>
      <c r="I408" s="44"/>
      <c r="J408" s="44"/>
      <c r="K408" s="44">
        <f t="shared" si="12"/>
        <v>935</v>
      </c>
      <c r="L408" s="51">
        <v>20211005</v>
      </c>
    </row>
    <row r="409" spans="1:12" x14ac:dyDescent="0.25">
      <c r="A409" s="50" t="s">
        <v>887</v>
      </c>
      <c r="B409" s="30" t="s">
        <v>137</v>
      </c>
      <c r="C409" s="30" t="s">
        <v>29</v>
      </c>
      <c r="D409" s="30" t="s">
        <v>24</v>
      </c>
      <c r="E409" s="30" t="s">
        <v>89</v>
      </c>
      <c r="F409" s="30">
        <v>1</v>
      </c>
      <c r="G409" s="44">
        <v>935</v>
      </c>
      <c r="H409" s="30"/>
      <c r="I409" s="44"/>
      <c r="J409" s="44"/>
      <c r="K409" s="44">
        <f t="shared" si="12"/>
        <v>935</v>
      </c>
      <c r="L409" s="51">
        <v>20211005</v>
      </c>
    </row>
    <row r="410" spans="1:12" x14ac:dyDescent="0.25">
      <c r="A410" s="50" t="s">
        <v>886</v>
      </c>
      <c r="B410" s="30" t="s">
        <v>137</v>
      </c>
      <c r="C410" s="30" t="s">
        <v>29</v>
      </c>
      <c r="D410" s="30" t="s">
        <v>24</v>
      </c>
      <c r="E410" s="30" t="s">
        <v>634</v>
      </c>
      <c r="F410" s="30">
        <v>1</v>
      </c>
      <c r="G410" s="44">
        <v>935</v>
      </c>
      <c r="H410" s="30"/>
      <c r="I410" s="44"/>
      <c r="J410" s="44"/>
      <c r="K410" s="44">
        <f t="shared" si="12"/>
        <v>935</v>
      </c>
      <c r="L410" s="51">
        <v>20211005</v>
      </c>
    </row>
    <row r="411" spans="1:12" x14ac:dyDescent="0.25">
      <c r="A411" s="50" t="s">
        <v>884</v>
      </c>
      <c r="B411" s="30" t="s">
        <v>137</v>
      </c>
      <c r="C411" s="30" t="s">
        <v>29</v>
      </c>
      <c r="D411" s="30" t="s">
        <v>24</v>
      </c>
      <c r="E411" s="30" t="s">
        <v>209</v>
      </c>
      <c r="F411" s="30">
        <v>1</v>
      </c>
      <c r="G411" s="44">
        <v>935</v>
      </c>
      <c r="H411" s="30"/>
      <c r="I411" s="44"/>
      <c r="J411" s="44"/>
      <c r="K411" s="44">
        <f t="shared" si="12"/>
        <v>935</v>
      </c>
      <c r="L411" s="51">
        <v>20211005</v>
      </c>
    </row>
    <row r="412" spans="1:12" x14ac:dyDescent="0.25">
      <c r="A412" s="50" t="s">
        <v>883</v>
      </c>
      <c r="B412" s="30" t="s">
        <v>137</v>
      </c>
      <c r="C412" s="30" t="s">
        <v>29</v>
      </c>
      <c r="D412" s="30" t="s">
        <v>24</v>
      </c>
      <c r="E412" s="30" t="s">
        <v>630</v>
      </c>
      <c r="F412" s="30">
        <v>1</v>
      </c>
      <c r="G412" s="44">
        <v>935</v>
      </c>
      <c r="H412" s="30"/>
      <c r="I412" s="44"/>
      <c r="J412" s="44"/>
      <c r="K412" s="44">
        <f t="shared" si="12"/>
        <v>935</v>
      </c>
      <c r="L412" s="51">
        <v>20211005</v>
      </c>
    </row>
    <row r="413" spans="1:12" x14ac:dyDescent="0.25">
      <c r="A413" s="50" t="s">
        <v>882</v>
      </c>
      <c r="B413" s="30" t="s">
        <v>137</v>
      </c>
      <c r="C413" s="30" t="s">
        <v>29</v>
      </c>
      <c r="D413" s="30" t="s">
        <v>24</v>
      </c>
      <c r="E413" s="30" t="s">
        <v>208</v>
      </c>
      <c r="F413" s="30">
        <v>1</v>
      </c>
      <c r="G413" s="44">
        <v>935</v>
      </c>
      <c r="H413" s="30"/>
      <c r="I413" s="44"/>
      <c r="J413" s="44"/>
      <c r="K413" s="44">
        <f t="shared" si="12"/>
        <v>935</v>
      </c>
      <c r="L413" s="51">
        <v>20211005</v>
      </c>
    </row>
    <row r="414" spans="1:12" x14ac:dyDescent="0.25">
      <c r="A414" s="50" t="s">
        <v>881</v>
      </c>
      <c r="B414" s="30" t="s">
        <v>137</v>
      </c>
      <c r="C414" s="30" t="s">
        <v>29</v>
      </c>
      <c r="D414" s="30" t="s">
        <v>24</v>
      </c>
      <c r="E414" s="30" t="s">
        <v>628</v>
      </c>
      <c r="F414" s="30">
        <v>1</v>
      </c>
      <c r="G414" s="44">
        <v>935</v>
      </c>
      <c r="H414" s="30"/>
      <c r="I414" s="44"/>
      <c r="J414" s="44"/>
      <c r="K414" s="44">
        <f t="shared" si="12"/>
        <v>935</v>
      </c>
      <c r="L414" s="51">
        <v>20211005</v>
      </c>
    </row>
    <row r="415" spans="1:12" x14ac:dyDescent="0.25">
      <c r="A415" s="50" t="s">
        <v>930</v>
      </c>
      <c r="B415" s="30" t="s">
        <v>137</v>
      </c>
      <c r="C415" s="30" t="s">
        <v>505</v>
      </c>
      <c r="D415" s="30" t="s">
        <v>24</v>
      </c>
      <c r="E415" s="30" t="s">
        <v>931</v>
      </c>
      <c r="F415" s="30">
        <v>1</v>
      </c>
      <c r="G415" s="44">
        <v>935</v>
      </c>
      <c r="H415" s="30"/>
      <c r="I415" s="44"/>
      <c r="J415" s="44"/>
      <c r="K415" s="44">
        <f t="shared" si="12"/>
        <v>935</v>
      </c>
      <c r="L415" s="51">
        <v>20211006</v>
      </c>
    </row>
    <row r="416" spans="1:12" x14ac:dyDescent="0.25">
      <c r="A416" s="50" t="s">
        <v>926</v>
      </c>
      <c r="B416" s="30" t="s">
        <v>137</v>
      </c>
      <c r="C416" s="30" t="s">
        <v>505</v>
      </c>
      <c r="D416" s="30" t="s">
        <v>24</v>
      </c>
      <c r="E416" s="30" t="s">
        <v>927</v>
      </c>
      <c r="F416" s="30">
        <v>1</v>
      </c>
      <c r="G416" s="44">
        <v>935</v>
      </c>
      <c r="H416" s="30"/>
      <c r="I416" s="44"/>
      <c r="J416" s="44"/>
      <c r="K416" s="44">
        <f t="shared" si="12"/>
        <v>935</v>
      </c>
      <c r="L416" s="51">
        <v>20211006</v>
      </c>
    </row>
    <row r="417" spans="1:12" x14ac:dyDescent="0.25">
      <c r="A417" s="50" t="s">
        <v>924</v>
      </c>
      <c r="B417" s="30" t="s">
        <v>137</v>
      </c>
      <c r="C417" s="30" t="s">
        <v>505</v>
      </c>
      <c r="D417" s="30" t="s">
        <v>24</v>
      </c>
      <c r="E417" s="30" t="s">
        <v>925</v>
      </c>
      <c r="F417" s="30">
        <v>1</v>
      </c>
      <c r="G417" s="44">
        <v>935</v>
      </c>
      <c r="H417" s="30"/>
      <c r="I417" s="44"/>
      <c r="J417" s="44"/>
      <c r="K417" s="44">
        <f t="shared" si="12"/>
        <v>935</v>
      </c>
      <c r="L417" s="51">
        <v>20211006</v>
      </c>
    </row>
    <row r="418" spans="1:12" x14ac:dyDescent="0.25">
      <c r="A418" s="50" t="s">
        <v>944</v>
      </c>
      <c r="B418" s="30" t="s">
        <v>137</v>
      </c>
      <c r="C418" s="30" t="s">
        <v>474</v>
      </c>
      <c r="D418" s="30" t="s">
        <v>24</v>
      </c>
      <c r="E418" s="30" t="s">
        <v>945</v>
      </c>
      <c r="F418" s="30">
        <v>1</v>
      </c>
      <c r="G418" s="44">
        <v>935</v>
      </c>
      <c r="H418" s="30"/>
      <c r="I418" s="44"/>
      <c r="J418" s="44"/>
      <c r="K418" s="44">
        <f t="shared" si="12"/>
        <v>935</v>
      </c>
      <c r="L418" s="51">
        <v>20211006</v>
      </c>
    </row>
    <row r="419" spans="1:12" x14ac:dyDescent="0.25">
      <c r="A419" s="50" t="s">
        <v>943</v>
      </c>
      <c r="B419" s="30" t="s">
        <v>137</v>
      </c>
      <c r="C419" s="30" t="s">
        <v>474</v>
      </c>
      <c r="D419" s="30" t="s">
        <v>24</v>
      </c>
      <c r="E419" s="30" t="s">
        <v>554</v>
      </c>
      <c r="F419" s="30">
        <v>1</v>
      </c>
      <c r="G419" s="44">
        <v>935</v>
      </c>
      <c r="H419" s="30"/>
      <c r="I419" s="44"/>
      <c r="J419" s="44"/>
      <c r="K419" s="44">
        <f t="shared" si="12"/>
        <v>935</v>
      </c>
      <c r="L419" s="51">
        <v>20211006</v>
      </c>
    </row>
    <row r="420" spans="1:12" x14ac:dyDescent="0.25">
      <c r="A420" s="50" t="s">
        <v>941</v>
      </c>
      <c r="B420" s="30" t="s">
        <v>137</v>
      </c>
      <c r="C420" s="30" t="s">
        <v>474</v>
      </c>
      <c r="D420" s="30" t="s">
        <v>24</v>
      </c>
      <c r="E420" s="30" t="s">
        <v>942</v>
      </c>
      <c r="F420" s="30">
        <v>1</v>
      </c>
      <c r="G420" s="44">
        <v>935</v>
      </c>
      <c r="H420" s="30"/>
      <c r="I420" s="44"/>
      <c r="J420" s="44"/>
      <c r="K420" s="44">
        <f t="shared" si="12"/>
        <v>935</v>
      </c>
      <c r="L420" s="51">
        <v>20211006</v>
      </c>
    </row>
    <row r="421" spans="1:12" x14ac:dyDescent="0.25">
      <c r="A421" s="50" t="s">
        <v>885</v>
      </c>
      <c r="B421" s="30" t="s">
        <v>137</v>
      </c>
      <c r="C421" s="30" t="s">
        <v>29</v>
      </c>
      <c r="D421" s="30" t="s">
        <v>24</v>
      </c>
      <c r="E421" s="30" t="s">
        <v>632</v>
      </c>
      <c r="F421" s="30">
        <v>1</v>
      </c>
      <c r="G421" s="44">
        <v>935</v>
      </c>
      <c r="H421" s="30"/>
      <c r="I421" s="44"/>
      <c r="J421" s="44"/>
      <c r="K421" s="44">
        <f t="shared" si="12"/>
        <v>935</v>
      </c>
      <c r="L421" s="51">
        <v>20211006</v>
      </c>
    </row>
    <row r="422" spans="1:12" x14ac:dyDescent="0.25">
      <c r="A422" s="50" t="s">
        <v>928</v>
      </c>
      <c r="B422" s="30" t="s">
        <v>137</v>
      </c>
      <c r="C422" s="30" t="s">
        <v>505</v>
      </c>
      <c r="D422" s="30" t="s">
        <v>24</v>
      </c>
      <c r="E422" s="30" t="s">
        <v>929</v>
      </c>
      <c r="F422" s="30">
        <v>1</v>
      </c>
      <c r="G422" s="44">
        <v>935</v>
      </c>
      <c r="H422" s="30"/>
      <c r="I422" s="44"/>
      <c r="J422" s="44"/>
      <c r="K422" s="44">
        <f t="shared" si="12"/>
        <v>935</v>
      </c>
      <c r="L422" s="51">
        <v>20211007</v>
      </c>
    </row>
    <row r="423" spans="1:12" x14ac:dyDescent="0.25">
      <c r="A423" s="50" t="s">
        <v>864</v>
      </c>
      <c r="B423" s="30" t="s">
        <v>137</v>
      </c>
      <c r="C423" s="30" t="s">
        <v>865</v>
      </c>
      <c r="D423" s="30" t="s">
        <v>24</v>
      </c>
      <c r="E423" s="30" t="s">
        <v>866</v>
      </c>
      <c r="F423" s="30">
        <v>1</v>
      </c>
      <c r="G423" s="44">
        <v>935</v>
      </c>
      <c r="H423" s="30"/>
      <c r="I423" s="44"/>
      <c r="J423" s="44"/>
      <c r="K423" s="44">
        <f t="shared" si="12"/>
        <v>935</v>
      </c>
      <c r="L423" s="51">
        <v>20211012</v>
      </c>
    </row>
    <row r="424" spans="1:12" x14ac:dyDescent="0.25">
      <c r="A424" s="50" t="s">
        <v>867</v>
      </c>
      <c r="B424" s="30" t="s">
        <v>137</v>
      </c>
      <c r="C424" s="30" t="s">
        <v>868</v>
      </c>
      <c r="D424" s="30" t="s">
        <v>24</v>
      </c>
      <c r="E424" s="30" t="s">
        <v>869</v>
      </c>
      <c r="F424" s="30">
        <v>1</v>
      </c>
      <c r="G424" s="44">
        <v>935</v>
      </c>
      <c r="H424" s="30"/>
      <c r="I424" s="44"/>
      <c r="J424" s="44"/>
      <c r="K424" s="44">
        <f t="shared" si="12"/>
        <v>935</v>
      </c>
      <c r="L424" s="51">
        <v>20211015</v>
      </c>
    </row>
    <row r="425" spans="1:12" x14ac:dyDescent="0.25">
      <c r="A425" s="50" t="s">
        <v>847</v>
      </c>
      <c r="B425" s="30" t="s">
        <v>137</v>
      </c>
      <c r="C425" s="30" t="s">
        <v>848</v>
      </c>
      <c r="D425" s="30" t="s">
        <v>849</v>
      </c>
      <c r="E425" s="30" t="s">
        <v>850</v>
      </c>
      <c r="F425" s="30">
        <v>1</v>
      </c>
      <c r="G425" s="44">
        <v>935</v>
      </c>
      <c r="H425" s="30"/>
      <c r="I425" s="44"/>
      <c r="J425" s="44"/>
      <c r="K425" s="44">
        <f t="shared" si="12"/>
        <v>935</v>
      </c>
      <c r="L425" s="51">
        <v>20211015</v>
      </c>
    </row>
    <row r="426" spans="1:12" ht="15.75" thickBot="1" x14ac:dyDescent="0.3">
      <c r="A426" s="54" t="s">
        <v>846</v>
      </c>
      <c r="B426" s="36" t="s">
        <v>137</v>
      </c>
      <c r="C426" s="36" t="s">
        <v>91</v>
      </c>
      <c r="D426" s="36" t="s">
        <v>24</v>
      </c>
      <c r="E426" s="36" t="s">
        <v>92</v>
      </c>
      <c r="F426" s="36">
        <v>1</v>
      </c>
      <c r="G426" s="65">
        <v>935</v>
      </c>
      <c r="H426" s="36"/>
      <c r="I426" s="65"/>
      <c r="J426" s="65"/>
      <c r="K426" s="65">
        <f t="shared" si="12"/>
        <v>935</v>
      </c>
      <c r="L426" s="55">
        <v>20211015</v>
      </c>
    </row>
    <row r="427" spans="1:12" x14ac:dyDescent="0.25">
      <c r="A427" s="103" t="s">
        <v>957</v>
      </c>
      <c r="B427" s="104" t="s">
        <v>11</v>
      </c>
      <c r="C427" s="104" t="s">
        <v>26</v>
      </c>
      <c r="D427" s="104" t="s">
        <v>958</v>
      </c>
      <c r="E427" s="104" t="s">
        <v>959</v>
      </c>
      <c r="F427" s="104">
        <v>1</v>
      </c>
      <c r="G427" s="105">
        <v>515</v>
      </c>
      <c r="H427" s="104"/>
      <c r="I427" s="105"/>
      <c r="J427" s="105"/>
      <c r="K427" s="105">
        <f t="shared" si="12"/>
        <v>515</v>
      </c>
      <c r="L427" s="106">
        <v>20170721</v>
      </c>
    </row>
    <row r="430" spans="1:12" ht="15.75" thickBot="1" x14ac:dyDescent="0.3">
      <c r="A430" s="69" t="s">
        <v>0</v>
      </c>
      <c r="B430" s="70" t="s">
        <v>1</v>
      </c>
      <c r="C430" s="70" t="s">
        <v>2</v>
      </c>
      <c r="D430" s="70" t="s">
        <v>3</v>
      </c>
      <c r="E430" s="70" t="s">
        <v>4</v>
      </c>
      <c r="F430" s="70"/>
      <c r="G430" s="71" t="s">
        <v>6</v>
      </c>
      <c r="H430" s="70" t="s">
        <v>7</v>
      </c>
      <c r="I430" s="71" t="s">
        <v>8</v>
      </c>
      <c r="J430" s="71" t="s">
        <v>9</v>
      </c>
      <c r="K430" s="71" t="s">
        <v>10</v>
      </c>
      <c r="L430" s="72" t="s">
        <v>5</v>
      </c>
    </row>
    <row r="431" spans="1:12" x14ac:dyDescent="0.25">
      <c r="A431" s="48" t="s">
        <v>1014</v>
      </c>
      <c r="B431" s="34" t="s">
        <v>27</v>
      </c>
      <c r="C431" s="34" t="s">
        <v>993</v>
      </c>
      <c r="D431" s="34" t="s">
        <v>994</v>
      </c>
      <c r="E431" s="34" t="s">
        <v>1015</v>
      </c>
      <c r="F431" s="34">
        <v>1</v>
      </c>
      <c r="G431" s="64">
        <v>1870</v>
      </c>
      <c r="H431" s="34"/>
      <c r="I431" s="64"/>
      <c r="J431" s="64"/>
      <c r="K431" s="64">
        <f t="shared" ref="K431:K459" si="13">J431+G431</f>
        <v>1870</v>
      </c>
      <c r="L431" s="49">
        <v>20211101</v>
      </c>
    </row>
    <row r="432" spans="1:12" x14ac:dyDescent="0.25">
      <c r="A432" s="50" t="s">
        <v>1016</v>
      </c>
      <c r="B432" s="30" t="s">
        <v>27</v>
      </c>
      <c r="C432" s="30" t="s">
        <v>993</v>
      </c>
      <c r="D432" s="30" t="s">
        <v>994</v>
      </c>
      <c r="E432" s="30" t="s">
        <v>995</v>
      </c>
      <c r="F432" s="30">
        <v>1</v>
      </c>
      <c r="G432" s="44">
        <v>1870</v>
      </c>
      <c r="H432" s="30"/>
      <c r="I432" s="44"/>
      <c r="J432" s="44"/>
      <c r="K432" s="44">
        <f t="shared" si="13"/>
        <v>1870</v>
      </c>
      <c r="L432" s="51">
        <v>20211101</v>
      </c>
    </row>
    <row r="433" spans="1:14" s="42" customFormat="1" x14ac:dyDescent="0.25">
      <c r="A433" s="52" t="s">
        <v>1013</v>
      </c>
      <c r="B433" s="32" t="s">
        <v>11</v>
      </c>
      <c r="C433" s="32" t="s">
        <v>103</v>
      </c>
      <c r="D433" s="32" t="s">
        <v>104</v>
      </c>
      <c r="E433" s="32" t="s">
        <v>904</v>
      </c>
      <c r="F433" s="32">
        <v>1</v>
      </c>
      <c r="G433" s="45">
        <v>1870</v>
      </c>
      <c r="H433" s="32">
        <v>140</v>
      </c>
      <c r="I433" s="45">
        <v>25</v>
      </c>
      <c r="J433" s="45">
        <f>I433*H433</f>
        <v>3500</v>
      </c>
      <c r="K433" s="45">
        <f t="shared" si="13"/>
        <v>5370</v>
      </c>
      <c r="L433" s="53">
        <v>20211102</v>
      </c>
    </row>
    <row r="434" spans="1:14" x14ac:dyDescent="0.25">
      <c r="A434" s="52" t="s">
        <v>1017</v>
      </c>
      <c r="B434" s="32" t="s">
        <v>11</v>
      </c>
      <c r="C434" s="32" t="s">
        <v>103</v>
      </c>
      <c r="D434" s="32" t="s">
        <v>104</v>
      </c>
      <c r="E434" s="32" t="s">
        <v>217</v>
      </c>
      <c r="F434" s="32">
        <v>1</v>
      </c>
      <c r="G434" s="45">
        <v>1870</v>
      </c>
      <c r="H434" s="32">
        <v>140</v>
      </c>
      <c r="I434" s="45">
        <v>25</v>
      </c>
      <c r="J434" s="45">
        <f>I434*H434</f>
        <v>3500</v>
      </c>
      <c r="K434" s="45">
        <f t="shared" si="13"/>
        <v>5370</v>
      </c>
      <c r="L434" s="53">
        <v>20211102</v>
      </c>
      <c r="M434" s="42"/>
      <c r="N434" s="42"/>
    </row>
    <row r="435" spans="1:14" s="42" customFormat="1" x14ac:dyDescent="0.25">
      <c r="A435" s="50" t="s">
        <v>1002</v>
      </c>
      <c r="B435" s="30" t="s">
        <v>27</v>
      </c>
      <c r="C435" s="30" t="s">
        <v>29</v>
      </c>
      <c r="D435" s="30" t="s">
        <v>24</v>
      </c>
      <c r="E435" s="30" t="s">
        <v>1003</v>
      </c>
      <c r="F435" s="30">
        <v>1</v>
      </c>
      <c r="G435" s="44">
        <v>1870</v>
      </c>
      <c r="H435" s="30"/>
      <c r="I435" s="44"/>
      <c r="J435" s="44"/>
      <c r="K435" s="44">
        <f t="shared" si="13"/>
        <v>1870</v>
      </c>
      <c r="L435" s="51">
        <v>20211104</v>
      </c>
      <c r="M435" s="25"/>
      <c r="N435" s="25"/>
    </row>
    <row r="436" spans="1:14" x14ac:dyDescent="0.25">
      <c r="A436" s="50" t="s">
        <v>1004</v>
      </c>
      <c r="B436" s="30" t="s">
        <v>11</v>
      </c>
      <c r="C436" s="30" t="s">
        <v>29</v>
      </c>
      <c r="D436" s="30" t="s">
        <v>24</v>
      </c>
      <c r="E436" s="30" t="s">
        <v>733</v>
      </c>
      <c r="F436" s="30">
        <v>1</v>
      </c>
      <c r="G436" s="44">
        <v>1870</v>
      </c>
      <c r="H436" s="30"/>
      <c r="I436" s="44"/>
      <c r="J436" s="44"/>
      <c r="K436" s="44">
        <f t="shared" si="13"/>
        <v>1870</v>
      </c>
      <c r="L436" s="51">
        <v>20211104</v>
      </c>
    </row>
    <row r="437" spans="1:14" s="42" customFormat="1" x14ac:dyDescent="0.25">
      <c r="A437" s="50" t="s">
        <v>1009</v>
      </c>
      <c r="B437" s="30" t="s">
        <v>27</v>
      </c>
      <c r="C437" s="30" t="s">
        <v>666</v>
      </c>
      <c r="D437" s="30" t="s">
        <v>1010</v>
      </c>
      <c r="E437" s="30" t="s">
        <v>1011</v>
      </c>
      <c r="F437" s="30">
        <v>1</v>
      </c>
      <c r="G437" s="44">
        <v>1870</v>
      </c>
      <c r="H437" s="30"/>
      <c r="I437" s="44"/>
      <c r="J437" s="44"/>
      <c r="K437" s="44">
        <f t="shared" si="13"/>
        <v>1870</v>
      </c>
      <c r="L437" s="51">
        <v>20211104</v>
      </c>
      <c r="M437" s="25"/>
      <c r="N437" s="25"/>
    </row>
    <row r="438" spans="1:14" x14ac:dyDescent="0.25">
      <c r="A438" s="50" t="s">
        <v>991</v>
      </c>
      <c r="B438" s="30" t="s">
        <v>11</v>
      </c>
      <c r="C438" s="30" t="s">
        <v>364</v>
      </c>
      <c r="D438" s="30" t="s">
        <v>24</v>
      </c>
      <c r="E438" s="30" t="s">
        <v>532</v>
      </c>
      <c r="F438" s="30">
        <v>1</v>
      </c>
      <c r="G438" s="44">
        <v>1870</v>
      </c>
      <c r="H438" s="30"/>
      <c r="I438" s="44"/>
      <c r="J438" s="44"/>
      <c r="K438" s="44">
        <f t="shared" si="13"/>
        <v>1870</v>
      </c>
      <c r="L438" s="51">
        <v>20211105</v>
      </c>
    </row>
    <row r="439" spans="1:14" s="42" customFormat="1" x14ac:dyDescent="0.25">
      <c r="A439" s="50" t="s">
        <v>992</v>
      </c>
      <c r="B439" s="30" t="s">
        <v>11</v>
      </c>
      <c r="C439" s="30" t="s">
        <v>993</v>
      </c>
      <c r="D439" s="30" t="s">
        <v>994</v>
      </c>
      <c r="E439" s="30" t="s">
        <v>995</v>
      </c>
      <c r="F439" s="30">
        <v>1</v>
      </c>
      <c r="G439" s="44">
        <v>1870</v>
      </c>
      <c r="H439" s="30"/>
      <c r="I439" s="44"/>
      <c r="J439" s="44"/>
      <c r="K439" s="44">
        <f t="shared" si="13"/>
        <v>1870</v>
      </c>
      <c r="L439" s="51">
        <v>20211105</v>
      </c>
      <c r="M439" s="25"/>
      <c r="N439" s="25"/>
    </row>
    <row r="440" spans="1:14" x14ac:dyDescent="0.25">
      <c r="A440" s="52" t="s">
        <v>1005</v>
      </c>
      <c r="B440" s="32" t="s">
        <v>11</v>
      </c>
      <c r="C440" s="32" t="s">
        <v>1006</v>
      </c>
      <c r="D440" s="32" t="s">
        <v>1007</v>
      </c>
      <c r="E440" s="32" t="s">
        <v>1008</v>
      </c>
      <c r="F440" s="32">
        <v>1</v>
      </c>
      <c r="G440" s="45">
        <v>1870</v>
      </c>
      <c r="H440" s="32">
        <v>316</v>
      </c>
      <c r="I440" s="45">
        <v>25</v>
      </c>
      <c r="J440" s="45">
        <f>I440*H440</f>
        <v>7900</v>
      </c>
      <c r="K440" s="45">
        <f t="shared" si="13"/>
        <v>9770</v>
      </c>
      <c r="L440" s="53">
        <v>20211108</v>
      </c>
      <c r="M440" s="42"/>
      <c r="N440" s="42"/>
    </row>
    <row r="441" spans="1:14" x14ac:dyDescent="0.25">
      <c r="A441" s="50" t="s">
        <v>990</v>
      </c>
      <c r="B441" s="30" t="s">
        <v>11</v>
      </c>
      <c r="C441" s="30" t="s">
        <v>163</v>
      </c>
      <c r="D441" s="30" t="s">
        <v>164</v>
      </c>
      <c r="E441" s="30" t="s">
        <v>305</v>
      </c>
      <c r="F441" s="30">
        <v>1</v>
      </c>
      <c r="G441" s="44">
        <v>1870</v>
      </c>
      <c r="H441" s="30"/>
      <c r="I441" s="44"/>
      <c r="J441" s="44"/>
      <c r="K441" s="44">
        <f t="shared" si="13"/>
        <v>1870</v>
      </c>
      <c r="L441" s="51">
        <v>20211112</v>
      </c>
    </row>
    <row r="442" spans="1:14" x14ac:dyDescent="0.25">
      <c r="A442" s="50" t="s">
        <v>996</v>
      </c>
      <c r="B442" s="30" t="s">
        <v>27</v>
      </c>
      <c r="C442" s="30" t="s">
        <v>666</v>
      </c>
      <c r="D442" s="30" t="s">
        <v>997</v>
      </c>
      <c r="E442" s="30" t="s">
        <v>998</v>
      </c>
      <c r="F442" s="30">
        <v>1</v>
      </c>
      <c r="G442" s="44">
        <v>1870</v>
      </c>
      <c r="H442" s="30"/>
      <c r="I442" s="44"/>
      <c r="J442" s="44"/>
      <c r="K442" s="44">
        <f t="shared" si="13"/>
        <v>1870</v>
      </c>
      <c r="L442" s="51">
        <v>20211112</v>
      </c>
    </row>
    <row r="443" spans="1:14" s="42" customFormat="1" x14ac:dyDescent="0.25">
      <c r="A443" s="50" t="s">
        <v>989</v>
      </c>
      <c r="B443" s="30" t="s">
        <v>11</v>
      </c>
      <c r="C443" s="30" t="s">
        <v>29</v>
      </c>
      <c r="D443" s="30" t="s">
        <v>389</v>
      </c>
      <c r="E443" s="30" t="s">
        <v>390</v>
      </c>
      <c r="F443" s="30">
        <v>1</v>
      </c>
      <c r="G443" s="44">
        <v>1870</v>
      </c>
      <c r="H443" s="30"/>
      <c r="I443" s="44"/>
      <c r="J443" s="44"/>
      <c r="K443" s="44">
        <f t="shared" si="13"/>
        <v>1870</v>
      </c>
      <c r="L443" s="51">
        <v>20211115</v>
      </c>
      <c r="M443" s="25"/>
      <c r="N443" s="25"/>
    </row>
    <row r="444" spans="1:14" x14ac:dyDescent="0.25">
      <c r="A444" s="50" t="s">
        <v>1012</v>
      </c>
      <c r="B444" s="30" t="s">
        <v>11</v>
      </c>
      <c r="C444" s="30" t="s">
        <v>94</v>
      </c>
      <c r="D444" s="30" t="s">
        <v>95</v>
      </c>
      <c r="E444" s="30" t="s">
        <v>982</v>
      </c>
      <c r="F444" s="30">
        <v>1</v>
      </c>
      <c r="G444" s="44">
        <v>1870</v>
      </c>
      <c r="H444" s="30"/>
      <c r="I444" s="44"/>
      <c r="J444" s="44"/>
      <c r="K444" s="44">
        <f t="shared" si="13"/>
        <v>1870</v>
      </c>
      <c r="L444" s="51">
        <v>20211115</v>
      </c>
    </row>
    <row r="445" spans="1:14" x14ac:dyDescent="0.25">
      <c r="A445" s="50" t="s">
        <v>981</v>
      </c>
      <c r="B445" s="30" t="s">
        <v>11</v>
      </c>
      <c r="C445" s="30" t="s">
        <v>94</v>
      </c>
      <c r="D445" s="30" t="s">
        <v>95</v>
      </c>
      <c r="E445" s="30" t="s">
        <v>982</v>
      </c>
      <c r="F445" s="30">
        <v>1</v>
      </c>
      <c r="G445" s="44">
        <v>1870</v>
      </c>
      <c r="H445" s="30"/>
      <c r="I445" s="44"/>
      <c r="J445" s="44"/>
      <c r="K445" s="44">
        <f t="shared" si="13"/>
        <v>1870</v>
      </c>
      <c r="L445" s="51">
        <v>20211116</v>
      </c>
    </row>
    <row r="446" spans="1:14" x14ac:dyDescent="0.25">
      <c r="A446" s="50" t="s">
        <v>986</v>
      </c>
      <c r="B446" s="30" t="s">
        <v>27</v>
      </c>
      <c r="C446" s="30" t="s">
        <v>666</v>
      </c>
      <c r="D446" s="30" t="s">
        <v>987</v>
      </c>
      <c r="E446" s="30" t="s">
        <v>988</v>
      </c>
      <c r="F446" s="30">
        <v>1</v>
      </c>
      <c r="G446" s="44">
        <v>1870</v>
      </c>
      <c r="H446" s="30"/>
      <c r="I446" s="44"/>
      <c r="J446" s="44"/>
      <c r="K446" s="44">
        <f t="shared" si="13"/>
        <v>1870</v>
      </c>
      <c r="L446" s="51">
        <v>20211116</v>
      </c>
    </row>
    <row r="447" spans="1:14" x14ac:dyDescent="0.25">
      <c r="A447" s="50" t="s">
        <v>980</v>
      </c>
      <c r="B447" s="30" t="s">
        <v>11</v>
      </c>
      <c r="C447" s="30" t="s">
        <v>94</v>
      </c>
      <c r="D447" s="30" t="s">
        <v>95</v>
      </c>
      <c r="E447" s="30" t="s">
        <v>467</v>
      </c>
      <c r="F447" s="30">
        <v>1</v>
      </c>
      <c r="G447" s="44">
        <v>1870</v>
      </c>
      <c r="H447" s="30"/>
      <c r="I447" s="44"/>
      <c r="J447" s="44"/>
      <c r="K447" s="44">
        <f t="shared" si="13"/>
        <v>1870</v>
      </c>
      <c r="L447" s="51">
        <v>20211117</v>
      </c>
    </row>
    <row r="448" spans="1:14" x14ac:dyDescent="0.25">
      <c r="A448" s="52" t="s">
        <v>970</v>
      </c>
      <c r="B448" s="32" t="s">
        <v>11</v>
      </c>
      <c r="C448" s="32" t="s">
        <v>134</v>
      </c>
      <c r="D448" s="32" t="s">
        <v>135</v>
      </c>
      <c r="E448" s="32" t="s">
        <v>190</v>
      </c>
      <c r="F448" s="32">
        <v>1</v>
      </c>
      <c r="G448" s="45">
        <v>1870</v>
      </c>
      <c r="H448" s="32">
        <v>25</v>
      </c>
      <c r="I448" s="45">
        <v>25</v>
      </c>
      <c r="J448" s="45">
        <f>I448*H448</f>
        <v>625</v>
      </c>
      <c r="K448" s="45">
        <f t="shared" si="13"/>
        <v>2495</v>
      </c>
      <c r="L448" s="53">
        <v>20211118</v>
      </c>
      <c r="M448" s="42"/>
      <c r="N448" s="42"/>
    </row>
    <row r="449" spans="1:14" x14ac:dyDescent="0.25">
      <c r="A449" s="52" t="s">
        <v>983</v>
      </c>
      <c r="B449" s="32" t="s">
        <v>27</v>
      </c>
      <c r="C449" s="32" t="s">
        <v>666</v>
      </c>
      <c r="D449" s="32" t="s">
        <v>984</v>
      </c>
      <c r="E449" s="32" t="s">
        <v>985</v>
      </c>
      <c r="F449" s="32">
        <v>1</v>
      </c>
      <c r="G449" s="45">
        <v>1870</v>
      </c>
      <c r="H449" s="32">
        <v>140</v>
      </c>
      <c r="I449" s="45">
        <v>25</v>
      </c>
      <c r="J449" s="45">
        <f>I449*H449</f>
        <v>3500</v>
      </c>
      <c r="K449" s="45">
        <f t="shared" si="13"/>
        <v>5370</v>
      </c>
      <c r="L449" s="53">
        <v>20211118</v>
      </c>
      <c r="M449" s="42"/>
      <c r="N449" s="42"/>
    </row>
    <row r="450" spans="1:14" x14ac:dyDescent="0.25">
      <c r="A450" s="50" t="s">
        <v>999</v>
      </c>
      <c r="B450" s="30" t="s">
        <v>27</v>
      </c>
      <c r="C450" s="30" t="s">
        <v>666</v>
      </c>
      <c r="D450" s="30" t="s">
        <v>1000</v>
      </c>
      <c r="E450" s="30" t="s">
        <v>1001</v>
      </c>
      <c r="F450" s="30">
        <v>1</v>
      </c>
      <c r="G450" s="44">
        <v>1870</v>
      </c>
      <c r="H450" s="30"/>
      <c r="I450" s="44"/>
      <c r="J450" s="44"/>
      <c r="K450" s="44">
        <f t="shared" si="13"/>
        <v>1870</v>
      </c>
      <c r="L450" s="51">
        <v>20211118</v>
      </c>
    </row>
    <row r="451" spans="1:14" x14ac:dyDescent="0.25">
      <c r="A451" s="50" t="s">
        <v>977</v>
      </c>
      <c r="B451" s="30" t="s">
        <v>27</v>
      </c>
      <c r="C451" s="30" t="s">
        <v>666</v>
      </c>
      <c r="D451" s="30" t="s">
        <v>978</v>
      </c>
      <c r="E451" s="30" t="s">
        <v>979</v>
      </c>
      <c r="F451" s="30">
        <v>1</v>
      </c>
      <c r="G451" s="44">
        <v>1870</v>
      </c>
      <c r="H451" s="30"/>
      <c r="I451" s="44"/>
      <c r="J451" s="44"/>
      <c r="K451" s="44">
        <f t="shared" si="13"/>
        <v>1870</v>
      </c>
      <c r="L451" s="51">
        <v>20211119</v>
      </c>
    </row>
    <row r="452" spans="1:14" x14ac:dyDescent="0.25">
      <c r="A452" s="50" t="s">
        <v>971</v>
      </c>
      <c r="B452" s="30" t="s">
        <v>27</v>
      </c>
      <c r="C452" s="30" t="s">
        <v>666</v>
      </c>
      <c r="D452" s="30" t="s">
        <v>972</v>
      </c>
      <c r="E452" s="30" t="s">
        <v>973</v>
      </c>
      <c r="F452" s="30">
        <v>1</v>
      </c>
      <c r="G452" s="44">
        <v>1870</v>
      </c>
      <c r="H452" s="30"/>
      <c r="I452" s="44"/>
      <c r="J452" s="44"/>
      <c r="K452" s="44">
        <f t="shared" si="13"/>
        <v>1870</v>
      </c>
      <c r="L452" s="51">
        <v>20211124</v>
      </c>
    </row>
    <row r="453" spans="1:14" s="42" customFormat="1" x14ac:dyDescent="0.25">
      <c r="A453" s="52" t="s">
        <v>974</v>
      </c>
      <c r="B453" s="32" t="s">
        <v>27</v>
      </c>
      <c r="C453" s="32" t="s">
        <v>666</v>
      </c>
      <c r="D453" s="32" t="s">
        <v>975</v>
      </c>
      <c r="E453" s="32" t="s">
        <v>976</v>
      </c>
      <c r="F453" s="32">
        <v>1</v>
      </c>
      <c r="G453" s="45">
        <v>1870</v>
      </c>
      <c r="H453" s="32">
        <v>140</v>
      </c>
      <c r="I453" s="45">
        <v>25</v>
      </c>
      <c r="J453" s="45">
        <f>I453*H453</f>
        <v>3500</v>
      </c>
      <c r="K453" s="45">
        <f t="shared" si="13"/>
        <v>5370</v>
      </c>
      <c r="L453" s="53">
        <v>20211124</v>
      </c>
    </row>
    <row r="454" spans="1:14" x14ac:dyDescent="0.25">
      <c r="A454" s="50" t="s">
        <v>969</v>
      </c>
      <c r="B454" s="30" t="s">
        <v>11</v>
      </c>
      <c r="C454" s="30" t="s">
        <v>770</v>
      </c>
      <c r="D454" s="30" t="s">
        <v>24</v>
      </c>
      <c r="E454" s="30" t="s">
        <v>777</v>
      </c>
      <c r="F454" s="30">
        <v>1</v>
      </c>
      <c r="G454" s="44">
        <v>1870</v>
      </c>
      <c r="H454" s="30"/>
      <c r="I454" s="44"/>
      <c r="J454" s="44"/>
      <c r="K454" s="44">
        <f t="shared" si="13"/>
        <v>1870</v>
      </c>
      <c r="L454" s="51">
        <v>20211126</v>
      </c>
    </row>
    <row r="455" spans="1:14" x14ac:dyDescent="0.25">
      <c r="A455" s="50" t="s">
        <v>964</v>
      </c>
      <c r="B455" s="30" t="s">
        <v>11</v>
      </c>
      <c r="C455" s="30" t="s">
        <v>163</v>
      </c>
      <c r="D455" s="30" t="s">
        <v>164</v>
      </c>
      <c r="E455" s="30" t="s">
        <v>185</v>
      </c>
      <c r="F455" s="30">
        <v>1</v>
      </c>
      <c r="G455" s="44">
        <v>1870</v>
      </c>
      <c r="H455" s="30"/>
      <c r="I455" s="44"/>
      <c r="J455" s="44"/>
      <c r="K455" s="44">
        <f t="shared" si="13"/>
        <v>1870</v>
      </c>
      <c r="L455" s="51">
        <v>20211129</v>
      </c>
    </row>
    <row r="456" spans="1:14" s="42" customFormat="1" x14ac:dyDescent="0.25">
      <c r="A456" s="52" t="s">
        <v>965</v>
      </c>
      <c r="B456" s="32" t="s">
        <v>11</v>
      </c>
      <c r="C456" s="32" t="s">
        <v>163</v>
      </c>
      <c r="D456" s="32" t="s">
        <v>164</v>
      </c>
      <c r="E456" s="32" t="s">
        <v>478</v>
      </c>
      <c r="F456" s="32">
        <v>1</v>
      </c>
      <c r="G456" s="45">
        <v>1870</v>
      </c>
      <c r="H456" s="32">
        <v>120</v>
      </c>
      <c r="I456" s="45">
        <v>25</v>
      </c>
      <c r="J456" s="45">
        <f>I456*H456</f>
        <v>3000</v>
      </c>
      <c r="K456" s="45">
        <f t="shared" si="13"/>
        <v>4870</v>
      </c>
      <c r="L456" s="53">
        <v>20211129</v>
      </c>
    </row>
    <row r="457" spans="1:14" x14ac:dyDescent="0.25">
      <c r="A457" s="50" t="s">
        <v>966</v>
      </c>
      <c r="B457" s="30" t="s">
        <v>11</v>
      </c>
      <c r="C457" s="30" t="s">
        <v>163</v>
      </c>
      <c r="D457" s="30" t="s">
        <v>164</v>
      </c>
      <c r="E457" s="30" t="s">
        <v>361</v>
      </c>
      <c r="F457" s="30">
        <v>1</v>
      </c>
      <c r="G457" s="44">
        <v>1870</v>
      </c>
      <c r="H457" s="30"/>
      <c r="I457" s="44"/>
      <c r="J457" s="44"/>
      <c r="K457" s="44">
        <f t="shared" si="13"/>
        <v>1870</v>
      </c>
      <c r="L457" s="51">
        <v>20211129</v>
      </c>
    </row>
    <row r="458" spans="1:14" x14ac:dyDescent="0.25">
      <c r="A458" s="50" t="s">
        <v>963</v>
      </c>
      <c r="B458" s="30" t="s">
        <v>11</v>
      </c>
      <c r="C458" s="30" t="s">
        <v>76</v>
      </c>
      <c r="D458" s="30" t="s">
        <v>24</v>
      </c>
      <c r="E458" s="30" t="s">
        <v>83</v>
      </c>
      <c r="F458" s="30">
        <v>1</v>
      </c>
      <c r="G458" s="44">
        <v>1870</v>
      </c>
      <c r="H458" s="30"/>
      <c r="I458" s="44"/>
      <c r="J458" s="44"/>
      <c r="K458" s="44">
        <f t="shared" si="13"/>
        <v>1870</v>
      </c>
      <c r="L458" s="51">
        <v>20211130</v>
      </c>
    </row>
    <row r="459" spans="1:14" s="42" customFormat="1" ht="15.75" thickBot="1" x14ac:dyDescent="0.3">
      <c r="A459" s="87" t="s">
        <v>967</v>
      </c>
      <c r="B459" s="88" t="s">
        <v>11</v>
      </c>
      <c r="C459" s="88" t="s">
        <v>34</v>
      </c>
      <c r="D459" s="88" t="s">
        <v>35</v>
      </c>
      <c r="E459" s="88" t="s">
        <v>968</v>
      </c>
      <c r="F459" s="88">
        <v>1</v>
      </c>
      <c r="G459" s="89">
        <v>1870</v>
      </c>
      <c r="H459" s="88">
        <v>64</v>
      </c>
      <c r="I459" s="89">
        <v>25</v>
      </c>
      <c r="J459" s="89">
        <f>I459*H459</f>
        <v>1600</v>
      </c>
      <c r="K459" s="89">
        <f t="shared" si="13"/>
        <v>3470</v>
      </c>
      <c r="L459" s="90">
        <v>20211130</v>
      </c>
    </row>
    <row r="461" spans="1:14" ht="15.75" thickBot="1" x14ac:dyDescent="0.3">
      <c r="A461" s="69" t="s">
        <v>0</v>
      </c>
      <c r="B461" s="70" t="s">
        <v>1</v>
      </c>
      <c r="C461" s="70" t="s">
        <v>2</v>
      </c>
      <c r="D461" s="70" t="s">
        <v>3</v>
      </c>
      <c r="E461" s="70" t="s">
        <v>4</v>
      </c>
      <c r="F461" s="70"/>
      <c r="G461" s="71" t="s">
        <v>6</v>
      </c>
      <c r="H461" s="70" t="s">
        <v>7</v>
      </c>
      <c r="I461" s="71" t="s">
        <v>8</v>
      </c>
      <c r="J461" s="71" t="s">
        <v>9</v>
      </c>
      <c r="K461" s="71" t="s">
        <v>10</v>
      </c>
      <c r="L461" s="72" t="s">
        <v>5</v>
      </c>
    </row>
    <row r="462" spans="1:14" x14ac:dyDescent="0.25">
      <c r="A462" s="48" t="s">
        <v>1067</v>
      </c>
      <c r="B462" s="34" t="s">
        <v>11</v>
      </c>
      <c r="C462" s="34" t="s">
        <v>57</v>
      </c>
      <c r="D462" s="34" t="s">
        <v>58</v>
      </c>
      <c r="E462" s="34" t="s">
        <v>62</v>
      </c>
      <c r="F462" s="34">
        <v>1</v>
      </c>
      <c r="G462" s="64">
        <v>1870</v>
      </c>
      <c r="H462" s="34"/>
      <c r="I462" s="64"/>
      <c r="J462" s="64"/>
      <c r="K462" s="64">
        <f t="shared" ref="K462:K493" si="14">J462+G462</f>
        <v>1870</v>
      </c>
      <c r="L462" s="49">
        <v>20211201</v>
      </c>
    </row>
    <row r="463" spans="1:14" x14ac:dyDescent="0.25">
      <c r="A463" s="121" t="s">
        <v>1076</v>
      </c>
      <c r="B463" s="122" t="s">
        <v>27</v>
      </c>
      <c r="C463" s="122" t="s">
        <v>666</v>
      </c>
      <c r="D463" s="122" t="s">
        <v>1077</v>
      </c>
      <c r="E463" s="122" t="s">
        <v>1078</v>
      </c>
      <c r="F463" s="122">
        <v>1</v>
      </c>
      <c r="G463" s="123">
        <v>3740</v>
      </c>
      <c r="H463" s="122"/>
      <c r="I463" s="123"/>
      <c r="J463" s="123"/>
      <c r="K463" s="123">
        <f t="shared" si="14"/>
        <v>3740</v>
      </c>
      <c r="L463" s="124">
        <v>20211201</v>
      </c>
    </row>
    <row r="464" spans="1:14" x14ac:dyDescent="0.25">
      <c r="A464" s="50" t="s">
        <v>1069</v>
      </c>
      <c r="B464" s="30" t="s">
        <v>11</v>
      </c>
      <c r="C464" s="30" t="s">
        <v>770</v>
      </c>
      <c r="D464" s="30" t="s">
        <v>24</v>
      </c>
      <c r="E464" s="30" t="s">
        <v>777</v>
      </c>
      <c r="F464" s="30">
        <v>1</v>
      </c>
      <c r="G464" s="44">
        <v>1870</v>
      </c>
      <c r="H464" s="30"/>
      <c r="I464" s="44"/>
      <c r="J464" s="44"/>
      <c r="K464" s="44">
        <f t="shared" si="14"/>
        <v>1870</v>
      </c>
      <c r="L464" s="51">
        <v>20211202</v>
      </c>
    </row>
    <row r="465" spans="1:12" x14ac:dyDescent="0.25">
      <c r="A465" s="121" t="s">
        <v>1070</v>
      </c>
      <c r="B465" s="122" t="s">
        <v>27</v>
      </c>
      <c r="C465" s="122" t="s">
        <v>666</v>
      </c>
      <c r="D465" s="122" t="s">
        <v>1071</v>
      </c>
      <c r="E465" s="122" t="s">
        <v>1072</v>
      </c>
      <c r="F465" s="122">
        <v>1</v>
      </c>
      <c r="G465" s="123">
        <v>1870</v>
      </c>
      <c r="H465" s="122"/>
      <c r="I465" s="123"/>
      <c r="J465" s="123"/>
      <c r="K465" s="123">
        <f t="shared" si="14"/>
        <v>1870</v>
      </c>
      <c r="L465" s="124">
        <v>20211202</v>
      </c>
    </row>
    <row r="466" spans="1:12" x14ac:dyDescent="0.25">
      <c r="A466" s="50" t="s">
        <v>1056</v>
      </c>
      <c r="B466" s="30" t="s">
        <v>11</v>
      </c>
      <c r="C466" s="30" t="s">
        <v>29</v>
      </c>
      <c r="D466" s="30" t="s">
        <v>389</v>
      </c>
      <c r="E466" s="30" t="s">
        <v>390</v>
      </c>
      <c r="F466" s="30">
        <v>1</v>
      </c>
      <c r="G466" s="44">
        <v>1870</v>
      </c>
      <c r="H466" s="30"/>
      <c r="I466" s="44"/>
      <c r="J466" s="44"/>
      <c r="K466" s="44">
        <f t="shared" si="14"/>
        <v>1870</v>
      </c>
      <c r="L466" s="51">
        <v>20211203</v>
      </c>
    </row>
    <row r="467" spans="1:12" x14ac:dyDescent="0.25">
      <c r="A467" s="121" t="s">
        <v>1073</v>
      </c>
      <c r="B467" s="122" t="s">
        <v>27</v>
      </c>
      <c r="C467" s="122" t="s">
        <v>666</v>
      </c>
      <c r="D467" s="122" t="s">
        <v>1074</v>
      </c>
      <c r="E467" s="122" t="s">
        <v>1075</v>
      </c>
      <c r="F467" s="122">
        <v>1</v>
      </c>
      <c r="G467" s="123">
        <v>1870</v>
      </c>
      <c r="H467" s="122"/>
      <c r="I467" s="123"/>
      <c r="J467" s="123"/>
      <c r="K467" s="123">
        <f t="shared" si="14"/>
        <v>1870</v>
      </c>
      <c r="L467" s="124">
        <v>20211206</v>
      </c>
    </row>
    <row r="468" spans="1:12" x14ac:dyDescent="0.25">
      <c r="A468" s="121" t="s">
        <v>1064</v>
      </c>
      <c r="B468" s="122" t="s">
        <v>27</v>
      </c>
      <c r="C468" s="122" t="s">
        <v>666</v>
      </c>
      <c r="D468" s="122" t="s">
        <v>1065</v>
      </c>
      <c r="E468" s="122" t="s">
        <v>1066</v>
      </c>
      <c r="F468" s="122">
        <v>1</v>
      </c>
      <c r="G468" s="123">
        <v>1870</v>
      </c>
      <c r="H468" s="122"/>
      <c r="I468" s="123"/>
      <c r="J468" s="123"/>
      <c r="K468" s="123">
        <f t="shared" si="14"/>
        <v>1870</v>
      </c>
      <c r="L468" s="124">
        <v>20211206</v>
      </c>
    </row>
    <row r="469" spans="1:12" x14ac:dyDescent="0.25">
      <c r="A469" s="50" t="s">
        <v>1049</v>
      </c>
      <c r="B469" s="30" t="s">
        <v>11</v>
      </c>
      <c r="C469" s="30" t="s">
        <v>28</v>
      </c>
      <c r="D469" s="30" t="s">
        <v>753</v>
      </c>
      <c r="E469" s="30" t="s">
        <v>756</v>
      </c>
      <c r="F469" s="30">
        <v>1</v>
      </c>
      <c r="G469" s="44">
        <v>1870</v>
      </c>
      <c r="H469" s="30"/>
      <c r="I469" s="44"/>
      <c r="J469" s="44"/>
      <c r="K469" s="44">
        <f t="shared" si="14"/>
        <v>1870</v>
      </c>
      <c r="L469" s="51">
        <v>20211210</v>
      </c>
    </row>
    <row r="470" spans="1:12" x14ac:dyDescent="0.25">
      <c r="A470" s="50" t="s">
        <v>1048</v>
      </c>
      <c r="B470" s="30" t="s">
        <v>11</v>
      </c>
      <c r="C470" s="30" t="s">
        <v>364</v>
      </c>
      <c r="D470" s="30" t="s">
        <v>24</v>
      </c>
      <c r="E470" s="30" t="s">
        <v>532</v>
      </c>
      <c r="F470" s="30">
        <v>1</v>
      </c>
      <c r="G470" s="44">
        <v>1870</v>
      </c>
      <c r="H470" s="30"/>
      <c r="I470" s="44"/>
      <c r="J470" s="44"/>
      <c r="K470" s="44">
        <f t="shared" si="14"/>
        <v>1870</v>
      </c>
      <c r="L470" s="51">
        <v>20211210</v>
      </c>
    </row>
    <row r="471" spans="1:12" x14ac:dyDescent="0.25">
      <c r="A471" s="50" t="s">
        <v>1057</v>
      </c>
      <c r="B471" s="30" t="s">
        <v>11</v>
      </c>
      <c r="C471" s="30" t="s">
        <v>364</v>
      </c>
      <c r="D471" s="30" t="s">
        <v>24</v>
      </c>
      <c r="E471" s="30" t="s">
        <v>394</v>
      </c>
      <c r="F471" s="30">
        <v>1</v>
      </c>
      <c r="G471" s="44">
        <v>1870</v>
      </c>
      <c r="H471" s="30"/>
      <c r="I471" s="44"/>
      <c r="J471" s="44"/>
      <c r="K471" s="44">
        <f t="shared" si="14"/>
        <v>1870</v>
      </c>
      <c r="L471" s="51">
        <v>20211210</v>
      </c>
    </row>
    <row r="472" spans="1:12" x14ac:dyDescent="0.25">
      <c r="A472" s="52" t="s">
        <v>1051</v>
      </c>
      <c r="B472" s="32" t="s">
        <v>11</v>
      </c>
      <c r="C472" s="32" t="s">
        <v>134</v>
      </c>
      <c r="D472" s="32" t="s">
        <v>135</v>
      </c>
      <c r="E472" s="32" t="s">
        <v>264</v>
      </c>
      <c r="F472" s="32">
        <v>1</v>
      </c>
      <c r="G472" s="45">
        <v>1870</v>
      </c>
      <c r="H472" s="32">
        <v>25</v>
      </c>
      <c r="I472" s="45">
        <v>25</v>
      </c>
      <c r="J472" s="45">
        <f>I472*H472</f>
        <v>625</v>
      </c>
      <c r="K472" s="45">
        <f t="shared" si="14"/>
        <v>2495</v>
      </c>
      <c r="L472" s="53">
        <v>20211210</v>
      </c>
    </row>
    <row r="473" spans="1:12" x14ac:dyDescent="0.25">
      <c r="A473" s="50" t="s">
        <v>1063</v>
      </c>
      <c r="B473" s="30" t="s">
        <v>11</v>
      </c>
      <c r="C473" s="30" t="s">
        <v>29</v>
      </c>
      <c r="D473" s="30" t="s">
        <v>24</v>
      </c>
      <c r="E473" s="30" t="s">
        <v>630</v>
      </c>
      <c r="F473" s="30">
        <v>1</v>
      </c>
      <c r="G473" s="44">
        <v>1870</v>
      </c>
      <c r="H473" s="30"/>
      <c r="I473" s="44"/>
      <c r="J473" s="44"/>
      <c r="K473" s="44">
        <f t="shared" si="14"/>
        <v>1870</v>
      </c>
      <c r="L473" s="51">
        <v>20211210</v>
      </c>
    </row>
    <row r="474" spans="1:12" x14ac:dyDescent="0.25">
      <c r="A474" s="50" t="s">
        <v>1050</v>
      </c>
      <c r="B474" s="30" t="s">
        <v>11</v>
      </c>
      <c r="C474" s="30" t="s">
        <v>29</v>
      </c>
      <c r="D474" s="30" t="s">
        <v>24</v>
      </c>
      <c r="E474" s="30" t="s">
        <v>208</v>
      </c>
      <c r="F474" s="30">
        <v>1</v>
      </c>
      <c r="G474" s="44">
        <v>1870</v>
      </c>
      <c r="H474" s="30"/>
      <c r="I474" s="44"/>
      <c r="J474" s="44"/>
      <c r="K474" s="44">
        <f t="shared" si="14"/>
        <v>1870</v>
      </c>
      <c r="L474" s="51">
        <v>20211210</v>
      </c>
    </row>
    <row r="475" spans="1:12" x14ac:dyDescent="0.25">
      <c r="A475" s="50" t="s">
        <v>1047</v>
      </c>
      <c r="B475" s="30" t="s">
        <v>11</v>
      </c>
      <c r="C475" s="30" t="s">
        <v>770</v>
      </c>
      <c r="D475" s="30" t="s">
        <v>24</v>
      </c>
      <c r="E475" s="30" t="s">
        <v>777</v>
      </c>
      <c r="F475" s="30">
        <v>1</v>
      </c>
      <c r="G475" s="44">
        <v>1870</v>
      </c>
      <c r="H475" s="30"/>
      <c r="I475" s="44"/>
      <c r="J475" s="44"/>
      <c r="K475" s="44">
        <f t="shared" si="14"/>
        <v>1870</v>
      </c>
      <c r="L475" s="51">
        <v>20211213</v>
      </c>
    </row>
    <row r="476" spans="1:12" x14ac:dyDescent="0.25">
      <c r="A476" s="50" t="s">
        <v>1045</v>
      </c>
      <c r="B476" s="30" t="s">
        <v>11</v>
      </c>
      <c r="C476" s="30" t="s">
        <v>163</v>
      </c>
      <c r="D476" s="30" t="s">
        <v>164</v>
      </c>
      <c r="E476" s="30" t="s">
        <v>185</v>
      </c>
      <c r="F476" s="30">
        <v>1</v>
      </c>
      <c r="G476" s="44">
        <v>1870</v>
      </c>
      <c r="H476" s="30"/>
      <c r="I476" s="44"/>
      <c r="J476" s="44"/>
      <c r="K476" s="44">
        <f t="shared" si="14"/>
        <v>1870</v>
      </c>
      <c r="L476" s="51">
        <v>20211214</v>
      </c>
    </row>
    <row r="477" spans="1:12" x14ac:dyDescent="0.25">
      <c r="A477" s="50" t="s">
        <v>1046</v>
      </c>
      <c r="B477" s="30" t="s">
        <v>11</v>
      </c>
      <c r="C477" s="30" t="s">
        <v>163</v>
      </c>
      <c r="D477" s="30" t="s">
        <v>164</v>
      </c>
      <c r="E477" s="30" t="s">
        <v>166</v>
      </c>
      <c r="F477" s="30">
        <v>1</v>
      </c>
      <c r="G477" s="44">
        <v>1870</v>
      </c>
      <c r="H477" s="30"/>
      <c r="I477" s="44"/>
      <c r="J477" s="44"/>
      <c r="K477" s="44">
        <f t="shared" si="14"/>
        <v>1870</v>
      </c>
      <c r="L477" s="51">
        <v>20211214</v>
      </c>
    </row>
    <row r="478" spans="1:12" x14ac:dyDescent="0.25">
      <c r="A478" s="52" t="s">
        <v>1068</v>
      </c>
      <c r="B478" s="32" t="s">
        <v>11</v>
      </c>
      <c r="C478" s="32" t="s">
        <v>163</v>
      </c>
      <c r="D478" s="32" t="s">
        <v>164</v>
      </c>
      <c r="E478" s="32" t="s">
        <v>444</v>
      </c>
      <c r="F478" s="32">
        <v>1</v>
      </c>
      <c r="G478" s="45">
        <v>1870</v>
      </c>
      <c r="H478" s="32">
        <v>120</v>
      </c>
      <c r="I478" s="45">
        <v>25</v>
      </c>
      <c r="J478" s="45">
        <f>I478*H478</f>
        <v>3000</v>
      </c>
      <c r="K478" s="45">
        <f t="shared" si="14"/>
        <v>4870</v>
      </c>
      <c r="L478" s="53">
        <v>20211214</v>
      </c>
    </row>
    <row r="479" spans="1:12" x14ac:dyDescent="0.25">
      <c r="A479" s="50" t="s">
        <v>1043</v>
      </c>
      <c r="B479" s="30" t="s">
        <v>11</v>
      </c>
      <c r="C479" s="30" t="s">
        <v>29</v>
      </c>
      <c r="D479" s="30" t="s">
        <v>24</v>
      </c>
      <c r="E479" s="30" t="s">
        <v>733</v>
      </c>
      <c r="F479" s="30">
        <v>1</v>
      </c>
      <c r="G479" s="44">
        <v>1870</v>
      </c>
      <c r="H479" s="30"/>
      <c r="I479" s="44"/>
      <c r="J479" s="44"/>
      <c r="K479" s="44">
        <f t="shared" si="14"/>
        <v>1870</v>
      </c>
      <c r="L479" s="51">
        <v>20211215</v>
      </c>
    </row>
    <row r="480" spans="1:12" x14ac:dyDescent="0.25">
      <c r="A480" s="50" t="s">
        <v>1042</v>
      </c>
      <c r="B480" s="30" t="s">
        <v>11</v>
      </c>
      <c r="C480" s="30" t="s">
        <v>251</v>
      </c>
      <c r="D480" s="30" t="s">
        <v>764</v>
      </c>
      <c r="E480" s="30" t="s">
        <v>765</v>
      </c>
      <c r="F480" s="30">
        <v>1</v>
      </c>
      <c r="G480" s="44">
        <v>1870</v>
      </c>
      <c r="H480" s="30"/>
      <c r="I480" s="44"/>
      <c r="J480" s="44"/>
      <c r="K480" s="44">
        <f t="shared" si="14"/>
        <v>1870</v>
      </c>
      <c r="L480" s="51">
        <v>20211217</v>
      </c>
    </row>
    <row r="481" spans="1:12" x14ac:dyDescent="0.25">
      <c r="A481" s="50" t="s">
        <v>1029</v>
      </c>
      <c r="B481" s="30" t="s">
        <v>11</v>
      </c>
      <c r="C481" s="30" t="s">
        <v>364</v>
      </c>
      <c r="D481" s="30" t="s">
        <v>24</v>
      </c>
      <c r="E481" s="30" t="s">
        <v>394</v>
      </c>
      <c r="F481" s="30">
        <v>1</v>
      </c>
      <c r="G481" s="44">
        <v>1870</v>
      </c>
      <c r="H481" s="30"/>
      <c r="I481" s="44"/>
      <c r="J481" s="44"/>
      <c r="K481" s="44">
        <f t="shared" si="14"/>
        <v>1870</v>
      </c>
      <c r="L481" s="51">
        <v>20211220</v>
      </c>
    </row>
    <row r="482" spans="1:12" x14ac:dyDescent="0.25">
      <c r="A482" s="50" t="s">
        <v>1031</v>
      </c>
      <c r="B482" s="30" t="s">
        <v>11</v>
      </c>
      <c r="C482" s="30" t="s">
        <v>712</v>
      </c>
      <c r="D482" s="30" t="s">
        <v>713</v>
      </c>
      <c r="E482" s="30" t="s">
        <v>716</v>
      </c>
      <c r="F482" s="30">
        <v>1</v>
      </c>
      <c r="G482" s="44">
        <v>1870</v>
      </c>
      <c r="H482" s="30"/>
      <c r="I482" s="44"/>
      <c r="J482" s="44"/>
      <c r="K482" s="44">
        <f t="shared" si="14"/>
        <v>1870</v>
      </c>
      <c r="L482" s="51">
        <v>20211221</v>
      </c>
    </row>
    <row r="483" spans="1:12" x14ac:dyDescent="0.25">
      <c r="A483" s="50" t="s">
        <v>1030</v>
      </c>
      <c r="B483" s="30" t="s">
        <v>11</v>
      </c>
      <c r="C483" s="30" t="s">
        <v>993</v>
      </c>
      <c r="D483" s="30" t="s">
        <v>994</v>
      </c>
      <c r="E483" s="30" t="s">
        <v>1015</v>
      </c>
      <c r="F483" s="30">
        <v>1</v>
      </c>
      <c r="G483" s="44">
        <v>1870</v>
      </c>
      <c r="H483" s="30"/>
      <c r="I483" s="44"/>
      <c r="J483" s="44"/>
      <c r="K483" s="44">
        <f t="shared" si="14"/>
        <v>1870</v>
      </c>
      <c r="L483" s="51">
        <v>20211221</v>
      </c>
    </row>
    <row r="484" spans="1:12" x14ac:dyDescent="0.25">
      <c r="A484" s="52" t="s">
        <v>1025</v>
      </c>
      <c r="B484" s="32" t="s">
        <v>11</v>
      </c>
      <c r="C484" s="32" t="s">
        <v>28</v>
      </c>
      <c r="D484" s="32" t="s">
        <v>1026</v>
      </c>
      <c r="E484" s="32" t="s">
        <v>1027</v>
      </c>
      <c r="F484" s="32">
        <v>1</v>
      </c>
      <c r="G484" s="45">
        <v>1870</v>
      </c>
      <c r="H484" s="32">
        <v>114</v>
      </c>
      <c r="I484" s="45">
        <v>25</v>
      </c>
      <c r="J484" s="45">
        <f>I484*H484</f>
        <v>2850</v>
      </c>
      <c r="K484" s="45">
        <f t="shared" si="14"/>
        <v>4720</v>
      </c>
      <c r="L484" s="53">
        <v>20211222</v>
      </c>
    </row>
    <row r="485" spans="1:12" x14ac:dyDescent="0.25">
      <c r="A485" s="50" t="s">
        <v>1028</v>
      </c>
      <c r="B485" s="30" t="s">
        <v>11</v>
      </c>
      <c r="C485" s="30" t="s">
        <v>57</v>
      </c>
      <c r="D485" s="30" t="s">
        <v>58</v>
      </c>
      <c r="E485" s="30" t="s">
        <v>59</v>
      </c>
      <c r="F485" s="30">
        <v>1</v>
      </c>
      <c r="G485" s="44">
        <v>1870</v>
      </c>
      <c r="H485" s="30"/>
      <c r="I485" s="44"/>
      <c r="J485" s="44"/>
      <c r="K485" s="44">
        <f t="shared" si="14"/>
        <v>1870</v>
      </c>
      <c r="L485" s="51">
        <v>20211222</v>
      </c>
    </row>
    <row r="486" spans="1:12" x14ac:dyDescent="0.25">
      <c r="A486" s="52" t="s">
        <v>1052</v>
      </c>
      <c r="B486" s="32" t="s">
        <v>27</v>
      </c>
      <c r="C486" s="32" t="s">
        <v>1053</v>
      </c>
      <c r="D486" s="32" t="s">
        <v>1054</v>
      </c>
      <c r="E486" s="32" t="s">
        <v>1055</v>
      </c>
      <c r="F486" s="32">
        <v>1</v>
      </c>
      <c r="G486" s="45">
        <v>1870</v>
      </c>
      <c r="H486" s="32">
        <v>30</v>
      </c>
      <c r="I486" s="45">
        <v>25</v>
      </c>
      <c r="J486" s="45">
        <f>I486*H486</f>
        <v>750</v>
      </c>
      <c r="K486" s="45">
        <f t="shared" si="14"/>
        <v>2620</v>
      </c>
      <c r="L486" s="53">
        <v>20211222</v>
      </c>
    </row>
    <row r="487" spans="1:12" x14ac:dyDescent="0.25">
      <c r="A487" s="50" t="s">
        <v>1024</v>
      </c>
      <c r="B487" s="30" t="s">
        <v>11</v>
      </c>
      <c r="C487" s="30" t="s">
        <v>26</v>
      </c>
      <c r="D487" s="30" t="s">
        <v>556</v>
      </c>
      <c r="E487" s="30" t="s">
        <v>563</v>
      </c>
      <c r="F487" s="30">
        <v>1</v>
      </c>
      <c r="G487" s="44">
        <v>1870</v>
      </c>
      <c r="H487" s="30"/>
      <c r="I487" s="44"/>
      <c r="J487" s="44"/>
      <c r="K487" s="44">
        <f t="shared" si="14"/>
        <v>1870</v>
      </c>
      <c r="L487" s="51">
        <v>20211228</v>
      </c>
    </row>
    <row r="488" spans="1:12" x14ac:dyDescent="0.25">
      <c r="A488" s="52" t="s">
        <v>1023</v>
      </c>
      <c r="B488" s="32" t="s">
        <v>11</v>
      </c>
      <c r="C488" s="32" t="s">
        <v>26</v>
      </c>
      <c r="D488" s="32" t="s">
        <v>418</v>
      </c>
      <c r="E488" s="32" t="s">
        <v>419</v>
      </c>
      <c r="F488" s="32">
        <v>1</v>
      </c>
      <c r="G488" s="45">
        <v>1870</v>
      </c>
      <c r="H488" s="32">
        <v>148</v>
      </c>
      <c r="I488" s="45">
        <v>25</v>
      </c>
      <c r="J488" s="45">
        <f>I488*H488</f>
        <v>3700</v>
      </c>
      <c r="K488" s="45">
        <f t="shared" si="14"/>
        <v>5570</v>
      </c>
      <c r="L488" s="53">
        <v>20211228</v>
      </c>
    </row>
    <row r="489" spans="1:12" x14ac:dyDescent="0.25">
      <c r="A489" s="50" t="s">
        <v>1032</v>
      </c>
      <c r="B489" s="30" t="s">
        <v>779</v>
      </c>
      <c r="C489" s="30" t="s">
        <v>29</v>
      </c>
      <c r="D489" s="30" t="s">
        <v>24</v>
      </c>
      <c r="E489" s="30" t="s">
        <v>1003</v>
      </c>
      <c r="F489" s="30">
        <v>1</v>
      </c>
      <c r="G489" s="44">
        <v>1870</v>
      </c>
      <c r="H489" s="30"/>
      <c r="I489" s="44"/>
      <c r="J489" s="44"/>
      <c r="K489" s="44">
        <f t="shared" si="14"/>
        <v>1870</v>
      </c>
      <c r="L489" s="51">
        <v>20211228</v>
      </c>
    </row>
    <row r="490" spans="1:12" x14ac:dyDescent="0.25">
      <c r="A490" s="50" t="s">
        <v>1019</v>
      </c>
      <c r="B490" s="30" t="s">
        <v>11</v>
      </c>
      <c r="C490" s="30" t="s">
        <v>251</v>
      </c>
      <c r="D490" s="30" t="s">
        <v>744</v>
      </c>
      <c r="E490" s="30" t="s">
        <v>745</v>
      </c>
      <c r="F490" s="30">
        <v>1</v>
      </c>
      <c r="G490" s="44">
        <v>1870</v>
      </c>
      <c r="H490" s="30"/>
      <c r="I490" s="44"/>
      <c r="J490" s="44"/>
      <c r="K490" s="44">
        <f t="shared" si="14"/>
        <v>1870</v>
      </c>
      <c r="L490" s="51">
        <v>20211229</v>
      </c>
    </row>
    <row r="491" spans="1:12" x14ac:dyDescent="0.25">
      <c r="A491" s="50" t="s">
        <v>1044</v>
      </c>
      <c r="B491" s="30" t="s">
        <v>779</v>
      </c>
      <c r="C491" s="30" t="s">
        <v>29</v>
      </c>
      <c r="D491" s="30" t="s">
        <v>389</v>
      </c>
      <c r="E491" s="30" t="s">
        <v>390</v>
      </c>
      <c r="F491" s="30">
        <v>1</v>
      </c>
      <c r="G491" s="44">
        <v>1870</v>
      </c>
      <c r="H491" s="30"/>
      <c r="I491" s="44"/>
      <c r="J491" s="44"/>
      <c r="K491" s="44">
        <f t="shared" si="14"/>
        <v>1870</v>
      </c>
      <c r="L491" s="51">
        <v>20211229</v>
      </c>
    </row>
    <row r="492" spans="1:12" x14ac:dyDescent="0.25">
      <c r="A492" s="50" t="s">
        <v>1018</v>
      </c>
      <c r="B492" s="30" t="s">
        <v>11</v>
      </c>
      <c r="C492" s="30" t="s">
        <v>251</v>
      </c>
      <c r="D492" s="30" t="s">
        <v>740</v>
      </c>
      <c r="E492" s="30" t="s">
        <v>741</v>
      </c>
      <c r="F492" s="30">
        <v>1</v>
      </c>
      <c r="G492" s="44">
        <v>1870</v>
      </c>
      <c r="H492" s="30"/>
      <c r="I492" s="44"/>
      <c r="J492" s="44"/>
      <c r="K492" s="44">
        <f t="shared" si="14"/>
        <v>1870</v>
      </c>
      <c r="L492" s="51">
        <v>20211230</v>
      </c>
    </row>
    <row r="493" spans="1:12" ht="15.75" thickBot="1" x14ac:dyDescent="0.3">
      <c r="A493" s="54" t="s">
        <v>1020</v>
      </c>
      <c r="B493" s="36" t="s">
        <v>11</v>
      </c>
      <c r="C493" s="36" t="s">
        <v>1021</v>
      </c>
      <c r="D493" s="36" t="s">
        <v>95</v>
      </c>
      <c r="E493" s="36" t="s">
        <v>1022</v>
      </c>
      <c r="F493" s="36">
        <v>1</v>
      </c>
      <c r="G493" s="65">
        <v>1870</v>
      </c>
      <c r="H493" s="36"/>
      <c r="I493" s="65"/>
      <c r="J493" s="65"/>
      <c r="K493" s="65">
        <f t="shared" si="14"/>
        <v>1870</v>
      </c>
      <c r="L493" s="55">
        <v>20211230</v>
      </c>
    </row>
    <row r="494" spans="1:12" ht="15.75" thickBot="1" x14ac:dyDescent="0.3">
      <c r="A494" s="99"/>
      <c r="B494" s="100"/>
      <c r="C494" s="100"/>
      <c r="D494" s="100"/>
      <c r="E494" s="100"/>
      <c r="F494" s="100"/>
      <c r="G494" s="101"/>
      <c r="H494" s="100"/>
      <c r="I494" s="101"/>
      <c r="J494" s="101"/>
      <c r="K494" s="101"/>
      <c r="L494" s="102"/>
    </row>
    <row r="495" spans="1:12" x14ac:dyDescent="0.25">
      <c r="A495" s="48" t="s">
        <v>1062</v>
      </c>
      <c r="B495" s="34" t="s">
        <v>137</v>
      </c>
      <c r="C495" s="34" t="s">
        <v>57</v>
      </c>
      <c r="D495" s="34" t="s">
        <v>58</v>
      </c>
      <c r="E495" s="34" t="s">
        <v>59</v>
      </c>
      <c r="F495" s="34">
        <v>1</v>
      </c>
      <c r="G495" s="64">
        <v>935</v>
      </c>
      <c r="H495" s="34"/>
      <c r="I495" s="64"/>
      <c r="J495" s="64"/>
      <c r="K495" s="64">
        <f t="shared" ref="K495:K518" si="15">J495+G495</f>
        <v>935</v>
      </c>
      <c r="L495" s="49">
        <v>20211201</v>
      </c>
    </row>
    <row r="496" spans="1:12" x14ac:dyDescent="0.25">
      <c r="A496" s="50" t="s">
        <v>1061</v>
      </c>
      <c r="B496" s="30" t="s">
        <v>137</v>
      </c>
      <c r="C496" s="30" t="s">
        <v>57</v>
      </c>
      <c r="D496" s="30" t="s">
        <v>58</v>
      </c>
      <c r="E496" s="30" t="s">
        <v>329</v>
      </c>
      <c r="F496" s="30">
        <v>1</v>
      </c>
      <c r="G496" s="44">
        <v>935</v>
      </c>
      <c r="H496" s="30"/>
      <c r="I496" s="44"/>
      <c r="J496" s="44"/>
      <c r="K496" s="44">
        <f t="shared" si="15"/>
        <v>935</v>
      </c>
      <c r="L496" s="51">
        <v>20211201</v>
      </c>
    </row>
    <row r="497" spans="1:12" x14ac:dyDescent="0.25">
      <c r="A497" s="50" t="s">
        <v>1060</v>
      </c>
      <c r="B497" s="30" t="s">
        <v>137</v>
      </c>
      <c r="C497" s="30" t="s">
        <v>57</v>
      </c>
      <c r="D497" s="30" t="s">
        <v>58</v>
      </c>
      <c r="E497" s="30" t="s">
        <v>399</v>
      </c>
      <c r="F497" s="30">
        <v>1</v>
      </c>
      <c r="G497" s="44">
        <v>935</v>
      </c>
      <c r="H497" s="30"/>
      <c r="I497" s="44"/>
      <c r="J497" s="44"/>
      <c r="K497" s="44">
        <f t="shared" si="15"/>
        <v>935</v>
      </c>
      <c r="L497" s="51">
        <v>20211201</v>
      </c>
    </row>
    <row r="498" spans="1:12" x14ac:dyDescent="0.25">
      <c r="A498" s="50" t="s">
        <v>1059</v>
      </c>
      <c r="B498" s="30" t="s">
        <v>137</v>
      </c>
      <c r="C498" s="30" t="s">
        <v>57</v>
      </c>
      <c r="D498" s="30" t="s">
        <v>58</v>
      </c>
      <c r="E498" s="30" t="s">
        <v>331</v>
      </c>
      <c r="F498" s="30">
        <v>1</v>
      </c>
      <c r="G498" s="44">
        <v>935</v>
      </c>
      <c r="H498" s="30"/>
      <c r="I498" s="44"/>
      <c r="J498" s="44"/>
      <c r="K498" s="44">
        <f t="shared" si="15"/>
        <v>935</v>
      </c>
      <c r="L498" s="51">
        <v>20211201</v>
      </c>
    </row>
    <row r="499" spans="1:12" x14ac:dyDescent="0.25">
      <c r="A499" s="50" t="s">
        <v>1058</v>
      </c>
      <c r="B499" s="30" t="s">
        <v>137</v>
      </c>
      <c r="C499" s="30" t="s">
        <v>57</v>
      </c>
      <c r="D499" s="30" t="s">
        <v>58</v>
      </c>
      <c r="E499" s="30" t="s">
        <v>60</v>
      </c>
      <c r="F499" s="30">
        <v>1</v>
      </c>
      <c r="G499" s="44">
        <v>935</v>
      </c>
      <c r="H499" s="30"/>
      <c r="I499" s="44"/>
      <c r="J499" s="44"/>
      <c r="K499" s="44">
        <f t="shared" si="15"/>
        <v>935</v>
      </c>
      <c r="L499" s="51">
        <v>20211201</v>
      </c>
    </row>
    <row r="500" spans="1:12" x14ac:dyDescent="0.25">
      <c r="A500" s="50" t="s">
        <v>1090</v>
      </c>
      <c r="B500" s="30" t="s">
        <v>137</v>
      </c>
      <c r="C500" s="30" t="s">
        <v>94</v>
      </c>
      <c r="D500" s="30" t="s">
        <v>95</v>
      </c>
      <c r="E500" s="30" t="s">
        <v>485</v>
      </c>
      <c r="F500" s="30">
        <v>1</v>
      </c>
      <c r="G500" s="44">
        <v>935</v>
      </c>
      <c r="H500" s="30"/>
      <c r="I500" s="44"/>
      <c r="J500" s="44"/>
      <c r="K500" s="44">
        <f t="shared" si="15"/>
        <v>935</v>
      </c>
      <c r="L500" s="51">
        <v>20211201</v>
      </c>
    </row>
    <row r="501" spans="1:12" x14ac:dyDescent="0.25">
      <c r="A501" s="50" t="s">
        <v>1089</v>
      </c>
      <c r="B501" s="30" t="s">
        <v>137</v>
      </c>
      <c r="C501" s="30" t="s">
        <v>94</v>
      </c>
      <c r="D501" s="30" t="s">
        <v>95</v>
      </c>
      <c r="E501" s="30" t="s">
        <v>982</v>
      </c>
      <c r="F501" s="30">
        <v>1</v>
      </c>
      <c r="G501" s="44">
        <v>935</v>
      </c>
      <c r="H501" s="30"/>
      <c r="I501" s="44"/>
      <c r="J501" s="44"/>
      <c r="K501" s="44">
        <f t="shared" si="15"/>
        <v>935</v>
      </c>
      <c r="L501" s="51">
        <v>20211201</v>
      </c>
    </row>
    <row r="502" spans="1:12" x14ac:dyDescent="0.25">
      <c r="A502" s="50" t="s">
        <v>1088</v>
      </c>
      <c r="B502" s="30" t="s">
        <v>137</v>
      </c>
      <c r="C502" s="30" t="s">
        <v>94</v>
      </c>
      <c r="D502" s="30" t="s">
        <v>95</v>
      </c>
      <c r="E502" s="30" t="s">
        <v>738</v>
      </c>
      <c r="F502" s="30">
        <v>1</v>
      </c>
      <c r="G502" s="44">
        <v>935</v>
      </c>
      <c r="H502" s="30"/>
      <c r="I502" s="44"/>
      <c r="J502" s="44"/>
      <c r="K502" s="44">
        <f t="shared" si="15"/>
        <v>935</v>
      </c>
      <c r="L502" s="51">
        <v>20211201</v>
      </c>
    </row>
    <row r="503" spans="1:12" x14ac:dyDescent="0.25">
      <c r="A503" s="50" t="s">
        <v>1087</v>
      </c>
      <c r="B503" s="30" t="s">
        <v>137</v>
      </c>
      <c r="C503" s="30" t="s">
        <v>94</v>
      </c>
      <c r="D503" s="30" t="s">
        <v>95</v>
      </c>
      <c r="E503" s="30" t="s">
        <v>458</v>
      </c>
      <c r="F503" s="30">
        <v>1</v>
      </c>
      <c r="G503" s="44">
        <v>935</v>
      </c>
      <c r="H503" s="30"/>
      <c r="I503" s="44"/>
      <c r="J503" s="44"/>
      <c r="K503" s="44">
        <f t="shared" si="15"/>
        <v>935</v>
      </c>
      <c r="L503" s="51">
        <v>20211201</v>
      </c>
    </row>
    <row r="504" spans="1:12" x14ac:dyDescent="0.25">
      <c r="A504" s="50" t="s">
        <v>1086</v>
      </c>
      <c r="B504" s="30" t="s">
        <v>137</v>
      </c>
      <c r="C504" s="30" t="s">
        <v>94</v>
      </c>
      <c r="D504" s="30" t="s">
        <v>95</v>
      </c>
      <c r="E504" s="30" t="s">
        <v>260</v>
      </c>
      <c r="F504" s="30">
        <v>1</v>
      </c>
      <c r="G504" s="44">
        <v>935</v>
      </c>
      <c r="H504" s="30"/>
      <c r="I504" s="44"/>
      <c r="J504" s="44"/>
      <c r="K504" s="44">
        <f t="shared" si="15"/>
        <v>935</v>
      </c>
      <c r="L504" s="51">
        <v>20211201</v>
      </c>
    </row>
    <row r="505" spans="1:12" x14ac:dyDescent="0.25">
      <c r="A505" s="50" t="s">
        <v>1084</v>
      </c>
      <c r="B505" s="30" t="s">
        <v>137</v>
      </c>
      <c r="C505" s="30" t="s">
        <v>94</v>
      </c>
      <c r="D505" s="30" t="s">
        <v>95</v>
      </c>
      <c r="E505" s="30" t="s">
        <v>1085</v>
      </c>
      <c r="F505" s="30">
        <v>1</v>
      </c>
      <c r="G505" s="44">
        <v>935</v>
      </c>
      <c r="H505" s="30"/>
      <c r="I505" s="44"/>
      <c r="J505" s="44"/>
      <c r="K505" s="44">
        <f t="shared" si="15"/>
        <v>935</v>
      </c>
      <c r="L505" s="51">
        <v>20211201</v>
      </c>
    </row>
    <row r="506" spans="1:12" x14ac:dyDescent="0.25">
      <c r="A506" s="50" t="s">
        <v>1082</v>
      </c>
      <c r="B506" s="30" t="s">
        <v>137</v>
      </c>
      <c r="C506" s="30" t="s">
        <v>94</v>
      </c>
      <c r="D506" s="30" t="s">
        <v>95</v>
      </c>
      <c r="E506" s="30" t="s">
        <v>1083</v>
      </c>
      <c r="F506" s="30">
        <v>1</v>
      </c>
      <c r="G506" s="44">
        <v>935</v>
      </c>
      <c r="H506" s="30"/>
      <c r="I506" s="44"/>
      <c r="J506" s="44"/>
      <c r="K506" s="44">
        <f t="shared" si="15"/>
        <v>935</v>
      </c>
      <c r="L506" s="51">
        <v>20211201</v>
      </c>
    </row>
    <row r="507" spans="1:12" x14ac:dyDescent="0.25">
      <c r="A507" s="50" t="s">
        <v>1081</v>
      </c>
      <c r="B507" s="30" t="s">
        <v>137</v>
      </c>
      <c r="C507" s="30" t="s">
        <v>94</v>
      </c>
      <c r="D507" s="30" t="s">
        <v>95</v>
      </c>
      <c r="E507" s="30" t="s">
        <v>436</v>
      </c>
      <c r="F507" s="30">
        <v>1</v>
      </c>
      <c r="G507" s="44">
        <v>935</v>
      </c>
      <c r="H507" s="30"/>
      <c r="I507" s="44"/>
      <c r="J507" s="44"/>
      <c r="K507" s="44">
        <f t="shared" si="15"/>
        <v>935</v>
      </c>
      <c r="L507" s="51">
        <v>20211201</v>
      </c>
    </row>
    <row r="508" spans="1:12" x14ac:dyDescent="0.25">
      <c r="A508" s="50" t="s">
        <v>1080</v>
      </c>
      <c r="B508" s="30" t="s">
        <v>137</v>
      </c>
      <c r="C508" s="30" t="s">
        <v>94</v>
      </c>
      <c r="D508" s="30" t="s">
        <v>95</v>
      </c>
      <c r="E508" s="30" t="s">
        <v>262</v>
      </c>
      <c r="F508" s="30">
        <v>1</v>
      </c>
      <c r="G508" s="44">
        <v>935</v>
      </c>
      <c r="H508" s="30"/>
      <c r="I508" s="44"/>
      <c r="J508" s="44"/>
      <c r="K508" s="44">
        <f t="shared" si="15"/>
        <v>935</v>
      </c>
      <c r="L508" s="51">
        <v>20211201</v>
      </c>
    </row>
    <row r="509" spans="1:12" x14ac:dyDescent="0.25">
      <c r="A509" s="50" t="s">
        <v>1079</v>
      </c>
      <c r="B509" s="30" t="s">
        <v>137</v>
      </c>
      <c r="C509" s="30" t="s">
        <v>94</v>
      </c>
      <c r="D509" s="30" t="s">
        <v>95</v>
      </c>
      <c r="E509" s="30" t="s">
        <v>326</v>
      </c>
      <c r="F509" s="30">
        <v>1</v>
      </c>
      <c r="G509" s="44">
        <v>935</v>
      </c>
      <c r="H509" s="30"/>
      <c r="I509" s="44"/>
      <c r="J509" s="44"/>
      <c r="K509" s="44">
        <f t="shared" si="15"/>
        <v>935</v>
      </c>
      <c r="L509" s="51">
        <v>20211201</v>
      </c>
    </row>
    <row r="510" spans="1:12" x14ac:dyDescent="0.25">
      <c r="A510" s="50" t="s">
        <v>1041</v>
      </c>
      <c r="B510" s="30" t="s">
        <v>137</v>
      </c>
      <c r="C510" s="30" t="s">
        <v>29</v>
      </c>
      <c r="D510" s="30" t="s">
        <v>24</v>
      </c>
      <c r="E510" s="30" t="s">
        <v>210</v>
      </c>
      <c r="F510" s="30">
        <v>1</v>
      </c>
      <c r="G510" s="44">
        <v>935</v>
      </c>
      <c r="H510" s="30"/>
      <c r="I510" s="44"/>
      <c r="J510" s="44"/>
      <c r="K510" s="44">
        <f t="shared" si="15"/>
        <v>935</v>
      </c>
      <c r="L510" s="51">
        <v>20211216</v>
      </c>
    </row>
    <row r="511" spans="1:12" x14ac:dyDescent="0.25">
      <c r="A511" s="50" t="s">
        <v>1040</v>
      </c>
      <c r="B511" s="30" t="s">
        <v>137</v>
      </c>
      <c r="C511" s="30" t="s">
        <v>29</v>
      </c>
      <c r="D511" s="30" t="s">
        <v>24</v>
      </c>
      <c r="E511" s="30" t="s">
        <v>161</v>
      </c>
      <c r="F511" s="30">
        <v>1</v>
      </c>
      <c r="G511" s="44">
        <v>935</v>
      </c>
      <c r="H511" s="30"/>
      <c r="I511" s="44"/>
      <c r="J511" s="44"/>
      <c r="K511" s="44">
        <f t="shared" si="15"/>
        <v>935</v>
      </c>
      <c r="L511" s="51">
        <v>20211216</v>
      </c>
    </row>
    <row r="512" spans="1:12" x14ac:dyDescent="0.25">
      <c r="A512" s="50" t="s">
        <v>1039</v>
      </c>
      <c r="B512" s="30" t="s">
        <v>137</v>
      </c>
      <c r="C512" s="30" t="s">
        <v>29</v>
      </c>
      <c r="D512" s="30" t="s">
        <v>24</v>
      </c>
      <c r="E512" s="30" t="s">
        <v>733</v>
      </c>
      <c r="F512" s="30">
        <v>1</v>
      </c>
      <c r="G512" s="44">
        <v>935</v>
      </c>
      <c r="H512" s="30"/>
      <c r="I512" s="44"/>
      <c r="J512" s="44"/>
      <c r="K512" s="44">
        <f t="shared" si="15"/>
        <v>935</v>
      </c>
      <c r="L512" s="51">
        <v>20211216</v>
      </c>
    </row>
    <row r="513" spans="1:12" x14ac:dyDescent="0.25">
      <c r="A513" s="50" t="s">
        <v>1038</v>
      </c>
      <c r="B513" s="30" t="s">
        <v>137</v>
      </c>
      <c r="C513" s="30" t="s">
        <v>29</v>
      </c>
      <c r="D513" s="30" t="s">
        <v>24</v>
      </c>
      <c r="E513" s="30" t="s">
        <v>634</v>
      </c>
      <c r="F513" s="30">
        <v>1</v>
      </c>
      <c r="G513" s="44">
        <v>935</v>
      </c>
      <c r="H513" s="30"/>
      <c r="I513" s="44"/>
      <c r="J513" s="44"/>
      <c r="K513" s="44">
        <f t="shared" si="15"/>
        <v>935</v>
      </c>
      <c r="L513" s="51">
        <v>20211216</v>
      </c>
    </row>
    <row r="514" spans="1:12" x14ac:dyDescent="0.25">
      <c r="A514" s="50" t="s">
        <v>1037</v>
      </c>
      <c r="B514" s="30" t="s">
        <v>137</v>
      </c>
      <c r="C514" s="30" t="s">
        <v>29</v>
      </c>
      <c r="D514" s="30" t="s">
        <v>24</v>
      </c>
      <c r="E514" s="30" t="s">
        <v>632</v>
      </c>
      <c r="F514" s="30">
        <v>1</v>
      </c>
      <c r="G514" s="44">
        <v>935</v>
      </c>
      <c r="H514" s="30"/>
      <c r="I514" s="44"/>
      <c r="J514" s="44"/>
      <c r="K514" s="44">
        <f t="shared" si="15"/>
        <v>935</v>
      </c>
      <c r="L514" s="51">
        <v>20211216</v>
      </c>
    </row>
    <row r="515" spans="1:12" x14ac:dyDescent="0.25">
      <c r="A515" s="50" t="s">
        <v>1036</v>
      </c>
      <c r="B515" s="30" t="s">
        <v>137</v>
      </c>
      <c r="C515" s="30" t="s">
        <v>29</v>
      </c>
      <c r="D515" s="30" t="s">
        <v>24</v>
      </c>
      <c r="E515" s="30" t="s">
        <v>209</v>
      </c>
      <c r="F515" s="30">
        <v>1</v>
      </c>
      <c r="G515" s="44">
        <v>935</v>
      </c>
      <c r="H515" s="30"/>
      <c r="I515" s="44"/>
      <c r="J515" s="44"/>
      <c r="K515" s="44">
        <f t="shared" si="15"/>
        <v>935</v>
      </c>
      <c r="L515" s="51">
        <v>20211216</v>
      </c>
    </row>
    <row r="516" spans="1:12" x14ac:dyDescent="0.25">
      <c r="A516" s="50" t="s">
        <v>1035</v>
      </c>
      <c r="B516" s="30" t="s">
        <v>137</v>
      </c>
      <c r="C516" s="30" t="s">
        <v>29</v>
      </c>
      <c r="D516" s="30" t="s">
        <v>24</v>
      </c>
      <c r="E516" s="30" t="s">
        <v>630</v>
      </c>
      <c r="F516" s="30">
        <v>1</v>
      </c>
      <c r="G516" s="44">
        <v>935</v>
      </c>
      <c r="H516" s="30"/>
      <c r="I516" s="44"/>
      <c r="J516" s="44"/>
      <c r="K516" s="44">
        <f t="shared" si="15"/>
        <v>935</v>
      </c>
      <c r="L516" s="51">
        <v>20211216</v>
      </c>
    </row>
    <row r="517" spans="1:12" x14ac:dyDescent="0.25">
      <c r="A517" s="50" t="s">
        <v>1034</v>
      </c>
      <c r="B517" s="30" t="s">
        <v>137</v>
      </c>
      <c r="C517" s="30" t="s">
        <v>29</v>
      </c>
      <c r="D517" s="30" t="s">
        <v>24</v>
      </c>
      <c r="E517" s="30" t="s">
        <v>208</v>
      </c>
      <c r="F517" s="30">
        <v>1</v>
      </c>
      <c r="G517" s="44">
        <v>935</v>
      </c>
      <c r="H517" s="30"/>
      <c r="I517" s="44"/>
      <c r="J517" s="44"/>
      <c r="K517" s="44">
        <f t="shared" si="15"/>
        <v>935</v>
      </c>
      <c r="L517" s="51">
        <v>20211216</v>
      </c>
    </row>
    <row r="518" spans="1:12" ht="15.75" thickBot="1" x14ac:dyDescent="0.3">
      <c r="A518" s="54" t="s">
        <v>1033</v>
      </c>
      <c r="B518" s="36" t="s">
        <v>137</v>
      </c>
      <c r="C518" s="36" t="s">
        <v>29</v>
      </c>
      <c r="D518" s="36" t="s">
        <v>24</v>
      </c>
      <c r="E518" s="36" t="s">
        <v>1003</v>
      </c>
      <c r="F518" s="36">
        <v>1</v>
      </c>
      <c r="G518" s="65">
        <v>935</v>
      </c>
      <c r="H518" s="36"/>
      <c r="I518" s="65"/>
      <c r="J518" s="65"/>
      <c r="K518" s="65">
        <f t="shared" si="15"/>
        <v>935</v>
      </c>
      <c r="L518" s="55">
        <v>20211216</v>
      </c>
    </row>
    <row r="521" spans="1:12" ht="15.75" thickBot="1" x14ac:dyDescent="0.3">
      <c r="A521" s="69" t="s">
        <v>0</v>
      </c>
      <c r="B521" s="70" t="s">
        <v>1</v>
      </c>
      <c r="C521" s="70" t="s">
        <v>2</v>
      </c>
      <c r="D521" s="70" t="s">
        <v>3</v>
      </c>
      <c r="E521" s="70" t="s">
        <v>4</v>
      </c>
      <c r="F521" s="70"/>
      <c r="G521" s="71" t="s">
        <v>6</v>
      </c>
      <c r="H521" s="70" t="s">
        <v>7</v>
      </c>
      <c r="I521" s="71" t="s">
        <v>8</v>
      </c>
      <c r="J521" s="71" t="s">
        <v>9</v>
      </c>
      <c r="K521" s="71" t="s">
        <v>10</v>
      </c>
      <c r="L521" s="72" t="s">
        <v>5</v>
      </c>
    </row>
    <row r="522" spans="1:12" x14ac:dyDescent="0.25">
      <c r="A522" s="48" t="s">
        <v>1169</v>
      </c>
      <c r="B522" s="34" t="s">
        <v>11</v>
      </c>
      <c r="C522" s="34" t="s">
        <v>57</v>
      </c>
      <c r="D522" s="34" t="s">
        <v>58</v>
      </c>
      <c r="E522" s="34" t="s">
        <v>59</v>
      </c>
      <c r="F522" s="34">
        <v>1</v>
      </c>
      <c r="G522" s="64">
        <v>1870</v>
      </c>
      <c r="H522" s="34"/>
      <c r="I522" s="64"/>
      <c r="J522" s="64"/>
      <c r="K522" s="64">
        <f t="shared" ref="K522:K550" si="16">J522+G522</f>
        <v>1870</v>
      </c>
      <c r="L522" s="49">
        <v>20220103</v>
      </c>
    </row>
    <row r="523" spans="1:12" x14ac:dyDescent="0.25">
      <c r="A523" s="50" t="s">
        <v>1157</v>
      </c>
      <c r="B523" s="30" t="s">
        <v>11</v>
      </c>
      <c r="C523" s="30" t="s">
        <v>26</v>
      </c>
      <c r="D523" s="30" t="s">
        <v>204</v>
      </c>
      <c r="E523" s="30" t="s">
        <v>205</v>
      </c>
      <c r="F523" s="30">
        <v>1</v>
      </c>
      <c r="G523" s="44">
        <v>1870</v>
      </c>
      <c r="H523" s="30"/>
      <c r="I523" s="44"/>
      <c r="J523" s="44"/>
      <c r="K523" s="44">
        <f t="shared" si="16"/>
        <v>1870</v>
      </c>
      <c r="L523" s="51">
        <v>20220104</v>
      </c>
    </row>
    <row r="524" spans="1:12" x14ac:dyDescent="0.25">
      <c r="A524" s="50" t="s">
        <v>1172</v>
      </c>
      <c r="B524" s="30" t="s">
        <v>11</v>
      </c>
      <c r="C524" s="30" t="s">
        <v>607</v>
      </c>
      <c r="D524" s="30" t="s">
        <v>24</v>
      </c>
      <c r="E524" s="30" t="s">
        <v>608</v>
      </c>
      <c r="F524" s="30">
        <v>1</v>
      </c>
      <c r="G524" s="44">
        <v>1870</v>
      </c>
      <c r="H524" s="30"/>
      <c r="I524" s="44"/>
      <c r="J524" s="44"/>
      <c r="K524" s="44">
        <f t="shared" si="16"/>
        <v>1870</v>
      </c>
      <c r="L524" s="51">
        <v>20220104</v>
      </c>
    </row>
    <row r="525" spans="1:12" x14ac:dyDescent="0.25">
      <c r="A525" s="52" t="s">
        <v>1168</v>
      </c>
      <c r="B525" s="32" t="s">
        <v>11</v>
      </c>
      <c r="C525" s="32" t="s">
        <v>163</v>
      </c>
      <c r="D525" s="32" t="s">
        <v>164</v>
      </c>
      <c r="E525" s="32" t="s">
        <v>185</v>
      </c>
      <c r="F525" s="32">
        <v>1</v>
      </c>
      <c r="G525" s="45">
        <v>1870</v>
      </c>
      <c r="H525" s="32">
        <v>120</v>
      </c>
      <c r="I525" s="45">
        <v>25</v>
      </c>
      <c r="J525" s="45">
        <f>I525*H525</f>
        <v>3000</v>
      </c>
      <c r="K525" s="45">
        <f t="shared" si="16"/>
        <v>4870</v>
      </c>
      <c r="L525" s="53">
        <v>20220104</v>
      </c>
    </row>
    <row r="526" spans="1:12" x14ac:dyDescent="0.25">
      <c r="A526" s="52" t="s">
        <v>1159</v>
      </c>
      <c r="B526" s="32" t="s">
        <v>11</v>
      </c>
      <c r="C526" s="32" t="s">
        <v>28</v>
      </c>
      <c r="D526" s="32" t="s">
        <v>1160</v>
      </c>
      <c r="E526" s="32" t="s">
        <v>1161</v>
      </c>
      <c r="F526" s="32">
        <v>1</v>
      </c>
      <c r="G526" s="45">
        <v>1870</v>
      </c>
      <c r="H526" s="32">
        <v>50</v>
      </c>
      <c r="I526" s="45">
        <v>25</v>
      </c>
      <c r="J526" s="45">
        <f>I526*H526</f>
        <v>1250</v>
      </c>
      <c r="K526" s="45">
        <f t="shared" si="16"/>
        <v>3120</v>
      </c>
      <c r="L526" s="53">
        <v>20220105</v>
      </c>
    </row>
    <row r="527" spans="1:12" x14ac:dyDescent="0.25">
      <c r="A527" s="52" t="s">
        <v>1173</v>
      </c>
      <c r="B527" s="32" t="s">
        <v>27</v>
      </c>
      <c r="C527" s="32" t="s">
        <v>666</v>
      </c>
      <c r="D527" s="32" t="s">
        <v>1174</v>
      </c>
      <c r="E527" s="32" t="s">
        <v>1175</v>
      </c>
      <c r="F527" s="32">
        <v>1</v>
      </c>
      <c r="G527" s="45">
        <v>1870</v>
      </c>
      <c r="H527" s="32">
        <v>44</v>
      </c>
      <c r="I527" s="45">
        <v>25</v>
      </c>
      <c r="J527" s="45">
        <f>I527*H527</f>
        <v>1100</v>
      </c>
      <c r="K527" s="45">
        <f t="shared" si="16"/>
        <v>2970</v>
      </c>
      <c r="L527" s="53">
        <v>20220106</v>
      </c>
    </row>
    <row r="528" spans="1:12" x14ac:dyDescent="0.25">
      <c r="A528" s="50" t="s">
        <v>1162</v>
      </c>
      <c r="B528" s="30" t="s">
        <v>11</v>
      </c>
      <c r="C528" s="30" t="s">
        <v>94</v>
      </c>
      <c r="D528" s="30" t="s">
        <v>95</v>
      </c>
      <c r="E528" s="30" t="s">
        <v>982</v>
      </c>
      <c r="F528" s="30">
        <v>1</v>
      </c>
      <c r="G528" s="44">
        <v>1870</v>
      </c>
      <c r="H528" s="30"/>
      <c r="I528" s="44"/>
      <c r="J528" s="44"/>
      <c r="K528" s="44">
        <f t="shared" si="16"/>
        <v>1870</v>
      </c>
      <c r="L528" s="51">
        <v>20220106</v>
      </c>
    </row>
    <row r="529" spans="1:12" x14ac:dyDescent="0.25">
      <c r="A529" s="52" t="s">
        <v>1166</v>
      </c>
      <c r="B529" s="32" t="s">
        <v>11</v>
      </c>
      <c r="C529" s="32" t="s">
        <v>337</v>
      </c>
      <c r="D529" s="32" t="s">
        <v>35</v>
      </c>
      <c r="E529" s="32" t="s">
        <v>122</v>
      </c>
      <c r="F529" s="32">
        <v>1</v>
      </c>
      <c r="G529" s="45">
        <v>1870</v>
      </c>
      <c r="H529" s="32">
        <v>64</v>
      </c>
      <c r="I529" s="45">
        <v>25</v>
      </c>
      <c r="J529" s="45">
        <f>I529*H529</f>
        <v>1600</v>
      </c>
      <c r="K529" s="45">
        <f t="shared" si="16"/>
        <v>3470</v>
      </c>
      <c r="L529" s="53">
        <v>20220107</v>
      </c>
    </row>
    <row r="530" spans="1:12" x14ac:dyDescent="0.25">
      <c r="A530" s="52" t="s">
        <v>1165</v>
      </c>
      <c r="B530" s="32" t="s">
        <v>11</v>
      </c>
      <c r="C530" s="32" t="s">
        <v>337</v>
      </c>
      <c r="D530" s="32" t="s">
        <v>35</v>
      </c>
      <c r="E530" s="32" t="s">
        <v>340</v>
      </c>
      <c r="F530" s="32">
        <v>1</v>
      </c>
      <c r="G530" s="45">
        <v>1870</v>
      </c>
      <c r="H530" s="32">
        <v>64</v>
      </c>
      <c r="I530" s="45">
        <v>25</v>
      </c>
      <c r="J530" s="45">
        <f>I530*H530</f>
        <v>1600</v>
      </c>
      <c r="K530" s="45">
        <f t="shared" si="16"/>
        <v>3470</v>
      </c>
      <c r="L530" s="53">
        <v>20220107</v>
      </c>
    </row>
    <row r="531" spans="1:12" x14ac:dyDescent="0.25">
      <c r="A531" s="50" t="s">
        <v>1167</v>
      </c>
      <c r="B531" s="30" t="s">
        <v>11</v>
      </c>
      <c r="C531" s="30" t="s">
        <v>337</v>
      </c>
      <c r="D531" s="30" t="s">
        <v>35</v>
      </c>
      <c r="E531" s="30" t="s">
        <v>157</v>
      </c>
      <c r="F531" s="30">
        <v>1</v>
      </c>
      <c r="G531" s="44">
        <v>1870</v>
      </c>
      <c r="H531" s="30"/>
      <c r="I531" s="44"/>
      <c r="J531" s="44"/>
      <c r="K531" s="44">
        <f t="shared" si="16"/>
        <v>1870</v>
      </c>
      <c r="L531" s="51">
        <v>20220107</v>
      </c>
    </row>
    <row r="532" spans="1:12" x14ac:dyDescent="0.25">
      <c r="A532" s="50" t="s">
        <v>1150</v>
      </c>
      <c r="B532" s="30" t="s">
        <v>11</v>
      </c>
      <c r="C532" s="30" t="s">
        <v>76</v>
      </c>
      <c r="D532" s="30" t="s">
        <v>24</v>
      </c>
      <c r="E532" s="30" t="s">
        <v>255</v>
      </c>
      <c r="F532" s="30">
        <v>1</v>
      </c>
      <c r="G532" s="44">
        <v>1870</v>
      </c>
      <c r="H532" s="30"/>
      <c r="I532" s="44"/>
      <c r="J532" s="44"/>
      <c r="K532" s="44">
        <f t="shared" si="16"/>
        <v>1870</v>
      </c>
      <c r="L532" s="51">
        <v>20220109</v>
      </c>
    </row>
    <row r="533" spans="1:12" x14ac:dyDescent="0.25">
      <c r="A533" s="50" t="s">
        <v>1144</v>
      </c>
      <c r="B533" s="30" t="s">
        <v>11</v>
      </c>
      <c r="C533" s="30" t="s">
        <v>364</v>
      </c>
      <c r="D533" s="30" t="s">
        <v>24</v>
      </c>
      <c r="E533" s="30" t="s">
        <v>698</v>
      </c>
      <c r="F533" s="30">
        <v>1</v>
      </c>
      <c r="G533" s="44">
        <v>1870</v>
      </c>
      <c r="H533" s="30"/>
      <c r="I533" s="44"/>
      <c r="J533" s="44"/>
      <c r="K533" s="44">
        <f t="shared" si="16"/>
        <v>1870</v>
      </c>
      <c r="L533" s="51">
        <v>20220112</v>
      </c>
    </row>
    <row r="534" spans="1:12" x14ac:dyDescent="0.25">
      <c r="A534" s="52" t="s">
        <v>1158</v>
      </c>
      <c r="B534" s="32" t="s">
        <v>11</v>
      </c>
      <c r="C534" s="32" t="s">
        <v>405</v>
      </c>
      <c r="D534" s="32" t="s">
        <v>798</v>
      </c>
      <c r="E534" s="32" t="s">
        <v>811</v>
      </c>
      <c r="F534" s="32">
        <v>1</v>
      </c>
      <c r="G534" s="45">
        <v>1870</v>
      </c>
      <c r="H534" s="32">
        <v>25</v>
      </c>
      <c r="I534" s="45">
        <v>25</v>
      </c>
      <c r="J534" s="45">
        <f>I534*H534</f>
        <v>625</v>
      </c>
      <c r="K534" s="45">
        <f t="shared" si="16"/>
        <v>2495</v>
      </c>
      <c r="L534" s="53">
        <v>20220113</v>
      </c>
    </row>
    <row r="535" spans="1:12" x14ac:dyDescent="0.25">
      <c r="A535" s="52" t="s">
        <v>1163</v>
      </c>
      <c r="B535" s="32" t="s">
        <v>11</v>
      </c>
      <c r="C535" s="32" t="s">
        <v>202</v>
      </c>
      <c r="D535" s="32" t="s">
        <v>203</v>
      </c>
      <c r="E535" s="32" t="s">
        <v>1164</v>
      </c>
      <c r="F535" s="32">
        <v>1</v>
      </c>
      <c r="G535" s="45">
        <v>1870</v>
      </c>
      <c r="H535" s="32">
        <v>78</v>
      </c>
      <c r="I535" s="45">
        <v>25</v>
      </c>
      <c r="J535" s="45">
        <f>I535*H535</f>
        <v>1950</v>
      </c>
      <c r="K535" s="45">
        <f t="shared" si="16"/>
        <v>3820</v>
      </c>
      <c r="L535" s="53">
        <v>20220114</v>
      </c>
    </row>
    <row r="536" spans="1:12" x14ac:dyDescent="0.25">
      <c r="A536" s="50" t="s">
        <v>1137</v>
      </c>
      <c r="B536" s="30" t="s">
        <v>11</v>
      </c>
      <c r="C536" s="30" t="s">
        <v>94</v>
      </c>
      <c r="D536" s="30" t="s">
        <v>95</v>
      </c>
      <c r="E536" s="30" t="s">
        <v>982</v>
      </c>
      <c r="F536" s="30">
        <v>1</v>
      </c>
      <c r="G536" s="44">
        <v>1870</v>
      </c>
      <c r="H536" s="30"/>
      <c r="I536" s="44"/>
      <c r="J536" s="44"/>
      <c r="K536" s="44">
        <f t="shared" si="16"/>
        <v>1870</v>
      </c>
      <c r="L536" s="51">
        <v>20220115</v>
      </c>
    </row>
    <row r="537" spans="1:12" x14ac:dyDescent="0.25">
      <c r="A537" s="50" t="s">
        <v>1135</v>
      </c>
      <c r="B537" s="30" t="s">
        <v>27</v>
      </c>
      <c r="C537" s="30" t="s">
        <v>364</v>
      </c>
      <c r="D537" s="30" t="s">
        <v>24</v>
      </c>
      <c r="E537" s="30" t="s">
        <v>1136</v>
      </c>
      <c r="F537" s="30">
        <v>1</v>
      </c>
      <c r="G537" s="44">
        <v>1870</v>
      </c>
      <c r="H537" s="30"/>
      <c r="I537" s="44"/>
      <c r="J537" s="44"/>
      <c r="K537" s="44">
        <f t="shared" si="16"/>
        <v>1870</v>
      </c>
      <c r="L537" s="51">
        <v>20220117</v>
      </c>
    </row>
    <row r="538" spans="1:12" x14ac:dyDescent="0.25">
      <c r="A538" s="50" t="s">
        <v>1133</v>
      </c>
      <c r="B538" s="30" t="s">
        <v>27</v>
      </c>
      <c r="C538" s="30" t="s">
        <v>364</v>
      </c>
      <c r="D538" s="30" t="s">
        <v>24</v>
      </c>
      <c r="E538" s="30" t="s">
        <v>1134</v>
      </c>
      <c r="F538" s="30">
        <v>1</v>
      </c>
      <c r="G538" s="44">
        <v>1870</v>
      </c>
      <c r="H538" s="30"/>
      <c r="I538" s="44"/>
      <c r="J538" s="44"/>
      <c r="K538" s="44">
        <f t="shared" si="16"/>
        <v>1870</v>
      </c>
      <c r="L538" s="51">
        <v>20220117</v>
      </c>
    </row>
    <row r="539" spans="1:12" x14ac:dyDescent="0.25">
      <c r="A539" s="50" t="s">
        <v>1130</v>
      </c>
      <c r="B539" s="30" t="s">
        <v>11</v>
      </c>
      <c r="C539" s="30" t="s">
        <v>57</v>
      </c>
      <c r="D539" s="30" t="s">
        <v>58</v>
      </c>
      <c r="E539" s="30" t="s">
        <v>62</v>
      </c>
      <c r="F539" s="30">
        <v>1</v>
      </c>
      <c r="G539" s="44">
        <v>1870</v>
      </c>
      <c r="H539" s="30"/>
      <c r="I539" s="44"/>
      <c r="J539" s="44"/>
      <c r="K539" s="44">
        <f t="shared" si="16"/>
        <v>1870</v>
      </c>
      <c r="L539" s="51">
        <v>20220118</v>
      </c>
    </row>
    <row r="540" spans="1:12" x14ac:dyDescent="0.25">
      <c r="A540" s="52" t="s">
        <v>1129</v>
      </c>
      <c r="B540" s="32" t="s">
        <v>11</v>
      </c>
      <c r="C540" s="32" t="s">
        <v>134</v>
      </c>
      <c r="D540" s="32" t="s">
        <v>135</v>
      </c>
      <c r="E540" s="32" t="s">
        <v>136</v>
      </c>
      <c r="F540" s="32">
        <v>1</v>
      </c>
      <c r="G540" s="45">
        <v>1870</v>
      </c>
      <c r="H540" s="32">
        <v>25</v>
      </c>
      <c r="I540" s="45">
        <v>25</v>
      </c>
      <c r="J540" s="45">
        <f>I540*H540</f>
        <v>625</v>
      </c>
      <c r="K540" s="45">
        <f t="shared" si="16"/>
        <v>2495</v>
      </c>
      <c r="L540" s="53">
        <v>20220118</v>
      </c>
    </row>
    <row r="541" spans="1:12" x14ac:dyDescent="0.25">
      <c r="A541" s="50" t="s">
        <v>1131</v>
      </c>
      <c r="B541" s="30" t="s">
        <v>11</v>
      </c>
      <c r="C541" s="30" t="s">
        <v>53</v>
      </c>
      <c r="D541" s="30" t="s">
        <v>24</v>
      </c>
      <c r="E541" s="30" t="s">
        <v>1132</v>
      </c>
      <c r="F541" s="30">
        <v>1</v>
      </c>
      <c r="G541" s="44">
        <v>1870</v>
      </c>
      <c r="H541" s="30"/>
      <c r="I541" s="44"/>
      <c r="J541" s="44"/>
      <c r="K541" s="44">
        <f t="shared" si="16"/>
        <v>1870</v>
      </c>
      <c r="L541" s="51">
        <v>20220118</v>
      </c>
    </row>
    <row r="542" spans="1:12" x14ac:dyDescent="0.25">
      <c r="A542" s="50" t="s">
        <v>1126</v>
      </c>
      <c r="B542" s="30" t="s">
        <v>11</v>
      </c>
      <c r="C542" s="30" t="s">
        <v>29</v>
      </c>
      <c r="D542" s="30" t="s">
        <v>24</v>
      </c>
      <c r="E542" s="30" t="s">
        <v>1127</v>
      </c>
      <c r="F542" s="30">
        <v>1</v>
      </c>
      <c r="G542" s="44">
        <v>1870</v>
      </c>
      <c r="H542" s="30"/>
      <c r="I542" s="44"/>
      <c r="J542" s="44"/>
      <c r="K542" s="44">
        <f t="shared" si="16"/>
        <v>1870</v>
      </c>
      <c r="L542" s="51">
        <v>20220119</v>
      </c>
    </row>
    <row r="543" spans="1:12" x14ac:dyDescent="0.25">
      <c r="A543" s="50" t="s">
        <v>1128</v>
      </c>
      <c r="B543" s="30" t="s">
        <v>11</v>
      </c>
      <c r="C543" s="30" t="s">
        <v>29</v>
      </c>
      <c r="D543" s="30" t="s">
        <v>389</v>
      </c>
      <c r="E543" s="30" t="s">
        <v>390</v>
      </c>
      <c r="F543" s="30">
        <v>1</v>
      </c>
      <c r="G543" s="44">
        <v>1870</v>
      </c>
      <c r="H543" s="30"/>
      <c r="I543" s="44"/>
      <c r="J543" s="44"/>
      <c r="K543" s="44">
        <f t="shared" si="16"/>
        <v>1870</v>
      </c>
      <c r="L543" s="51">
        <v>20220119</v>
      </c>
    </row>
    <row r="544" spans="1:12" x14ac:dyDescent="0.25">
      <c r="A544" s="52" t="s">
        <v>1170</v>
      </c>
      <c r="B544" s="32" t="s">
        <v>27</v>
      </c>
      <c r="C544" s="32" t="s">
        <v>45</v>
      </c>
      <c r="D544" s="32" t="s">
        <v>46</v>
      </c>
      <c r="E544" s="32" t="s">
        <v>1171</v>
      </c>
      <c r="F544" s="32">
        <v>1</v>
      </c>
      <c r="G544" s="45">
        <v>1870</v>
      </c>
      <c r="H544" s="32">
        <v>50</v>
      </c>
      <c r="I544" s="45">
        <v>25</v>
      </c>
      <c r="J544" s="45">
        <f>I544*H544</f>
        <v>1250</v>
      </c>
      <c r="K544" s="45">
        <f t="shared" si="16"/>
        <v>3120</v>
      </c>
      <c r="L544" s="53">
        <v>20220120</v>
      </c>
    </row>
    <row r="545" spans="1:12" x14ac:dyDescent="0.25">
      <c r="A545" s="52" t="s">
        <v>1110</v>
      </c>
      <c r="B545" s="32" t="s">
        <v>11</v>
      </c>
      <c r="C545" s="32" t="s">
        <v>134</v>
      </c>
      <c r="D545" s="32" t="s">
        <v>135</v>
      </c>
      <c r="E545" s="32" t="s">
        <v>190</v>
      </c>
      <c r="F545" s="32">
        <v>1</v>
      </c>
      <c r="G545" s="45">
        <v>1870</v>
      </c>
      <c r="H545" s="32">
        <v>25</v>
      </c>
      <c r="I545" s="45">
        <v>25</v>
      </c>
      <c r="J545" s="45">
        <f>I545*H545</f>
        <v>625</v>
      </c>
      <c r="K545" s="45">
        <f t="shared" si="16"/>
        <v>2495</v>
      </c>
      <c r="L545" s="53">
        <v>20220124</v>
      </c>
    </row>
    <row r="546" spans="1:12" x14ac:dyDescent="0.25">
      <c r="A546" s="50" t="s">
        <v>1095</v>
      </c>
      <c r="B546" s="30" t="s">
        <v>11</v>
      </c>
      <c r="C546" s="30" t="s">
        <v>28</v>
      </c>
      <c r="D546" s="30" t="s">
        <v>753</v>
      </c>
      <c r="E546" s="30" t="s">
        <v>756</v>
      </c>
      <c r="F546" s="30">
        <v>1</v>
      </c>
      <c r="G546" s="44">
        <v>1870</v>
      </c>
      <c r="H546" s="30"/>
      <c r="I546" s="44"/>
      <c r="J546" s="44"/>
      <c r="K546" s="44">
        <f t="shared" si="16"/>
        <v>1870</v>
      </c>
      <c r="L546" s="51">
        <v>20220126</v>
      </c>
    </row>
    <row r="547" spans="1:12" x14ac:dyDescent="0.25">
      <c r="A547" s="50" t="s">
        <v>1094</v>
      </c>
      <c r="B547" s="30" t="s">
        <v>11</v>
      </c>
      <c r="C547" s="30" t="s">
        <v>29</v>
      </c>
      <c r="D547" s="30" t="s">
        <v>24</v>
      </c>
      <c r="E547" s="30" t="s">
        <v>161</v>
      </c>
      <c r="F547" s="30">
        <v>1</v>
      </c>
      <c r="G547" s="44">
        <v>1870</v>
      </c>
      <c r="H547" s="30"/>
      <c r="I547" s="44"/>
      <c r="J547" s="44"/>
      <c r="K547" s="44">
        <f t="shared" si="16"/>
        <v>1870</v>
      </c>
      <c r="L547" s="51">
        <v>20220126</v>
      </c>
    </row>
    <row r="548" spans="1:12" x14ac:dyDescent="0.25">
      <c r="A548" s="50" t="s">
        <v>1097</v>
      </c>
      <c r="B548" s="30" t="s">
        <v>11</v>
      </c>
      <c r="C548" s="30" t="s">
        <v>29</v>
      </c>
      <c r="D548" s="30" t="s">
        <v>24</v>
      </c>
      <c r="E548" s="30" t="s">
        <v>733</v>
      </c>
      <c r="F548" s="30">
        <v>1</v>
      </c>
      <c r="G548" s="44">
        <v>1870</v>
      </c>
      <c r="H548" s="30"/>
      <c r="I548" s="44"/>
      <c r="J548" s="44"/>
      <c r="K548" s="44">
        <f t="shared" si="16"/>
        <v>1870</v>
      </c>
      <c r="L548" s="51">
        <v>20220126</v>
      </c>
    </row>
    <row r="549" spans="1:12" x14ac:dyDescent="0.25">
      <c r="A549" s="50" t="s">
        <v>1096</v>
      </c>
      <c r="B549" s="30" t="s">
        <v>11</v>
      </c>
      <c r="C549" s="30" t="s">
        <v>251</v>
      </c>
      <c r="D549" s="30" t="s">
        <v>764</v>
      </c>
      <c r="E549" s="30" t="s">
        <v>765</v>
      </c>
      <c r="F549" s="30">
        <v>1</v>
      </c>
      <c r="G549" s="44">
        <v>1870</v>
      </c>
      <c r="H549" s="30"/>
      <c r="I549" s="44"/>
      <c r="J549" s="44"/>
      <c r="K549" s="44">
        <f t="shared" si="16"/>
        <v>1870</v>
      </c>
      <c r="L549" s="51">
        <v>20220128</v>
      </c>
    </row>
    <row r="550" spans="1:12" ht="15.75" thickBot="1" x14ac:dyDescent="0.3">
      <c r="A550" s="87" t="s">
        <v>1093</v>
      </c>
      <c r="B550" s="88" t="s">
        <v>11</v>
      </c>
      <c r="C550" s="88" t="s">
        <v>134</v>
      </c>
      <c r="D550" s="88" t="s">
        <v>135</v>
      </c>
      <c r="E550" s="88" t="s">
        <v>190</v>
      </c>
      <c r="F550" s="88">
        <v>1</v>
      </c>
      <c r="G550" s="89">
        <v>1870</v>
      </c>
      <c r="H550" s="88">
        <v>25</v>
      </c>
      <c r="I550" s="89">
        <v>25</v>
      </c>
      <c r="J550" s="89">
        <f>I550*H550</f>
        <v>625</v>
      </c>
      <c r="K550" s="89">
        <f t="shared" si="16"/>
        <v>2495</v>
      </c>
      <c r="L550" s="90">
        <v>20220131</v>
      </c>
    </row>
    <row r="551" spans="1:12" ht="15.75" thickBot="1" x14ac:dyDescent="0.3">
      <c r="A551" s="99"/>
      <c r="B551" s="100"/>
      <c r="C551" s="100"/>
      <c r="D551" s="100"/>
      <c r="E551" s="100"/>
      <c r="F551" s="100"/>
      <c r="G551" s="101"/>
      <c r="H551" s="100"/>
      <c r="I551" s="101"/>
      <c r="J551" s="101"/>
      <c r="K551" s="101"/>
      <c r="L551" s="102"/>
    </row>
    <row r="552" spans="1:12" x14ac:dyDescent="0.25">
      <c r="A552" s="48" t="s">
        <v>1149</v>
      </c>
      <c r="B552" s="34" t="s">
        <v>137</v>
      </c>
      <c r="C552" s="34" t="s">
        <v>364</v>
      </c>
      <c r="D552" s="34" t="s">
        <v>24</v>
      </c>
      <c r="E552" s="34" t="s">
        <v>365</v>
      </c>
      <c r="F552" s="34">
        <v>1</v>
      </c>
      <c r="G552" s="64">
        <v>935</v>
      </c>
      <c r="H552" s="34"/>
      <c r="I552" s="64"/>
      <c r="J552" s="64"/>
      <c r="K552" s="64">
        <f t="shared" ref="K552:K592" si="17">J552+G552</f>
        <v>935</v>
      </c>
      <c r="L552" s="49">
        <v>20220107</v>
      </c>
    </row>
    <row r="553" spans="1:12" x14ac:dyDescent="0.25">
      <c r="A553" s="50" t="s">
        <v>1148</v>
      </c>
      <c r="B553" s="30" t="s">
        <v>137</v>
      </c>
      <c r="C553" s="30" t="s">
        <v>364</v>
      </c>
      <c r="D553" s="30" t="s">
        <v>24</v>
      </c>
      <c r="E553" s="30" t="s">
        <v>532</v>
      </c>
      <c r="F553" s="30">
        <v>1</v>
      </c>
      <c r="G553" s="44">
        <v>935</v>
      </c>
      <c r="H553" s="30"/>
      <c r="I553" s="44"/>
      <c r="J553" s="44"/>
      <c r="K553" s="44">
        <f t="shared" si="17"/>
        <v>935</v>
      </c>
      <c r="L553" s="51">
        <v>20220107</v>
      </c>
    </row>
    <row r="554" spans="1:12" x14ac:dyDescent="0.25">
      <c r="A554" s="50" t="s">
        <v>1147</v>
      </c>
      <c r="B554" s="30" t="s">
        <v>137</v>
      </c>
      <c r="C554" s="30" t="s">
        <v>364</v>
      </c>
      <c r="D554" s="30" t="s">
        <v>24</v>
      </c>
      <c r="E554" s="30" t="s">
        <v>392</v>
      </c>
      <c r="F554" s="30">
        <v>1</v>
      </c>
      <c r="G554" s="44">
        <v>935</v>
      </c>
      <c r="H554" s="30"/>
      <c r="I554" s="44"/>
      <c r="J554" s="44"/>
      <c r="K554" s="44">
        <f t="shared" si="17"/>
        <v>935</v>
      </c>
      <c r="L554" s="51">
        <v>20220107</v>
      </c>
    </row>
    <row r="555" spans="1:12" x14ac:dyDescent="0.25">
      <c r="A555" s="50" t="s">
        <v>1146</v>
      </c>
      <c r="B555" s="30" t="s">
        <v>137</v>
      </c>
      <c r="C555" s="30" t="s">
        <v>364</v>
      </c>
      <c r="D555" s="30" t="s">
        <v>24</v>
      </c>
      <c r="E555" s="30" t="s">
        <v>394</v>
      </c>
      <c r="F555" s="30">
        <v>1</v>
      </c>
      <c r="G555" s="44">
        <v>935</v>
      </c>
      <c r="H555" s="30"/>
      <c r="I555" s="44"/>
      <c r="J555" s="44"/>
      <c r="K555" s="44">
        <f t="shared" si="17"/>
        <v>935</v>
      </c>
      <c r="L555" s="51">
        <v>20220107</v>
      </c>
    </row>
    <row r="556" spans="1:12" x14ac:dyDescent="0.25">
      <c r="A556" s="50" t="s">
        <v>1145</v>
      </c>
      <c r="B556" s="30" t="s">
        <v>137</v>
      </c>
      <c r="C556" s="30" t="s">
        <v>364</v>
      </c>
      <c r="D556" s="30" t="s">
        <v>24</v>
      </c>
      <c r="E556" s="30" t="s">
        <v>695</v>
      </c>
      <c r="F556" s="30">
        <v>1</v>
      </c>
      <c r="G556" s="44">
        <v>935</v>
      </c>
      <c r="H556" s="30"/>
      <c r="I556" s="44"/>
      <c r="J556" s="44"/>
      <c r="K556" s="44">
        <f t="shared" si="17"/>
        <v>935</v>
      </c>
      <c r="L556" s="51">
        <v>20220107</v>
      </c>
    </row>
    <row r="557" spans="1:12" x14ac:dyDescent="0.25">
      <c r="A557" s="50" t="s">
        <v>1155</v>
      </c>
      <c r="B557" s="30" t="s">
        <v>137</v>
      </c>
      <c r="C557" s="30" t="s">
        <v>76</v>
      </c>
      <c r="D557" s="30" t="s">
        <v>24</v>
      </c>
      <c r="E557" s="30" t="s">
        <v>1156</v>
      </c>
      <c r="F557" s="30">
        <v>1</v>
      </c>
      <c r="G557" s="44">
        <v>935</v>
      </c>
      <c r="H557" s="30"/>
      <c r="I557" s="44"/>
      <c r="J557" s="44"/>
      <c r="K557" s="44">
        <f t="shared" si="17"/>
        <v>935</v>
      </c>
      <c r="L557" s="51">
        <v>20220107</v>
      </c>
    </row>
    <row r="558" spans="1:12" x14ac:dyDescent="0.25">
      <c r="A558" s="50" t="s">
        <v>1154</v>
      </c>
      <c r="B558" s="30" t="s">
        <v>137</v>
      </c>
      <c r="C558" s="30" t="s">
        <v>76</v>
      </c>
      <c r="D558" s="30" t="s">
        <v>24</v>
      </c>
      <c r="E558" s="30" t="s">
        <v>83</v>
      </c>
      <c r="F558" s="30">
        <v>1</v>
      </c>
      <c r="G558" s="44">
        <v>935</v>
      </c>
      <c r="H558" s="30"/>
      <c r="I558" s="44"/>
      <c r="J558" s="44"/>
      <c r="K558" s="44">
        <f t="shared" si="17"/>
        <v>935</v>
      </c>
      <c r="L558" s="51">
        <v>20220107</v>
      </c>
    </row>
    <row r="559" spans="1:12" x14ac:dyDescent="0.25">
      <c r="A559" s="50" t="s">
        <v>1153</v>
      </c>
      <c r="B559" s="30" t="s">
        <v>137</v>
      </c>
      <c r="C559" s="30" t="s">
        <v>76</v>
      </c>
      <c r="D559" s="30" t="s">
        <v>24</v>
      </c>
      <c r="E559" s="30" t="s">
        <v>255</v>
      </c>
      <c r="F559" s="30">
        <v>1</v>
      </c>
      <c r="G559" s="44">
        <v>935</v>
      </c>
      <c r="H559" s="30"/>
      <c r="I559" s="44"/>
      <c r="J559" s="44"/>
      <c r="K559" s="44">
        <f t="shared" si="17"/>
        <v>935</v>
      </c>
      <c r="L559" s="51">
        <v>20220107</v>
      </c>
    </row>
    <row r="560" spans="1:12" x14ac:dyDescent="0.25">
      <c r="A560" s="50" t="s">
        <v>1152</v>
      </c>
      <c r="B560" s="30" t="s">
        <v>137</v>
      </c>
      <c r="C560" s="30" t="s">
        <v>76</v>
      </c>
      <c r="D560" s="30" t="s">
        <v>24</v>
      </c>
      <c r="E560" s="30" t="s">
        <v>793</v>
      </c>
      <c r="F560" s="30">
        <v>1</v>
      </c>
      <c r="G560" s="44">
        <v>935</v>
      </c>
      <c r="H560" s="30"/>
      <c r="I560" s="44"/>
      <c r="J560" s="44"/>
      <c r="K560" s="44">
        <f t="shared" si="17"/>
        <v>935</v>
      </c>
      <c r="L560" s="51">
        <v>20220107</v>
      </c>
    </row>
    <row r="561" spans="1:12" x14ac:dyDescent="0.25">
      <c r="A561" s="50" t="s">
        <v>1151</v>
      </c>
      <c r="B561" s="30" t="s">
        <v>137</v>
      </c>
      <c r="C561" s="30" t="s">
        <v>76</v>
      </c>
      <c r="D561" s="30" t="s">
        <v>24</v>
      </c>
      <c r="E561" s="30" t="s">
        <v>77</v>
      </c>
      <c r="F561" s="30">
        <v>1</v>
      </c>
      <c r="G561" s="44">
        <v>935</v>
      </c>
      <c r="H561" s="30"/>
      <c r="I561" s="44"/>
      <c r="J561" s="44"/>
      <c r="K561" s="44">
        <f t="shared" si="17"/>
        <v>935</v>
      </c>
      <c r="L561" s="51">
        <v>20220107</v>
      </c>
    </row>
    <row r="562" spans="1:12" x14ac:dyDescent="0.25">
      <c r="A562" s="50" t="s">
        <v>1141</v>
      </c>
      <c r="B562" s="30" t="s">
        <v>137</v>
      </c>
      <c r="C562" s="30" t="s">
        <v>770</v>
      </c>
      <c r="D562" s="30" t="s">
        <v>24</v>
      </c>
      <c r="E562" s="30" t="s">
        <v>777</v>
      </c>
      <c r="F562" s="30">
        <v>1</v>
      </c>
      <c r="G562" s="44">
        <v>935</v>
      </c>
      <c r="H562" s="30"/>
      <c r="I562" s="44"/>
      <c r="J562" s="44"/>
      <c r="K562" s="44">
        <f t="shared" si="17"/>
        <v>935</v>
      </c>
      <c r="L562" s="51">
        <v>20220119</v>
      </c>
    </row>
    <row r="563" spans="1:12" x14ac:dyDescent="0.25">
      <c r="A563" s="50" t="s">
        <v>1140</v>
      </c>
      <c r="B563" s="30" t="s">
        <v>137</v>
      </c>
      <c r="C563" s="30" t="s">
        <v>770</v>
      </c>
      <c r="D563" s="30" t="s">
        <v>24</v>
      </c>
      <c r="E563" s="30" t="s">
        <v>775</v>
      </c>
      <c r="F563" s="30">
        <v>1</v>
      </c>
      <c r="G563" s="44">
        <v>935</v>
      </c>
      <c r="H563" s="30"/>
      <c r="I563" s="44"/>
      <c r="J563" s="44"/>
      <c r="K563" s="44">
        <f t="shared" si="17"/>
        <v>935</v>
      </c>
      <c r="L563" s="51">
        <v>20220119</v>
      </c>
    </row>
    <row r="564" spans="1:12" x14ac:dyDescent="0.25">
      <c r="A564" s="50" t="s">
        <v>1139</v>
      </c>
      <c r="B564" s="30" t="s">
        <v>137</v>
      </c>
      <c r="C564" s="30" t="s">
        <v>770</v>
      </c>
      <c r="D564" s="30" t="s">
        <v>24</v>
      </c>
      <c r="E564" s="30" t="s">
        <v>773</v>
      </c>
      <c r="F564" s="30">
        <v>1</v>
      </c>
      <c r="G564" s="44">
        <v>935</v>
      </c>
      <c r="H564" s="30"/>
      <c r="I564" s="44"/>
      <c r="J564" s="44"/>
      <c r="K564" s="44">
        <f t="shared" si="17"/>
        <v>935</v>
      </c>
      <c r="L564" s="51">
        <v>20220119</v>
      </c>
    </row>
    <row r="565" spans="1:12" x14ac:dyDescent="0.25">
      <c r="A565" s="50" t="s">
        <v>1138</v>
      </c>
      <c r="B565" s="30" t="s">
        <v>137</v>
      </c>
      <c r="C565" s="30" t="s">
        <v>770</v>
      </c>
      <c r="D565" s="30" t="s">
        <v>24</v>
      </c>
      <c r="E565" s="30" t="s">
        <v>771</v>
      </c>
      <c r="F565" s="30">
        <v>1</v>
      </c>
      <c r="G565" s="44">
        <v>935</v>
      </c>
      <c r="H565" s="30"/>
      <c r="I565" s="44"/>
      <c r="J565" s="44"/>
      <c r="K565" s="44">
        <f t="shared" si="17"/>
        <v>935</v>
      </c>
      <c r="L565" s="51">
        <v>20220119</v>
      </c>
    </row>
    <row r="566" spans="1:12" x14ac:dyDescent="0.25">
      <c r="A566" s="50" t="s">
        <v>1143</v>
      </c>
      <c r="B566" s="30" t="s">
        <v>137</v>
      </c>
      <c r="C566" s="30" t="s">
        <v>53</v>
      </c>
      <c r="D566" s="30" t="s">
        <v>24</v>
      </c>
      <c r="E566" s="30" t="s">
        <v>100</v>
      </c>
      <c r="F566" s="30">
        <v>1</v>
      </c>
      <c r="G566" s="44">
        <v>935</v>
      </c>
      <c r="H566" s="30"/>
      <c r="I566" s="44"/>
      <c r="J566" s="44"/>
      <c r="K566" s="44">
        <f t="shared" si="17"/>
        <v>935</v>
      </c>
      <c r="L566" s="51">
        <v>20220119</v>
      </c>
    </row>
    <row r="567" spans="1:12" x14ac:dyDescent="0.25">
      <c r="A567" s="50" t="s">
        <v>1142</v>
      </c>
      <c r="B567" s="30" t="s">
        <v>137</v>
      </c>
      <c r="C567" s="30" t="s">
        <v>53</v>
      </c>
      <c r="D567" s="30" t="s">
        <v>24</v>
      </c>
      <c r="E567" s="30" t="s">
        <v>1132</v>
      </c>
      <c r="F567" s="30">
        <v>1</v>
      </c>
      <c r="G567" s="44">
        <v>935</v>
      </c>
      <c r="H567" s="30"/>
      <c r="I567" s="44"/>
      <c r="J567" s="44"/>
      <c r="K567" s="44">
        <f t="shared" si="17"/>
        <v>935</v>
      </c>
      <c r="L567" s="51">
        <v>20220119</v>
      </c>
    </row>
    <row r="568" spans="1:12" x14ac:dyDescent="0.25">
      <c r="A568" s="50" t="s">
        <v>1107</v>
      </c>
      <c r="B568" s="30" t="s">
        <v>137</v>
      </c>
      <c r="C568" s="30" t="s">
        <v>28</v>
      </c>
      <c r="D568" s="30" t="s">
        <v>470</v>
      </c>
      <c r="E568" s="30" t="s">
        <v>471</v>
      </c>
      <c r="F568" s="30">
        <v>1</v>
      </c>
      <c r="G568" s="44">
        <v>935</v>
      </c>
      <c r="H568" s="30"/>
      <c r="I568" s="44"/>
      <c r="J568" s="44"/>
      <c r="K568" s="44">
        <f t="shared" si="17"/>
        <v>935</v>
      </c>
      <c r="L568" s="51">
        <v>20220121</v>
      </c>
    </row>
    <row r="569" spans="1:12" x14ac:dyDescent="0.25">
      <c r="A569" s="50" t="s">
        <v>1109</v>
      </c>
      <c r="B569" s="30" t="s">
        <v>137</v>
      </c>
      <c r="C569" s="30" t="s">
        <v>28</v>
      </c>
      <c r="D569" s="30" t="s">
        <v>759</v>
      </c>
      <c r="E569" s="30" t="s">
        <v>762</v>
      </c>
      <c r="F569" s="30">
        <v>1</v>
      </c>
      <c r="G569" s="44">
        <v>935</v>
      </c>
      <c r="H569" s="30"/>
      <c r="I569" s="44"/>
      <c r="J569" s="44"/>
      <c r="K569" s="44">
        <f t="shared" si="17"/>
        <v>935</v>
      </c>
      <c r="L569" s="51">
        <v>20220121</v>
      </c>
    </row>
    <row r="570" spans="1:12" x14ac:dyDescent="0.25">
      <c r="A570" s="50" t="s">
        <v>1108</v>
      </c>
      <c r="B570" s="30" t="s">
        <v>137</v>
      </c>
      <c r="C570" s="30" t="s">
        <v>28</v>
      </c>
      <c r="D570" s="30" t="s">
        <v>759</v>
      </c>
      <c r="E570" s="30" t="s">
        <v>760</v>
      </c>
      <c r="F570" s="30">
        <v>1</v>
      </c>
      <c r="G570" s="44">
        <v>935</v>
      </c>
      <c r="H570" s="30"/>
      <c r="I570" s="44"/>
      <c r="J570" s="44"/>
      <c r="K570" s="44">
        <f t="shared" si="17"/>
        <v>935</v>
      </c>
      <c r="L570" s="51">
        <v>20220121</v>
      </c>
    </row>
    <row r="571" spans="1:12" x14ac:dyDescent="0.25">
      <c r="A571" s="50" t="s">
        <v>1105</v>
      </c>
      <c r="B571" s="30" t="s">
        <v>137</v>
      </c>
      <c r="C571" s="30" t="s">
        <v>28</v>
      </c>
      <c r="D571" s="30" t="s">
        <v>759</v>
      </c>
      <c r="E571" s="30" t="s">
        <v>1106</v>
      </c>
      <c r="F571" s="30">
        <v>1</v>
      </c>
      <c r="G571" s="44">
        <v>935</v>
      </c>
      <c r="H571" s="30"/>
      <c r="I571" s="44"/>
      <c r="J571" s="44"/>
      <c r="K571" s="44">
        <f t="shared" si="17"/>
        <v>935</v>
      </c>
      <c r="L571" s="51">
        <v>20220121</v>
      </c>
    </row>
    <row r="572" spans="1:12" x14ac:dyDescent="0.25">
      <c r="A572" s="50" t="s">
        <v>1125</v>
      </c>
      <c r="B572" s="30" t="s">
        <v>137</v>
      </c>
      <c r="C572" s="30" t="s">
        <v>163</v>
      </c>
      <c r="D572" s="30" t="s">
        <v>164</v>
      </c>
      <c r="E572" s="30" t="s">
        <v>454</v>
      </c>
      <c r="F572" s="30">
        <v>1</v>
      </c>
      <c r="G572" s="44">
        <v>935</v>
      </c>
      <c r="H572" s="30"/>
      <c r="I572" s="44"/>
      <c r="J572" s="44"/>
      <c r="K572" s="44">
        <f t="shared" si="17"/>
        <v>935</v>
      </c>
      <c r="L572" s="51">
        <v>20220124</v>
      </c>
    </row>
    <row r="573" spans="1:12" x14ac:dyDescent="0.25">
      <c r="A573" s="50" t="s">
        <v>1124</v>
      </c>
      <c r="B573" s="30" t="s">
        <v>137</v>
      </c>
      <c r="C573" s="30" t="s">
        <v>163</v>
      </c>
      <c r="D573" s="30" t="s">
        <v>164</v>
      </c>
      <c r="E573" s="30" t="s">
        <v>452</v>
      </c>
      <c r="F573" s="30">
        <v>1</v>
      </c>
      <c r="G573" s="44">
        <v>935</v>
      </c>
      <c r="H573" s="30"/>
      <c r="I573" s="44"/>
      <c r="J573" s="44"/>
      <c r="K573" s="44">
        <f t="shared" si="17"/>
        <v>935</v>
      </c>
      <c r="L573" s="51">
        <v>20220124</v>
      </c>
    </row>
    <row r="574" spans="1:12" x14ac:dyDescent="0.25">
      <c r="A574" s="50" t="s">
        <v>1123</v>
      </c>
      <c r="B574" s="30" t="s">
        <v>137</v>
      </c>
      <c r="C574" s="30" t="s">
        <v>163</v>
      </c>
      <c r="D574" s="30" t="s">
        <v>164</v>
      </c>
      <c r="E574" s="30" t="s">
        <v>185</v>
      </c>
      <c r="F574" s="30">
        <v>1</v>
      </c>
      <c r="G574" s="44">
        <v>935</v>
      </c>
      <c r="H574" s="30"/>
      <c r="I574" s="44"/>
      <c r="J574" s="44"/>
      <c r="K574" s="44">
        <f t="shared" si="17"/>
        <v>935</v>
      </c>
      <c r="L574" s="51">
        <v>20220124</v>
      </c>
    </row>
    <row r="575" spans="1:12" x14ac:dyDescent="0.25">
      <c r="A575" s="52" t="s">
        <v>1122</v>
      </c>
      <c r="B575" s="32" t="s">
        <v>137</v>
      </c>
      <c r="C575" s="32" t="s">
        <v>163</v>
      </c>
      <c r="D575" s="32" t="s">
        <v>164</v>
      </c>
      <c r="E575" s="32" t="s">
        <v>244</v>
      </c>
      <c r="F575" s="32">
        <v>1</v>
      </c>
      <c r="G575" s="45">
        <v>935</v>
      </c>
      <c r="H575" s="32">
        <v>120</v>
      </c>
      <c r="I575" s="45">
        <v>25</v>
      </c>
      <c r="J575" s="45">
        <f>I575*H575</f>
        <v>3000</v>
      </c>
      <c r="K575" s="45">
        <f t="shared" si="17"/>
        <v>3935</v>
      </c>
      <c r="L575" s="53">
        <v>20220124</v>
      </c>
    </row>
    <row r="576" spans="1:12" x14ac:dyDescent="0.25">
      <c r="A576" s="50" t="s">
        <v>1121</v>
      </c>
      <c r="B576" s="30" t="s">
        <v>137</v>
      </c>
      <c r="C576" s="30" t="s">
        <v>163</v>
      </c>
      <c r="D576" s="30" t="s">
        <v>164</v>
      </c>
      <c r="E576" s="30" t="s">
        <v>361</v>
      </c>
      <c r="F576" s="30">
        <v>1</v>
      </c>
      <c r="G576" s="44">
        <v>935</v>
      </c>
      <c r="H576" s="30"/>
      <c r="I576" s="44"/>
      <c r="J576" s="44"/>
      <c r="K576" s="44">
        <f t="shared" si="17"/>
        <v>935</v>
      </c>
      <c r="L576" s="51">
        <v>20220124</v>
      </c>
    </row>
    <row r="577" spans="1:12" x14ac:dyDescent="0.25">
      <c r="A577" s="50" t="s">
        <v>1120</v>
      </c>
      <c r="B577" s="30" t="s">
        <v>137</v>
      </c>
      <c r="C577" s="30" t="s">
        <v>163</v>
      </c>
      <c r="D577" s="30" t="s">
        <v>164</v>
      </c>
      <c r="E577" s="30" t="s">
        <v>166</v>
      </c>
      <c r="F577" s="30">
        <v>1</v>
      </c>
      <c r="G577" s="44">
        <v>935</v>
      </c>
      <c r="H577" s="30"/>
      <c r="I577" s="44"/>
      <c r="J577" s="44"/>
      <c r="K577" s="44">
        <f t="shared" si="17"/>
        <v>935</v>
      </c>
      <c r="L577" s="51">
        <v>20220124</v>
      </c>
    </row>
    <row r="578" spans="1:12" x14ac:dyDescent="0.25">
      <c r="A578" s="50" t="s">
        <v>1119</v>
      </c>
      <c r="B578" s="30" t="s">
        <v>137</v>
      </c>
      <c r="C578" s="30" t="s">
        <v>163</v>
      </c>
      <c r="D578" s="30" t="s">
        <v>164</v>
      </c>
      <c r="E578" s="30" t="s">
        <v>478</v>
      </c>
      <c r="F578" s="30">
        <v>1</v>
      </c>
      <c r="G578" s="44">
        <v>935</v>
      </c>
      <c r="H578" s="30"/>
      <c r="I578" s="44"/>
      <c r="J578" s="44"/>
      <c r="K578" s="44">
        <f t="shared" si="17"/>
        <v>935</v>
      </c>
      <c r="L578" s="51">
        <v>20220124</v>
      </c>
    </row>
    <row r="579" spans="1:12" x14ac:dyDescent="0.25">
      <c r="A579" s="50" t="s">
        <v>1118</v>
      </c>
      <c r="B579" s="30" t="s">
        <v>137</v>
      </c>
      <c r="C579" s="30" t="s">
        <v>163</v>
      </c>
      <c r="D579" s="30" t="s">
        <v>164</v>
      </c>
      <c r="E579" s="30" t="s">
        <v>207</v>
      </c>
      <c r="F579" s="30">
        <v>1</v>
      </c>
      <c r="G579" s="44">
        <v>935</v>
      </c>
      <c r="H579" s="30"/>
      <c r="I579" s="44"/>
      <c r="J579" s="44"/>
      <c r="K579" s="44">
        <f t="shared" si="17"/>
        <v>935</v>
      </c>
      <c r="L579" s="51">
        <v>20220124</v>
      </c>
    </row>
    <row r="580" spans="1:12" x14ac:dyDescent="0.25">
      <c r="A580" s="50" t="s">
        <v>1117</v>
      </c>
      <c r="B580" s="30" t="s">
        <v>137</v>
      </c>
      <c r="C580" s="30" t="s">
        <v>163</v>
      </c>
      <c r="D580" s="30" t="s">
        <v>164</v>
      </c>
      <c r="E580" s="30" t="s">
        <v>212</v>
      </c>
      <c r="F580" s="30">
        <v>1</v>
      </c>
      <c r="G580" s="44">
        <v>935</v>
      </c>
      <c r="H580" s="30"/>
      <c r="I580" s="44"/>
      <c r="J580" s="44"/>
      <c r="K580" s="44">
        <f t="shared" si="17"/>
        <v>935</v>
      </c>
      <c r="L580" s="51">
        <v>20220124</v>
      </c>
    </row>
    <row r="581" spans="1:12" x14ac:dyDescent="0.25">
      <c r="A581" s="50" t="s">
        <v>1116</v>
      </c>
      <c r="B581" s="30" t="s">
        <v>137</v>
      </c>
      <c r="C581" s="30" t="s">
        <v>163</v>
      </c>
      <c r="D581" s="30" t="s">
        <v>164</v>
      </c>
      <c r="E581" s="30" t="s">
        <v>444</v>
      </c>
      <c r="F581" s="30">
        <v>1</v>
      </c>
      <c r="G581" s="44">
        <v>935</v>
      </c>
      <c r="H581" s="30"/>
      <c r="I581" s="44"/>
      <c r="J581" s="44"/>
      <c r="K581" s="44">
        <f t="shared" si="17"/>
        <v>935</v>
      </c>
      <c r="L581" s="51">
        <v>20220124</v>
      </c>
    </row>
    <row r="582" spans="1:12" x14ac:dyDescent="0.25">
      <c r="A582" s="50" t="s">
        <v>1114</v>
      </c>
      <c r="B582" s="30" t="s">
        <v>137</v>
      </c>
      <c r="C582" s="30" t="s">
        <v>163</v>
      </c>
      <c r="D582" s="30" t="s">
        <v>164</v>
      </c>
      <c r="E582" s="30" t="s">
        <v>1115</v>
      </c>
      <c r="F582" s="30">
        <v>1</v>
      </c>
      <c r="G582" s="44">
        <v>935</v>
      </c>
      <c r="H582" s="30"/>
      <c r="I582" s="44"/>
      <c r="J582" s="44"/>
      <c r="K582" s="44">
        <f t="shared" si="17"/>
        <v>935</v>
      </c>
      <c r="L582" s="51">
        <v>20220124</v>
      </c>
    </row>
    <row r="583" spans="1:12" x14ac:dyDescent="0.25">
      <c r="A583" s="50" t="s">
        <v>1113</v>
      </c>
      <c r="B583" s="30" t="s">
        <v>137</v>
      </c>
      <c r="C583" s="30" t="s">
        <v>163</v>
      </c>
      <c r="D583" s="30" t="s">
        <v>164</v>
      </c>
      <c r="E583" s="30" t="s">
        <v>221</v>
      </c>
      <c r="F583" s="30">
        <v>1</v>
      </c>
      <c r="G583" s="44">
        <v>935</v>
      </c>
      <c r="H583" s="30"/>
      <c r="I583" s="44"/>
      <c r="J583" s="44"/>
      <c r="K583" s="44">
        <f t="shared" si="17"/>
        <v>935</v>
      </c>
      <c r="L583" s="51">
        <v>20220124</v>
      </c>
    </row>
    <row r="584" spans="1:12" x14ac:dyDescent="0.25">
      <c r="A584" s="50" t="s">
        <v>1112</v>
      </c>
      <c r="B584" s="30" t="s">
        <v>137</v>
      </c>
      <c r="C584" s="30" t="s">
        <v>163</v>
      </c>
      <c r="D584" s="30" t="s">
        <v>164</v>
      </c>
      <c r="E584" s="30" t="s">
        <v>305</v>
      </c>
      <c r="F584" s="30">
        <v>1</v>
      </c>
      <c r="G584" s="44">
        <v>935</v>
      </c>
      <c r="H584" s="30"/>
      <c r="I584" s="44"/>
      <c r="J584" s="44"/>
      <c r="K584" s="44">
        <f t="shared" si="17"/>
        <v>935</v>
      </c>
      <c r="L584" s="51">
        <v>20220124</v>
      </c>
    </row>
    <row r="585" spans="1:12" x14ac:dyDescent="0.25">
      <c r="A585" s="50" t="s">
        <v>1111</v>
      </c>
      <c r="B585" s="30" t="s">
        <v>137</v>
      </c>
      <c r="C585" s="30" t="s">
        <v>163</v>
      </c>
      <c r="D585" s="30" t="s">
        <v>164</v>
      </c>
      <c r="E585" s="30" t="s">
        <v>187</v>
      </c>
      <c r="F585" s="30">
        <v>1</v>
      </c>
      <c r="G585" s="44">
        <v>935</v>
      </c>
      <c r="H585" s="30"/>
      <c r="I585" s="44"/>
      <c r="J585" s="44"/>
      <c r="K585" s="44">
        <f t="shared" si="17"/>
        <v>935</v>
      </c>
      <c r="L585" s="51">
        <v>20220124</v>
      </c>
    </row>
    <row r="586" spans="1:12" x14ac:dyDescent="0.25">
      <c r="A586" s="52" t="s">
        <v>1101</v>
      </c>
      <c r="B586" s="32" t="s">
        <v>137</v>
      </c>
      <c r="C586" s="32" t="s">
        <v>28</v>
      </c>
      <c r="D586" s="32" t="s">
        <v>396</v>
      </c>
      <c r="E586" s="32" t="s">
        <v>397</v>
      </c>
      <c r="F586" s="32">
        <v>1</v>
      </c>
      <c r="G586" s="45">
        <v>935</v>
      </c>
      <c r="H586" s="32">
        <v>76</v>
      </c>
      <c r="I586" s="45">
        <v>25</v>
      </c>
      <c r="J586" s="45">
        <f>I586*H586</f>
        <v>1900</v>
      </c>
      <c r="K586" s="45">
        <f t="shared" si="17"/>
        <v>2835</v>
      </c>
      <c r="L586" s="53">
        <v>20220127</v>
      </c>
    </row>
    <row r="587" spans="1:12" x14ac:dyDescent="0.25">
      <c r="A587" s="50" t="s">
        <v>1098</v>
      </c>
      <c r="B587" s="30" t="s">
        <v>137</v>
      </c>
      <c r="C587" s="30" t="s">
        <v>28</v>
      </c>
      <c r="D587" s="30" t="s">
        <v>1099</v>
      </c>
      <c r="E587" s="30" t="s">
        <v>1100</v>
      </c>
      <c r="F587" s="30">
        <v>1</v>
      </c>
      <c r="G587" s="44">
        <v>935</v>
      </c>
      <c r="H587" s="30"/>
      <c r="I587" s="44"/>
      <c r="J587" s="44"/>
      <c r="K587" s="44">
        <f t="shared" si="17"/>
        <v>935</v>
      </c>
      <c r="L587" s="51">
        <v>20220127</v>
      </c>
    </row>
    <row r="588" spans="1:12" x14ac:dyDescent="0.25">
      <c r="A588" s="50" t="s">
        <v>1102</v>
      </c>
      <c r="B588" s="30" t="s">
        <v>137</v>
      </c>
      <c r="C588" s="30" t="s">
        <v>28</v>
      </c>
      <c r="D588" s="30" t="s">
        <v>1103</v>
      </c>
      <c r="E588" s="30" t="s">
        <v>1104</v>
      </c>
      <c r="F588" s="30">
        <v>1</v>
      </c>
      <c r="G588" s="44">
        <v>935</v>
      </c>
      <c r="H588" s="30"/>
      <c r="I588" s="44"/>
      <c r="J588" s="44"/>
      <c r="K588" s="44">
        <f t="shared" si="17"/>
        <v>935</v>
      </c>
      <c r="L588" s="51">
        <v>20220131</v>
      </c>
    </row>
    <row r="589" spans="1:12" x14ac:dyDescent="0.25">
      <c r="A589" s="52" t="s">
        <v>1092</v>
      </c>
      <c r="B589" s="32" t="s">
        <v>137</v>
      </c>
      <c r="C589" s="32" t="s">
        <v>134</v>
      </c>
      <c r="D589" s="32" t="s">
        <v>135</v>
      </c>
      <c r="E589" s="32" t="s">
        <v>136</v>
      </c>
      <c r="F589" s="32">
        <v>1</v>
      </c>
      <c r="G589" s="45">
        <v>935</v>
      </c>
      <c r="H589" s="32">
        <v>25</v>
      </c>
      <c r="I589" s="45">
        <v>25</v>
      </c>
      <c r="J589" s="45">
        <f>I589*H589</f>
        <v>625</v>
      </c>
      <c r="K589" s="45">
        <f t="shared" si="17"/>
        <v>1560</v>
      </c>
      <c r="L589" s="53">
        <v>20220131</v>
      </c>
    </row>
    <row r="590" spans="1:12" x14ac:dyDescent="0.25">
      <c r="A590" s="50" t="s">
        <v>1177</v>
      </c>
      <c r="B590" s="30" t="s">
        <v>137</v>
      </c>
      <c r="C590" s="30" t="s">
        <v>134</v>
      </c>
      <c r="D590" s="30" t="s">
        <v>135</v>
      </c>
      <c r="E590" s="30" t="s">
        <v>1178</v>
      </c>
      <c r="F590" s="30">
        <v>1</v>
      </c>
      <c r="G590" s="44">
        <v>935</v>
      </c>
      <c r="H590" s="30"/>
      <c r="I590" s="44"/>
      <c r="J590" s="44"/>
      <c r="K590" s="44">
        <f t="shared" si="17"/>
        <v>935</v>
      </c>
      <c r="L590" s="51">
        <v>20220131</v>
      </c>
    </row>
    <row r="591" spans="1:12" x14ac:dyDescent="0.25">
      <c r="A591" s="50" t="s">
        <v>1091</v>
      </c>
      <c r="B591" s="30" t="s">
        <v>137</v>
      </c>
      <c r="C591" s="30" t="s">
        <v>134</v>
      </c>
      <c r="D591" s="30" t="s">
        <v>135</v>
      </c>
      <c r="E591" s="30" t="s">
        <v>264</v>
      </c>
      <c r="F591" s="30">
        <v>1</v>
      </c>
      <c r="G591" s="44">
        <v>935</v>
      </c>
      <c r="H591" s="30"/>
      <c r="I591" s="44"/>
      <c r="J591" s="44"/>
      <c r="K591" s="44">
        <f t="shared" si="17"/>
        <v>935</v>
      </c>
      <c r="L591" s="51">
        <v>20220131</v>
      </c>
    </row>
    <row r="592" spans="1:12" ht="15.75" thickBot="1" x14ac:dyDescent="0.3">
      <c r="A592" s="54" t="s">
        <v>1176</v>
      </c>
      <c r="B592" s="36" t="s">
        <v>137</v>
      </c>
      <c r="C592" s="36" t="s">
        <v>134</v>
      </c>
      <c r="D592" s="36" t="s">
        <v>135</v>
      </c>
      <c r="E592" s="36" t="s">
        <v>183</v>
      </c>
      <c r="F592" s="36">
        <v>1</v>
      </c>
      <c r="G592" s="65">
        <v>935</v>
      </c>
      <c r="H592" s="36"/>
      <c r="I592" s="65"/>
      <c r="J592" s="65"/>
      <c r="K592" s="65">
        <f t="shared" si="17"/>
        <v>935</v>
      </c>
      <c r="L592" s="55">
        <v>20220131</v>
      </c>
    </row>
    <row r="596" spans="1:12" ht="15.75" thickBot="1" x14ac:dyDescent="0.3">
      <c r="A596" s="69" t="s">
        <v>0</v>
      </c>
      <c r="B596" s="70" t="s">
        <v>1</v>
      </c>
      <c r="C596" s="70" t="s">
        <v>2</v>
      </c>
      <c r="D596" s="70" t="s">
        <v>3</v>
      </c>
      <c r="E596" s="70" t="s">
        <v>4</v>
      </c>
      <c r="F596" s="70"/>
      <c r="G596" s="71" t="s">
        <v>6</v>
      </c>
      <c r="H596" s="70" t="s">
        <v>7</v>
      </c>
      <c r="I596" s="71" t="s">
        <v>8</v>
      </c>
      <c r="J596" s="71" t="s">
        <v>9</v>
      </c>
      <c r="K596" s="71" t="s">
        <v>10</v>
      </c>
      <c r="L596" s="72" t="s">
        <v>5</v>
      </c>
    </row>
    <row r="597" spans="1:12" x14ac:dyDescent="0.25">
      <c r="A597" s="77" t="s">
        <v>1239</v>
      </c>
      <c r="B597" s="78" t="s">
        <v>11</v>
      </c>
      <c r="C597" s="78" t="s">
        <v>270</v>
      </c>
      <c r="D597" s="78" t="s">
        <v>368</v>
      </c>
      <c r="E597" s="78" t="s">
        <v>369</v>
      </c>
      <c r="F597" s="78">
        <v>1</v>
      </c>
      <c r="G597" s="79">
        <v>1870</v>
      </c>
      <c r="H597" s="78">
        <v>120</v>
      </c>
      <c r="I597" s="79">
        <v>25</v>
      </c>
      <c r="J597" s="79">
        <f>I597*H597</f>
        <v>3000</v>
      </c>
      <c r="K597" s="79">
        <f t="shared" ref="K597:K626" si="18">J597+G597</f>
        <v>4870</v>
      </c>
      <c r="L597" s="80">
        <v>20220201</v>
      </c>
    </row>
    <row r="598" spans="1:12" x14ac:dyDescent="0.25">
      <c r="A598" s="52" t="s">
        <v>1240</v>
      </c>
      <c r="B598" s="32" t="s">
        <v>11</v>
      </c>
      <c r="C598" s="32" t="s">
        <v>163</v>
      </c>
      <c r="D598" s="32" t="s">
        <v>164</v>
      </c>
      <c r="E598" s="32" t="s">
        <v>448</v>
      </c>
      <c r="F598" s="32">
        <v>1</v>
      </c>
      <c r="G598" s="45">
        <v>1870</v>
      </c>
      <c r="H598" s="32">
        <v>120</v>
      </c>
      <c r="I598" s="45">
        <v>25</v>
      </c>
      <c r="J598" s="45">
        <f>I598*H598</f>
        <v>3000</v>
      </c>
      <c r="K598" s="45">
        <f t="shared" si="18"/>
        <v>4870</v>
      </c>
      <c r="L598" s="53">
        <v>20220201</v>
      </c>
    </row>
    <row r="599" spans="1:12" x14ac:dyDescent="0.25">
      <c r="A599" s="50" t="s">
        <v>1233</v>
      </c>
      <c r="B599" s="30" t="s">
        <v>11</v>
      </c>
      <c r="C599" s="30" t="s">
        <v>1234</v>
      </c>
      <c r="D599" s="30" t="s">
        <v>24</v>
      </c>
      <c r="E599" s="30" t="s">
        <v>1235</v>
      </c>
      <c r="F599" s="30">
        <v>1</v>
      </c>
      <c r="G599" s="44">
        <v>1870</v>
      </c>
      <c r="H599" s="30"/>
      <c r="I599" s="44"/>
      <c r="J599" s="44"/>
      <c r="K599" s="44">
        <f t="shared" si="18"/>
        <v>1870</v>
      </c>
      <c r="L599" s="51">
        <v>20220201</v>
      </c>
    </row>
    <row r="600" spans="1:12" x14ac:dyDescent="0.25">
      <c r="A600" s="52" t="s">
        <v>1205</v>
      </c>
      <c r="B600" s="32" t="s">
        <v>11</v>
      </c>
      <c r="C600" s="32" t="s">
        <v>337</v>
      </c>
      <c r="D600" s="32" t="s">
        <v>35</v>
      </c>
      <c r="E600" s="32" t="s">
        <v>122</v>
      </c>
      <c r="F600" s="32">
        <v>1</v>
      </c>
      <c r="G600" s="45">
        <v>1870</v>
      </c>
      <c r="H600" s="32">
        <v>60</v>
      </c>
      <c r="I600" s="45">
        <v>25</v>
      </c>
      <c r="J600" s="45">
        <f>I600*H600</f>
        <v>1500</v>
      </c>
      <c r="K600" s="45">
        <f t="shared" si="18"/>
        <v>3370</v>
      </c>
      <c r="L600" s="53">
        <v>20220203</v>
      </c>
    </row>
    <row r="601" spans="1:12" x14ac:dyDescent="0.25">
      <c r="A601" s="50" t="s">
        <v>1224</v>
      </c>
      <c r="B601" s="30" t="s">
        <v>11</v>
      </c>
      <c r="C601" s="30" t="s">
        <v>337</v>
      </c>
      <c r="D601" s="30" t="s">
        <v>35</v>
      </c>
      <c r="E601" s="30" t="s">
        <v>340</v>
      </c>
      <c r="F601" s="30">
        <v>1</v>
      </c>
      <c r="G601" s="44">
        <v>1870</v>
      </c>
      <c r="H601" s="30"/>
      <c r="I601" s="44"/>
      <c r="J601" s="44"/>
      <c r="K601" s="44">
        <f t="shared" si="18"/>
        <v>1870</v>
      </c>
      <c r="L601" s="51">
        <v>20220203</v>
      </c>
    </row>
    <row r="602" spans="1:12" x14ac:dyDescent="0.25">
      <c r="A602" s="50" t="s">
        <v>1223</v>
      </c>
      <c r="B602" s="30" t="s">
        <v>11</v>
      </c>
      <c r="C602" s="30" t="s">
        <v>337</v>
      </c>
      <c r="D602" s="30" t="s">
        <v>35</v>
      </c>
      <c r="E602" s="30" t="s">
        <v>38</v>
      </c>
      <c r="F602" s="30">
        <v>1</v>
      </c>
      <c r="G602" s="44">
        <v>1870</v>
      </c>
      <c r="H602" s="30"/>
      <c r="I602" s="44"/>
      <c r="J602" s="44"/>
      <c r="K602" s="44">
        <f t="shared" si="18"/>
        <v>1870</v>
      </c>
      <c r="L602" s="51">
        <v>20220203</v>
      </c>
    </row>
    <row r="603" spans="1:12" x14ac:dyDescent="0.25">
      <c r="A603" s="52" t="s">
        <v>1222</v>
      </c>
      <c r="B603" s="32" t="s">
        <v>11</v>
      </c>
      <c r="C603" s="32" t="s">
        <v>337</v>
      </c>
      <c r="D603" s="32" t="s">
        <v>35</v>
      </c>
      <c r="E603" s="32" t="s">
        <v>511</v>
      </c>
      <c r="F603" s="32">
        <v>1</v>
      </c>
      <c r="G603" s="45">
        <v>1870</v>
      </c>
      <c r="H603" s="32">
        <v>64</v>
      </c>
      <c r="I603" s="45">
        <v>25</v>
      </c>
      <c r="J603" s="45">
        <f>I603*H603</f>
        <v>1600</v>
      </c>
      <c r="K603" s="45">
        <f t="shared" si="18"/>
        <v>3470</v>
      </c>
      <c r="L603" s="53">
        <v>20220203</v>
      </c>
    </row>
    <row r="604" spans="1:12" x14ac:dyDescent="0.25">
      <c r="A604" s="50" t="s">
        <v>1221</v>
      </c>
      <c r="B604" s="30" t="s">
        <v>11</v>
      </c>
      <c r="C604" s="30" t="s">
        <v>337</v>
      </c>
      <c r="D604" s="30" t="s">
        <v>35</v>
      </c>
      <c r="E604" s="30" t="s">
        <v>157</v>
      </c>
      <c r="F604" s="30">
        <v>1</v>
      </c>
      <c r="G604" s="44">
        <v>1870</v>
      </c>
      <c r="H604" s="30"/>
      <c r="I604" s="44"/>
      <c r="J604" s="44"/>
      <c r="K604" s="44">
        <f t="shared" si="18"/>
        <v>1870</v>
      </c>
      <c r="L604" s="51">
        <v>20220203</v>
      </c>
    </row>
    <row r="605" spans="1:12" x14ac:dyDescent="0.25">
      <c r="A605" s="50" t="s">
        <v>1208</v>
      </c>
      <c r="B605" s="30" t="s">
        <v>1209</v>
      </c>
      <c r="C605" s="30" t="s">
        <v>251</v>
      </c>
      <c r="D605" s="30" t="s">
        <v>764</v>
      </c>
      <c r="E605" s="30" t="s">
        <v>1210</v>
      </c>
      <c r="F605" s="30">
        <v>1</v>
      </c>
      <c r="G605" s="44">
        <v>1870</v>
      </c>
      <c r="H605" s="30"/>
      <c r="I605" s="44"/>
      <c r="J605" s="44"/>
      <c r="K605" s="44">
        <f t="shared" si="18"/>
        <v>1870</v>
      </c>
      <c r="L605" s="51">
        <v>20220203</v>
      </c>
    </row>
    <row r="606" spans="1:12" x14ac:dyDescent="0.25">
      <c r="A606" s="52" t="s">
        <v>1204</v>
      </c>
      <c r="B606" s="32" t="s">
        <v>11</v>
      </c>
      <c r="C606" s="32" t="s">
        <v>134</v>
      </c>
      <c r="D606" s="32" t="s">
        <v>135</v>
      </c>
      <c r="E606" s="32" t="s">
        <v>1178</v>
      </c>
      <c r="F606" s="32">
        <v>1</v>
      </c>
      <c r="G606" s="45">
        <v>1870</v>
      </c>
      <c r="H606" s="32">
        <v>25</v>
      </c>
      <c r="I606" s="45">
        <v>25</v>
      </c>
      <c r="J606" s="45">
        <f>I606*H606</f>
        <v>625</v>
      </c>
      <c r="K606" s="45">
        <f t="shared" si="18"/>
        <v>2495</v>
      </c>
      <c r="L606" s="53">
        <v>20220207</v>
      </c>
    </row>
    <row r="607" spans="1:12" x14ac:dyDescent="0.25">
      <c r="A607" s="50" t="s">
        <v>1200</v>
      </c>
      <c r="B607" s="30" t="s">
        <v>11</v>
      </c>
      <c r="C607" s="30" t="s">
        <v>134</v>
      </c>
      <c r="D607" s="30" t="s">
        <v>135</v>
      </c>
      <c r="E607" s="30" t="s">
        <v>1178</v>
      </c>
      <c r="F607" s="30">
        <v>1</v>
      </c>
      <c r="G607" s="44">
        <v>1870</v>
      </c>
      <c r="H607" s="30"/>
      <c r="I607" s="44"/>
      <c r="J607" s="44"/>
      <c r="K607" s="44">
        <f t="shared" si="18"/>
        <v>1870</v>
      </c>
      <c r="L607" s="51">
        <v>20220208</v>
      </c>
    </row>
    <row r="608" spans="1:12" x14ac:dyDescent="0.25">
      <c r="A608" s="52" t="s">
        <v>1197</v>
      </c>
      <c r="B608" s="32" t="s">
        <v>11</v>
      </c>
      <c r="C608" s="32" t="s">
        <v>28</v>
      </c>
      <c r="D608" s="32" t="s">
        <v>1160</v>
      </c>
      <c r="E608" s="32" t="s">
        <v>1161</v>
      </c>
      <c r="F608" s="32">
        <v>1</v>
      </c>
      <c r="G608" s="45">
        <v>1870</v>
      </c>
      <c r="H608" s="32">
        <v>50</v>
      </c>
      <c r="I608" s="45">
        <v>25</v>
      </c>
      <c r="J608" s="45">
        <f>I608*H608</f>
        <v>1250</v>
      </c>
      <c r="K608" s="45">
        <f t="shared" si="18"/>
        <v>3120</v>
      </c>
      <c r="L608" s="53">
        <v>20220209</v>
      </c>
    </row>
    <row r="609" spans="1:12" x14ac:dyDescent="0.25">
      <c r="A609" s="50" t="s">
        <v>1206</v>
      </c>
      <c r="B609" s="30" t="s">
        <v>11</v>
      </c>
      <c r="C609" s="30" t="s">
        <v>364</v>
      </c>
      <c r="D609" s="30" t="s">
        <v>24</v>
      </c>
      <c r="E609" s="30" t="s">
        <v>698</v>
      </c>
      <c r="F609" s="30">
        <v>1</v>
      </c>
      <c r="G609" s="44">
        <v>1870</v>
      </c>
      <c r="H609" s="30"/>
      <c r="I609" s="44"/>
      <c r="J609" s="44"/>
      <c r="K609" s="44">
        <f t="shared" si="18"/>
        <v>1870</v>
      </c>
      <c r="L609" s="51">
        <v>20220209</v>
      </c>
    </row>
    <row r="610" spans="1:12" x14ac:dyDescent="0.25">
      <c r="A610" s="52" t="s">
        <v>1207</v>
      </c>
      <c r="B610" s="32" t="s">
        <v>11</v>
      </c>
      <c r="C610" s="32" t="s">
        <v>163</v>
      </c>
      <c r="D610" s="32" t="s">
        <v>164</v>
      </c>
      <c r="E610" s="32" t="s">
        <v>478</v>
      </c>
      <c r="F610" s="32">
        <v>1</v>
      </c>
      <c r="G610" s="45">
        <v>1870</v>
      </c>
      <c r="H610" s="32">
        <v>120</v>
      </c>
      <c r="I610" s="45">
        <v>25</v>
      </c>
      <c r="J610" s="45">
        <f>I610*H610</f>
        <v>3000</v>
      </c>
      <c r="K610" s="45">
        <f t="shared" si="18"/>
        <v>4870</v>
      </c>
      <c r="L610" s="53">
        <v>20220209</v>
      </c>
    </row>
    <row r="611" spans="1:12" x14ac:dyDescent="0.25">
      <c r="A611" s="52" t="s">
        <v>1199</v>
      </c>
      <c r="B611" s="32" t="s">
        <v>11</v>
      </c>
      <c r="C611" s="32" t="s">
        <v>337</v>
      </c>
      <c r="D611" s="32" t="s">
        <v>35</v>
      </c>
      <c r="E611" s="32" t="s">
        <v>157</v>
      </c>
      <c r="F611" s="32">
        <v>1</v>
      </c>
      <c r="G611" s="45">
        <v>1870</v>
      </c>
      <c r="H611" s="32">
        <v>64</v>
      </c>
      <c r="I611" s="45">
        <v>25</v>
      </c>
      <c r="J611" s="45">
        <f>I611*H611</f>
        <v>1600</v>
      </c>
      <c r="K611" s="45">
        <f t="shared" si="18"/>
        <v>3470</v>
      </c>
      <c r="L611" s="53">
        <v>20220210</v>
      </c>
    </row>
    <row r="612" spans="1:12" x14ac:dyDescent="0.25">
      <c r="A612" s="52" t="s">
        <v>1198</v>
      </c>
      <c r="B612" s="32" t="s">
        <v>11</v>
      </c>
      <c r="C612" s="32" t="s">
        <v>337</v>
      </c>
      <c r="D612" s="32" t="s">
        <v>162</v>
      </c>
      <c r="E612" s="32" t="s">
        <v>423</v>
      </c>
      <c r="F612" s="32">
        <v>1</v>
      </c>
      <c r="G612" s="45">
        <v>1870</v>
      </c>
      <c r="H612" s="32">
        <v>60</v>
      </c>
      <c r="I612" s="45">
        <v>25</v>
      </c>
      <c r="J612" s="45">
        <f>I612*H612</f>
        <v>1500</v>
      </c>
      <c r="K612" s="45">
        <f t="shared" si="18"/>
        <v>3370</v>
      </c>
      <c r="L612" s="53">
        <v>20220211</v>
      </c>
    </row>
    <row r="613" spans="1:12" x14ac:dyDescent="0.25">
      <c r="A613" s="50" t="s">
        <v>1194</v>
      </c>
      <c r="B613" s="30" t="s">
        <v>11</v>
      </c>
      <c r="C613" s="30" t="s">
        <v>26</v>
      </c>
      <c r="D613" s="30" t="s">
        <v>544</v>
      </c>
      <c r="E613" s="30" t="s">
        <v>551</v>
      </c>
      <c r="F613" s="30">
        <v>1</v>
      </c>
      <c r="G613" s="44">
        <v>1870</v>
      </c>
      <c r="H613" s="30"/>
      <c r="I613" s="44"/>
      <c r="J613" s="44"/>
      <c r="K613" s="44">
        <f t="shared" si="18"/>
        <v>1870</v>
      </c>
      <c r="L613" s="51">
        <v>20220214</v>
      </c>
    </row>
    <row r="614" spans="1:12" x14ac:dyDescent="0.25">
      <c r="A614" s="50" t="s">
        <v>1195</v>
      </c>
      <c r="B614" s="30" t="s">
        <v>11</v>
      </c>
      <c r="C614" s="30" t="s">
        <v>364</v>
      </c>
      <c r="D614" s="30" t="s">
        <v>24</v>
      </c>
      <c r="E614" s="30" t="s">
        <v>365</v>
      </c>
      <c r="F614" s="30">
        <v>1</v>
      </c>
      <c r="G614" s="44">
        <v>1870</v>
      </c>
      <c r="H614" s="30"/>
      <c r="I614" s="44"/>
      <c r="J614" s="44"/>
      <c r="K614" s="44">
        <f t="shared" si="18"/>
        <v>1870</v>
      </c>
      <c r="L614" s="51">
        <v>20220214</v>
      </c>
    </row>
    <row r="615" spans="1:12" x14ac:dyDescent="0.25">
      <c r="A615" s="50" t="s">
        <v>1236</v>
      </c>
      <c r="B615" s="30" t="s">
        <v>1209</v>
      </c>
      <c r="C615" s="30" t="s">
        <v>1237</v>
      </c>
      <c r="D615" s="30" t="s">
        <v>24</v>
      </c>
      <c r="E615" s="30" t="s">
        <v>1238</v>
      </c>
      <c r="F615" s="30">
        <v>1</v>
      </c>
      <c r="G615" s="44">
        <v>1870</v>
      </c>
      <c r="H615" s="30"/>
      <c r="I615" s="44"/>
      <c r="J615" s="44"/>
      <c r="K615" s="44">
        <f t="shared" si="18"/>
        <v>1870</v>
      </c>
      <c r="L615" s="51">
        <v>20220214</v>
      </c>
    </row>
    <row r="616" spans="1:12" x14ac:dyDescent="0.25">
      <c r="A616" s="52" t="s">
        <v>1196</v>
      </c>
      <c r="B616" s="32" t="s">
        <v>11</v>
      </c>
      <c r="C616" s="32" t="s">
        <v>28</v>
      </c>
      <c r="D616" s="32" t="s">
        <v>1183</v>
      </c>
      <c r="E616" s="32" t="s">
        <v>1184</v>
      </c>
      <c r="F616" s="32">
        <v>1</v>
      </c>
      <c r="G616" s="45">
        <v>1870</v>
      </c>
      <c r="H616" s="32">
        <v>120</v>
      </c>
      <c r="I616" s="45">
        <v>25</v>
      </c>
      <c r="J616" s="45">
        <f>I616*H616</f>
        <v>3000</v>
      </c>
      <c r="K616" s="45">
        <f t="shared" si="18"/>
        <v>4870</v>
      </c>
      <c r="L616" s="53">
        <v>20220216</v>
      </c>
    </row>
    <row r="617" spans="1:12" x14ac:dyDescent="0.25">
      <c r="A617" s="50" t="s">
        <v>1192</v>
      </c>
      <c r="B617" s="30" t="s">
        <v>11</v>
      </c>
      <c r="C617" s="30" t="s">
        <v>505</v>
      </c>
      <c r="D617" s="30" t="s">
        <v>24</v>
      </c>
      <c r="E617" s="30" t="s">
        <v>931</v>
      </c>
      <c r="F617" s="30">
        <v>1</v>
      </c>
      <c r="G617" s="44">
        <v>1870</v>
      </c>
      <c r="H617" s="30"/>
      <c r="I617" s="44"/>
      <c r="J617" s="44"/>
      <c r="K617" s="44">
        <f t="shared" si="18"/>
        <v>1870</v>
      </c>
      <c r="L617" s="51">
        <v>20220216</v>
      </c>
    </row>
    <row r="618" spans="1:12" x14ac:dyDescent="0.25">
      <c r="A618" s="50" t="s">
        <v>1193</v>
      </c>
      <c r="B618" s="30" t="s">
        <v>11</v>
      </c>
      <c r="C618" s="30" t="s">
        <v>94</v>
      </c>
      <c r="D618" s="30" t="s">
        <v>95</v>
      </c>
      <c r="E618" s="30" t="s">
        <v>982</v>
      </c>
      <c r="F618" s="30">
        <v>1</v>
      </c>
      <c r="G618" s="44">
        <v>1870</v>
      </c>
      <c r="H618" s="30"/>
      <c r="I618" s="44"/>
      <c r="J618" s="44"/>
      <c r="K618" s="44">
        <f t="shared" si="18"/>
        <v>1870</v>
      </c>
      <c r="L618" s="51">
        <v>20220216</v>
      </c>
    </row>
    <row r="619" spans="1:12" x14ac:dyDescent="0.25">
      <c r="A619" s="50" t="s">
        <v>1191</v>
      </c>
      <c r="B619" s="30" t="s">
        <v>11</v>
      </c>
      <c r="C619" s="30" t="s">
        <v>607</v>
      </c>
      <c r="D619" s="30" t="s">
        <v>24</v>
      </c>
      <c r="E619" s="30" t="s">
        <v>608</v>
      </c>
      <c r="F619" s="30">
        <v>1</v>
      </c>
      <c r="G619" s="44">
        <v>1870</v>
      </c>
      <c r="H619" s="30"/>
      <c r="I619" s="44"/>
      <c r="J619" s="44"/>
      <c r="K619" s="44">
        <f t="shared" si="18"/>
        <v>1870</v>
      </c>
      <c r="L619" s="51">
        <v>20220217</v>
      </c>
    </row>
    <row r="620" spans="1:12" x14ac:dyDescent="0.25">
      <c r="A620" s="52" t="s">
        <v>1190</v>
      </c>
      <c r="B620" s="32" t="s">
        <v>11</v>
      </c>
      <c r="C620" s="32" t="s">
        <v>134</v>
      </c>
      <c r="D620" s="32" t="s">
        <v>135</v>
      </c>
      <c r="E620" s="32" t="s">
        <v>264</v>
      </c>
      <c r="F620" s="32">
        <v>1</v>
      </c>
      <c r="G620" s="45">
        <v>1870</v>
      </c>
      <c r="H620" s="32">
        <v>25</v>
      </c>
      <c r="I620" s="45">
        <v>25</v>
      </c>
      <c r="J620" s="45">
        <f>I620*H620</f>
        <v>625</v>
      </c>
      <c r="K620" s="45">
        <f t="shared" si="18"/>
        <v>2495</v>
      </c>
      <c r="L620" s="53">
        <v>20220217</v>
      </c>
    </row>
    <row r="621" spans="1:12" x14ac:dyDescent="0.25">
      <c r="A621" s="52" t="s">
        <v>1187</v>
      </c>
      <c r="B621" s="32" t="s">
        <v>11</v>
      </c>
      <c r="C621" s="32" t="s">
        <v>28</v>
      </c>
      <c r="D621" s="32" t="s">
        <v>724</v>
      </c>
      <c r="E621" s="32" t="s">
        <v>725</v>
      </c>
      <c r="F621" s="32">
        <v>1</v>
      </c>
      <c r="G621" s="45">
        <v>1870</v>
      </c>
      <c r="H621" s="32">
        <v>140</v>
      </c>
      <c r="I621" s="45">
        <v>25</v>
      </c>
      <c r="J621" s="45">
        <f>I621*H621</f>
        <v>3500</v>
      </c>
      <c r="K621" s="45">
        <f t="shared" si="18"/>
        <v>5370</v>
      </c>
      <c r="L621" s="53">
        <v>20220218</v>
      </c>
    </row>
    <row r="622" spans="1:12" x14ac:dyDescent="0.25">
      <c r="A622" s="50" t="s">
        <v>1189</v>
      </c>
      <c r="B622" s="30" t="s">
        <v>11</v>
      </c>
      <c r="C622" s="30" t="s">
        <v>364</v>
      </c>
      <c r="D622" s="30" t="s">
        <v>24</v>
      </c>
      <c r="E622" s="30" t="s">
        <v>532</v>
      </c>
      <c r="F622" s="30">
        <v>1</v>
      </c>
      <c r="G622" s="44">
        <v>1870</v>
      </c>
      <c r="H622" s="30"/>
      <c r="I622" s="44"/>
      <c r="J622" s="44"/>
      <c r="K622" s="44">
        <f t="shared" si="18"/>
        <v>1870</v>
      </c>
      <c r="L622" s="51">
        <v>20220218</v>
      </c>
    </row>
    <row r="623" spans="1:12" x14ac:dyDescent="0.25">
      <c r="A623" s="50" t="s">
        <v>1188</v>
      </c>
      <c r="B623" s="30" t="s">
        <v>11</v>
      </c>
      <c r="C623" s="30" t="s">
        <v>364</v>
      </c>
      <c r="D623" s="30" t="s">
        <v>24</v>
      </c>
      <c r="E623" s="30" t="s">
        <v>698</v>
      </c>
      <c r="F623" s="30">
        <v>1</v>
      </c>
      <c r="G623" s="44">
        <v>1870</v>
      </c>
      <c r="H623" s="30"/>
      <c r="I623" s="44"/>
      <c r="J623" s="44"/>
      <c r="K623" s="44">
        <f t="shared" si="18"/>
        <v>1870</v>
      </c>
      <c r="L623" s="51">
        <v>20220218</v>
      </c>
    </row>
    <row r="624" spans="1:12" x14ac:dyDescent="0.25">
      <c r="A624" s="50" t="s">
        <v>1186</v>
      </c>
      <c r="B624" s="30" t="s">
        <v>11</v>
      </c>
      <c r="C624" s="30" t="s">
        <v>29</v>
      </c>
      <c r="D624" s="30" t="s">
        <v>24</v>
      </c>
      <c r="E624" s="30" t="s">
        <v>208</v>
      </c>
      <c r="F624" s="30">
        <v>1</v>
      </c>
      <c r="G624" s="44">
        <v>1870</v>
      </c>
      <c r="H624" s="30"/>
      <c r="I624" s="44"/>
      <c r="J624" s="44"/>
      <c r="K624" s="44">
        <f t="shared" si="18"/>
        <v>1870</v>
      </c>
      <c r="L624" s="51">
        <v>20220218</v>
      </c>
    </row>
    <row r="625" spans="1:12" x14ac:dyDescent="0.25">
      <c r="A625" s="52" t="s">
        <v>1182</v>
      </c>
      <c r="B625" s="32" t="s">
        <v>11</v>
      </c>
      <c r="C625" s="32" t="s">
        <v>28</v>
      </c>
      <c r="D625" s="32" t="s">
        <v>1183</v>
      </c>
      <c r="E625" s="32" t="s">
        <v>1184</v>
      </c>
      <c r="F625" s="32">
        <v>1</v>
      </c>
      <c r="G625" s="45">
        <v>1870</v>
      </c>
      <c r="H625" s="32">
        <v>120</v>
      </c>
      <c r="I625" s="45">
        <v>25</v>
      </c>
      <c r="J625" s="45">
        <f>I625*H625</f>
        <v>3000</v>
      </c>
      <c r="K625" s="45">
        <f t="shared" si="18"/>
        <v>4870</v>
      </c>
      <c r="L625" s="53">
        <v>20220225</v>
      </c>
    </row>
    <row r="626" spans="1:12" ht="15.75" thickBot="1" x14ac:dyDescent="0.3">
      <c r="A626" s="54" t="s">
        <v>1185</v>
      </c>
      <c r="B626" s="36" t="s">
        <v>11</v>
      </c>
      <c r="C626" s="36" t="s">
        <v>29</v>
      </c>
      <c r="D626" s="36" t="s">
        <v>389</v>
      </c>
      <c r="E626" s="36" t="s">
        <v>390</v>
      </c>
      <c r="F626" s="36">
        <v>1</v>
      </c>
      <c r="G626" s="65">
        <v>1870</v>
      </c>
      <c r="H626" s="36"/>
      <c r="I626" s="65"/>
      <c r="J626" s="65"/>
      <c r="K626" s="65">
        <f t="shared" si="18"/>
        <v>1870</v>
      </c>
      <c r="L626" s="55">
        <v>20220225</v>
      </c>
    </row>
    <row r="627" spans="1:12" x14ac:dyDescent="0.25">
      <c r="A627" s="73"/>
      <c r="B627" s="74"/>
      <c r="C627" s="74"/>
      <c r="D627" s="74"/>
      <c r="E627" s="74"/>
      <c r="F627" s="74"/>
      <c r="G627" s="75"/>
      <c r="H627" s="74"/>
      <c r="I627" s="75"/>
      <c r="J627" s="75"/>
      <c r="K627" s="75"/>
      <c r="L627" s="76"/>
    </row>
    <row r="628" spans="1:12" ht="15.75" thickBot="1" x14ac:dyDescent="0.3">
      <c r="A628" s="69"/>
      <c r="B628" s="70"/>
      <c r="C628" s="70"/>
      <c r="D628" s="70"/>
      <c r="E628" s="70"/>
      <c r="F628" s="70"/>
      <c r="G628" s="71"/>
      <c r="H628" s="70"/>
      <c r="I628" s="71"/>
      <c r="J628" s="71"/>
      <c r="K628" s="71"/>
      <c r="L628" s="72"/>
    </row>
    <row r="629" spans="1:12" x14ac:dyDescent="0.25">
      <c r="A629" s="48" t="s">
        <v>1217</v>
      </c>
      <c r="B629" s="34" t="s">
        <v>137</v>
      </c>
      <c r="C629" s="34" t="s">
        <v>270</v>
      </c>
      <c r="D629" s="34" t="s">
        <v>368</v>
      </c>
      <c r="E629" s="34" t="s">
        <v>1218</v>
      </c>
      <c r="F629" s="34">
        <v>1</v>
      </c>
      <c r="G629" s="64">
        <v>935</v>
      </c>
      <c r="H629" s="34"/>
      <c r="I629" s="64"/>
      <c r="J629" s="64"/>
      <c r="K629" s="64">
        <f t="shared" ref="K629:K641" si="19">J629+G629</f>
        <v>935</v>
      </c>
      <c r="L629" s="49">
        <v>20220201</v>
      </c>
    </row>
    <row r="630" spans="1:12" x14ac:dyDescent="0.25">
      <c r="A630" s="52" t="s">
        <v>1219</v>
      </c>
      <c r="B630" s="32" t="s">
        <v>137</v>
      </c>
      <c r="C630" s="32" t="s">
        <v>270</v>
      </c>
      <c r="D630" s="32" t="s">
        <v>380</v>
      </c>
      <c r="E630" s="32" t="s">
        <v>1220</v>
      </c>
      <c r="F630" s="32">
        <v>1</v>
      </c>
      <c r="G630" s="45">
        <v>935</v>
      </c>
      <c r="H630" s="32">
        <v>120</v>
      </c>
      <c r="I630" s="45">
        <v>25</v>
      </c>
      <c r="J630" s="45">
        <f>I630*H630</f>
        <v>3000</v>
      </c>
      <c r="K630" s="45">
        <f t="shared" si="19"/>
        <v>3935</v>
      </c>
      <c r="L630" s="53">
        <v>20220201</v>
      </c>
    </row>
    <row r="631" spans="1:12" x14ac:dyDescent="0.25">
      <c r="A631" s="50" t="s">
        <v>1216</v>
      </c>
      <c r="B631" s="30" t="s">
        <v>137</v>
      </c>
      <c r="C631" s="30" t="s">
        <v>270</v>
      </c>
      <c r="D631" s="30" t="s">
        <v>494</v>
      </c>
      <c r="E631" s="30" t="s">
        <v>596</v>
      </c>
      <c r="F631" s="30">
        <v>1</v>
      </c>
      <c r="G631" s="44">
        <v>935</v>
      </c>
      <c r="H631" s="30"/>
      <c r="I631" s="44"/>
      <c r="J631" s="44"/>
      <c r="K631" s="44">
        <f t="shared" si="19"/>
        <v>935</v>
      </c>
      <c r="L631" s="51">
        <v>20220201</v>
      </c>
    </row>
    <row r="632" spans="1:12" x14ac:dyDescent="0.25">
      <c r="A632" s="50" t="s">
        <v>1214</v>
      </c>
      <c r="B632" s="30" t="s">
        <v>137</v>
      </c>
      <c r="C632" s="30" t="s">
        <v>270</v>
      </c>
      <c r="D632" s="30" t="s">
        <v>494</v>
      </c>
      <c r="E632" s="30" t="s">
        <v>1215</v>
      </c>
      <c r="F632" s="30">
        <v>1</v>
      </c>
      <c r="G632" s="44">
        <v>935</v>
      </c>
      <c r="H632" s="30"/>
      <c r="I632" s="44"/>
      <c r="J632" s="44"/>
      <c r="K632" s="44">
        <f t="shared" si="19"/>
        <v>935</v>
      </c>
      <c r="L632" s="51">
        <v>20220201</v>
      </c>
    </row>
    <row r="633" spans="1:12" x14ac:dyDescent="0.25">
      <c r="A633" s="50" t="s">
        <v>1213</v>
      </c>
      <c r="B633" s="30" t="s">
        <v>137</v>
      </c>
      <c r="C633" s="30" t="s">
        <v>270</v>
      </c>
      <c r="D633" s="30" t="s">
        <v>494</v>
      </c>
      <c r="E633" s="30" t="s">
        <v>495</v>
      </c>
      <c r="F633" s="30">
        <v>1</v>
      </c>
      <c r="G633" s="44">
        <v>935</v>
      </c>
      <c r="H633" s="30"/>
      <c r="I633" s="44"/>
      <c r="J633" s="44"/>
      <c r="K633" s="44">
        <f t="shared" si="19"/>
        <v>935</v>
      </c>
      <c r="L633" s="51">
        <v>20220201</v>
      </c>
    </row>
    <row r="634" spans="1:12" x14ac:dyDescent="0.25">
      <c r="A634" s="50" t="s">
        <v>1211</v>
      </c>
      <c r="B634" s="30" t="s">
        <v>137</v>
      </c>
      <c r="C634" s="30" t="s">
        <v>270</v>
      </c>
      <c r="D634" s="30" t="s">
        <v>494</v>
      </c>
      <c r="E634" s="30" t="s">
        <v>1212</v>
      </c>
      <c r="F634" s="30">
        <v>1</v>
      </c>
      <c r="G634" s="44">
        <v>935</v>
      </c>
      <c r="H634" s="30"/>
      <c r="I634" s="44"/>
      <c r="J634" s="44"/>
      <c r="K634" s="44">
        <f t="shared" si="19"/>
        <v>935</v>
      </c>
      <c r="L634" s="51">
        <v>20220201</v>
      </c>
    </row>
    <row r="635" spans="1:12" x14ac:dyDescent="0.25">
      <c r="A635" s="50" t="s">
        <v>1227</v>
      </c>
      <c r="B635" s="30" t="s">
        <v>137</v>
      </c>
      <c r="C635" s="30" t="s">
        <v>251</v>
      </c>
      <c r="D635" s="30" t="s">
        <v>252</v>
      </c>
      <c r="E635" s="30" t="s">
        <v>253</v>
      </c>
      <c r="F635" s="30">
        <v>1</v>
      </c>
      <c r="G635" s="44">
        <v>935</v>
      </c>
      <c r="H635" s="30"/>
      <c r="I635" s="44"/>
      <c r="J635" s="44"/>
      <c r="K635" s="44">
        <f t="shared" si="19"/>
        <v>935</v>
      </c>
      <c r="L635" s="51">
        <v>20220207</v>
      </c>
    </row>
    <row r="636" spans="1:12" x14ac:dyDescent="0.25">
      <c r="A636" s="50" t="s">
        <v>1225</v>
      </c>
      <c r="B636" s="30" t="s">
        <v>137</v>
      </c>
      <c r="C636" s="30" t="s">
        <v>251</v>
      </c>
      <c r="D636" s="30" t="s">
        <v>744</v>
      </c>
      <c r="E636" s="30" t="s">
        <v>745</v>
      </c>
      <c r="F636" s="30">
        <v>1</v>
      </c>
      <c r="G636" s="44">
        <v>935</v>
      </c>
      <c r="H636" s="30"/>
      <c r="I636" s="44"/>
      <c r="J636" s="44"/>
      <c r="K636" s="44">
        <f t="shared" si="19"/>
        <v>935</v>
      </c>
      <c r="L636" s="51">
        <v>20220207</v>
      </c>
    </row>
    <row r="637" spans="1:12" x14ac:dyDescent="0.25">
      <c r="A637" s="50" t="s">
        <v>1230</v>
      </c>
      <c r="B637" s="30" t="s">
        <v>137</v>
      </c>
      <c r="C637" s="30" t="s">
        <v>251</v>
      </c>
      <c r="D637" s="30" t="s">
        <v>1231</v>
      </c>
      <c r="E637" s="30" t="s">
        <v>1232</v>
      </c>
      <c r="F637" s="30">
        <v>1</v>
      </c>
      <c r="G637" s="44">
        <v>935</v>
      </c>
      <c r="H637" s="30"/>
      <c r="I637" s="44"/>
      <c r="J637" s="44"/>
      <c r="K637" s="44">
        <f t="shared" si="19"/>
        <v>935</v>
      </c>
      <c r="L637" s="51">
        <v>20220207</v>
      </c>
    </row>
    <row r="638" spans="1:12" x14ac:dyDescent="0.25">
      <c r="A638" s="50" t="s">
        <v>1201</v>
      </c>
      <c r="B638" s="30" t="s">
        <v>137</v>
      </c>
      <c r="C638" s="30" t="s">
        <v>251</v>
      </c>
      <c r="D638" s="30" t="s">
        <v>1202</v>
      </c>
      <c r="E638" s="30" t="s">
        <v>1203</v>
      </c>
      <c r="F638" s="30">
        <v>1</v>
      </c>
      <c r="G638" s="44">
        <v>935</v>
      </c>
      <c r="H638" s="30"/>
      <c r="I638" s="44"/>
      <c r="J638" s="44"/>
      <c r="K638" s="44">
        <f t="shared" si="19"/>
        <v>935</v>
      </c>
      <c r="L638" s="51">
        <v>20220207</v>
      </c>
    </row>
    <row r="639" spans="1:12" x14ac:dyDescent="0.25">
      <c r="A639" s="50" t="s">
        <v>1226</v>
      </c>
      <c r="B639" s="30" t="s">
        <v>137</v>
      </c>
      <c r="C639" s="30" t="s">
        <v>251</v>
      </c>
      <c r="D639" s="30" t="s">
        <v>375</v>
      </c>
      <c r="E639" s="30" t="s">
        <v>376</v>
      </c>
      <c r="F639" s="30">
        <v>1</v>
      </c>
      <c r="G639" s="44">
        <v>935</v>
      </c>
      <c r="H639" s="30"/>
      <c r="I639" s="44"/>
      <c r="J639" s="44"/>
      <c r="K639" s="44">
        <f t="shared" si="19"/>
        <v>935</v>
      </c>
      <c r="L639" s="51">
        <v>20220207</v>
      </c>
    </row>
    <row r="640" spans="1:12" x14ac:dyDescent="0.25">
      <c r="A640" s="50" t="s">
        <v>1228</v>
      </c>
      <c r="B640" s="30" t="s">
        <v>137</v>
      </c>
      <c r="C640" s="30" t="s">
        <v>251</v>
      </c>
      <c r="D640" s="30" t="s">
        <v>740</v>
      </c>
      <c r="E640" s="30" t="s">
        <v>741</v>
      </c>
      <c r="F640" s="30">
        <v>1</v>
      </c>
      <c r="G640" s="44">
        <v>935</v>
      </c>
      <c r="H640" s="30"/>
      <c r="I640" s="44"/>
      <c r="J640" s="44"/>
      <c r="K640" s="44">
        <f t="shared" si="19"/>
        <v>935</v>
      </c>
      <c r="L640" s="51">
        <v>20220207</v>
      </c>
    </row>
    <row r="641" spans="1:12" ht="15.75" thickBot="1" x14ac:dyDescent="0.3">
      <c r="A641" s="54" t="s">
        <v>1229</v>
      </c>
      <c r="B641" s="36" t="s">
        <v>137</v>
      </c>
      <c r="C641" s="36" t="s">
        <v>251</v>
      </c>
      <c r="D641" s="36" t="s">
        <v>767</v>
      </c>
      <c r="E641" s="36" t="s">
        <v>768</v>
      </c>
      <c r="F641" s="36">
        <v>1</v>
      </c>
      <c r="G641" s="65">
        <v>935</v>
      </c>
      <c r="H641" s="36"/>
      <c r="I641" s="65"/>
      <c r="J641" s="65"/>
      <c r="K641" s="65">
        <f t="shared" si="19"/>
        <v>935</v>
      </c>
      <c r="L641" s="55">
        <v>20220207</v>
      </c>
    </row>
    <row r="645" spans="1:12" ht="15.75" thickBot="1" x14ac:dyDescent="0.3">
      <c r="A645" s="69" t="s">
        <v>0</v>
      </c>
      <c r="B645" s="70" t="s">
        <v>1</v>
      </c>
      <c r="C645" s="70" t="s">
        <v>2</v>
      </c>
      <c r="D645" s="70" t="s">
        <v>3</v>
      </c>
      <c r="E645" s="70" t="s">
        <v>4</v>
      </c>
      <c r="F645" s="70"/>
      <c r="G645" s="71" t="s">
        <v>6</v>
      </c>
      <c r="H645" s="70" t="s">
        <v>7</v>
      </c>
      <c r="I645" s="71" t="s">
        <v>8</v>
      </c>
      <c r="J645" s="71" t="s">
        <v>9</v>
      </c>
      <c r="K645" s="71" t="s">
        <v>10</v>
      </c>
      <c r="L645" s="72" t="s">
        <v>5</v>
      </c>
    </row>
    <row r="646" spans="1:12" x14ac:dyDescent="0.25">
      <c r="A646" s="48" t="s">
        <v>1282</v>
      </c>
      <c r="B646" s="34" t="s">
        <v>11</v>
      </c>
      <c r="C646" s="34" t="s">
        <v>364</v>
      </c>
      <c r="D646" s="34" t="s">
        <v>24</v>
      </c>
      <c r="E646" s="34" t="s">
        <v>532</v>
      </c>
      <c r="F646" s="34">
        <v>1</v>
      </c>
      <c r="G646" s="64">
        <v>1870</v>
      </c>
      <c r="H646" s="34"/>
      <c r="I646" s="64"/>
      <c r="J646" s="64"/>
      <c r="K646" s="64">
        <f t="shared" ref="K646:K682" si="20">J646+G646</f>
        <v>1870</v>
      </c>
      <c r="L646" s="49">
        <v>20220303</v>
      </c>
    </row>
    <row r="647" spans="1:12" x14ac:dyDescent="0.25">
      <c r="A647" s="50" t="s">
        <v>1278</v>
      </c>
      <c r="B647" s="30" t="s">
        <v>11</v>
      </c>
      <c r="C647" s="30" t="s">
        <v>505</v>
      </c>
      <c r="D647" s="30" t="s">
        <v>24</v>
      </c>
      <c r="E647" s="30" t="s">
        <v>927</v>
      </c>
      <c r="F647" s="30">
        <v>1</v>
      </c>
      <c r="G647" s="44">
        <v>1870</v>
      </c>
      <c r="H647" s="30"/>
      <c r="I647" s="44"/>
      <c r="J647" s="44"/>
      <c r="K647" s="44">
        <f t="shared" si="20"/>
        <v>1870</v>
      </c>
      <c r="L647" s="51">
        <v>20220304</v>
      </c>
    </row>
    <row r="648" spans="1:12" x14ac:dyDescent="0.25">
      <c r="A648" s="50" t="s">
        <v>1284</v>
      </c>
      <c r="B648" s="30" t="s">
        <v>11</v>
      </c>
      <c r="C648" s="30" t="s">
        <v>505</v>
      </c>
      <c r="D648" s="30" t="s">
        <v>24</v>
      </c>
      <c r="E648" s="30" t="s">
        <v>506</v>
      </c>
      <c r="F648" s="30">
        <v>1</v>
      </c>
      <c r="G648" s="44">
        <v>1870</v>
      </c>
      <c r="H648" s="30"/>
      <c r="I648" s="44"/>
      <c r="J648" s="44"/>
      <c r="K648" s="44">
        <f t="shared" si="20"/>
        <v>1870</v>
      </c>
      <c r="L648" s="51">
        <v>20220304</v>
      </c>
    </row>
    <row r="649" spans="1:12" x14ac:dyDescent="0.25">
      <c r="A649" s="50" t="s">
        <v>1280</v>
      </c>
      <c r="B649" s="30" t="s">
        <v>11</v>
      </c>
      <c r="C649" s="30" t="s">
        <v>53</v>
      </c>
      <c r="D649" s="30" t="s">
        <v>24</v>
      </c>
      <c r="E649" s="30" t="s">
        <v>1281</v>
      </c>
      <c r="F649" s="30">
        <v>1</v>
      </c>
      <c r="G649" s="44">
        <v>1870</v>
      </c>
      <c r="H649" s="30"/>
      <c r="I649" s="44"/>
      <c r="J649" s="44"/>
      <c r="K649" s="44">
        <f t="shared" si="20"/>
        <v>1870</v>
      </c>
      <c r="L649" s="51">
        <v>20220304</v>
      </c>
    </row>
    <row r="650" spans="1:12" x14ac:dyDescent="0.25">
      <c r="A650" s="50" t="s">
        <v>1279</v>
      </c>
      <c r="B650" s="30" t="s">
        <v>11</v>
      </c>
      <c r="C650" s="30" t="s">
        <v>607</v>
      </c>
      <c r="D650" s="30" t="s">
        <v>24</v>
      </c>
      <c r="E650" s="30" t="s">
        <v>608</v>
      </c>
      <c r="F650" s="30">
        <v>1</v>
      </c>
      <c r="G650" s="44">
        <v>1870</v>
      </c>
      <c r="H650" s="30"/>
      <c r="I650" s="44"/>
      <c r="J650" s="44"/>
      <c r="K650" s="44">
        <f t="shared" si="20"/>
        <v>1870</v>
      </c>
      <c r="L650" s="51">
        <v>20220307</v>
      </c>
    </row>
    <row r="651" spans="1:12" x14ac:dyDescent="0.25">
      <c r="A651" s="50" t="s">
        <v>1277</v>
      </c>
      <c r="B651" s="30" t="s">
        <v>11</v>
      </c>
      <c r="C651" s="30" t="s">
        <v>172</v>
      </c>
      <c r="D651" s="30" t="s">
        <v>703</v>
      </c>
      <c r="E651" s="30" t="s">
        <v>704</v>
      </c>
      <c r="F651" s="30">
        <v>1</v>
      </c>
      <c r="G651" s="44">
        <v>1870</v>
      </c>
      <c r="H651" s="30"/>
      <c r="I651" s="44"/>
      <c r="J651" s="44"/>
      <c r="K651" s="44">
        <f t="shared" si="20"/>
        <v>1870</v>
      </c>
      <c r="L651" s="51">
        <v>20220309</v>
      </c>
    </row>
    <row r="652" spans="1:12" x14ac:dyDescent="0.25">
      <c r="A652" s="52" t="s">
        <v>1270</v>
      </c>
      <c r="B652" s="32" t="s">
        <v>11</v>
      </c>
      <c r="C652" s="32" t="s">
        <v>28</v>
      </c>
      <c r="D652" s="32" t="s">
        <v>49</v>
      </c>
      <c r="E652" s="32" t="s">
        <v>50</v>
      </c>
      <c r="F652" s="32">
        <v>1</v>
      </c>
      <c r="G652" s="45">
        <v>1870</v>
      </c>
      <c r="H652" s="32">
        <v>25</v>
      </c>
      <c r="I652" s="45">
        <v>25</v>
      </c>
      <c r="J652" s="45">
        <f>I652*H652</f>
        <v>625</v>
      </c>
      <c r="K652" s="45">
        <f t="shared" si="20"/>
        <v>2495</v>
      </c>
      <c r="L652" s="53">
        <v>20220310</v>
      </c>
    </row>
    <row r="653" spans="1:12" x14ac:dyDescent="0.25">
      <c r="A653" s="50" t="s">
        <v>1265</v>
      </c>
      <c r="B653" s="30" t="s">
        <v>11</v>
      </c>
      <c r="C653" s="30" t="s">
        <v>251</v>
      </c>
      <c r="D653" s="30" t="s">
        <v>375</v>
      </c>
      <c r="E653" s="30" t="s">
        <v>376</v>
      </c>
      <c r="F653" s="30">
        <v>1</v>
      </c>
      <c r="G653" s="44">
        <v>1870</v>
      </c>
      <c r="H653" s="30"/>
      <c r="I653" s="44"/>
      <c r="J653" s="44"/>
      <c r="K653" s="44">
        <f t="shared" si="20"/>
        <v>1870</v>
      </c>
      <c r="L653" s="51">
        <v>20220311</v>
      </c>
    </row>
    <row r="654" spans="1:12" x14ac:dyDescent="0.25">
      <c r="A654" s="52" t="s">
        <v>1275</v>
      </c>
      <c r="B654" s="32" t="s">
        <v>11</v>
      </c>
      <c r="C654" s="32" t="s">
        <v>134</v>
      </c>
      <c r="D654" s="32" t="s">
        <v>135</v>
      </c>
      <c r="E654" s="32" t="s">
        <v>136</v>
      </c>
      <c r="F654" s="32">
        <v>1</v>
      </c>
      <c r="G654" s="45">
        <v>1870</v>
      </c>
      <c r="H654" s="32">
        <v>25</v>
      </c>
      <c r="I654" s="45">
        <v>25</v>
      </c>
      <c r="J654" s="45">
        <f>I654*H654</f>
        <v>625</v>
      </c>
      <c r="K654" s="45">
        <f t="shared" si="20"/>
        <v>2495</v>
      </c>
      <c r="L654" s="53">
        <v>20220311</v>
      </c>
    </row>
    <row r="655" spans="1:12" x14ac:dyDescent="0.25">
      <c r="A655" s="52" t="s">
        <v>1266</v>
      </c>
      <c r="B655" s="32" t="s">
        <v>11</v>
      </c>
      <c r="C655" s="32" t="s">
        <v>163</v>
      </c>
      <c r="D655" s="32" t="s">
        <v>164</v>
      </c>
      <c r="E655" s="32" t="s">
        <v>185</v>
      </c>
      <c r="F655" s="32">
        <v>1</v>
      </c>
      <c r="G655" s="45">
        <v>1870</v>
      </c>
      <c r="H655" s="32">
        <v>120</v>
      </c>
      <c r="I655" s="45">
        <v>25</v>
      </c>
      <c r="J655" s="45">
        <f>I655*H655</f>
        <v>3000</v>
      </c>
      <c r="K655" s="45">
        <f t="shared" si="20"/>
        <v>4870</v>
      </c>
      <c r="L655" s="53">
        <v>20220314</v>
      </c>
    </row>
    <row r="656" spans="1:12" x14ac:dyDescent="0.25">
      <c r="A656" s="50" t="s">
        <v>1276</v>
      </c>
      <c r="B656" s="30" t="s">
        <v>11</v>
      </c>
      <c r="C656" s="30" t="s">
        <v>337</v>
      </c>
      <c r="D656" s="30" t="s">
        <v>35</v>
      </c>
      <c r="E656" s="30" t="s">
        <v>340</v>
      </c>
      <c r="F656" s="30">
        <v>1</v>
      </c>
      <c r="G656" s="44">
        <v>1870</v>
      </c>
      <c r="H656" s="30"/>
      <c r="I656" s="44"/>
      <c r="J656" s="44"/>
      <c r="K656" s="44">
        <f t="shared" si="20"/>
        <v>1870</v>
      </c>
      <c r="L656" s="51">
        <v>20220315</v>
      </c>
    </row>
    <row r="657" spans="1:12" x14ac:dyDescent="0.25">
      <c r="A657" s="50" t="s">
        <v>1271</v>
      </c>
      <c r="B657" s="30" t="s">
        <v>1209</v>
      </c>
      <c r="C657" s="30" t="s">
        <v>666</v>
      </c>
      <c r="D657" s="30" t="s">
        <v>1272</v>
      </c>
      <c r="E657" s="30" t="s">
        <v>677</v>
      </c>
      <c r="F657" s="30">
        <v>1</v>
      </c>
      <c r="G657" s="44">
        <v>1870</v>
      </c>
      <c r="H657" s="30"/>
      <c r="I657" s="44"/>
      <c r="J657" s="44"/>
      <c r="K657" s="44">
        <f t="shared" si="20"/>
        <v>1870</v>
      </c>
      <c r="L657" s="51">
        <v>20220315</v>
      </c>
    </row>
    <row r="658" spans="1:12" x14ac:dyDescent="0.25">
      <c r="A658" s="50" t="s">
        <v>1262</v>
      </c>
      <c r="B658" s="30" t="s">
        <v>11</v>
      </c>
      <c r="C658" s="30" t="s">
        <v>251</v>
      </c>
      <c r="D658" s="30" t="s">
        <v>252</v>
      </c>
      <c r="E658" s="30" t="s">
        <v>253</v>
      </c>
      <c r="F658" s="30">
        <v>1</v>
      </c>
      <c r="G658" s="44">
        <v>1870</v>
      </c>
      <c r="H658" s="30"/>
      <c r="I658" s="44"/>
      <c r="J658" s="44"/>
      <c r="K658" s="44">
        <f t="shared" si="20"/>
        <v>1870</v>
      </c>
      <c r="L658" s="51">
        <v>20220316</v>
      </c>
    </row>
    <row r="659" spans="1:12" x14ac:dyDescent="0.25">
      <c r="A659" s="50" t="s">
        <v>1269</v>
      </c>
      <c r="B659" s="30" t="s">
        <v>11</v>
      </c>
      <c r="C659" s="30" t="s">
        <v>607</v>
      </c>
      <c r="D659" s="30" t="s">
        <v>24</v>
      </c>
      <c r="E659" s="30" t="s">
        <v>608</v>
      </c>
      <c r="F659" s="30">
        <v>1</v>
      </c>
      <c r="G659" s="44">
        <v>1870</v>
      </c>
      <c r="H659" s="30"/>
      <c r="I659" s="44"/>
      <c r="J659" s="44"/>
      <c r="K659" s="44">
        <f t="shared" si="20"/>
        <v>1870</v>
      </c>
      <c r="L659" s="51">
        <v>20220316</v>
      </c>
    </row>
    <row r="660" spans="1:12" x14ac:dyDescent="0.25">
      <c r="A660" s="50" t="s">
        <v>1274</v>
      </c>
      <c r="B660" s="30" t="s">
        <v>892</v>
      </c>
      <c r="C660" s="30" t="s">
        <v>270</v>
      </c>
      <c r="D660" s="30" t="s">
        <v>368</v>
      </c>
      <c r="E660" s="30" t="s">
        <v>1218</v>
      </c>
      <c r="F660" s="30">
        <v>1</v>
      </c>
      <c r="G660" s="44">
        <v>1870</v>
      </c>
      <c r="H660" s="30"/>
      <c r="I660" s="44"/>
      <c r="J660" s="44"/>
      <c r="K660" s="44">
        <f t="shared" si="20"/>
        <v>1870</v>
      </c>
      <c r="L660" s="51">
        <v>20220317</v>
      </c>
    </row>
    <row r="661" spans="1:12" x14ac:dyDescent="0.25">
      <c r="A661" s="50" t="s">
        <v>1273</v>
      </c>
      <c r="B661" s="30" t="s">
        <v>892</v>
      </c>
      <c r="C661" s="30" t="s">
        <v>270</v>
      </c>
      <c r="D661" s="30" t="s">
        <v>380</v>
      </c>
      <c r="E661" s="30" t="s">
        <v>1220</v>
      </c>
      <c r="F661" s="30">
        <v>1</v>
      </c>
      <c r="G661" s="44">
        <v>1870</v>
      </c>
      <c r="H661" s="30"/>
      <c r="I661" s="44"/>
      <c r="J661" s="44"/>
      <c r="K661" s="44">
        <f t="shared" si="20"/>
        <v>1870</v>
      </c>
      <c r="L661" s="51">
        <v>20220317</v>
      </c>
    </row>
    <row r="662" spans="1:12" x14ac:dyDescent="0.25">
      <c r="A662" s="50" t="s">
        <v>1260</v>
      </c>
      <c r="B662" s="30" t="s">
        <v>11</v>
      </c>
      <c r="C662" s="30" t="s">
        <v>364</v>
      </c>
      <c r="D662" s="30" t="s">
        <v>24</v>
      </c>
      <c r="E662" s="30" t="s">
        <v>532</v>
      </c>
      <c r="F662" s="30">
        <v>1</v>
      </c>
      <c r="G662" s="44">
        <v>1870</v>
      </c>
      <c r="H662" s="30"/>
      <c r="I662" s="44"/>
      <c r="J662" s="44"/>
      <c r="K662" s="44">
        <f t="shared" si="20"/>
        <v>1870</v>
      </c>
      <c r="L662" s="51">
        <v>20220317</v>
      </c>
    </row>
    <row r="663" spans="1:12" x14ac:dyDescent="0.25">
      <c r="A663" s="52" t="s">
        <v>1259</v>
      </c>
      <c r="B663" s="32" t="s">
        <v>11</v>
      </c>
      <c r="C663" s="32" t="s">
        <v>163</v>
      </c>
      <c r="D663" s="32" t="s">
        <v>164</v>
      </c>
      <c r="E663" s="32" t="s">
        <v>166</v>
      </c>
      <c r="F663" s="32">
        <v>1</v>
      </c>
      <c r="G663" s="45">
        <v>1870</v>
      </c>
      <c r="H663" s="32">
        <v>120</v>
      </c>
      <c r="I663" s="45">
        <v>25</v>
      </c>
      <c r="J663" s="45">
        <f>I663*H663</f>
        <v>3000</v>
      </c>
      <c r="K663" s="45">
        <f t="shared" si="20"/>
        <v>4870</v>
      </c>
      <c r="L663" s="53">
        <v>20220317</v>
      </c>
    </row>
    <row r="664" spans="1:12" x14ac:dyDescent="0.25">
      <c r="A664" s="50" t="s">
        <v>1261</v>
      </c>
      <c r="B664" s="30" t="s">
        <v>11</v>
      </c>
      <c r="C664" s="30" t="s">
        <v>163</v>
      </c>
      <c r="D664" s="30" t="s">
        <v>164</v>
      </c>
      <c r="E664" s="30" t="s">
        <v>478</v>
      </c>
      <c r="F664" s="30">
        <v>1</v>
      </c>
      <c r="G664" s="44">
        <v>1870</v>
      </c>
      <c r="H664" s="30"/>
      <c r="I664" s="44"/>
      <c r="J664" s="44"/>
      <c r="K664" s="44">
        <f t="shared" si="20"/>
        <v>1870</v>
      </c>
      <c r="L664" s="51">
        <v>20220317</v>
      </c>
    </row>
    <row r="665" spans="1:12" x14ac:dyDescent="0.25">
      <c r="A665" s="52" t="s">
        <v>1258</v>
      </c>
      <c r="B665" s="32" t="s">
        <v>11</v>
      </c>
      <c r="C665" s="32" t="s">
        <v>337</v>
      </c>
      <c r="D665" s="32" t="s">
        <v>35</v>
      </c>
      <c r="E665" s="32" t="s">
        <v>686</v>
      </c>
      <c r="F665" s="32">
        <v>1</v>
      </c>
      <c r="G665" s="45">
        <v>1870</v>
      </c>
      <c r="H665" s="32">
        <v>64</v>
      </c>
      <c r="I665" s="45">
        <v>25</v>
      </c>
      <c r="J665" s="45">
        <f>I665*H665</f>
        <v>1600</v>
      </c>
      <c r="K665" s="45">
        <f t="shared" si="20"/>
        <v>3470</v>
      </c>
      <c r="L665" s="53">
        <v>20220318</v>
      </c>
    </row>
    <row r="666" spans="1:12" x14ac:dyDescent="0.25">
      <c r="A666" s="50" t="s">
        <v>1252</v>
      </c>
      <c r="B666" s="30" t="s">
        <v>11</v>
      </c>
      <c r="C666" s="30" t="s">
        <v>172</v>
      </c>
      <c r="D666" s="30" t="s">
        <v>703</v>
      </c>
      <c r="E666" s="30" t="s">
        <v>706</v>
      </c>
      <c r="F666" s="30">
        <v>1</v>
      </c>
      <c r="G666" s="44">
        <v>1870</v>
      </c>
      <c r="H666" s="30"/>
      <c r="I666" s="44"/>
      <c r="J666" s="44"/>
      <c r="K666" s="44">
        <f t="shared" si="20"/>
        <v>1870</v>
      </c>
      <c r="L666" s="51">
        <v>20220322</v>
      </c>
    </row>
    <row r="667" spans="1:12" x14ac:dyDescent="0.25">
      <c r="A667" s="50" t="s">
        <v>1253</v>
      </c>
      <c r="B667" s="30" t="s">
        <v>11</v>
      </c>
      <c r="C667" s="30" t="s">
        <v>134</v>
      </c>
      <c r="D667" s="30" t="s">
        <v>135</v>
      </c>
      <c r="E667" s="30" t="s">
        <v>136</v>
      </c>
      <c r="F667" s="30">
        <v>1</v>
      </c>
      <c r="G667" s="44">
        <v>1870</v>
      </c>
      <c r="H667" s="30"/>
      <c r="I667" s="44"/>
      <c r="J667" s="44"/>
      <c r="K667" s="44">
        <f t="shared" si="20"/>
        <v>1870</v>
      </c>
      <c r="L667" s="51">
        <v>20220322</v>
      </c>
    </row>
    <row r="668" spans="1:12" x14ac:dyDescent="0.25">
      <c r="A668" s="52" t="s">
        <v>1254</v>
      </c>
      <c r="B668" s="32" t="s">
        <v>11</v>
      </c>
      <c r="C668" s="32" t="s">
        <v>134</v>
      </c>
      <c r="D668" s="32" t="s">
        <v>135</v>
      </c>
      <c r="E668" s="32" t="s">
        <v>190</v>
      </c>
      <c r="F668" s="32">
        <v>1</v>
      </c>
      <c r="G668" s="45">
        <v>1870</v>
      </c>
      <c r="H668" s="32">
        <v>25</v>
      </c>
      <c r="I668" s="45">
        <v>25</v>
      </c>
      <c r="J668" s="45">
        <f>I668*H668</f>
        <v>625</v>
      </c>
      <c r="K668" s="45">
        <f t="shared" si="20"/>
        <v>2495</v>
      </c>
      <c r="L668" s="53">
        <v>20220322</v>
      </c>
    </row>
    <row r="669" spans="1:12" x14ac:dyDescent="0.25">
      <c r="A669" s="50" t="s">
        <v>1255</v>
      </c>
      <c r="B669" s="30" t="s">
        <v>11</v>
      </c>
      <c r="C669" s="30" t="s">
        <v>29</v>
      </c>
      <c r="D669" s="30" t="s">
        <v>24</v>
      </c>
      <c r="E669" s="30" t="s">
        <v>210</v>
      </c>
      <c r="F669" s="30">
        <v>1</v>
      </c>
      <c r="G669" s="44">
        <v>1870</v>
      </c>
      <c r="H669" s="30"/>
      <c r="I669" s="44"/>
      <c r="J669" s="44"/>
      <c r="K669" s="44">
        <f t="shared" si="20"/>
        <v>1870</v>
      </c>
      <c r="L669" s="51">
        <v>20220322</v>
      </c>
    </row>
    <row r="670" spans="1:12" x14ac:dyDescent="0.25">
      <c r="A670" s="52" t="s">
        <v>1247</v>
      </c>
      <c r="B670" s="32" t="s">
        <v>11</v>
      </c>
      <c r="C670" s="32" t="s">
        <v>29</v>
      </c>
      <c r="D670" s="32" t="s">
        <v>148</v>
      </c>
      <c r="E670" s="32" t="s">
        <v>1248</v>
      </c>
      <c r="F670" s="32">
        <v>1</v>
      </c>
      <c r="G670" s="45">
        <v>1870</v>
      </c>
      <c r="H670" s="32">
        <v>50</v>
      </c>
      <c r="I670" s="45">
        <v>25</v>
      </c>
      <c r="J670" s="45">
        <f>I670*H670</f>
        <v>1250</v>
      </c>
      <c r="K670" s="45">
        <f t="shared" si="20"/>
        <v>3120</v>
      </c>
      <c r="L670" s="53">
        <v>20220323</v>
      </c>
    </row>
    <row r="671" spans="1:12" x14ac:dyDescent="0.25">
      <c r="A671" s="50" t="s">
        <v>1249</v>
      </c>
      <c r="B671" s="30" t="s">
        <v>11</v>
      </c>
      <c r="C671" s="30" t="s">
        <v>94</v>
      </c>
      <c r="D671" s="30" t="s">
        <v>95</v>
      </c>
      <c r="E671" s="30" t="s">
        <v>326</v>
      </c>
      <c r="F671" s="30">
        <v>1</v>
      </c>
      <c r="G671" s="44">
        <v>1870</v>
      </c>
      <c r="H671" s="30"/>
      <c r="I671" s="44"/>
      <c r="J671" s="44"/>
      <c r="K671" s="44">
        <f t="shared" si="20"/>
        <v>1870</v>
      </c>
      <c r="L671" s="51">
        <v>20220324</v>
      </c>
    </row>
    <row r="672" spans="1:12" x14ac:dyDescent="0.25">
      <c r="A672" s="52" t="s">
        <v>1283</v>
      </c>
      <c r="B672" s="32" t="s">
        <v>11</v>
      </c>
      <c r="C672" s="32" t="s">
        <v>168</v>
      </c>
      <c r="D672" s="32" t="s">
        <v>169</v>
      </c>
      <c r="E672" s="32" t="s">
        <v>170</v>
      </c>
      <c r="F672" s="32">
        <v>1</v>
      </c>
      <c r="G672" s="45">
        <v>1870</v>
      </c>
      <c r="H672" s="32">
        <v>280</v>
      </c>
      <c r="I672" s="45">
        <v>25</v>
      </c>
      <c r="J672" s="45">
        <f>I672*H672</f>
        <v>7000</v>
      </c>
      <c r="K672" s="45">
        <f t="shared" si="20"/>
        <v>8870</v>
      </c>
      <c r="L672" s="53">
        <v>20220325</v>
      </c>
    </row>
    <row r="673" spans="1:12" x14ac:dyDescent="0.25">
      <c r="A673" s="52" t="s">
        <v>1257</v>
      </c>
      <c r="B673" s="32" t="s">
        <v>11</v>
      </c>
      <c r="C673" s="32" t="s">
        <v>34</v>
      </c>
      <c r="D673" s="32" t="s">
        <v>35</v>
      </c>
      <c r="E673" s="32" t="s">
        <v>198</v>
      </c>
      <c r="F673" s="32">
        <v>1</v>
      </c>
      <c r="G673" s="45">
        <v>1870</v>
      </c>
      <c r="H673" s="32">
        <v>64</v>
      </c>
      <c r="I673" s="45">
        <v>25</v>
      </c>
      <c r="J673" s="45">
        <f>I673*H673</f>
        <v>1600</v>
      </c>
      <c r="K673" s="45">
        <f t="shared" si="20"/>
        <v>3470</v>
      </c>
      <c r="L673" s="53">
        <v>20220325</v>
      </c>
    </row>
    <row r="674" spans="1:12" x14ac:dyDescent="0.25">
      <c r="A674" s="50" t="s">
        <v>1244</v>
      </c>
      <c r="B674" s="30" t="s">
        <v>11</v>
      </c>
      <c r="C674" s="30" t="s">
        <v>29</v>
      </c>
      <c r="D674" s="30" t="s">
        <v>24</v>
      </c>
      <c r="E674" s="30" t="s">
        <v>161</v>
      </c>
      <c r="F674" s="30">
        <v>1</v>
      </c>
      <c r="G674" s="44">
        <v>1870</v>
      </c>
      <c r="H674" s="30"/>
      <c r="I674" s="44"/>
      <c r="J674" s="44"/>
      <c r="K674" s="44">
        <f t="shared" si="20"/>
        <v>1870</v>
      </c>
      <c r="L674" s="51">
        <v>20220329</v>
      </c>
    </row>
    <row r="675" spans="1:12" x14ac:dyDescent="0.25">
      <c r="A675" s="121" t="s">
        <v>1267</v>
      </c>
      <c r="B675" s="122" t="s">
        <v>1209</v>
      </c>
      <c r="C675" s="122" t="s">
        <v>666</v>
      </c>
      <c r="D675" s="122" t="s">
        <v>1077</v>
      </c>
      <c r="E675" s="122" t="s">
        <v>1268</v>
      </c>
      <c r="F675" s="122">
        <v>1</v>
      </c>
      <c r="G675" s="123">
        <v>3740</v>
      </c>
      <c r="H675" s="122"/>
      <c r="I675" s="123"/>
      <c r="J675" s="123"/>
      <c r="K675" s="123">
        <f t="shared" si="20"/>
        <v>3740</v>
      </c>
      <c r="L675" s="124">
        <v>20220330</v>
      </c>
    </row>
    <row r="676" spans="1:12" x14ac:dyDescent="0.25">
      <c r="A676" s="52" t="s">
        <v>1242</v>
      </c>
      <c r="B676" s="32" t="s">
        <v>11</v>
      </c>
      <c r="C676" s="32" t="s">
        <v>163</v>
      </c>
      <c r="D676" s="32" t="s">
        <v>164</v>
      </c>
      <c r="E676" s="32" t="s">
        <v>166</v>
      </c>
      <c r="F676" s="32">
        <v>1</v>
      </c>
      <c r="G676" s="45">
        <v>1870</v>
      </c>
      <c r="H676" s="32">
        <v>120</v>
      </c>
      <c r="I676" s="45">
        <v>25</v>
      </c>
      <c r="J676" s="45">
        <f>I676*H676</f>
        <v>3000</v>
      </c>
      <c r="K676" s="45">
        <f t="shared" si="20"/>
        <v>4870</v>
      </c>
      <c r="L676" s="53">
        <v>20220330</v>
      </c>
    </row>
    <row r="677" spans="1:12" x14ac:dyDescent="0.25">
      <c r="A677" s="50" t="s">
        <v>1243</v>
      </c>
      <c r="B677" s="30" t="s">
        <v>11</v>
      </c>
      <c r="C677" s="30" t="s">
        <v>163</v>
      </c>
      <c r="D677" s="30" t="s">
        <v>164</v>
      </c>
      <c r="E677" s="30" t="s">
        <v>305</v>
      </c>
      <c r="F677" s="30">
        <v>1</v>
      </c>
      <c r="G677" s="44">
        <v>1870</v>
      </c>
      <c r="H677" s="30"/>
      <c r="I677" s="44"/>
      <c r="J677" s="44"/>
      <c r="K677" s="44">
        <f t="shared" si="20"/>
        <v>1870</v>
      </c>
      <c r="L677" s="51">
        <v>20220330</v>
      </c>
    </row>
    <row r="678" spans="1:12" x14ac:dyDescent="0.25">
      <c r="A678" s="50" t="s">
        <v>1256</v>
      </c>
      <c r="B678" s="30" t="s">
        <v>11</v>
      </c>
      <c r="C678" s="30" t="s">
        <v>94</v>
      </c>
      <c r="D678" s="30" t="s">
        <v>95</v>
      </c>
      <c r="E678" s="30" t="s">
        <v>738</v>
      </c>
      <c r="F678" s="30">
        <v>1</v>
      </c>
      <c r="G678" s="44">
        <v>1870</v>
      </c>
      <c r="H678" s="30"/>
      <c r="I678" s="44"/>
      <c r="J678" s="44"/>
      <c r="K678" s="44">
        <f t="shared" si="20"/>
        <v>1870</v>
      </c>
      <c r="L678" s="51">
        <v>20220330</v>
      </c>
    </row>
    <row r="679" spans="1:12" x14ac:dyDescent="0.25">
      <c r="A679" s="50" t="s">
        <v>1241</v>
      </c>
      <c r="B679" s="30" t="s">
        <v>11</v>
      </c>
      <c r="C679" s="30" t="s">
        <v>364</v>
      </c>
      <c r="D679" s="30" t="s">
        <v>24</v>
      </c>
      <c r="E679" s="30" t="s">
        <v>532</v>
      </c>
      <c r="F679" s="30">
        <v>1</v>
      </c>
      <c r="G679" s="44">
        <v>1870</v>
      </c>
      <c r="H679" s="30"/>
      <c r="I679" s="44"/>
      <c r="J679" s="44"/>
      <c r="K679" s="44">
        <f t="shared" si="20"/>
        <v>1870</v>
      </c>
      <c r="L679" s="51">
        <v>20220331</v>
      </c>
    </row>
    <row r="680" spans="1:12" x14ac:dyDescent="0.25">
      <c r="A680" s="50" t="s">
        <v>1250</v>
      </c>
      <c r="B680" s="30" t="s">
        <v>11</v>
      </c>
      <c r="C680" s="30" t="s">
        <v>364</v>
      </c>
      <c r="D680" s="30" t="s">
        <v>24</v>
      </c>
      <c r="E680" s="30" t="s">
        <v>698</v>
      </c>
      <c r="F680" s="30">
        <v>1</v>
      </c>
      <c r="G680" s="44">
        <v>1870</v>
      </c>
      <c r="H680" s="30"/>
      <c r="I680" s="44"/>
      <c r="J680" s="44"/>
      <c r="K680" s="44">
        <f t="shared" si="20"/>
        <v>1870</v>
      </c>
      <c r="L680" s="51">
        <v>20220331</v>
      </c>
    </row>
    <row r="681" spans="1:12" x14ac:dyDescent="0.25">
      <c r="A681" s="52" t="s">
        <v>1245</v>
      </c>
      <c r="B681" s="32" t="s">
        <v>11</v>
      </c>
      <c r="C681" s="32" t="s">
        <v>76</v>
      </c>
      <c r="D681" s="32" t="s">
        <v>1246</v>
      </c>
      <c r="E681" s="32" t="s">
        <v>77</v>
      </c>
      <c r="F681" s="32">
        <v>1</v>
      </c>
      <c r="G681" s="45">
        <v>1870</v>
      </c>
      <c r="H681" s="32">
        <v>24</v>
      </c>
      <c r="I681" s="45">
        <v>25</v>
      </c>
      <c r="J681" s="45">
        <f>I681*H681</f>
        <v>600</v>
      </c>
      <c r="K681" s="45">
        <f t="shared" si="20"/>
        <v>2470</v>
      </c>
      <c r="L681" s="53">
        <v>20220331</v>
      </c>
    </row>
    <row r="682" spans="1:12" ht="15.75" thickBot="1" x14ac:dyDescent="0.3">
      <c r="A682" s="87" t="s">
        <v>1263</v>
      </c>
      <c r="B682" s="88" t="s">
        <v>11</v>
      </c>
      <c r="C682" s="88" t="s">
        <v>405</v>
      </c>
      <c r="D682" s="88" t="s">
        <v>1264</v>
      </c>
      <c r="E682" s="88" t="s">
        <v>811</v>
      </c>
      <c r="F682" s="88">
        <v>1</v>
      </c>
      <c r="G682" s="89">
        <v>1870</v>
      </c>
      <c r="H682" s="88">
        <v>25</v>
      </c>
      <c r="I682" s="89">
        <v>25</v>
      </c>
      <c r="J682" s="89">
        <f>I682*H682</f>
        <v>625</v>
      </c>
      <c r="K682" s="89">
        <f t="shared" si="20"/>
        <v>2495</v>
      </c>
      <c r="L682" s="90">
        <v>20220331</v>
      </c>
    </row>
    <row r="683" spans="1:12" ht="15.75" thickBot="1" x14ac:dyDescent="0.3"/>
    <row r="684" spans="1:12" x14ac:dyDescent="0.25">
      <c r="A684" s="48" t="s">
        <v>1294</v>
      </c>
      <c r="B684" s="34" t="s">
        <v>137</v>
      </c>
      <c r="C684" s="34" t="s">
        <v>29</v>
      </c>
      <c r="D684" s="34" t="s">
        <v>24</v>
      </c>
      <c r="E684" s="34" t="s">
        <v>210</v>
      </c>
      <c r="F684" s="34">
        <v>1</v>
      </c>
      <c r="G684" s="64">
        <v>935</v>
      </c>
      <c r="H684" s="34"/>
      <c r="I684" s="64"/>
      <c r="J684" s="64"/>
      <c r="K684" s="64">
        <f t="shared" ref="K684:K693" si="21">J684+G684</f>
        <v>935</v>
      </c>
      <c r="L684" s="49">
        <v>20220321</v>
      </c>
    </row>
    <row r="685" spans="1:12" x14ac:dyDescent="0.25">
      <c r="A685" s="50" t="s">
        <v>1293</v>
      </c>
      <c r="B685" s="30" t="s">
        <v>137</v>
      </c>
      <c r="C685" s="30" t="s">
        <v>29</v>
      </c>
      <c r="D685" s="30" t="s">
        <v>24</v>
      </c>
      <c r="E685" s="30" t="s">
        <v>161</v>
      </c>
      <c r="F685" s="30">
        <v>1</v>
      </c>
      <c r="G685" s="44">
        <v>935</v>
      </c>
      <c r="H685" s="30"/>
      <c r="I685" s="44"/>
      <c r="J685" s="44"/>
      <c r="K685" s="44">
        <f t="shared" si="21"/>
        <v>935</v>
      </c>
      <c r="L685" s="51">
        <v>20220321</v>
      </c>
    </row>
    <row r="686" spans="1:12" x14ac:dyDescent="0.25">
      <c r="A686" s="50" t="s">
        <v>1292</v>
      </c>
      <c r="B686" s="30" t="s">
        <v>137</v>
      </c>
      <c r="C686" s="30" t="s">
        <v>29</v>
      </c>
      <c r="D686" s="30" t="s">
        <v>24</v>
      </c>
      <c r="E686" s="30" t="s">
        <v>1127</v>
      </c>
      <c r="F686" s="30">
        <v>1</v>
      </c>
      <c r="G686" s="44">
        <v>935</v>
      </c>
      <c r="H686" s="30"/>
      <c r="I686" s="44"/>
      <c r="J686" s="44"/>
      <c r="K686" s="44">
        <f t="shared" si="21"/>
        <v>935</v>
      </c>
      <c r="L686" s="51">
        <v>20220321</v>
      </c>
    </row>
    <row r="687" spans="1:12" x14ac:dyDescent="0.25">
      <c r="A687" s="50" t="s">
        <v>1291</v>
      </c>
      <c r="B687" s="30" t="s">
        <v>137</v>
      </c>
      <c r="C687" s="30" t="s">
        <v>29</v>
      </c>
      <c r="D687" s="30" t="s">
        <v>24</v>
      </c>
      <c r="E687" s="30" t="s">
        <v>733</v>
      </c>
      <c r="F687" s="30">
        <v>1</v>
      </c>
      <c r="G687" s="44">
        <v>935</v>
      </c>
      <c r="H687" s="30"/>
      <c r="I687" s="44"/>
      <c r="J687" s="44"/>
      <c r="K687" s="44">
        <f t="shared" si="21"/>
        <v>935</v>
      </c>
      <c r="L687" s="51">
        <v>20220321</v>
      </c>
    </row>
    <row r="688" spans="1:12" x14ac:dyDescent="0.25">
      <c r="A688" s="50" t="s">
        <v>1289</v>
      </c>
      <c r="B688" s="30" t="s">
        <v>137</v>
      </c>
      <c r="C688" s="30" t="s">
        <v>29</v>
      </c>
      <c r="D688" s="30" t="s">
        <v>24</v>
      </c>
      <c r="E688" s="30" t="s">
        <v>1290</v>
      </c>
      <c r="F688" s="30">
        <v>1</v>
      </c>
      <c r="G688" s="44">
        <v>935</v>
      </c>
      <c r="H688" s="30"/>
      <c r="I688" s="44"/>
      <c r="J688" s="44"/>
      <c r="K688" s="44">
        <f t="shared" si="21"/>
        <v>935</v>
      </c>
      <c r="L688" s="51">
        <v>20220321</v>
      </c>
    </row>
    <row r="689" spans="1:12" x14ac:dyDescent="0.25">
      <c r="A689" s="50" t="s">
        <v>1288</v>
      </c>
      <c r="B689" s="30" t="s">
        <v>137</v>
      </c>
      <c r="C689" s="30" t="s">
        <v>29</v>
      </c>
      <c r="D689" s="30" t="s">
        <v>24</v>
      </c>
      <c r="E689" s="30" t="s">
        <v>632</v>
      </c>
      <c r="F689" s="30">
        <v>1</v>
      </c>
      <c r="G689" s="44">
        <v>935</v>
      </c>
      <c r="H689" s="30"/>
      <c r="I689" s="44"/>
      <c r="J689" s="44"/>
      <c r="K689" s="44">
        <f t="shared" si="21"/>
        <v>935</v>
      </c>
      <c r="L689" s="51">
        <v>20220321</v>
      </c>
    </row>
    <row r="690" spans="1:12" x14ac:dyDescent="0.25">
      <c r="A690" s="50" t="s">
        <v>1287</v>
      </c>
      <c r="B690" s="30" t="s">
        <v>137</v>
      </c>
      <c r="C690" s="30" t="s">
        <v>29</v>
      </c>
      <c r="D690" s="30" t="s">
        <v>24</v>
      </c>
      <c r="E690" s="30" t="s">
        <v>209</v>
      </c>
      <c r="F690" s="30">
        <v>1</v>
      </c>
      <c r="G690" s="44">
        <v>935</v>
      </c>
      <c r="H690" s="30"/>
      <c r="I690" s="44"/>
      <c r="J690" s="44"/>
      <c r="K690" s="44">
        <f t="shared" si="21"/>
        <v>935</v>
      </c>
      <c r="L690" s="51">
        <v>20220321</v>
      </c>
    </row>
    <row r="691" spans="1:12" x14ac:dyDescent="0.25">
      <c r="A691" s="50" t="s">
        <v>1286</v>
      </c>
      <c r="B691" s="30" t="s">
        <v>137</v>
      </c>
      <c r="C691" s="30" t="s">
        <v>29</v>
      </c>
      <c r="D691" s="30" t="s">
        <v>24</v>
      </c>
      <c r="E691" s="30" t="s">
        <v>630</v>
      </c>
      <c r="F691" s="30">
        <v>1</v>
      </c>
      <c r="G691" s="44">
        <v>935</v>
      </c>
      <c r="H691" s="30"/>
      <c r="I691" s="44"/>
      <c r="J691" s="44"/>
      <c r="K691" s="44">
        <f t="shared" si="21"/>
        <v>935</v>
      </c>
      <c r="L691" s="51">
        <v>20220321</v>
      </c>
    </row>
    <row r="692" spans="1:12" x14ac:dyDescent="0.25">
      <c r="A692" s="50" t="s">
        <v>1285</v>
      </c>
      <c r="B692" s="30" t="s">
        <v>137</v>
      </c>
      <c r="C692" s="30" t="s">
        <v>29</v>
      </c>
      <c r="D692" s="30" t="s">
        <v>24</v>
      </c>
      <c r="E692" s="30" t="s">
        <v>1003</v>
      </c>
      <c r="F692" s="30">
        <v>1</v>
      </c>
      <c r="G692" s="44">
        <v>935</v>
      </c>
      <c r="H692" s="30"/>
      <c r="I692" s="44"/>
      <c r="J692" s="44"/>
      <c r="K692" s="44">
        <f t="shared" si="21"/>
        <v>935</v>
      </c>
      <c r="L692" s="51">
        <v>20220321</v>
      </c>
    </row>
    <row r="693" spans="1:12" ht="15.75" thickBot="1" x14ac:dyDescent="0.3">
      <c r="A693" s="54" t="s">
        <v>1251</v>
      </c>
      <c r="B693" s="36" t="s">
        <v>137</v>
      </c>
      <c r="C693" s="36" t="s">
        <v>29</v>
      </c>
      <c r="D693" s="36" t="s">
        <v>24</v>
      </c>
      <c r="E693" s="36" t="s">
        <v>208</v>
      </c>
      <c r="F693" s="36">
        <v>1</v>
      </c>
      <c r="G693" s="65">
        <v>935</v>
      </c>
      <c r="H693" s="36"/>
      <c r="I693" s="65"/>
      <c r="J693" s="65"/>
      <c r="K693" s="65">
        <f t="shared" si="21"/>
        <v>935</v>
      </c>
      <c r="L693" s="55">
        <v>20220322</v>
      </c>
    </row>
    <row r="697" spans="1:12" ht="15.75" thickBot="1" x14ac:dyDescent="0.3">
      <c r="A697" s="69" t="s">
        <v>0</v>
      </c>
      <c r="B697" s="70" t="s">
        <v>1</v>
      </c>
      <c r="C697" s="70" t="s">
        <v>2</v>
      </c>
      <c r="D697" s="70" t="s">
        <v>3</v>
      </c>
      <c r="E697" s="70" t="s">
        <v>4</v>
      </c>
      <c r="F697" s="70"/>
      <c r="G697" s="71" t="s">
        <v>6</v>
      </c>
      <c r="H697" s="70" t="s">
        <v>7</v>
      </c>
      <c r="I697" s="71" t="s">
        <v>8</v>
      </c>
      <c r="J697" s="71" t="s">
        <v>9</v>
      </c>
      <c r="K697" s="71" t="s">
        <v>10</v>
      </c>
      <c r="L697" s="72" t="s">
        <v>5</v>
      </c>
    </row>
    <row r="698" spans="1:12" x14ac:dyDescent="0.25">
      <c r="A698" s="48" t="s">
        <v>1314</v>
      </c>
      <c r="B698" s="34" t="s">
        <v>11</v>
      </c>
      <c r="C698" s="34" t="s">
        <v>26</v>
      </c>
      <c r="D698" s="34" t="s">
        <v>307</v>
      </c>
      <c r="E698" s="34" t="s">
        <v>314</v>
      </c>
      <c r="F698" s="34">
        <v>1</v>
      </c>
      <c r="G698" s="64">
        <v>2740</v>
      </c>
      <c r="H698" s="34">
        <v>24</v>
      </c>
      <c r="I698" s="64">
        <v>36</v>
      </c>
      <c r="J698" s="64">
        <f>I698*H698</f>
        <v>864</v>
      </c>
      <c r="K698" s="64">
        <f>J698+G698</f>
        <v>3604</v>
      </c>
      <c r="L698" s="49">
        <v>20220406</v>
      </c>
    </row>
    <row r="699" spans="1:12" x14ac:dyDescent="0.25">
      <c r="A699" s="50" t="s">
        <v>1319</v>
      </c>
      <c r="B699" s="30" t="s">
        <v>11</v>
      </c>
      <c r="C699" s="30" t="s">
        <v>29</v>
      </c>
      <c r="D699" s="30" t="s">
        <v>24</v>
      </c>
      <c r="E699" s="30" t="s">
        <v>1320</v>
      </c>
      <c r="F699" s="30">
        <v>1</v>
      </c>
      <c r="G699" s="44">
        <v>2740</v>
      </c>
      <c r="H699" s="30"/>
      <c r="I699" s="44"/>
      <c r="J699" s="44"/>
      <c r="K699" s="44">
        <f t="shared" ref="K699:K719" si="22">J699+G699</f>
        <v>2740</v>
      </c>
      <c r="L699" s="51">
        <v>20220406</v>
      </c>
    </row>
    <row r="700" spans="1:12" x14ac:dyDescent="0.25">
      <c r="A700" s="50" t="s">
        <v>1323</v>
      </c>
      <c r="B700" s="30" t="s">
        <v>11</v>
      </c>
      <c r="C700" s="30" t="s">
        <v>895</v>
      </c>
      <c r="D700" s="30" t="s">
        <v>896</v>
      </c>
      <c r="E700" s="30" t="s">
        <v>897</v>
      </c>
      <c r="F700" s="30">
        <v>1</v>
      </c>
      <c r="G700" s="44">
        <v>2740</v>
      </c>
      <c r="H700" s="30"/>
      <c r="I700" s="44"/>
      <c r="J700" s="44"/>
      <c r="K700" s="44">
        <f t="shared" si="22"/>
        <v>2740</v>
      </c>
      <c r="L700" s="51">
        <v>20220406</v>
      </c>
    </row>
    <row r="701" spans="1:12" x14ac:dyDescent="0.25">
      <c r="A701" s="50" t="s">
        <v>1322</v>
      </c>
      <c r="B701" s="30" t="s">
        <v>11</v>
      </c>
      <c r="C701" s="30" t="s">
        <v>270</v>
      </c>
      <c r="D701" s="30" t="s">
        <v>494</v>
      </c>
      <c r="E701" s="30" t="s">
        <v>596</v>
      </c>
      <c r="F701" s="30">
        <v>1</v>
      </c>
      <c r="G701" s="44">
        <v>2740</v>
      </c>
      <c r="H701" s="30">
        <v>120</v>
      </c>
      <c r="I701" s="44">
        <v>36</v>
      </c>
      <c r="J701" s="44">
        <f t="shared" ref="J701:J717" si="23">I701*H701</f>
        <v>4320</v>
      </c>
      <c r="K701" s="44">
        <f t="shared" si="22"/>
        <v>7060</v>
      </c>
      <c r="L701" s="51">
        <v>20220407</v>
      </c>
    </row>
    <row r="702" spans="1:12" x14ac:dyDescent="0.25">
      <c r="A702" s="50" t="s">
        <v>1321</v>
      </c>
      <c r="B702" s="30" t="s">
        <v>11</v>
      </c>
      <c r="C702" s="30" t="s">
        <v>270</v>
      </c>
      <c r="D702" s="30" t="s">
        <v>494</v>
      </c>
      <c r="E702" s="30" t="s">
        <v>1212</v>
      </c>
      <c r="F702" s="30">
        <v>1</v>
      </c>
      <c r="G702" s="44">
        <v>2740</v>
      </c>
      <c r="H702" s="30"/>
      <c r="I702" s="44"/>
      <c r="J702" s="44"/>
      <c r="K702" s="44">
        <f t="shared" si="22"/>
        <v>2740</v>
      </c>
      <c r="L702" s="51">
        <v>20220407</v>
      </c>
    </row>
    <row r="703" spans="1:12" x14ac:dyDescent="0.25">
      <c r="A703" s="50" t="s">
        <v>1313</v>
      </c>
      <c r="B703" s="30" t="s">
        <v>11</v>
      </c>
      <c r="C703" s="30" t="s">
        <v>57</v>
      </c>
      <c r="D703" s="30" t="s">
        <v>58</v>
      </c>
      <c r="E703" s="30" t="s">
        <v>62</v>
      </c>
      <c r="F703" s="30">
        <v>1</v>
      </c>
      <c r="G703" s="44">
        <v>2740</v>
      </c>
      <c r="H703" s="30"/>
      <c r="I703" s="44"/>
      <c r="J703" s="44"/>
      <c r="K703" s="44">
        <f t="shared" si="22"/>
        <v>2740</v>
      </c>
      <c r="L703" s="51">
        <v>20220411</v>
      </c>
    </row>
    <row r="704" spans="1:12" x14ac:dyDescent="0.25">
      <c r="A704" s="50" t="s">
        <v>1311</v>
      </c>
      <c r="B704" s="30" t="s">
        <v>11</v>
      </c>
      <c r="C704" s="30" t="s">
        <v>57</v>
      </c>
      <c r="D704" s="30" t="s">
        <v>58</v>
      </c>
      <c r="E704" s="30" t="s">
        <v>59</v>
      </c>
      <c r="F704" s="30">
        <v>1</v>
      </c>
      <c r="G704" s="44">
        <v>2740</v>
      </c>
      <c r="H704" s="30"/>
      <c r="I704" s="44"/>
      <c r="J704" s="44"/>
      <c r="K704" s="44">
        <f t="shared" si="22"/>
        <v>2740</v>
      </c>
      <c r="L704" s="51">
        <v>20220411</v>
      </c>
    </row>
    <row r="705" spans="1:12" x14ac:dyDescent="0.25">
      <c r="A705" s="50" t="s">
        <v>1315</v>
      </c>
      <c r="B705" s="30" t="s">
        <v>11</v>
      </c>
      <c r="C705" s="30" t="s">
        <v>29</v>
      </c>
      <c r="D705" s="30" t="s">
        <v>24</v>
      </c>
      <c r="E705" s="30" t="s">
        <v>733</v>
      </c>
      <c r="F705" s="30">
        <v>1</v>
      </c>
      <c r="G705" s="44">
        <v>2740</v>
      </c>
      <c r="H705" s="30"/>
      <c r="I705" s="44"/>
      <c r="J705" s="44"/>
      <c r="K705" s="44">
        <f t="shared" si="22"/>
        <v>2740</v>
      </c>
      <c r="L705" s="51">
        <v>20220411</v>
      </c>
    </row>
    <row r="706" spans="1:12" x14ac:dyDescent="0.25">
      <c r="A706" s="50" t="s">
        <v>1317</v>
      </c>
      <c r="B706" s="30" t="s">
        <v>11</v>
      </c>
      <c r="C706" s="30" t="s">
        <v>337</v>
      </c>
      <c r="D706" s="30" t="s">
        <v>35</v>
      </c>
      <c r="E706" s="30" t="s">
        <v>1318</v>
      </c>
      <c r="F706" s="30">
        <v>1</v>
      </c>
      <c r="G706" s="44">
        <v>2740</v>
      </c>
      <c r="H706" s="30"/>
      <c r="I706" s="44"/>
      <c r="J706" s="44"/>
      <c r="K706" s="44">
        <f t="shared" si="22"/>
        <v>2740</v>
      </c>
      <c r="L706" s="51">
        <v>20220413</v>
      </c>
    </row>
    <row r="707" spans="1:12" x14ac:dyDescent="0.25">
      <c r="A707" s="50" t="s">
        <v>1312</v>
      </c>
      <c r="B707" s="30" t="s">
        <v>11</v>
      </c>
      <c r="C707" s="30" t="s">
        <v>337</v>
      </c>
      <c r="D707" s="30" t="s">
        <v>35</v>
      </c>
      <c r="E707" s="30" t="s">
        <v>38</v>
      </c>
      <c r="F707" s="30">
        <v>1</v>
      </c>
      <c r="G707" s="44">
        <v>2740</v>
      </c>
      <c r="H707" s="30">
        <v>64</v>
      </c>
      <c r="I707" s="44">
        <v>36</v>
      </c>
      <c r="J707" s="44">
        <f t="shared" si="23"/>
        <v>2304</v>
      </c>
      <c r="K707" s="44">
        <f t="shared" si="22"/>
        <v>5044</v>
      </c>
      <c r="L707" s="51">
        <v>20220413</v>
      </c>
    </row>
    <row r="708" spans="1:12" x14ac:dyDescent="0.25">
      <c r="A708" s="50" t="s">
        <v>1316</v>
      </c>
      <c r="B708" s="30" t="s">
        <v>11</v>
      </c>
      <c r="C708" s="30" t="s">
        <v>654</v>
      </c>
      <c r="D708" s="30" t="s">
        <v>655</v>
      </c>
      <c r="E708" s="30" t="s">
        <v>662</v>
      </c>
      <c r="F708" s="30">
        <v>1</v>
      </c>
      <c r="G708" s="44">
        <v>2740</v>
      </c>
      <c r="H708" s="30"/>
      <c r="I708" s="44"/>
      <c r="J708" s="44"/>
      <c r="K708" s="44">
        <f t="shared" si="22"/>
        <v>2740</v>
      </c>
      <c r="L708" s="51">
        <v>20220413</v>
      </c>
    </row>
    <row r="709" spans="1:12" x14ac:dyDescent="0.25">
      <c r="A709" s="50" t="s">
        <v>1309</v>
      </c>
      <c r="B709" s="30" t="s">
        <v>11</v>
      </c>
      <c r="C709" s="30" t="s">
        <v>28</v>
      </c>
      <c r="D709" s="30" t="s">
        <v>412</v>
      </c>
      <c r="E709" s="30" t="s">
        <v>413</v>
      </c>
      <c r="F709" s="30">
        <v>1</v>
      </c>
      <c r="G709" s="44">
        <v>2740</v>
      </c>
      <c r="H709" s="30"/>
      <c r="I709" s="44"/>
      <c r="J709" s="44"/>
      <c r="K709" s="44">
        <f t="shared" si="22"/>
        <v>2740</v>
      </c>
      <c r="L709" s="51">
        <v>20220413</v>
      </c>
    </row>
    <row r="710" spans="1:12" x14ac:dyDescent="0.25">
      <c r="A710" s="50" t="s">
        <v>1310</v>
      </c>
      <c r="B710" s="30" t="s">
        <v>11</v>
      </c>
      <c r="C710" s="30" t="s">
        <v>94</v>
      </c>
      <c r="D710" s="30" t="s">
        <v>95</v>
      </c>
      <c r="E710" s="30" t="s">
        <v>738</v>
      </c>
      <c r="F710" s="30">
        <v>1</v>
      </c>
      <c r="G710" s="44">
        <v>2740</v>
      </c>
      <c r="H710" s="30"/>
      <c r="I710" s="44"/>
      <c r="J710" s="44"/>
      <c r="K710" s="44">
        <f t="shared" si="22"/>
        <v>2740</v>
      </c>
      <c r="L710" s="51">
        <v>20220413</v>
      </c>
    </row>
    <row r="711" spans="1:12" x14ac:dyDescent="0.25">
      <c r="A711" s="50" t="s">
        <v>1306</v>
      </c>
      <c r="B711" s="30" t="s">
        <v>11</v>
      </c>
      <c r="C711" s="30" t="s">
        <v>134</v>
      </c>
      <c r="D711" s="30" t="s">
        <v>135</v>
      </c>
      <c r="E711" s="30" t="s">
        <v>190</v>
      </c>
      <c r="F711" s="30">
        <v>1</v>
      </c>
      <c r="G711" s="44">
        <v>2740</v>
      </c>
      <c r="H711" s="30">
        <v>25</v>
      </c>
      <c r="I711" s="44">
        <v>36</v>
      </c>
      <c r="J711" s="44">
        <f t="shared" si="23"/>
        <v>900</v>
      </c>
      <c r="K711" s="44">
        <f t="shared" si="22"/>
        <v>3640</v>
      </c>
      <c r="L711" s="51">
        <v>20220419</v>
      </c>
    </row>
    <row r="712" spans="1:12" x14ac:dyDescent="0.25">
      <c r="A712" s="50" t="s">
        <v>1303</v>
      </c>
      <c r="B712" s="30" t="s">
        <v>11</v>
      </c>
      <c r="C712" s="30" t="s">
        <v>29</v>
      </c>
      <c r="D712" s="30" t="s">
        <v>24</v>
      </c>
      <c r="E712" s="30" t="s">
        <v>733</v>
      </c>
      <c r="F712" s="30">
        <v>1</v>
      </c>
      <c r="G712" s="44">
        <v>2740</v>
      </c>
      <c r="H712" s="30"/>
      <c r="I712" s="44"/>
      <c r="J712" s="44"/>
      <c r="K712" s="44">
        <f t="shared" si="22"/>
        <v>2740</v>
      </c>
      <c r="L712" s="51">
        <v>20220419</v>
      </c>
    </row>
    <row r="713" spans="1:12" x14ac:dyDescent="0.25">
      <c r="A713" s="50" t="s">
        <v>1304</v>
      </c>
      <c r="B713" s="30" t="s">
        <v>11</v>
      </c>
      <c r="C713" s="30" t="s">
        <v>29</v>
      </c>
      <c r="D713" s="30" t="s">
        <v>24</v>
      </c>
      <c r="E713" s="30" t="s">
        <v>209</v>
      </c>
      <c r="F713" s="30">
        <v>1</v>
      </c>
      <c r="G713" s="44">
        <v>2740</v>
      </c>
      <c r="H713" s="30"/>
      <c r="I713" s="44"/>
      <c r="J713" s="44"/>
      <c r="K713" s="44">
        <f t="shared" si="22"/>
        <v>2740</v>
      </c>
      <c r="L713" s="51">
        <v>20220419</v>
      </c>
    </row>
    <row r="714" spans="1:12" x14ac:dyDescent="0.25">
      <c r="A714" s="50" t="s">
        <v>1307</v>
      </c>
      <c r="B714" s="30" t="s">
        <v>11</v>
      </c>
      <c r="C714" s="30" t="s">
        <v>53</v>
      </c>
      <c r="D714" s="30" t="s">
        <v>24</v>
      </c>
      <c r="E714" s="30" t="s">
        <v>1308</v>
      </c>
      <c r="F714" s="30">
        <v>1</v>
      </c>
      <c r="G714" s="44">
        <v>2740</v>
      </c>
      <c r="H714" s="30"/>
      <c r="I714" s="44"/>
      <c r="J714" s="44"/>
      <c r="K714" s="44">
        <f t="shared" si="22"/>
        <v>2740</v>
      </c>
      <c r="L714" s="51">
        <v>20220419</v>
      </c>
    </row>
    <row r="715" spans="1:12" x14ac:dyDescent="0.25">
      <c r="A715" s="50" t="s">
        <v>1302</v>
      </c>
      <c r="B715" s="30" t="s">
        <v>11</v>
      </c>
      <c r="C715" s="30" t="s">
        <v>251</v>
      </c>
      <c r="D715" s="30" t="s">
        <v>744</v>
      </c>
      <c r="E715" s="30" t="s">
        <v>745</v>
      </c>
      <c r="F715" s="30">
        <v>1</v>
      </c>
      <c r="G715" s="44">
        <v>2740</v>
      </c>
      <c r="H715" s="30"/>
      <c r="I715" s="44"/>
      <c r="J715" s="44"/>
      <c r="K715" s="44">
        <f t="shared" si="22"/>
        <v>2740</v>
      </c>
      <c r="L715" s="51">
        <v>20220420</v>
      </c>
    </row>
    <row r="716" spans="1:12" x14ac:dyDescent="0.25">
      <c r="A716" s="50" t="s">
        <v>1299</v>
      </c>
      <c r="B716" s="30" t="s">
        <v>11</v>
      </c>
      <c r="C716" s="30" t="s">
        <v>28</v>
      </c>
      <c r="D716" s="30" t="s">
        <v>1300</v>
      </c>
      <c r="E716" s="30" t="s">
        <v>1301</v>
      </c>
      <c r="F716" s="30">
        <v>1</v>
      </c>
      <c r="G716" s="44">
        <v>2740</v>
      </c>
      <c r="H716" s="30">
        <v>198</v>
      </c>
      <c r="I716" s="44">
        <v>36</v>
      </c>
      <c r="J716" s="44">
        <f t="shared" si="23"/>
        <v>7128</v>
      </c>
      <c r="K716" s="44">
        <f t="shared" si="22"/>
        <v>9868</v>
      </c>
      <c r="L716" s="51">
        <v>20220426</v>
      </c>
    </row>
    <row r="717" spans="1:12" ht="15.75" thickBot="1" x14ac:dyDescent="0.3">
      <c r="A717" s="54" t="s">
        <v>1296</v>
      </c>
      <c r="B717" s="36" t="s">
        <v>11</v>
      </c>
      <c r="C717" s="36" t="s">
        <v>28</v>
      </c>
      <c r="D717" s="36" t="s">
        <v>1297</v>
      </c>
      <c r="E717" s="36" t="s">
        <v>1298</v>
      </c>
      <c r="F717" s="36">
        <v>1</v>
      </c>
      <c r="G717" s="65">
        <v>2740</v>
      </c>
      <c r="H717" s="36">
        <v>28</v>
      </c>
      <c r="I717" s="65">
        <v>36</v>
      </c>
      <c r="J717" s="65">
        <f t="shared" si="23"/>
        <v>1008</v>
      </c>
      <c r="K717" s="65">
        <f t="shared" si="22"/>
        <v>3748</v>
      </c>
      <c r="L717" s="55">
        <v>20220429</v>
      </c>
    </row>
    <row r="718" spans="1:12" ht="15.75" thickBot="1" x14ac:dyDescent="0.3">
      <c r="A718" s="99"/>
      <c r="B718" s="100"/>
      <c r="C718" s="100"/>
      <c r="D718" s="100"/>
      <c r="E718" s="100"/>
      <c r="F718" s="100"/>
      <c r="G718" s="101"/>
      <c r="H718" s="100"/>
      <c r="I718" s="101"/>
      <c r="J718" s="101"/>
      <c r="K718" s="101"/>
      <c r="L718" s="102"/>
    </row>
    <row r="719" spans="1:12" ht="15.75" thickBot="1" x14ac:dyDescent="0.3">
      <c r="A719" s="132" t="s">
        <v>1305</v>
      </c>
      <c r="B719" s="133" t="s">
        <v>137</v>
      </c>
      <c r="C719" s="133" t="s">
        <v>129</v>
      </c>
      <c r="D719" s="133" t="s">
        <v>24</v>
      </c>
      <c r="E719" s="133" t="s">
        <v>130</v>
      </c>
      <c r="F719" s="133">
        <v>1</v>
      </c>
      <c r="G719" s="134">
        <v>1370</v>
      </c>
      <c r="H719" s="133"/>
      <c r="I719" s="134"/>
      <c r="J719" s="134"/>
      <c r="K719" s="134">
        <f t="shared" si="22"/>
        <v>1370</v>
      </c>
      <c r="L719" s="135">
        <v>20220422</v>
      </c>
    </row>
    <row r="723" spans="1:12" ht="15.75" thickBot="1" x14ac:dyDescent="0.3">
      <c r="A723" s="69" t="s">
        <v>0</v>
      </c>
      <c r="B723" s="70" t="s">
        <v>1</v>
      </c>
      <c r="C723" s="70" t="s">
        <v>2</v>
      </c>
      <c r="D723" s="70" t="s">
        <v>3</v>
      </c>
      <c r="E723" s="70" t="s">
        <v>4</v>
      </c>
      <c r="F723" s="70"/>
      <c r="G723" s="71" t="s">
        <v>6</v>
      </c>
      <c r="H723" s="70" t="s">
        <v>7</v>
      </c>
      <c r="I723" s="71" t="s">
        <v>8</v>
      </c>
      <c r="J723" s="71" t="s">
        <v>9</v>
      </c>
      <c r="K723" s="71" t="s">
        <v>10</v>
      </c>
      <c r="L723" s="72" t="s">
        <v>5</v>
      </c>
    </row>
    <row r="724" spans="1:12" x14ac:dyDescent="0.25">
      <c r="A724" s="140" t="s">
        <v>1380</v>
      </c>
      <c r="B724" s="141" t="s">
        <v>1209</v>
      </c>
      <c r="C724" s="141" t="s">
        <v>29</v>
      </c>
      <c r="D724" s="141" t="s">
        <v>24</v>
      </c>
      <c r="E724" s="141" t="s">
        <v>1320</v>
      </c>
      <c r="F724" s="141">
        <v>1</v>
      </c>
      <c r="G724" s="142">
        <v>2740</v>
      </c>
      <c r="H724" s="141"/>
      <c r="I724" s="142"/>
      <c r="J724" s="142"/>
      <c r="K724" s="142">
        <f t="shared" ref="K724:K756" si="24">J724+G724</f>
        <v>2740</v>
      </c>
      <c r="L724" s="143">
        <v>20220308</v>
      </c>
    </row>
    <row r="725" spans="1:12" x14ac:dyDescent="0.25">
      <c r="A725" s="52" t="s">
        <v>1363</v>
      </c>
      <c r="B725" s="32" t="s">
        <v>11</v>
      </c>
      <c r="C725" s="32" t="s">
        <v>134</v>
      </c>
      <c r="D725" s="32" t="s">
        <v>135</v>
      </c>
      <c r="E725" s="32" t="s">
        <v>264</v>
      </c>
      <c r="F725" s="32">
        <v>1</v>
      </c>
      <c r="G725" s="45">
        <v>2740</v>
      </c>
      <c r="H725" s="32">
        <v>25</v>
      </c>
      <c r="I725" s="45">
        <v>36</v>
      </c>
      <c r="J725" s="45">
        <f>I725*H725</f>
        <v>900</v>
      </c>
      <c r="K725" s="45">
        <f t="shared" si="24"/>
        <v>3640</v>
      </c>
      <c r="L725" s="53">
        <v>20220502</v>
      </c>
    </row>
    <row r="726" spans="1:12" x14ac:dyDescent="0.25">
      <c r="A726" s="50" t="s">
        <v>1378</v>
      </c>
      <c r="B726" s="30" t="s">
        <v>11</v>
      </c>
      <c r="C726" s="30" t="s">
        <v>895</v>
      </c>
      <c r="D726" s="30" t="s">
        <v>896</v>
      </c>
      <c r="E726" s="30" t="s">
        <v>897</v>
      </c>
      <c r="F726" s="30">
        <v>1</v>
      </c>
      <c r="G726" s="44">
        <v>2740</v>
      </c>
      <c r="H726" s="30"/>
      <c r="I726" s="44"/>
      <c r="J726" s="44"/>
      <c r="K726" s="44">
        <f t="shared" si="24"/>
        <v>2740</v>
      </c>
      <c r="L726" s="51">
        <v>20220502</v>
      </c>
    </row>
    <row r="727" spans="1:12" x14ac:dyDescent="0.25">
      <c r="A727" s="50" t="s">
        <v>1361</v>
      </c>
      <c r="B727" s="30" t="s">
        <v>11</v>
      </c>
      <c r="C727" s="30" t="s">
        <v>868</v>
      </c>
      <c r="D727" s="30" t="s">
        <v>24</v>
      </c>
      <c r="E727" s="30" t="s">
        <v>869</v>
      </c>
      <c r="F727" s="30">
        <v>1</v>
      </c>
      <c r="G727" s="44">
        <v>2740</v>
      </c>
      <c r="H727" s="30"/>
      <c r="I727" s="44"/>
      <c r="J727" s="44"/>
      <c r="K727" s="44">
        <f t="shared" si="24"/>
        <v>2740</v>
      </c>
      <c r="L727" s="51">
        <v>20220503</v>
      </c>
    </row>
    <row r="728" spans="1:12" x14ac:dyDescent="0.25">
      <c r="A728" s="50" t="s">
        <v>1362</v>
      </c>
      <c r="B728" s="30" t="s">
        <v>11</v>
      </c>
      <c r="C728" s="30" t="s">
        <v>29</v>
      </c>
      <c r="D728" s="30" t="s">
        <v>389</v>
      </c>
      <c r="E728" s="30" t="s">
        <v>390</v>
      </c>
      <c r="F728" s="30">
        <v>1</v>
      </c>
      <c r="G728" s="44">
        <v>2740</v>
      </c>
      <c r="H728" s="30"/>
      <c r="I728" s="44"/>
      <c r="J728" s="44"/>
      <c r="K728" s="44">
        <f t="shared" si="24"/>
        <v>2740</v>
      </c>
      <c r="L728" s="51">
        <v>20220503</v>
      </c>
    </row>
    <row r="729" spans="1:12" x14ac:dyDescent="0.25">
      <c r="A729" s="50" t="s">
        <v>1379</v>
      </c>
      <c r="B729" s="30" t="s">
        <v>11</v>
      </c>
      <c r="C729" s="30" t="s">
        <v>51</v>
      </c>
      <c r="D729" s="30" t="s">
        <v>24</v>
      </c>
      <c r="E729" s="30" t="s">
        <v>52</v>
      </c>
      <c r="F729" s="30">
        <v>1</v>
      </c>
      <c r="G729" s="44">
        <v>2740</v>
      </c>
      <c r="H729" s="30"/>
      <c r="I729" s="44"/>
      <c r="J729" s="44"/>
      <c r="K729" s="44">
        <f t="shared" si="24"/>
        <v>2740</v>
      </c>
      <c r="L729" s="51">
        <v>20220503</v>
      </c>
    </row>
    <row r="730" spans="1:12" x14ac:dyDescent="0.25">
      <c r="A730" s="50" t="s">
        <v>1357</v>
      </c>
      <c r="B730" s="30" t="s">
        <v>11</v>
      </c>
      <c r="C730" s="30" t="s">
        <v>505</v>
      </c>
      <c r="D730" s="30" t="s">
        <v>24</v>
      </c>
      <c r="E730" s="30" t="s">
        <v>506</v>
      </c>
      <c r="F730" s="30">
        <v>1</v>
      </c>
      <c r="G730" s="44">
        <v>2740</v>
      </c>
      <c r="H730" s="30"/>
      <c r="I730" s="44"/>
      <c r="J730" s="44"/>
      <c r="K730" s="44">
        <f t="shared" si="24"/>
        <v>2740</v>
      </c>
      <c r="L730" s="51">
        <v>20220506</v>
      </c>
    </row>
    <row r="731" spans="1:12" x14ac:dyDescent="0.25">
      <c r="A731" s="50" t="s">
        <v>1353</v>
      </c>
      <c r="B731" s="30" t="s">
        <v>11</v>
      </c>
      <c r="C731" s="30" t="s">
        <v>29</v>
      </c>
      <c r="D731" s="30" t="s">
        <v>24</v>
      </c>
      <c r="E731" s="30" t="s">
        <v>208</v>
      </c>
      <c r="F731" s="30">
        <v>1</v>
      </c>
      <c r="G731" s="44">
        <v>2740</v>
      </c>
      <c r="H731" s="30"/>
      <c r="I731" s="44"/>
      <c r="J731" s="44"/>
      <c r="K731" s="44">
        <f t="shared" si="24"/>
        <v>2740</v>
      </c>
      <c r="L731" s="51">
        <v>20220509</v>
      </c>
    </row>
    <row r="732" spans="1:12" x14ac:dyDescent="0.25">
      <c r="A732" s="50" t="s">
        <v>1358</v>
      </c>
      <c r="B732" s="30" t="s">
        <v>11</v>
      </c>
      <c r="C732" s="30" t="s">
        <v>337</v>
      </c>
      <c r="D732" s="30" t="s">
        <v>35</v>
      </c>
      <c r="E732" s="30" t="s">
        <v>686</v>
      </c>
      <c r="F732" s="30">
        <v>1</v>
      </c>
      <c r="G732" s="44">
        <v>2740</v>
      </c>
      <c r="H732" s="30"/>
      <c r="I732" s="44"/>
      <c r="J732" s="44"/>
      <c r="K732" s="44">
        <f t="shared" si="24"/>
        <v>2740</v>
      </c>
      <c r="L732" s="51">
        <v>20220510</v>
      </c>
    </row>
    <row r="733" spans="1:12" x14ac:dyDescent="0.25">
      <c r="A733" s="50" t="s">
        <v>1359</v>
      </c>
      <c r="B733" s="30" t="s">
        <v>11</v>
      </c>
      <c r="C733" s="30" t="s">
        <v>337</v>
      </c>
      <c r="D733" s="30" t="s">
        <v>35</v>
      </c>
      <c r="E733" s="30" t="s">
        <v>511</v>
      </c>
      <c r="F733" s="30">
        <v>1</v>
      </c>
      <c r="G733" s="44">
        <v>2740</v>
      </c>
      <c r="H733" s="30"/>
      <c r="I733" s="44"/>
      <c r="J733" s="44"/>
      <c r="K733" s="44">
        <f t="shared" si="24"/>
        <v>2740</v>
      </c>
      <c r="L733" s="51">
        <v>20220510</v>
      </c>
    </row>
    <row r="734" spans="1:12" x14ac:dyDescent="0.25">
      <c r="A734" s="50" t="s">
        <v>1352</v>
      </c>
      <c r="B734" s="30" t="s">
        <v>11</v>
      </c>
      <c r="C734" s="30" t="s">
        <v>26</v>
      </c>
      <c r="D734" s="30" t="s">
        <v>521</v>
      </c>
      <c r="E734" s="30" t="s">
        <v>524</v>
      </c>
      <c r="F734" s="30">
        <v>1</v>
      </c>
      <c r="G734" s="44">
        <v>2740</v>
      </c>
      <c r="H734" s="30"/>
      <c r="I734" s="44"/>
      <c r="J734" s="44"/>
      <c r="K734" s="44">
        <f t="shared" si="24"/>
        <v>2740</v>
      </c>
      <c r="L734" s="51">
        <v>20220512</v>
      </c>
    </row>
    <row r="735" spans="1:12" x14ac:dyDescent="0.25">
      <c r="A735" s="52" t="s">
        <v>1349</v>
      </c>
      <c r="B735" s="32" t="s">
        <v>11</v>
      </c>
      <c r="C735" s="32" t="s">
        <v>134</v>
      </c>
      <c r="D735" s="32" t="s">
        <v>135</v>
      </c>
      <c r="E735" s="32" t="s">
        <v>264</v>
      </c>
      <c r="F735" s="32">
        <v>1</v>
      </c>
      <c r="G735" s="45">
        <v>2740</v>
      </c>
      <c r="H735" s="32">
        <v>25</v>
      </c>
      <c r="I735" s="45">
        <v>36</v>
      </c>
      <c r="J735" s="45">
        <f>I735*H735</f>
        <v>900</v>
      </c>
      <c r="K735" s="45">
        <f t="shared" si="24"/>
        <v>3640</v>
      </c>
      <c r="L735" s="53">
        <v>20220513</v>
      </c>
    </row>
    <row r="736" spans="1:12" x14ac:dyDescent="0.25">
      <c r="A736" s="50" t="s">
        <v>1343</v>
      </c>
      <c r="B736" s="30" t="s">
        <v>11</v>
      </c>
      <c r="C736" s="30" t="s">
        <v>28</v>
      </c>
      <c r="D736" s="30" t="s">
        <v>753</v>
      </c>
      <c r="E736" s="30" t="s">
        <v>756</v>
      </c>
      <c r="F736" s="30">
        <v>1</v>
      </c>
      <c r="G736" s="44">
        <v>2740</v>
      </c>
      <c r="H736" s="30"/>
      <c r="I736" s="44"/>
      <c r="J736" s="44"/>
      <c r="K736" s="44">
        <f t="shared" si="24"/>
        <v>2740</v>
      </c>
      <c r="L736" s="51">
        <v>20220516</v>
      </c>
    </row>
    <row r="737" spans="1:12" x14ac:dyDescent="0.25">
      <c r="A737" s="52" t="s">
        <v>1351</v>
      </c>
      <c r="B737" s="32" t="s">
        <v>11</v>
      </c>
      <c r="C737" s="32" t="s">
        <v>168</v>
      </c>
      <c r="D737" s="32" t="s">
        <v>169</v>
      </c>
      <c r="E737" s="32" t="s">
        <v>170</v>
      </c>
      <c r="F737" s="32">
        <v>1</v>
      </c>
      <c r="G737" s="45">
        <v>2740</v>
      </c>
      <c r="H737" s="32">
        <v>140</v>
      </c>
      <c r="I737" s="45">
        <v>36</v>
      </c>
      <c r="J737" s="45">
        <f>I737*H737</f>
        <v>5040</v>
      </c>
      <c r="K737" s="45">
        <f t="shared" si="24"/>
        <v>7780</v>
      </c>
      <c r="L737" s="53">
        <v>20220516</v>
      </c>
    </row>
    <row r="738" spans="1:12" x14ac:dyDescent="0.25">
      <c r="A738" s="50" t="s">
        <v>1347</v>
      </c>
      <c r="B738" s="30" t="s">
        <v>1209</v>
      </c>
      <c r="C738" s="30" t="s">
        <v>666</v>
      </c>
      <c r="D738" s="30" t="s">
        <v>1348</v>
      </c>
      <c r="E738" s="30" t="s">
        <v>973</v>
      </c>
      <c r="F738" s="30">
        <v>1</v>
      </c>
      <c r="G738" s="44">
        <v>2740</v>
      </c>
      <c r="H738" s="30"/>
      <c r="I738" s="44"/>
      <c r="J738" s="44"/>
      <c r="K738" s="44">
        <f t="shared" si="24"/>
        <v>2740</v>
      </c>
      <c r="L738" s="51">
        <v>20220519</v>
      </c>
    </row>
    <row r="739" spans="1:12" x14ac:dyDescent="0.25">
      <c r="A739" s="50" t="s">
        <v>1344</v>
      </c>
      <c r="B739" s="30" t="s">
        <v>1209</v>
      </c>
      <c r="C739" s="30" t="s">
        <v>666</v>
      </c>
      <c r="D739" s="30" t="s">
        <v>1345</v>
      </c>
      <c r="E739" s="30" t="s">
        <v>1346</v>
      </c>
      <c r="F739" s="30">
        <v>1</v>
      </c>
      <c r="G739" s="44">
        <v>2740</v>
      </c>
      <c r="H739" s="30"/>
      <c r="I739" s="44"/>
      <c r="J739" s="44"/>
      <c r="K739" s="44">
        <f t="shared" si="24"/>
        <v>2740</v>
      </c>
      <c r="L739" s="51">
        <v>20220519</v>
      </c>
    </row>
    <row r="740" spans="1:12" x14ac:dyDescent="0.25">
      <c r="A740" s="50" t="s">
        <v>1360</v>
      </c>
      <c r="B740" s="30" t="s">
        <v>11</v>
      </c>
      <c r="C740" s="30" t="s">
        <v>94</v>
      </c>
      <c r="D740" s="30" t="s">
        <v>95</v>
      </c>
      <c r="E740" s="30" t="s">
        <v>738</v>
      </c>
      <c r="F740" s="30">
        <v>1</v>
      </c>
      <c r="G740" s="44">
        <v>2740</v>
      </c>
      <c r="H740" s="30"/>
      <c r="I740" s="44"/>
      <c r="J740" s="44"/>
      <c r="K740" s="44">
        <f t="shared" si="24"/>
        <v>2740</v>
      </c>
      <c r="L740" s="51">
        <v>20220519</v>
      </c>
    </row>
    <row r="741" spans="1:12" x14ac:dyDescent="0.25">
      <c r="A741" s="50" t="s">
        <v>1338</v>
      </c>
      <c r="B741" s="30" t="s">
        <v>11</v>
      </c>
      <c r="C741" s="30" t="s">
        <v>1021</v>
      </c>
      <c r="D741" s="30" t="s">
        <v>95</v>
      </c>
      <c r="E741" s="30" t="s">
        <v>1022</v>
      </c>
      <c r="F741" s="30">
        <v>1</v>
      </c>
      <c r="G741" s="44">
        <v>2740</v>
      </c>
      <c r="H741" s="30"/>
      <c r="I741" s="44"/>
      <c r="J741" s="44"/>
      <c r="K741" s="44">
        <f t="shared" si="24"/>
        <v>2740</v>
      </c>
      <c r="L741" s="51">
        <v>20220520</v>
      </c>
    </row>
    <row r="742" spans="1:12" x14ac:dyDescent="0.25">
      <c r="A742" s="52" t="s">
        <v>1339</v>
      </c>
      <c r="B742" s="32" t="s">
        <v>11</v>
      </c>
      <c r="C742" s="32" t="s">
        <v>163</v>
      </c>
      <c r="D742" s="32" t="s">
        <v>164</v>
      </c>
      <c r="E742" s="32" t="s">
        <v>444</v>
      </c>
      <c r="F742" s="32">
        <v>1</v>
      </c>
      <c r="G742" s="45">
        <v>2740</v>
      </c>
      <c r="H742" s="32">
        <v>120</v>
      </c>
      <c r="I742" s="45">
        <v>36</v>
      </c>
      <c r="J742" s="45">
        <f>I742*H742</f>
        <v>4320</v>
      </c>
      <c r="K742" s="45">
        <f t="shared" si="24"/>
        <v>7060</v>
      </c>
      <c r="L742" s="53">
        <v>20220520</v>
      </c>
    </row>
    <row r="743" spans="1:12" x14ac:dyDescent="0.25">
      <c r="A743" s="50" t="s">
        <v>1350</v>
      </c>
      <c r="B743" s="30" t="s">
        <v>11</v>
      </c>
      <c r="C743" s="30" t="s">
        <v>163</v>
      </c>
      <c r="D743" s="30" t="s">
        <v>164</v>
      </c>
      <c r="E743" s="30" t="s">
        <v>305</v>
      </c>
      <c r="F743" s="30">
        <v>1</v>
      </c>
      <c r="G743" s="44">
        <v>2740</v>
      </c>
      <c r="H743" s="30"/>
      <c r="I743" s="44"/>
      <c r="J743" s="44"/>
      <c r="K743" s="44">
        <f t="shared" si="24"/>
        <v>2740</v>
      </c>
      <c r="L743" s="51">
        <v>20220520</v>
      </c>
    </row>
    <row r="744" spans="1:12" x14ac:dyDescent="0.25">
      <c r="A744" s="50" t="s">
        <v>1331</v>
      </c>
      <c r="B744" s="30" t="s">
        <v>11</v>
      </c>
      <c r="C744" s="30" t="s">
        <v>29</v>
      </c>
      <c r="D744" s="30" t="s">
        <v>389</v>
      </c>
      <c r="E744" s="30" t="s">
        <v>1332</v>
      </c>
      <c r="F744" s="30">
        <v>1</v>
      </c>
      <c r="G744" s="44">
        <v>2740</v>
      </c>
      <c r="H744" s="30"/>
      <c r="I744" s="44"/>
      <c r="J744" s="44"/>
      <c r="K744" s="44">
        <f t="shared" si="24"/>
        <v>2740</v>
      </c>
      <c r="L744" s="51">
        <v>20220524</v>
      </c>
    </row>
    <row r="745" spans="1:12" x14ac:dyDescent="0.25">
      <c r="A745" s="52" t="s">
        <v>1356</v>
      </c>
      <c r="B745" s="32" t="s">
        <v>11</v>
      </c>
      <c r="C745" s="32" t="s">
        <v>45</v>
      </c>
      <c r="D745" s="32" t="s">
        <v>46</v>
      </c>
      <c r="E745" s="32" t="s">
        <v>47</v>
      </c>
      <c r="F745" s="32">
        <v>1</v>
      </c>
      <c r="G745" s="45">
        <v>2740</v>
      </c>
      <c r="H745" s="32">
        <v>50</v>
      </c>
      <c r="I745" s="45">
        <v>36</v>
      </c>
      <c r="J745" s="45">
        <f>I745*H745</f>
        <v>1800</v>
      </c>
      <c r="K745" s="45">
        <f t="shared" si="24"/>
        <v>4540</v>
      </c>
      <c r="L745" s="53">
        <v>20220526</v>
      </c>
    </row>
    <row r="746" spans="1:12" x14ac:dyDescent="0.25">
      <c r="A746" s="50" t="s">
        <v>1336</v>
      </c>
      <c r="B746" s="30" t="s">
        <v>11</v>
      </c>
      <c r="C746" s="30" t="s">
        <v>1021</v>
      </c>
      <c r="D746" s="30" t="s">
        <v>24</v>
      </c>
      <c r="E746" s="30" t="s">
        <v>1337</v>
      </c>
      <c r="F746" s="30">
        <v>1</v>
      </c>
      <c r="G746" s="44">
        <v>2740</v>
      </c>
      <c r="H746" s="30"/>
      <c r="I746" s="44"/>
      <c r="J746" s="44"/>
      <c r="K746" s="44">
        <f t="shared" si="24"/>
        <v>2740</v>
      </c>
      <c r="L746" s="51">
        <v>20220526</v>
      </c>
    </row>
    <row r="747" spans="1:12" x14ac:dyDescent="0.25">
      <c r="A747" s="50" t="s">
        <v>1333</v>
      </c>
      <c r="B747" s="30" t="s">
        <v>11</v>
      </c>
      <c r="C747" s="30" t="s">
        <v>53</v>
      </c>
      <c r="D747" s="30" t="s">
        <v>24</v>
      </c>
      <c r="E747" s="30" t="s">
        <v>1308</v>
      </c>
      <c r="F747" s="30">
        <v>1</v>
      </c>
      <c r="G747" s="44">
        <v>2740</v>
      </c>
      <c r="H747" s="30"/>
      <c r="I747" s="44"/>
      <c r="J747" s="44"/>
      <c r="K747" s="44">
        <f t="shared" si="24"/>
        <v>2740</v>
      </c>
      <c r="L747" s="51">
        <v>20220527</v>
      </c>
    </row>
    <row r="748" spans="1:12" x14ac:dyDescent="0.25">
      <c r="A748" s="50" t="s">
        <v>1340</v>
      </c>
      <c r="B748" s="30" t="s">
        <v>11</v>
      </c>
      <c r="C748" s="30" t="s">
        <v>270</v>
      </c>
      <c r="D748" s="30" t="s">
        <v>1341</v>
      </c>
      <c r="E748" s="30" t="s">
        <v>1342</v>
      </c>
      <c r="F748" s="30">
        <v>1</v>
      </c>
      <c r="G748" s="44">
        <v>2740</v>
      </c>
      <c r="H748" s="30"/>
      <c r="I748" s="44"/>
      <c r="J748" s="44"/>
      <c r="K748" s="44">
        <f t="shared" si="24"/>
        <v>2740</v>
      </c>
      <c r="L748" s="51">
        <v>20220530</v>
      </c>
    </row>
    <row r="749" spans="1:12" x14ac:dyDescent="0.25">
      <c r="A749" s="52" t="s">
        <v>1334</v>
      </c>
      <c r="B749" s="32" t="s">
        <v>11</v>
      </c>
      <c r="C749" s="32" t="s">
        <v>29</v>
      </c>
      <c r="D749" s="32" t="s">
        <v>30</v>
      </c>
      <c r="E749" s="32" t="s">
        <v>509</v>
      </c>
      <c r="F749" s="32">
        <v>1</v>
      </c>
      <c r="G749" s="45">
        <v>2740</v>
      </c>
      <c r="H749" s="32">
        <v>140</v>
      </c>
      <c r="I749" s="45">
        <v>36</v>
      </c>
      <c r="J749" s="45">
        <f>I749*H749</f>
        <v>5040</v>
      </c>
      <c r="K749" s="45">
        <f t="shared" si="24"/>
        <v>7780</v>
      </c>
      <c r="L749" s="53">
        <v>20220530</v>
      </c>
    </row>
    <row r="750" spans="1:12" x14ac:dyDescent="0.25">
      <c r="A750" s="52" t="s">
        <v>1354</v>
      </c>
      <c r="B750" s="32" t="s">
        <v>11</v>
      </c>
      <c r="C750" s="32" t="s">
        <v>34</v>
      </c>
      <c r="D750" s="32" t="s">
        <v>35</v>
      </c>
      <c r="E750" s="32" t="s">
        <v>1355</v>
      </c>
      <c r="F750" s="32">
        <v>1</v>
      </c>
      <c r="G750" s="45">
        <v>2740</v>
      </c>
      <c r="H750" s="32">
        <v>64</v>
      </c>
      <c r="I750" s="45">
        <v>36</v>
      </c>
      <c r="J750" s="45">
        <f>I750*H750</f>
        <v>2304</v>
      </c>
      <c r="K750" s="45">
        <f t="shared" si="24"/>
        <v>5044</v>
      </c>
      <c r="L750" s="53">
        <v>20220530</v>
      </c>
    </row>
    <row r="751" spans="1:12" x14ac:dyDescent="0.25">
      <c r="A751" s="52" t="s">
        <v>1328</v>
      </c>
      <c r="B751" s="32" t="s">
        <v>11</v>
      </c>
      <c r="C751" s="32" t="s">
        <v>28</v>
      </c>
      <c r="D751" s="32" t="s">
        <v>1329</v>
      </c>
      <c r="E751" s="32" t="s">
        <v>1330</v>
      </c>
      <c r="F751" s="32">
        <v>1</v>
      </c>
      <c r="G751" s="45">
        <v>2740</v>
      </c>
      <c r="H751" s="32">
        <v>30</v>
      </c>
      <c r="I751" s="45">
        <v>36</v>
      </c>
      <c r="J751" s="45">
        <f>I751*H751</f>
        <v>1080</v>
      </c>
      <c r="K751" s="45">
        <f t="shared" si="24"/>
        <v>3820</v>
      </c>
      <c r="L751" s="53">
        <v>20220531</v>
      </c>
    </row>
    <row r="752" spans="1:12" x14ac:dyDescent="0.25">
      <c r="A752" s="50" t="s">
        <v>1325</v>
      </c>
      <c r="B752" s="30" t="s">
        <v>11</v>
      </c>
      <c r="C752" s="30" t="s">
        <v>94</v>
      </c>
      <c r="D752" s="30" t="s">
        <v>95</v>
      </c>
      <c r="E752" s="30" t="s">
        <v>1083</v>
      </c>
      <c r="F752" s="30">
        <v>1</v>
      </c>
      <c r="G752" s="44">
        <v>2740</v>
      </c>
      <c r="H752" s="30"/>
      <c r="I752" s="44"/>
      <c r="J752" s="44"/>
      <c r="K752" s="44">
        <f t="shared" si="24"/>
        <v>2740</v>
      </c>
      <c r="L752" s="51">
        <v>20220531</v>
      </c>
    </row>
    <row r="753" spans="1:12" x14ac:dyDescent="0.25">
      <c r="A753" s="121" t="s">
        <v>1335</v>
      </c>
      <c r="B753" s="122" t="s">
        <v>11</v>
      </c>
      <c r="C753" s="122" t="s">
        <v>654</v>
      </c>
      <c r="D753" s="122" t="s">
        <v>655</v>
      </c>
      <c r="E753" s="122" t="s">
        <v>662</v>
      </c>
      <c r="F753" s="122">
        <v>1</v>
      </c>
      <c r="G753" s="123">
        <v>2740</v>
      </c>
      <c r="H753" s="122"/>
      <c r="I753" s="123"/>
      <c r="J753" s="123"/>
      <c r="K753" s="123">
        <f t="shared" si="24"/>
        <v>2740</v>
      </c>
      <c r="L753" s="124">
        <v>20220601</v>
      </c>
    </row>
    <row r="754" spans="1:12" x14ac:dyDescent="0.25">
      <c r="A754" s="121" t="s">
        <v>1326</v>
      </c>
      <c r="B754" s="122" t="s">
        <v>11</v>
      </c>
      <c r="C754" s="122" t="s">
        <v>251</v>
      </c>
      <c r="D754" s="122" t="s">
        <v>740</v>
      </c>
      <c r="E754" s="122" t="s">
        <v>741</v>
      </c>
      <c r="F754" s="122">
        <v>1</v>
      </c>
      <c r="G754" s="123">
        <v>2740</v>
      </c>
      <c r="H754" s="122"/>
      <c r="I754" s="123"/>
      <c r="J754" s="123"/>
      <c r="K754" s="123">
        <f t="shared" si="24"/>
        <v>2740</v>
      </c>
      <c r="L754" s="124">
        <v>20220601</v>
      </c>
    </row>
    <row r="755" spans="1:12" x14ac:dyDescent="0.25">
      <c r="A755" s="121" t="s">
        <v>1324</v>
      </c>
      <c r="B755" s="122" t="s">
        <v>11</v>
      </c>
      <c r="C755" s="122" t="s">
        <v>29</v>
      </c>
      <c r="D755" s="122" t="s">
        <v>24</v>
      </c>
      <c r="E755" s="122" t="s">
        <v>1290</v>
      </c>
      <c r="F755" s="122">
        <v>1</v>
      </c>
      <c r="G755" s="123">
        <v>2740</v>
      </c>
      <c r="H755" s="122"/>
      <c r="I755" s="123"/>
      <c r="J755" s="123"/>
      <c r="K755" s="123">
        <f t="shared" si="24"/>
        <v>2740</v>
      </c>
      <c r="L755" s="124">
        <v>20220601</v>
      </c>
    </row>
    <row r="756" spans="1:12" ht="15.75" thickBot="1" x14ac:dyDescent="0.3">
      <c r="A756" s="144" t="s">
        <v>1327</v>
      </c>
      <c r="B756" s="145" t="s">
        <v>11</v>
      </c>
      <c r="C756" s="145" t="s">
        <v>29</v>
      </c>
      <c r="D756" s="145" t="s">
        <v>24</v>
      </c>
      <c r="E756" s="145" t="s">
        <v>630</v>
      </c>
      <c r="F756" s="145">
        <v>1</v>
      </c>
      <c r="G756" s="146">
        <v>2740</v>
      </c>
      <c r="H756" s="145"/>
      <c r="I756" s="146"/>
      <c r="J756" s="146"/>
      <c r="K756" s="146">
        <f t="shared" si="24"/>
        <v>2740</v>
      </c>
      <c r="L756" s="147">
        <v>20220601</v>
      </c>
    </row>
    <row r="757" spans="1:12" x14ac:dyDescent="0.25">
      <c r="A757" s="73"/>
      <c r="B757" s="74"/>
      <c r="C757" s="74"/>
      <c r="D757" s="74"/>
      <c r="E757" s="74"/>
      <c r="F757" s="74"/>
      <c r="G757" s="75"/>
      <c r="H757" s="74"/>
      <c r="I757" s="75"/>
      <c r="J757" s="75"/>
      <c r="K757" s="75"/>
      <c r="L757" s="76"/>
    </row>
    <row r="758" spans="1:12" ht="15.75" thickBot="1" x14ac:dyDescent="0.3">
      <c r="A758" s="69"/>
      <c r="B758" s="70"/>
      <c r="C758" s="70"/>
      <c r="D758" s="70"/>
      <c r="E758" s="70"/>
      <c r="F758" s="70"/>
      <c r="G758" s="71"/>
      <c r="H758" s="70"/>
      <c r="I758" s="71"/>
      <c r="J758" s="71"/>
      <c r="K758" s="71"/>
      <c r="L758" s="72"/>
    </row>
    <row r="759" spans="1:12" x14ac:dyDescent="0.25">
      <c r="A759" s="140" t="s">
        <v>1381</v>
      </c>
      <c r="B759" s="141" t="s">
        <v>137</v>
      </c>
      <c r="C759" s="141" t="s">
        <v>364</v>
      </c>
      <c r="D759" s="141" t="s">
        <v>24</v>
      </c>
      <c r="E759" s="141" t="s">
        <v>698</v>
      </c>
      <c r="F759" s="141">
        <v>1</v>
      </c>
      <c r="G759" s="142">
        <v>1370</v>
      </c>
      <c r="H759" s="141"/>
      <c r="I759" s="142"/>
      <c r="J759" s="142"/>
      <c r="K759" s="142">
        <f t="shared" ref="K759:K767" si="25">J759+G759</f>
        <v>1370</v>
      </c>
      <c r="L759" s="143">
        <v>20220106</v>
      </c>
    </row>
    <row r="760" spans="1:12" x14ac:dyDescent="0.25">
      <c r="A760" s="50" t="s">
        <v>1376</v>
      </c>
      <c r="B760" s="30" t="s">
        <v>137</v>
      </c>
      <c r="C760" s="30" t="s">
        <v>34</v>
      </c>
      <c r="D760" s="30" t="s">
        <v>35</v>
      </c>
      <c r="E760" s="30" t="s">
        <v>1377</v>
      </c>
      <c r="F760" s="30">
        <v>1</v>
      </c>
      <c r="G760" s="44">
        <v>1370</v>
      </c>
      <c r="H760" s="30"/>
      <c r="I760" s="44"/>
      <c r="J760" s="44"/>
      <c r="K760" s="44">
        <f t="shared" si="25"/>
        <v>1370</v>
      </c>
      <c r="L760" s="51">
        <v>20220510</v>
      </c>
    </row>
    <row r="761" spans="1:12" x14ac:dyDescent="0.25">
      <c r="A761" s="50" t="s">
        <v>1374</v>
      </c>
      <c r="B761" s="30" t="s">
        <v>137</v>
      </c>
      <c r="C761" s="30" t="s">
        <v>34</v>
      </c>
      <c r="D761" s="30" t="s">
        <v>35</v>
      </c>
      <c r="E761" s="30" t="s">
        <v>1375</v>
      </c>
      <c r="F761" s="30">
        <v>1</v>
      </c>
      <c r="G761" s="44">
        <v>1370</v>
      </c>
      <c r="H761" s="30"/>
      <c r="I761" s="44"/>
      <c r="J761" s="44"/>
      <c r="K761" s="44">
        <f t="shared" si="25"/>
        <v>1370</v>
      </c>
      <c r="L761" s="51">
        <v>20220510</v>
      </c>
    </row>
    <row r="762" spans="1:12" x14ac:dyDescent="0.25">
      <c r="A762" s="50" t="s">
        <v>1372</v>
      </c>
      <c r="B762" s="30" t="s">
        <v>137</v>
      </c>
      <c r="C762" s="30" t="s">
        <v>34</v>
      </c>
      <c r="D762" s="30" t="s">
        <v>35</v>
      </c>
      <c r="E762" s="30" t="s">
        <v>1373</v>
      </c>
      <c r="F762" s="30">
        <v>1</v>
      </c>
      <c r="G762" s="44">
        <v>1370</v>
      </c>
      <c r="H762" s="30"/>
      <c r="I762" s="44"/>
      <c r="J762" s="44"/>
      <c r="K762" s="44">
        <f t="shared" si="25"/>
        <v>1370</v>
      </c>
      <c r="L762" s="51">
        <v>20220510</v>
      </c>
    </row>
    <row r="763" spans="1:12" x14ac:dyDescent="0.25">
      <c r="A763" s="50" t="s">
        <v>1371</v>
      </c>
      <c r="B763" s="30" t="s">
        <v>137</v>
      </c>
      <c r="C763" s="30" t="s">
        <v>34</v>
      </c>
      <c r="D763" s="30" t="s">
        <v>35</v>
      </c>
      <c r="E763" s="30" t="s">
        <v>114</v>
      </c>
      <c r="F763" s="30">
        <v>1</v>
      </c>
      <c r="G763" s="44">
        <v>1370</v>
      </c>
      <c r="H763" s="30"/>
      <c r="I763" s="44"/>
      <c r="J763" s="44"/>
      <c r="K763" s="44">
        <f t="shared" si="25"/>
        <v>1370</v>
      </c>
      <c r="L763" s="51">
        <v>20220510</v>
      </c>
    </row>
    <row r="764" spans="1:12" x14ac:dyDescent="0.25">
      <c r="A764" s="50" t="s">
        <v>1370</v>
      </c>
      <c r="B764" s="30" t="s">
        <v>137</v>
      </c>
      <c r="C764" s="30" t="s">
        <v>34</v>
      </c>
      <c r="D764" s="30" t="s">
        <v>35</v>
      </c>
      <c r="E764" s="30" t="s">
        <v>968</v>
      </c>
      <c r="F764" s="30">
        <v>1</v>
      </c>
      <c r="G764" s="44">
        <v>1370</v>
      </c>
      <c r="H764" s="30"/>
      <c r="I764" s="44"/>
      <c r="J764" s="44"/>
      <c r="K764" s="44">
        <f t="shared" si="25"/>
        <v>1370</v>
      </c>
      <c r="L764" s="51">
        <v>20220510</v>
      </c>
    </row>
    <row r="765" spans="1:12" x14ac:dyDescent="0.25">
      <c r="A765" s="50" t="s">
        <v>1368</v>
      </c>
      <c r="B765" s="30" t="s">
        <v>137</v>
      </c>
      <c r="C765" s="30" t="s">
        <v>34</v>
      </c>
      <c r="D765" s="30" t="s">
        <v>35</v>
      </c>
      <c r="E765" s="30" t="s">
        <v>1369</v>
      </c>
      <c r="F765" s="30">
        <v>1</v>
      </c>
      <c r="G765" s="44">
        <v>1370</v>
      </c>
      <c r="H765" s="30"/>
      <c r="I765" s="44"/>
      <c r="J765" s="44"/>
      <c r="K765" s="44">
        <f t="shared" si="25"/>
        <v>1370</v>
      </c>
      <c r="L765" s="51">
        <v>20220510</v>
      </c>
    </row>
    <row r="766" spans="1:12" x14ac:dyDescent="0.25">
      <c r="A766" s="50" t="s">
        <v>1366</v>
      </c>
      <c r="B766" s="30" t="s">
        <v>137</v>
      </c>
      <c r="C766" s="30" t="s">
        <v>34</v>
      </c>
      <c r="D766" s="30" t="s">
        <v>35</v>
      </c>
      <c r="E766" s="30" t="s">
        <v>1367</v>
      </c>
      <c r="F766" s="30">
        <v>1</v>
      </c>
      <c r="G766" s="44">
        <v>1370</v>
      </c>
      <c r="H766" s="30"/>
      <c r="I766" s="44"/>
      <c r="J766" s="44"/>
      <c r="K766" s="44">
        <f t="shared" si="25"/>
        <v>1370</v>
      </c>
      <c r="L766" s="51">
        <v>20220510</v>
      </c>
    </row>
    <row r="767" spans="1:12" ht="15.75" thickBot="1" x14ac:dyDescent="0.3">
      <c r="A767" s="54" t="s">
        <v>1364</v>
      </c>
      <c r="B767" s="36" t="s">
        <v>137</v>
      </c>
      <c r="C767" s="36" t="s">
        <v>34</v>
      </c>
      <c r="D767" s="36" t="s">
        <v>35</v>
      </c>
      <c r="E767" s="36" t="s">
        <v>1365</v>
      </c>
      <c r="F767" s="36">
        <v>1</v>
      </c>
      <c r="G767" s="65">
        <v>1370</v>
      </c>
      <c r="H767" s="36"/>
      <c r="I767" s="65"/>
      <c r="J767" s="65"/>
      <c r="K767" s="65">
        <f t="shared" si="25"/>
        <v>1370</v>
      </c>
      <c r="L767" s="55">
        <v>20220510</v>
      </c>
    </row>
    <row r="771" spans="1:12" ht="15.75" thickBot="1" x14ac:dyDescent="0.3">
      <c r="A771" s="69" t="s">
        <v>0</v>
      </c>
      <c r="B771" s="70" t="s">
        <v>1</v>
      </c>
      <c r="C771" s="70" t="s">
        <v>2</v>
      </c>
      <c r="D771" s="70" t="s">
        <v>3</v>
      </c>
      <c r="E771" s="70" t="s">
        <v>4</v>
      </c>
      <c r="F771" s="70"/>
      <c r="G771" s="71" t="s">
        <v>6</v>
      </c>
      <c r="H771" s="70" t="s">
        <v>7</v>
      </c>
      <c r="I771" s="71" t="s">
        <v>8</v>
      </c>
      <c r="J771" s="71" t="s">
        <v>9</v>
      </c>
      <c r="K771" s="71" t="s">
        <v>10</v>
      </c>
      <c r="L771" s="72" t="s">
        <v>5</v>
      </c>
    </row>
    <row r="772" spans="1:12" x14ac:dyDescent="0.25">
      <c r="A772" s="48" t="s">
        <v>1335</v>
      </c>
      <c r="B772" s="34" t="s">
        <v>11</v>
      </c>
      <c r="C772" s="34" t="s">
        <v>654</v>
      </c>
      <c r="D772" s="34" t="s">
        <v>655</v>
      </c>
      <c r="E772" s="34" t="s">
        <v>662</v>
      </c>
      <c r="F772" s="34">
        <v>1</v>
      </c>
      <c r="G772" s="64">
        <v>2740</v>
      </c>
      <c r="H772" s="34"/>
      <c r="I772" s="64"/>
      <c r="J772" s="64"/>
      <c r="K772" s="64">
        <f t="shared" ref="K772:K815" si="26">J772+G772</f>
        <v>2740</v>
      </c>
      <c r="L772" s="49">
        <v>20220601</v>
      </c>
    </row>
    <row r="773" spans="1:12" x14ac:dyDescent="0.25">
      <c r="A773" s="50" t="s">
        <v>1326</v>
      </c>
      <c r="B773" s="30" t="s">
        <v>11</v>
      </c>
      <c r="C773" s="30" t="s">
        <v>251</v>
      </c>
      <c r="D773" s="30" t="s">
        <v>740</v>
      </c>
      <c r="E773" s="30" t="s">
        <v>741</v>
      </c>
      <c r="F773" s="30">
        <v>1</v>
      </c>
      <c r="G773" s="44">
        <v>2740</v>
      </c>
      <c r="H773" s="30"/>
      <c r="I773" s="44"/>
      <c r="J773" s="44"/>
      <c r="K773" s="44">
        <f t="shared" si="26"/>
        <v>2740</v>
      </c>
      <c r="L773" s="51">
        <v>20220601</v>
      </c>
    </row>
    <row r="774" spans="1:12" x14ac:dyDescent="0.25">
      <c r="A774" s="50" t="s">
        <v>1324</v>
      </c>
      <c r="B774" s="30" t="s">
        <v>11</v>
      </c>
      <c r="C774" s="30" t="s">
        <v>29</v>
      </c>
      <c r="D774" s="30" t="s">
        <v>24</v>
      </c>
      <c r="E774" s="30" t="s">
        <v>1290</v>
      </c>
      <c r="F774" s="30">
        <v>1</v>
      </c>
      <c r="G774" s="44">
        <v>2740</v>
      </c>
      <c r="H774" s="30"/>
      <c r="I774" s="44"/>
      <c r="J774" s="44"/>
      <c r="K774" s="44">
        <f t="shared" si="26"/>
        <v>2740</v>
      </c>
      <c r="L774" s="51">
        <v>20220601</v>
      </c>
    </row>
    <row r="775" spans="1:12" x14ac:dyDescent="0.25">
      <c r="A775" s="50" t="s">
        <v>1327</v>
      </c>
      <c r="B775" s="30" t="s">
        <v>11</v>
      </c>
      <c r="C775" s="30" t="s">
        <v>29</v>
      </c>
      <c r="D775" s="30" t="s">
        <v>24</v>
      </c>
      <c r="E775" s="30" t="s">
        <v>630</v>
      </c>
      <c r="F775" s="30">
        <v>1</v>
      </c>
      <c r="G775" s="44">
        <v>2740</v>
      </c>
      <c r="H775" s="30"/>
      <c r="I775" s="44"/>
      <c r="J775" s="44"/>
      <c r="K775" s="44">
        <f t="shared" si="26"/>
        <v>2740</v>
      </c>
      <c r="L775" s="51">
        <v>20220601</v>
      </c>
    </row>
    <row r="776" spans="1:12" x14ac:dyDescent="0.25">
      <c r="A776" s="52" t="s">
        <v>1439</v>
      </c>
      <c r="B776" s="32" t="s">
        <v>11</v>
      </c>
      <c r="C776" s="32" t="s">
        <v>163</v>
      </c>
      <c r="D776" s="32" t="s">
        <v>164</v>
      </c>
      <c r="E776" s="32" t="s">
        <v>244</v>
      </c>
      <c r="F776" s="32">
        <v>1</v>
      </c>
      <c r="G776" s="45">
        <v>2740</v>
      </c>
      <c r="H776" s="32">
        <v>120</v>
      </c>
      <c r="I776" s="45">
        <v>36</v>
      </c>
      <c r="J776" s="45">
        <f>I776*H776</f>
        <v>4320</v>
      </c>
      <c r="K776" s="45">
        <f t="shared" si="26"/>
        <v>7060</v>
      </c>
      <c r="L776" s="53">
        <v>20220602</v>
      </c>
    </row>
    <row r="777" spans="1:12" x14ac:dyDescent="0.25">
      <c r="A777" s="50" t="s">
        <v>1438</v>
      </c>
      <c r="B777" s="30" t="s">
        <v>1209</v>
      </c>
      <c r="C777" s="30" t="s">
        <v>654</v>
      </c>
      <c r="D777" s="30" t="s">
        <v>1388</v>
      </c>
      <c r="E777" s="30" t="s">
        <v>1389</v>
      </c>
      <c r="F777" s="30">
        <v>1</v>
      </c>
      <c r="G777" s="44">
        <v>2740</v>
      </c>
      <c r="H777" s="30"/>
      <c r="I777" s="44"/>
      <c r="J777" s="44"/>
      <c r="K777" s="44">
        <f t="shared" si="26"/>
        <v>2740</v>
      </c>
      <c r="L777" s="51">
        <v>20220603</v>
      </c>
    </row>
    <row r="778" spans="1:12" x14ac:dyDescent="0.25">
      <c r="A778" s="50" t="s">
        <v>1441</v>
      </c>
      <c r="B778" s="30" t="s">
        <v>1209</v>
      </c>
      <c r="C778" s="30" t="s">
        <v>895</v>
      </c>
      <c r="D778" s="30" t="s">
        <v>896</v>
      </c>
      <c r="E778" s="30" t="s">
        <v>1442</v>
      </c>
      <c r="F778" s="30">
        <v>1</v>
      </c>
      <c r="G778" s="44">
        <v>2740</v>
      </c>
      <c r="H778" s="30"/>
      <c r="I778" s="44"/>
      <c r="J778" s="44"/>
      <c r="K778" s="44">
        <f t="shared" si="26"/>
        <v>2740</v>
      </c>
      <c r="L778" s="51">
        <v>20220603</v>
      </c>
    </row>
    <row r="779" spans="1:12" x14ac:dyDescent="0.25">
      <c r="A779" s="50" t="s">
        <v>1433</v>
      </c>
      <c r="B779" s="30" t="s">
        <v>11</v>
      </c>
      <c r="C779" s="30" t="s">
        <v>94</v>
      </c>
      <c r="D779" s="30" t="s">
        <v>95</v>
      </c>
      <c r="E779" s="30" t="s">
        <v>485</v>
      </c>
      <c r="F779" s="30">
        <v>1</v>
      </c>
      <c r="G779" s="44">
        <v>2740</v>
      </c>
      <c r="H779" s="30"/>
      <c r="I779" s="44"/>
      <c r="J779" s="44"/>
      <c r="K779" s="44">
        <f t="shared" si="26"/>
        <v>2740</v>
      </c>
      <c r="L779" s="51">
        <v>20220603</v>
      </c>
    </row>
    <row r="780" spans="1:12" x14ac:dyDescent="0.25">
      <c r="A780" s="52" t="s">
        <v>1432</v>
      </c>
      <c r="B780" s="32" t="s">
        <v>11</v>
      </c>
      <c r="C780" s="32" t="s">
        <v>28</v>
      </c>
      <c r="D780" s="32" t="s">
        <v>1297</v>
      </c>
      <c r="E780" s="32" t="s">
        <v>1298</v>
      </c>
      <c r="F780" s="32">
        <v>1</v>
      </c>
      <c r="G780" s="45">
        <v>2740</v>
      </c>
      <c r="H780" s="32">
        <v>28</v>
      </c>
      <c r="I780" s="45">
        <v>36</v>
      </c>
      <c r="J780" s="45">
        <f>I780*H780</f>
        <v>1008</v>
      </c>
      <c r="K780" s="45">
        <f t="shared" si="26"/>
        <v>3748</v>
      </c>
      <c r="L780" s="53">
        <v>20220606</v>
      </c>
    </row>
    <row r="781" spans="1:12" x14ac:dyDescent="0.25">
      <c r="A781" s="50" t="s">
        <v>1428</v>
      </c>
      <c r="B781" s="30" t="s">
        <v>11</v>
      </c>
      <c r="C781" s="30" t="s">
        <v>26</v>
      </c>
      <c r="D781" s="30" t="s">
        <v>616</v>
      </c>
      <c r="E781" s="30" t="s">
        <v>621</v>
      </c>
      <c r="F781" s="30">
        <v>1</v>
      </c>
      <c r="G781" s="44">
        <v>2740</v>
      </c>
      <c r="H781" s="30"/>
      <c r="I781" s="44"/>
      <c r="J781" s="44"/>
      <c r="K781" s="44">
        <f t="shared" si="26"/>
        <v>2740</v>
      </c>
      <c r="L781" s="51">
        <v>20220607</v>
      </c>
    </row>
    <row r="782" spans="1:12" x14ac:dyDescent="0.25">
      <c r="A782" s="50" t="s">
        <v>1423</v>
      </c>
      <c r="B782" s="30" t="s">
        <v>11</v>
      </c>
      <c r="C782" s="30" t="s">
        <v>94</v>
      </c>
      <c r="D782" s="30" t="s">
        <v>95</v>
      </c>
      <c r="E782" s="30" t="s">
        <v>112</v>
      </c>
      <c r="F782" s="30">
        <v>1</v>
      </c>
      <c r="G782" s="44">
        <v>2740</v>
      </c>
      <c r="H782" s="30"/>
      <c r="I782" s="44"/>
      <c r="J782" s="44"/>
      <c r="K782" s="44">
        <f t="shared" si="26"/>
        <v>2740</v>
      </c>
      <c r="L782" s="51">
        <v>20220608</v>
      </c>
    </row>
    <row r="783" spans="1:12" x14ac:dyDescent="0.25">
      <c r="A783" s="50" t="s">
        <v>1435</v>
      </c>
      <c r="B783" s="30" t="s">
        <v>11</v>
      </c>
      <c r="C783" s="30" t="s">
        <v>337</v>
      </c>
      <c r="D783" s="30" t="s">
        <v>1436</v>
      </c>
      <c r="E783" s="30" t="s">
        <v>1437</v>
      </c>
      <c r="F783" s="30">
        <v>1</v>
      </c>
      <c r="G783" s="44">
        <v>2740</v>
      </c>
      <c r="H783" s="30"/>
      <c r="I783" s="44"/>
      <c r="J783" s="44"/>
      <c r="K783" s="44">
        <f t="shared" si="26"/>
        <v>2740</v>
      </c>
      <c r="L783" s="51">
        <v>20220609</v>
      </c>
    </row>
    <row r="784" spans="1:12" x14ac:dyDescent="0.25">
      <c r="A784" s="50" t="s">
        <v>1422</v>
      </c>
      <c r="B784" s="30" t="s">
        <v>11</v>
      </c>
      <c r="C784" s="30" t="s">
        <v>26</v>
      </c>
      <c r="D784" s="30" t="s">
        <v>179</v>
      </c>
      <c r="E784" s="30" t="s">
        <v>180</v>
      </c>
      <c r="F784" s="30">
        <v>1</v>
      </c>
      <c r="G784" s="44">
        <v>2740</v>
      </c>
      <c r="H784" s="30"/>
      <c r="I784" s="44"/>
      <c r="J784" s="44"/>
      <c r="K784" s="44">
        <f t="shared" si="26"/>
        <v>2740</v>
      </c>
      <c r="L784" s="51">
        <v>20220609</v>
      </c>
    </row>
    <row r="785" spans="1:12" x14ac:dyDescent="0.25">
      <c r="A785" s="50" t="s">
        <v>1434</v>
      </c>
      <c r="B785" s="30" t="s">
        <v>11</v>
      </c>
      <c r="C785" s="30" t="s">
        <v>505</v>
      </c>
      <c r="D785" s="30" t="s">
        <v>24</v>
      </c>
      <c r="E785" s="30" t="s">
        <v>931</v>
      </c>
      <c r="F785" s="30">
        <v>1</v>
      </c>
      <c r="G785" s="44">
        <v>2740</v>
      </c>
      <c r="H785" s="30"/>
      <c r="I785" s="44"/>
      <c r="J785" s="44"/>
      <c r="K785" s="44">
        <f t="shared" si="26"/>
        <v>2740</v>
      </c>
      <c r="L785" s="51">
        <v>20220609</v>
      </c>
    </row>
    <row r="786" spans="1:12" x14ac:dyDescent="0.25">
      <c r="A786" s="50" t="s">
        <v>1424</v>
      </c>
      <c r="B786" s="30" t="s">
        <v>11</v>
      </c>
      <c r="C786" s="30" t="s">
        <v>405</v>
      </c>
      <c r="D786" s="30" t="s">
        <v>24</v>
      </c>
      <c r="E786" s="30" t="s">
        <v>1425</v>
      </c>
      <c r="F786" s="30">
        <v>1</v>
      </c>
      <c r="G786" s="44">
        <v>2740</v>
      </c>
      <c r="H786" s="30"/>
      <c r="I786" s="44"/>
      <c r="J786" s="44"/>
      <c r="K786" s="44">
        <f t="shared" si="26"/>
        <v>2740</v>
      </c>
      <c r="L786" s="51">
        <v>20220609</v>
      </c>
    </row>
    <row r="787" spans="1:12" x14ac:dyDescent="0.25">
      <c r="A787" s="50" t="s">
        <v>1415</v>
      </c>
      <c r="B787" s="30" t="s">
        <v>11</v>
      </c>
      <c r="C787" s="30" t="s">
        <v>654</v>
      </c>
      <c r="D787" s="30" t="s">
        <v>1388</v>
      </c>
      <c r="E787" s="30" t="s">
        <v>1389</v>
      </c>
      <c r="F787" s="30">
        <v>1</v>
      </c>
      <c r="G787" s="44">
        <v>2740</v>
      </c>
      <c r="H787" s="30"/>
      <c r="I787" s="44"/>
      <c r="J787" s="44"/>
      <c r="K787" s="44">
        <f t="shared" si="26"/>
        <v>2740</v>
      </c>
      <c r="L787" s="51">
        <v>20220610</v>
      </c>
    </row>
    <row r="788" spans="1:12" x14ac:dyDescent="0.25">
      <c r="A788" s="50" t="s">
        <v>1426</v>
      </c>
      <c r="B788" s="30" t="s">
        <v>11</v>
      </c>
      <c r="C788" s="30" t="s">
        <v>163</v>
      </c>
      <c r="D788" s="30" t="s">
        <v>164</v>
      </c>
      <c r="E788" s="30" t="s">
        <v>361</v>
      </c>
      <c r="F788" s="30">
        <v>1</v>
      </c>
      <c r="G788" s="44">
        <v>2740</v>
      </c>
      <c r="H788" s="30"/>
      <c r="I788" s="44"/>
      <c r="J788" s="44"/>
      <c r="K788" s="44">
        <f t="shared" si="26"/>
        <v>2740</v>
      </c>
      <c r="L788" s="51">
        <v>20220610</v>
      </c>
    </row>
    <row r="789" spans="1:12" x14ac:dyDescent="0.25">
      <c r="A789" s="52" t="s">
        <v>1427</v>
      </c>
      <c r="B789" s="32" t="s">
        <v>11</v>
      </c>
      <c r="C789" s="32" t="s">
        <v>163</v>
      </c>
      <c r="D789" s="32" t="s">
        <v>164</v>
      </c>
      <c r="E789" s="32" t="s">
        <v>478</v>
      </c>
      <c r="F789" s="32">
        <v>1</v>
      </c>
      <c r="G789" s="45">
        <v>2740</v>
      </c>
      <c r="H789" s="32">
        <v>120</v>
      </c>
      <c r="I789" s="45">
        <v>36</v>
      </c>
      <c r="J789" s="45">
        <f>I789*H789</f>
        <v>4320</v>
      </c>
      <c r="K789" s="45">
        <f t="shared" si="26"/>
        <v>7060</v>
      </c>
      <c r="L789" s="53">
        <v>20220610</v>
      </c>
    </row>
    <row r="790" spans="1:12" x14ac:dyDescent="0.25">
      <c r="A790" s="50" t="s">
        <v>1440</v>
      </c>
      <c r="B790" s="30" t="s">
        <v>11</v>
      </c>
      <c r="C790" s="30" t="s">
        <v>94</v>
      </c>
      <c r="D790" s="30" t="s">
        <v>95</v>
      </c>
      <c r="E790" s="30" t="s">
        <v>982</v>
      </c>
      <c r="F790" s="30">
        <v>1</v>
      </c>
      <c r="G790" s="44">
        <v>2740</v>
      </c>
      <c r="H790" s="30"/>
      <c r="I790" s="44"/>
      <c r="J790" s="44"/>
      <c r="K790" s="44">
        <f t="shared" si="26"/>
        <v>2740</v>
      </c>
      <c r="L790" s="51">
        <v>20220613</v>
      </c>
    </row>
    <row r="791" spans="1:12" x14ac:dyDescent="0.25">
      <c r="A791" s="50" t="s">
        <v>1411</v>
      </c>
      <c r="B791" s="30" t="s">
        <v>11</v>
      </c>
      <c r="C791" s="30" t="s">
        <v>26</v>
      </c>
      <c r="D791" s="30" t="s">
        <v>802</v>
      </c>
      <c r="E791" s="30" t="s">
        <v>809</v>
      </c>
      <c r="F791" s="30">
        <v>1</v>
      </c>
      <c r="G791" s="44">
        <v>2740</v>
      </c>
      <c r="H791" s="30"/>
      <c r="I791" s="44"/>
      <c r="J791" s="44"/>
      <c r="K791" s="44">
        <f t="shared" si="26"/>
        <v>2740</v>
      </c>
      <c r="L791" s="51">
        <v>20220614</v>
      </c>
    </row>
    <row r="792" spans="1:12" x14ac:dyDescent="0.25">
      <c r="A792" s="52" t="s">
        <v>1413</v>
      </c>
      <c r="B792" s="32" t="s">
        <v>11</v>
      </c>
      <c r="C792" s="32" t="s">
        <v>28</v>
      </c>
      <c r="D792" s="32" t="s">
        <v>724</v>
      </c>
      <c r="E792" s="32" t="s">
        <v>725</v>
      </c>
      <c r="F792" s="32">
        <v>1</v>
      </c>
      <c r="G792" s="45">
        <v>2740</v>
      </c>
      <c r="H792" s="32">
        <v>140</v>
      </c>
      <c r="I792" s="45">
        <v>36</v>
      </c>
      <c r="J792" s="45">
        <f>I792*H792</f>
        <v>5040</v>
      </c>
      <c r="K792" s="45">
        <f t="shared" si="26"/>
        <v>7780</v>
      </c>
      <c r="L792" s="53">
        <v>20220615</v>
      </c>
    </row>
    <row r="793" spans="1:12" x14ac:dyDescent="0.25">
      <c r="A793" s="50" t="s">
        <v>1414</v>
      </c>
      <c r="B793" s="30" t="s">
        <v>11</v>
      </c>
      <c r="C793" s="30" t="s">
        <v>251</v>
      </c>
      <c r="D793" s="30" t="s">
        <v>933</v>
      </c>
      <c r="E793" s="30" t="s">
        <v>934</v>
      </c>
      <c r="F793" s="30">
        <v>1</v>
      </c>
      <c r="G793" s="44">
        <v>2740</v>
      </c>
      <c r="H793" s="30"/>
      <c r="I793" s="44"/>
      <c r="J793" s="44"/>
      <c r="K793" s="44">
        <f t="shared" si="26"/>
        <v>2740</v>
      </c>
      <c r="L793" s="51">
        <v>20220616</v>
      </c>
    </row>
    <row r="794" spans="1:12" x14ac:dyDescent="0.25">
      <c r="A794" s="50" t="s">
        <v>1405</v>
      </c>
      <c r="B794" s="30" t="s">
        <v>11</v>
      </c>
      <c r="C794" s="30" t="s">
        <v>94</v>
      </c>
      <c r="D794" s="30" t="s">
        <v>95</v>
      </c>
      <c r="E794" s="30" t="s">
        <v>458</v>
      </c>
      <c r="F794" s="30">
        <v>1</v>
      </c>
      <c r="G794" s="44">
        <v>2740</v>
      </c>
      <c r="H794" s="30"/>
      <c r="I794" s="44"/>
      <c r="J794" s="44"/>
      <c r="K794" s="44">
        <f t="shared" si="26"/>
        <v>2740</v>
      </c>
      <c r="L794" s="51">
        <v>20220620</v>
      </c>
    </row>
    <row r="795" spans="1:12" x14ac:dyDescent="0.25">
      <c r="A795" s="50" t="s">
        <v>1412</v>
      </c>
      <c r="B795" s="30" t="s">
        <v>11</v>
      </c>
      <c r="C795" s="30" t="s">
        <v>29</v>
      </c>
      <c r="D795" s="30" t="s">
        <v>24</v>
      </c>
      <c r="E795" s="30" t="s">
        <v>208</v>
      </c>
      <c r="F795" s="30">
        <v>1</v>
      </c>
      <c r="G795" s="44">
        <v>2740</v>
      </c>
      <c r="H795" s="30"/>
      <c r="I795" s="44"/>
      <c r="J795" s="44"/>
      <c r="K795" s="44">
        <f t="shared" si="26"/>
        <v>2740</v>
      </c>
      <c r="L795" s="51">
        <v>20220621</v>
      </c>
    </row>
    <row r="796" spans="1:12" x14ac:dyDescent="0.25">
      <c r="A796" s="52" t="s">
        <v>1408</v>
      </c>
      <c r="B796" s="32" t="s">
        <v>11</v>
      </c>
      <c r="C796" s="32" t="s">
        <v>28</v>
      </c>
      <c r="D796" s="32" t="s">
        <v>1409</v>
      </c>
      <c r="E796" s="32" t="s">
        <v>1410</v>
      </c>
      <c r="F796" s="32">
        <v>1</v>
      </c>
      <c r="G796" s="45">
        <v>2740</v>
      </c>
      <c r="H796" s="32">
        <v>24</v>
      </c>
      <c r="I796" s="45">
        <v>36</v>
      </c>
      <c r="J796" s="45">
        <f>I796*H796</f>
        <v>864</v>
      </c>
      <c r="K796" s="45">
        <f t="shared" si="26"/>
        <v>3604</v>
      </c>
      <c r="L796" s="53">
        <v>20220622</v>
      </c>
    </row>
    <row r="797" spans="1:12" x14ac:dyDescent="0.25">
      <c r="A797" s="50" t="s">
        <v>1407</v>
      </c>
      <c r="B797" s="30" t="s">
        <v>11</v>
      </c>
      <c r="C797" s="30" t="s">
        <v>57</v>
      </c>
      <c r="D797" s="30" t="s">
        <v>58</v>
      </c>
      <c r="E797" s="30" t="s">
        <v>60</v>
      </c>
      <c r="F797" s="30">
        <v>1</v>
      </c>
      <c r="G797" s="44">
        <v>2740</v>
      </c>
      <c r="H797" s="30"/>
      <c r="I797" s="44"/>
      <c r="J797" s="44"/>
      <c r="K797" s="44">
        <f t="shared" si="26"/>
        <v>2740</v>
      </c>
      <c r="L797" s="51">
        <v>20220622</v>
      </c>
    </row>
    <row r="798" spans="1:12" x14ac:dyDescent="0.25">
      <c r="A798" s="50" t="s">
        <v>1416</v>
      </c>
      <c r="B798" s="30" t="s">
        <v>1209</v>
      </c>
      <c r="C798" s="30" t="s">
        <v>94</v>
      </c>
      <c r="D798" s="30" t="s">
        <v>95</v>
      </c>
      <c r="E798" s="30" t="s">
        <v>112</v>
      </c>
      <c r="F798" s="30">
        <v>1</v>
      </c>
      <c r="G798" s="44">
        <v>2740</v>
      </c>
      <c r="H798" s="30"/>
      <c r="I798" s="44"/>
      <c r="J798" s="44"/>
      <c r="K798" s="44">
        <f t="shared" si="26"/>
        <v>2740</v>
      </c>
      <c r="L798" s="51">
        <v>20220622</v>
      </c>
    </row>
    <row r="799" spans="1:12" x14ac:dyDescent="0.25">
      <c r="A799" s="50" t="s">
        <v>1403</v>
      </c>
      <c r="B799" s="30" t="s">
        <v>11</v>
      </c>
      <c r="C799" s="30" t="s">
        <v>251</v>
      </c>
      <c r="D799" s="30" t="s">
        <v>252</v>
      </c>
      <c r="E799" s="30" t="s">
        <v>253</v>
      </c>
      <c r="F799" s="30">
        <v>1</v>
      </c>
      <c r="G799" s="44">
        <v>2740</v>
      </c>
      <c r="H799" s="30"/>
      <c r="I799" s="44"/>
      <c r="J799" s="44"/>
      <c r="K799" s="44">
        <f t="shared" si="26"/>
        <v>2740</v>
      </c>
      <c r="L799" s="51">
        <v>20220623</v>
      </c>
    </row>
    <row r="800" spans="1:12" x14ac:dyDescent="0.25">
      <c r="A800" s="52" t="s">
        <v>1400</v>
      </c>
      <c r="B800" s="32" t="s">
        <v>11</v>
      </c>
      <c r="C800" s="32" t="s">
        <v>134</v>
      </c>
      <c r="D800" s="32" t="s">
        <v>135</v>
      </c>
      <c r="E800" s="32" t="s">
        <v>190</v>
      </c>
      <c r="F800" s="32">
        <v>1</v>
      </c>
      <c r="G800" s="45">
        <v>2740</v>
      </c>
      <c r="H800" s="32">
        <v>25</v>
      </c>
      <c r="I800" s="45">
        <v>36</v>
      </c>
      <c r="J800" s="45">
        <f>I800*H800</f>
        <v>900</v>
      </c>
      <c r="K800" s="45">
        <f t="shared" si="26"/>
        <v>3640</v>
      </c>
      <c r="L800" s="53">
        <v>20220623</v>
      </c>
    </row>
    <row r="801" spans="1:12" x14ac:dyDescent="0.25">
      <c r="A801" s="50" t="s">
        <v>1401</v>
      </c>
      <c r="B801" s="30" t="s">
        <v>11</v>
      </c>
      <c r="C801" s="30" t="s">
        <v>364</v>
      </c>
      <c r="D801" s="30" t="s">
        <v>24</v>
      </c>
      <c r="E801" s="30" t="s">
        <v>1134</v>
      </c>
      <c r="F801" s="30">
        <v>1</v>
      </c>
      <c r="G801" s="44">
        <v>2740</v>
      </c>
      <c r="H801" s="30"/>
      <c r="I801" s="44"/>
      <c r="J801" s="44"/>
      <c r="K801" s="44">
        <f t="shared" si="26"/>
        <v>2740</v>
      </c>
      <c r="L801" s="51">
        <v>20220624</v>
      </c>
    </row>
    <row r="802" spans="1:12" x14ac:dyDescent="0.25">
      <c r="A802" s="50" t="s">
        <v>1406</v>
      </c>
      <c r="B802" s="30" t="s">
        <v>11</v>
      </c>
      <c r="C802" s="30" t="s">
        <v>29</v>
      </c>
      <c r="D802" s="30" t="s">
        <v>1385</v>
      </c>
      <c r="E802" s="30" t="s">
        <v>1386</v>
      </c>
      <c r="F802" s="30">
        <v>1</v>
      </c>
      <c r="G802" s="44">
        <v>2740</v>
      </c>
      <c r="H802" s="30"/>
      <c r="I802" s="44"/>
      <c r="J802" s="44"/>
      <c r="K802" s="44">
        <f t="shared" si="26"/>
        <v>2740</v>
      </c>
      <c r="L802" s="51">
        <v>20220624</v>
      </c>
    </row>
    <row r="803" spans="1:12" x14ac:dyDescent="0.25">
      <c r="A803" s="52" t="s">
        <v>1404</v>
      </c>
      <c r="B803" s="32" t="s">
        <v>11</v>
      </c>
      <c r="C803" s="32" t="s">
        <v>163</v>
      </c>
      <c r="D803" s="32" t="s">
        <v>164</v>
      </c>
      <c r="E803" s="32" t="s">
        <v>244</v>
      </c>
      <c r="F803" s="32">
        <v>1</v>
      </c>
      <c r="G803" s="45">
        <v>2740</v>
      </c>
      <c r="H803" s="32">
        <v>120</v>
      </c>
      <c r="I803" s="45">
        <v>36</v>
      </c>
      <c r="J803" s="45">
        <f>I803*H803</f>
        <v>4320</v>
      </c>
      <c r="K803" s="45">
        <f t="shared" si="26"/>
        <v>7060</v>
      </c>
      <c r="L803" s="53">
        <v>20220624</v>
      </c>
    </row>
    <row r="804" spans="1:12" x14ac:dyDescent="0.25">
      <c r="A804" s="121" t="s">
        <v>1417</v>
      </c>
      <c r="B804" s="122" t="s">
        <v>1209</v>
      </c>
      <c r="C804" s="122" t="s">
        <v>666</v>
      </c>
      <c r="D804" s="122" t="s">
        <v>1418</v>
      </c>
      <c r="E804" s="122" t="s">
        <v>1419</v>
      </c>
      <c r="F804" s="122">
        <v>1</v>
      </c>
      <c r="G804" s="123">
        <v>8220</v>
      </c>
      <c r="H804" s="122"/>
      <c r="I804" s="123"/>
      <c r="J804" s="123"/>
      <c r="K804" s="123">
        <f t="shared" si="26"/>
        <v>8220</v>
      </c>
      <c r="L804" s="124">
        <v>20220628</v>
      </c>
    </row>
    <row r="805" spans="1:12" x14ac:dyDescent="0.25">
      <c r="A805" s="50" t="s">
        <v>1443</v>
      </c>
      <c r="B805" s="30" t="s">
        <v>1209</v>
      </c>
      <c r="C805" s="30" t="s">
        <v>1444</v>
      </c>
      <c r="D805" s="30" t="s">
        <v>1388</v>
      </c>
      <c r="E805" s="30" t="s">
        <v>1445</v>
      </c>
      <c r="F805" s="30">
        <v>1</v>
      </c>
      <c r="G805" s="44">
        <v>2740</v>
      </c>
      <c r="H805" s="30"/>
      <c r="I805" s="44"/>
      <c r="J805" s="44"/>
      <c r="K805" s="44">
        <f t="shared" si="26"/>
        <v>2740</v>
      </c>
      <c r="L805" s="51">
        <v>20220628</v>
      </c>
    </row>
    <row r="806" spans="1:12" x14ac:dyDescent="0.25">
      <c r="A806" s="50" t="s">
        <v>1387</v>
      </c>
      <c r="B806" s="30" t="s">
        <v>11</v>
      </c>
      <c r="C806" s="30" t="s">
        <v>654</v>
      </c>
      <c r="D806" s="30" t="s">
        <v>1388</v>
      </c>
      <c r="E806" s="30" t="s">
        <v>1389</v>
      </c>
      <c r="F806" s="30">
        <v>1</v>
      </c>
      <c r="G806" s="44">
        <v>2740</v>
      </c>
      <c r="H806" s="30"/>
      <c r="I806" s="44"/>
      <c r="J806" s="44"/>
      <c r="K806" s="44">
        <f t="shared" si="26"/>
        <v>2740</v>
      </c>
      <c r="L806" s="51">
        <v>20220629</v>
      </c>
    </row>
    <row r="807" spans="1:12" x14ac:dyDescent="0.25">
      <c r="A807" s="50" t="s">
        <v>1396</v>
      </c>
      <c r="B807" s="30" t="s">
        <v>11</v>
      </c>
      <c r="C807" s="30" t="s">
        <v>251</v>
      </c>
      <c r="D807" s="30" t="s">
        <v>375</v>
      </c>
      <c r="E807" s="30" t="s">
        <v>376</v>
      </c>
      <c r="F807" s="30">
        <v>1</v>
      </c>
      <c r="G807" s="44">
        <v>2740</v>
      </c>
      <c r="H807" s="30"/>
      <c r="I807" s="44"/>
      <c r="J807" s="44"/>
      <c r="K807" s="44">
        <f t="shared" si="26"/>
        <v>2740</v>
      </c>
      <c r="L807" s="51">
        <v>20220629</v>
      </c>
    </row>
    <row r="808" spans="1:12" x14ac:dyDescent="0.25">
      <c r="A808" s="50" t="s">
        <v>1384</v>
      </c>
      <c r="B808" s="30" t="s">
        <v>11</v>
      </c>
      <c r="C808" s="30" t="s">
        <v>29</v>
      </c>
      <c r="D808" s="30" t="s">
        <v>1385</v>
      </c>
      <c r="E808" s="30" t="s">
        <v>1386</v>
      </c>
      <c r="F808" s="30">
        <v>1</v>
      </c>
      <c r="G808" s="44">
        <v>2740</v>
      </c>
      <c r="H808" s="30"/>
      <c r="I808" s="44"/>
      <c r="J808" s="44"/>
      <c r="K808" s="44">
        <f t="shared" si="26"/>
        <v>2740</v>
      </c>
      <c r="L808" s="51">
        <v>20220629</v>
      </c>
    </row>
    <row r="809" spans="1:12" x14ac:dyDescent="0.25">
      <c r="A809" s="50" t="s">
        <v>1390</v>
      </c>
      <c r="B809" s="30" t="s">
        <v>11</v>
      </c>
      <c r="C809" s="30" t="s">
        <v>53</v>
      </c>
      <c r="D809" s="30" t="s">
        <v>24</v>
      </c>
      <c r="E809" s="30" t="s">
        <v>1308</v>
      </c>
      <c r="F809" s="30">
        <v>1</v>
      </c>
      <c r="G809" s="44">
        <v>2740</v>
      </c>
      <c r="H809" s="30"/>
      <c r="I809" s="44"/>
      <c r="J809" s="44"/>
      <c r="K809" s="44">
        <f t="shared" si="26"/>
        <v>2740</v>
      </c>
      <c r="L809" s="51">
        <v>20220629</v>
      </c>
    </row>
    <row r="810" spans="1:12" x14ac:dyDescent="0.25">
      <c r="A810" s="50" t="s">
        <v>1392</v>
      </c>
      <c r="B810" s="30" t="s">
        <v>1209</v>
      </c>
      <c r="C810" s="30" t="s">
        <v>1393</v>
      </c>
      <c r="D810" s="30" t="s">
        <v>1394</v>
      </c>
      <c r="E810" s="30" t="s">
        <v>1395</v>
      </c>
      <c r="F810" s="30">
        <v>1</v>
      </c>
      <c r="G810" s="44">
        <v>2740</v>
      </c>
      <c r="H810" s="30"/>
      <c r="I810" s="44"/>
      <c r="J810" s="44"/>
      <c r="K810" s="44">
        <f t="shared" si="26"/>
        <v>2740</v>
      </c>
      <c r="L810" s="51">
        <v>20220630</v>
      </c>
    </row>
    <row r="811" spans="1:12" x14ac:dyDescent="0.25">
      <c r="A811" s="50" t="s">
        <v>1383</v>
      </c>
      <c r="B811" s="30" t="s">
        <v>11</v>
      </c>
      <c r="C811" s="30" t="s">
        <v>505</v>
      </c>
      <c r="D811" s="30" t="s">
        <v>24</v>
      </c>
      <c r="E811" s="30" t="s">
        <v>929</v>
      </c>
      <c r="F811" s="30">
        <v>1</v>
      </c>
      <c r="G811" s="44">
        <v>2740</v>
      </c>
      <c r="H811" s="30"/>
      <c r="I811" s="44"/>
      <c r="J811" s="44"/>
      <c r="K811" s="44">
        <f t="shared" si="26"/>
        <v>2740</v>
      </c>
      <c r="L811" s="51">
        <v>20220630</v>
      </c>
    </row>
    <row r="812" spans="1:12" x14ac:dyDescent="0.25">
      <c r="A812" s="50" t="s">
        <v>1391</v>
      </c>
      <c r="B812" s="30" t="s">
        <v>11</v>
      </c>
      <c r="C812" s="30" t="s">
        <v>873</v>
      </c>
      <c r="D812" s="30" t="s">
        <v>879</v>
      </c>
      <c r="E812" s="30" t="s">
        <v>880</v>
      </c>
      <c r="F812" s="30">
        <v>1</v>
      </c>
      <c r="G812" s="44">
        <v>2740</v>
      </c>
      <c r="H812" s="30"/>
      <c r="I812" s="44"/>
      <c r="J812" s="44"/>
      <c r="K812" s="44">
        <f t="shared" si="26"/>
        <v>2740</v>
      </c>
      <c r="L812" s="51">
        <v>20220630</v>
      </c>
    </row>
    <row r="813" spans="1:12" x14ac:dyDescent="0.25">
      <c r="A813" s="50" t="s">
        <v>1402</v>
      </c>
      <c r="B813" s="30" t="s">
        <v>11</v>
      </c>
      <c r="C813" s="30" t="s">
        <v>134</v>
      </c>
      <c r="D813" s="30" t="s">
        <v>354</v>
      </c>
      <c r="E813" s="30" t="s">
        <v>833</v>
      </c>
      <c r="F813" s="30">
        <v>1</v>
      </c>
      <c r="G813" s="44">
        <v>2740</v>
      </c>
      <c r="H813" s="30"/>
      <c r="I813" s="44"/>
      <c r="J813" s="44"/>
      <c r="K813" s="44">
        <f t="shared" si="26"/>
        <v>2740</v>
      </c>
      <c r="L813" s="51">
        <v>20220630</v>
      </c>
    </row>
    <row r="814" spans="1:12" x14ac:dyDescent="0.25">
      <c r="A814" s="52" t="s">
        <v>1399</v>
      </c>
      <c r="B814" s="32" t="s">
        <v>11</v>
      </c>
      <c r="C814" s="32" t="s">
        <v>1053</v>
      </c>
      <c r="D814" s="32" t="s">
        <v>1054</v>
      </c>
      <c r="E814" s="32" t="s">
        <v>1055</v>
      </c>
      <c r="F814" s="32">
        <v>1</v>
      </c>
      <c r="G814" s="45">
        <v>2740</v>
      </c>
      <c r="H814" s="32">
        <v>30</v>
      </c>
      <c r="I814" s="45">
        <v>36</v>
      </c>
      <c r="J814" s="45">
        <f>I814*H814</f>
        <v>1080</v>
      </c>
      <c r="K814" s="45">
        <f t="shared" si="26"/>
        <v>3820</v>
      </c>
      <c r="L814" s="53">
        <v>20220630</v>
      </c>
    </row>
    <row r="815" spans="1:12" ht="15.75" thickBot="1" x14ac:dyDescent="0.3">
      <c r="A815" s="54" t="s">
        <v>1397</v>
      </c>
      <c r="B815" s="36" t="s">
        <v>11</v>
      </c>
      <c r="C815" s="36" t="s">
        <v>94</v>
      </c>
      <c r="D815" s="36" t="s">
        <v>95</v>
      </c>
      <c r="E815" s="36" t="s">
        <v>1398</v>
      </c>
      <c r="F815" s="36">
        <v>1</v>
      </c>
      <c r="G815" s="65">
        <v>2740</v>
      </c>
      <c r="H815" s="36"/>
      <c r="I815" s="65"/>
      <c r="J815" s="65"/>
      <c r="K815" s="65">
        <f t="shared" si="26"/>
        <v>2740</v>
      </c>
      <c r="L815" s="55">
        <v>20220630</v>
      </c>
    </row>
    <row r="816" spans="1:12" ht="15.75" thickBot="1" x14ac:dyDescent="0.3">
      <c r="A816" s="99"/>
      <c r="B816" s="100"/>
      <c r="C816" s="100"/>
      <c r="D816" s="100"/>
      <c r="E816" s="100"/>
      <c r="F816" s="100"/>
      <c r="G816" s="101"/>
      <c r="H816" s="100"/>
      <c r="I816" s="101"/>
      <c r="J816" s="101"/>
      <c r="K816" s="101"/>
      <c r="L816" s="102"/>
    </row>
    <row r="817" spans="1:12" x14ac:dyDescent="0.25">
      <c r="A817" s="48" t="s">
        <v>1448</v>
      </c>
      <c r="B817" s="34" t="s">
        <v>137</v>
      </c>
      <c r="C817" s="34" t="s">
        <v>405</v>
      </c>
      <c r="D817" s="34" t="s">
        <v>24</v>
      </c>
      <c r="E817" s="34" t="s">
        <v>406</v>
      </c>
      <c r="F817" s="34">
        <v>1</v>
      </c>
      <c r="G817" s="64">
        <v>1370</v>
      </c>
      <c r="H817" s="34"/>
      <c r="I817" s="64"/>
      <c r="J817" s="64"/>
      <c r="K817" s="64">
        <f t="shared" ref="K817:K823" si="27">J817+G817</f>
        <v>1370</v>
      </c>
      <c r="L817" s="49">
        <v>20220609</v>
      </c>
    </row>
    <row r="818" spans="1:12" x14ac:dyDescent="0.25">
      <c r="A818" s="50" t="s">
        <v>1446</v>
      </c>
      <c r="B818" s="30" t="s">
        <v>137</v>
      </c>
      <c r="C818" s="30" t="s">
        <v>405</v>
      </c>
      <c r="D818" s="30" t="s">
        <v>24</v>
      </c>
      <c r="E818" s="30" t="s">
        <v>1447</v>
      </c>
      <c r="F818" s="30">
        <v>1</v>
      </c>
      <c r="G818" s="44">
        <v>1370</v>
      </c>
      <c r="H818" s="30"/>
      <c r="I818" s="44"/>
      <c r="J818" s="44"/>
      <c r="K818" s="44">
        <f t="shared" si="27"/>
        <v>1370</v>
      </c>
      <c r="L818" s="51">
        <v>20220609</v>
      </c>
    </row>
    <row r="819" spans="1:12" x14ac:dyDescent="0.25">
      <c r="A819" s="50" t="s">
        <v>1430</v>
      </c>
      <c r="B819" s="30" t="s">
        <v>137</v>
      </c>
      <c r="C819" s="30" t="s">
        <v>251</v>
      </c>
      <c r="D819" s="30" t="s">
        <v>764</v>
      </c>
      <c r="E819" s="30" t="s">
        <v>1210</v>
      </c>
      <c r="F819" s="30">
        <v>1</v>
      </c>
      <c r="G819" s="44">
        <v>1370</v>
      </c>
      <c r="H819" s="30"/>
      <c r="I819" s="44"/>
      <c r="J819" s="44"/>
      <c r="K819" s="44">
        <f t="shared" si="27"/>
        <v>1370</v>
      </c>
      <c r="L819" s="51">
        <v>20220615</v>
      </c>
    </row>
    <row r="820" spans="1:12" x14ac:dyDescent="0.25">
      <c r="A820" s="50" t="s">
        <v>1421</v>
      </c>
      <c r="B820" s="30" t="s">
        <v>137</v>
      </c>
      <c r="C820" s="30" t="s">
        <v>39</v>
      </c>
      <c r="D820" s="30" t="s">
        <v>40</v>
      </c>
      <c r="E820" s="30" t="s">
        <v>44</v>
      </c>
      <c r="F820" s="30">
        <v>1</v>
      </c>
      <c r="G820" s="44">
        <v>1370</v>
      </c>
      <c r="H820" s="30"/>
      <c r="I820" s="44"/>
      <c r="J820" s="44"/>
      <c r="K820" s="44">
        <f t="shared" si="27"/>
        <v>1370</v>
      </c>
      <c r="L820" s="51">
        <v>20220615</v>
      </c>
    </row>
    <row r="821" spans="1:12" x14ac:dyDescent="0.25">
      <c r="A821" s="50" t="s">
        <v>1420</v>
      </c>
      <c r="B821" s="30" t="s">
        <v>137</v>
      </c>
      <c r="C821" s="30" t="s">
        <v>39</v>
      </c>
      <c r="D821" s="30" t="s">
        <v>40</v>
      </c>
      <c r="E821" s="30" t="s">
        <v>641</v>
      </c>
      <c r="F821" s="30">
        <v>1</v>
      </c>
      <c r="G821" s="44">
        <v>1370</v>
      </c>
      <c r="H821" s="30"/>
      <c r="I821" s="44"/>
      <c r="J821" s="44"/>
      <c r="K821" s="44">
        <f t="shared" si="27"/>
        <v>1370</v>
      </c>
      <c r="L821" s="51">
        <v>20220615</v>
      </c>
    </row>
    <row r="822" spans="1:12" x14ac:dyDescent="0.25">
      <c r="A822" s="50" t="s">
        <v>1431</v>
      </c>
      <c r="B822" s="30" t="s">
        <v>137</v>
      </c>
      <c r="C822" s="30" t="s">
        <v>251</v>
      </c>
      <c r="D822" s="30" t="s">
        <v>1231</v>
      </c>
      <c r="E822" s="30" t="s">
        <v>1232</v>
      </c>
      <c r="F822" s="30">
        <v>1</v>
      </c>
      <c r="G822" s="44">
        <v>1370</v>
      </c>
      <c r="H822" s="30"/>
      <c r="I822" s="44"/>
      <c r="J822" s="44"/>
      <c r="K822" s="44">
        <f t="shared" si="27"/>
        <v>1370</v>
      </c>
      <c r="L822" s="51">
        <v>20220622</v>
      </c>
    </row>
    <row r="823" spans="1:12" ht="15.75" thickBot="1" x14ac:dyDescent="0.3">
      <c r="A823" s="54" t="s">
        <v>1429</v>
      </c>
      <c r="B823" s="36" t="s">
        <v>137</v>
      </c>
      <c r="C823" s="36" t="s">
        <v>251</v>
      </c>
      <c r="D823" s="36" t="s">
        <v>1202</v>
      </c>
      <c r="E823" s="36" t="s">
        <v>1203</v>
      </c>
      <c r="F823" s="36">
        <v>1</v>
      </c>
      <c r="G823" s="65">
        <v>1370</v>
      </c>
      <c r="H823" s="36"/>
      <c r="I823" s="65"/>
      <c r="J823" s="65"/>
      <c r="K823" s="65">
        <f t="shared" si="27"/>
        <v>1370</v>
      </c>
      <c r="L823" s="55">
        <v>20220630</v>
      </c>
    </row>
    <row r="827" spans="1:12" ht="15.75" thickBot="1" x14ac:dyDescent="0.3">
      <c r="A827" s="69" t="s">
        <v>0</v>
      </c>
      <c r="B827" s="70" t="s">
        <v>1</v>
      </c>
      <c r="C827" s="70" t="s">
        <v>2</v>
      </c>
      <c r="D827" s="70" t="s">
        <v>3</v>
      </c>
      <c r="E827" s="70" t="s">
        <v>4</v>
      </c>
      <c r="F827" s="70"/>
      <c r="G827" s="71" t="s">
        <v>6</v>
      </c>
      <c r="H827" s="70" t="s">
        <v>7</v>
      </c>
      <c r="I827" s="71" t="s">
        <v>8</v>
      </c>
      <c r="J827" s="71" t="s">
        <v>9</v>
      </c>
      <c r="K827" s="71" t="s">
        <v>10</v>
      </c>
      <c r="L827" s="72" t="s">
        <v>5</v>
      </c>
    </row>
    <row r="828" spans="1:12" x14ac:dyDescent="0.25">
      <c r="A828" s="77" t="s">
        <v>1509</v>
      </c>
      <c r="B828" s="78" t="s">
        <v>11</v>
      </c>
      <c r="C828" s="78" t="s">
        <v>163</v>
      </c>
      <c r="D828" s="78" t="s">
        <v>164</v>
      </c>
      <c r="E828" s="78" t="s">
        <v>187</v>
      </c>
      <c r="F828" s="78">
        <v>1</v>
      </c>
      <c r="G828" s="79">
        <v>2740</v>
      </c>
      <c r="H828" s="78">
        <v>120</v>
      </c>
      <c r="I828" s="79">
        <v>36</v>
      </c>
      <c r="J828" s="79">
        <f>I828*H828</f>
        <v>4320</v>
      </c>
      <c r="K828" s="79">
        <f>J828+G828</f>
        <v>7060</v>
      </c>
      <c r="L828" s="80">
        <v>20220701</v>
      </c>
    </row>
    <row r="829" spans="1:12" x14ac:dyDescent="0.25">
      <c r="A829" s="50" t="s">
        <v>1502</v>
      </c>
      <c r="B829" s="30" t="s">
        <v>11</v>
      </c>
      <c r="C829" s="30" t="s">
        <v>26</v>
      </c>
      <c r="D829" s="30" t="s">
        <v>802</v>
      </c>
      <c r="E829" s="30" t="s">
        <v>809</v>
      </c>
      <c r="F829" s="30">
        <v>1</v>
      </c>
      <c r="G829" s="44">
        <v>2740</v>
      </c>
      <c r="H829" s="30"/>
      <c r="I829" s="44"/>
      <c r="J829" s="44"/>
      <c r="K829" s="44">
        <f t="shared" ref="K829:K880" si="28">J829+G829</f>
        <v>2740</v>
      </c>
      <c r="L829" s="51">
        <v>20220705</v>
      </c>
    </row>
    <row r="830" spans="1:12" x14ac:dyDescent="0.25">
      <c r="A830" s="52" t="s">
        <v>1512</v>
      </c>
      <c r="B830" s="32" t="s">
        <v>779</v>
      </c>
      <c r="C830" s="32" t="s">
        <v>1513</v>
      </c>
      <c r="D830" s="32" t="s">
        <v>1514</v>
      </c>
      <c r="E830" s="32" t="s">
        <v>1515</v>
      </c>
      <c r="F830" s="32">
        <v>1</v>
      </c>
      <c r="G830" s="45">
        <v>2740</v>
      </c>
      <c r="H830" s="32">
        <v>322</v>
      </c>
      <c r="I830" s="45">
        <v>36</v>
      </c>
      <c r="J830" s="45">
        <f t="shared" ref="J830:J874" si="29">I830*H830</f>
        <v>11592</v>
      </c>
      <c r="K830" s="45">
        <f t="shared" si="28"/>
        <v>14332</v>
      </c>
      <c r="L830" s="53">
        <v>20220705</v>
      </c>
    </row>
    <row r="831" spans="1:12" x14ac:dyDescent="0.25">
      <c r="A831" s="50" t="s">
        <v>1499</v>
      </c>
      <c r="B831" s="30" t="s">
        <v>11</v>
      </c>
      <c r="C831" s="30" t="s">
        <v>28</v>
      </c>
      <c r="D831" s="30" t="s">
        <v>470</v>
      </c>
      <c r="E831" s="30" t="s">
        <v>471</v>
      </c>
      <c r="F831" s="30">
        <v>1</v>
      </c>
      <c r="G831" s="44">
        <v>2740</v>
      </c>
      <c r="H831" s="30"/>
      <c r="I831" s="44"/>
      <c r="J831" s="44"/>
      <c r="K831" s="44">
        <f t="shared" si="28"/>
        <v>2740</v>
      </c>
      <c r="L831" s="51">
        <v>20220706</v>
      </c>
    </row>
    <row r="832" spans="1:12" x14ac:dyDescent="0.25">
      <c r="A832" s="50" t="s">
        <v>1496</v>
      </c>
      <c r="B832" s="30" t="s">
        <v>11</v>
      </c>
      <c r="C832" s="30" t="s">
        <v>29</v>
      </c>
      <c r="D832" s="30" t="s">
        <v>24</v>
      </c>
      <c r="E832" s="30" t="s">
        <v>1497</v>
      </c>
      <c r="F832" s="30">
        <v>1</v>
      </c>
      <c r="G832" s="44">
        <v>2740</v>
      </c>
      <c r="H832" s="30"/>
      <c r="I832" s="44"/>
      <c r="J832" s="44"/>
      <c r="K832" s="44">
        <f t="shared" si="28"/>
        <v>2740</v>
      </c>
      <c r="L832" s="51">
        <v>20220706</v>
      </c>
    </row>
    <row r="833" spans="1:12" x14ac:dyDescent="0.25">
      <c r="A833" s="50" t="s">
        <v>1501</v>
      </c>
      <c r="B833" s="30" t="s">
        <v>779</v>
      </c>
      <c r="C833" s="30" t="s">
        <v>251</v>
      </c>
      <c r="D833" s="30" t="s">
        <v>252</v>
      </c>
      <c r="E833" s="30" t="s">
        <v>253</v>
      </c>
      <c r="F833" s="30">
        <v>1</v>
      </c>
      <c r="G833" s="44">
        <v>2740</v>
      </c>
      <c r="H833" s="30"/>
      <c r="I833" s="44"/>
      <c r="J833" s="44"/>
      <c r="K833" s="44">
        <f t="shared" si="28"/>
        <v>2740</v>
      </c>
      <c r="L833" s="51">
        <v>20220706</v>
      </c>
    </row>
    <row r="834" spans="1:12" x14ac:dyDescent="0.25">
      <c r="A834" s="50" t="s">
        <v>1510</v>
      </c>
      <c r="B834" s="30" t="s">
        <v>11</v>
      </c>
      <c r="C834" s="30" t="s">
        <v>364</v>
      </c>
      <c r="D834" s="30" t="s">
        <v>24</v>
      </c>
      <c r="E834" s="30" t="s">
        <v>532</v>
      </c>
      <c r="F834" s="30">
        <v>1</v>
      </c>
      <c r="G834" s="44">
        <v>2740</v>
      </c>
      <c r="H834" s="30"/>
      <c r="I834" s="44"/>
      <c r="J834" s="44"/>
      <c r="K834" s="44">
        <f t="shared" si="28"/>
        <v>2740</v>
      </c>
      <c r="L834" s="51">
        <v>20220707</v>
      </c>
    </row>
    <row r="835" spans="1:12" x14ac:dyDescent="0.25">
      <c r="A835" s="50" t="s">
        <v>1498</v>
      </c>
      <c r="B835" s="30" t="s">
        <v>11</v>
      </c>
      <c r="C835" s="30" t="s">
        <v>251</v>
      </c>
      <c r="D835" s="30" t="s">
        <v>744</v>
      </c>
      <c r="E835" s="30" t="s">
        <v>745</v>
      </c>
      <c r="F835" s="30">
        <v>1</v>
      </c>
      <c r="G835" s="44">
        <v>2740</v>
      </c>
      <c r="H835" s="30"/>
      <c r="I835" s="44"/>
      <c r="J835" s="44"/>
      <c r="K835" s="44">
        <f t="shared" si="28"/>
        <v>2740</v>
      </c>
      <c r="L835" s="51">
        <v>20220708</v>
      </c>
    </row>
    <row r="836" spans="1:12" x14ac:dyDescent="0.25">
      <c r="A836" s="50" t="s">
        <v>1493</v>
      </c>
      <c r="B836" s="30" t="s">
        <v>11</v>
      </c>
      <c r="C836" s="30" t="s">
        <v>28</v>
      </c>
      <c r="D836" s="30" t="s">
        <v>753</v>
      </c>
      <c r="E836" s="30" t="s">
        <v>756</v>
      </c>
      <c r="F836" s="30">
        <v>1</v>
      </c>
      <c r="G836" s="44">
        <v>2740</v>
      </c>
      <c r="H836" s="30"/>
      <c r="I836" s="44"/>
      <c r="J836" s="44"/>
      <c r="K836" s="44">
        <f t="shared" si="28"/>
        <v>2740</v>
      </c>
      <c r="L836" s="51">
        <v>20220708</v>
      </c>
    </row>
    <row r="837" spans="1:12" x14ac:dyDescent="0.25">
      <c r="A837" s="50" t="s">
        <v>1505</v>
      </c>
      <c r="B837" s="30" t="s">
        <v>11</v>
      </c>
      <c r="C837" s="30" t="s">
        <v>29</v>
      </c>
      <c r="D837" s="30" t="s">
        <v>389</v>
      </c>
      <c r="E837" s="30" t="s">
        <v>390</v>
      </c>
      <c r="F837" s="30">
        <v>1</v>
      </c>
      <c r="G837" s="44">
        <v>2740</v>
      </c>
      <c r="H837" s="30"/>
      <c r="I837" s="44"/>
      <c r="J837" s="44"/>
      <c r="K837" s="44">
        <f t="shared" si="28"/>
        <v>2740</v>
      </c>
      <c r="L837" s="51">
        <v>20220708</v>
      </c>
    </row>
    <row r="838" spans="1:12" x14ac:dyDescent="0.25">
      <c r="A838" s="50" t="s">
        <v>1506</v>
      </c>
      <c r="B838" s="30" t="s">
        <v>11</v>
      </c>
      <c r="C838" s="30" t="s">
        <v>29</v>
      </c>
      <c r="D838" s="30" t="s">
        <v>389</v>
      </c>
      <c r="E838" s="30" t="s">
        <v>1332</v>
      </c>
      <c r="F838" s="30">
        <v>1</v>
      </c>
      <c r="G838" s="44">
        <v>2740</v>
      </c>
      <c r="H838" s="30"/>
      <c r="I838" s="44"/>
      <c r="J838" s="44"/>
      <c r="K838" s="44">
        <f t="shared" si="28"/>
        <v>2740</v>
      </c>
      <c r="L838" s="51">
        <v>20220708</v>
      </c>
    </row>
    <row r="839" spans="1:12" x14ac:dyDescent="0.25">
      <c r="A839" s="50" t="s">
        <v>1508</v>
      </c>
      <c r="B839" s="30" t="s">
        <v>11</v>
      </c>
      <c r="C839" s="30" t="s">
        <v>337</v>
      </c>
      <c r="D839" s="30" t="s">
        <v>35</v>
      </c>
      <c r="E839" s="30" t="s">
        <v>402</v>
      </c>
      <c r="F839" s="30">
        <v>1</v>
      </c>
      <c r="G839" s="44">
        <v>2740</v>
      </c>
      <c r="H839" s="30"/>
      <c r="I839" s="44"/>
      <c r="J839" s="44"/>
      <c r="K839" s="44">
        <f t="shared" si="28"/>
        <v>2740</v>
      </c>
      <c r="L839" s="51">
        <v>20220711</v>
      </c>
    </row>
    <row r="840" spans="1:12" x14ac:dyDescent="0.25">
      <c r="A840" s="52" t="s">
        <v>1507</v>
      </c>
      <c r="B840" s="32" t="s">
        <v>11</v>
      </c>
      <c r="C840" s="32" t="s">
        <v>34</v>
      </c>
      <c r="D840" s="32" t="s">
        <v>35</v>
      </c>
      <c r="E840" s="32" t="s">
        <v>968</v>
      </c>
      <c r="F840" s="32">
        <v>1</v>
      </c>
      <c r="G840" s="45">
        <v>2740</v>
      </c>
      <c r="H840" s="32">
        <v>64</v>
      </c>
      <c r="I840" s="45">
        <v>36</v>
      </c>
      <c r="J840" s="45">
        <f t="shared" si="29"/>
        <v>2304</v>
      </c>
      <c r="K840" s="45">
        <f t="shared" si="28"/>
        <v>5044</v>
      </c>
      <c r="L840" s="53">
        <v>20220711</v>
      </c>
    </row>
    <row r="841" spans="1:12" x14ac:dyDescent="0.25">
      <c r="A841" s="50" t="s">
        <v>1490</v>
      </c>
      <c r="B841" s="30" t="s">
        <v>11</v>
      </c>
      <c r="C841" s="30" t="s">
        <v>770</v>
      </c>
      <c r="D841" s="30" t="s">
        <v>24</v>
      </c>
      <c r="E841" s="30" t="s">
        <v>777</v>
      </c>
      <c r="F841" s="30">
        <v>1</v>
      </c>
      <c r="G841" s="44">
        <v>2740</v>
      </c>
      <c r="H841" s="30"/>
      <c r="I841" s="44"/>
      <c r="J841" s="44"/>
      <c r="K841" s="44">
        <f t="shared" si="28"/>
        <v>2740</v>
      </c>
      <c r="L841" s="51">
        <v>20220713</v>
      </c>
    </row>
    <row r="842" spans="1:12" x14ac:dyDescent="0.25">
      <c r="A842" s="50" t="s">
        <v>1491</v>
      </c>
      <c r="B842" s="30" t="s">
        <v>11</v>
      </c>
      <c r="C842" s="30" t="s">
        <v>94</v>
      </c>
      <c r="D842" s="30" t="s">
        <v>95</v>
      </c>
      <c r="E842" s="30" t="s">
        <v>982</v>
      </c>
      <c r="F842" s="30">
        <v>1</v>
      </c>
      <c r="G842" s="44">
        <v>2740</v>
      </c>
      <c r="H842" s="30"/>
      <c r="I842" s="44"/>
      <c r="J842" s="44"/>
      <c r="K842" s="44">
        <f t="shared" si="28"/>
        <v>2740</v>
      </c>
      <c r="L842" s="51">
        <v>20220713</v>
      </c>
    </row>
    <row r="843" spans="1:12" x14ac:dyDescent="0.25">
      <c r="A843" s="50" t="s">
        <v>1492</v>
      </c>
      <c r="B843" s="30" t="s">
        <v>11</v>
      </c>
      <c r="C843" s="30" t="s">
        <v>94</v>
      </c>
      <c r="D843" s="30" t="s">
        <v>95</v>
      </c>
      <c r="E843" s="30" t="s">
        <v>1083</v>
      </c>
      <c r="F843" s="30">
        <v>1</v>
      </c>
      <c r="G843" s="44">
        <v>2740</v>
      </c>
      <c r="H843" s="30"/>
      <c r="I843" s="44"/>
      <c r="J843" s="44"/>
      <c r="K843" s="44">
        <f t="shared" si="28"/>
        <v>2740</v>
      </c>
      <c r="L843" s="51">
        <v>20220713</v>
      </c>
    </row>
    <row r="844" spans="1:12" x14ac:dyDescent="0.25">
      <c r="A844" s="52" t="s">
        <v>1487</v>
      </c>
      <c r="B844" s="32" t="s">
        <v>11</v>
      </c>
      <c r="C844" s="32" t="s">
        <v>28</v>
      </c>
      <c r="D844" s="32" t="s">
        <v>267</v>
      </c>
      <c r="E844" s="32" t="s">
        <v>268</v>
      </c>
      <c r="F844" s="32">
        <v>1</v>
      </c>
      <c r="G844" s="45">
        <v>2740</v>
      </c>
      <c r="H844" s="32">
        <v>136</v>
      </c>
      <c r="I844" s="45">
        <v>36</v>
      </c>
      <c r="J844" s="45">
        <f t="shared" si="29"/>
        <v>4896</v>
      </c>
      <c r="K844" s="45">
        <f t="shared" si="28"/>
        <v>7636</v>
      </c>
      <c r="L844" s="53">
        <v>20220714</v>
      </c>
    </row>
    <row r="845" spans="1:12" x14ac:dyDescent="0.25">
      <c r="A845" s="50" t="s">
        <v>1475</v>
      </c>
      <c r="B845" s="30" t="s">
        <v>11</v>
      </c>
      <c r="C845" s="30" t="s">
        <v>29</v>
      </c>
      <c r="D845" s="30" t="s">
        <v>24</v>
      </c>
      <c r="E845" s="30" t="s">
        <v>208</v>
      </c>
      <c r="F845" s="30">
        <v>1</v>
      </c>
      <c r="G845" s="44">
        <v>2740</v>
      </c>
      <c r="H845" s="30"/>
      <c r="I845" s="44"/>
      <c r="J845" s="44"/>
      <c r="K845" s="44">
        <f t="shared" si="28"/>
        <v>2740</v>
      </c>
      <c r="L845" s="51">
        <v>20220714</v>
      </c>
    </row>
    <row r="846" spans="1:12" x14ac:dyDescent="0.25">
      <c r="A846" s="50" t="s">
        <v>1476</v>
      </c>
      <c r="B846" s="30" t="s">
        <v>11</v>
      </c>
      <c r="C846" s="30" t="s">
        <v>337</v>
      </c>
      <c r="D846" s="30" t="s">
        <v>35</v>
      </c>
      <c r="E846" s="30" t="s">
        <v>1477</v>
      </c>
      <c r="F846" s="30">
        <v>1</v>
      </c>
      <c r="G846" s="44">
        <v>2740</v>
      </c>
      <c r="H846" s="30"/>
      <c r="I846" s="44"/>
      <c r="J846" s="44"/>
      <c r="K846" s="44">
        <f t="shared" si="28"/>
        <v>2740</v>
      </c>
      <c r="L846" s="51">
        <v>20220715</v>
      </c>
    </row>
    <row r="847" spans="1:12" x14ac:dyDescent="0.25">
      <c r="A847" s="50" t="s">
        <v>1478</v>
      </c>
      <c r="B847" s="30" t="s">
        <v>11</v>
      </c>
      <c r="C847" s="30" t="s">
        <v>337</v>
      </c>
      <c r="D847" s="30" t="s">
        <v>35</v>
      </c>
      <c r="E847" s="30" t="s">
        <v>1479</v>
      </c>
      <c r="F847" s="30">
        <v>1</v>
      </c>
      <c r="G847" s="44">
        <v>2740</v>
      </c>
      <c r="H847" s="30"/>
      <c r="I847" s="44"/>
      <c r="J847" s="44"/>
      <c r="K847" s="44">
        <f t="shared" si="28"/>
        <v>2740</v>
      </c>
      <c r="L847" s="51">
        <v>20220715</v>
      </c>
    </row>
    <row r="848" spans="1:12" x14ac:dyDescent="0.25">
      <c r="A848" s="50" t="s">
        <v>1480</v>
      </c>
      <c r="B848" s="30" t="s">
        <v>11</v>
      </c>
      <c r="C848" s="30" t="s">
        <v>337</v>
      </c>
      <c r="D848" s="30" t="s">
        <v>35</v>
      </c>
      <c r="E848" s="30" t="s">
        <v>1481</v>
      </c>
      <c r="F848" s="30">
        <v>1</v>
      </c>
      <c r="G848" s="44">
        <v>2740</v>
      </c>
      <c r="H848" s="30"/>
      <c r="I848" s="44"/>
      <c r="J848" s="44"/>
      <c r="K848" s="44">
        <f t="shared" si="28"/>
        <v>2740</v>
      </c>
      <c r="L848" s="51">
        <v>20220715</v>
      </c>
    </row>
    <row r="849" spans="1:12" x14ac:dyDescent="0.25">
      <c r="A849" s="50" t="s">
        <v>1482</v>
      </c>
      <c r="B849" s="30" t="s">
        <v>11</v>
      </c>
      <c r="C849" s="30" t="s">
        <v>337</v>
      </c>
      <c r="D849" s="30" t="s">
        <v>35</v>
      </c>
      <c r="E849" s="30" t="s">
        <v>511</v>
      </c>
      <c r="F849" s="30">
        <v>1</v>
      </c>
      <c r="G849" s="44">
        <v>2740</v>
      </c>
      <c r="H849" s="30"/>
      <c r="I849" s="44"/>
      <c r="J849" s="44"/>
      <c r="K849" s="44">
        <f t="shared" si="28"/>
        <v>2740</v>
      </c>
      <c r="L849" s="51">
        <v>20220715</v>
      </c>
    </row>
    <row r="850" spans="1:12" x14ac:dyDescent="0.25">
      <c r="A850" s="50" t="s">
        <v>1483</v>
      </c>
      <c r="B850" s="30" t="s">
        <v>11</v>
      </c>
      <c r="C850" s="30" t="s">
        <v>337</v>
      </c>
      <c r="D850" s="30" t="s">
        <v>35</v>
      </c>
      <c r="E850" s="30" t="s">
        <v>1484</v>
      </c>
      <c r="F850" s="30">
        <v>1</v>
      </c>
      <c r="G850" s="44">
        <v>2740</v>
      </c>
      <c r="H850" s="30"/>
      <c r="I850" s="44"/>
      <c r="J850" s="44"/>
      <c r="K850" s="44">
        <f t="shared" si="28"/>
        <v>2740</v>
      </c>
      <c r="L850" s="51">
        <v>20220715</v>
      </c>
    </row>
    <row r="851" spans="1:12" x14ac:dyDescent="0.25">
      <c r="A851" s="50" t="s">
        <v>1485</v>
      </c>
      <c r="B851" s="30" t="s">
        <v>11</v>
      </c>
      <c r="C851" s="30" t="s">
        <v>337</v>
      </c>
      <c r="D851" s="30" t="s">
        <v>35</v>
      </c>
      <c r="E851" s="30" t="s">
        <v>157</v>
      </c>
      <c r="F851" s="30">
        <v>1</v>
      </c>
      <c r="G851" s="44">
        <v>2740</v>
      </c>
      <c r="H851" s="30"/>
      <c r="I851" s="44"/>
      <c r="J851" s="44"/>
      <c r="K851" s="44">
        <f t="shared" si="28"/>
        <v>2740</v>
      </c>
      <c r="L851" s="51">
        <v>20220715</v>
      </c>
    </row>
    <row r="852" spans="1:12" x14ac:dyDescent="0.25">
      <c r="A852" s="52" t="s">
        <v>1486</v>
      </c>
      <c r="B852" s="32" t="s">
        <v>11</v>
      </c>
      <c r="C852" s="32" t="s">
        <v>337</v>
      </c>
      <c r="D852" s="32" t="s">
        <v>35</v>
      </c>
      <c r="E852" s="32" t="s">
        <v>38</v>
      </c>
      <c r="F852" s="32">
        <v>1</v>
      </c>
      <c r="G852" s="45">
        <v>2740</v>
      </c>
      <c r="H852" s="32">
        <v>64</v>
      </c>
      <c r="I852" s="45">
        <v>36</v>
      </c>
      <c r="J852" s="45">
        <f t="shared" si="29"/>
        <v>2304</v>
      </c>
      <c r="K852" s="45">
        <f t="shared" si="28"/>
        <v>5044</v>
      </c>
      <c r="L852" s="53">
        <v>20220715</v>
      </c>
    </row>
    <row r="853" spans="1:12" x14ac:dyDescent="0.25">
      <c r="A853" s="50" t="s">
        <v>1504</v>
      </c>
      <c r="B853" s="30" t="s">
        <v>11</v>
      </c>
      <c r="C853" s="30" t="s">
        <v>505</v>
      </c>
      <c r="D853" s="30" t="s">
        <v>24</v>
      </c>
      <c r="E853" s="30" t="s">
        <v>506</v>
      </c>
      <c r="F853" s="30">
        <v>1</v>
      </c>
      <c r="G853" s="44">
        <v>2740</v>
      </c>
      <c r="H853" s="30"/>
      <c r="I853" s="44"/>
      <c r="J853" s="44"/>
      <c r="K853" s="44">
        <f t="shared" si="28"/>
        <v>2740</v>
      </c>
      <c r="L853" s="51">
        <v>20220715</v>
      </c>
    </row>
    <row r="854" spans="1:12" x14ac:dyDescent="0.25">
      <c r="A854" s="50" t="s">
        <v>1489</v>
      </c>
      <c r="B854" s="30" t="s">
        <v>11</v>
      </c>
      <c r="C854" s="30" t="s">
        <v>337</v>
      </c>
      <c r="D854" s="30" t="s">
        <v>162</v>
      </c>
      <c r="E854" s="30" t="s">
        <v>219</v>
      </c>
      <c r="F854" s="30">
        <v>1</v>
      </c>
      <c r="G854" s="44">
        <v>2740</v>
      </c>
      <c r="H854" s="30"/>
      <c r="I854" s="44"/>
      <c r="J854" s="44"/>
      <c r="K854" s="44">
        <f t="shared" si="28"/>
        <v>2740</v>
      </c>
      <c r="L854" s="51">
        <v>20220718</v>
      </c>
    </row>
    <row r="855" spans="1:12" x14ac:dyDescent="0.25">
      <c r="A855" s="52" t="s">
        <v>1500</v>
      </c>
      <c r="B855" s="32" t="s">
        <v>11</v>
      </c>
      <c r="C855" s="32" t="s">
        <v>337</v>
      </c>
      <c r="D855" s="32" t="s">
        <v>162</v>
      </c>
      <c r="E855" s="32" t="s">
        <v>239</v>
      </c>
      <c r="F855" s="32">
        <v>1</v>
      </c>
      <c r="G855" s="45">
        <v>2740</v>
      </c>
      <c r="H855" s="32">
        <v>60</v>
      </c>
      <c r="I855" s="45">
        <v>36</v>
      </c>
      <c r="J855" s="45">
        <f t="shared" si="29"/>
        <v>2160</v>
      </c>
      <c r="K855" s="45">
        <f t="shared" si="28"/>
        <v>4900</v>
      </c>
      <c r="L855" s="53">
        <v>20220718</v>
      </c>
    </row>
    <row r="856" spans="1:12" x14ac:dyDescent="0.25">
      <c r="A856" s="50" t="s">
        <v>1467</v>
      </c>
      <c r="B856" s="30" t="s">
        <v>11</v>
      </c>
      <c r="C856" s="30" t="s">
        <v>251</v>
      </c>
      <c r="D856" s="30" t="s">
        <v>767</v>
      </c>
      <c r="E856" s="30" t="s">
        <v>768</v>
      </c>
      <c r="F856" s="30">
        <v>1</v>
      </c>
      <c r="G856" s="44">
        <v>2740</v>
      </c>
      <c r="H856" s="30"/>
      <c r="I856" s="44"/>
      <c r="J856" s="44"/>
      <c r="K856" s="44">
        <f t="shared" si="28"/>
        <v>2740</v>
      </c>
      <c r="L856" s="51">
        <v>20220718</v>
      </c>
    </row>
    <row r="857" spans="1:12" x14ac:dyDescent="0.25">
      <c r="A857" s="50" t="s">
        <v>1472</v>
      </c>
      <c r="B857" s="30" t="s">
        <v>11</v>
      </c>
      <c r="C857" s="30" t="s">
        <v>94</v>
      </c>
      <c r="D857" s="30" t="s">
        <v>95</v>
      </c>
      <c r="E857" s="30" t="s">
        <v>485</v>
      </c>
      <c r="F857" s="30">
        <v>1</v>
      </c>
      <c r="G857" s="44">
        <v>2740</v>
      </c>
      <c r="H857" s="30"/>
      <c r="I857" s="44"/>
      <c r="J857" s="44"/>
      <c r="K857" s="44">
        <f t="shared" si="28"/>
        <v>2740</v>
      </c>
      <c r="L857" s="51">
        <v>20220718</v>
      </c>
    </row>
    <row r="858" spans="1:12" x14ac:dyDescent="0.25">
      <c r="A858" s="50" t="s">
        <v>1503</v>
      </c>
      <c r="B858" s="30" t="s">
        <v>11</v>
      </c>
      <c r="C858" s="30" t="s">
        <v>1393</v>
      </c>
      <c r="D858" s="30" t="s">
        <v>1394</v>
      </c>
      <c r="E858" s="30" t="s">
        <v>1395</v>
      </c>
      <c r="F858" s="30">
        <v>1</v>
      </c>
      <c r="G858" s="44">
        <v>2740</v>
      </c>
      <c r="H858" s="30"/>
      <c r="I858" s="44"/>
      <c r="J858" s="44"/>
      <c r="K858" s="44">
        <f t="shared" si="28"/>
        <v>2740</v>
      </c>
      <c r="L858" s="51">
        <v>20220719</v>
      </c>
    </row>
    <row r="859" spans="1:12" x14ac:dyDescent="0.25">
      <c r="A859" s="50" t="s">
        <v>1473</v>
      </c>
      <c r="B859" s="30" t="s">
        <v>11</v>
      </c>
      <c r="C859" s="30" t="s">
        <v>364</v>
      </c>
      <c r="D859" s="30" t="s">
        <v>24</v>
      </c>
      <c r="E859" s="30" t="s">
        <v>1136</v>
      </c>
      <c r="F859" s="30">
        <v>1</v>
      </c>
      <c r="G859" s="44">
        <v>2740</v>
      </c>
      <c r="H859" s="30"/>
      <c r="I859" s="44"/>
      <c r="J859" s="44"/>
      <c r="K859" s="44">
        <f t="shared" si="28"/>
        <v>2740</v>
      </c>
      <c r="L859" s="51">
        <v>20220719</v>
      </c>
    </row>
    <row r="860" spans="1:12" x14ac:dyDescent="0.25">
      <c r="A860" s="52" t="s">
        <v>1464</v>
      </c>
      <c r="B860" s="32" t="s">
        <v>11</v>
      </c>
      <c r="C860" s="32" t="s">
        <v>163</v>
      </c>
      <c r="D860" s="32" t="s">
        <v>164</v>
      </c>
      <c r="E860" s="32" t="s">
        <v>244</v>
      </c>
      <c r="F860" s="32">
        <v>1</v>
      </c>
      <c r="G860" s="45">
        <v>2740</v>
      </c>
      <c r="H860" s="32">
        <v>120</v>
      </c>
      <c r="I860" s="45">
        <v>36</v>
      </c>
      <c r="J860" s="45">
        <f t="shared" si="29"/>
        <v>4320</v>
      </c>
      <c r="K860" s="45">
        <f t="shared" si="28"/>
        <v>7060</v>
      </c>
      <c r="L860" s="53">
        <v>20220719</v>
      </c>
    </row>
    <row r="861" spans="1:12" x14ac:dyDescent="0.25">
      <c r="A861" s="50" t="s">
        <v>1474</v>
      </c>
      <c r="B861" s="30" t="s">
        <v>11</v>
      </c>
      <c r="C861" s="30" t="s">
        <v>163</v>
      </c>
      <c r="D861" s="30" t="s">
        <v>164</v>
      </c>
      <c r="E861" s="30" t="s">
        <v>185</v>
      </c>
      <c r="F861" s="30">
        <v>1</v>
      </c>
      <c r="G861" s="44">
        <v>2740</v>
      </c>
      <c r="H861" s="30"/>
      <c r="I861" s="44"/>
      <c r="J861" s="44"/>
      <c r="K861" s="44">
        <f t="shared" si="28"/>
        <v>2740</v>
      </c>
      <c r="L861" s="51">
        <v>20220719</v>
      </c>
    </row>
    <row r="862" spans="1:12" x14ac:dyDescent="0.25">
      <c r="A862" s="50" t="s">
        <v>1462</v>
      </c>
      <c r="B862" s="30" t="s">
        <v>11</v>
      </c>
      <c r="C862" s="30" t="s">
        <v>26</v>
      </c>
      <c r="D862" s="30" t="s">
        <v>228</v>
      </c>
      <c r="E862" s="30" t="s">
        <v>257</v>
      </c>
      <c r="F862" s="30">
        <v>1</v>
      </c>
      <c r="G862" s="44">
        <v>2740</v>
      </c>
      <c r="H862" s="30"/>
      <c r="I862" s="44"/>
      <c r="J862" s="44"/>
      <c r="K862" s="44">
        <f t="shared" si="28"/>
        <v>2740</v>
      </c>
      <c r="L862" s="51">
        <v>20220720</v>
      </c>
    </row>
    <row r="863" spans="1:12" x14ac:dyDescent="0.25">
      <c r="A863" s="50" t="s">
        <v>1460</v>
      </c>
      <c r="B863" s="30" t="s">
        <v>11</v>
      </c>
      <c r="C863" s="30" t="s">
        <v>29</v>
      </c>
      <c r="D863" s="30" t="s">
        <v>389</v>
      </c>
      <c r="E863" s="30" t="s">
        <v>390</v>
      </c>
      <c r="F863" s="30">
        <v>1</v>
      </c>
      <c r="G863" s="44">
        <v>2740</v>
      </c>
      <c r="H863" s="30"/>
      <c r="I863" s="44"/>
      <c r="J863" s="44"/>
      <c r="K863" s="44">
        <f t="shared" si="28"/>
        <v>2740</v>
      </c>
      <c r="L863" s="51">
        <v>20220720</v>
      </c>
    </row>
    <row r="864" spans="1:12" x14ac:dyDescent="0.25">
      <c r="A864" s="52" t="s">
        <v>1468</v>
      </c>
      <c r="B864" s="32" t="s">
        <v>11</v>
      </c>
      <c r="C864" s="32" t="s">
        <v>28</v>
      </c>
      <c r="D864" s="32" t="s">
        <v>1026</v>
      </c>
      <c r="E864" s="32" t="s">
        <v>1027</v>
      </c>
      <c r="F864" s="32">
        <v>1</v>
      </c>
      <c r="G864" s="45">
        <v>2740</v>
      </c>
      <c r="H864" s="32">
        <v>114</v>
      </c>
      <c r="I864" s="45">
        <v>36</v>
      </c>
      <c r="J864" s="45">
        <f t="shared" si="29"/>
        <v>4104</v>
      </c>
      <c r="K864" s="45">
        <f t="shared" si="28"/>
        <v>6844</v>
      </c>
      <c r="L864" s="53">
        <v>20220721</v>
      </c>
    </row>
    <row r="865" spans="1:12" x14ac:dyDescent="0.25">
      <c r="A865" s="52" t="s">
        <v>1469</v>
      </c>
      <c r="B865" s="32" t="s">
        <v>1209</v>
      </c>
      <c r="C865" s="32" t="s">
        <v>654</v>
      </c>
      <c r="D865" s="32" t="s">
        <v>1470</v>
      </c>
      <c r="E865" s="32" t="s">
        <v>1471</v>
      </c>
      <c r="F865" s="32">
        <v>1</v>
      </c>
      <c r="G865" s="45">
        <v>2740</v>
      </c>
      <c r="H865" s="32">
        <v>112</v>
      </c>
      <c r="I865" s="45">
        <v>36</v>
      </c>
      <c r="J865" s="45">
        <f t="shared" si="29"/>
        <v>4032</v>
      </c>
      <c r="K865" s="45">
        <f t="shared" si="28"/>
        <v>6772</v>
      </c>
      <c r="L865" s="53">
        <v>20220722</v>
      </c>
    </row>
    <row r="866" spans="1:12" x14ac:dyDescent="0.25">
      <c r="A866" s="50" t="s">
        <v>1459</v>
      </c>
      <c r="B866" s="30" t="s">
        <v>11</v>
      </c>
      <c r="C866" s="30" t="s">
        <v>26</v>
      </c>
      <c r="D866" s="30" t="s">
        <v>544</v>
      </c>
      <c r="E866" s="30" t="s">
        <v>549</v>
      </c>
      <c r="F866" s="30">
        <v>1</v>
      </c>
      <c r="G866" s="44">
        <v>2740</v>
      </c>
      <c r="H866" s="30"/>
      <c r="I866" s="44"/>
      <c r="J866" s="44"/>
      <c r="K866" s="44">
        <f t="shared" si="28"/>
        <v>2740</v>
      </c>
      <c r="L866" s="51">
        <v>20220725</v>
      </c>
    </row>
    <row r="867" spans="1:12" x14ac:dyDescent="0.25">
      <c r="A867" s="50" t="s">
        <v>1461</v>
      </c>
      <c r="B867" s="30" t="s">
        <v>11</v>
      </c>
      <c r="C867" s="30" t="s">
        <v>607</v>
      </c>
      <c r="D867" s="30" t="s">
        <v>24</v>
      </c>
      <c r="E867" s="30" t="s">
        <v>608</v>
      </c>
      <c r="F867" s="30">
        <v>1</v>
      </c>
      <c r="G867" s="44">
        <v>2740</v>
      </c>
      <c r="H867" s="30"/>
      <c r="I867" s="44"/>
      <c r="J867" s="44"/>
      <c r="K867" s="44">
        <f t="shared" si="28"/>
        <v>2740</v>
      </c>
      <c r="L867" s="51">
        <v>20220725</v>
      </c>
    </row>
    <row r="868" spans="1:12" x14ac:dyDescent="0.25">
      <c r="A868" s="50" t="s">
        <v>1457</v>
      </c>
      <c r="B868" s="30" t="s">
        <v>11</v>
      </c>
      <c r="C868" s="30" t="s">
        <v>364</v>
      </c>
      <c r="D868" s="30" t="s">
        <v>24</v>
      </c>
      <c r="E868" s="30" t="s">
        <v>695</v>
      </c>
      <c r="F868" s="30">
        <v>1</v>
      </c>
      <c r="G868" s="44">
        <v>2740</v>
      </c>
      <c r="H868" s="30"/>
      <c r="I868" s="44"/>
      <c r="J868" s="44"/>
      <c r="K868" s="44">
        <f t="shared" si="28"/>
        <v>2740</v>
      </c>
      <c r="L868" s="51">
        <v>20220726</v>
      </c>
    </row>
    <row r="869" spans="1:12" x14ac:dyDescent="0.25">
      <c r="A869" s="50" t="s">
        <v>1463</v>
      </c>
      <c r="B869" s="30" t="s">
        <v>11</v>
      </c>
      <c r="C869" s="30" t="s">
        <v>770</v>
      </c>
      <c r="D869" s="30" t="s">
        <v>24</v>
      </c>
      <c r="E869" s="30" t="s">
        <v>777</v>
      </c>
      <c r="F869" s="30">
        <v>1</v>
      </c>
      <c r="G869" s="44">
        <v>2740</v>
      </c>
      <c r="H869" s="30"/>
      <c r="I869" s="44"/>
      <c r="J869" s="44"/>
      <c r="K869" s="44">
        <f t="shared" si="28"/>
        <v>2740</v>
      </c>
      <c r="L869" s="51">
        <v>20220726</v>
      </c>
    </row>
    <row r="870" spans="1:12" x14ac:dyDescent="0.25">
      <c r="A870" s="50" t="s">
        <v>1465</v>
      </c>
      <c r="B870" s="30" t="s">
        <v>1209</v>
      </c>
      <c r="C870" s="30" t="s">
        <v>636</v>
      </c>
      <c r="D870" s="30" t="s">
        <v>24</v>
      </c>
      <c r="E870" s="30" t="s">
        <v>1466</v>
      </c>
      <c r="F870" s="30">
        <v>1</v>
      </c>
      <c r="G870" s="44">
        <v>2740</v>
      </c>
      <c r="H870" s="30"/>
      <c r="I870" s="44"/>
      <c r="J870" s="44"/>
      <c r="K870" s="44">
        <f t="shared" si="28"/>
        <v>2740</v>
      </c>
      <c r="L870" s="51">
        <v>20220726</v>
      </c>
    </row>
    <row r="871" spans="1:12" x14ac:dyDescent="0.25">
      <c r="A871" s="50" t="s">
        <v>1488</v>
      </c>
      <c r="B871" s="30" t="s">
        <v>11</v>
      </c>
      <c r="C871" s="30" t="s">
        <v>28</v>
      </c>
      <c r="D871" s="30" t="s">
        <v>753</v>
      </c>
      <c r="E871" s="30" t="s">
        <v>756</v>
      </c>
      <c r="F871" s="30">
        <v>1</v>
      </c>
      <c r="G871" s="44">
        <v>2740</v>
      </c>
      <c r="H871" s="30"/>
      <c r="I871" s="44"/>
      <c r="J871" s="44"/>
      <c r="K871" s="44">
        <f t="shared" si="28"/>
        <v>2740</v>
      </c>
      <c r="L871" s="51">
        <v>20220727</v>
      </c>
    </row>
    <row r="872" spans="1:12" x14ac:dyDescent="0.25">
      <c r="A872" s="50" t="s">
        <v>1456</v>
      </c>
      <c r="B872" s="30" t="s">
        <v>11</v>
      </c>
      <c r="C872" s="30" t="s">
        <v>364</v>
      </c>
      <c r="D872" s="30" t="s">
        <v>24</v>
      </c>
      <c r="E872" s="30" t="s">
        <v>1136</v>
      </c>
      <c r="F872" s="30">
        <v>1</v>
      </c>
      <c r="G872" s="44">
        <v>2740</v>
      </c>
      <c r="H872" s="30"/>
      <c r="I872" s="44"/>
      <c r="J872" s="44"/>
      <c r="K872" s="44">
        <f t="shared" si="28"/>
        <v>2740</v>
      </c>
      <c r="L872" s="51">
        <v>20220727</v>
      </c>
    </row>
    <row r="873" spans="1:12" x14ac:dyDescent="0.25">
      <c r="A873" s="50" t="s">
        <v>1458</v>
      </c>
      <c r="B873" s="30" t="s">
        <v>11</v>
      </c>
      <c r="C873" s="30" t="s">
        <v>251</v>
      </c>
      <c r="D873" s="30" t="s">
        <v>933</v>
      </c>
      <c r="E873" s="30" t="s">
        <v>934</v>
      </c>
      <c r="F873" s="30">
        <v>1</v>
      </c>
      <c r="G873" s="44">
        <v>2740</v>
      </c>
      <c r="H873" s="30"/>
      <c r="I873" s="44"/>
      <c r="J873" s="44"/>
      <c r="K873" s="44">
        <f t="shared" si="28"/>
        <v>2740</v>
      </c>
      <c r="L873" s="51">
        <v>20220729</v>
      </c>
    </row>
    <row r="874" spans="1:12" x14ac:dyDescent="0.25">
      <c r="A874" s="52" t="s">
        <v>1453</v>
      </c>
      <c r="B874" s="32" t="s">
        <v>11</v>
      </c>
      <c r="C874" s="32" t="s">
        <v>29</v>
      </c>
      <c r="D874" s="32" t="s">
        <v>1454</v>
      </c>
      <c r="E874" s="32" t="s">
        <v>1455</v>
      </c>
      <c r="F874" s="32">
        <v>1</v>
      </c>
      <c r="G874" s="45">
        <v>2740</v>
      </c>
      <c r="H874" s="32">
        <v>114</v>
      </c>
      <c r="I874" s="45">
        <v>36</v>
      </c>
      <c r="J874" s="45">
        <f t="shared" si="29"/>
        <v>4104</v>
      </c>
      <c r="K874" s="45">
        <f t="shared" si="28"/>
        <v>6844</v>
      </c>
      <c r="L874" s="53">
        <v>20220729</v>
      </c>
    </row>
    <row r="875" spans="1:12" ht="15.75" thickBot="1" x14ac:dyDescent="0.3">
      <c r="A875" s="54" t="s">
        <v>1449</v>
      </c>
      <c r="B875" s="36" t="s">
        <v>1209</v>
      </c>
      <c r="C875" s="36" t="s">
        <v>1450</v>
      </c>
      <c r="D875" s="36" t="s">
        <v>1451</v>
      </c>
      <c r="E875" s="36" t="s">
        <v>1452</v>
      </c>
      <c r="F875" s="36">
        <v>1</v>
      </c>
      <c r="G875" s="65">
        <v>2740</v>
      </c>
      <c r="H875" s="36"/>
      <c r="I875" s="65"/>
      <c r="J875" s="65"/>
      <c r="K875" s="65">
        <f t="shared" si="28"/>
        <v>2740</v>
      </c>
      <c r="L875" s="55">
        <v>20220729</v>
      </c>
    </row>
    <row r="876" spans="1:12" x14ac:dyDescent="0.25">
      <c r="A876" s="73"/>
      <c r="B876" s="74"/>
      <c r="C876" s="74"/>
      <c r="D876" s="74"/>
      <c r="E876" s="74"/>
      <c r="F876" s="74"/>
      <c r="G876" s="75"/>
      <c r="H876" s="74"/>
      <c r="I876" s="75"/>
      <c r="J876" s="75"/>
      <c r="K876" s="75"/>
      <c r="L876" s="76"/>
    </row>
    <row r="877" spans="1:12" ht="15.75" thickBot="1" x14ac:dyDescent="0.3">
      <c r="A877" s="69"/>
      <c r="B877" s="70"/>
      <c r="C877" s="70"/>
      <c r="D877" s="70"/>
      <c r="E877" s="70"/>
      <c r="F877" s="70"/>
      <c r="G877" s="71"/>
      <c r="H877" s="70"/>
      <c r="I877" s="71"/>
      <c r="J877" s="71"/>
      <c r="K877" s="71"/>
      <c r="L877" s="72"/>
    </row>
    <row r="878" spans="1:12" x14ac:dyDescent="0.25">
      <c r="A878" s="48" t="s">
        <v>1494</v>
      </c>
      <c r="B878" s="34" t="s">
        <v>137</v>
      </c>
      <c r="C878" s="34" t="s">
        <v>26</v>
      </c>
      <c r="D878" s="34" t="s">
        <v>521</v>
      </c>
      <c r="E878" s="34" t="s">
        <v>524</v>
      </c>
      <c r="F878" s="34">
        <v>1</v>
      </c>
      <c r="G878" s="64">
        <v>1370</v>
      </c>
      <c r="H878" s="34"/>
      <c r="I878" s="64"/>
      <c r="J878" s="64"/>
      <c r="K878" s="64">
        <f t="shared" si="28"/>
        <v>1370</v>
      </c>
      <c r="L878" s="49">
        <v>20220714</v>
      </c>
    </row>
    <row r="879" spans="1:12" x14ac:dyDescent="0.25">
      <c r="A879" s="50" t="s">
        <v>1495</v>
      </c>
      <c r="B879" s="30" t="s">
        <v>137</v>
      </c>
      <c r="C879" s="30" t="s">
        <v>26</v>
      </c>
      <c r="D879" s="30" t="s">
        <v>521</v>
      </c>
      <c r="E879" s="30" t="s">
        <v>526</v>
      </c>
      <c r="F879" s="30">
        <v>1</v>
      </c>
      <c r="G879" s="44">
        <v>1370</v>
      </c>
      <c r="H879" s="30"/>
      <c r="I879" s="44"/>
      <c r="J879" s="44"/>
      <c r="K879" s="44">
        <f t="shared" si="28"/>
        <v>1370</v>
      </c>
      <c r="L879" s="51">
        <v>20220714</v>
      </c>
    </row>
    <row r="880" spans="1:12" ht="15.75" thickBot="1" x14ac:dyDescent="0.3">
      <c r="A880" s="54" t="s">
        <v>1511</v>
      </c>
      <c r="B880" s="36" t="s">
        <v>137</v>
      </c>
      <c r="C880" s="36" t="s">
        <v>251</v>
      </c>
      <c r="D880" s="36" t="s">
        <v>740</v>
      </c>
      <c r="E880" s="36" t="s">
        <v>741</v>
      </c>
      <c r="F880" s="36">
        <v>1</v>
      </c>
      <c r="G880" s="65">
        <v>1370</v>
      </c>
      <c r="H880" s="36"/>
      <c r="I880" s="65"/>
      <c r="J880" s="65"/>
      <c r="K880" s="65">
        <f t="shared" si="28"/>
        <v>1370</v>
      </c>
      <c r="L880" s="55">
        <v>20220725</v>
      </c>
    </row>
    <row r="884" spans="1:12" ht="15.75" thickBot="1" x14ac:dyDescent="0.3">
      <c r="A884" s="69" t="s">
        <v>0</v>
      </c>
      <c r="B884" s="70" t="s">
        <v>1</v>
      </c>
      <c r="C884" s="70" t="s">
        <v>2</v>
      </c>
      <c r="D884" s="70" t="s">
        <v>3</v>
      </c>
      <c r="E884" s="70" t="s">
        <v>4</v>
      </c>
      <c r="F884" s="70"/>
      <c r="G884" s="71" t="s">
        <v>6</v>
      </c>
      <c r="H884" s="70" t="s">
        <v>7</v>
      </c>
      <c r="I884" s="71" t="s">
        <v>8</v>
      </c>
      <c r="J884" s="71" t="s">
        <v>9</v>
      </c>
      <c r="K884" s="71" t="s">
        <v>10</v>
      </c>
      <c r="L884" s="72" t="s">
        <v>5</v>
      </c>
    </row>
    <row r="885" spans="1:12" x14ac:dyDescent="0.25">
      <c r="A885" s="77" t="s">
        <v>1613</v>
      </c>
      <c r="B885" s="78" t="s">
        <v>892</v>
      </c>
      <c r="C885" s="78" t="s">
        <v>270</v>
      </c>
      <c r="D885" s="78" t="s">
        <v>66</v>
      </c>
      <c r="E885" s="78" t="s">
        <v>1614</v>
      </c>
      <c r="F885" s="78">
        <v>1</v>
      </c>
      <c r="G885" s="79">
        <v>2740</v>
      </c>
      <c r="H885" s="78">
        <v>157</v>
      </c>
      <c r="I885" s="79">
        <v>36</v>
      </c>
      <c r="J885" s="79">
        <f>I885*H885</f>
        <v>5652</v>
      </c>
      <c r="K885" s="79">
        <f t="shared" ref="K885:K916" si="30">J885+G885</f>
        <v>8392</v>
      </c>
      <c r="L885" s="80">
        <v>20220802</v>
      </c>
    </row>
    <row r="886" spans="1:12" x14ac:dyDescent="0.25">
      <c r="A886" s="50" t="s">
        <v>1600</v>
      </c>
      <c r="B886" s="30" t="s">
        <v>1209</v>
      </c>
      <c r="C886" s="30" t="s">
        <v>1450</v>
      </c>
      <c r="D886" s="30" t="s">
        <v>1601</v>
      </c>
      <c r="E886" s="30" t="s">
        <v>1602</v>
      </c>
      <c r="F886" s="30">
        <v>1</v>
      </c>
      <c r="G886" s="44">
        <v>2740</v>
      </c>
      <c r="H886" s="30"/>
      <c r="I886" s="44"/>
      <c r="J886" s="44"/>
      <c r="K886" s="44">
        <f t="shared" si="30"/>
        <v>2740</v>
      </c>
      <c r="L886" s="51">
        <v>20220803</v>
      </c>
    </row>
    <row r="887" spans="1:12" x14ac:dyDescent="0.25">
      <c r="A887" s="50" t="s">
        <v>1603</v>
      </c>
      <c r="B887" s="30" t="s">
        <v>1209</v>
      </c>
      <c r="C887" s="30" t="s">
        <v>1450</v>
      </c>
      <c r="D887" s="30" t="s">
        <v>1601</v>
      </c>
      <c r="E887" s="30" t="s">
        <v>1604</v>
      </c>
      <c r="F887" s="30">
        <v>1</v>
      </c>
      <c r="G887" s="44">
        <v>2740</v>
      </c>
      <c r="H887" s="30"/>
      <c r="I887" s="44"/>
      <c r="J887" s="44"/>
      <c r="K887" s="44">
        <f t="shared" si="30"/>
        <v>2740</v>
      </c>
      <c r="L887" s="51">
        <v>20220803</v>
      </c>
    </row>
    <row r="888" spans="1:12" x14ac:dyDescent="0.25">
      <c r="A888" s="52" t="s">
        <v>1589</v>
      </c>
      <c r="B888" s="32" t="s">
        <v>11</v>
      </c>
      <c r="C888" s="32" t="s">
        <v>337</v>
      </c>
      <c r="D888" s="32" t="s">
        <v>162</v>
      </c>
      <c r="E888" s="32" t="s">
        <v>239</v>
      </c>
      <c r="F888" s="32">
        <v>1</v>
      </c>
      <c r="G888" s="45">
        <v>2740</v>
      </c>
      <c r="H888" s="32">
        <v>69</v>
      </c>
      <c r="I888" s="45">
        <v>36</v>
      </c>
      <c r="J888" s="45">
        <f>I888*H888</f>
        <v>2484</v>
      </c>
      <c r="K888" s="45">
        <f t="shared" si="30"/>
        <v>5224</v>
      </c>
      <c r="L888" s="53">
        <v>20220804</v>
      </c>
    </row>
    <row r="889" spans="1:12" x14ac:dyDescent="0.25">
      <c r="A889" s="50" t="s">
        <v>1583</v>
      </c>
      <c r="B889" s="30" t="s">
        <v>11</v>
      </c>
      <c r="C889" s="30" t="s">
        <v>364</v>
      </c>
      <c r="D889" s="30" t="s">
        <v>24</v>
      </c>
      <c r="E889" s="30" t="s">
        <v>1134</v>
      </c>
      <c r="F889" s="30">
        <v>1</v>
      </c>
      <c r="G889" s="44">
        <v>2740</v>
      </c>
      <c r="H889" s="30"/>
      <c r="I889" s="44"/>
      <c r="J889" s="44"/>
      <c r="K889" s="44">
        <f t="shared" si="30"/>
        <v>2740</v>
      </c>
      <c r="L889" s="51">
        <v>20220804</v>
      </c>
    </row>
    <row r="890" spans="1:12" x14ac:dyDescent="0.25">
      <c r="A890" s="50" t="s">
        <v>1590</v>
      </c>
      <c r="B890" s="30" t="s">
        <v>11</v>
      </c>
      <c r="C890" s="30" t="s">
        <v>607</v>
      </c>
      <c r="D890" s="30" t="s">
        <v>24</v>
      </c>
      <c r="E890" s="30" t="s">
        <v>608</v>
      </c>
      <c r="F890" s="30">
        <v>1</v>
      </c>
      <c r="G890" s="44">
        <v>2740</v>
      </c>
      <c r="H890" s="30"/>
      <c r="I890" s="44"/>
      <c r="J890" s="44"/>
      <c r="K890" s="44">
        <f t="shared" si="30"/>
        <v>2740</v>
      </c>
      <c r="L890" s="51">
        <v>20220804</v>
      </c>
    </row>
    <row r="891" spans="1:12" x14ac:dyDescent="0.25">
      <c r="A891" s="50" t="s">
        <v>1596</v>
      </c>
      <c r="B891" s="30" t="s">
        <v>11</v>
      </c>
      <c r="C891" s="30" t="s">
        <v>337</v>
      </c>
      <c r="D891" s="30" t="s">
        <v>35</v>
      </c>
      <c r="E891" s="30" t="s">
        <v>511</v>
      </c>
      <c r="F891" s="30">
        <v>1</v>
      </c>
      <c r="G891" s="44">
        <v>2740</v>
      </c>
      <c r="H891" s="30"/>
      <c r="I891" s="44"/>
      <c r="J891" s="44"/>
      <c r="K891" s="44">
        <f t="shared" si="30"/>
        <v>2740</v>
      </c>
      <c r="L891" s="51">
        <v>20220805</v>
      </c>
    </row>
    <row r="892" spans="1:12" x14ac:dyDescent="0.25">
      <c r="A892" s="52" t="s">
        <v>1608</v>
      </c>
      <c r="B892" s="32" t="s">
        <v>11</v>
      </c>
      <c r="C892" s="32" t="s">
        <v>337</v>
      </c>
      <c r="D892" s="32" t="s">
        <v>35</v>
      </c>
      <c r="E892" s="32" t="s">
        <v>38</v>
      </c>
      <c r="F892" s="32">
        <v>1</v>
      </c>
      <c r="G892" s="45">
        <v>2740</v>
      </c>
      <c r="H892" s="32">
        <v>39</v>
      </c>
      <c r="I892" s="45">
        <v>36</v>
      </c>
      <c r="J892" s="45">
        <f>I892*H892</f>
        <v>1404</v>
      </c>
      <c r="K892" s="45">
        <f t="shared" si="30"/>
        <v>4144</v>
      </c>
      <c r="L892" s="53">
        <v>20220805</v>
      </c>
    </row>
    <row r="893" spans="1:12" x14ac:dyDescent="0.25">
      <c r="A893" s="50" t="s">
        <v>1599</v>
      </c>
      <c r="B893" s="30" t="s">
        <v>11</v>
      </c>
      <c r="C893" s="30" t="s">
        <v>29</v>
      </c>
      <c r="D893" s="30" t="s">
        <v>24</v>
      </c>
      <c r="E893" s="30" t="s">
        <v>1497</v>
      </c>
      <c r="F893" s="30">
        <v>1</v>
      </c>
      <c r="G893" s="44">
        <v>2740</v>
      </c>
      <c r="H893" s="30"/>
      <c r="I893" s="44"/>
      <c r="J893" s="44"/>
      <c r="K893" s="44">
        <f t="shared" si="30"/>
        <v>2740</v>
      </c>
      <c r="L893" s="51">
        <v>20220808</v>
      </c>
    </row>
    <row r="894" spans="1:12" x14ac:dyDescent="0.25">
      <c r="A894" s="50" t="s">
        <v>1591</v>
      </c>
      <c r="B894" s="30" t="s">
        <v>1209</v>
      </c>
      <c r="C894" s="30" t="s">
        <v>1450</v>
      </c>
      <c r="D894" s="30" t="s">
        <v>1592</v>
      </c>
      <c r="E894" s="30" t="s">
        <v>1593</v>
      </c>
      <c r="F894" s="30">
        <v>1</v>
      </c>
      <c r="G894" s="44">
        <v>2740</v>
      </c>
      <c r="H894" s="30"/>
      <c r="I894" s="44"/>
      <c r="J894" s="44"/>
      <c r="K894" s="44">
        <f t="shared" si="30"/>
        <v>2740</v>
      </c>
      <c r="L894" s="51">
        <v>20220808</v>
      </c>
    </row>
    <row r="895" spans="1:12" x14ac:dyDescent="0.25">
      <c r="A895" s="50" t="s">
        <v>1594</v>
      </c>
      <c r="B895" s="30" t="s">
        <v>1209</v>
      </c>
      <c r="C895" s="30" t="s">
        <v>1450</v>
      </c>
      <c r="D895" s="30" t="s">
        <v>1569</v>
      </c>
      <c r="E895" s="30" t="s">
        <v>1595</v>
      </c>
      <c r="F895" s="30">
        <v>1</v>
      </c>
      <c r="G895" s="44">
        <v>2740</v>
      </c>
      <c r="H895" s="30"/>
      <c r="I895" s="44"/>
      <c r="J895" s="44"/>
      <c r="K895" s="44">
        <f t="shared" si="30"/>
        <v>2740</v>
      </c>
      <c r="L895" s="51">
        <v>20220808</v>
      </c>
    </row>
    <row r="896" spans="1:12" x14ac:dyDescent="0.25">
      <c r="A896" s="50" t="s">
        <v>1605</v>
      </c>
      <c r="B896" s="30" t="s">
        <v>1209</v>
      </c>
      <c r="C896" s="30" t="s">
        <v>29</v>
      </c>
      <c r="D896" s="30" t="s">
        <v>389</v>
      </c>
      <c r="E896" s="30" t="s">
        <v>1606</v>
      </c>
      <c r="F896" s="30">
        <v>1</v>
      </c>
      <c r="G896" s="44">
        <v>2740</v>
      </c>
      <c r="H896" s="30"/>
      <c r="I896" s="44"/>
      <c r="J896" s="44"/>
      <c r="K896" s="44">
        <f t="shared" si="30"/>
        <v>2740</v>
      </c>
      <c r="L896" s="51">
        <v>20220808</v>
      </c>
    </row>
    <row r="897" spans="1:12" x14ac:dyDescent="0.25">
      <c r="A897" s="52" t="s">
        <v>1577</v>
      </c>
      <c r="B897" s="32" t="s">
        <v>11</v>
      </c>
      <c r="C897" s="32" t="s">
        <v>26</v>
      </c>
      <c r="D897" s="32" t="s">
        <v>141</v>
      </c>
      <c r="E897" s="32" t="s">
        <v>1578</v>
      </c>
      <c r="F897" s="32">
        <v>1</v>
      </c>
      <c r="G897" s="45">
        <v>2740</v>
      </c>
      <c r="H897" s="32">
        <v>138</v>
      </c>
      <c r="I897" s="45">
        <v>36</v>
      </c>
      <c r="J897" s="45">
        <f>I897*H897</f>
        <v>4968</v>
      </c>
      <c r="K897" s="45">
        <f t="shared" si="30"/>
        <v>7708</v>
      </c>
      <c r="L897" s="53">
        <v>20220809</v>
      </c>
    </row>
    <row r="898" spans="1:12" x14ac:dyDescent="0.25">
      <c r="A898" s="50" t="s">
        <v>1573</v>
      </c>
      <c r="B898" s="30" t="s">
        <v>11</v>
      </c>
      <c r="C898" s="30" t="s">
        <v>26</v>
      </c>
      <c r="D898" s="30" t="s">
        <v>153</v>
      </c>
      <c r="E898" s="30" t="s">
        <v>155</v>
      </c>
      <c r="F898" s="30">
        <v>1</v>
      </c>
      <c r="G898" s="44">
        <v>2740</v>
      </c>
      <c r="H898" s="30"/>
      <c r="I898" s="44"/>
      <c r="J898" s="44"/>
      <c r="K898" s="44">
        <f t="shared" si="30"/>
        <v>2740</v>
      </c>
      <c r="L898" s="51">
        <v>20220809</v>
      </c>
    </row>
    <row r="899" spans="1:12" x14ac:dyDescent="0.25">
      <c r="A899" s="52" t="s">
        <v>1588</v>
      </c>
      <c r="B899" s="32" t="s">
        <v>11</v>
      </c>
      <c r="C899" s="32" t="s">
        <v>29</v>
      </c>
      <c r="D899" s="32" t="s">
        <v>30</v>
      </c>
      <c r="E899" s="32" t="s">
        <v>578</v>
      </c>
      <c r="F899" s="32">
        <v>1</v>
      </c>
      <c r="G899" s="45">
        <v>2740</v>
      </c>
      <c r="H899" s="32">
        <v>156</v>
      </c>
      <c r="I899" s="45">
        <v>36</v>
      </c>
      <c r="J899" s="45">
        <f>I899*H899</f>
        <v>5616</v>
      </c>
      <c r="K899" s="45">
        <f t="shared" si="30"/>
        <v>8356</v>
      </c>
      <c r="L899" s="53">
        <v>20220811</v>
      </c>
    </row>
    <row r="900" spans="1:12" x14ac:dyDescent="0.25">
      <c r="A900" s="121" t="s">
        <v>1597</v>
      </c>
      <c r="B900" s="122" t="s">
        <v>1209</v>
      </c>
      <c r="C900" s="122" t="s">
        <v>1450</v>
      </c>
      <c r="D900" s="122" t="s">
        <v>169</v>
      </c>
      <c r="E900" s="122" t="s">
        <v>1598</v>
      </c>
      <c r="F900" s="122">
        <v>1</v>
      </c>
      <c r="G900" s="123">
        <v>2616</v>
      </c>
      <c r="H900" s="122"/>
      <c r="I900" s="123"/>
      <c r="J900" s="123"/>
      <c r="K900" s="123">
        <f t="shared" si="30"/>
        <v>2616</v>
      </c>
      <c r="L900" s="124">
        <v>20220811</v>
      </c>
    </row>
    <row r="901" spans="1:12" x14ac:dyDescent="0.25">
      <c r="A901" s="50" t="s">
        <v>1571</v>
      </c>
      <c r="B901" s="30" t="s">
        <v>11</v>
      </c>
      <c r="C901" s="30" t="s">
        <v>654</v>
      </c>
      <c r="D901" s="30" t="s">
        <v>655</v>
      </c>
      <c r="E901" s="30" t="s">
        <v>662</v>
      </c>
      <c r="F901" s="30">
        <v>1</v>
      </c>
      <c r="G901" s="44">
        <v>2740</v>
      </c>
      <c r="H901" s="30"/>
      <c r="I901" s="44"/>
      <c r="J901" s="44"/>
      <c r="K901" s="44">
        <f t="shared" si="30"/>
        <v>2740</v>
      </c>
      <c r="L901" s="51">
        <v>20220812</v>
      </c>
    </row>
    <row r="902" spans="1:12" x14ac:dyDescent="0.25">
      <c r="A902" s="50" t="s">
        <v>1566</v>
      </c>
      <c r="B902" s="30" t="s">
        <v>11</v>
      </c>
      <c r="C902" s="30" t="s">
        <v>26</v>
      </c>
      <c r="D902" s="30" t="s">
        <v>544</v>
      </c>
      <c r="E902" s="30" t="s">
        <v>1519</v>
      </c>
      <c r="F902" s="30">
        <v>1</v>
      </c>
      <c r="G902" s="44">
        <v>2740</v>
      </c>
      <c r="H902" s="30"/>
      <c r="I902" s="44"/>
      <c r="J902" s="44"/>
      <c r="K902" s="44">
        <f t="shared" si="30"/>
        <v>2740</v>
      </c>
      <c r="L902" s="51">
        <v>20220812</v>
      </c>
    </row>
    <row r="903" spans="1:12" x14ac:dyDescent="0.25">
      <c r="A903" s="50" t="s">
        <v>1586</v>
      </c>
      <c r="B903" s="30" t="s">
        <v>11</v>
      </c>
      <c r="C903" s="30" t="s">
        <v>364</v>
      </c>
      <c r="D903" s="30" t="s">
        <v>24</v>
      </c>
      <c r="E903" s="30" t="s">
        <v>532</v>
      </c>
      <c r="F903" s="30">
        <v>1</v>
      </c>
      <c r="G903" s="44">
        <v>2740</v>
      </c>
      <c r="H903" s="30"/>
      <c r="I903" s="44"/>
      <c r="J903" s="44"/>
      <c r="K903" s="44">
        <f t="shared" si="30"/>
        <v>2740</v>
      </c>
      <c r="L903" s="51">
        <v>20220812</v>
      </c>
    </row>
    <row r="904" spans="1:12" x14ac:dyDescent="0.25">
      <c r="A904" s="50" t="s">
        <v>1580</v>
      </c>
      <c r="B904" s="30" t="s">
        <v>11</v>
      </c>
      <c r="C904" s="30" t="s">
        <v>134</v>
      </c>
      <c r="D904" s="30" t="s">
        <v>354</v>
      </c>
      <c r="E904" s="30" t="s">
        <v>410</v>
      </c>
      <c r="F904" s="30">
        <v>1</v>
      </c>
      <c r="G904" s="44">
        <v>2740</v>
      </c>
      <c r="H904" s="30"/>
      <c r="I904" s="44"/>
      <c r="J904" s="44"/>
      <c r="K904" s="44">
        <f t="shared" si="30"/>
        <v>2740</v>
      </c>
      <c r="L904" s="51">
        <v>20220812</v>
      </c>
    </row>
    <row r="905" spans="1:12" x14ac:dyDescent="0.25">
      <c r="A905" s="50" t="s">
        <v>1584</v>
      </c>
      <c r="B905" s="30" t="s">
        <v>892</v>
      </c>
      <c r="C905" s="30" t="s">
        <v>251</v>
      </c>
      <c r="D905" s="30" t="s">
        <v>252</v>
      </c>
      <c r="E905" s="30" t="s">
        <v>253</v>
      </c>
      <c r="F905" s="30">
        <v>1</v>
      </c>
      <c r="G905" s="44">
        <v>2740</v>
      </c>
      <c r="H905" s="30"/>
      <c r="I905" s="44"/>
      <c r="J905" s="44"/>
      <c r="K905" s="44">
        <f t="shared" si="30"/>
        <v>2740</v>
      </c>
      <c r="L905" s="51">
        <v>20220812</v>
      </c>
    </row>
    <row r="906" spans="1:12" x14ac:dyDescent="0.25">
      <c r="A906" s="50" t="s">
        <v>1553</v>
      </c>
      <c r="B906" s="30" t="s">
        <v>11</v>
      </c>
      <c r="C906" s="30" t="s">
        <v>364</v>
      </c>
      <c r="D906" s="30" t="s">
        <v>24</v>
      </c>
      <c r="E906" s="30" t="s">
        <v>392</v>
      </c>
      <c r="F906" s="30">
        <v>1</v>
      </c>
      <c r="G906" s="44">
        <v>2740</v>
      </c>
      <c r="H906" s="30"/>
      <c r="I906" s="44"/>
      <c r="J906" s="44"/>
      <c r="K906" s="44">
        <f t="shared" si="30"/>
        <v>2740</v>
      </c>
      <c r="L906" s="51">
        <v>20220816</v>
      </c>
    </row>
    <row r="907" spans="1:12" x14ac:dyDescent="0.25">
      <c r="A907" s="50" t="s">
        <v>1579</v>
      </c>
      <c r="B907" s="30" t="s">
        <v>11</v>
      </c>
      <c r="C907" s="30" t="s">
        <v>29</v>
      </c>
      <c r="D907" s="30" t="s">
        <v>1385</v>
      </c>
      <c r="E907" s="30" t="s">
        <v>1386</v>
      </c>
      <c r="F907" s="30">
        <v>1</v>
      </c>
      <c r="G907" s="44">
        <v>2740</v>
      </c>
      <c r="H907" s="30"/>
      <c r="I907" s="44"/>
      <c r="J907" s="44"/>
      <c r="K907" s="44">
        <f t="shared" si="30"/>
        <v>2740</v>
      </c>
      <c r="L907" s="51">
        <v>20220816</v>
      </c>
    </row>
    <row r="908" spans="1:12" x14ac:dyDescent="0.25">
      <c r="A908" s="50" t="s">
        <v>1574</v>
      </c>
      <c r="B908" s="30" t="s">
        <v>1209</v>
      </c>
      <c r="C908" s="30" t="s">
        <v>364</v>
      </c>
      <c r="D908" s="30" t="s">
        <v>24</v>
      </c>
      <c r="E908" s="30" t="s">
        <v>1445</v>
      </c>
      <c r="F908" s="30">
        <v>1</v>
      </c>
      <c r="G908" s="44">
        <v>2740</v>
      </c>
      <c r="H908" s="30"/>
      <c r="I908" s="44"/>
      <c r="J908" s="44"/>
      <c r="K908" s="44">
        <f t="shared" si="30"/>
        <v>2740</v>
      </c>
      <c r="L908" s="51">
        <v>20220816</v>
      </c>
    </row>
    <row r="909" spans="1:12" x14ac:dyDescent="0.25">
      <c r="A909" s="50" t="s">
        <v>1575</v>
      </c>
      <c r="B909" s="30" t="s">
        <v>1209</v>
      </c>
      <c r="C909" s="30" t="s">
        <v>364</v>
      </c>
      <c r="D909" s="30" t="s">
        <v>24</v>
      </c>
      <c r="E909" s="30" t="s">
        <v>1576</v>
      </c>
      <c r="F909" s="30">
        <v>1</v>
      </c>
      <c r="G909" s="44">
        <v>2740</v>
      </c>
      <c r="H909" s="30"/>
      <c r="I909" s="44"/>
      <c r="J909" s="44"/>
      <c r="K909" s="44">
        <f t="shared" si="30"/>
        <v>2740</v>
      </c>
      <c r="L909" s="51">
        <v>20220816</v>
      </c>
    </row>
    <row r="910" spans="1:12" x14ac:dyDescent="0.25">
      <c r="A910" s="50" t="s">
        <v>1607</v>
      </c>
      <c r="B910" s="30" t="s">
        <v>1209</v>
      </c>
      <c r="C910" s="30" t="s">
        <v>364</v>
      </c>
      <c r="D910" s="30" t="s">
        <v>24</v>
      </c>
      <c r="E910" s="30" t="s">
        <v>698</v>
      </c>
      <c r="F910" s="30">
        <v>1</v>
      </c>
      <c r="G910" s="44">
        <v>2740</v>
      </c>
      <c r="H910" s="30"/>
      <c r="I910" s="44"/>
      <c r="J910" s="44"/>
      <c r="K910" s="44">
        <f t="shared" si="30"/>
        <v>2740</v>
      </c>
      <c r="L910" s="51">
        <v>20220816</v>
      </c>
    </row>
    <row r="911" spans="1:12" x14ac:dyDescent="0.25">
      <c r="A911" s="50" t="s">
        <v>1581</v>
      </c>
      <c r="B911" s="30" t="s">
        <v>11</v>
      </c>
      <c r="C911" s="30" t="s">
        <v>28</v>
      </c>
      <c r="D911" s="30" t="s">
        <v>753</v>
      </c>
      <c r="E911" s="30" t="s">
        <v>756</v>
      </c>
      <c r="F911" s="30">
        <v>1</v>
      </c>
      <c r="G911" s="44">
        <v>2740</v>
      </c>
      <c r="H911" s="30"/>
      <c r="I911" s="44"/>
      <c r="J911" s="44"/>
      <c r="K911" s="44">
        <f t="shared" si="30"/>
        <v>2740</v>
      </c>
      <c r="L911" s="51">
        <v>20220817</v>
      </c>
    </row>
    <row r="912" spans="1:12" x14ac:dyDescent="0.25">
      <c r="A912" s="50" t="s">
        <v>1585</v>
      </c>
      <c r="B912" s="30" t="s">
        <v>892</v>
      </c>
      <c r="C912" s="30" t="s">
        <v>251</v>
      </c>
      <c r="D912" s="30" t="s">
        <v>744</v>
      </c>
      <c r="E912" s="30" t="s">
        <v>745</v>
      </c>
      <c r="F912" s="30">
        <v>1</v>
      </c>
      <c r="G912" s="44">
        <v>2740</v>
      </c>
      <c r="H912" s="30"/>
      <c r="I912" s="44"/>
      <c r="J912" s="44"/>
      <c r="K912" s="44">
        <f t="shared" si="30"/>
        <v>2740</v>
      </c>
      <c r="L912" s="51">
        <v>20220817</v>
      </c>
    </row>
    <row r="913" spans="1:12" x14ac:dyDescent="0.25">
      <c r="A913" s="50" t="s">
        <v>1548</v>
      </c>
      <c r="B913" s="30" t="s">
        <v>11</v>
      </c>
      <c r="C913" s="30" t="s">
        <v>251</v>
      </c>
      <c r="D913" s="30" t="s">
        <v>767</v>
      </c>
      <c r="E913" s="30" t="s">
        <v>768</v>
      </c>
      <c r="F913" s="30">
        <v>1</v>
      </c>
      <c r="G913" s="44">
        <v>2740</v>
      </c>
      <c r="H913" s="30"/>
      <c r="I913" s="44"/>
      <c r="J913" s="44"/>
      <c r="K913" s="44">
        <f t="shared" si="30"/>
        <v>2740</v>
      </c>
      <c r="L913" s="51">
        <v>20220818</v>
      </c>
    </row>
    <row r="914" spans="1:12" x14ac:dyDescent="0.25">
      <c r="A914" s="50" t="s">
        <v>1549</v>
      </c>
      <c r="B914" s="30" t="s">
        <v>11</v>
      </c>
      <c r="C914" s="30" t="s">
        <v>134</v>
      </c>
      <c r="D914" s="30" t="s">
        <v>354</v>
      </c>
      <c r="E914" s="30" t="s">
        <v>359</v>
      </c>
      <c r="F914" s="30">
        <v>1</v>
      </c>
      <c r="G914" s="44">
        <v>2740</v>
      </c>
      <c r="H914" s="30"/>
      <c r="I914" s="44"/>
      <c r="J914" s="44"/>
      <c r="K914" s="44">
        <f t="shared" si="30"/>
        <v>2740</v>
      </c>
      <c r="L914" s="51">
        <v>20220818</v>
      </c>
    </row>
    <row r="915" spans="1:12" x14ac:dyDescent="0.25">
      <c r="A915" s="50" t="s">
        <v>1547</v>
      </c>
      <c r="B915" s="30" t="s">
        <v>11</v>
      </c>
      <c r="C915" s="30" t="s">
        <v>26</v>
      </c>
      <c r="D915" s="30" t="s">
        <v>802</v>
      </c>
      <c r="E915" s="30" t="s">
        <v>809</v>
      </c>
      <c r="F915" s="30">
        <v>1</v>
      </c>
      <c r="G915" s="44">
        <v>2740</v>
      </c>
      <c r="H915" s="30"/>
      <c r="I915" s="44"/>
      <c r="J915" s="44"/>
      <c r="K915" s="44">
        <f t="shared" si="30"/>
        <v>2740</v>
      </c>
      <c r="L915" s="51">
        <v>20220822</v>
      </c>
    </row>
    <row r="916" spans="1:12" x14ac:dyDescent="0.25">
      <c r="A916" s="50" t="s">
        <v>1542</v>
      </c>
      <c r="B916" s="30" t="s">
        <v>11</v>
      </c>
      <c r="C916" s="30" t="s">
        <v>26</v>
      </c>
      <c r="D916" s="30" t="s">
        <v>204</v>
      </c>
      <c r="E916" s="30" t="s">
        <v>205</v>
      </c>
      <c r="F916" s="30">
        <v>1</v>
      </c>
      <c r="G916" s="44">
        <v>2740</v>
      </c>
      <c r="H916" s="30"/>
      <c r="I916" s="44"/>
      <c r="J916" s="44"/>
      <c r="K916" s="44">
        <f t="shared" si="30"/>
        <v>2740</v>
      </c>
      <c r="L916" s="51">
        <v>20220823</v>
      </c>
    </row>
    <row r="917" spans="1:12" x14ac:dyDescent="0.25">
      <c r="A917" s="52" t="s">
        <v>1572</v>
      </c>
      <c r="B917" s="32" t="s">
        <v>11</v>
      </c>
      <c r="C917" s="32" t="s">
        <v>134</v>
      </c>
      <c r="D917" s="32" t="s">
        <v>135</v>
      </c>
      <c r="E917" s="32" t="s">
        <v>1178</v>
      </c>
      <c r="F917" s="32">
        <v>1</v>
      </c>
      <c r="G917" s="45">
        <v>2740</v>
      </c>
      <c r="H917" s="32">
        <v>24</v>
      </c>
      <c r="I917" s="45">
        <v>36</v>
      </c>
      <c r="J917" s="45">
        <f>I917*H917</f>
        <v>864</v>
      </c>
      <c r="K917" s="45">
        <f t="shared" ref="K917:K940" si="31">J917+G917</f>
        <v>3604</v>
      </c>
      <c r="L917" s="53">
        <v>20220824</v>
      </c>
    </row>
    <row r="918" spans="1:12" x14ac:dyDescent="0.25">
      <c r="A918" s="50" t="s">
        <v>1568</v>
      </c>
      <c r="B918" s="30" t="s">
        <v>1209</v>
      </c>
      <c r="C918" s="30" t="s">
        <v>1450</v>
      </c>
      <c r="D918" s="30" t="s">
        <v>1569</v>
      </c>
      <c r="E918" s="30" t="s">
        <v>1570</v>
      </c>
      <c r="F918" s="30">
        <v>1</v>
      </c>
      <c r="G918" s="44">
        <v>2740</v>
      </c>
      <c r="H918" s="30"/>
      <c r="I918" s="44"/>
      <c r="J918" s="44"/>
      <c r="K918" s="44">
        <f t="shared" si="31"/>
        <v>2740</v>
      </c>
      <c r="L918" s="51">
        <v>20220824</v>
      </c>
    </row>
    <row r="919" spans="1:12" x14ac:dyDescent="0.25">
      <c r="A919" s="52" t="s">
        <v>1539</v>
      </c>
      <c r="B919" s="32" t="s">
        <v>11</v>
      </c>
      <c r="C919" s="32" t="s">
        <v>28</v>
      </c>
      <c r="D919" s="32" t="s">
        <v>267</v>
      </c>
      <c r="E919" s="32" t="s">
        <v>268</v>
      </c>
      <c r="F919" s="32">
        <v>1</v>
      </c>
      <c r="G919" s="45">
        <v>2740</v>
      </c>
      <c r="H919" s="32">
        <v>146</v>
      </c>
      <c r="I919" s="45">
        <v>36</v>
      </c>
      <c r="J919" s="45">
        <f>I919*H919</f>
        <v>5256</v>
      </c>
      <c r="K919" s="45">
        <f t="shared" si="31"/>
        <v>7996</v>
      </c>
      <c r="L919" s="53">
        <v>20220825</v>
      </c>
    </row>
    <row r="920" spans="1:12" x14ac:dyDescent="0.25">
      <c r="A920" s="50" t="s">
        <v>1537</v>
      </c>
      <c r="B920" s="30" t="s">
        <v>11</v>
      </c>
      <c r="C920" s="30" t="s">
        <v>29</v>
      </c>
      <c r="D920" s="30" t="s">
        <v>1385</v>
      </c>
      <c r="E920" s="30" t="s">
        <v>628</v>
      </c>
      <c r="F920" s="30">
        <v>1</v>
      </c>
      <c r="G920" s="44">
        <v>2740</v>
      </c>
      <c r="H920" s="30"/>
      <c r="I920" s="44"/>
      <c r="J920" s="44"/>
      <c r="K920" s="44">
        <f t="shared" si="31"/>
        <v>2740</v>
      </c>
      <c r="L920" s="51">
        <v>20220825</v>
      </c>
    </row>
    <row r="921" spans="1:12" x14ac:dyDescent="0.25">
      <c r="A921" s="50" t="s">
        <v>1541</v>
      </c>
      <c r="B921" s="30" t="s">
        <v>11</v>
      </c>
      <c r="C921" s="30" t="s">
        <v>29</v>
      </c>
      <c r="D921" s="30" t="s">
        <v>1385</v>
      </c>
      <c r="E921" s="30" t="s">
        <v>1386</v>
      </c>
      <c r="F921" s="30">
        <v>1</v>
      </c>
      <c r="G921" s="44">
        <v>2740</v>
      </c>
      <c r="H921" s="30"/>
      <c r="I921" s="44"/>
      <c r="J921" s="44"/>
      <c r="K921" s="44">
        <f t="shared" si="31"/>
        <v>2740</v>
      </c>
      <c r="L921" s="51">
        <v>20220825</v>
      </c>
    </row>
    <row r="922" spans="1:12" x14ac:dyDescent="0.25">
      <c r="A922" s="50" t="s">
        <v>1540</v>
      </c>
      <c r="B922" s="30" t="s">
        <v>11</v>
      </c>
      <c r="C922" s="30" t="s">
        <v>251</v>
      </c>
      <c r="D922" s="30" t="s">
        <v>740</v>
      </c>
      <c r="E922" s="30" t="s">
        <v>741</v>
      </c>
      <c r="F922" s="30">
        <v>1</v>
      </c>
      <c r="G922" s="44">
        <v>2740</v>
      </c>
      <c r="H922" s="30"/>
      <c r="I922" s="44"/>
      <c r="J922" s="44"/>
      <c r="K922" s="44">
        <f t="shared" si="31"/>
        <v>2740</v>
      </c>
      <c r="L922" s="51">
        <v>20220826</v>
      </c>
    </row>
    <row r="923" spans="1:12" x14ac:dyDescent="0.25">
      <c r="A923" s="50" t="s">
        <v>1538</v>
      </c>
      <c r="B923" s="30" t="s">
        <v>11</v>
      </c>
      <c r="C923" s="30" t="s">
        <v>251</v>
      </c>
      <c r="D923" s="30" t="s">
        <v>767</v>
      </c>
      <c r="E923" s="30" t="s">
        <v>768</v>
      </c>
      <c r="F923" s="30">
        <v>1</v>
      </c>
      <c r="G923" s="44">
        <v>2740</v>
      </c>
      <c r="H923" s="30"/>
      <c r="I923" s="44"/>
      <c r="J923" s="44"/>
      <c r="K923" s="44">
        <f t="shared" si="31"/>
        <v>2740</v>
      </c>
      <c r="L923" s="51">
        <v>20220826</v>
      </c>
    </row>
    <row r="924" spans="1:12" x14ac:dyDescent="0.25">
      <c r="A924" s="50" t="s">
        <v>1587</v>
      </c>
      <c r="B924" s="30" t="s">
        <v>1209</v>
      </c>
      <c r="C924" s="30" t="s">
        <v>505</v>
      </c>
      <c r="D924" s="30" t="s">
        <v>24</v>
      </c>
      <c r="E924" s="30" t="s">
        <v>1355</v>
      </c>
      <c r="F924" s="30">
        <v>1</v>
      </c>
      <c r="G924" s="44">
        <v>2740</v>
      </c>
      <c r="H924" s="30"/>
      <c r="I924" s="44"/>
      <c r="J924" s="44"/>
      <c r="K924" s="44">
        <f t="shared" si="31"/>
        <v>2740</v>
      </c>
      <c r="L924" s="51">
        <v>20220826</v>
      </c>
    </row>
    <row r="925" spans="1:12" x14ac:dyDescent="0.25">
      <c r="A925" s="50" t="s">
        <v>1527</v>
      </c>
      <c r="B925" s="30" t="s">
        <v>11</v>
      </c>
      <c r="C925" s="30" t="s">
        <v>337</v>
      </c>
      <c r="D925" s="30" t="s">
        <v>162</v>
      </c>
      <c r="E925" s="30" t="s">
        <v>1528</v>
      </c>
      <c r="F925" s="30">
        <v>1</v>
      </c>
      <c r="G925" s="44">
        <v>2740</v>
      </c>
      <c r="H925" s="30"/>
      <c r="I925" s="44"/>
      <c r="J925" s="44"/>
      <c r="K925" s="44">
        <f t="shared" si="31"/>
        <v>2740</v>
      </c>
      <c r="L925" s="51">
        <v>20220829</v>
      </c>
    </row>
    <row r="926" spans="1:12" x14ac:dyDescent="0.25">
      <c r="A926" s="50" t="s">
        <v>1529</v>
      </c>
      <c r="B926" s="30" t="s">
        <v>11</v>
      </c>
      <c r="C926" s="30" t="s">
        <v>337</v>
      </c>
      <c r="D926" s="30" t="s">
        <v>162</v>
      </c>
      <c r="E926" s="30" t="s">
        <v>1530</v>
      </c>
      <c r="F926" s="30">
        <v>1</v>
      </c>
      <c r="G926" s="44">
        <v>2740</v>
      </c>
      <c r="H926" s="30"/>
      <c r="I926" s="44"/>
      <c r="J926" s="44"/>
      <c r="K926" s="44">
        <f t="shared" si="31"/>
        <v>2740</v>
      </c>
      <c r="L926" s="51">
        <v>20220829</v>
      </c>
    </row>
    <row r="927" spans="1:12" x14ac:dyDescent="0.25">
      <c r="A927" s="50" t="s">
        <v>1531</v>
      </c>
      <c r="B927" s="30" t="s">
        <v>11</v>
      </c>
      <c r="C927" s="30" t="s">
        <v>337</v>
      </c>
      <c r="D927" s="30" t="s">
        <v>162</v>
      </c>
      <c r="E927" s="30" t="s">
        <v>1532</v>
      </c>
      <c r="F927" s="30">
        <v>1</v>
      </c>
      <c r="G927" s="44">
        <v>2740</v>
      </c>
      <c r="H927" s="30"/>
      <c r="I927" s="44"/>
      <c r="J927" s="44"/>
      <c r="K927" s="44">
        <f t="shared" si="31"/>
        <v>2740</v>
      </c>
      <c r="L927" s="51">
        <v>20220829</v>
      </c>
    </row>
    <row r="928" spans="1:12" x14ac:dyDescent="0.25">
      <c r="A928" s="50" t="s">
        <v>1533</v>
      </c>
      <c r="B928" s="30" t="s">
        <v>11</v>
      </c>
      <c r="C928" s="30" t="s">
        <v>337</v>
      </c>
      <c r="D928" s="30" t="s">
        <v>162</v>
      </c>
      <c r="E928" s="30" t="s">
        <v>1534</v>
      </c>
      <c r="F928" s="30">
        <v>1</v>
      </c>
      <c r="G928" s="44">
        <v>2740</v>
      </c>
      <c r="H928" s="30"/>
      <c r="I928" s="44"/>
      <c r="J928" s="44"/>
      <c r="K928" s="44">
        <f t="shared" si="31"/>
        <v>2740</v>
      </c>
      <c r="L928" s="51">
        <v>20220829</v>
      </c>
    </row>
    <row r="929" spans="1:12" x14ac:dyDescent="0.25">
      <c r="A929" s="50" t="s">
        <v>1536</v>
      </c>
      <c r="B929" s="30" t="s">
        <v>11</v>
      </c>
      <c r="C929" s="30" t="s">
        <v>337</v>
      </c>
      <c r="D929" s="30" t="s">
        <v>162</v>
      </c>
      <c r="E929" s="30" t="s">
        <v>235</v>
      </c>
      <c r="F929" s="30">
        <v>1</v>
      </c>
      <c r="G929" s="44">
        <v>2740</v>
      </c>
      <c r="H929" s="30"/>
      <c r="I929" s="44"/>
      <c r="J929" s="44"/>
      <c r="K929" s="44">
        <f t="shared" si="31"/>
        <v>2740</v>
      </c>
      <c r="L929" s="51">
        <v>20220829</v>
      </c>
    </row>
    <row r="930" spans="1:12" x14ac:dyDescent="0.25">
      <c r="A930" s="50" t="s">
        <v>1535</v>
      </c>
      <c r="B930" s="30" t="s">
        <v>11</v>
      </c>
      <c r="C930" s="30" t="s">
        <v>45</v>
      </c>
      <c r="D930" s="30" t="s">
        <v>46</v>
      </c>
      <c r="E930" s="30" t="s">
        <v>80</v>
      </c>
      <c r="F930" s="30">
        <v>1</v>
      </c>
      <c r="G930" s="44">
        <v>2740</v>
      </c>
      <c r="H930" s="30"/>
      <c r="I930" s="44"/>
      <c r="J930" s="44"/>
      <c r="K930" s="44">
        <f t="shared" si="31"/>
        <v>2740</v>
      </c>
      <c r="L930" s="51">
        <v>20220829</v>
      </c>
    </row>
    <row r="931" spans="1:12" x14ac:dyDescent="0.25">
      <c r="A931" s="52" t="s">
        <v>1567</v>
      </c>
      <c r="B931" s="32" t="s">
        <v>11</v>
      </c>
      <c r="C931" s="32" t="s">
        <v>202</v>
      </c>
      <c r="D931" s="32" t="s">
        <v>203</v>
      </c>
      <c r="E931" s="32" t="s">
        <v>214</v>
      </c>
      <c r="F931" s="32">
        <v>1</v>
      </c>
      <c r="G931" s="45">
        <v>2740</v>
      </c>
      <c r="H931" s="32">
        <v>100</v>
      </c>
      <c r="I931" s="45">
        <v>36</v>
      </c>
      <c r="J931" s="45">
        <f>I931*H931</f>
        <v>3600</v>
      </c>
      <c r="K931" s="45">
        <f t="shared" si="31"/>
        <v>6340</v>
      </c>
      <c r="L931" s="53">
        <v>20220829</v>
      </c>
    </row>
    <row r="932" spans="1:12" x14ac:dyDescent="0.25">
      <c r="A932" s="50" t="s">
        <v>1525</v>
      </c>
      <c r="B932" s="30" t="s">
        <v>11</v>
      </c>
      <c r="C932" s="30" t="s">
        <v>94</v>
      </c>
      <c r="D932" s="30" t="s">
        <v>95</v>
      </c>
      <c r="E932" s="30" t="s">
        <v>326</v>
      </c>
      <c r="F932" s="30">
        <v>1</v>
      </c>
      <c r="G932" s="44">
        <v>2740</v>
      </c>
      <c r="H932" s="30"/>
      <c r="I932" s="44"/>
      <c r="J932" s="44"/>
      <c r="K932" s="44">
        <f t="shared" si="31"/>
        <v>2740</v>
      </c>
      <c r="L932" s="51">
        <v>20220829</v>
      </c>
    </row>
    <row r="933" spans="1:12" x14ac:dyDescent="0.25">
      <c r="A933" s="52" t="s">
        <v>1524</v>
      </c>
      <c r="B933" s="32" t="s">
        <v>11</v>
      </c>
      <c r="C933" s="32" t="s">
        <v>28</v>
      </c>
      <c r="D933" s="32" t="s">
        <v>1026</v>
      </c>
      <c r="E933" s="32" t="s">
        <v>1027</v>
      </c>
      <c r="F933" s="32">
        <v>1</v>
      </c>
      <c r="G933" s="45">
        <v>2740</v>
      </c>
      <c r="H933" s="32">
        <v>127</v>
      </c>
      <c r="I933" s="45">
        <v>36</v>
      </c>
      <c r="J933" s="45">
        <f>I933*H933</f>
        <v>4572</v>
      </c>
      <c r="K933" s="45">
        <f t="shared" si="31"/>
        <v>7312</v>
      </c>
      <c r="L933" s="53">
        <v>20220830</v>
      </c>
    </row>
    <row r="934" spans="1:12" x14ac:dyDescent="0.25">
      <c r="A934" s="50" t="s">
        <v>1526</v>
      </c>
      <c r="B934" s="30" t="s">
        <v>11</v>
      </c>
      <c r="C934" s="30" t="s">
        <v>364</v>
      </c>
      <c r="D934" s="30" t="s">
        <v>24</v>
      </c>
      <c r="E934" s="30" t="s">
        <v>695</v>
      </c>
      <c r="F934" s="30">
        <v>1</v>
      </c>
      <c r="G934" s="44">
        <v>2740</v>
      </c>
      <c r="H934" s="30"/>
      <c r="I934" s="44"/>
      <c r="J934" s="44"/>
      <c r="K934" s="44">
        <f t="shared" si="31"/>
        <v>2740</v>
      </c>
      <c r="L934" s="51">
        <v>20220830</v>
      </c>
    </row>
    <row r="935" spans="1:12" x14ac:dyDescent="0.25">
      <c r="A935" s="50" t="s">
        <v>1543</v>
      </c>
      <c r="B935" s="30" t="s">
        <v>1209</v>
      </c>
      <c r="C935" s="30" t="s">
        <v>1544</v>
      </c>
      <c r="D935" s="30" t="s">
        <v>1545</v>
      </c>
      <c r="E935" s="30" t="s">
        <v>1546</v>
      </c>
      <c r="F935" s="30">
        <v>1</v>
      </c>
      <c r="G935" s="44">
        <v>2740</v>
      </c>
      <c r="H935" s="30"/>
      <c r="I935" s="44"/>
      <c r="J935" s="44"/>
      <c r="K935" s="44">
        <f t="shared" si="31"/>
        <v>2740</v>
      </c>
      <c r="L935" s="51">
        <v>20220830</v>
      </c>
    </row>
    <row r="936" spans="1:12" x14ac:dyDescent="0.25">
      <c r="A936" s="50" t="s">
        <v>1521</v>
      </c>
      <c r="B936" s="30" t="s">
        <v>11</v>
      </c>
      <c r="C936" s="30" t="s">
        <v>26</v>
      </c>
      <c r="D936" s="30" t="s">
        <v>544</v>
      </c>
      <c r="E936" s="30" t="s">
        <v>549</v>
      </c>
      <c r="F936" s="30">
        <v>1</v>
      </c>
      <c r="G936" s="44">
        <v>2740</v>
      </c>
      <c r="H936" s="30"/>
      <c r="I936" s="44"/>
      <c r="J936" s="44"/>
      <c r="K936" s="44">
        <f t="shared" si="31"/>
        <v>2740</v>
      </c>
      <c r="L936" s="51">
        <v>20220831</v>
      </c>
    </row>
    <row r="937" spans="1:12" x14ac:dyDescent="0.25">
      <c r="A937" s="50" t="s">
        <v>1522</v>
      </c>
      <c r="B937" s="30" t="s">
        <v>11</v>
      </c>
      <c r="C937" s="30" t="s">
        <v>405</v>
      </c>
      <c r="D937" s="30" t="s">
        <v>24</v>
      </c>
      <c r="E937" s="30" t="s">
        <v>1447</v>
      </c>
      <c r="F937" s="30">
        <v>1</v>
      </c>
      <c r="G937" s="44">
        <v>2740</v>
      </c>
      <c r="H937" s="30"/>
      <c r="I937" s="44"/>
      <c r="J937" s="44"/>
      <c r="K937" s="44">
        <f t="shared" si="31"/>
        <v>2740</v>
      </c>
      <c r="L937" s="51">
        <v>20220831</v>
      </c>
    </row>
    <row r="938" spans="1:12" x14ac:dyDescent="0.25">
      <c r="A938" s="50" t="s">
        <v>1554</v>
      </c>
      <c r="B938" s="30" t="s">
        <v>11</v>
      </c>
      <c r="C938" s="30" t="s">
        <v>636</v>
      </c>
      <c r="D938" s="30" t="s">
        <v>1555</v>
      </c>
      <c r="E938" s="30" t="s">
        <v>1556</v>
      </c>
      <c r="F938" s="30">
        <v>1</v>
      </c>
      <c r="G938" s="44">
        <v>2740</v>
      </c>
      <c r="H938" s="30"/>
      <c r="I938" s="44"/>
      <c r="J938" s="44"/>
      <c r="K938" s="44">
        <f t="shared" si="31"/>
        <v>2740</v>
      </c>
      <c r="L938" s="51">
        <v>20220831</v>
      </c>
    </row>
    <row r="939" spans="1:12" x14ac:dyDescent="0.25">
      <c r="A939" s="50" t="s">
        <v>1516</v>
      </c>
      <c r="B939" s="30" t="s">
        <v>11</v>
      </c>
      <c r="C939" s="30" t="s">
        <v>94</v>
      </c>
      <c r="D939" s="30" t="s">
        <v>95</v>
      </c>
      <c r="E939" s="30" t="s">
        <v>262</v>
      </c>
      <c r="F939" s="30">
        <v>1</v>
      </c>
      <c r="G939" s="44">
        <v>2740</v>
      </c>
      <c r="H939" s="30"/>
      <c r="I939" s="44"/>
      <c r="J939" s="44"/>
      <c r="K939" s="44">
        <f t="shared" si="31"/>
        <v>2740</v>
      </c>
      <c r="L939" s="51">
        <v>20220831</v>
      </c>
    </row>
    <row r="940" spans="1:12" ht="15.75" thickBot="1" x14ac:dyDescent="0.3">
      <c r="A940" s="54" t="s">
        <v>1523</v>
      </c>
      <c r="B940" s="36" t="s">
        <v>11</v>
      </c>
      <c r="C940" s="36" t="s">
        <v>94</v>
      </c>
      <c r="D940" s="36" t="s">
        <v>95</v>
      </c>
      <c r="E940" s="36" t="s">
        <v>436</v>
      </c>
      <c r="F940" s="36">
        <v>1</v>
      </c>
      <c r="G940" s="65">
        <v>2740</v>
      </c>
      <c r="H940" s="36"/>
      <c r="I940" s="65"/>
      <c r="J940" s="65"/>
      <c r="K940" s="65">
        <f t="shared" si="31"/>
        <v>2740</v>
      </c>
      <c r="L940" s="55">
        <v>20220831</v>
      </c>
    </row>
    <row r="941" spans="1:12" ht="15.75" thickBot="1" x14ac:dyDescent="0.3">
      <c r="A941" s="99"/>
      <c r="B941" s="100"/>
      <c r="C941" s="100"/>
      <c r="D941" s="100"/>
      <c r="E941" s="100"/>
      <c r="F941" s="100"/>
      <c r="G941" s="101"/>
      <c r="H941" s="100"/>
      <c r="I941" s="101"/>
      <c r="J941" s="101"/>
      <c r="K941" s="101"/>
      <c r="L941" s="102"/>
    </row>
    <row r="942" spans="1:12" x14ac:dyDescent="0.25">
      <c r="A942" s="48" t="s">
        <v>1609</v>
      </c>
      <c r="B942" s="34" t="s">
        <v>137</v>
      </c>
      <c r="C942" s="34" t="s">
        <v>26</v>
      </c>
      <c r="D942" s="34" t="s">
        <v>418</v>
      </c>
      <c r="E942" s="34" t="s">
        <v>1610</v>
      </c>
      <c r="F942" s="34">
        <v>1</v>
      </c>
      <c r="G942" s="64">
        <v>1370</v>
      </c>
      <c r="H942" s="34"/>
      <c r="I942" s="64"/>
      <c r="J942" s="64"/>
      <c r="K942" s="64">
        <f t="shared" ref="K942:K957" si="32">J942+G942</f>
        <v>1370</v>
      </c>
      <c r="L942" s="49">
        <v>20220802</v>
      </c>
    </row>
    <row r="943" spans="1:12" x14ac:dyDescent="0.25">
      <c r="A943" s="50" t="s">
        <v>1611</v>
      </c>
      <c r="B943" s="30" t="s">
        <v>137</v>
      </c>
      <c r="C943" s="30" t="s">
        <v>26</v>
      </c>
      <c r="D943" s="30" t="s">
        <v>418</v>
      </c>
      <c r="E943" s="30" t="s">
        <v>419</v>
      </c>
      <c r="F943" s="30">
        <v>1</v>
      </c>
      <c r="G943" s="44">
        <v>1370</v>
      </c>
      <c r="H943" s="30"/>
      <c r="I943" s="44"/>
      <c r="J943" s="44"/>
      <c r="K943" s="44">
        <f t="shared" si="32"/>
        <v>1370</v>
      </c>
      <c r="L943" s="51">
        <v>20220802</v>
      </c>
    </row>
    <row r="944" spans="1:12" x14ac:dyDescent="0.25">
      <c r="A944" s="50" t="s">
        <v>1612</v>
      </c>
      <c r="B944" s="30" t="s">
        <v>137</v>
      </c>
      <c r="C944" s="30" t="s">
        <v>26</v>
      </c>
      <c r="D944" s="30" t="s">
        <v>418</v>
      </c>
      <c r="E944" s="30" t="s">
        <v>421</v>
      </c>
      <c r="F944" s="30">
        <v>1</v>
      </c>
      <c r="G944" s="44">
        <v>1370</v>
      </c>
      <c r="H944" s="30"/>
      <c r="I944" s="44"/>
      <c r="J944" s="44"/>
      <c r="K944" s="44">
        <f t="shared" si="32"/>
        <v>1370</v>
      </c>
      <c r="L944" s="51">
        <v>20220802</v>
      </c>
    </row>
    <row r="945" spans="1:12" x14ac:dyDescent="0.25">
      <c r="A945" s="50" t="s">
        <v>1582</v>
      </c>
      <c r="B945" s="30" t="s">
        <v>137</v>
      </c>
      <c r="C945" s="30" t="s">
        <v>922</v>
      </c>
      <c r="D945" s="30" t="s">
        <v>24</v>
      </c>
      <c r="E945" s="30" t="s">
        <v>923</v>
      </c>
      <c r="F945" s="30">
        <v>1</v>
      </c>
      <c r="G945" s="44">
        <v>1370</v>
      </c>
      <c r="H945" s="30"/>
      <c r="I945" s="44"/>
      <c r="J945" s="44"/>
      <c r="K945" s="44">
        <f t="shared" si="32"/>
        <v>1370</v>
      </c>
      <c r="L945" s="51">
        <v>20220808</v>
      </c>
    </row>
    <row r="946" spans="1:12" x14ac:dyDescent="0.25">
      <c r="A946" s="50" t="s">
        <v>1564</v>
      </c>
      <c r="B946" s="30" t="s">
        <v>137</v>
      </c>
      <c r="C946" s="30" t="s">
        <v>654</v>
      </c>
      <c r="D946" s="30" t="s">
        <v>655</v>
      </c>
      <c r="E946" s="30" t="s">
        <v>658</v>
      </c>
      <c r="F946" s="30">
        <v>1</v>
      </c>
      <c r="G946" s="44">
        <v>1370</v>
      </c>
      <c r="H946" s="30"/>
      <c r="I946" s="44"/>
      <c r="J946" s="44"/>
      <c r="K946" s="44">
        <f t="shared" si="32"/>
        <v>1370</v>
      </c>
      <c r="L946" s="51">
        <v>20220816</v>
      </c>
    </row>
    <row r="947" spans="1:12" x14ac:dyDescent="0.25">
      <c r="A947" s="50" t="s">
        <v>1565</v>
      </c>
      <c r="B947" s="30" t="s">
        <v>137</v>
      </c>
      <c r="C947" s="30" t="s">
        <v>654</v>
      </c>
      <c r="D947" s="30" t="s">
        <v>655</v>
      </c>
      <c r="E947" s="30" t="s">
        <v>660</v>
      </c>
      <c r="F947" s="30">
        <v>1</v>
      </c>
      <c r="G947" s="44">
        <v>1370</v>
      </c>
      <c r="H947" s="30"/>
      <c r="I947" s="44"/>
      <c r="J947" s="44"/>
      <c r="K947" s="44">
        <f t="shared" si="32"/>
        <v>1370</v>
      </c>
      <c r="L947" s="51">
        <v>20220816</v>
      </c>
    </row>
    <row r="948" spans="1:12" x14ac:dyDescent="0.25">
      <c r="A948" s="50" t="s">
        <v>1557</v>
      </c>
      <c r="B948" s="30" t="s">
        <v>137</v>
      </c>
      <c r="C948" s="30" t="s">
        <v>654</v>
      </c>
      <c r="D948" s="30" t="s">
        <v>1470</v>
      </c>
      <c r="E948" s="30" t="s">
        <v>1558</v>
      </c>
      <c r="F948" s="30">
        <v>1</v>
      </c>
      <c r="G948" s="44">
        <v>1370</v>
      </c>
      <c r="H948" s="30"/>
      <c r="I948" s="44"/>
      <c r="J948" s="44"/>
      <c r="K948" s="44">
        <f t="shared" si="32"/>
        <v>1370</v>
      </c>
      <c r="L948" s="51">
        <v>20220818</v>
      </c>
    </row>
    <row r="949" spans="1:12" x14ac:dyDescent="0.25">
      <c r="A949" s="50" t="s">
        <v>1559</v>
      </c>
      <c r="B949" s="30" t="s">
        <v>137</v>
      </c>
      <c r="C949" s="30" t="s">
        <v>654</v>
      </c>
      <c r="D949" s="30" t="s">
        <v>1470</v>
      </c>
      <c r="E949" s="30" t="s">
        <v>1560</v>
      </c>
      <c r="F949" s="30">
        <v>1</v>
      </c>
      <c r="G949" s="44">
        <v>1370</v>
      </c>
      <c r="H949" s="30"/>
      <c r="I949" s="44"/>
      <c r="J949" s="44"/>
      <c r="K949" s="44">
        <f t="shared" si="32"/>
        <v>1370</v>
      </c>
      <c r="L949" s="51">
        <v>20220818</v>
      </c>
    </row>
    <row r="950" spans="1:12" x14ac:dyDescent="0.25">
      <c r="A950" s="50" t="s">
        <v>1561</v>
      </c>
      <c r="B950" s="30" t="s">
        <v>137</v>
      </c>
      <c r="C950" s="30" t="s">
        <v>654</v>
      </c>
      <c r="D950" s="30" t="s">
        <v>1470</v>
      </c>
      <c r="E950" s="30" t="s">
        <v>1562</v>
      </c>
      <c r="F950" s="30">
        <v>1</v>
      </c>
      <c r="G950" s="44">
        <v>1370</v>
      </c>
      <c r="H950" s="30"/>
      <c r="I950" s="44"/>
      <c r="J950" s="44"/>
      <c r="K950" s="44">
        <f t="shared" si="32"/>
        <v>1370</v>
      </c>
      <c r="L950" s="51">
        <v>20220818</v>
      </c>
    </row>
    <row r="951" spans="1:12" x14ac:dyDescent="0.25">
      <c r="A951" s="50" t="s">
        <v>1563</v>
      </c>
      <c r="B951" s="30" t="s">
        <v>137</v>
      </c>
      <c r="C951" s="30" t="s">
        <v>654</v>
      </c>
      <c r="D951" s="30" t="s">
        <v>1470</v>
      </c>
      <c r="E951" s="30" t="s">
        <v>1471</v>
      </c>
      <c r="F951" s="30">
        <v>1</v>
      </c>
      <c r="G951" s="44">
        <v>1370</v>
      </c>
      <c r="H951" s="30"/>
      <c r="I951" s="44"/>
      <c r="J951" s="44"/>
      <c r="K951" s="44">
        <f t="shared" si="32"/>
        <v>1370</v>
      </c>
      <c r="L951" s="51">
        <v>20220818</v>
      </c>
    </row>
    <row r="952" spans="1:12" x14ac:dyDescent="0.25">
      <c r="A952" s="50" t="s">
        <v>1550</v>
      </c>
      <c r="B952" s="30" t="s">
        <v>137</v>
      </c>
      <c r="C952" s="30" t="s">
        <v>26</v>
      </c>
      <c r="D952" s="30" t="s">
        <v>556</v>
      </c>
      <c r="E952" s="30" t="s">
        <v>557</v>
      </c>
      <c r="F952" s="30">
        <v>1</v>
      </c>
      <c r="G952" s="44">
        <v>1370</v>
      </c>
      <c r="H952" s="30"/>
      <c r="I952" s="44"/>
      <c r="J952" s="44"/>
      <c r="K952" s="44">
        <f t="shared" si="32"/>
        <v>1370</v>
      </c>
      <c r="L952" s="51">
        <v>20220818</v>
      </c>
    </row>
    <row r="953" spans="1:12" x14ac:dyDescent="0.25">
      <c r="A953" s="50" t="s">
        <v>1551</v>
      </c>
      <c r="B953" s="30" t="s">
        <v>137</v>
      </c>
      <c r="C953" s="30" t="s">
        <v>26</v>
      </c>
      <c r="D953" s="30" t="s">
        <v>556</v>
      </c>
      <c r="E953" s="30" t="s">
        <v>561</v>
      </c>
      <c r="F953" s="30">
        <v>1</v>
      </c>
      <c r="G953" s="44">
        <v>1370</v>
      </c>
      <c r="H953" s="30"/>
      <c r="I953" s="44"/>
      <c r="J953" s="44"/>
      <c r="K953" s="44">
        <f t="shared" si="32"/>
        <v>1370</v>
      </c>
      <c r="L953" s="51">
        <v>20220818</v>
      </c>
    </row>
    <row r="954" spans="1:12" x14ac:dyDescent="0.25">
      <c r="A954" s="50" t="s">
        <v>1552</v>
      </c>
      <c r="B954" s="30" t="s">
        <v>137</v>
      </c>
      <c r="C954" s="30" t="s">
        <v>26</v>
      </c>
      <c r="D954" s="30" t="s">
        <v>556</v>
      </c>
      <c r="E954" s="30" t="s">
        <v>563</v>
      </c>
      <c r="F954" s="30">
        <v>1</v>
      </c>
      <c r="G954" s="44">
        <v>1370</v>
      </c>
      <c r="H954" s="30"/>
      <c r="I954" s="44"/>
      <c r="J954" s="44"/>
      <c r="K954" s="44">
        <f t="shared" si="32"/>
        <v>1370</v>
      </c>
      <c r="L954" s="51">
        <v>20220818</v>
      </c>
    </row>
    <row r="955" spans="1:12" x14ac:dyDescent="0.25">
      <c r="A955" s="50" t="s">
        <v>1517</v>
      </c>
      <c r="B955" s="30" t="s">
        <v>137</v>
      </c>
      <c r="C955" s="30" t="s">
        <v>26</v>
      </c>
      <c r="D955" s="30" t="s">
        <v>544</v>
      </c>
      <c r="E955" s="30" t="s">
        <v>545</v>
      </c>
      <c r="F955" s="30">
        <v>1</v>
      </c>
      <c r="G955" s="44">
        <v>1370</v>
      </c>
      <c r="H955" s="30"/>
      <c r="I955" s="44"/>
      <c r="J955" s="44"/>
      <c r="K955" s="44">
        <f t="shared" si="32"/>
        <v>1370</v>
      </c>
      <c r="L955" s="51">
        <v>20220831</v>
      </c>
    </row>
    <row r="956" spans="1:12" x14ac:dyDescent="0.25">
      <c r="A956" s="50" t="s">
        <v>1518</v>
      </c>
      <c r="B956" s="30" t="s">
        <v>137</v>
      </c>
      <c r="C956" s="30" t="s">
        <v>26</v>
      </c>
      <c r="D956" s="30" t="s">
        <v>544</v>
      </c>
      <c r="E956" s="30" t="s">
        <v>1519</v>
      </c>
      <c r="F956" s="30">
        <v>1</v>
      </c>
      <c r="G956" s="44">
        <v>1370</v>
      </c>
      <c r="H956" s="30"/>
      <c r="I956" s="44"/>
      <c r="J956" s="44"/>
      <c r="K956" s="44">
        <f t="shared" si="32"/>
        <v>1370</v>
      </c>
      <c r="L956" s="51">
        <v>20220831</v>
      </c>
    </row>
    <row r="957" spans="1:12" ht="15.75" thickBot="1" x14ac:dyDescent="0.3">
      <c r="A957" s="54" t="s">
        <v>1520</v>
      </c>
      <c r="B957" s="36" t="s">
        <v>137</v>
      </c>
      <c r="C957" s="36" t="s">
        <v>26</v>
      </c>
      <c r="D957" s="36" t="s">
        <v>544</v>
      </c>
      <c r="E957" s="36" t="s">
        <v>551</v>
      </c>
      <c r="F957" s="36">
        <v>1</v>
      </c>
      <c r="G957" s="65">
        <v>1370</v>
      </c>
      <c r="H957" s="36"/>
      <c r="I957" s="65"/>
      <c r="J957" s="65"/>
      <c r="K957" s="65">
        <f t="shared" si="32"/>
        <v>1370</v>
      </c>
      <c r="L957" s="55">
        <v>20220831</v>
      </c>
    </row>
    <row r="960" spans="1:12" ht="15.75" thickBot="1" x14ac:dyDescent="0.3">
      <c r="A960" s="69" t="s">
        <v>0</v>
      </c>
      <c r="B960" s="70" t="s">
        <v>1</v>
      </c>
      <c r="C960" s="70" t="s">
        <v>2</v>
      </c>
      <c r="D960" s="70" t="s">
        <v>3</v>
      </c>
      <c r="E960" s="70" t="s">
        <v>4</v>
      </c>
      <c r="F960" s="70"/>
      <c r="G960" s="71" t="s">
        <v>6</v>
      </c>
      <c r="H960" s="70" t="s">
        <v>7</v>
      </c>
      <c r="I960" s="71" t="s">
        <v>8</v>
      </c>
      <c r="J960" s="71" t="s">
        <v>9</v>
      </c>
      <c r="K960" s="71" t="s">
        <v>10</v>
      </c>
      <c r="L960" s="72" t="s">
        <v>5</v>
      </c>
    </row>
    <row r="961" spans="1:12" x14ac:dyDescent="0.25">
      <c r="A961" s="48" t="s">
        <v>2108</v>
      </c>
      <c r="B961" s="34" t="s">
        <v>11</v>
      </c>
      <c r="C961" s="34" t="s">
        <v>2109</v>
      </c>
      <c r="D961" s="34" t="s">
        <v>24</v>
      </c>
      <c r="E961" s="34" t="s">
        <v>44</v>
      </c>
      <c r="F961" s="34">
        <v>1</v>
      </c>
      <c r="G961" s="64">
        <v>2740</v>
      </c>
      <c r="H961" s="34"/>
      <c r="I961" s="64"/>
      <c r="J961" s="64"/>
      <c r="K961" s="64">
        <f t="shared" ref="K961:K984" si="33">J961+G961</f>
        <v>2740</v>
      </c>
      <c r="L961" s="49">
        <v>20220901</v>
      </c>
    </row>
    <row r="962" spans="1:12" x14ac:dyDescent="0.25">
      <c r="A962" s="50" t="s">
        <v>2092</v>
      </c>
      <c r="B962" s="30" t="s">
        <v>11</v>
      </c>
      <c r="C962" s="30" t="s">
        <v>251</v>
      </c>
      <c r="D962" s="30" t="s">
        <v>252</v>
      </c>
      <c r="E962" s="30" t="s">
        <v>253</v>
      </c>
      <c r="F962" s="30">
        <v>1</v>
      </c>
      <c r="G962" s="44">
        <v>2740</v>
      </c>
      <c r="H962" s="30"/>
      <c r="I962" s="44"/>
      <c r="J962" s="44"/>
      <c r="K962" s="44">
        <f t="shared" si="33"/>
        <v>2740</v>
      </c>
      <c r="L962" s="51">
        <v>20220902</v>
      </c>
    </row>
    <row r="963" spans="1:12" x14ac:dyDescent="0.25">
      <c r="A963" s="50" t="s">
        <v>2107</v>
      </c>
      <c r="B963" s="30" t="s">
        <v>11</v>
      </c>
      <c r="C963" s="30" t="s">
        <v>251</v>
      </c>
      <c r="D963" s="30" t="s">
        <v>767</v>
      </c>
      <c r="E963" s="30" t="s">
        <v>768</v>
      </c>
      <c r="F963" s="30">
        <v>1</v>
      </c>
      <c r="G963" s="44">
        <v>2740</v>
      </c>
      <c r="H963" s="30"/>
      <c r="I963" s="44"/>
      <c r="J963" s="44"/>
      <c r="K963" s="44">
        <f t="shared" si="33"/>
        <v>2740</v>
      </c>
      <c r="L963" s="51">
        <v>20220902</v>
      </c>
    </row>
    <row r="964" spans="1:12" x14ac:dyDescent="0.25">
      <c r="A964" s="50" t="s">
        <v>2085</v>
      </c>
      <c r="B964" s="30" t="s">
        <v>11</v>
      </c>
      <c r="C964" s="30" t="s">
        <v>251</v>
      </c>
      <c r="D964" s="30" t="s">
        <v>252</v>
      </c>
      <c r="E964" s="30" t="s">
        <v>253</v>
      </c>
      <c r="F964" s="30">
        <v>1</v>
      </c>
      <c r="G964" s="44">
        <v>2740</v>
      </c>
      <c r="H964" s="30"/>
      <c r="I964" s="44"/>
      <c r="J964" s="44"/>
      <c r="K964" s="44">
        <f t="shared" si="33"/>
        <v>2740</v>
      </c>
      <c r="L964" s="51">
        <v>20220905</v>
      </c>
    </row>
    <row r="965" spans="1:12" x14ac:dyDescent="0.25">
      <c r="A965" s="50" t="s">
        <v>2096</v>
      </c>
      <c r="B965" s="30" t="s">
        <v>11</v>
      </c>
      <c r="C965" s="30" t="s">
        <v>29</v>
      </c>
      <c r="D965" s="30" t="s">
        <v>24</v>
      </c>
      <c r="E965" s="30" t="s">
        <v>208</v>
      </c>
      <c r="F965" s="30">
        <v>1</v>
      </c>
      <c r="G965" s="44">
        <v>2740</v>
      </c>
      <c r="H965" s="30"/>
      <c r="I965" s="44"/>
      <c r="J965" s="44"/>
      <c r="K965" s="44">
        <f t="shared" si="33"/>
        <v>2740</v>
      </c>
      <c r="L965" s="51">
        <v>20220905</v>
      </c>
    </row>
    <row r="966" spans="1:12" x14ac:dyDescent="0.25">
      <c r="A966" s="50" t="s">
        <v>2106</v>
      </c>
      <c r="B966" s="30" t="s">
        <v>11</v>
      </c>
      <c r="C966" s="30" t="s">
        <v>29</v>
      </c>
      <c r="D966" s="30" t="s">
        <v>24</v>
      </c>
      <c r="E966" s="30" t="s">
        <v>209</v>
      </c>
      <c r="F966" s="30">
        <v>1</v>
      </c>
      <c r="G966" s="44">
        <v>2740</v>
      </c>
      <c r="H966" s="30"/>
      <c r="I966" s="44"/>
      <c r="J966" s="44"/>
      <c r="K966" s="44">
        <f t="shared" si="33"/>
        <v>2740</v>
      </c>
      <c r="L966" s="51">
        <v>20220905</v>
      </c>
    </row>
    <row r="967" spans="1:12" x14ac:dyDescent="0.25">
      <c r="A967" s="50" t="s">
        <v>2082</v>
      </c>
      <c r="B967" s="30" t="s">
        <v>11</v>
      </c>
      <c r="C967" s="30" t="s">
        <v>76</v>
      </c>
      <c r="D967" s="30" t="s">
        <v>2072</v>
      </c>
      <c r="E967" s="30" t="s">
        <v>77</v>
      </c>
      <c r="F967" s="30">
        <v>1</v>
      </c>
      <c r="G967" s="44">
        <v>2740</v>
      </c>
      <c r="H967" s="30"/>
      <c r="I967" s="44"/>
      <c r="J967" s="44"/>
      <c r="K967" s="44">
        <f t="shared" si="33"/>
        <v>2740</v>
      </c>
      <c r="L967" s="51">
        <v>20220906</v>
      </c>
    </row>
    <row r="968" spans="1:12" x14ac:dyDescent="0.25">
      <c r="A968" s="52" t="s">
        <v>2053</v>
      </c>
      <c r="B968" s="32" t="s">
        <v>11</v>
      </c>
      <c r="C968" s="32" t="s">
        <v>26</v>
      </c>
      <c r="D968" s="32" t="s">
        <v>141</v>
      </c>
      <c r="E968" s="32" t="s">
        <v>603</v>
      </c>
      <c r="F968" s="32">
        <v>1</v>
      </c>
      <c r="G968" s="45">
        <v>2740</v>
      </c>
      <c r="H968" s="32">
        <v>138</v>
      </c>
      <c r="I968" s="45">
        <v>36</v>
      </c>
      <c r="J968" s="45">
        <f>I968*H968</f>
        <v>4968</v>
      </c>
      <c r="K968" s="45">
        <f t="shared" si="33"/>
        <v>7708</v>
      </c>
      <c r="L968" s="53">
        <v>20220912</v>
      </c>
    </row>
    <row r="969" spans="1:12" x14ac:dyDescent="0.25">
      <c r="A969" s="50" t="s">
        <v>2083</v>
      </c>
      <c r="B969" s="30" t="s">
        <v>1209</v>
      </c>
      <c r="C969" s="30" t="s">
        <v>654</v>
      </c>
      <c r="D969" s="30" t="s">
        <v>1470</v>
      </c>
      <c r="E969" s="30" t="s">
        <v>2084</v>
      </c>
      <c r="F969" s="30">
        <v>1</v>
      </c>
      <c r="G969" s="44">
        <v>2740</v>
      </c>
      <c r="H969" s="30"/>
      <c r="I969" s="44"/>
      <c r="J969" s="44"/>
      <c r="K969" s="44">
        <f t="shared" si="33"/>
        <v>2740</v>
      </c>
      <c r="L969" s="51">
        <v>20220912</v>
      </c>
    </row>
    <row r="970" spans="1:12" x14ac:dyDescent="0.25">
      <c r="A970" s="52" t="s">
        <v>2081</v>
      </c>
      <c r="B970" s="32" t="s">
        <v>11</v>
      </c>
      <c r="C970" s="32" t="s">
        <v>337</v>
      </c>
      <c r="D970" s="32" t="s">
        <v>35</v>
      </c>
      <c r="E970" s="32" t="s">
        <v>1318</v>
      </c>
      <c r="F970" s="32">
        <v>1</v>
      </c>
      <c r="G970" s="45">
        <v>2740</v>
      </c>
      <c r="H970" s="32">
        <v>78</v>
      </c>
      <c r="I970" s="45">
        <v>36</v>
      </c>
      <c r="J970" s="45">
        <f>I970*H970</f>
        <v>2808</v>
      </c>
      <c r="K970" s="45">
        <f t="shared" si="33"/>
        <v>5548</v>
      </c>
      <c r="L970" s="53">
        <v>20220914</v>
      </c>
    </row>
    <row r="971" spans="1:12" x14ac:dyDescent="0.25">
      <c r="A971" s="52" t="s">
        <v>2038</v>
      </c>
      <c r="B971" s="32" t="s">
        <v>11</v>
      </c>
      <c r="C971" s="32" t="s">
        <v>1006</v>
      </c>
      <c r="D971" s="32" t="s">
        <v>1007</v>
      </c>
      <c r="E971" s="32" t="s">
        <v>1008</v>
      </c>
      <c r="F971" s="32">
        <v>1</v>
      </c>
      <c r="G971" s="45">
        <v>2740</v>
      </c>
      <c r="H971" s="32">
        <v>286</v>
      </c>
      <c r="I971" s="45">
        <v>36</v>
      </c>
      <c r="J971" s="45">
        <f>I971*H971</f>
        <v>10296</v>
      </c>
      <c r="K971" s="45">
        <f t="shared" si="33"/>
        <v>13036</v>
      </c>
      <c r="L971" s="53">
        <v>20220915</v>
      </c>
    </row>
    <row r="972" spans="1:12" x14ac:dyDescent="0.25">
      <c r="A972" s="50" t="s">
        <v>2116</v>
      </c>
      <c r="B972" s="30" t="s">
        <v>11</v>
      </c>
      <c r="C972" s="30" t="s">
        <v>895</v>
      </c>
      <c r="D972" s="30" t="s">
        <v>896</v>
      </c>
      <c r="E972" s="30" t="s">
        <v>1442</v>
      </c>
      <c r="F972" s="30">
        <v>1</v>
      </c>
      <c r="G972" s="44">
        <v>2740</v>
      </c>
      <c r="H972" s="30"/>
      <c r="I972" s="44"/>
      <c r="J972" s="44"/>
      <c r="K972" s="44">
        <f t="shared" si="33"/>
        <v>2740</v>
      </c>
      <c r="L972" s="51">
        <v>20220916</v>
      </c>
    </row>
    <row r="973" spans="1:12" x14ac:dyDescent="0.25">
      <c r="A973" s="50" t="s">
        <v>2004</v>
      </c>
      <c r="B973" s="30" t="s">
        <v>11</v>
      </c>
      <c r="C973" s="30" t="s">
        <v>94</v>
      </c>
      <c r="D973" s="30" t="s">
        <v>95</v>
      </c>
      <c r="E973" s="30" t="s">
        <v>436</v>
      </c>
      <c r="F973" s="30">
        <v>1</v>
      </c>
      <c r="G973" s="44">
        <v>2740</v>
      </c>
      <c r="H973" s="30"/>
      <c r="I973" s="44"/>
      <c r="J973" s="44"/>
      <c r="K973" s="44">
        <f t="shared" si="33"/>
        <v>2740</v>
      </c>
      <c r="L973" s="51">
        <v>20220919</v>
      </c>
    </row>
    <row r="974" spans="1:12" x14ac:dyDescent="0.25">
      <c r="A974" s="50" t="s">
        <v>2050</v>
      </c>
      <c r="B974" s="30" t="s">
        <v>1209</v>
      </c>
      <c r="C974" s="30" t="s">
        <v>29</v>
      </c>
      <c r="D974" s="30" t="s">
        <v>24</v>
      </c>
      <c r="E974" s="30" t="s">
        <v>2051</v>
      </c>
      <c r="F974" s="30">
        <v>1</v>
      </c>
      <c r="G974" s="44">
        <v>2740</v>
      </c>
      <c r="H974" s="30"/>
      <c r="I974" s="44"/>
      <c r="J974" s="44"/>
      <c r="K974" s="44">
        <f t="shared" si="33"/>
        <v>2740</v>
      </c>
      <c r="L974" s="51">
        <v>20220919</v>
      </c>
    </row>
    <row r="975" spans="1:12" x14ac:dyDescent="0.25">
      <c r="A975" s="52" t="s">
        <v>2003</v>
      </c>
      <c r="B975" s="32" t="s">
        <v>11</v>
      </c>
      <c r="C975" s="32" t="s">
        <v>337</v>
      </c>
      <c r="D975" s="32" t="s">
        <v>35</v>
      </c>
      <c r="E975" s="32" t="s">
        <v>1318</v>
      </c>
      <c r="F975" s="32">
        <v>1</v>
      </c>
      <c r="G975" s="45">
        <v>2740</v>
      </c>
      <c r="H975" s="32">
        <v>78</v>
      </c>
      <c r="I975" s="45">
        <v>36</v>
      </c>
      <c r="J975" s="45">
        <f>I975*H975</f>
        <v>2808</v>
      </c>
      <c r="K975" s="45">
        <f t="shared" si="33"/>
        <v>5548</v>
      </c>
      <c r="L975" s="53">
        <v>20220920</v>
      </c>
    </row>
    <row r="976" spans="1:12" x14ac:dyDescent="0.25">
      <c r="A976" s="50" t="s">
        <v>2117</v>
      </c>
      <c r="B976" s="30" t="s">
        <v>1209</v>
      </c>
      <c r="C976" s="30" t="s">
        <v>607</v>
      </c>
      <c r="D976" s="30" t="s">
        <v>24</v>
      </c>
      <c r="E976" s="30" t="s">
        <v>2118</v>
      </c>
      <c r="F976" s="30">
        <v>1</v>
      </c>
      <c r="G976" s="44">
        <v>2740</v>
      </c>
      <c r="H976" s="30"/>
      <c r="I976" s="44"/>
      <c r="J976" s="44"/>
      <c r="K976" s="44">
        <f t="shared" si="33"/>
        <v>2740</v>
      </c>
      <c r="L976" s="51">
        <v>20220921</v>
      </c>
    </row>
    <row r="977" spans="1:12" x14ac:dyDescent="0.25">
      <c r="A977" s="50" t="s">
        <v>2000</v>
      </c>
      <c r="B977" s="30" t="s">
        <v>11</v>
      </c>
      <c r="C977" s="30" t="s">
        <v>26</v>
      </c>
      <c r="D977" s="30" t="s">
        <v>228</v>
      </c>
      <c r="E977" s="30" t="s">
        <v>541</v>
      </c>
      <c r="F977" s="30">
        <v>1</v>
      </c>
      <c r="G977" s="44">
        <v>2740</v>
      </c>
      <c r="H977" s="30"/>
      <c r="I977" s="44"/>
      <c r="J977" s="44"/>
      <c r="K977" s="44">
        <f t="shared" si="33"/>
        <v>2740</v>
      </c>
      <c r="L977" s="51">
        <v>20220922</v>
      </c>
    </row>
    <row r="978" spans="1:12" x14ac:dyDescent="0.25">
      <c r="A978" s="50" t="s">
        <v>2001</v>
      </c>
      <c r="B978" s="30" t="s">
        <v>11</v>
      </c>
      <c r="C978" s="30" t="s">
        <v>29</v>
      </c>
      <c r="D978" s="30" t="s">
        <v>24</v>
      </c>
      <c r="E978" s="30" t="s">
        <v>632</v>
      </c>
      <c r="F978" s="30">
        <v>1</v>
      </c>
      <c r="G978" s="44">
        <v>2740</v>
      </c>
      <c r="H978" s="30"/>
      <c r="I978" s="44"/>
      <c r="J978" s="44"/>
      <c r="K978" s="44">
        <f t="shared" si="33"/>
        <v>2740</v>
      </c>
      <c r="L978" s="51">
        <v>20220922</v>
      </c>
    </row>
    <row r="979" spans="1:12" x14ac:dyDescent="0.25">
      <c r="A979" s="50" t="s">
        <v>2002</v>
      </c>
      <c r="B979" s="30" t="s">
        <v>11</v>
      </c>
      <c r="C979" s="30" t="s">
        <v>94</v>
      </c>
      <c r="D979" s="30" t="s">
        <v>95</v>
      </c>
      <c r="E979" s="30" t="s">
        <v>982</v>
      </c>
      <c r="F979" s="30">
        <v>1</v>
      </c>
      <c r="G979" s="44">
        <v>2740</v>
      </c>
      <c r="H979" s="30"/>
      <c r="I979" s="44"/>
      <c r="J979" s="44"/>
      <c r="K979" s="44">
        <f t="shared" si="33"/>
        <v>2740</v>
      </c>
      <c r="L979" s="51">
        <v>20220923</v>
      </c>
    </row>
    <row r="980" spans="1:12" x14ac:dyDescent="0.25">
      <c r="A980" s="50" t="s">
        <v>1999</v>
      </c>
      <c r="B980" s="30" t="s">
        <v>11</v>
      </c>
      <c r="C980" s="30" t="s">
        <v>29</v>
      </c>
      <c r="D980" s="30" t="s">
        <v>24</v>
      </c>
      <c r="E980" s="30" t="s">
        <v>208</v>
      </c>
      <c r="F980" s="30">
        <v>1</v>
      </c>
      <c r="G980" s="44">
        <v>2740</v>
      </c>
      <c r="H980" s="30"/>
      <c r="I980" s="44"/>
      <c r="J980" s="44"/>
      <c r="K980" s="44">
        <f t="shared" si="33"/>
        <v>2740</v>
      </c>
      <c r="L980" s="51">
        <v>20220927</v>
      </c>
    </row>
    <row r="981" spans="1:12" x14ac:dyDescent="0.25">
      <c r="A981" s="50" t="s">
        <v>1997</v>
      </c>
      <c r="B981" s="30" t="s">
        <v>1209</v>
      </c>
      <c r="C981" s="30" t="s">
        <v>53</v>
      </c>
      <c r="D981" s="30" t="s">
        <v>24</v>
      </c>
      <c r="E981" s="30" t="s">
        <v>1998</v>
      </c>
      <c r="F981" s="30">
        <v>1</v>
      </c>
      <c r="G981" s="44">
        <v>2740</v>
      </c>
      <c r="H981" s="30"/>
      <c r="I981" s="44"/>
      <c r="J981" s="44"/>
      <c r="K981" s="44">
        <f t="shared" si="33"/>
        <v>2740</v>
      </c>
      <c r="L981" s="51">
        <v>20220927</v>
      </c>
    </row>
    <row r="982" spans="1:12" x14ac:dyDescent="0.25">
      <c r="A982" s="50" t="s">
        <v>2110</v>
      </c>
      <c r="B982" s="30" t="s">
        <v>1209</v>
      </c>
      <c r="C982" s="30" t="s">
        <v>2111</v>
      </c>
      <c r="D982" s="30" t="s">
        <v>2112</v>
      </c>
      <c r="E982" s="30" t="s">
        <v>2113</v>
      </c>
      <c r="F982" s="30">
        <v>1</v>
      </c>
      <c r="G982" s="44">
        <v>2740</v>
      </c>
      <c r="H982" s="30"/>
      <c r="I982" s="44"/>
      <c r="J982" s="44"/>
      <c r="K982" s="44">
        <f t="shared" si="33"/>
        <v>2740</v>
      </c>
      <c r="L982" s="51">
        <v>20220929</v>
      </c>
    </row>
    <row r="983" spans="1:12" x14ac:dyDescent="0.25">
      <c r="A983" s="50" t="s">
        <v>2114</v>
      </c>
      <c r="B983" s="30" t="s">
        <v>1209</v>
      </c>
      <c r="C983" s="30" t="s">
        <v>2111</v>
      </c>
      <c r="D983" s="30" t="s">
        <v>2112</v>
      </c>
      <c r="E983" s="30" t="s">
        <v>2115</v>
      </c>
      <c r="F983" s="30">
        <v>1</v>
      </c>
      <c r="G983" s="44">
        <v>2740</v>
      </c>
      <c r="H983" s="30"/>
      <c r="I983" s="44"/>
      <c r="J983" s="44"/>
      <c r="K983" s="44">
        <f t="shared" si="33"/>
        <v>2740</v>
      </c>
      <c r="L983" s="51">
        <v>20220929</v>
      </c>
    </row>
    <row r="984" spans="1:12" ht="15.75" thickBot="1" x14ac:dyDescent="0.3">
      <c r="A984" s="54" t="s">
        <v>1996</v>
      </c>
      <c r="B984" s="36" t="s">
        <v>11</v>
      </c>
      <c r="C984" s="36" t="s">
        <v>364</v>
      </c>
      <c r="D984" s="36" t="s">
        <v>24</v>
      </c>
      <c r="E984" s="36" t="s">
        <v>1136</v>
      </c>
      <c r="F984" s="36">
        <v>1</v>
      </c>
      <c r="G984" s="65">
        <v>2740</v>
      </c>
      <c r="H984" s="36"/>
      <c r="I984" s="65"/>
      <c r="J984" s="65"/>
      <c r="K984" s="65">
        <f t="shared" si="33"/>
        <v>2740</v>
      </c>
      <c r="L984" s="55">
        <v>20220930</v>
      </c>
    </row>
    <row r="985" spans="1:12" ht="15.75" thickBot="1" x14ac:dyDescent="0.3">
      <c r="A985" s="99"/>
      <c r="B985" s="100"/>
      <c r="C985" s="100"/>
      <c r="D985" s="100"/>
      <c r="E985" s="100"/>
      <c r="F985" s="100"/>
      <c r="G985" s="101"/>
      <c r="H985" s="100"/>
      <c r="I985" s="101"/>
      <c r="J985" s="101"/>
      <c r="K985" s="101"/>
      <c r="L985" s="102"/>
    </row>
    <row r="986" spans="1:12" x14ac:dyDescent="0.25">
      <c r="A986" s="48" t="s">
        <v>2093</v>
      </c>
      <c r="B986" s="34" t="s">
        <v>137</v>
      </c>
      <c r="C986" s="34" t="s">
        <v>29</v>
      </c>
      <c r="D986" s="34" t="s">
        <v>1385</v>
      </c>
      <c r="E986" s="34" t="s">
        <v>628</v>
      </c>
      <c r="F986" s="34">
        <v>1</v>
      </c>
      <c r="G986" s="64">
        <v>1370</v>
      </c>
      <c r="H986" s="34"/>
      <c r="I986" s="64"/>
      <c r="J986" s="64"/>
      <c r="K986" s="64">
        <f t="shared" ref="K986:K1017" si="34">J986+G986</f>
        <v>1370</v>
      </c>
      <c r="L986" s="49">
        <v>20220901</v>
      </c>
    </row>
    <row r="987" spans="1:12" x14ac:dyDescent="0.25">
      <c r="A987" s="50" t="s">
        <v>2094</v>
      </c>
      <c r="B987" s="30" t="s">
        <v>137</v>
      </c>
      <c r="C987" s="30" t="s">
        <v>29</v>
      </c>
      <c r="D987" s="30" t="s">
        <v>1385</v>
      </c>
      <c r="E987" s="30" t="s">
        <v>1386</v>
      </c>
      <c r="F987" s="30">
        <v>1</v>
      </c>
      <c r="G987" s="44">
        <v>1370</v>
      </c>
      <c r="H987" s="30"/>
      <c r="I987" s="44"/>
      <c r="J987" s="44"/>
      <c r="K987" s="44">
        <f t="shared" si="34"/>
        <v>1370</v>
      </c>
      <c r="L987" s="51">
        <v>20220901</v>
      </c>
    </row>
    <row r="988" spans="1:12" x14ac:dyDescent="0.25">
      <c r="A988" s="50" t="s">
        <v>2095</v>
      </c>
      <c r="B988" s="30" t="s">
        <v>137</v>
      </c>
      <c r="C988" s="30" t="s">
        <v>29</v>
      </c>
      <c r="D988" s="30" t="s">
        <v>1385</v>
      </c>
      <c r="E988" s="30" t="s">
        <v>1290</v>
      </c>
      <c r="F988" s="30">
        <v>1</v>
      </c>
      <c r="G988" s="44">
        <v>1370</v>
      </c>
      <c r="H988" s="30"/>
      <c r="I988" s="44"/>
      <c r="J988" s="44"/>
      <c r="K988" s="44">
        <f t="shared" si="34"/>
        <v>1370</v>
      </c>
      <c r="L988" s="51">
        <v>20220901</v>
      </c>
    </row>
    <row r="989" spans="1:12" x14ac:dyDescent="0.25">
      <c r="A989" s="50" t="s">
        <v>2105</v>
      </c>
      <c r="B989" s="30" t="s">
        <v>137</v>
      </c>
      <c r="C989" s="30" t="s">
        <v>29</v>
      </c>
      <c r="D989" s="30" t="s">
        <v>24</v>
      </c>
      <c r="E989" s="30" t="s">
        <v>210</v>
      </c>
      <c r="F989" s="30">
        <v>1</v>
      </c>
      <c r="G989" s="44">
        <v>1370</v>
      </c>
      <c r="H989" s="30"/>
      <c r="I989" s="44"/>
      <c r="J989" s="44"/>
      <c r="K989" s="44">
        <f t="shared" si="34"/>
        <v>1370</v>
      </c>
      <c r="L989" s="51">
        <v>20220901</v>
      </c>
    </row>
    <row r="990" spans="1:12" x14ac:dyDescent="0.25">
      <c r="A990" s="50" t="s">
        <v>2097</v>
      </c>
      <c r="B990" s="30" t="s">
        <v>137</v>
      </c>
      <c r="C990" s="30" t="s">
        <v>29</v>
      </c>
      <c r="D990" s="30" t="s">
        <v>24</v>
      </c>
      <c r="E990" s="30" t="s">
        <v>1003</v>
      </c>
      <c r="F990" s="30">
        <v>1</v>
      </c>
      <c r="G990" s="44">
        <v>1370</v>
      </c>
      <c r="H990" s="30"/>
      <c r="I990" s="44"/>
      <c r="J990" s="44"/>
      <c r="K990" s="44">
        <f t="shared" si="34"/>
        <v>1370</v>
      </c>
      <c r="L990" s="51">
        <v>20220902</v>
      </c>
    </row>
    <row r="991" spans="1:12" x14ac:dyDescent="0.25">
      <c r="A991" s="50" t="s">
        <v>2098</v>
      </c>
      <c r="B991" s="30" t="s">
        <v>137</v>
      </c>
      <c r="C991" s="30" t="s">
        <v>29</v>
      </c>
      <c r="D991" s="30" t="s">
        <v>24</v>
      </c>
      <c r="E991" s="30" t="s">
        <v>630</v>
      </c>
      <c r="F991" s="30">
        <v>1</v>
      </c>
      <c r="G991" s="44">
        <v>1370</v>
      </c>
      <c r="H991" s="30"/>
      <c r="I991" s="44"/>
      <c r="J991" s="44"/>
      <c r="K991" s="44">
        <f t="shared" si="34"/>
        <v>1370</v>
      </c>
      <c r="L991" s="51">
        <v>20220902</v>
      </c>
    </row>
    <row r="992" spans="1:12" x14ac:dyDescent="0.25">
      <c r="A992" s="50" t="s">
        <v>2100</v>
      </c>
      <c r="B992" s="30" t="s">
        <v>137</v>
      </c>
      <c r="C992" s="30" t="s">
        <v>29</v>
      </c>
      <c r="D992" s="30" t="s">
        <v>24</v>
      </c>
      <c r="E992" s="30" t="s">
        <v>2101</v>
      </c>
      <c r="F992" s="30">
        <v>1</v>
      </c>
      <c r="G992" s="44">
        <v>1370</v>
      </c>
      <c r="H992" s="30"/>
      <c r="I992" s="44"/>
      <c r="J992" s="44"/>
      <c r="K992" s="44">
        <f t="shared" si="34"/>
        <v>1370</v>
      </c>
      <c r="L992" s="51">
        <v>20220902</v>
      </c>
    </row>
    <row r="993" spans="1:12" x14ac:dyDescent="0.25">
      <c r="A993" s="50" t="s">
        <v>2102</v>
      </c>
      <c r="B993" s="30" t="s">
        <v>137</v>
      </c>
      <c r="C993" s="30" t="s">
        <v>29</v>
      </c>
      <c r="D993" s="30" t="s">
        <v>24</v>
      </c>
      <c r="E993" s="30" t="s">
        <v>1127</v>
      </c>
      <c r="F993" s="30">
        <v>1</v>
      </c>
      <c r="G993" s="44">
        <v>1370</v>
      </c>
      <c r="H993" s="30"/>
      <c r="I993" s="44"/>
      <c r="J993" s="44"/>
      <c r="K993" s="44">
        <f t="shared" si="34"/>
        <v>1370</v>
      </c>
      <c r="L993" s="51">
        <v>20220902</v>
      </c>
    </row>
    <row r="994" spans="1:12" x14ac:dyDescent="0.25">
      <c r="A994" s="50" t="s">
        <v>2104</v>
      </c>
      <c r="B994" s="30" t="s">
        <v>137</v>
      </c>
      <c r="C994" s="30" t="s">
        <v>29</v>
      </c>
      <c r="D994" s="30" t="s">
        <v>24</v>
      </c>
      <c r="E994" s="30" t="s">
        <v>1320</v>
      </c>
      <c r="F994" s="30">
        <v>1</v>
      </c>
      <c r="G994" s="44">
        <v>1370</v>
      </c>
      <c r="H994" s="30"/>
      <c r="I994" s="44"/>
      <c r="J994" s="44"/>
      <c r="K994" s="44">
        <f t="shared" si="34"/>
        <v>1370</v>
      </c>
      <c r="L994" s="51">
        <v>20220902</v>
      </c>
    </row>
    <row r="995" spans="1:12" x14ac:dyDescent="0.25">
      <c r="A995" s="50" t="s">
        <v>2099</v>
      </c>
      <c r="B995" s="30" t="s">
        <v>137</v>
      </c>
      <c r="C995" s="30" t="s">
        <v>29</v>
      </c>
      <c r="D995" s="30" t="s">
        <v>24</v>
      </c>
      <c r="E995" s="30" t="s">
        <v>632</v>
      </c>
      <c r="F995" s="30">
        <v>1</v>
      </c>
      <c r="G995" s="44">
        <v>1370</v>
      </c>
      <c r="H995" s="30"/>
      <c r="I995" s="44"/>
      <c r="J995" s="44"/>
      <c r="K995" s="44">
        <f t="shared" si="34"/>
        <v>1370</v>
      </c>
      <c r="L995" s="51">
        <v>20220905</v>
      </c>
    </row>
    <row r="996" spans="1:12" x14ac:dyDescent="0.25">
      <c r="A996" s="50" t="s">
        <v>2070</v>
      </c>
      <c r="B996" s="30" t="s">
        <v>137</v>
      </c>
      <c r="C996" s="30" t="s">
        <v>364</v>
      </c>
      <c r="D996" s="30" t="s">
        <v>24</v>
      </c>
      <c r="E996" s="30" t="s">
        <v>532</v>
      </c>
      <c r="F996" s="30">
        <v>1</v>
      </c>
      <c r="G996" s="44">
        <v>1370</v>
      </c>
      <c r="H996" s="30"/>
      <c r="I996" s="44"/>
      <c r="J996" s="44"/>
      <c r="K996" s="44">
        <f t="shared" si="34"/>
        <v>1370</v>
      </c>
      <c r="L996" s="51">
        <v>20220906</v>
      </c>
    </row>
    <row r="997" spans="1:12" x14ac:dyDescent="0.25">
      <c r="A997" s="50" t="s">
        <v>2071</v>
      </c>
      <c r="B997" s="30" t="s">
        <v>137</v>
      </c>
      <c r="C997" s="30" t="s">
        <v>76</v>
      </c>
      <c r="D997" s="30" t="s">
        <v>2072</v>
      </c>
      <c r="E997" s="30" t="s">
        <v>1156</v>
      </c>
      <c r="F997" s="30">
        <v>1</v>
      </c>
      <c r="G997" s="44">
        <v>1370</v>
      </c>
      <c r="H997" s="30"/>
      <c r="I997" s="44"/>
      <c r="J997" s="44"/>
      <c r="K997" s="44">
        <f t="shared" si="34"/>
        <v>1370</v>
      </c>
      <c r="L997" s="51">
        <v>20220906</v>
      </c>
    </row>
    <row r="998" spans="1:12" x14ac:dyDescent="0.25">
      <c r="A998" s="50" t="s">
        <v>2073</v>
      </c>
      <c r="B998" s="30" t="s">
        <v>137</v>
      </c>
      <c r="C998" s="30" t="s">
        <v>364</v>
      </c>
      <c r="D998" s="30" t="s">
        <v>24</v>
      </c>
      <c r="E998" s="30" t="s">
        <v>695</v>
      </c>
      <c r="F998" s="30">
        <v>1</v>
      </c>
      <c r="G998" s="44">
        <v>1370</v>
      </c>
      <c r="H998" s="30"/>
      <c r="I998" s="44"/>
      <c r="J998" s="44"/>
      <c r="K998" s="44">
        <f t="shared" si="34"/>
        <v>1370</v>
      </c>
      <c r="L998" s="51">
        <v>20220906</v>
      </c>
    </row>
    <row r="999" spans="1:12" x14ac:dyDescent="0.25">
      <c r="A999" s="50" t="s">
        <v>2074</v>
      </c>
      <c r="B999" s="30" t="s">
        <v>137</v>
      </c>
      <c r="C999" s="30" t="s">
        <v>364</v>
      </c>
      <c r="D999" s="30" t="s">
        <v>24</v>
      </c>
      <c r="E999" s="30" t="s">
        <v>2075</v>
      </c>
      <c r="F999" s="30">
        <v>1</v>
      </c>
      <c r="G999" s="44">
        <v>1370</v>
      </c>
      <c r="H999" s="30"/>
      <c r="I999" s="44"/>
      <c r="J999" s="44"/>
      <c r="K999" s="44">
        <f t="shared" si="34"/>
        <v>1370</v>
      </c>
      <c r="L999" s="51">
        <v>20220906</v>
      </c>
    </row>
    <row r="1000" spans="1:12" x14ac:dyDescent="0.25">
      <c r="A1000" s="50" t="s">
        <v>2076</v>
      </c>
      <c r="B1000" s="30" t="s">
        <v>137</v>
      </c>
      <c r="C1000" s="30" t="s">
        <v>364</v>
      </c>
      <c r="D1000" s="30" t="s">
        <v>24</v>
      </c>
      <c r="E1000" s="30" t="s">
        <v>1445</v>
      </c>
      <c r="F1000" s="30">
        <v>1</v>
      </c>
      <c r="G1000" s="44">
        <v>1370</v>
      </c>
      <c r="H1000" s="30"/>
      <c r="I1000" s="44"/>
      <c r="J1000" s="44"/>
      <c r="K1000" s="44">
        <f t="shared" si="34"/>
        <v>1370</v>
      </c>
      <c r="L1000" s="51">
        <v>20220906</v>
      </c>
    </row>
    <row r="1001" spans="1:12" x14ac:dyDescent="0.25">
      <c r="A1001" s="50" t="s">
        <v>2077</v>
      </c>
      <c r="B1001" s="30" t="s">
        <v>137</v>
      </c>
      <c r="C1001" s="30" t="s">
        <v>364</v>
      </c>
      <c r="D1001" s="30" t="s">
        <v>24</v>
      </c>
      <c r="E1001" s="30" t="s">
        <v>392</v>
      </c>
      <c r="F1001" s="30">
        <v>1</v>
      </c>
      <c r="G1001" s="44">
        <v>1370</v>
      </c>
      <c r="H1001" s="30"/>
      <c r="I1001" s="44"/>
      <c r="J1001" s="44"/>
      <c r="K1001" s="44">
        <f t="shared" si="34"/>
        <v>1370</v>
      </c>
      <c r="L1001" s="51">
        <v>20220906</v>
      </c>
    </row>
    <row r="1002" spans="1:12" x14ac:dyDescent="0.25">
      <c r="A1002" s="50" t="s">
        <v>2078</v>
      </c>
      <c r="B1002" s="30" t="s">
        <v>137</v>
      </c>
      <c r="C1002" s="30" t="s">
        <v>364</v>
      </c>
      <c r="D1002" s="30" t="s">
        <v>24</v>
      </c>
      <c r="E1002" s="30" t="s">
        <v>1134</v>
      </c>
      <c r="F1002" s="30">
        <v>1</v>
      </c>
      <c r="G1002" s="44">
        <v>1370</v>
      </c>
      <c r="H1002" s="30"/>
      <c r="I1002" s="44"/>
      <c r="J1002" s="44"/>
      <c r="K1002" s="44">
        <f t="shared" si="34"/>
        <v>1370</v>
      </c>
      <c r="L1002" s="51">
        <v>20220906</v>
      </c>
    </row>
    <row r="1003" spans="1:12" x14ac:dyDescent="0.25">
      <c r="A1003" s="50" t="s">
        <v>2079</v>
      </c>
      <c r="B1003" s="30" t="s">
        <v>137</v>
      </c>
      <c r="C1003" s="30" t="s">
        <v>364</v>
      </c>
      <c r="D1003" s="30" t="s">
        <v>24</v>
      </c>
      <c r="E1003" s="30" t="s">
        <v>1136</v>
      </c>
      <c r="F1003" s="30">
        <v>1</v>
      </c>
      <c r="G1003" s="44">
        <v>1370</v>
      </c>
      <c r="H1003" s="30"/>
      <c r="I1003" s="44"/>
      <c r="J1003" s="44"/>
      <c r="K1003" s="44">
        <f t="shared" si="34"/>
        <v>1370</v>
      </c>
      <c r="L1003" s="51">
        <v>20220906</v>
      </c>
    </row>
    <row r="1004" spans="1:12" x14ac:dyDescent="0.25">
      <c r="A1004" s="50" t="s">
        <v>2080</v>
      </c>
      <c r="B1004" s="30" t="s">
        <v>137</v>
      </c>
      <c r="C1004" s="30" t="s">
        <v>364</v>
      </c>
      <c r="D1004" s="30" t="s">
        <v>24</v>
      </c>
      <c r="E1004" s="30" t="s">
        <v>365</v>
      </c>
      <c r="F1004" s="30">
        <v>1</v>
      </c>
      <c r="G1004" s="44">
        <v>1370</v>
      </c>
      <c r="H1004" s="30"/>
      <c r="I1004" s="44"/>
      <c r="J1004" s="44"/>
      <c r="K1004" s="44">
        <f t="shared" si="34"/>
        <v>1370</v>
      </c>
      <c r="L1004" s="51">
        <v>20220906</v>
      </c>
    </row>
    <row r="1005" spans="1:12" x14ac:dyDescent="0.25">
      <c r="A1005" s="50" t="s">
        <v>2086</v>
      </c>
      <c r="B1005" s="30" t="s">
        <v>137</v>
      </c>
      <c r="C1005" s="30" t="s">
        <v>26</v>
      </c>
      <c r="D1005" s="30" t="s">
        <v>228</v>
      </c>
      <c r="E1005" s="30" t="s">
        <v>536</v>
      </c>
      <c r="F1005" s="30">
        <v>1</v>
      </c>
      <c r="G1005" s="44">
        <v>1370</v>
      </c>
      <c r="H1005" s="30"/>
      <c r="I1005" s="44"/>
      <c r="J1005" s="44"/>
      <c r="K1005" s="44">
        <f t="shared" si="34"/>
        <v>1370</v>
      </c>
      <c r="L1005" s="51">
        <v>20220906</v>
      </c>
    </row>
    <row r="1006" spans="1:12" x14ac:dyDescent="0.25">
      <c r="A1006" s="50" t="s">
        <v>2090</v>
      </c>
      <c r="B1006" s="30" t="s">
        <v>137</v>
      </c>
      <c r="C1006" s="30" t="s">
        <v>26</v>
      </c>
      <c r="D1006" s="30" t="s">
        <v>228</v>
      </c>
      <c r="E1006" s="30" t="s">
        <v>257</v>
      </c>
      <c r="F1006" s="30">
        <v>1</v>
      </c>
      <c r="G1006" s="44">
        <v>1370</v>
      </c>
      <c r="H1006" s="30"/>
      <c r="I1006" s="44"/>
      <c r="J1006" s="44"/>
      <c r="K1006" s="44">
        <f t="shared" si="34"/>
        <v>1370</v>
      </c>
      <c r="L1006" s="51">
        <v>20220906</v>
      </c>
    </row>
    <row r="1007" spans="1:12" x14ac:dyDescent="0.25">
      <c r="A1007" s="50" t="s">
        <v>2091</v>
      </c>
      <c r="B1007" s="30" t="s">
        <v>137</v>
      </c>
      <c r="C1007" s="30" t="s">
        <v>26</v>
      </c>
      <c r="D1007" s="30" t="s">
        <v>228</v>
      </c>
      <c r="E1007" s="30" t="s">
        <v>541</v>
      </c>
      <c r="F1007" s="30">
        <v>1</v>
      </c>
      <c r="G1007" s="44">
        <v>1370</v>
      </c>
      <c r="H1007" s="30"/>
      <c r="I1007" s="44"/>
      <c r="J1007" s="44"/>
      <c r="K1007" s="44">
        <f t="shared" si="34"/>
        <v>1370</v>
      </c>
      <c r="L1007" s="51">
        <v>20220906</v>
      </c>
    </row>
    <row r="1008" spans="1:12" x14ac:dyDescent="0.25">
      <c r="A1008" s="50" t="s">
        <v>2119</v>
      </c>
      <c r="B1008" s="30" t="s">
        <v>137</v>
      </c>
      <c r="C1008" s="30" t="s">
        <v>654</v>
      </c>
      <c r="D1008" s="30" t="s">
        <v>1388</v>
      </c>
      <c r="E1008" s="30" t="s">
        <v>2120</v>
      </c>
      <c r="F1008" s="30">
        <v>1</v>
      </c>
      <c r="G1008" s="44">
        <v>1370</v>
      </c>
      <c r="H1008" s="30"/>
      <c r="I1008" s="44"/>
      <c r="J1008" s="44"/>
      <c r="K1008" s="44">
        <f t="shared" si="34"/>
        <v>1370</v>
      </c>
      <c r="L1008" s="51">
        <v>20220906</v>
      </c>
    </row>
    <row r="1009" spans="1:12" x14ac:dyDescent="0.25">
      <c r="A1009" s="50" t="s">
        <v>2121</v>
      </c>
      <c r="B1009" s="30" t="s">
        <v>137</v>
      </c>
      <c r="C1009" s="30" t="s">
        <v>654</v>
      </c>
      <c r="D1009" s="30" t="s">
        <v>1388</v>
      </c>
      <c r="E1009" s="30" t="s">
        <v>1389</v>
      </c>
      <c r="F1009" s="30">
        <v>1</v>
      </c>
      <c r="G1009" s="44">
        <v>1370</v>
      </c>
      <c r="H1009" s="30"/>
      <c r="I1009" s="44"/>
      <c r="J1009" s="44"/>
      <c r="K1009" s="44">
        <f t="shared" si="34"/>
        <v>1370</v>
      </c>
      <c r="L1009" s="51">
        <v>20220906</v>
      </c>
    </row>
    <row r="1010" spans="1:12" x14ac:dyDescent="0.25">
      <c r="A1010" s="50" t="s">
        <v>2054</v>
      </c>
      <c r="B1010" s="30" t="s">
        <v>137</v>
      </c>
      <c r="C1010" s="30" t="s">
        <v>712</v>
      </c>
      <c r="D1010" s="30" t="s">
        <v>713</v>
      </c>
      <c r="E1010" s="30" t="s">
        <v>714</v>
      </c>
      <c r="F1010" s="30">
        <v>1</v>
      </c>
      <c r="G1010" s="44">
        <v>1370</v>
      </c>
      <c r="H1010" s="30"/>
      <c r="I1010" s="44"/>
      <c r="J1010" s="44"/>
      <c r="K1010" s="44">
        <f t="shared" si="34"/>
        <v>1370</v>
      </c>
      <c r="L1010" s="51">
        <v>20220907</v>
      </c>
    </row>
    <row r="1011" spans="1:12" x14ac:dyDescent="0.25">
      <c r="A1011" s="50" t="s">
        <v>2055</v>
      </c>
      <c r="B1011" s="30" t="s">
        <v>137</v>
      </c>
      <c r="C1011" s="30" t="s">
        <v>712</v>
      </c>
      <c r="D1011" s="30" t="s">
        <v>713</v>
      </c>
      <c r="E1011" s="30" t="s">
        <v>716</v>
      </c>
      <c r="F1011" s="30">
        <v>1</v>
      </c>
      <c r="G1011" s="44">
        <v>1370</v>
      </c>
      <c r="H1011" s="30"/>
      <c r="I1011" s="44"/>
      <c r="J1011" s="44"/>
      <c r="K1011" s="44">
        <f t="shared" si="34"/>
        <v>1370</v>
      </c>
      <c r="L1011" s="51">
        <v>20220907</v>
      </c>
    </row>
    <row r="1012" spans="1:12" x14ac:dyDescent="0.25">
      <c r="A1012" s="50" t="s">
        <v>2056</v>
      </c>
      <c r="B1012" s="30" t="s">
        <v>137</v>
      </c>
      <c r="C1012" s="30" t="s">
        <v>712</v>
      </c>
      <c r="D1012" s="30" t="s">
        <v>713</v>
      </c>
      <c r="E1012" s="30" t="s">
        <v>718</v>
      </c>
      <c r="F1012" s="30">
        <v>1</v>
      </c>
      <c r="G1012" s="44">
        <v>1370</v>
      </c>
      <c r="H1012" s="30"/>
      <c r="I1012" s="44"/>
      <c r="J1012" s="44"/>
      <c r="K1012" s="44">
        <f t="shared" si="34"/>
        <v>1370</v>
      </c>
      <c r="L1012" s="51">
        <v>20220907</v>
      </c>
    </row>
    <row r="1013" spans="1:12" x14ac:dyDescent="0.25">
      <c r="A1013" s="50" t="s">
        <v>2057</v>
      </c>
      <c r="B1013" s="30" t="s">
        <v>137</v>
      </c>
      <c r="C1013" s="30" t="s">
        <v>712</v>
      </c>
      <c r="D1013" s="30" t="s">
        <v>713</v>
      </c>
      <c r="E1013" s="30" t="s">
        <v>720</v>
      </c>
      <c r="F1013" s="30">
        <v>1</v>
      </c>
      <c r="G1013" s="44">
        <v>1370</v>
      </c>
      <c r="H1013" s="30"/>
      <c r="I1013" s="44"/>
      <c r="J1013" s="44"/>
      <c r="K1013" s="44">
        <f t="shared" si="34"/>
        <v>1370</v>
      </c>
      <c r="L1013" s="51">
        <v>20220907</v>
      </c>
    </row>
    <row r="1014" spans="1:12" x14ac:dyDescent="0.25">
      <c r="A1014" s="50" t="s">
        <v>2058</v>
      </c>
      <c r="B1014" s="30" t="s">
        <v>137</v>
      </c>
      <c r="C1014" s="30" t="s">
        <v>712</v>
      </c>
      <c r="D1014" s="30" t="s">
        <v>713</v>
      </c>
      <c r="E1014" s="30" t="s">
        <v>722</v>
      </c>
      <c r="F1014" s="30">
        <v>1</v>
      </c>
      <c r="G1014" s="44">
        <v>1370</v>
      </c>
      <c r="H1014" s="30"/>
      <c r="I1014" s="44"/>
      <c r="J1014" s="44"/>
      <c r="K1014" s="44">
        <f t="shared" si="34"/>
        <v>1370</v>
      </c>
      <c r="L1014" s="51">
        <v>20220907</v>
      </c>
    </row>
    <row r="1015" spans="1:12" x14ac:dyDescent="0.25">
      <c r="A1015" s="50" t="s">
        <v>2059</v>
      </c>
      <c r="B1015" s="30" t="s">
        <v>137</v>
      </c>
      <c r="C1015" s="30" t="s">
        <v>172</v>
      </c>
      <c r="D1015" s="30" t="s">
        <v>703</v>
      </c>
      <c r="E1015" s="30" t="s">
        <v>704</v>
      </c>
      <c r="F1015" s="30">
        <v>1</v>
      </c>
      <c r="G1015" s="44">
        <v>1370</v>
      </c>
      <c r="H1015" s="30"/>
      <c r="I1015" s="44"/>
      <c r="J1015" s="44"/>
      <c r="K1015" s="44">
        <f t="shared" si="34"/>
        <v>1370</v>
      </c>
      <c r="L1015" s="51">
        <v>20220907</v>
      </c>
    </row>
    <row r="1016" spans="1:12" x14ac:dyDescent="0.25">
      <c r="A1016" s="50" t="s">
        <v>2060</v>
      </c>
      <c r="B1016" s="30" t="s">
        <v>137</v>
      </c>
      <c r="C1016" s="30" t="s">
        <v>172</v>
      </c>
      <c r="D1016" s="30" t="s">
        <v>703</v>
      </c>
      <c r="E1016" s="30" t="s">
        <v>706</v>
      </c>
      <c r="F1016" s="30">
        <v>1</v>
      </c>
      <c r="G1016" s="44">
        <v>1370</v>
      </c>
      <c r="H1016" s="30"/>
      <c r="I1016" s="44"/>
      <c r="J1016" s="44"/>
      <c r="K1016" s="44">
        <f t="shared" si="34"/>
        <v>1370</v>
      </c>
      <c r="L1016" s="51">
        <v>20220907</v>
      </c>
    </row>
    <row r="1017" spans="1:12" x14ac:dyDescent="0.25">
      <c r="A1017" s="50" t="s">
        <v>2061</v>
      </c>
      <c r="B1017" s="30" t="s">
        <v>137</v>
      </c>
      <c r="C1017" s="30" t="s">
        <v>172</v>
      </c>
      <c r="D1017" s="30" t="s">
        <v>703</v>
      </c>
      <c r="E1017" s="30" t="s">
        <v>708</v>
      </c>
      <c r="F1017" s="30">
        <v>1</v>
      </c>
      <c r="G1017" s="44">
        <v>1370</v>
      </c>
      <c r="H1017" s="30"/>
      <c r="I1017" s="44"/>
      <c r="J1017" s="44"/>
      <c r="K1017" s="44">
        <f t="shared" si="34"/>
        <v>1370</v>
      </c>
      <c r="L1017" s="51">
        <v>20220907</v>
      </c>
    </row>
    <row r="1018" spans="1:12" x14ac:dyDescent="0.25">
      <c r="A1018" s="50" t="s">
        <v>2062</v>
      </c>
      <c r="B1018" s="30" t="s">
        <v>137</v>
      </c>
      <c r="C1018" s="30" t="s">
        <v>172</v>
      </c>
      <c r="D1018" s="30" t="s">
        <v>703</v>
      </c>
      <c r="E1018" s="30" t="s">
        <v>710</v>
      </c>
      <c r="F1018" s="30">
        <v>1</v>
      </c>
      <c r="G1018" s="44">
        <v>1370</v>
      </c>
      <c r="H1018" s="30"/>
      <c r="I1018" s="44"/>
      <c r="J1018" s="44"/>
      <c r="K1018" s="44">
        <f t="shared" ref="K1018:K1049" si="35">J1018+G1018</f>
        <v>1370</v>
      </c>
      <c r="L1018" s="51">
        <v>20220907</v>
      </c>
    </row>
    <row r="1019" spans="1:12" x14ac:dyDescent="0.25">
      <c r="A1019" s="50" t="s">
        <v>2063</v>
      </c>
      <c r="B1019" s="30" t="s">
        <v>137</v>
      </c>
      <c r="C1019" s="30" t="s">
        <v>770</v>
      </c>
      <c r="D1019" s="30" t="s">
        <v>24</v>
      </c>
      <c r="E1019" s="30" t="s">
        <v>771</v>
      </c>
      <c r="F1019" s="30">
        <v>1</v>
      </c>
      <c r="G1019" s="44">
        <v>1370</v>
      </c>
      <c r="H1019" s="30"/>
      <c r="I1019" s="44"/>
      <c r="J1019" s="44"/>
      <c r="K1019" s="44">
        <f t="shared" si="35"/>
        <v>1370</v>
      </c>
      <c r="L1019" s="51">
        <v>20220907</v>
      </c>
    </row>
    <row r="1020" spans="1:12" x14ac:dyDescent="0.25">
      <c r="A1020" s="50" t="s">
        <v>2064</v>
      </c>
      <c r="B1020" s="30" t="s">
        <v>137</v>
      </c>
      <c r="C1020" s="30" t="s">
        <v>770</v>
      </c>
      <c r="D1020" s="30" t="s">
        <v>24</v>
      </c>
      <c r="E1020" s="30" t="s">
        <v>773</v>
      </c>
      <c r="F1020" s="30">
        <v>1</v>
      </c>
      <c r="G1020" s="44">
        <v>1370</v>
      </c>
      <c r="H1020" s="30"/>
      <c r="I1020" s="44"/>
      <c r="J1020" s="44"/>
      <c r="K1020" s="44">
        <f t="shared" si="35"/>
        <v>1370</v>
      </c>
      <c r="L1020" s="51">
        <v>20220907</v>
      </c>
    </row>
    <row r="1021" spans="1:12" x14ac:dyDescent="0.25">
      <c r="A1021" s="50" t="s">
        <v>2066</v>
      </c>
      <c r="B1021" s="30" t="s">
        <v>137</v>
      </c>
      <c r="C1021" s="30" t="s">
        <v>770</v>
      </c>
      <c r="D1021" s="30" t="s">
        <v>24</v>
      </c>
      <c r="E1021" s="30" t="s">
        <v>777</v>
      </c>
      <c r="F1021" s="30">
        <v>1</v>
      </c>
      <c r="G1021" s="44">
        <v>1370</v>
      </c>
      <c r="H1021" s="30"/>
      <c r="I1021" s="44"/>
      <c r="J1021" s="44"/>
      <c r="K1021" s="44">
        <f t="shared" si="35"/>
        <v>1370</v>
      </c>
      <c r="L1021" s="51">
        <v>20220907</v>
      </c>
    </row>
    <row r="1022" spans="1:12" x14ac:dyDescent="0.25">
      <c r="A1022" s="50" t="s">
        <v>2039</v>
      </c>
      <c r="B1022" s="30" t="s">
        <v>137</v>
      </c>
      <c r="C1022" s="30" t="s">
        <v>26</v>
      </c>
      <c r="D1022" s="30" t="s">
        <v>41</v>
      </c>
      <c r="E1022" s="30" t="s">
        <v>74</v>
      </c>
      <c r="F1022" s="30">
        <v>1</v>
      </c>
      <c r="G1022" s="44">
        <v>1370</v>
      </c>
      <c r="H1022" s="30"/>
      <c r="I1022" s="44"/>
      <c r="J1022" s="44"/>
      <c r="K1022" s="44">
        <f t="shared" si="35"/>
        <v>1370</v>
      </c>
      <c r="L1022" s="51">
        <v>20220908</v>
      </c>
    </row>
    <row r="1023" spans="1:12" x14ac:dyDescent="0.25">
      <c r="A1023" s="50" t="s">
        <v>2052</v>
      </c>
      <c r="B1023" s="30" t="s">
        <v>137</v>
      </c>
      <c r="C1023" s="30" t="s">
        <v>29</v>
      </c>
      <c r="D1023" s="30" t="s">
        <v>389</v>
      </c>
      <c r="E1023" s="30" t="s">
        <v>1606</v>
      </c>
      <c r="F1023" s="30">
        <v>1</v>
      </c>
      <c r="G1023" s="44">
        <v>1370</v>
      </c>
      <c r="H1023" s="30"/>
      <c r="I1023" s="44"/>
      <c r="J1023" s="44"/>
      <c r="K1023" s="44">
        <f t="shared" si="35"/>
        <v>1370</v>
      </c>
      <c r="L1023" s="51">
        <v>20220908</v>
      </c>
    </row>
    <row r="1024" spans="1:12" x14ac:dyDescent="0.25">
      <c r="A1024" s="50" t="s">
        <v>2065</v>
      </c>
      <c r="B1024" s="30" t="s">
        <v>137</v>
      </c>
      <c r="C1024" s="30" t="s">
        <v>770</v>
      </c>
      <c r="D1024" s="30" t="s">
        <v>24</v>
      </c>
      <c r="E1024" s="30" t="s">
        <v>775</v>
      </c>
      <c r="F1024" s="30">
        <v>1</v>
      </c>
      <c r="G1024" s="44">
        <v>1370</v>
      </c>
      <c r="H1024" s="30"/>
      <c r="I1024" s="44"/>
      <c r="J1024" s="44"/>
      <c r="K1024" s="44">
        <f t="shared" si="35"/>
        <v>1370</v>
      </c>
      <c r="L1024" s="51">
        <v>20220908</v>
      </c>
    </row>
    <row r="1025" spans="1:12" x14ac:dyDescent="0.25">
      <c r="A1025" s="50" t="s">
        <v>2067</v>
      </c>
      <c r="B1025" s="30" t="s">
        <v>137</v>
      </c>
      <c r="C1025" s="30" t="s">
        <v>646</v>
      </c>
      <c r="D1025" s="30" t="s">
        <v>24</v>
      </c>
      <c r="E1025" s="30" t="s">
        <v>670</v>
      </c>
      <c r="F1025" s="30">
        <v>1</v>
      </c>
      <c r="G1025" s="44">
        <v>1370</v>
      </c>
      <c r="H1025" s="30"/>
      <c r="I1025" s="44"/>
      <c r="J1025" s="44"/>
      <c r="K1025" s="44">
        <f t="shared" si="35"/>
        <v>1370</v>
      </c>
      <c r="L1025" s="51">
        <v>20220908</v>
      </c>
    </row>
    <row r="1026" spans="1:12" x14ac:dyDescent="0.25">
      <c r="A1026" s="50" t="s">
        <v>2068</v>
      </c>
      <c r="B1026" s="30" t="s">
        <v>137</v>
      </c>
      <c r="C1026" s="30" t="s">
        <v>646</v>
      </c>
      <c r="D1026" s="30" t="s">
        <v>24</v>
      </c>
      <c r="E1026" s="30" t="s">
        <v>647</v>
      </c>
      <c r="F1026" s="30">
        <v>1</v>
      </c>
      <c r="G1026" s="44">
        <v>1370</v>
      </c>
      <c r="H1026" s="30"/>
      <c r="I1026" s="44"/>
      <c r="J1026" s="44"/>
      <c r="K1026" s="44">
        <f t="shared" si="35"/>
        <v>1370</v>
      </c>
      <c r="L1026" s="51">
        <v>20220908</v>
      </c>
    </row>
    <row r="1027" spans="1:12" x14ac:dyDescent="0.25">
      <c r="A1027" s="50" t="s">
        <v>2069</v>
      </c>
      <c r="B1027" s="30" t="s">
        <v>137</v>
      </c>
      <c r="C1027" s="30" t="s">
        <v>646</v>
      </c>
      <c r="D1027" s="30" t="s">
        <v>24</v>
      </c>
      <c r="E1027" s="30" t="s">
        <v>672</v>
      </c>
      <c r="F1027" s="30">
        <v>1</v>
      </c>
      <c r="G1027" s="44">
        <v>1370</v>
      </c>
      <c r="H1027" s="30"/>
      <c r="I1027" s="44"/>
      <c r="J1027" s="44"/>
      <c r="K1027" s="44">
        <f t="shared" si="35"/>
        <v>1370</v>
      </c>
      <c r="L1027" s="51">
        <v>20220908</v>
      </c>
    </row>
    <row r="1028" spans="1:12" x14ac:dyDescent="0.25">
      <c r="A1028" s="50" t="s">
        <v>2047</v>
      </c>
      <c r="B1028" s="30" t="s">
        <v>137</v>
      </c>
      <c r="C1028" s="30" t="s">
        <v>474</v>
      </c>
      <c r="D1028" s="30" t="s">
        <v>24</v>
      </c>
      <c r="E1028" s="30" t="s">
        <v>942</v>
      </c>
      <c r="F1028" s="30">
        <v>1</v>
      </c>
      <c r="G1028" s="44">
        <v>1370</v>
      </c>
      <c r="H1028" s="30"/>
      <c r="I1028" s="44"/>
      <c r="J1028" s="44"/>
      <c r="K1028" s="44">
        <f t="shared" si="35"/>
        <v>1370</v>
      </c>
      <c r="L1028" s="51">
        <v>20220909</v>
      </c>
    </row>
    <row r="1029" spans="1:12" x14ac:dyDescent="0.25">
      <c r="A1029" s="50" t="s">
        <v>2048</v>
      </c>
      <c r="B1029" s="30" t="s">
        <v>137</v>
      </c>
      <c r="C1029" s="30" t="s">
        <v>474</v>
      </c>
      <c r="D1029" s="30" t="s">
        <v>24</v>
      </c>
      <c r="E1029" s="30" t="s">
        <v>554</v>
      </c>
      <c r="F1029" s="30">
        <v>1</v>
      </c>
      <c r="G1029" s="44">
        <v>1370</v>
      </c>
      <c r="H1029" s="30"/>
      <c r="I1029" s="44"/>
      <c r="J1029" s="44"/>
      <c r="K1029" s="44">
        <f t="shared" si="35"/>
        <v>1370</v>
      </c>
      <c r="L1029" s="51">
        <v>20220909</v>
      </c>
    </row>
    <row r="1030" spans="1:12" x14ac:dyDescent="0.25">
      <c r="A1030" s="50" t="s">
        <v>2049</v>
      </c>
      <c r="B1030" s="30" t="s">
        <v>137</v>
      </c>
      <c r="C1030" s="30" t="s">
        <v>474</v>
      </c>
      <c r="D1030" s="30" t="s">
        <v>24</v>
      </c>
      <c r="E1030" s="30" t="s">
        <v>945</v>
      </c>
      <c r="F1030" s="30">
        <v>1</v>
      </c>
      <c r="G1030" s="44">
        <v>1370</v>
      </c>
      <c r="H1030" s="30"/>
      <c r="I1030" s="44"/>
      <c r="J1030" s="44"/>
      <c r="K1030" s="44">
        <f t="shared" si="35"/>
        <v>1370</v>
      </c>
      <c r="L1030" s="51">
        <v>20220909</v>
      </c>
    </row>
    <row r="1031" spans="1:12" x14ac:dyDescent="0.25">
      <c r="A1031" s="50" t="s">
        <v>2087</v>
      </c>
      <c r="B1031" s="30" t="s">
        <v>137</v>
      </c>
      <c r="C1031" s="30" t="s">
        <v>26</v>
      </c>
      <c r="D1031" s="30" t="s">
        <v>228</v>
      </c>
      <c r="E1031" s="30" t="s">
        <v>538</v>
      </c>
      <c r="F1031" s="30">
        <v>1</v>
      </c>
      <c r="G1031" s="44">
        <v>1370</v>
      </c>
      <c r="H1031" s="30"/>
      <c r="I1031" s="44"/>
      <c r="J1031" s="44"/>
      <c r="K1031" s="44">
        <f t="shared" si="35"/>
        <v>1370</v>
      </c>
      <c r="L1031" s="51">
        <v>20220909</v>
      </c>
    </row>
    <row r="1032" spans="1:12" x14ac:dyDescent="0.25">
      <c r="A1032" s="50" t="s">
        <v>2088</v>
      </c>
      <c r="B1032" s="30" t="s">
        <v>137</v>
      </c>
      <c r="C1032" s="30" t="s">
        <v>26</v>
      </c>
      <c r="D1032" s="30" t="s">
        <v>228</v>
      </c>
      <c r="E1032" s="30" t="s">
        <v>2089</v>
      </c>
      <c r="F1032" s="30">
        <v>1</v>
      </c>
      <c r="G1032" s="44">
        <v>1370</v>
      </c>
      <c r="H1032" s="30"/>
      <c r="I1032" s="44"/>
      <c r="J1032" s="44"/>
      <c r="K1032" s="44">
        <f t="shared" si="35"/>
        <v>1370</v>
      </c>
      <c r="L1032" s="51">
        <v>20220909</v>
      </c>
    </row>
    <row r="1033" spans="1:12" x14ac:dyDescent="0.25">
      <c r="A1033" s="50" t="s">
        <v>2028</v>
      </c>
      <c r="B1033" s="30" t="s">
        <v>137</v>
      </c>
      <c r="C1033" s="30" t="s">
        <v>26</v>
      </c>
      <c r="D1033" s="30" t="s">
        <v>556</v>
      </c>
      <c r="E1033" s="30" t="s">
        <v>557</v>
      </c>
      <c r="F1033" s="30">
        <v>1</v>
      </c>
      <c r="G1033" s="44">
        <v>1370</v>
      </c>
      <c r="H1033" s="30"/>
      <c r="I1033" s="44"/>
      <c r="J1033" s="44"/>
      <c r="K1033" s="44">
        <f t="shared" si="35"/>
        <v>1370</v>
      </c>
      <c r="L1033" s="51">
        <v>20220912</v>
      </c>
    </row>
    <row r="1034" spans="1:12" x14ac:dyDescent="0.25">
      <c r="A1034" s="50" t="s">
        <v>2029</v>
      </c>
      <c r="B1034" s="30" t="s">
        <v>137</v>
      </c>
      <c r="C1034" s="30" t="s">
        <v>26</v>
      </c>
      <c r="D1034" s="30" t="s">
        <v>616</v>
      </c>
      <c r="E1034" s="30" t="s">
        <v>617</v>
      </c>
      <c r="F1034" s="30">
        <v>1</v>
      </c>
      <c r="G1034" s="44">
        <v>1370</v>
      </c>
      <c r="H1034" s="30"/>
      <c r="I1034" s="44"/>
      <c r="J1034" s="44"/>
      <c r="K1034" s="44">
        <f t="shared" si="35"/>
        <v>1370</v>
      </c>
      <c r="L1034" s="51">
        <v>20220912</v>
      </c>
    </row>
    <row r="1035" spans="1:12" x14ac:dyDescent="0.25">
      <c r="A1035" s="50" t="s">
        <v>2030</v>
      </c>
      <c r="B1035" s="30" t="s">
        <v>137</v>
      </c>
      <c r="C1035" s="30" t="s">
        <v>26</v>
      </c>
      <c r="D1035" s="30" t="s">
        <v>802</v>
      </c>
      <c r="E1035" s="30" t="s">
        <v>809</v>
      </c>
      <c r="F1035" s="30">
        <v>1</v>
      </c>
      <c r="G1035" s="44">
        <v>1370</v>
      </c>
      <c r="H1035" s="30"/>
      <c r="I1035" s="44"/>
      <c r="J1035" s="44"/>
      <c r="K1035" s="44">
        <f t="shared" si="35"/>
        <v>1370</v>
      </c>
      <c r="L1035" s="51">
        <v>20220912</v>
      </c>
    </row>
    <row r="1036" spans="1:12" x14ac:dyDescent="0.25">
      <c r="A1036" s="50" t="s">
        <v>2031</v>
      </c>
      <c r="B1036" s="30" t="s">
        <v>137</v>
      </c>
      <c r="C1036" s="30" t="s">
        <v>26</v>
      </c>
      <c r="D1036" s="30" t="s">
        <v>616</v>
      </c>
      <c r="E1036" s="30" t="s">
        <v>619</v>
      </c>
      <c r="F1036" s="30">
        <v>1</v>
      </c>
      <c r="G1036" s="44">
        <v>1370</v>
      </c>
      <c r="H1036" s="30"/>
      <c r="I1036" s="44"/>
      <c r="J1036" s="44"/>
      <c r="K1036" s="44">
        <f t="shared" si="35"/>
        <v>1370</v>
      </c>
      <c r="L1036" s="51">
        <v>20220912</v>
      </c>
    </row>
    <row r="1037" spans="1:12" x14ac:dyDescent="0.25">
      <c r="A1037" s="50" t="s">
        <v>2032</v>
      </c>
      <c r="B1037" s="30" t="s">
        <v>137</v>
      </c>
      <c r="C1037" s="30" t="s">
        <v>26</v>
      </c>
      <c r="D1037" s="30" t="s">
        <v>616</v>
      </c>
      <c r="E1037" s="30" t="s">
        <v>621</v>
      </c>
      <c r="F1037" s="30">
        <v>1</v>
      </c>
      <c r="G1037" s="44">
        <v>1370</v>
      </c>
      <c r="H1037" s="30"/>
      <c r="I1037" s="44"/>
      <c r="J1037" s="44"/>
      <c r="K1037" s="44">
        <f t="shared" si="35"/>
        <v>1370</v>
      </c>
      <c r="L1037" s="51">
        <v>20220912</v>
      </c>
    </row>
    <row r="1038" spans="1:12" x14ac:dyDescent="0.25">
      <c r="A1038" s="50" t="s">
        <v>2033</v>
      </c>
      <c r="B1038" s="30" t="s">
        <v>137</v>
      </c>
      <c r="C1038" s="30" t="s">
        <v>26</v>
      </c>
      <c r="D1038" s="30" t="s">
        <v>802</v>
      </c>
      <c r="E1038" s="30" t="s">
        <v>803</v>
      </c>
      <c r="F1038" s="30">
        <v>1</v>
      </c>
      <c r="G1038" s="44">
        <v>1370</v>
      </c>
      <c r="H1038" s="30"/>
      <c r="I1038" s="44"/>
      <c r="J1038" s="44"/>
      <c r="K1038" s="44">
        <f t="shared" si="35"/>
        <v>1370</v>
      </c>
      <c r="L1038" s="51">
        <v>20220912</v>
      </c>
    </row>
    <row r="1039" spans="1:12" x14ac:dyDescent="0.25">
      <c r="A1039" s="50" t="s">
        <v>2034</v>
      </c>
      <c r="B1039" s="30" t="s">
        <v>137</v>
      </c>
      <c r="C1039" s="30" t="s">
        <v>26</v>
      </c>
      <c r="D1039" s="30" t="s">
        <v>802</v>
      </c>
      <c r="E1039" s="30" t="s">
        <v>805</v>
      </c>
      <c r="F1039" s="30">
        <v>1</v>
      </c>
      <c r="G1039" s="44">
        <v>1370</v>
      </c>
      <c r="H1039" s="30"/>
      <c r="I1039" s="44"/>
      <c r="J1039" s="44"/>
      <c r="K1039" s="44">
        <f t="shared" si="35"/>
        <v>1370</v>
      </c>
      <c r="L1039" s="51">
        <v>20220912</v>
      </c>
    </row>
    <row r="1040" spans="1:12" x14ac:dyDescent="0.25">
      <c r="A1040" s="50" t="s">
        <v>2035</v>
      </c>
      <c r="B1040" s="30" t="s">
        <v>137</v>
      </c>
      <c r="C1040" s="30" t="s">
        <v>26</v>
      </c>
      <c r="D1040" s="30" t="s">
        <v>556</v>
      </c>
      <c r="E1040" s="30" t="s">
        <v>561</v>
      </c>
      <c r="F1040" s="30">
        <v>1</v>
      </c>
      <c r="G1040" s="44">
        <v>1370</v>
      </c>
      <c r="H1040" s="30"/>
      <c r="I1040" s="44"/>
      <c r="J1040" s="44"/>
      <c r="K1040" s="44">
        <f t="shared" si="35"/>
        <v>1370</v>
      </c>
      <c r="L1040" s="51">
        <v>20220912</v>
      </c>
    </row>
    <row r="1041" spans="1:12" x14ac:dyDescent="0.25">
      <c r="A1041" s="50" t="s">
        <v>2036</v>
      </c>
      <c r="B1041" s="30" t="s">
        <v>137</v>
      </c>
      <c r="C1041" s="30" t="s">
        <v>26</v>
      </c>
      <c r="D1041" s="30" t="s">
        <v>556</v>
      </c>
      <c r="E1041" s="30" t="s">
        <v>563</v>
      </c>
      <c r="F1041" s="30">
        <v>1</v>
      </c>
      <c r="G1041" s="44">
        <v>1370</v>
      </c>
      <c r="H1041" s="30"/>
      <c r="I1041" s="44"/>
      <c r="J1041" s="44"/>
      <c r="K1041" s="44">
        <f t="shared" si="35"/>
        <v>1370</v>
      </c>
      <c r="L1041" s="51">
        <v>20220912</v>
      </c>
    </row>
    <row r="1042" spans="1:12" x14ac:dyDescent="0.25">
      <c r="A1042" s="50" t="s">
        <v>2037</v>
      </c>
      <c r="B1042" s="30" t="s">
        <v>137</v>
      </c>
      <c r="C1042" s="30" t="s">
        <v>26</v>
      </c>
      <c r="D1042" s="30" t="s">
        <v>802</v>
      </c>
      <c r="E1042" s="30" t="s">
        <v>807</v>
      </c>
      <c r="F1042" s="30">
        <v>1</v>
      </c>
      <c r="G1042" s="44">
        <v>1370</v>
      </c>
      <c r="H1042" s="30"/>
      <c r="I1042" s="44"/>
      <c r="J1042" s="44"/>
      <c r="K1042" s="44">
        <f t="shared" si="35"/>
        <v>1370</v>
      </c>
      <c r="L1042" s="51">
        <v>20220912</v>
      </c>
    </row>
    <row r="1043" spans="1:12" x14ac:dyDescent="0.25">
      <c r="A1043" s="50" t="s">
        <v>2018</v>
      </c>
      <c r="B1043" s="30" t="s">
        <v>137</v>
      </c>
      <c r="C1043" s="30" t="s">
        <v>26</v>
      </c>
      <c r="D1043" s="30" t="s">
        <v>204</v>
      </c>
      <c r="E1043" s="30" t="s">
        <v>234</v>
      </c>
      <c r="F1043" s="30">
        <v>1</v>
      </c>
      <c r="G1043" s="44">
        <v>1370</v>
      </c>
      <c r="H1043" s="30"/>
      <c r="I1043" s="44"/>
      <c r="J1043" s="44"/>
      <c r="K1043" s="44">
        <f t="shared" si="35"/>
        <v>1370</v>
      </c>
      <c r="L1043" s="51">
        <v>20220913</v>
      </c>
    </row>
    <row r="1044" spans="1:12" x14ac:dyDescent="0.25">
      <c r="A1044" s="50" t="s">
        <v>2020</v>
      </c>
      <c r="B1044" s="30" t="s">
        <v>137</v>
      </c>
      <c r="C1044" s="30" t="s">
        <v>26</v>
      </c>
      <c r="D1044" s="30" t="s">
        <v>544</v>
      </c>
      <c r="E1044" s="30" t="s">
        <v>545</v>
      </c>
      <c r="F1044" s="30">
        <v>1</v>
      </c>
      <c r="G1044" s="44">
        <v>1370</v>
      </c>
      <c r="H1044" s="30"/>
      <c r="I1044" s="44"/>
      <c r="J1044" s="44"/>
      <c r="K1044" s="44">
        <f t="shared" si="35"/>
        <v>1370</v>
      </c>
      <c r="L1044" s="51">
        <v>20220913</v>
      </c>
    </row>
    <row r="1045" spans="1:12" x14ac:dyDescent="0.25">
      <c r="A1045" s="50" t="s">
        <v>2021</v>
      </c>
      <c r="B1045" s="30" t="s">
        <v>137</v>
      </c>
      <c r="C1045" s="30" t="s">
        <v>26</v>
      </c>
      <c r="D1045" s="30" t="s">
        <v>544</v>
      </c>
      <c r="E1045" s="30" t="s">
        <v>1519</v>
      </c>
      <c r="F1045" s="30">
        <v>1</v>
      </c>
      <c r="G1045" s="44">
        <v>1370</v>
      </c>
      <c r="H1045" s="30"/>
      <c r="I1045" s="44"/>
      <c r="J1045" s="44"/>
      <c r="K1045" s="44">
        <f t="shared" si="35"/>
        <v>1370</v>
      </c>
      <c r="L1045" s="51">
        <v>20220913</v>
      </c>
    </row>
    <row r="1046" spans="1:12" x14ac:dyDescent="0.25">
      <c r="A1046" s="50" t="s">
        <v>2022</v>
      </c>
      <c r="B1046" s="30" t="s">
        <v>137</v>
      </c>
      <c r="C1046" s="30" t="s">
        <v>26</v>
      </c>
      <c r="D1046" s="30" t="s">
        <v>544</v>
      </c>
      <c r="E1046" s="30" t="s">
        <v>549</v>
      </c>
      <c r="F1046" s="30">
        <v>1</v>
      </c>
      <c r="G1046" s="44">
        <v>1370</v>
      </c>
      <c r="H1046" s="30"/>
      <c r="I1046" s="44"/>
      <c r="J1046" s="44"/>
      <c r="K1046" s="44">
        <f t="shared" si="35"/>
        <v>1370</v>
      </c>
      <c r="L1046" s="51">
        <v>20220913</v>
      </c>
    </row>
    <row r="1047" spans="1:12" x14ac:dyDescent="0.25">
      <c r="A1047" s="50" t="s">
        <v>2025</v>
      </c>
      <c r="B1047" s="30" t="s">
        <v>137</v>
      </c>
      <c r="C1047" s="30" t="s">
        <v>26</v>
      </c>
      <c r="D1047" s="30" t="s">
        <v>544</v>
      </c>
      <c r="E1047" s="30" t="s">
        <v>551</v>
      </c>
      <c r="F1047" s="30">
        <v>1</v>
      </c>
      <c r="G1047" s="44">
        <v>1370</v>
      </c>
      <c r="H1047" s="30"/>
      <c r="I1047" s="44"/>
      <c r="J1047" s="44"/>
      <c r="K1047" s="44">
        <f t="shared" si="35"/>
        <v>1370</v>
      </c>
      <c r="L1047" s="51">
        <v>20220913</v>
      </c>
    </row>
    <row r="1048" spans="1:12" x14ac:dyDescent="0.25">
      <c r="A1048" s="50" t="s">
        <v>2026</v>
      </c>
      <c r="B1048" s="30" t="s">
        <v>137</v>
      </c>
      <c r="C1048" s="30" t="s">
        <v>26</v>
      </c>
      <c r="D1048" s="30" t="s">
        <v>204</v>
      </c>
      <c r="E1048" s="30" t="s">
        <v>205</v>
      </c>
      <c r="F1048" s="30">
        <v>1</v>
      </c>
      <c r="G1048" s="44">
        <v>1370</v>
      </c>
      <c r="H1048" s="30"/>
      <c r="I1048" s="44"/>
      <c r="J1048" s="44"/>
      <c r="K1048" s="44">
        <f t="shared" si="35"/>
        <v>1370</v>
      </c>
      <c r="L1048" s="51">
        <v>20220913</v>
      </c>
    </row>
    <row r="1049" spans="1:12" x14ac:dyDescent="0.25">
      <c r="A1049" s="50" t="s">
        <v>2027</v>
      </c>
      <c r="B1049" s="30" t="s">
        <v>137</v>
      </c>
      <c r="C1049" s="30" t="s">
        <v>26</v>
      </c>
      <c r="D1049" s="30" t="s">
        <v>204</v>
      </c>
      <c r="E1049" s="30" t="s">
        <v>786</v>
      </c>
      <c r="F1049" s="30">
        <v>1</v>
      </c>
      <c r="G1049" s="44">
        <v>1370</v>
      </c>
      <c r="H1049" s="30"/>
      <c r="I1049" s="44"/>
      <c r="J1049" s="44"/>
      <c r="K1049" s="44">
        <f t="shared" si="35"/>
        <v>1370</v>
      </c>
      <c r="L1049" s="51">
        <v>20220913</v>
      </c>
    </row>
    <row r="1050" spans="1:12" x14ac:dyDescent="0.25">
      <c r="A1050" s="50" t="s">
        <v>2019</v>
      </c>
      <c r="B1050" s="30" t="s">
        <v>137</v>
      </c>
      <c r="C1050" s="30" t="s">
        <v>26</v>
      </c>
      <c r="D1050" s="30" t="s">
        <v>582</v>
      </c>
      <c r="E1050" s="30" t="s">
        <v>583</v>
      </c>
      <c r="F1050" s="30">
        <v>1</v>
      </c>
      <c r="G1050" s="44">
        <v>1370</v>
      </c>
      <c r="H1050" s="30"/>
      <c r="I1050" s="44"/>
      <c r="J1050" s="44"/>
      <c r="K1050" s="44">
        <f t="shared" ref="K1050:K1072" si="36">J1050+G1050</f>
        <v>1370</v>
      </c>
      <c r="L1050" s="51">
        <v>20220914</v>
      </c>
    </row>
    <row r="1051" spans="1:12" x14ac:dyDescent="0.25">
      <c r="A1051" s="50" t="s">
        <v>2023</v>
      </c>
      <c r="B1051" s="30" t="s">
        <v>137</v>
      </c>
      <c r="C1051" s="30" t="s">
        <v>26</v>
      </c>
      <c r="D1051" s="30" t="s">
        <v>582</v>
      </c>
      <c r="E1051" s="30" t="s">
        <v>587</v>
      </c>
      <c r="F1051" s="30">
        <v>1</v>
      </c>
      <c r="G1051" s="44">
        <v>1370</v>
      </c>
      <c r="H1051" s="30"/>
      <c r="I1051" s="44"/>
      <c r="J1051" s="44"/>
      <c r="K1051" s="44">
        <f t="shared" si="36"/>
        <v>1370</v>
      </c>
      <c r="L1051" s="51">
        <v>20220914</v>
      </c>
    </row>
    <row r="1052" spans="1:12" x14ac:dyDescent="0.25">
      <c r="A1052" s="50" t="s">
        <v>2024</v>
      </c>
      <c r="B1052" s="30" t="s">
        <v>137</v>
      </c>
      <c r="C1052" s="30" t="s">
        <v>26</v>
      </c>
      <c r="D1052" s="30" t="s">
        <v>582</v>
      </c>
      <c r="E1052" s="30" t="s">
        <v>589</v>
      </c>
      <c r="F1052" s="30">
        <v>1</v>
      </c>
      <c r="G1052" s="44">
        <v>1370</v>
      </c>
      <c r="H1052" s="30"/>
      <c r="I1052" s="44"/>
      <c r="J1052" s="44"/>
      <c r="K1052" s="44">
        <f t="shared" si="36"/>
        <v>1370</v>
      </c>
      <c r="L1052" s="51">
        <v>20220914</v>
      </c>
    </row>
    <row r="1053" spans="1:12" x14ac:dyDescent="0.25">
      <c r="A1053" s="50" t="s">
        <v>2043</v>
      </c>
      <c r="B1053" s="30" t="s">
        <v>137</v>
      </c>
      <c r="C1053" s="30" t="s">
        <v>1234</v>
      </c>
      <c r="D1053" s="30" t="s">
        <v>24</v>
      </c>
      <c r="E1053" s="30" t="s">
        <v>1235</v>
      </c>
      <c r="F1053" s="30">
        <v>1</v>
      </c>
      <c r="G1053" s="44">
        <v>1370</v>
      </c>
      <c r="H1053" s="30"/>
      <c r="I1053" s="44"/>
      <c r="J1053" s="44"/>
      <c r="K1053" s="44">
        <f t="shared" si="36"/>
        <v>1370</v>
      </c>
      <c r="L1053" s="51">
        <v>20220914</v>
      </c>
    </row>
    <row r="1054" spans="1:12" x14ac:dyDescent="0.25">
      <c r="A1054" s="50" t="s">
        <v>2044</v>
      </c>
      <c r="B1054" s="30" t="s">
        <v>137</v>
      </c>
      <c r="C1054" s="30" t="s">
        <v>1234</v>
      </c>
      <c r="D1054" s="30" t="s">
        <v>24</v>
      </c>
      <c r="E1054" s="30" t="s">
        <v>2045</v>
      </c>
      <c r="F1054" s="30">
        <v>1</v>
      </c>
      <c r="G1054" s="44">
        <v>1370</v>
      </c>
      <c r="H1054" s="30"/>
      <c r="I1054" s="44"/>
      <c r="J1054" s="44"/>
      <c r="K1054" s="44">
        <f t="shared" si="36"/>
        <v>1370</v>
      </c>
      <c r="L1054" s="51">
        <v>20220914</v>
      </c>
    </row>
    <row r="1055" spans="1:12" x14ac:dyDescent="0.25">
      <c r="A1055" s="50" t="s">
        <v>2046</v>
      </c>
      <c r="B1055" s="30" t="s">
        <v>137</v>
      </c>
      <c r="C1055" s="30" t="s">
        <v>919</v>
      </c>
      <c r="D1055" s="30" t="s">
        <v>24</v>
      </c>
      <c r="E1055" s="30" t="s">
        <v>920</v>
      </c>
      <c r="F1055" s="30">
        <v>1</v>
      </c>
      <c r="G1055" s="44">
        <v>1370</v>
      </c>
      <c r="H1055" s="30"/>
      <c r="I1055" s="44"/>
      <c r="J1055" s="44"/>
      <c r="K1055" s="44">
        <f t="shared" si="36"/>
        <v>1370</v>
      </c>
      <c r="L1055" s="51">
        <v>20220914</v>
      </c>
    </row>
    <row r="1056" spans="1:12" x14ac:dyDescent="0.25">
      <c r="A1056" s="50" t="s">
        <v>2005</v>
      </c>
      <c r="B1056" s="30" t="s">
        <v>137</v>
      </c>
      <c r="C1056" s="30" t="s">
        <v>993</v>
      </c>
      <c r="D1056" s="30" t="s">
        <v>994</v>
      </c>
      <c r="E1056" s="30" t="s">
        <v>1015</v>
      </c>
      <c r="F1056" s="30">
        <v>1</v>
      </c>
      <c r="G1056" s="44">
        <v>1370</v>
      </c>
      <c r="H1056" s="30"/>
      <c r="I1056" s="44"/>
      <c r="J1056" s="44"/>
      <c r="K1056" s="44">
        <f t="shared" si="36"/>
        <v>1370</v>
      </c>
      <c r="L1056" s="51">
        <v>20220915</v>
      </c>
    </row>
    <row r="1057" spans="1:12" x14ac:dyDescent="0.25">
      <c r="A1057" s="50" t="s">
        <v>2006</v>
      </c>
      <c r="B1057" s="30" t="s">
        <v>137</v>
      </c>
      <c r="C1057" s="30" t="s">
        <v>993</v>
      </c>
      <c r="D1057" s="30" t="s">
        <v>994</v>
      </c>
      <c r="E1057" s="30" t="s">
        <v>995</v>
      </c>
      <c r="F1057" s="30">
        <v>1</v>
      </c>
      <c r="G1057" s="44">
        <v>1370</v>
      </c>
      <c r="H1057" s="30"/>
      <c r="I1057" s="44"/>
      <c r="J1057" s="44"/>
      <c r="K1057" s="44">
        <f t="shared" si="36"/>
        <v>1370</v>
      </c>
      <c r="L1057" s="51">
        <v>20220915</v>
      </c>
    </row>
    <row r="1058" spans="1:12" x14ac:dyDescent="0.25">
      <c r="A1058" s="50" t="s">
        <v>2007</v>
      </c>
      <c r="B1058" s="30" t="s">
        <v>137</v>
      </c>
      <c r="C1058" s="30" t="s">
        <v>899</v>
      </c>
      <c r="D1058" s="30" t="s">
        <v>24</v>
      </c>
      <c r="E1058" s="30" t="s">
        <v>900</v>
      </c>
      <c r="F1058" s="30">
        <v>1</v>
      </c>
      <c r="G1058" s="44">
        <v>1370</v>
      </c>
      <c r="H1058" s="30"/>
      <c r="I1058" s="44"/>
      <c r="J1058" s="44"/>
      <c r="K1058" s="44">
        <f t="shared" si="36"/>
        <v>1370</v>
      </c>
      <c r="L1058" s="51">
        <v>20220915</v>
      </c>
    </row>
    <row r="1059" spans="1:12" x14ac:dyDescent="0.25">
      <c r="A1059" s="50" t="s">
        <v>2008</v>
      </c>
      <c r="B1059" s="30" t="s">
        <v>137</v>
      </c>
      <c r="C1059" s="30" t="s">
        <v>899</v>
      </c>
      <c r="D1059" s="30" t="s">
        <v>24</v>
      </c>
      <c r="E1059" s="30" t="s">
        <v>902</v>
      </c>
      <c r="F1059" s="30">
        <v>1</v>
      </c>
      <c r="G1059" s="44">
        <v>1370</v>
      </c>
      <c r="H1059" s="30"/>
      <c r="I1059" s="44"/>
      <c r="J1059" s="44"/>
      <c r="K1059" s="44">
        <f t="shared" si="36"/>
        <v>1370</v>
      </c>
      <c r="L1059" s="51">
        <v>20220915</v>
      </c>
    </row>
    <row r="1060" spans="1:12" x14ac:dyDescent="0.25">
      <c r="A1060" s="50" t="s">
        <v>2009</v>
      </c>
      <c r="B1060" s="30" t="s">
        <v>137</v>
      </c>
      <c r="C1060" s="30" t="s">
        <v>51</v>
      </c>
      <c r="D1060" s="30" t="s">
        <v>24</v>
      </c>
      <c r="E1060" s="30" t="s">
        <v>52</v>
      </c>
      <c r="F1060" s="30">
        <v>1</v>
      </c>
      <c r="G1060" s="44">
        <v>1370</v>
      </c>
      <c r="H1060" s="30"/>
      <c r="I1060" s="44"/>
      <c r="J1060" s="44"/>
      <c r="K1060" s="44">
        <f t="shared" si="36"/>
        <v>1370</v>
      </c>
      <c r="L1060" s="51">
        <v>20220915</v>
      </c>
    </row>
    <row r="1061" spans="1:12" x14ac:dyDescent="0.25">
      <c r="A1061" s="50" t="s">
        <v>2010</v>
      </c>
      <c r="B1061" s="30" t="s">
        <v>137</v>
      </c>
      <c r="C1061" s="30" t="s">
        <v>865</v>
      </c>
      <c r="D1061" s="30" t="s">
        <v>24</v>
      </c>
      <c r="E1061" s="30" t="s">
        <v>866</v>
      </c>
      <c r="F1061" s="30">
        <v>1</v>
      </c>
      <c r="G1061" s="44">
        <v>1370</v>
      </c>
      <c r="H1061" s="30"/>
      <c r="I1061" s="44"/>
      <c r="J1061" s="44"/>
      <c r="K1061" s="44">
        <f t="shared" si="36"/>
        <v>1370</v>
      </c>
      <c r="L1061" s="51">
        <v>20220917</v>
      </c>
    </row>
    <row r="1062" spans="1:12" x14ac:dyDescent="0.25">
      <c r="A1062" s="50" t="s">
        <v>2011</v>
      </c>
      <c r="B1062" s="30" t="s">
        <v>137</v>
      </c>
      <c r="C1062" s="30" t="s">
        <v>505</v>
      </c>
      <c r="D1062" s="30" t="s">
        <v>24</v>
      </c>
      <c r="E1062" s="30" t="s">
        <v>506</v>
      </c>
      <c r="F1062" s="30">
        <v>1</v>
      </c>
      <c r="G1062" s="44">
        <v>1370</v>
      </c>
      <c r="H1062" s="30"/>
      <c r="I1062" s="44"/>
      <c r="J1062" s="44"/>
      <c r="K1062" s="44">
        <f t="shared" si="36"/>
        <v>1370</v>
      </c>
      <c r="L1062" s="51">
        <v>20220917</v>
      </c>
    </row>
    <row r="1063" spans="1:12" x14ac:dyDescent="0.25">
      <c r="A1063" s="50" t="s">
        <v>2012</v>
      </c>
      <c r="B1063" s="30" t="s">
        <v>137</v>
      </c>
      <c r="C1063" s="30" t="s">
        <v>505</v>
      </c>
      <c r="D1063" s="30" t="s">
        <v>24</v>
      </c>
      <c r="E1063" s="30" t="s">
        <v>925</v>
      </c>
      <c r="F1063" s="30">
        <v>1</v>
      </c>
      <c r="G1063" s="44">
        <v>1370</v>
      </c>
      <c r="H1063" s="30"/>
      <c r="I1063" s="44"/>
      <c r="J1063" s="44"/>
      <c r="K1063" s="44">
        <f t="shared" si="36"/>
        <v>1370</v>
      </c>
      <c r="L1063" s="51">
        <v>20220917</v>
      </c>
    </row>
    <row r="1064" spans="1:12" x14ac:dyDescent="0.25">
      <c r="A1064" s="50" t="s">
        <v>2013</v>
      </c>
      <c r="B1064" s="30" t="s">
        <v>137</v>
      </c>
      <c r="C1064" s="30" t="s">
        <v>505</v>
      </c>
      <c r="D1064" s="30" t="s">
        <v>24</v>
      </c>
      <c r="E1064" s="30" t="s">
        <v>929</v>
      </c>
      <c r="F1064" s="30">
        <v>1</v>
      </c>
      <c r="G1064" s="44">
        <v>1370</v>
      </c>
      <c r="H1064" s="30"/>
      <c r="I1064" s="44"/>
      <c r="J1064" s="44"/>
      <c r="K1064" s="44">
        <f t="shared" si="36"/>
        <v>1370</v>
      </c>
      <c r="L1064" s="51">
        <v>20220917</v>
      </c>
    </row>
    <row r="1065" spans="1:12" x14ac:dyDescent="0.25">
      <c r="A1065" s="50" t="s">
        <v>2014</v>
      </c>
      <c r="B1065" s="30" t="s">
        <v>137</v>
      </c>
      <c r="C1065" s="30" t="s">
        <v>505</v>
      </c>
      <c r="D1065" s="30" t="s">
        <v>24</v>
      </c>
      <c r="E1065" s="30" t="s">
        <v>931</v>
      </c>
      <c r="F1065" s="30">
        <v>1</v>
      </c>
      <c r="G1065" s="44">
        <v>1370</v>
      </c>
      <c r="H1065" s="30"/>
      <c r="I1065" s="44"/>
      <c r="J1065" s="44"/>
      <c r="K1065" s="44">
        <f t="shared" si="36"/>
        <v>1370</v>
      </c>
      <c r="L1065" s="51">
        <v>20220917</v>
      </c>
    </row>
    <row r="1066" spans="1:12" x14ac:dyDescent="0.25">
      <c r="A1066" s="50" t="s">
        <v>2103</v>
      </c>
      <c r="B1066" s="30" t="s">
        <v>137</v>
      </c>
      <c r="C1066" s="30" t="s">
        <v>29</v>
      </c>
      <c r="D1066" s="30" t="s">
        <v>24</v>
      </c>
      <c r="E1066" s="30" t="s">
        <v>1497</v>
      </c>
      <c r="F1066" s="30">
        <v>1</v>
      </c>
      <c r="G1066" s="44">
        <v>1370</v>
      </c>
      <c r="H1066" s="30"/>
      <c r="I1066" s="44"/>
      <c r="J1066" s="44"/>
      <c r="K1066" s="44">
        <f t="shared" si="36"/>
        <v>1370</v>
      </c>
      <c r="L1066" s="51">
        <v>20220917</v>
      </c>
    </row>
    <row r="1067" spans="1:12" x14ac:dyDescent="0.25">
      <c r="A1067" s="50" t="s">
        <v>2016</v>
      </c>
      <c r="B1067" s="30" t="s">
        <v>137</v>
      </c>
      <c r="C1067" s="30" t="s">
        <v>28</v>
      </c>
      <c r="D1067" s="30" t="s">
        <v>750</v>
      </c>
      <c r="E1067" s="30" t="s">
        <v>751</v>
      </c>
      <c r="F1067" s="30">
        <v>1</v>
      </c>
      <c r="G1067" s="44">
        <v>1370</v>
      </c>
      <c r="H1067" s="30"/>
      <c r="I1067" s="44"/>
      <c r="J1067" s="44"/>
      <c r="K1067" s="44">
        <f t="shared" si="36"/>
        <v>1370</v>
      </c>
      <c r="L1067" s="51">
        <v>20220919</v>
      </c>
    </row>
    <row r="1068" spans="1:12" x14ac:dyDescent="0.25">
      <c r="A1068" s="50" t="s">
        <v>2017</v>
      </c>
      <c r="B1068" s="30" t="s">
        <v>137</v>
      </c>
      <c r="C1068" s="30" t="s">
        <v>28</v>
      </c>
      <c r="D1068" s="30" t="s">
        <v>759</v>
      </c>
      <c r="E1068" s="30" t="s">
        <v>1106</v>
      </c>
      <c r="F1068" s="30">
        <v>1</v>
      </c>
      <c r="G1068" s="44">
        <v>1370</v>
      </c>
      <c r="H1068" s="30"/>
      <c r="I1068" s="44"/>
      <c r="J1068" s="44"/>
      <c r="K1068" s="44">
        <f t="shared" si="36"/>
        <v>1370</v>
      </c>
      <c r="L1068" s="51">
        <v>20220919</v>
      </c>
    </row>
    <row r="1069" spans="1:12" x14ac:dyDescent="0.25">
      <c r="A1069" s="50" t="s">
        <v>2041</v>
      </c>
      <c r="B1069" s="30" t="s">
        <v>137</v>
      </c>
      <c r="C1069" s="30" t="s">
        <v>28</v>
      </c>
      <c r="D1069" s="30" t="s">
        <v>759</v>
      </c>
      <c r="E1069" s="30" t="s">
        <v>760</v>
      </c>
      <c r="F1069" s="30">
        <v>1</v>
      </c>
      <c r="G1069" s="44">
        <v>1370</v>
      </c>
      <c r="H1069" s="30"/>
      <c r="I1069" s="44"/>
      <c r="J1069" s="44"/>
      <c r="K1069" s="44">
        <f t="shared" si="36"/>
        <v>1370</v>
      </c>
      <c r="L1069" s="51">
        <v>20220919</v>
      </c>
    </row>
    <row r="1070" spans="1:12" x14ac:dyDescent="0.25">
      <c r="A1070" s="50" t="s">
        <v>2042</v>
      </c>
      <c r="B1070" s="30" t="s">
        <v>137</v>
      </c>
      <c r="C1070" s="30" t="s">
        <v>28</v>
      </c>
      <c r="D1070" s="30" t="s">
        <v>759</v>
      </c>
      <c r="E1070" s="30" t="s">
        <v>762</v>
      </c>
      <c r="F1070" s="30">
        <v>1</v>
      </c>
      <c r="G1070" s="44">
        <v>1370</v>
      </c>
      <c r="H1070" s="30"/>
      <c r="I1070" s="44"/>
      <c r="J1070" s="44"/>
      <c r="K1070" s="44">
        <f t="shared" si="36"/>
        <v>1370</v>
      </c>
      <c r="L1070" s="51">
        <v>20220919</v>
      </c>
    </row>
    <row r="1071" spans="1:12" x14ac:dyDescent="0.25">
      <c r="A1071" s="50" t="s">
        <v>2040</v>
      </c>
      <c r="B1071" s="30" t="s">
        <v>137</v>
      </c>
      <c r="C1071" s="30" t="s">
        <v>28</v>
      </c>
      <c r="D1071" s="30" t="s">
        <v>371</v>
      </c>
      <c r="E1071" s="30" t="s">
        <v>372</v>
      </c>
      <c r="F1071" s="30">
        <v>1</v>
      </c>
      <c r="G1071" s="44">
        <v>1370</v>
      </c>
      <c r="H1071" s="30"/>
      <c r="I1071" s="44"/>
      <c r="J1071" s="44"/>
      <c r="K1071" s="44">
        <f t="shared" si="36"/>
        <v>1370</v>
      </c>
      <c r="L1071" s="51">
        <v>20220920</v>
      </c>
    </row>
    <row r="1072" spans="1:12" ht="15.75" thickBot="1" x14ac:dyDescent="0.3">
      <c r="A1072" s="54" t="s">
        <v>2015</v>
      </c>
      <c r="B1072" s="36" t="s">
        <v>137</v>
      </c>
      <c r="C1072" s="36" t="s">
        <v>28</v>
      </c>
      <c r="D1072" s="36" t="s">
        <v>753</v>
      </c>
      <c r="E1072" s="36" t="s">
        <v>754</v>
      </c>
      <c r="F1072" s="36">
        <v>1</v>
      </c>
      <c r="G1072" s="65">
        <v>1370</v>
      </c>
      <c r="H1072" s="36"/>
      <c r="I1072" s="65"/>
      <c r="J1072" s="65"/>
      <c r="K1072" s="65">
        <f t="shared" si="36"/>
        <v>1370</v>
      </c>
      <c r="L1072" s="55">
        <v>20220927</v>
      </c>
    </row>
    <row r="1073" spans="1:12" x14ac:dyDescent="0.25">
      <c r="L1073" s="174"/>
    </row>
    <row r="1076" spans="1:12" ht="15.75" thickBot="1" x14ac:dyDescent="0.3">
      <c r="A1076" s="69" t="s">
        <v>0</v>
      </c>
      <c r="B1076" s="70" t="s">
        <v>1</v>
      </c>
      <c r="C1076" s="70" t="s">
        <v>2</v>
      </c>
      <c r="D1076" s="70" t="s">
        <v>3</v>
      </c>
      <c r="E1076" s="70" t="s">
        <v>4</v>
      </c>
      <c r="F1076" s="70"/>
      <c r="G1076" s="71" t="s">
        <v>6</v>
      </c>
      <c r="H1076" s="70" t="s">
        <v>7</v>
      </c>
      <c r="I1076" s="71" t="s">
        <v>8</v>
      </c>
      <c r="J1076" s="71" t="s">
        <v>9</v>
      </c>
      <c r="K1076" s="71" t="s">
        <v>10</v>
      </c>
      <c r="L1076" s="72" t="s">
        <v>5</v>
      </c>
    </row>
    <row r="1077" spans="1:12" x14ac:dyDescent="0.25">
      <c r="A1077" s="48" t="s">
        <v>2240</v>
      </c>
      <c r="B1077" s="34" t="s">
        <v>11</v>
      </c>
      <c r="C1077" s="34" t="s">
        <v>29</v>
      </c>
      <c r="D1077" s="34" t="s">
        <v>1385</v>
      </c>
      <c r="E1077" s="34" t="s">
        <v>733</v>
      </c>
      <c r="F1077" s="34">
        <v>1</v>
      </c>
      <c r="G1077" s="64">
        <v>3900</v>
      </c>
      <c r="H1077" s="34"/>
      <c r="I1077" s="64"/>
      <c r="J1077" s="64"/>
      <c r="K1077" s="64">
        <f t="shared" ref="K1077:K1114" si="37">J1077+G1077</f>
        <v>3900</v>
      </c>
      <c r="L1077" s="49">
        <v>20221003</v>
      </c>
    </row>
    <row r="1078" spans="1:12" x14ac:dyDescent="0.25">
      <c r="A1078" s="50" t="s">
        <v>2234</v>
      </c>
      <c r="B1078" s="30" t="s">
        <v>11</v>
      </c>
      <c r="C1078" s="30" t="s">
        <v>251</v>
      </c>
      <c r="D1078" s="30" t="s">
        <v>767</v>
      </c>
      <c r="E1078" s="30" t="s">
        <v>768</v>
      </c>
      <c r="F1078" s="30">
        <v>1</v>
      </c>
      <c r="G1078" s="44">
        <v>3900</v>
      </c>
      <c r="H1078" s="30"/>
      <c r="I1078" s="44"/>
      <c r="J1078" s="44"/>
      <c r="K1078" s="44">
        <f t="shared" si="37"/>
        <v>3900</v>
      </c>
      <c r="L1078" s="51">
        <v>20221005</v>
      </c>
    </row>
    <row r="1079" spans="1:12" x14ac:dyDescent="0.25">
      <c r="A1079" s="50" t="s">
        <v>2236</v>
      </c>
      <c r="B1079" s="30" t="s">
        <v>11</v>
      </c>
      <c r="C1079" s="30" t="s">
        <v>505</v>
      </c>
      <c r="D1079" s="30" t="s">
        <v>24</v>
      </c>
      <c r="E1079" s="30" t="s">
        <v>931</v>
      </c>
      <c r="F1079" s="30">
        <v>1</v>
      </c>
      <c r="G1079" s="44">
        <v>3900</v>
      </c>
      <c r="H1079" s="30"/>
      <c r="I1079" s="44"/>
      <c r="J1079" s="44"/>
      <c r="K1079" s="44">
        <f t="shared" si="37"/>
        <v>3900</v>
      </c>
      <c r="L1079" s="51">
        <v>20221005</v>
      </c>
    </row>
    <row r="1080" spans="1:12" x14ac:dyDescent="0.25">
      <c r="A1080" s="50" t="s">
        <v>2246</v>
      </c>
      <c r="B1080" s="30" t="s">
        <v>1209</v>
      </c>
      <c r="C1080" s="30" t="s">
        <v>2111</v>
      </c>
      <c r="D1080" s="30" t="s">
        <v>2244</v>
      </c>
      <c r="E1080" s="30" t="s">
        <v>2247</v>
      </c>
      <c r="F1080" s="30">
        <v>1</v>
      </c>
      <c r="G1080" s="44">
        <v>3900</v>
      </c>
      <c r="H1080" s="30"/>
      <c r="I1080" s="44"/>
      <c r="J1080" s="44"/>
      <c r="K1080" s="44">
        <f t="shared" si="37"/>
        <v>3900</v>
      </c>
      <c r="L1080" s="51">
        <v>20221006</v>
      </c>
    </row>
    <row r="1081" spans="1:12" x14ac:dyDescent="0.25">
      <c r="A1081" s="50" t="s">
        <v>2243</v>
      </c>
      <c r="B1081" s="30" t="s">
        <v>1209</v>
      </c>
      <c r="C1081" s="30" t="s">
        <v>2111</v>
      </c>
      <c r="D1081" s="30" t="s">
        <v>2244</v>
      </c>
      <c r="E1081" s="30" t="s">
        <v>2245</v>
      </c>
      <c r="F1081" s="30">
        <v>1</v>
      </c>
      <c r="G1081" s="44">
        <v>3900</v>
      </c>
      <c r="H1081" s="30"/>
      <c r="I1081" s="44"/>
      <c r="J1081" s="44"/>
      <c r="K1081" s="44">
        <f t="shared" si="37"/>
        <v>3900</v>
      </c>
      <c r="L1081" s="51">
        <v>20221006</v>
      </c>
    </row>
    <row r="1082" spans="1:12" x14ac:dyDescent="0.25">
      <c r="A1082" s="52" t="s">
        <v>2238</v>
      </c>
      <c r="B1082" s="32" t="s">
        <v>11</v>
      </c>
      <c r="C1082" s="32" t="s">
        <v>134</v>
      </c>
      <c r="D1082" s="32" t="s">
        <v>135</v>
      </c>
      <c r="E1082" s="32" t="s">
        <v>1178</v>
      </c>
      <c r="F1082" s="32">
        <v>1</v>
      </c>
      <c r="G1082" s="45">
        <v>3900</v>
      </c>
      <c r="H1082" s="32">
        <v>23</v>
      </c>
      <c r="I1082" s="45">
        <v>50</v>
      </c>
      <c r="J1082" s="45">
        <f>I1082*H1082</f>
        <v>1150</v>
      </c>
      <c r="K1082" s="45">
        <f t="shared" si="37"/>
        <v>5050</v>
      </c>
      <c r="L1082" s="53">
        <v>20221011</v>
      </c>
    </row>
    <row r="1083" spans="1:12" x14ac:dyDescent="0.25">
      <c r="A1083" s="50" t="s">
        <v>2237</v>
      </c>
      <c r="B1083" s="30" t="s">
        <v>11</v>
      </c>
      <c r="C1083" s="30" t="s">
        <v>337</v>
      </c>
      <c r="D1083" s="30" t="s">
        <v>35</v>
      </c>
      <c r="E1083" s="30" t="s">
        <v>1318</v>
      </c>
      <c r="F1083" s="30">
        <v>1</v>
      </c>
      <c r="G1083" s="44">
        <v>3900</v>
      </c>
      <c r="H1083" s="30"/>
      <c r="I1083" s="44"/>
      <c r="J1083" s="44"/>
      <c r="K1083" s="44">
        <f t="shared" si="37"/>
        <v>3900</v>
      </c>
      <c r="L1083" s="51">
        <v>20221012</v>
      </c>
    </row>
    <row r="1084" spans="1:12" x14ac:dyDescent="0.25">
      <c r="A1084" s="52" t="s">
        <v>2241</v>
      </c>
      <c r="B1084" s="32" t="s">
        <v>11</v>
      </c>
      <c r="C1084" s="32" t="s">
        <v>337</v>
      </c>
      <c r="D1084" s="32" t="s">
        <v>35</v>
      </c>
      <c r="E1084" s="32" t="s">
        <v>511</v>
      </c>
      <c r="F1084" s="32">
        <v>1</v>
      </c>
      <c r="G1084" s="45">
        <v>3900</v>
      </c>
      <c r="H1084" s="32">
        <v>72</v>
      </c>
      <c r="I1084" s="45">
        <v>50</v>
      </c>
      <c r="J1084" s="45">
        <f>I1084*H1084</f>
        <v>3600</v>
      </c>
      <c r="K1084" s="45">
        <f t="shared" si="37"/>
        <v>7500</v>
      </c>
      <c r="L1084" s="53">
        <v>20221012</v>
      </c>
    </row>
    <row r="1085" spans="1:12" x14ac:dyDescent="0.25">
      <c r="A1085" s="50" t="s">
        <v>2225</v>
      </c>
      <c r="B1085" s="30" t="s">
        <v>11</v>
      </c>
      <c r="C1085" s="30" t="s">
        <v>28</v>
      </c>
      <c r="D1085" s="30" t="s">
        <v>1742</v>
      </c>
      <c r="E1085" s="30" t="s">
        <v>2226</v>
      </c>
      <c r="F1085" s="30">
        <v>1</v>
      </c>
      <c r="G1085" s="44">
        <v>3900</v>
      </c>
      <c r="H1085" s="30"/>
      <c r="I1085" s="44"/>
      <c r="J1085" s="44"/>
      <c r="K1085" s="44">
        <f t="shared" si="37"/>
        <v>3900</v>
      </c>
      <c r="L1085" s="51">
        <v>20221013</v>
      </c>
    </row>
    <row r="1086" spans="1:12" x14ac:dyDescent="0.25">
      <c r="A1086" s="50" t="s">
        <v>2233</v>
      </c>
      <c r="B1086" s="30" t="s">
        <v>11</v>
      </c>
      <c r="C1086" s="30" t="s">
        <v>405</v>
      </c>
      <c r="D1086" s="30" t="s">
        <v>24</v>
      </c>
      <c r="E1086" s="30" t="s">
        <v>1447</v>
      </c>
      <c r="F1086" s="30">
        <v>1</v>
      </c>
      <c r="G1086" s="44">
        <v>3900</v>
      </c>
      <c r="H1086" s="30"/>
      <c r="I1086" s="44"/>
      <c r="J1086" s="44"/>
      <c r="K1086" s="44">
        <f t="shared" si="37"/>
        <v>3900</v>
      </c>
      <c r="L1086" s="51">
        <v>20221013</v>
      </c>
    </row>
    <row r="1087" spans="1:12" x14ac:dyDescent="0.25">
      <c r="A1087" s="50" t="s">
        <v>2228</v>
      </c>
      <c r="B1087" s="30" t="s">
        <v>11</v>
      </c>
      <c r="C1087" s="30" t="s">
        <v>163</v>
      </c>
      <c r="D1087" s="30" t="s">
        <v>164</v>
      </c>
      <c r="E1087" s="30" t="s">
        <v>452</v>
      </c>
      <c r="F1087" s="30">
        <v>1</v>
      </c>
      <c r="G1087" s="44">
        <v>3900</v>
      </c>
      <c r="H1087" s="30"/>
      <c r="I1087" s="44"/>
      <c r="J1087" s="44"/>
      <c r="K1087" s="44">
        <f t="shared" si="37"/>
        <v>3900</v>
      </c>
      <c r="L1087" s="51">
        <v>20221013</v>
      </c>
    </row>
    <row r="1088" spans="1:12" x14ac:dyDescent="0.25">
      <c r="A1088" s="52" t="s">
        <v>2239</v>
      </c>
      <c r="B1088" s="32" t="s">
        <v>11</v>
      </c>
      <c r="C1088" s="32" t="s">
        <v>163</v>
      </c>
      <c r="D1088" s="32" t="s">
        <v>164</v>
      </c>
      <c r="E1088" s="32" t="s">
        <v>305</v>
      </c>
      <c r="F1088" s="32">
        <v>1</v>
      </c>
      <c r="G1088" s="45">
        <v>3900</v>
      </c>
      <c r="H1088" s="32">
        <v>126</v>
      </c>
      <c r="I1088" s="45">
        <v>50</v>
      </c>
      <c r="J1088" s="45">
        <f>I1088*H1088</f>
        <v>6300</v>
      </c>
      <c r="K1088" s="45">
        <f t="shared" si="37"/>
        <v>10200</v>
      </c>
      <c r="L1088" s="53">
        <v>20221013</v>
      </c>
    </row>
    <row r="1089" spans="1:12" x14ac:dyDescent="0.25">
      <c r="A1089" s="50" t="s">
        <v>2242</v>
      </c>
      <c r="B1089" s="30" t="s">
        <v>11</v>
      </c>
      <c r="C1089" s="30" t="s">
        <v>364</v>
      </c>
      <c r="D1089" s="30" t="s">
        <v>24</v>
      </c>
      <c r="E1089" s="30" t="s">
        <v>2075</v>
      </c>
      <c r="F1089" s="30">
        <v>1</v>
      </c>
      <c r="G1089" s="44">
        <v>3900</v>
      </c>
      <c r="H1089" s="30"/>
      <c r="I1089" s="44"/>
      <c r="J1089" s="44"/>
      <c r="K1089" s="44">
        <f t="shared" si="37"/>
        <v>3900</v>
      </c>
      <c r="L1089" s="51">
        <v>20221017</v>
      </c>
    </row>
    <row r="1090" spans="1:12" x14ac:dyDescent="0.25">
      <c r="A1090" s="52" t="s">
        <v>2229</v>
      </c>
      <c r="B1090" s="32" t="s">
        <v>11</v>
      </c>
      <c r="C1090" s="32" t="s">
        <v>2230</v>
      </c>
      <c r="D1090" s="32" t="s">
        <v>2231</v>
      </c>
      <c r="E1090" s="32" t="s">
        <v>2232</v>
      </c>
      <c r="F1090" s="32">
        <v>1</v>
      </c>
      <c r="G1090" s="45">
        <v>3900</v>
      </c>
      <c r="H1090" s="32">
        <v>153</v>
      </c>
      <c r="I1090" s="45">
        <v>50</v>
      </c>
      <c r="J1090" s="45">
        <f>I1090*H1090</f>
        <v>7650</v>
      </c>
      <c r="K1090" s="45">
        <f t="shared" si="37"/>
        <v>11550</v>
      </c>
      <c r="L1090" s="53">
        <v>20221017</v>
      </c>
    </row>
    <row r="1091" spans="1:12" x14ac:dyDescent="0.25">
      <c r="A1091" s="52" t="s">
        <v>2235</v>
      </c>
      <c r="B1091" s="32" t="s">
        <v>11</v>
      </c>
      <c r="C1091" s="32" t="s">
        <v>134</v>
      </c>
      <c r="D1091" s="32" t="s">
        <v>135</v>
      </c>
      <c r="E1091" s="32" t="s">
        <v>264</v>
      </c>
      <c r="F1091" s="32">
        <v>1</v>
      </c>
      <c r="G1091" s="45">
        <v>3900</v>
      </c>
      <c r="H1091" s="32">
        <v>23</v>
      </c>
      <c r="I1091" s="45">
        <v>50</v>
      </c>
      <c r="J1091" s="45">
        <f>I1091*H1091</f>
        <v>1150</v>
      </c>
      <c r="K1091" s="45">
        <f t="shared" si="37"/>
        <v>5050</v>
      </c>
      <c r="L1091" s="53">
        <v>20221017</v>
      </c>
    </row>
    <row r="1092" spans="1:12" x14ac:dyDescent="0.25">
      <c r="A1092" s="52" t="s">
        <v>2222</v>
      </c>
      <c r="B1092" s="32" t="s">
        <v>11</v>
      </c>
      <c r="C1092" s="32" t="s">
        <v>134</v>
      </c>
      <c r="D1092" s="32" t="s">
        <v>135</v>
      </c>
      <c r="E1092" s="32" t="s">
        <v>183</v>
      </c>
      <c r="F1092" s="32">
        <v>1</v>
      </c>
      <c r="G1092" s="45">
        <v>3900</v>
      </c>
      <c r="H1092" s="32">
        <v>23</v>
      </c>
      <c r="I1092" s="45">
        <v>50</v>
      </c>
      <c r="J1092" s="45">
        <f>I1092*H1092</f>
        <v>1150</v>
      </c>
      <c r="K1092" s="45">
        <f t="shared" si="37"/>
        <v>5050</v>
      </c>
      <c r="L1092" s="53">
        <v>20221017</v>
      </c>
    </row>
    <row r="1093" spans="1:12" x14ac:dyDescent="0.25">
      <c r="A1093" s="52" t="s">
        <v>2224</v>
      </c>
      <c r="B1093" s="32" t="s">
        <v>11</v>
      </c>
      <c r="C1093" s="32" t="s">
        <v>202</v>
      </c>
      <c r="D1093" s="32" t="s">
        <v>203</v>
      </c>
      <c r="E1093" s="32" t="s">
        <v>626</v>
      </c>
      <c r="F1093" s="32">
        <v>1</v>
      </c>
      <c r="G1093" s="45">
        <v>3900</v>
      </c>
      <c r="H1093" s="32">
        <v>100</v>
      </c>
      <c r="I1093" s="45">
        <v>50</v>
      </c>
      <c r="J1093" s="45">
        <f>I1093*H1093</f>
        <v>5000</v>
      </c>
      <c r="K1093" s="45">
        <f t="shared" si="37"/>
        <v>8900</v>
      </c>
      <c r="L1093" s="53">
        <v>20221019</v>
      </c>
    </row>
    <row r="1094" spans="1:12" x14ac:dyDescent="0.25">
      <c r="A1094" s="50" t="s">
        <v>2194</v>
      </c>
      <c r="B1094" s="30" t="s">
        <v>11</v>
      </c>
      <c r="C1094" s="30" t="s">
        <v>57</v>
      </c>
      <c r="D1094" s="30" t="s">
        <v>58</v>
      </c>
      <c r="E1094" s="30" t="s">
        <v>62</v>
      </c>
      <c r="F1094" s="30">
        <v>1</v>
      </c>
      <c r="G1094" s="44">
        <v>3900</v>
      </c>
      <c r="H1094" s="30"/>
      <c r="I1094" s="44"/>
      <c r="J1094" s="44"/>
      <c r="K1094" s="44">
        <f t="shared" si="37"/>
        <v>3900</v>
      </c>
      <c r="L1094" s="51">
        <v>20221020</v>
      </c>
    </row>
    <row r="1095" spans="1:12" x14ac:dyDescent="0.25">
      <c r="A1095" s="50" t="s">
        <v>2165</v>
      </c>
      <c r="B1095" s="30" t="s">
        <v>11</v>
      </c>
      <c r="C1095" s="30" t="s">
        <v>134</v>
      </c>
      <c r="D1095" s="30" t="s">
        <v>354</v>
      </c>
      <c r="E1095" s="30" t="s">
        <v>2166</v>
      </c>
      <c r="F1095" s="30">
        <v>1</v>
      </c>
      <c r="G1095" s="44">
        <v>3900</v>
      </c>
      <c r="H1095" s="30"/>
      <c r="I1095" s="44"/>
      <c r="J1095" s="44"/>
      <c r="K1095" s="44">
        <f t="shared" si="37"/>
        <v>3900</v>
      </c>
      <c r="L1095" s="51">
        <v>20221020</v>
      </c>
    </row>
    <row r="1096" spans="1:12" x14ac:dyDescent="0.25">
      <c r="A1096" s="50" t="s">
        <v>2192</v>
      </c>
      <c r="B1096" s="30" t="s">
        <v>11</v>
      </c>
      <c r="C1096" s="30" t="s">
        <v>134</v>
      </c>
      <c r="D1096" s="30" t="s">
        <v>354</v>
      </c>
      <c r="E1096" s="30" t="s">
        <v>831</v>
      </c>
      <c r="F1096" s="30">
        <v>1</v>
      </c>
      <c r="G1096" s="44">
        <v>3900</v>
      </c>
      <c r="H1096" s="30"/>
      <c r="I1096" s="44"/>
      <c r="J1096" s="44"/>
      <c r="K1096" s="44">
        <f t="shared" si="37"/>
        <v>3900</v>
      </c>
      <c r="L1096" s="51">
        <v>20221020</v>
      </c>
    </row>
    <row r="1097" spans="1:12" x14ac:dyDescent="0.25">
      <c r="A1097" s="50" t="s">
        <v>2161</v>
      </c>
      <c r="B1097" s="30" t="s">
        <v>11</v>
      </c>
      <c r="C1097" s="30" t="s">
        <v>364</v>
      </c>
      <c r="D1097" s="30" t="s">
        <v>24</v>
      </c>
      <c r="E1097" s="30" t="s">
        <v>1136</v>
      </c>
      <c r="F1097" s="30">
        <v>1</v>
      </c>
      <c r="G1097" s="44">
        <v>3900</v>
      </c>
      <c r="H1097" s="30"/>
      <c r="I1097" s="44"/>
      <c r="J1097" s="44"/>
      <c r="K1097" s="44">
        <f t="shared" si="37"/>
        <v>3900</v>
      </c>
      <c r="L1097" s="51">
        <v>20221024</v>
      </c>
    </row>
    <row r="1098" spans="1:12" x14ac:dyDescent="0.25">
      <c r="A1098" s="50" t="s">
        <v>2223</v>
      </c>
      <c r="B1098" s="30" t="s">
        <v>11</v>
      </c>
      <c r="C1098" s="30" t="s">
        <v>163</v>
      </c>
      <c r="D1098" s="30" t="s">
        <v>164</v>
      </c>
      <c r="E1098" s="30" t="s">
        <v>166</v>
      </c>
      <c r="F1098" s="30">
        <v>1</v>
      </c>
      <c r="G1098" s="44">
        <v>3900</v>
      </c>
      <c r="H1098" s="30"/>
      <c r="I1098" s="44"/>
      <c r="J1098" s="44"/>
      <c r="K1098" s="44">
        <f t="shared" si="37"/>
        <v>3900</v>
      </c>
      <c r="L1098" s="51">
        <v>20221024</v>
      </c>
    </row>
    <row r="1099" spans="1:12" x14ac:dyDescent="0.25">
      <c r="A1099" s="52" t="s">
        <v>2215</v>
      </c>
      <c r="B1099" s="32" t="s">
        <v>11</v>
      </c>
      <c r="C1099" s="32" t="s">
        <v>163</v>
      </c>
      <c r="D1099" s="32" t="s">
        <v>164</v>
      </c>
      <c r="E1099" s="32" t="s">
        <v>207</v>
      </c>
      <c r="F1099" s="32">
        <v>1</v>
      </c>
      <c r="G1099" s="45">
        <v>3900</v>
      </c>
      <c r="H1099" s="32">
        <v>126</v>
      </c>
      <c r="I1099" s="45">
        <v>50</v>
      </c>
      <c r="J1099" s="45">
        <f>I1099*H1099</f>
        <v>6300</v>
      </c>
      <c r="K1099" s="45">
        <f t="shared" si="37"/>
        <v>10200</v>
      </c>
      <c r="L1099" s="53">
        <v>20221024</v>
      </c>
    </row>
    <row r="1100" spans="1:12" x14ac:dyDescent="0.25">
      <c r="A1100" s="52" t="s">
        <v>2193</v>
      </c>
      <c r="B1100" s="32" t="s">
        <v>11</v>
      </c>
      <c r="C1100" s="32" t="s">
        <v>337</v>
      </c>
      <c r="D1100" s="32" t="s">
        <v>35</v>
      </c>
      <c r="E1100" s="32" t="s">
        <v>1318</v>
      </c>
      <c r="F1100" s="32">
        <v>1</v>
      </c>
      <c r="G1100" s="45">
        <v>3900</v>
      </c>
      <c r="H1100" s="32">
        <v>72</v>
      </c>
      <c r="I1100" s="45">
        <v>50</v>
      </c>
      <c r="J1100" s="45">
        <f>I1100*H1100</f>
        <v>3600</v>
      </c>
      <c r="K1100" s="45">
        <f t="shared" si="37"/>
        <v>7500</v>
      </c>
      <c r="L1100" s="53">
        <v>20221025</v>
      </c>
    </row>
    <row r="1101" spans="1:12" x14ac:dyDescent="0.25">
      <c r="A1101" s="50" t="s">
        <v>2191</v>
      </c>
      <c r="B1101" s="30" t="s">
        <v>11</v>
      </c>
      <c r="C1101" s="30" t="s">
        <v>29</v>
      </c>
      <c r="D1101" s="30" t="s">
        <v>1385</v>
      </c>
      <c r="E1101" s="30" t="s">
        <v>733</v>
      </c>
      <c r="F1101" s="30">
        <v>1</v>
      </c>
      <c r="G1101" s="44">
        <v>3900</v>
      </c>
      <c r="H1101" s="30"/>
      <c r="I1101" s="44"/>
      <c r="J1101" s="44"/>
      <c r="K1101" s="44">
        <f t="shared" si="37"/>
        <v>3900</v>
      </c>
      <c r="L1101" s="51">
        <v>20221025</v>
      </c>
    </row>
    <row r="1102" spans="1:12" x14ac:dyDescent="0.25">
      <c r="A1102" s="50" t="s">
        <v>2162</v>
      </c>
      <c r="B1102" s="30" t="s">
        <v>1209</v>
      </c>
      <c r="C1102" s="30" t="s">
        <v>1393</v>
      </c>
      <c r="D1102" s="30" t="s">
        <v>1394</v>
      </c>
      <c r="E1102" s="30" t="s">
        <v>2163</v>
      </c>
      <c r="F1102" s="30">
        <v>1</v>
      </c>
      <c r="G1102" s="44">
        <v>3900</v>
      </c>
      <c r="H1102" s="30"/>
      <c r="I1102" s="44"/>
      <c r="J1102" s="44"/>
      <c r="K1102" s="44">
        <f t="shared" si="37"/>
        <v>3900</v>
      </c>
      <c r="L1102" s="51">
        <v>20221025</v>
      </c>
    </row>
    <row r="1103" spans="1:12" x14ac:dyDescent="0.25">
      <c r="A1103" s="50" t="s">
        <v>2148</v>
      </c>
      <c r="B1103" s="30" t="s">
        <v>11</v>
      </c>
      <c r="C1103" s="30" t="s">
        <v>28</v>
      </c>
      <c r="D1103" s="30" t="s">
        <v>753</v>
      </c>
      <c r="E1103" s="30" t="s">
        <v>754</v>
      </c>
      <c r="F1103" s="30">
        <v>1</v>
      </c>
      <c r="G1103" s="44">
        <v>3900</v>
      </c>
      <c r="H1103" s="30"/>
      <c r="I1103" s="44"/>
      <c r="J1103" s="44"/>
      <c r="K1103" s="44">
        <f t="shared" si="37"/>
        <v>3900</v>
      </c>
      <c r="L1103" s="51">
        <v>20221026</v>
      </c>
    </row>
    <row r="1104" spans="1:12" x14ac:dyDescent="0.25">
      <c r="A1104" s="50" t="s">
        <v>2147</v>
      </c>
      <c r="B1104" s="30" t="s">
        <v>11</v>
      </c>
      <c r="C1104" s="30" t="s">
        <v>26</v>
      </c>
      <c r="D1104" s="30" t="s">
        <v>141</v>
      </c>
      <c r="E1104" s="30" t="s">
        <v>1578</v>
      </c>
      <c r="F1104" s="30">
        <v>1</v>
      </c>
      <c r="G1104" s="44">
        <v>3900</v>
      </c>
      <c r="H1104" s="30"/>
      <c r="I1104" s="44"/>
      <c r="J1104" s="44"/>
      <c r="K1104" s="44">
        <f t="shared" si="37"/>
        <v>3900</v>
      </c>
      <c r="L1104" s="51">
        <v>20221026</v>
      </c>
    </row>
    <row r="1105" spans="1:12" x14ac:dyDescent="0.25">
      <c r="A1105" s="50" t="s">
        <v>2149</v>
      </c>
      <c r="B1105" s="30" t="s">
        <v>1209</v>
      </c>
      <c r="C1105" s="30" t="s">
        <v>251</v>
      </c>
      <c r="D1105" s="30" t="s">
        <v>767</v>
      </c>
      <c r="E1105" s="30" t="s">
        <v>2150</v>
      </c>
      <c r="F1105" s="30">
        <v>1</v>
      </c>
      <c r="G1105" s="44">
        <v>3900</v>
      </c>
      <c r="H1105" s="30"/>
      <c r="I1105" s="44"/>
      <c r="J1105" s="44"/>
      <c r="K1105" s="44">
        <f t="shared" si="37"/>
        <v>3900</v>
      </c>
      <c r="L1105" s="51">
        <v>20221026</v>
      </c>
    </row>
    <row r="1106" spans="1:12" x14ac:dyDescent="0.25">
      <c r="A1106" s="52" t="s">
        <v>2216</v>
      </c>
      <c r="B1106" s="32" t="s">
        <v>11</v>
      </c>
      <c r="C1106" s="32" t="s">
        <v>26</v>
      </c>
      <c r="D1106" s="32" t="s">
        <v>2217</v>
      </c>
      <c r="E1106" s="32" t="s">
        <v>2218</v>
      </c>
      <c r="F1106" s="32">
        <v>1</v>
      </c>
      <c r="G1106" s="45">
        <v>3900</v>
      </c>
      <c r="H1106" s="32">
        <v>228</v>
      </c>
      <c r="I1106" s="45">
        <v>50</v>
      </c>
      <c r="J1106" s="45">
        <f>I1106*H1106</f>
        <v>11400</v>
      </c>
      <c r="K1106" s="45">
        <f t="shared" si="37"/>
        <v>15300</v>
      </c>
      <c r="L1106" s="53">
        <v>20221027</v>
      </c>
    </row>
    <row r="1107" spans="1:12" x14ac:dyDescent="0.25">
      <c r="A1107" s="50" t="s">
        <v>2227</v>
      </c>
      <c r="B1107" s="30" t="s">
        <v>11</v>
      </c>
      <c r="C1107" s="30" t="s">
        <v>1450</v>
      </c>
      <c r="D1107" s="30" t="s">
        <v>1592</v>
      </c>
      <c r="E1107" s="30" t="s">
        <v>1593</v>
      </c>
      <c r="F1107" s="30">
        <v>1</v>
      </c>
      <c r="G1107" s="44">
        <v>3900</v>
      </c>
      <c r="H1107" s="30"/>
      <c r="I1107" s="44"/>
      <c r="J1107" s="44"/>
      <c r="K1107" s="44">
        <f t="shared" si="37"/>
        <v>3900</v>
      </c>
      <c r="L1107" s="51">
        <v>20221027</v>
      </c>
    </row>
    <row r="1108" spans="1:12" x14ac:dyDescent="0.25">
      <c r="A1108" s="50" t="s">
        <v>2124</v>
      </c>
      <c r="B1108" s="30" t="s">
        <v>11</v>
      </c>
      <c r="C1108" s="30" t="s">
        <v>26</v>
      </c>
      <c r="D1108" s="30" t="s">
        <v>802</v>
      </c>
      <c r="E1108" s="30" t="s">
        <v>809</v>
      </c>
      <c r="F1108" s="30">
        <v>1</v>
      </c>
      <c r="G1108" s="44">
        <v>3900</v>
      </c>
      <c r="H1108" s="30"/>
      <c r="I1108" s="44"/>
      <c r="J1108" s="44"/>
      <c r="K1108" s="44">
        <f t="shared" si="37"/>
        <v>3900</v>
      </c>
      <c r="L1108" s="51">
        <v>20221028</v>
      </c>
    </row>
    <row r="1109" spans="1:12" x14ac:dyDescent="0.25">
      <c r="A1109" s="50" t="s">
        <v>2125</v>
      </c>
      <c r="B1109" s="30" t="s">
        <v>11</v>
      </c>
      <c r="C1109" s="30" t="s">
        <v>26</v>
      </c>
      <c r="D1109" s="30" t="s">
        <v>802</v>
      </c>
      <c r="E1109" s="30" t="s">
        <v>807</v>
      </c>
      <c r="F1109" s="30">
        <v>1</v>
      </c>
      <c r="G1109" s="44">
        <v>3900</v>
      </c>
      <c r="H1109" s="30"/>
      <c r="I1109" s="44"/>
      <c r="J1109" s="44"/>
      <c r="K1109" s="44">
        <f t="shared" si="37"/>
        <v>3900</v>
      </c>
      <c r="L1109" s="51">
        <v>20221028</v>
      </c>
    </row>
    <row r="1110" spans="1:12" x14ac:dyDescent="0.25">
      <c r="A1110" s="50" t="s">
        <v>2129</v>
      </c>
      <c r="B1110" s="30" t="s">
        <v>11</v>
      </c>
      <c r="C1110" s="30" t="s">
        <v>868</v>
      </c>
      <c r="D1110" s="30" t="s">
        <v>24</v>
      </c>
      <c r="E1110" s="30" t="s">
        <v>869</v>
      </c>
      <c r="F1110" s="30">
        <v>1</v>
      </c>
      <c r="G1110" s="44">
        <v>3900</v>
      </c>
      <c r="H1110" s="30"/>
      <c r="I1110" s="44"/>
      <c r="J1110" s="44"/>
      <c r="K1110" s="44">
        <f t="shared" si="37"/>
        <v>3900</v>
      </c>
      <c r="L1110" s="51">
        <v>20221028</v>
      </c>
    </row>
    <row r="1111" spans="1:12" x14ac:dyDescent="0.25">
      <c r="A1111" s="50" t="s">
        <v>2126</v>
      </c>
      <c r="B1111" s="30" t="s">
        <v>11</v>
      </c>
      <c r="C1111" s="30" t="s">
        <v>94</v>
      </c>
      <c r="D1111" s="30" t="s">
        <v>95</v>
      </c>
      <c r="E1111" s="30" t="s">
        <v>436</v>
      </c>
      <c r="F1111" s="30">
        <v>1</v>
      </c>
      <c r="G1111" s="44">
        <v>3900</v>
      </c>
      <c r="H1111" s="30"/>
      <c r="I1111" s="44"/>
      <c r="J1111" s="44"/>
      <c r="K1111" s="44">
        <f t="shared" si="37"/>
        <v>3900</v>
      </c>
      <c r="L1111" s="51">
        <v>20221028</v>
      </c>
    </row>
    <row r="1112" spans="1:12" x14ac:dyDescent="0.25">
      <c r="A1112" s="50" t="s">
        <v>2123</v>
      </c>
      <c r="B1112" s="30" t="s">
        <v>11</v>
      </c>
      <c r="C1112" s="30" t="s">
        <v>26</v>
      </c>
      <c r="D1112" s="30" t="s">
        <v>556</v>
      </c>
      <c r="E1112" s="30" t="s">
        <v>561</v>
      </c>
      <c r="F1112" s="30">
        <v>1</v>
      </c>
      <c r="G1112" s="44">
        <v>3900</v>
      </c>
      <c r="H1112" s="30"/>
      <c r="I1112" s="44"/>
      <c r="J1112" s="44"/>
      <c r="K1112" s="44">
        <f t="shared" si="37"/>
        <v>3900</v>
      </c>
      <c r="L1112" s="51">
        <v>20221031</v>
      </c>
    </row>
    <row r="1113" spans="1:12" x14ac:dyDescent="0.25">
      <c r="A1113" s="50" t="s">
        <v>2128</v>
      </c>
      <c r="B1113" s="30" t="s">
        <v>11</v>
      </c>
      <c r="C1113" s="30" t="s">
        <v>53</v>
      </c>
      <c r="D1113" s="30" t="s">
        <v>24</v>
      </c>
      <c r="E1113" s="30" t="s">
        <v>1132</v>
      </c>
      <c r="F1113" s="30">
        <v>1</v>
      </c>
      <c r="G1113" s="44">
        <v>3900</v>
      </c>
      <c r="H1113" s="30"/>
      <c r="I1113" s="44"/>
      <c r="J1113" s="44"/>
      <c r="K1113" s="44">
        <f t="shared" si="37"/>
        <v>3900</v>
      </c>
      <c r="L1113" s="51">
        <v>20221031</v>
      </c>
    </row>
    <row r="1114" spans="1:12" ht="15.75" thickBot="1" x14ac:dyDescent="0.3">
      <c r="A1114" s="54" t="s">
        <v>2122</v>
      </c>
      <c r="B1114" s="36" t="s">
        <v>11</v>
      </c>
      <c r="C1114" s="36" t="s">
        <v>94</v>
      </c>
      <c r="D1114" s="36" t="s">
        <v>95</v>
      </c>
      <c r="E1114" s="36" t="s">
        <v>260</v>
      </c>
      <c r="F1114" s="36">
        <v>1</v>
      </c>
      <c r="G1114" s="65">
        <v>3900</v>
      </c>
      <c r="H1114" s="36"/>
      <c r="I1114" s="65"/>
      <c r="J1114" s="65"/>
      <c r="K1114" s="65">
        <f t="shared" si="37"/>
        <v>3900</v>
      </c>
      <c r="L1114" s="55">
        <v>20221031</v>
      </c>
    </row>
    <row r="1115" spans="1:12" x14ac:dyDescent="0.25">
      <c r="A1115" s="73"/>
      <c r="B1115" s="74"/>
      <c r="C1115" s="74"/>
      <c r="D1115" s="74"/>
      <c r="E1115" s="74"/>
      <c r="F1115" s="74"/>
      <c r="G1115" s="75"/>
      <c r="H1115" s="74"/>
      <c r="I1115" s="75"/>
      <c r="J1115" s="75"/>
      <c r="K1115" s="75"/>
      <c r="L1115" s="76"/>
    </row>
    <row r="1116" spans="1:12" ht="15.75" thickBot="1" x14ac:dyDescent="0.3">
      <c r="A1116" s="69"/>
      <c r="B1116" s="70"/>
      <c r="C1116" s="70"/>
      <c r="D1116" s="70"/>
      <c r="E1116" s="70"/>
      <c r="F1116" s="70"/>
      <c r="G1116" s="71"/>
      <c r="H1116" s="70"/>
      <c r="I1116" s="71"/>
      <c r="J1116" s="71"/>
      <c r="K1116" s="71"/>
      <c r="L1116" s="72"/>
    </row>
    <row r="1117" spans="1:12" x14ac:dyDescent="0.25">
      <c r="A1117" s="77" t="s">
        <v>2220</v>
      </c>
      <c r="B1117" s="78" t="s">
        <v>137</v>
      </c>
      <c r="C1117" s="78" t="s">
        <v>172</v>
      </c>
      <c r="D1117" s="78" t="s">
        <v>173</v>
      </c>
      <c r="E1117" s="78" t="s">
        <v>2221</v>
      </c>
      <c r="F1117" s="78">
        <v>1</v>
      </c>
      <c r="G1117" s="79">
        <v>1950</v>
      </c>
      <c r="H1117" s="78">
        <v>152</v>
      </c>
      <c r="I1117" s="79">
        <v>50</v>
      </c>
      <c r="J1117" s="79">
        <f>I1117*H1117</f>
        <v>7600</v>
      </c>
      <c r="K1117" s="79">
        <f t="shared" ref="K1117:K1148" si="38">J1117+G1117</f>
        <v>9550</v>
      </c>
      <c r="L1117" s="80">
        <v>20221017</v>
      </c>
    </row>
    <row r="1118" spans="1:12" x14ac:dyDescent="0.25">
      <c r="A1118" s="50" t="s">
        <v>2219</v>
      </c>
      <c r="B1118" s="30" t="s">
        <v>137</v>
      </c>
      <c r="C1118" s="30" t="s">
        <v>172</v>
      </c>
      <c r="D1118" s="30" t="s">
        <v>173</v>
      </c>
      <c r="E1118" s="30" t="s">
        <v>174</v>
      </c>
      <c r="F1118" s="30">
        <v>1</v>
      </c>
      <c r="G1118" s="44">
        <v>1950</v>
      </c>
      <c r="H1118" s="30"/>
      <c r="I1118" s="44"/>
      <c r="J1118" s="44"/>
      <c r="K1118" s="44">
        <f t="shared" si="38"/>
        <v>1950</v>
      </c>
      <c r="L1118" s="51">
        <v>20221017</v>
      </c>
    </row>
    <row r="1119" spans="1:12" x14ac:dyDescent="0.25">
      <c r="A1119" s="50" t="s">
        <v>2213</v>
      </c>
      <c r="B1119" s="30" t="s">
        <v>137</v>
      </c>
      <c r="C1119" s="30" t="s">
        <v>202</v>
      </c>
      <c r="D1119" s="30" t="s">
        <v>203</v>
      </c>
      <c r="E1119" s="30" t="s">
        <v>2214</v>
      </c>
      <c r="F1119" s="30">
        <v>1</v>
      </c>
      <c r="G1119" s="44">
        <v>1950</v>
      </c>
      <c r="H1119" s="30"/>
      <c r="I1119" s="44"/>
      <c r="J1119" s="44"/>
      <c r="K1119" s="44">
        <f t="shared" si="38"/>
        <v>1950</v>
      </c>
      <c r="L1119" s="51">
        <v>20221019</v>
      </c>
    </row>
    <row r="1120" spans="1:12" x14ac:dyDescent="0.25">
      <c r="A1120" s="50" t="s">
        <v>2211</v>
      </c>
      <c r="B1120" s="30" t="s">
        <v>137</v>
      </c>
      <c r="C1120" s="30" t="s">
        <v>202</v>
      </c>
      <c r="D1120" s="30" t="s">
        <v>203</v>
      </c>
      <c r="E1120" s="30" t="s">
        <v>2212</v>
      </c>
      <c r="F1120" s="30">
        <v>1</v>
      </c>
      <c r="G1120" s="44">
        <v>1950</v>
      </c>
      <c r="H1120" s="30"/>
      <c r="I1120" s="44"/>
      <c r="J1120" s="44"/>
      <c r="K1120" s="44">
        <f t="shared" si="38"/>
        <v>1950</v>
      </c>
      <c r="L1120" s="51">
        <v>20221019</v>
      </c>
    </row>
    <row r="1121" spans="1:12" x14ac:dyDescent="0.25">
      <c r="A1121" s="50" t="s">
        <v>2209</v>
      </c>
      <c r="B1121" s="30" t="s">
        <v>137</v>
      </c>
      <c r="C1121" s="30" t="s">
        <v>202</v>
      </c>
      <c r="D1121" s="30" t="s">
        <v>203</v>
      </c>
      <c r="E1121" s="30" t="s">
        <v>2210</v>
      </c>
      <c r="F1121" s="30">
        <v>1</v>
      </c>
      <c r="G1121" s="44">
        <v>1950</v>
      </c>
      <c r="H1121" s="30"/>
      <c r="I1121" s="44"/>
      <c r="J1121" s="44"/>
      <c r="K1121" s="44">
        <f t="shared" si="38"/>
        <v>1950</v>
      </c>
      <c r="L1121" s="51">
        <v>20221019</v>
      </c>
    </row>
    <row r="1122" spans="1:12" x14ac:dyDescent="0.25">
      <c r="A1122" s="50" t="s">
        <v>2207</v>
      </c>
      <c r="B1122" s="30" t="s">
        <v>137</v>
      </c>
      <c r="C1122" s="30" t="s">
        <v>202</v>
      </c>
      <c r="D1122" s="30" t="s">
        <v>203</v>
      </c>
      <c r="E1122" s="30" t="s">
        <v>2208</v>
      </c>
      <c r="F1122" s="30">
        <v>1</v>
      </c>
      <c r="G1122" s="44">
        <v>1950</v>
      </c>
      <c r="H1122" s="30"/>
      <c r="I1122" s="44"/>
      <c r="J1122" s="44"/>
      <c r="K1122" s="44">
        <f t="shared" si="38"/>
        <v>1950</v>
      </c>
      <c r="L1122" s="51">
        <v>20221019</v>
      </c>
    </row>
    <row r="1123" spans="1:12" x14ac:dyDescent="0.25">
      <c r="A1123" s="50" t="s">
        <v>2205</v>
      </c>
      <c r="B1123" s="30" t="s">
        <v>137</v>
      </c>
      <c r="C1123" s="30" t="s">
        <v>202</v>
      </c>
      <c r="D1123" s="30" t="s">
        <v>203</v>
      </c>
      <c r="E1123" s="30" t="s">
        <v>2206</v>
      </c>
      <c r="F1123" s="30">
        <v>1</v>
      </c>
      <c r="G1123" s="44">
        <v>1950</v>
      </c>
      <c r="H1123" s="30"/>
      <c r="I1123" s="44"/>
      <c r="J1123" s="44"/>
      <c r="K1123" s="44">
        <f t="shared" si="38"/>
        <v>1950</v>
      </c>
      <c r="L1123" s="51">
        <v>20221019</v>
      </c>
    </row>
    <row r="1124" spans="1:12" x14ac:dyDescent="0.25">
      <c r="A1124" s="50" t="s">
        <v>2204</v>
      </c>
      <c r="B1124" s="30" t="s">
        <v>137</v>
      </c>
      <c r="C1124" s="30" t="s">
        <v>202</v>
      </c>
      <c r="D1124" s="30" t="s">
        <v>203</v>
      </c>
      <c r="E1124" s="30" t="s">
        <v>1164</v>
      </c>
      <c r="F1124" s="30">
        <v>1</v>
      </c>
      <c r="G1124" s="44">
        <v>1950</v>
      </c>
      <c r="H1124" s="30"/>
      <c r="I1124" s="44"/>
      <c r="J1124" s="44"/>
      <c r="K1124" s="44">
        <f t="shared" si="38"/>
        <v>1950</v>
      </c>
      <c r="L1124" s="51">
        <v>20221019</v>
      </c>
    </row>
    <row r="1125" spans="1:12" x14ac:dyDescent="0.25">
      <c r="A1125" s="50" t="s">
        <v>2202</v>
      </c>
      <c r="B1125" s="30" t="s">
        <v>137</v>
      </c>
      <c r="C1125" s="30" t="s">
        <v>202</v>
      </c>
      <c r="D1125" s="30" t="s">
        <v>203</v>
      </c>
      <c r="E1125" s="30" t="s">
        <v>2203</v>
      </c>
      <c r="F1125" s="30">
        <v>1</v>
      </c>
      <c r="G1125" s="44">
        <v>1950</v>
      </c>
      <c r="H1125" s="30"/>
      <c r="I1125" s="44"/>
      <c r="J1125" s="44"/>
      <c r="K1125" s="44">
        <f t="shared" si="38"/>
        <v>1950</v>
      </c>
      <c r="L1125" s="51">
        <v>20221019</v>
      </c>
    </row>
    <row r="1126" spans="1:12" x14ac:dyDescent="0.25">
      <c r="A1126" s="50" t="s">
        <v>2201</v>
      </c>
      <c r="B1126" s="30" t="s">
        <v>137</v>
      </c>
      <c r="C1126" s="30" t="s">
        <v>202</v>
      </c>
      <c r="D1126" s="30" t="s">
        <v>203</v>
      </c>
      <c r="E1126" s="30" t="s">
        <v>214</v>
      </c>
      <c r="F1126" s="30">
        <v>1</v>
      </c>
      <c r="G1126" s="44">
        <v>1950</v>
      </c>
      <c r="H1126" s="30"/>
      <c r="I1126" s="44"/>
      <c r="J1126" s="44"/>
      <c r="K1126" s="44">
        <f t="shared" si="38"/>
        <v>1950</v>
      </c>
      <c r="L1126" s="51">
        <v>20221019</v>
      </c>
    </row>
    <row r="1127" spans="1:12" x14ac:dyDescent="0.25">
      <c r="A1127" s="50" t="s">
        <v>2199</v>
      </c>
      <c r="B1127" s="30" t="s">
        <v>137</v>
      </c>
      <c r="C1127" s="30" t="s">
        <v>202</v>
      </c>
      <c r="D1127" s="30" t="s">
        <v>203</v>
      </c>
      <c r="E1127" s="30" t="s">
        <v>2200</v>
      </c>
      <c r="F1127" s="30">
        <v>1</v>
      </c>
      <c r="G1127" s="44">
        <v>1950</v>
      </c>
      <c r="H1127" s="30"/>
      <c r="I1127" s="44"/>
      <c r="J1127" s="44"/>
      <c r="K1127" s="44">
        <f t="shared" si="38"/>
        <v>1950</v>
      </c>
      <c r="L1127" s="51">
        <v>20221019</v>
      </c>
    </row>
    <row r="1128" spans="1:12" x14ac:dyDescent="0.25">
      <c r="A1128" s="50" t="s">
        <v>2197</v>
      </c>
      <c r="B1128" s="30" t="s">
        <v>137</v>
      </c>
      <c r="C1128" s="30" t="s">
        <v>202</v>
      </c>
      <c r="D1128" s="30" t="s">
        <v>203</v>
      </c>
      <c r="E1128" s="30" t="s">
        <v>2198</v>
      </c>
      <c r="F1128" s="30">
        <v>1</v>
      </c>
      <c r="G1128" s="44">
        <v>1950</v>
      </c>
      <c r="H1128" s="30"/>
      <c r="I1128" s="44"/>
      <c r="J1128" s="44"/>
      <c r="K1128" s="44">
        <f t="shared" si="38"/>
        <v>1950</v>
      </c>
      <c r="L1128" s="51">
        <v>20221019</v>
      </c>
    </row>
    <row r="1129" spans="1:12" x14ac:dyDescent="0.25">
      <c r="A1129" s="50" t="s">
        <v>2195</v>
      </c>
      <c r="B1129" s="30" t="s">
        <v>137</v>
      </c>
      <c r="C1129" s="30" t="s">
        <v>202</v>
      </c>
      <c r="D1129" s="30" t="s">
        <v>203</v>
      </c>
      <c r="E1129" s="30" t="s">
        <v>2196</v>
      </c>
      <c r="F1129" s="30">
        <v>1</v>
      </c>
      <c r="G1129" s="44">
        <v>1950</v>
      </c>
      <c r="H1129" s="30"/>
      <c r="I1129" s="44"/>
      <c r="J1129" s="44"/>
      <c r="K1129" s="44">
        <f t="shared" si="38"/>
        <v>1950</v>
      </c>
      <c r="L1129" s="51">
        <v>20221019</v>
      </c>
    </row>
    <row r="1130" spans="1:12" x14ac:dyDescent="0.25">
      <c r="A1130" s="50" t="s">
        <v>2182</v>
      </c>
      <c r="B1130" s="30" t="s">
        <v>137</v>
      </c>
      <c r="C1130" s="30" t="s">
        <v>134</v>
      </c>
      <c r="D1130" s="30" t="s">
        <v>354</v>
      </c>
      <c r="E1130" s="30" t="s">
        <v>355</v>
      </c>
      <c r="F1130" s="30">
        <v>1</v>
      </c>
      <c r="G1130" s="44">
        <v>1950</v>
      </c>
      <c r="H1130" s="30"/>
      <c r="I1130" s="44"/>
      <c r="J1130" s="44"/>
      <c r="K1130" s="44">
        <f t="shared" si="38"/>
        <v>1950</v>
      </c>
      <c r="L1130" s="51">
        <v>20221020</v>
      </c>
    </row>
    <row r="1131" spans="1:12" x14ac:dyDescent="0.25">
      <c r="A1131" s="50" t="s">
        <v>2181</v>
      </c>
      <c r="B1131" s="30" t="s">
        <v>137</v>
      </c>
      <c r="C1131" s="30" t="s">
        <v>134</v>
      </c>
      <c r="D1131" s="30" t="s">
        <v>354</v>
      </c>
      <c r="E1131" s="30" t="s">
        <v>833</v>
      </c>
      <c r="F1131" s="30">
        <v>1</v>
      </c>
      <c r="G1131" s="44">
        <v>1950</v>
      </c>
      <c r="H1131" s="30"/>
      <c r="I1131" s="44"/>
      <c r="J1131" s="44"/>
      <c r="K1131" s="44">
        <f t="shared" si="38"/>
        <v>1950</v>
      </c>
      <c r="L1131" s="51">
        <v>20221020</v>
      </c>
    </row>
    <row r="1132" spans="1:12" x14ac:dyDescent="0.25">
      <c r="A1132" s="50" t="s">
        <v>2180</v>
      </c>
      <c r="B1132" s="30" t="s">
        <v>137</v>
      </c>
      <c r="C1132" s="30" t="s">
        <v>134</v>
      </c>
      <c r="D1132" s="30" t="s">
        <v>354</v>
      </c>
      <c r="E1132" s="30" t="s">
        <v>825</v>
      </c>
      <c r="F1132" s="30">
        <v>1</v>
      </c>
      <c r="G1132" s="44">
        <v>1950</v>
      </c>
      <c r="H1132" s="30"/>
      <c r="I1132" s="44"/>
      <c r="J1132" s="44"/>
      <c r="K1132" s="44">
        <f t="shared" si="38"/>
        <v>1950</v>
      </c>
      <c r="L1132" s="51">
        <v>20221020</v>
      </c>
    </row>
    <row r="1133" spans="1:12" x14ac:dyDescent="0.25">
      <c r="A1133" s="50" t="s">
        <v>2179</v>
      </c>
      <c r="B1133" s="30" t="s">
        <v>137</v>
      </c>
      <c r="C1133" s="30" t="s">
        <v>134</v>
      </c>
      <c r="D1133" s="30" t="s">
        <v>354</v>
      </c>
      <c r="E1133" s="30" t="s">
        <v>410</v>
      </c>
      <c r="F1133" s="30">
        <v>1</v>
      </c>
      <c r="G1133" s="44">
        <v>1950</v>
      </c>
      <c r="H1133" s="30"/>
      <c r="I1133" s="44"/>
      <c r="J1133" s="44"/>
      <c r="K1133" s="44">
        <f t="shared" si="38"/>
        <v>1950</v>
      </c>
      <c r="L1133" s="51">
        <v>20221020</v>
      </c>
    </row>
    <row r="1134" spans="1:12" x14ac:dyDescent="0.25">
      <c r="A1134" s="50" t="s">
        <v>2178</v>
      </c>
      <c r="B1134" s="30" t="s">
        <v>137</v>
      </c>
      <c r="C1134" s="30" t="s">
        <v>134</v>
      </c>
      <c r="D1134" s="30" t="s">
        <v>354</v>
      </c>
      <c r="E1134" s="30" t="s">
        <v>359</v>
      </c>
      <c r="F1134" s="30">
        <v>1</v>
      </c>
      <c r="G1134" s="44">
        <v>1950</v>
      </c>
      <c r="H1134" s="30"/>
      <c r="I1134" s="44"/>
      <c r="J1134" s="44"/>
      <c r="K1134" s="44">
        <f t="shared" si="38"/>
        <v>1950</v>
      </c>
      <c r="L1134" s="51">
        <v>20221020</v>
      </c>
    </row>
    <row r="1135" spans="1:12" x14ac:dyDescent="0.25">
      <c r="A1135" s="50" t="s">
        <v>2177</v>
      </c>
      <c r="B1135" s="30" t="s">
        <v>137</v>
      </c>
      <c r="C1135" s="30" t="s">
        <v>134</v>
      </c>
      <c r="D1135" s="30" t="s">
        <v>354</v>
      </c>
      <c r="E1135" s="30" t="s">
        <v>357</v>
      </c>
      <c r="F1135" s="30">
        <v>1</v>
      </c>
      <c r="G1135" s="44">
        <v>1950</v>
      </c>
      <c r="H1135" s="30"/>
      <c r="I1135" s="44"/>
      <c r="J1135" s="44"/>
      <c r="K1135" s="44">
        <f t="shared" si="38"/>
        <v>1950</v>
      </c>
      <c r="L1135" s="51">
        <v>20221020</v>
      </c>
    </row>
    <row r="1136" spans="1:12" x14ac:dyDescent="0.25">
      <c r="A1136" s="50" t="s">
        <v>2164</v>
      </c>
      <c r="B1136" s="30" t="s">
        <v>137</v>
      </c>
      <c r="C1136" s="30" t="s">
        <v>29</v>
      </c>
      <c r="D1136" s="30" t="s">
        <v>241</v>
      </c>
      <c r="E1136" s="30" t="s">
        <v>242</v>
      </c>
      <c r="F1136" s="30">
        <v>1</v>
      </c>
      <c r="G1136" s="44">
        <v>1950</v>
      </c>
      <c r="H1136" s="30"/>
      <c r="I1136" s="44"/>
      <c r="J1136" s="44"/>
      <c r="K1136" s="44">
        <f t="shared" si="38"/>
        <v>1950</v>
      </c>
      <c r="L1136" s="51">
        <v>20221020</v>
      </c>
    </row>
    <row r="1137" spans="1:12" x14ac:dyDescent="0.25">
      <c r="A1137" s="50" t="s">
        <v>2171</v>
      </c>
      <c r="B1137" s="30" t="s">
        <v>137</v>
      </c>
      <c r="C1137" s="30" t="s">
        <v>57</v>
      </c>
      <c r="D1137" s="30" t="s">
        <v>58</v>
      </c>
      <c r="E1137" s="30" t="s">
        <v>59</v>
      </c>
      <c r="F1137" s="30">
        <v>1</v>
      </c>
      <c r="G1137" s="44">
        <v>1950</v>
      </c>
      <c r="H1137" s="30"/>
      <c r="I1137" s="44"/>
      <c r="J1137" s="44"/>
      <c r="K1137" s="44">
        <f t="shared" si="38"/>
        <v>1950</v>
      </c>
      <c r="L1137" s="51">
        <v>20221021</v>
      </c>
    </row>
    <row r="1138" spans="1:12" x14ac:dyDescent="0.25">
      <c r="A1138" s="50" t="s">
        <v>2170</v>
      </c>
      <c r="B1138" s="30" t="s">
        <v>137</v>
      </c>
      <c r="C1138" s="30" t="s">
        <v>57</v>
      </c>
      <c r="D1138" s="30" t="s">
        <v>58</v>
      </c>
      <c r="E1138" s="30" t="s">
        <v>329</v>
      </c>
      <c r="F1138" s="30">
        <v>1</v>
      </c>
      <c r="G1138" s="44">
        <v>1950</v>
      </c>
      <c r="H1138" s="30"/>
      <c r="I1138" s="44"/>
      <c r="J1138" s="44"/>
      <c r="K1138" s="44">
        <f t="shared" si="38"/>
        <v>1950</v>
      </c>
      <c r="L1138" s="51">
        <v>20221021</v>
      </c>
    </row>
    <row r="1139" spans="1:12" x14ac:dyDescent="0.25">
      <c r="A1139" s="50" t="s">
        <v>2169</v>
      </c>
      <c r="B1139" s="30" t="s">
        <v>137</v>
      </c>
      <c r="C1139" s="30" t="s">
        <v>57</v>
      </c>
      <c r="D1139" s="30" t="s">
        <v>58</v>
      </c>
      <c r="E1139" s="30" t="s">
        <v>399</v>
      </c>
      <c r="F1139" s="30">
        <v>1</v>
      </c>
      <c r="G1139" s="44">
        <v>1950</v>
      </c>
      <c r="H1139" s="30"/>
      <c r="I1139" s="44"/>
      <c r="J1139" s="44"/>
      <c r="K1139" s="44">
        <f t="shared" si="38"/>
        <v>1950</v>
      </c>
      <c r="L1139" s="51">
        <v>20221021</v>
      </c>
    </row>
    <row r="1140" spans="1:12" x14ac:dyDescent="0.25">
      <c r="A1140" s="50" t="s">
        <v>2168</v>
      </c>
      <c r="B1140" s="30" t="s">
        <v>137</v>
      </c>
      <c r="C1140" s="30" t="s">
        <v>57</v>
      </c>
      <c r="D1140" s="30" t="s">
        <v>58</v>
      </c>
      <c r="E1140" s="30" t="s">
        <v>331</v>
      </c>
      <c r="F1140" s="30">
        <v>1</v>
      </c>
      <c r="G1140" s="44">
        <v>1950</v>
      </c>
      <c r="H1140" s="30"/>
      <c r="I1140" s="44"/>
      <c r="J1140" s="44"/>
      <c r="K1140" s="44">
        <f t="shared" si="38"/>
        <v>1950</v>
      </c>
      <c r="L1140" s="51">
        <v>20221021</v>
      </c>
    </row>
    <row r="1141" spans="1:12" x14ac:dyDescent="0.25">
      <c r="A1141" s="50" t="s">
        <v>2167</v>
      </c>
      <c r="B1141" s="30" t="s">
        <v>137</v>
      </c>
      <c r="C1141" s="30" t="s">
        <v>57</v>
      </c>
      <c r="D1141" s="30" t="s">
        <v>58</v>
      </c>
      <c r="E1141" s="30" t="s">
        <v>60</v>
      </c>
      <c r="F1141" s="30">
        <v>1</v>
      </c>
      <c r="G1141" s="44">
        <v>1950</v>
      </c>
      <c r="H1141" s="30"/>
      <c r="I1141" s="44"/>
      <c r="J1141" s="44"/>
      <c r="K1141" s="44">
        <f t="shared" si="38"/>
        <v>1950</v>
      </c>
      <c r="L1141" s="51">
        <v>20221021</v>
      </c>
    </row>
    <row r="1142" spans="1:12" x14ac:dyDescent="0.25">
      <c r="A1142" s="50" t="s">
        <v>2160</v>
      </c>
      <c r="B1142" s="30" t="s">
        <v>137</v>
      </c>
      <c r="C1142" s="30" t="s">
        <v>163</v>
      </c>
      <c r="D1142" s="30" t="s">
        <v>164</v>
      </c>
      <c r="E1142" s="30" t="s">
        <v>454</v>
      </c>
      <c r="F1142" s="30">
        <v>1</v>
      </c>
      <c r="G1142" s="44">
        <v>1950</v>
      </c>
      <c r="H1142" s="30"/>
      <c r="I1142" s="44"/>
      <c r="J1142" s="44"/>
      <c r="K1142" s="44">
        <f t="shared" si="38"/>
        <v>1950</v>
      </c>
      <c r="L1142" s="51">
        <v>20221024</v>
      </c>
    </row>
    <row r="1143" spans="1:12" x14ac:dyDescent="0.25">
      <c r="A1143" s="50" t="s">
        <v>2159</v>
      </c>
      <c r="B1143" s="30" t="s">
        <v>137</v>
      </c>
      <c r="C1143" s="30" t="s">
        <v>163</v>
      </c>
      <c r="D1143" s="30" t="s">
        <v>164</v>
      </c>
      <c r="E1143" s="30" t="s">
        <v>452</v>
      </c>
      <c r="F1143" s="30">
        <v>1</v>
      </c>
      <c r="G1143" s="44">
        <v>1950</v>
      </c>
      <c r="H1143" s="30"/>
      <c r="I1143" s="44"/>
      <c r="J1143" s="44"/>
      <c r="K1143" s="44">
        <f t="shared" si="38"/>
        <v>1950</v>
      </c>
      <c r="L1143" s="51">
        <v>20221024</v>
      </c>
    </row>
    <row r="1144" spans="1:12" x14ac:dyDescent="0.25">
      <c r="A1144" s="50" t="s">
        <v>2157</v>
      </c>
      <c r="B1144" s="30" t="s">
        <v>137</v>
      </c>
      <c r="C1144" s="30" t="s">
        <v>163</v>
      </c>
      <c r="D1144" s="30" t="s">
        <v>164</v>
      </c>
      <c r="E1144" s="30" t="s">
        <v>2158</v>
      </c>
      <c r="F1144" s="30">
        <v>1</v>
      </c>
      <c r="G1144" s="44">
        <v>1950</v>
      </c>
      <c r="H1144" s="30"/>
      <c r="I1144" s="44"/>
      <c r="J1144" s="44"/>
      <c r="K1144" s="44">
        <f t="shared" si="38"/>
        <v>1950</v>
      </c>
      <c r="L1144" s="51">
        <v>20221024</v>
      </c>
    </row>
    <row r="1145" spans="1:12" x14ac:dyDescent="0.25">
      <c r="A1145" s="50" t="s">
        <v>2156</v>
      </c>
      <c r="B1145" s="30" t="s">
        <v>137</v>
      </c>
      <c r="C1145" s="30" t="s">
        <v>163</v>
      </c>
      <c r="D1145" s="30" t="s">
        <v>164</v>
      </c>
      <c r="E1145" s="30" t="s">
        <v>244</v>
      </c>
      <c r="F1145" s="30">
        <v>1</v>
      </c>
      <c r="G1145" s="44">
        <v>1950</v>
      </c>
      <c r="H1145" s="30"/>
      <c r="I1145" s="44"/>
      <c r="J1145" s="44"/>
      <c r="K1145" s="44">
        <f t="shared" si="38"/>
        <v>1950</v>
      </c>
      <c r="L1145" s="51">
        <v>20221024</v>
      </c>
    </row>
    <row r="1146" spans="1:12" x14ac:dyDescent="0.25">
      <c r="A1146" s="50" t="s">
        <v>2155</v>
      </c>
      <c r="B1146" s="30" t="s">
        <v>137</v>
      </c>
      <c r="C1146" s="30" t="s">
        <v>163</v>
      </c>
      <c r="D1146" s="30" t="s">
        <v>164</v>
      </c>
      <c r="E1146" s="30" t="s">
        <v>361</v>
      </c>
      <c r="F1146" s="30">
        <v>1</v>
      </c>
      <c r="G1146" s="44">
        <v>1950</v>
      </c>
      <c r="H1146" s="30"/>
      <c r="I1146" s="44"/>
      <c r="J1146" s="44"/>
      <c r="K1146" s="44">
        <f t="shared" si="38"/>
        <v>1950</v>
      </c>
      <c r="L1146" s="51">
        <v>20221024</v>
      </c>
    </row>
    <row r="1147" spans="1:12" x14ac:dyDescent="0.25">
      <c r="A1147" s="50" t="s">
        <v>2154</v>
      </c>
      <c r="B1147" s="30" t="s">
        <v>137</v>
      </c>
      <c r="C1147" s="30" t="s">
        <v>163</v>
      </c>
      <c r="D1147" s="30" t="s">
        <v>164</v>
      </c>
      <c r="E1147" s="30" t="s">
        <v>478</v>
      </c>
      <c r="F1147" s="30">
        <v>1</v>
      </c>
      <c r="G1147" s="44">
        <v>1950</v>
      </c>
      <c r="H1147" s="30"/>
      <c r="I1147" s="44"/>
      <c r="J1147" s="44"/>
      <c r="K1147" s="44">
        <f t="shared" si="38"/>
        <v>1950</v>
      </c>
      <c r="L1147" s="51">
        <v>20221024</v>
      </c>
    </row>
    <row r="1148" spans="1:12" x14ac:dyDescent="0.25">
      <c r="A1148" s="50" t="s">
        <v>2153</v>
      </c>
      <c r="B1148" s="30" t="s">
        <v>137</v>
      </c>
      <c r="C1148" s="30" t="s">
        <v>163</v>
      </c>
      <c r="D1148" s="30" t="s">
        <v>164</v>
      </c>
      <c r="E1148" s="30" t="s">
        <v>448</v>
      </c>
      <c r="F1148" s="30">
        <v>1</v>
      </c>
      <c r="G1148" s="44">
        <v>1950</v>
      </c>
      <c r="H1148" s="30"/>
      <c r="I1148" s="44"/>
      <c r="J1148" s="44"/>
      <c r="K1148" s="44">
        <f t="shared" si="38"/>
        <v>1950</v>
      </c>
      <c r="L1148" s="51">
        <v>20221024</v>
      </c>
    </row>
    <row r="1149" spans="1:12" x14ac:dyDescent="0.25">
      <c r="A1149" s="50" t="s">
        <v>2152</v>
      </c>
      <c r="B1149" s="30" t="s">
        <v>137</v>
      </c>
      <c r="C1149" s="30" t="s">
        <v>163</v>
      </c>
      <c r="D1149" s="30" t="s">
        <v>164</v>
      </c>
      <c r="E1149" s="30" t="s">
        <v>305</v>
      </c>
      <c r="F1149" s="30">
        <v>1</v>
      </c>
      <c r="G1149" s="44">
        <v>1950</v>
      </c>
      <c r="H1149" s="30"/>
      <c r="I1149" s="44"/>
      <c r="J1149" s="44"/>
      <c r="K1149" s="44">
        <f t="shared" ref="K1149:K1177" si="39">J1149+G1149</f>
        <v>1950</v>
      </c>
      <c r="L1149" s="51">
        <v>20221024</v>
      </c>
    </row>
    <row r="1150" spans="1:12" x14ac:dyDescent="0.25">
      <c r="A1150" s="50" t="s">
        <v>2151</v>
      </c>
      <c r="B1150" s="30" t="s">
        <v>137</v>
      </c>
      <c r="C1150" s="30" t="s">
        <v>163</v>
      </c>
      <c r="D1150" s="30" t="s">
        <v>164</v>
      </c>
      <c r="E1150" s="30" t="s">
        <v>187</v>
      </c>
      <c r="F1150" s="30">
        <v>1</v>
      </c>
      <c r="G1150" s="44">
        <v>1950</v>
      </c>
      <c r="H1150" s="30"/>
      <c r="I1150" s="44"/>
      <c r="J1150" s="44"/>
      <c r="K1150" s="44">
        <f t="shared" si="39"/>
        <v>1950</v>
      </c>
      <c r="L1150" s="51">
        <v>20221024</v>
      </c>
    </row>
    <row r="1151" spans="1:12" x14ac:dyDescent="0.25">
      <c r="A1151" s="50" t="s">
        <v>2142</v>
      </c>
      <c r="B1151" s="30" t="s">
        <v>137</v>
      </c>
      <c r="C1151" s="30" t="s">
        <v>270</v>
      </c>
      <c r="D1151" s="30" t="s">
        <v>368</v>
      </c>
      <c r="E1151" s="30" t="s">
        <v>1218</v>
      </c>
      <c r="F1151" s="30">
        <v>1</v>
      </c>
      <c r="G1151" s="44">
        <v>1950</v>
      </c>
      <c r="H1151" s="30"/>
      <c r="I1151" s="44"/>
      <c r="J1151" s="44"/>
      <c r="K1151" s="44">
        <f t="shared" si="39"/>
        <v>1950</v>
      </c>
      <c r="L1151" s="51">
        <v>20221026</v>
      </c>
    </row>
    <row r="1152" spans="1:12" x14ac:dyDescent="0.25">
      <c r="A1152" s="50" t="s">
        <v>2146</v>
      </c>
      <c r="B1152" s="30" t="s">
        <v>137</v>
      </c>
      <c r="C1152" s="30" t="s">
        <v>270</v>
      </c>
      <c r="D1152" s="30" t="s">
        <v>494</v>
      </c>
      <c r="E1152" s="30" t="s">
        <v>596</v>
      </c>
      <c r="F1152" s="30">
        <v>1</v>
      </c>
      <c r="G1152" s="44">
        <v>1950</v>
      </c>
      <c r="H1152" s="30"/>
      <c r="I1152" s="44"/>
      <c r="J1152" s="44"/>
      <c r="K1152" s="44">
        <f t="shared" si="39"/>
        <v>1950</v>
      </c>
      <c r="L1152" s="51">
        <v>20221026</v>
      </c>
    </row>
    <row r="1153" spans="1:12" x14ac:dyDescent="0.25">
      <c r="A1153" s="50" t="s">
        <v>2145</v>
      </c>
      <c r="B1153" s="30" t="s">
        <v>137</v>
      </c>
      <c r="C1153" s="30" t="s">
        <v>270</v>
      </c>
      <c r="D1153" s="30" t="s">
        <v>494</v>
      </c>
      <c r="E1153" s="30" t="s">
        <v>1215</v>
      </c>
      <c r="F1153" s="30">
        <v>1</v>
      </c>
      <c r="G1153" s="44">
        <v>1950</v>
      </c>
      <c r="H1153" s="30"/>
      <c r="I1153" s="44"/>
      <c r="J1153" s="44"/>
      <c r="K1153" s="44">
        <f t="shared" si="39"/>
        <v>1950</v>
      </c>
      <c r="L1153" s="51">
        <v>20221026</v>
      </c>
    </row>
    <row r="1154" spans="1:12" x14ac:dyDescent="0.25">
      <c r="A1154" s="50" t="s">
        <v>2144</v>
      </c>
      <c r="B1154" s="30" t="s">
        <v>137</v>
      </c>
      <c r="C1154" s="30" t="s">
        <v>270</v>
      </c>
      <c r="D1154" s="30" t="s">
        <v>494</v>
      </c>
      <c r="E1154" s="30" t="s">
        <v>495</v>
      </c>
      <c r="F1154" s="30">
        <v>1</v>
      </c>
      <c r="G1154" s="44">
        <v>1950</v>
      </c>
      <c r="H1154" s="30"/>
      <c r="I1154" s="44"/>
      <c r="J1154" s="44"/>
      <c r="K1154" s="44">
        <f t="shared" si="39"/>
        <v>1950</v>
      </c>
      <c r="L1154" s="51">
        <v>20221026</v>
      </c>
    </row>
    <row r="1155" spans="1:12" x14ac:dyDescent="0.25">
      <c r="A1155" s="50" t="s">
        <v>2143</v>
      </c>
      <c r="B1155" s="30" t="s">
        <v>137</v>
      </c>
      <c r="C1155" s="30" t="s">
        <v>270</v>
      </c>
      <c r="D1155" s="30" t="s">
        <v>494</v>
      </c>
      <c r="E1155" s="30" t="s">
        <v>1212</v>
      </c>
      <c r="F1155" s="30">
        <v>1</v>
      </c>
      <c r="G1155" s="44">
        <v>1950</v>
      </c>
      <c r="H1155" s="30"/>
      <c r="I1155" s="44"/>
      <c r="J1155" s="44"/>
      <c r="K1155" s="44">
        <f t="shared" si="39"/>
        <v>1950</v>
      </c>
      <c r="L1155" s="51">
        <v>20221026</v>
      </c>
    </row>
    <row r="1156" spans="1:12" x14ac:dyDescent="0.25">
      <c r="A1156" s="52" t="s">
        <v>2141</v>
      </c>
      <c r="B1156" s="32" t="s">
        <v>137</v>
      </c>
      <c r="C1156" s="32" t="s">
        <v>26</v>
      </c>
      <c r="D1156" s="32" t="s">
        <v>141</v>
      </c>
      <c r="E1156" s="32" t="s">
        <v>605</v>
      </c>
      <c r="F1156" s="32">
        <v>1</v>
      </c>
      <c r="G1156" s="45">
        <v>1950</v>
      </c>
      <c r="H1156" s="32">
        <v>138</v>
      </c>
      <c r="I1156" s="45">
        <v>50</v>
      </c>
      <c r="J1156" s="45">
        <f>I1156*H1156</f>
        <v>6900</v>
      </c>
      <c r="K1156" s="45">
        <f t="shared" si="39"/>
        <v>8850</v>
      </c>
      <c r="L1156" s="53">
        <v>20221026</v>
      </c>
    </row>
    <row r="1157" spans="1:12" x14ac:dyDescent="0.25">
      <c r="A1157" s="50" t="s">
        <v>2140</v>
      </c>
      <c r="B1157" s="30" t="s">
        <v>137</v>
      </c>
      <c r="C1157" s="30" t="s">
        <v>26</v>
      </c>
      <c r="D1157" s="30" t="s">
        <v>141</v>
      </c>
      <c r="E1157" s="30" t="s">
        <v>603</v>
      </c>
      <c r="F1157" s="30">
        <v>1</v>
      </c>
      <c r="G1157" s="44">
        <v>1950</v>
      </c>
      <c r="H1157" s="30"/>
      <c r="I1157" s="44"/>
      <c r="J1157" s="44"/>
      <c r="K1157" s="44">
        <f t="shared" si="39"/>
        <v>1950</v>
      </c>
      <c r="L1157" s="51">
        <v>20221026</v>
      </c>
    </row>
    <row r="1158" spans="1:12" x14ac:dyDescent="0.25">
      <c r="A1158" s="50" t="s">
        <v>2139</v>
      </c>
      <c r="B1158" s="30" t="s">
        <v>137</v>
      </c>
      <c r="C1158" s="30" t="s">
        <v>26</v>
      </c>
      <c r="D1158" s="30" t="s">
        <v>141</v>
      </c>
      <c r="E1158" s="30" t="s">
        <v>601</v>
      </c>
      <c r="F1158" s="30">
        <v>1</v>
      </c>
      <c r="G1158" s="44">
        <v>1950</v>
      </c>
      <c r="H1158" s="30"/>
      <c r="I1158" s="44"/>
      <c r="J1158" s="44"/>
      <c r="K1158" s="44">
        <f t="shared" si="39"/>
        <v>1950</v>
      </c>
      <c r="L1158" s="51">
        <v>20221026</v>
      </c>
    </row>
    <row r="1159" spans="1:12" x14ac:dyDescent="0.25">
      <c r="A1159" s="50" t="s">
        <v>2176</v>
      </c>
      <c r="B1159" s="30" t="s">
        <v>137</v>
      </c>
      <c r="C1159" s="30" t="s">
        <v>134</v>
      </c>
      <c r="D1159" s="30" t="s">
        <v>135</v>
      </c>
      <c r="E1159" s="30" t="s">
        <v>136</v>
      </c>
      <c r="F1159" s="30">
        <v>1</v>
      </c>
      <c r="G1159" s="44">
        <v>1950</v>
      </c>
      <c r="H1159" s="30"/>
      <c r="I1159" s="44"/>
      <c r="J1159" s="44"/>
      <c r="K1159" s="44">
        <f t="shared" si="39"/>
        <v>1950</v>
      </c>
      <c r="L1159" s="51">
        <v>20221026</v>
      </c>
    </row>
    <row r="1160" spans="1:12" x14ac:dyDescent="0.25">
      <c r="A1160" s="50" t="s">
        <v>2175</v>
      </c>
      <c r="B1160" s="30" t="s">
        <v>137</v>
      </c>
      <c r="C1160" s="30" t="s">
        <v>134</v>
      </c>
      <c r="D1160" s="30" t="s">
        <v>135</v>
      </c>
      <c r="E1160" s="30" t="s">
        <v>1178</v>
      </c>
      <c r="F1160" s="30">
        <v>1</v>
      </c>
      <c r="G1160" s="44">
        <v>1950</v>
      </c>
      <c r="H1160" s="30"/>
      <c r="I1160" s="44"/>
      <c r="J1160" s="44"/>
      <c r="K1160" s="44">
        <f t="shared" si="39"/>
        <v>1950</v>
      </c>
      <c r="L1160" s="51">
        <v>20221026</v>
      </c>
    </row>
    <row r="1161" spans="1:12" x14ac:dyDescent="0.25">
      <c r="A1161" s="50" t="s">
        <v>2174</v>
      </c>
      <c r="B1161" s="30" t="s">
        <v>137</v>
      </c>
      <c r="C1161" s="30" t="s">
        <v>134</v>
      </c>
      <c r="D1161" s="30" t="s">
        <v>135</v>
      </c>
      <c r="E1161" s="30" t="s">
        <v>264</v>
      </c>
      <c r="F1161" s="30">
        <v>1</v>
      </c>
      <c r="G1161" s="44">
        <v>1950</v>
      </c>
      <c r="H1161" s="30"/>
      <c r="I1161" s="44"/>
      <c r="J1161" s="44"/>
      <c r="K1161" s="44">
        <f t="shared" si="39"/>
        <v>1950</v>
      </c>
      <c r="L1161" s="51">
        <v>20221026</v>
      </c>
    </row>
    <row r="1162" spans="1:12" x14ac:dyDescent="0.25">
      <c r="A1162" s="50" t="s">
        <v>2173</v>
      </c>
      <c r="B1162" s="30" t="s">
        <v>137</v>
      </c>
      <c r="C1162" s="30" t="s">
        <v>134</v>
      </c>
      <c r="D1162" s="30" t="s">
        <v>135</v>
      </c>
      <c r="E1162" s="30" t="s">
        <v>190</v>
      </c>
      <c r="F1162" s="30">
        <v>1</v>
      </c>
      <c r="G1162" s="44">
        <v>1950</v>
      </c>
      <c r="H1162" s="30"/>
      <c r="I1162" s="44"/>
      <c r="J1162" s="44"/>
      <c r="K1162" s="44">
        <f t="shared" si="39"/>
        <v>1950</v>
      </c>
      <c r="L1162" s="51">
        <v>20221026</v>
      </c>
    </row>
    <row r="1163" spans="1:12" x14ac:dyDescent="0.25">
      <c r="A1163" s="50" t="s">
        <v>2172</v>
      </c>
      <c r="B1163" s="30" t="s">
        <v>137</v>
      </c>
      <c r="C1163" s="30" t="s">
        <v>134</v>
      </c>
      <c r="D1163" s="30" t="s">
        <v>135</v>
      </c>
      <c r="E1163" s="30" t="s">
        <v>183</v>
      </c>
      <c r="F1163" s="30">
        <v>1</v>
      </c>
      <c r="G1163" s="44">
        <v>1950</v>
      </c>
      <c r="H1163" s="30"/>
      <c r="I1163" s="44"/>
      <c r="J1163" s="44"/>
      <c r="K1163" s="44">
        <f t="shared" si="39"/>
        <v>1950</v>
      </c>
      <c r="L1163" s="51">
        <v>20221026</v>
      </c>
    </row>
    <row r="1164" spans="1:12" x14ac:dyDescent="0.25">
      <c r="A1164" s="50" t="s">
        <v>2137</v>
      </c>
      <c r="B1164" s="30" t="s">
        <v>137</v>
      </c>
      <c r="C1164" s="30" t="s">
        <v>29</v>
      </c>
      <c r="D1164" s="30" t="s">
        <v>24</v>
      </c>
      <c r="E1164" s="30" t="s">
        <v>1320</v>
      </c>
      <c r="F1164" s="30">
        <v>1</v>
      </c>
      <c r="G1164" s="44">
        <v>1950</v>
      </c>
      <c r="H1164" s="30"/>
      <c r="I1164" s="44"/>
      <c r="J1164" s="44"/>
      <c r="K1164" s="44">
        <f t="shared" si="39"/>
        <v>1950</v>
      </c>
      <c r="L1164" s="51">
        <v>20221027</v>
      </c>
    </row>
    <row r="1165" spans="1:12" x14ac:dyDescent="0.25">
      <c r="A1165" s="50" t="s">
        <v>2136</v>
      </c>
      <c r="B1165" s="30" t="s">
        <v>137</v>
      </c>
      <c r="C1165" s="30" t="s">
        <v>29</v>
      </c>
      <c r="D1165" s="30" t="s">
        <v>24</v>
      </c>
      <c r="E1165" s="30" t="s">
        <v>1127</v>
      </c>
      <c r="F1165" s="30">
        <v>1</v>
      </c>
      <c r="G1165" s="44">
        <v>1950</v>
      </c>
      <c r="H1165" s="30"/>
      <c r="I1165" s="44"/>
      <c r="J1165" s="44"/>
      <c r="K1165" s="44">
        <f t="shared" si="39"/>
        <v>1950</v>
      </c>
      <c r="L1165" s="51">
        <v>20221027</v>
      </c>
    </row>
    <row r="1166" spans="1:12" x14ac:dyDescent="0.25">
      <c r="A1166" s="50" t="s">
        <v>2133</v>
      </c>
      <c r="B1166" s="30" t="s">
        <v>137</v>
      </c>
      <c r="C1166" s="30" t="s">
        <v>29</v>
      </c>
      <c r="D1166" s="30" t="s">
        <v>24</v>
      </c>
      <c r="E1166" s="30" t="s">
        <v>2101</v>
      </c>
      <c r="F1166" s="30">
        <v>1</v>
      </c>
      <c r="G1166" s="44">
        <v>1950</v>
      </c>
      <c r="H1166" s="30"/>
      <c r="I1166" s="44"/>
      <c r="J1166" s="44"/>
      <c r="K1166" s="44">
        <f t="shared" si="39"/>
        <v>1950</v>
      </c>
      <c r="L1166" s="51">
        <v>20221027</v>
      </c>
    </row>
    <row r="1167" spans="1:12" x14ac:dyDescent="0.25">
      <c r="A1167" s="50" t="s">
        <v>2132</v>
      </c>
      <c r="B1167" s="30" t="s">
        <v>137</v>
      </c>
      <c r="C1167" s="30" t="s">
        <v>29</v>
      </c>
      <c r="D1167" s="30" t="s">
        <v>24</v>
      </c>
      <c r="E1167" s="30" t="s">
        <v>630</v>
      </c>
      <c r="F1167" s="30">
        <v>1</v>
      </c>
      <c r="G1167" s="44">
        <v>1950</v>
      </c>
      <c r="H1167" s="30"/>
      <c r="I1167" s="44"/>
      <c r="J1167" s="44"/>
      <c r="K1167" s="44">
        <f t="shared" si="39"/>
        <v>1950</v>
      </c>
      <c r="L1167" s="51">
        <v>20221027</v>
      </c>
    </row>
    <row r="1168" spans="1:12" x14ac:dyDescent="0.25">
      <c r="A1168" s="50" t="s">
        <v>2130</v>
      </c>
      <c r="B1168" s="30" t="s">
        <v>137</v>
      </c>
      <c r="C1168" s="30" t="s">
        <v>29</v>
      </c>
      <c r="D1168" s="30" t="s">
        <v>24</v>
      </c>
      <c r="E1168" s="30" t="s">
        <v>1003</v>
      </c>
      <c r="F1168" s="30">
        <v>1</v>
      </c>
      <c r="G1168" s="44">
        <v>1950</v>
      </c>
      <c r="H1168" s="30"/>
      <c r="I1168" s="44"/>
      <c r="J1168" s="44"/>
      <c r="K1168" s="44">
        <f t="shared" si="39"/>
        <v>1950</v>
      </c>
      <c r="L1168" s="51">
        <v>20221027</v>
      </c>
    </row>
    <row r="1169" spans="1:12" x14ac:dyDescent="0.25">
      <c r="A1169" s="50" t="s">
        <v>2138</v>
      </c>
      <c r="B1169" s="30" t="s">
        <v>137</v>
      </c>
      <c r="C1169" s="30" t="s">
        <v>29</v>
      </c>
      <c r="D1169" s="30" t="s">
        <v>1385</v>
      </c>
      <c r="E1169" s="30" t="s">
        <v>210</v>
      </c>
      <c r="F1169" s="30">
        <v>1</v>
      </c>
      <c r="G1169" s="44">
        <v>1950</v>
      </c>
      <c r="H1169" s="30"/>
      <c r="I1169" s="44"/>
      <c r="J1169" s="44"/>
      <c r="K1169" s="44">
        <f t="shared" si="39"/>
        <v>1950</v>
      </c>
      <c r="L1169" s="51">
        <v>20221027</v>
      </c>
    </row>
    <row r="1170" spans="1:12" x14ac:dyDescent="0.25">
      <c r="A1170" s="50" t="s">
        <v>2135</v>
      </c>
      <c r="B1170" s="30" t="s">
        <v>137</v>
      </c>
      <c r="C1170" s="30" t="s">
        <v>29</v>
      </c>
      <c r="D1170" s="30" t="s">
        <v>1385</v>
      </c>
      <c r="E1170" s="30" t="s">
        <v>1290</v>
      </c>
      <c r="F1170" s="30">
        <v>1</v>
      </c>
      <c r="G1170" s="44">
        <v>1950</v>
      </c>
      <c r="H1170" s="30"/>
      <c r="I1170" s="44"/>
      <c r="J1170" s="44"/>
      <c r="K1170" s="44">
        <f t="shared" si="39"/>
        <v>1950</v>
      </c>
      <c r="L1170" s="51">
        <v>20221027</v>
      </c>
    </row>
    <row r="1171" spans="1:12" x14ac:dyDescent="0.25">
      <c r="A1171" s="50" t="s">
        <v>2134</v>
      </c>
      <c r="B1171" s="30" t="s">
        <v>137</v>
      </c>
      <c r="C1171" s="30" t="s">
        <v>29</v>
      </c>
      <c r="D1171" s="30" t="s">
        <v>1385</v>
      </c>
      <c r="E1171" s="30" t="s">
        <v>1386</v>
      </c>
      <c r="F1171" s="30">
        <v>1</v>
      </c>
      <c r="G1171" s="44">
        <v>1950</v>
      </c>
      <c r="H1171" s="30"/>
      <c r="I1171" s="44"/>
      <c r="J1171" s="44"/>
      <c r="K1171" s="44">
        <f t="shared" si="39"/>
        <v>1950</v>
      </c>
      <c r="L1171" s="51">
        <v>20221027</v>
      </c>
    </row>
    <row r="1172" spans="1:12" x14ac:dyDescent="0.25">
      <c r="A1172" s="50" t="s">
        <v>2127</v>
      </c>
      <c r="B1172" s="30" t="s">
        <v>137</v>
      </c>
      <c r="C1172" s="30" t="s">
        <v>29</v>
      </c>
      <c r="D1172" s="30" t="s">
        <v>1385</v>
      </c>
      <c r="E1172" s="30" t="s">
        <v>209</v>
      </c>
      <c r="F1172" s="30">
        <v>1</v>
      </c>
      <c r="G1172" s="44">
        <v>1950</v>
      </c>
      <c r="H1172" s="30"/>
      <c r="I1172" s="44"/>
      <c r="J1172" s="44"/>
      <c r="K1172" s="44">
        <f t="shared" si="39"/>
        <v>1950</v>
      </c>
      <c r="L1172" s="51">
        <v>20221027</v>
      </c>
    </row>
    <row r="1173" spans="1:12" x14ac:dyDescent="0.25">
      <c r="A1173" s="50" t="s">
        <v>2131</v>
      </c>
      <c r="B1173" s="30" t="s">
        <v>137</v>
      </c>
      <c r="C1173" s="30" t="s">
        <v>29</v>
      </c>
      <c r="D1173" s="30" t="s">
        <v>1385</v>
      </c>
      <c r="E1173" s="30" t="s">
        <v>628</v>
      </c>
      <c r="F1173" s="30">
        <v>1</v>
      </c>
      <c r="G1173" s="44">
        <v>1950</v>
      </c>
      <c r="H1173" s="30"/>
      <c r="I1173" s="44"/>
      <c r="J1173" s="44"/>
      <c r="K1173" s="44">
        <f t="shared" si="39"/>
        <v>1950</v>
      </c>
      <c r="L1173" s="51">
        <v>20221027</v>
      </c>
    </row>
    <row r="1174" spans="1:12" x14ac:dyDescent="0.25">
      <c r="A1174" s="50" t="s">
        <v>2189</v>
      </c>
      <c r="B1174" s="30" t="s">
        <v>137</v>
      </c>
      <c r="C1174" s="30" t="s">
        <v>1968</v>
      </c>
      <c r="D1174" s="30" t="s">
        <v>655</v>
      </c>
      <c r="E1174" s="30" t="s">
        <v>2190</v>
      </c>
      <c r="F1174" s="30">
        <v>1</v>
      </c>
      <c r="G1174" s="44">
        <v>1950</v>
      </c>
      <c r="H1174" s="30"/>
      <c r="I1174" s="44"/>
      <c r="J1174" s="44"/>
      <c r="K1174" s="44">
        <f t="shared" si="39"/>
        <v>1950</v>
      </c>
      <c r="L1174" s="51">
        <v>20221031</v>
      </c>
    </row>
    <row r="1175" spans="1:12" x14ac:dyDescent="0.25">
      <c r="A1175" s="50" t="s">
        <v>2187</v>
      </c>
      <c r="B1175" s="30" t="s">
        <v>137</v>
      </c>
      <c r="C1175" s="30" t="s">
        <v>1968</v>
      </c>
      <c r="D1175" s="30" t="s">
        <v>655</v>
      </c>
      <c r="E1175" s="30" t="s">
        <v>2188</v>
      </c>
      <c r="F1175" s="30">
        <v>1</v>
      </c>
      <c r="G1175" s="44">
        <v>1950</v>
      </c>
      <c r="H1175" s="30"/>
      <c r="I1175" s="44"/>
      <c r="J1175" s="44"/>
      <c r="K1175" s="44">
        <f t="shared" si="39"/>
        <v>1950</v>
      </c>
      <c r="L1175" s="51">
        <v>20221031</v>
      </c>
    </row>
    <row r="1176" spans="1:12" x14ac:dyDescent="0.25">
      <c r="A1176" s="50" t="s">
        <v>2185</v>
      </c>
      <c r="B1176" s="30" t="s">
        <v>137</v>
      </c>
      <c r="C1176" s="30" t="s">
        <v>1968</v>
      </c>
      <c r="D1176" s="30" t="s">
        <v>655</v>
      </c>
      <c r="E1176" s="30" t="s">
        <v>2186</v>
      </c>
      <c r="F1176" s="30">
        <v>1</v>
      </c>
      <c r="G1176" s="44">
        <v>1950</v>
      </c>
      <c r="H1176" s="30"/>
      <c r="I1176" s="44"/>
      <c r="J1176" s="44"/>
      <c r="K1176" s="44">
        <f t="shared" si="39"/>
        <v>1950</v>
      </c>
      <c r="L1176" s="51">
        <v>20221031</v>
      </c>
    </row>
    <row r="1177" spans="1:12" ht="15.75" thickBot="1" x14ac:dyDescent="0.3">
      <c r="A1177" s="54" t="s">
        <v>2183</v>
      </c>
      <c r="B1177" s="36" t="s">
        <v>137</v>
      </c>
      <c r="C1177" s="36" t="s">
        <v>1968</v>
      </c>
      <c r="D1177" s="36" t="s">
        <v>655</v>
      </c>
      <c r="E1177" s="36" t="s">
        <v>2184</v>
      </c>
      <c r="F1177" s="36">
        <v>1</v>
      </c>
      <c r="G1177" s="65">
        <v>1950</v>
      </c>
      <c r="H1177" s="36"/>
      <c r="I1177" s="65"/>
      <c r="J1177" s="65"/>
      <c r="K1177" s="65">
        <f t="shared" si="39"/>
        <v>1950</v>
      </c>
      <c r="L1177" s="55">
        <v>20221031</v>
      </c>
    </row>
    <row r="1180" spans="1:12" ht="15.75" thickBot="1" x14ac:dyDescent="0.3">
      <c r="A1180" s="69" t="s">
        <v>0</v>
      </c>
      <c r="B1180" s="70" t="s">
        <v>1</v>
      </c>
      <c r="C1180" s="70" t="s">
        <v>2</v>
      </c>
      <c r="D1180" s="70" t="s">
        <v>3</v>
      </c>
      <c r="E1180" s="70" t="s">
        <v>4</v>
      </c>
      <c r="F1180" s="70"/>
      <c r="G1180" s="71" t="s">
        <v>6</v>
      </c>
      <c r="H1180" s="70" t="s">
        <v>7</v>
      </c>
      <c r="I1180" s="71" t="s">
        <v>8</v>
      </c>
      <c r="J1180" s="71" t="s">
        <v>9</v>
      </c>
      <c r="K1180" s="71" t="s">
        <v>10</v>
      </c>
      <c r="L1180" s="72" t="s">
        <v>5</v>
      </c>
    </row>
    <row r="1181" spans="1:12" x14ac:dyDescent="0.25">
      <c r="A1181" s="48" t="s">
        <v>2355</v>
      </c>
      <c r="B1181" s="34" t="s">
        <v>11</v>
      </c>
      <c r="C1181" s="34" t="s">
        <v>364</v>
      </c>
      <c r="D1181" s="34" t="s">
        <v>24</v>
      </c>
      <c r="E1181" s="34" t="s">
        <v>1445</v>
      </c>
      <c r="F1181" s="34">
        <v>1</v>
      </c>
      <c r="G1181" s="64">
        <v>3900</v>
      </c>
      <c r="H1181" s="34"/>
      <c r="I1181" s="64"/>
      <c r="J1181" s="64"/>
      <c r="K1181" s="64">
        <f t="shared" ref="K1181:K1227" si="40">J1181+G1181</f>
        <v>3900</v>
      </c>
      <c r="L1181" s="49">
        <v>20221101</v>
      </c>
    </row>
    <row r="1182" spans="1:12" x14ac:dyDescent="0.25">
      <c r="A1182" s="50" t="s">
        <v>2354</v>
      </c>
      <c r="B1182" s="30" t="s">
        <v>11</v>
      </c>
      <c r="C1182" s="30" t="s">
        <v>29</v>
      </c>
      <c r="D1182" s="30" t="s">
        <v>1385</v>
      </c>
      <c r="E1182" s="30" t="s">
        <v>630</v>
      </c>
      <c r="F1182" s="30">
        <v>1</v>
      </c>
      <c r="G1182" s="44">
        <v>3900</v>
      </c>
      <c r="H1182" s="30"/>
      <c r="I1182" s="44"/>
      <c r="J1182" s="44"/>
      <c r="K1182" s="44">
        <f t="shared" si="40"/>
        <v>3900</v>
      </c>
      <c r="L1182" s="51">
        <v>20221101</v>
      </c>
    </row>
    <row r="1183" spans="1:12" x14ac:dyDescent="0.25">
      <c r="A1183" s="52" t="s">
        <v>2365</v>
      </c>
      <c r="B1183" s="32" t="s">
        <v>11</v>
      </c>
      <c r="C1183" s="32" t="s">
        <v>29</v>
      </c>
      <c r="D1183" s="32" t="s">
        <v>1454</v>
      </c>
      <c r="E1183" s="32" t="s">
        <v>1455</v>
      </c>
      <c r="F1183" s="32">
        <v>1</v>
      </c>
      <c r="G1183" s="45">
        <v>3900</v>
      </c>
      <c r="H1183" s="32">
        <v>127</v>
      </c>
      <c r="I1183" s="45">
        <v>50</v>
      </c>
      <c r="J1183" s="45">
        <f>I1183*H1183</f>
        <v>6350</v>
      </c>
      <c r="K1183" s="45">
        <f t="shared" si="40"/>
        <v>10250</v>
      </c>
      <c r="L1183" s="53">
        <v>20221101</v>
      </c>
    </row>
    <row r="1184" spans="1:12" x14ac:dyDescent="0.25">
      <c r="A1184" s="50" t="s">
        <v>2352</v>
      </c>
      <c r="B1184" s="30" t="s">
        <v>11</v>
      </c>
      <c r="C1184" s="30" t="s">
        <v>26</v>
      </c>
      <c r="D1184" s="30" t="s">
        <v>204</v>
      </c>
      <c r="E1184" s="30" t="s">
        <v>786</v>
      </c>
      <c r="F1184" s="30">
        <v>1</v>
      </c>
      <c r="G1184" s="44">
        <v>3900</v>
      </c>
      <c r="H1184" s="30"/>
      <c r="I1184" s="44"/>
      <c r="J1184" s="44"/>
      <c r="K1184" s="44">
        <f t="shared" si="40"/>
        <v>3900</v>
      </c>
      <c r="L1184" s="51">
        <v>20221102</v>
      </c>
    </row>
    <row r="1185" spans="1:12" x14ac:dyDescent="0.25">
      <c r="A1185" s="50" t="s">
        <v>2353</v>
      </c>
      <c r="B1185" s="30" t="s">
        <v>11</v>
      </c>
      <c r="C1185" s="30" t="s">
        <v>26</v>
      </c>
      <c r="D1185" s="30" t="s">
        <v>204</v>
      </c>
      <c r="E1185" s="30" t="s">
        <v>205</v>
      </c>
      <c r="F1185" s="30">
        <v>1</v>
      </c>
      <c r="G1185" s="44">
        <v>3900</v>
      </c>
      <c r="H1185" s="30"/>
      <c r="I1185" s="44"/>
      <c r="J1185" s="44"/>
      <c r="K1185" s="44">
        <f t="shared" si="40"/>
        <v>3900</v>
      </c>
      <c r="L1185" s="51">
        <v>20221102</v>
      </c>
    </row>
    <row r="1186" spans="1:12" x14ac:dyDescent="0.25">
      <c r="A1186" s="50" t="s">
        <v>2358</v>
      </c>
      <c r="B1186" s="30" t="s">
        <v>1209</v>
      </c>
      <c r="C1186" s="30" t="s">
        <v>666</v>
      </c>
      <c r="D1186" s="30" t="s">
        <v>2359</v>
      </c>
      <c r="E1186" s="30" t="s">
        <v>2360</v>
      </c>
      <c r="F1186" s="30">
        <v>1</v>
      </c>
      <c r="G1186" s="44">
        <v>3900</v>
      </c>
      <c r="H1186" s="30"/>
      <c r="I1186" s="44"/>
      <c r="J1186" s="44"/>
      <c r="K1186" s="44">
        <f t="shared" si="40"/>
        <v>3900</v>
      </c>
      <c r="L1186" s="51">
        <v>20221102</v>
      </c>
    </row>
    <row r="1187" spans="1:12" x14ac:dyDescent="0.25">
      <c r="A1187" s="50" t="s">
        <v>2345</v>
      </c>
      <c r="B1187" s="30" t="s">
        <v>11</v>
      </c>
      <c r="C1187" s="30" t="s">
        <v>364</v>
      </c>
      <c r="D1187" s="30" t="s">
        <v>24</v>
      </c>
      <c r="E1187" s="30" t="s">
        <v>1445</v>
      </c>
      <c r="F1187" s="30">
        <v>1</v>
      </c>
      <c r="G1187" s="44">
        <v>3900</v>
      </c>
      <c r="H1187" s="30"/>
      <c r="I1187" s="44"/>
      <c r="J1187" s="44"/>
      <c r="K1187" s="44">
        <f t="shared" si="40"/>
        <v>3900</v>
      </c>
      <c r="L1187" s="51">
        <v>20221103</v>
      </c>
    </row>
    <row r="1188" spans="1:12" x14ac:dyDescent="0.25">
      <c r="A1188" s="50" t="s">
        <v>2346</v>
      </c>
      <c r="B1188" s="30" t="s">
        <v>11</v>
      </c>
      <c r="C1188" s="30" t="s">
        <v>57</v>
      </c>
      <c r="D1188" s="30" t="s">
        <v>58</v>
      </c>
      <c r="E1188" s="30" t="s">
        <v>60</v>
      </c>
      <c r="F1188" s="30">
        <v>1</v>
      </c>
      <c r="G1188" s="44">
        <v>3900</v>
      </c>
      <c r="H1188" s="30"/>
      <c r="I1188" s="44"/>
      <c r="J1188" s="44"/>
      <c r="K1188" s="44">
        <f t="shared" si="40"/>
        <v>3900</v>
      </c>
      <c r="L1188" s="51">
        <v>20221103</v>
      </c>
    </row>
    <row r="1189" spans="1:12" x14ac:dyDescent="0.25">
      <c r="A1189" s="50" t="s">
        <v>2349</v>
      </c>
      <c r="B1189" s="30" t="s">
        <v>11</v>
      </c>
      <c r="C1189" s="30" t="s">
        <v>29</v>
      </c>
      <c r="D1189" s="30" t="s">
        <v>2350</v>
      </c>
      <c r="E1189" s="30" t="s">
        <v>2351</v>
      </c>
      <c r="F1189" s="30">
        <v>1</v>
      </c>
      <c r="G1189" s="44">
        <v>3900</v>
      </c>
      <c r="H1189" s="30"/>
      <c r="I1189" s="44"/>
      <c r="J1189" s="44"/>
      <c r="K1189" s="44">
        <f t="shared" si="40"/>
        <v>3900</v>
      </c>
      <c r="L1189" s="51">
        <v>20221103</v>
      </c>
    </row>
    <row r="1190" spans="1:12" x14ac:dyDescent="0.25">
      <c r="A1190" s="50" t="s">
        <v>2347</v>
      </c>
      <c r="B1190" s="30" t="s">
        <v>11</v>
      </c>
      <c r="C1190" s="30" t="s">
        <v>29</v>
      </c>
      <c r="D1190" s="30" t="s">
        <v>1656</v>
      </c>
      <c r="E1190" s="30" t="s">
        <v>2348</v>
      </c>
      <c r="F1190" s="30">
        <v>1</v>
      </c>
      <c r="G1190" s="44">
        <v>3900</v>
      </c>
      <c r="H1190" s="30"/>
      <c r="I1190" s="44"/>
      <c r="J1190" s="44"/>
      <c r="K1190" s="44">
        <f t="shared" si="40"/>
        <v>3900</v>
      </c>
      <c r="L1190" s="51">
        <v>20221103</v>
      </c>
    </row>
    <row r="1191" spans="1:12" x14ac:dyDescent="0.25">
      <c r="A1191" s="50" t="s">
        <v>2357</v>
      </c>
      <c r="B1191" s="30" t="s">
        <v>11</v>
      </c>
      <c r="C1191" s="30" t="s">
        <v>654</v>
      </c>
      <c r="D1191" s="30" t="s">
        <v>1470</v>
      </c>
      <c r="E1191" s="30" t="s">
        <v>1562</v>
      </c>
      <c r="F1191" s="30">
        <v>1</v>
      </c>
      <c r="G1191" s="44">
        <v>3900</v>
      </c>
      <c r="H1191" s="30"/>
      <c r="I1191" s="44"/>
      <c r="J1191" s="44"/>
      <c r="K1191" s="44">
        <f t="shared" si="40"/>
        <v>3900</v>
      </c>
      <c r="L1191" s="51">
        <v>20221104</v>
      </c>
    </row>
    <row r="1192" spans="1:12" x14ac:dyDescent="0.25">
      <c r="A1192" s="52" t="s">
        <v>2356</v>
      </c>
      <c r="B1192" s="32" t="s">
        <v>11</v>
      </c>
      <c r="C1192" s="32" t="s">
        <v>28</v>
      </c>
      <c r="D1192" s="32" t="s">
        <v>383</v>
      </c>
      <c r="E1192" s="32" t="s">
        <v>384</v>
      </c>
      <c r="F1192" s="32">
        <v>1</v>
      </c>
      <c r="G1192" s="45">
        <v>3900</v>
      </c>
      <c r="H1192" s="32">
        <v>354</v>
      </c>
      <c r="I1192" s="45">
        <v>50</v>
      </c>
      <c r="J1192" s="45">
        <f>I1192*H1192</f>
        <v>17700</v>
      </c>
      <c r="K1192" s="45">
        <f t="shared" si="40"/>
        <v>21600</v>
      </c>
      <c r="L1192" s="53">
        <v>20221104</v>
      </c>
    </row>
    <row r="1193" spans="1:12" x14ac:dyDescent="0.25">
      <c r="A1193" s="50" t="s">
        <v>2363</v>
      </c>
      <c r="B1193" s="30" t="s">
        <v>1209</v>
      </c>
      <c r="C1193" s="30" t="s">
        <v>1006</v>
      </c>
      <c r="D1193" s="30" t="s">
        <v>24</v>
      </c>
      <c r="E1193" s="30" t="s">
        <v>2364</v>
      </c>
      <c r="F1193" s="30">
        <v>1</v>
      </c>
      <c r="G1193" s="44">
        <v>3900</v>
      </c>
      <c r="H1193" s="30"/>
      <c r="I1193" s="44"/>
      <c r="J1193" s="44"/>
      <c r="K1193" s="44">
        <f t="shared" si="40"/>
        <v>3900</v>
      </c>
      <c r="L1193" s="51">
        <v>20221104</v>
      </c>
    </row>
    <row r="1194" spans="1:12" x14ac:dyDescent="0.25">
      <c r="A1194" s="50" t="s">
        <v>2361</v>
      </c>
      <c r="B1194" s="30" t="s">
        <v>1209</v>
      </c>
      <c r="C1194" s="30" t="s">
        <v>1006</v>
      </c>
      <c r="D1194" s="30" t="s">
        <v>24</v>
      </c>
      <c r="E1194" s="30" t="s">
        <v>2362</v>
      </c>
      <c r="F1194" s="30">
        <v>1</v>
      </c>
      <c r="G1194" s="44">
        <v>3900</v>
      </c>
      <c r="H1194" s="30"/>
      <c r="I1194" s="44"/>
      <c r="J1194" s="44"/>
      <c r="K1194" s="44">
        <f t="shared" si="40"/>
        <v>3900</v>
      </c>
      <c r="L1194" s="51">
        <v>20221104</v>
      </c>
    </row>
    <row r="1195" spans="1:12" x14ac:dyDescent="0.25">
      <c r="A1195" s="50" t="s">
        <v>2342</v>
      </c>
      <c r="B1195" s="30" t="s">
        <v>11</v>
      </c>
      <c r="C1195" s="30" t="s">
        <v>26</v>
      </c>
      <c r="D1195" s="30" t="s">
        <v>582</v>
      </c>
      <c r="E1195" s="30" t="s">
        <v>589</v>
      </c>
      <c r="F1195" s="30">
        <v>1</v>
      </c>
      <c r="G1195" s="44">
        <v>3900</v>
      </c>
      <c r="H1195" s="30"/>
      <c r="I1195" s="44"/>
      <c r="J1195" s="44"/>
      <c r="K1195" s="44">
        <f t="shared" si="40"/>
        <v>3900</v>
      </c>
      <c r="L1195" s="51">
        <v>20221108</v>
      </c>
    </row>
    <row r="1196" spans="1:12" x14ac:dyDescent="0.25">
      <c r="A1196" s="50" t="s">
        <v>2341</v>
      </c>
      <c r="B1196" s="30" t="s">
        <v>11</v>
      </c>
      <c r="C1196" s="30" t="s">
        <v>26</v>
      </c>
      <c r="D1196" s="30" t="s">
        <v>582</v>
      </c>
      <c r="E1196" s="30" t="s">
        <v>587</v>
      </c>
      <c r="F1196" s="30">
        <v>1</v>
      </c>
      <c r="G1196" s="44">
        <v>3900</v>
      </c>
      <c r="H1196" s="30"/>
      <c r="I1196" s="44"/>
      <c r="J1196" s="44"/>
      <c r="K1196" s="44">
        <f t="shared" si="40"/>
        <v>3900</v>
      </c>
      <c r="L1196" s="51">
        <v>20221108</v>
      </c>
    </row>
    <row r="1197" spans="1:12" x14ac:dyDescent="0.25">
      <c r="A1197" s="50" t="s">
        <v>2344</v>
      </c>
      <c r="B1197" s="30" t="s">
        <v>11</v>
      </c>
      <c r="C1197" s="30" t="s">
        <v>29</v>
      </c>
      <c r="D1197" s="30" t="s">
        <v>24</v>
      </c>
      <c r="E1197" s="30" t="s">
        <v>208</v>
      </c>
      <c r="F1197" s="30">
        <v>1</v>
      </c>
      <c r="G1197" s="44">
        <v>3900</v>
      </c>
      <c r="H1197" s="30"/>
      <c r="I1197" s="44"/>
      <c r="J1197" s="44"/>
      <c r="K1197" s="44">
        <f t="shared" si="40"/>
        <v>3900</v>
      </c>
      <c r="L1197" s="51">
        <v>20221109</v>
      </c>
    </row>
    <row r="1198" spans="1:12" x14ac:dyDescent="0.25">
      <c r="A1198" s="50" t="s">
        <v>2330</v>
      </c>
      <c r="B1198" s="30" t="s">
        <v>11</v>
      </c>
      <c r="C1198" s="30" t="s">
        <v>364</v>
      </c>
      <c r="D1198" s="30" t="s">
        <v>24</v>
      </c>
      <c r="E1198" s="30" t="s">
        <v>1445</v>
      </c>
      <c r="F1198" s="30">
        <v>1</v>
      </c>
      <c r="G1198" s="44">
        <v>3900</v>
      </c>
      <c r="H1198" s="30"/>
      <c r="I1198" s="44"/>
      <c r="J1198" s="44"/>
      <c r="K1198" s="44">
        <f t="shared" si="40"/>
        <v>3900</v>
      </c>
      <c r="L1198" s="51">
        <v>20221111</v>
      </c>
    </row>
    <row r="1199" spans="1:12" x14ac:dyDescent="0.25">
      <c r="A1199" s="50" t="s">
        <v>2332</v>
      </c>
      <c r="B1199" s="30" t="s">
        <v>11</v>
      </c>
      <c r="C1199" s="30" t="s">
        <v>57</v>
      </c>
      <c r="D1199" s="30" t="s">
        <v>58</v>
      </c>
      <c r="E1199" s="30" t="s">
        <v>62</v>
      </c>
      <c r="F1199" s="30">
        <v>1</v>
      </c>
      <c r="G1199" s="44">
        <v>3900</v>
      </c>
      <c r="H1199" s="30"/>
      <c r="I1199" s="44"/>
      <c r="J1199" s="44"/>
      <c r="K1199" s="44">
        <f t="shared" si="40"/>
        <v>3900</v>
      </c>
      <c r="L1199" s="51">
        <v>20221111</v>
      </c>
    </row>
    <row r="1200" spans="1:12" x14ac:dyDescent="0.25">
      <c r="A1200" s="50" t="s">
        <v>2331</v>
      </c>
      <c r="B1200" s="30" t="s">
        <v>11</v>
      </c>
      <c r="C1200" s="30" t="s">
        <v>57</v>
      </c>
      <c r="D1200" s="30" t="s">
        <v>58</v>
      </c>
      <c r="E1200" s="30" t="s">
        <v>59</v>
      </c>
      <c r="F1200" s="30">
        <v>1</v>
      </c>
      <c r="G1200" s="44">
        <v>3900</v>
      </c>
      <c r="H1200" s="30"/>
      <c r="I1200" s="44"/>
      <c r="J1200" s="44"/>
      <c r="K1200" s="44">
        <f t="shared" si="40"/>
        <v>3900</v>
      </c>
      <c r="L1200" s="51">
        <v>20221111</v>
      </c>
    </row>
    <row r="1201" spans="1:12" x14ac:dyDescent="0.25">
      <c r="A1201" s="50" t="s">
        <v>2333</v>
      </c>
      <c r="B1201" s="30" t="s">
        <v>11</v>
      </c>
      <c r="C1201" s="30" t="s">
        <v>57</v>
      </c>
      <c r="D1201" s="30" t="s">
        <v>58</v>
      </c>
      <c r="E1201" s="30" t="s">
        <v>329</v>
      </c>
      <c r="F1201" s="30">
        <v>1</v>
      </c>
      <c r="G1201" s="44">
        <v>3900</v>
      </c>
      <c r="H1201" s="30"/>
      <c r="I1201" s="44"/>
      <c r="J1201" s="44"/>
      <c r="K1201" s="44">
        <f t="shared" si="40"/>
        <v>3900</v>
      </c>
      <c r="L1201" s="51">
        <v>20221111</v>
      </c>
    </row>
    <row r="1202" spans="1:12" x14ac:dyDescent="0.25">
      <c r="A1202" s="50" t="s">
        <v>2343</v>
      </c>
      <c r="B1202" s="30" t="s">
        <v>11</v>
      </c>
      <c r="C1202" s="30" t="s">
        <v>654</v>
      </c>
      <c r="D1202" s="30" t="s">
        <v>1470</v>
      </c>
      <c r="E1202" s="30" t="s">
        <v>1471</v>
      </c>
      <c r="F1202" s="30">
        <v>1</v>
      </c>
      <c r="G1202" s="44">
        <v>3900</v>
      </c>
      <c r="H1202" s="30"/>
      <c r="I1202" s="44"/>
      <c r="J1202" s="44"/>
      <c r="K1202" s="44">
        <f t="shared" si="40"/>
        <v>3900</v>
      </c>
      <c r="L1202" s="51">
        <v>20221115</v>
      </c>
    </row>
    <row r="1203" spans="1:12" x14ac:dyDescent="0.25">
      <c r="A1203" s="50" t="s">
        <v>2329</v>
      </c>
      <c r="B1203" s="30" t="s">
        <v>11</v>
      </c>
      <c r="C1203" s="30" t="s">
        <v>53</v>
      </c>
      <c r="D1203" s="30" t="s">
        <v>24</v>
      </c>
      <c r="E1203" s="30" t="s">
        <v>1281</v>
      </c>
      <c r="F1203" s="30">
        <v>1</v>
      </c>
      <c r="G1203" s="44">
        <v>3900</v>
      </c>
      <c r="H1203" s="30"/>
      <c r="I1203" s="44"/>
      <c r="J1203" s="44"/>
      <c r="K1203" s="44">
        <f t="shared" si="40"/>
        <v>3900</v>
      </c>
      <c r="L1203" s="51">
        <v>20221115</v>
      </c>
    </row>
    <row r="1204" spans="1:12" x14ac:dyDescent="0.25">
      <c r="A1204" s="50" t="s">
        <v>2334</v>
      </c>
      <c r="B1204" s="30" t="s">
        <v>11</v>
      </c>
      <c r="C1204" s="30" t="s">
        <v>94</v>
      </c>
      <c r="D1204" s="30" t="s">
        <v>95</v>
      </c>
      <c r="E1204" s="30" t="s">
        <v>485</v>
      </c>
      <c r="F1204" s="30">
        <v>1</v>
      </c>
      <c r="G1204" s="44">
        <v>3900</v>
      </c>
      <c r="H1204" s="30"/>
      <c r="I1204" s="44"/>
      <c r="J1204" s="44"/>
      <c r="K1204" s="44">
        <f t="shared" si="40"/>
        <v>3900</v>
      </c>
      <c r="L1204" s="51">
        <v>20221115</v>
      </c>
    </row>
    <row r="1205" spans="1:12" x14ac:dyDescent="0.25">
      <c r="A1205" s="50" t="s">
        <v>2328</v>
      </c>
      <c r="B1205" s="30" t="s">
        <v>11</v>
      </c>
      <c r="C1205" s="30" t="s">
        <v>94</v>
      </c>
      <c r="D1205" s="30" t="s">
        <v>95</v>
      </c>
      <c r="E1205" s="30" t="s">
        <v>982</v>
      </c>
      <c r="F1205" s="30">
        <v>1</v>
      </c>
      <c r="G1205" s="44">
        <v>3900</v>
      </c>
      <c r="H1205" s="30"/>
      <c r="I1205" s="44"/>
      <c r="J1205" s="44"/>
      <c r="K1205" s="44">
        <f t="shared" si="40"/>
        <v>3900</v>
      </c>
      <c r="L1205" s="51">
        <v>20221115</v>
      </c>
    </row>
    <row r="1206" spans="1:12" x14ac:dyDescent="0.25">
      <c r="A1206" s="50" t="s">
        <v>2327</v>
      </c>
      <c r="B1206" s="30" t="s">
        <v>11</v>
      </c>
      <c r="C1206" s="30" t="s">
        <v>94</v>
      </c>
      <c r="D1206" s="30" t="s">
        <v>95</v>
      </c>
      <c r="E1206" s="30" t="s">
        <v>260</v>
      </c>
      <c r="F1206" s="30">
        <v>1</v>
      </c>
      <c r="G1206" s="44">
        <v>3900</v>
      </c>
      <c r="H1206" s="30"/>
      <c r="I1206" s="44"/>
      <c r="J1206" s="44"/>
      <c r="K1206" s="44">
        <f t="shared" si="40"/>
        <v>3900</v>
      </c>
      <c r="L1206" s="51">
        <v>20221115</v>
      </c>
    </row>
    <row r="1207" spans="1:12" x14ac:dyDescent="0.25">
      <c r="A1207" s="50" t="s">
        <v>2367</v>
      </c>
      <c r="B1207" s="30" t="s">
        <v>11</v>
      </c>
      <c r="C1207" s="30" t="s">
        <v>103</v>
      </c>
      <c r="D1207" s="30" t="s">
        <v>104</v>
      </c>
      <c r="E1207" s="30" t="s">
        <v>908</v>
      </c>
      <c r="F1207" s="30">
        <v>1</v>
      </c>
      <c r="G1207" s="44">
        <v>3900</v>
      </c>
      <c r="H1207" s="30"/>
      <c r="I1207" s="44"/>
      <c r="J1207" s="44"/>
      <c r="K1207" s="44">
        <f t="shared" si="40"/>
        <v>3900</v>
      </c>
      <c r="L1207" s="51">
        <v>20221117</v>
      </c>
    </row>
    <row r="1208" spans="1:12" x14ac:dyDescent="0.25">
      <c r="A1208" s="50" t="s">
        <v>2366</v>
      </c>
      <c r="B1208" s="30" t="s">
        <v>11</v>
      </c>
      <c r="C1208" s="30" t="s">
        <v>103</v>
      </c>
      <c r="D1208" s="30" t="s">
        <v>104</v>
      </c>
      <c r="E1208" s="30" t="s">
        <v>217</v>
      </c>
      <c r="F1208" s="30">
        <v>1</v>
      </c>
      <c r="G1208" s="44">
        <v>3900</v>
      </c>
      <c r="H1208" s="30"/>
      <c r="I1208" s="44"/>
      <c r="J1208" s="44"/>
      <c r="K1208" s="44">
        <f t="shared" si="40"/>
        <v>3900</v>
      </c>
      <c r="L1208" s="51">
        <v>20221117</v>
      </c>
    </row>
    <row r="1209" spans="1:12" x14ac:dyDescent="0.25">
      <c r="A1209" s="50" t="s">
        <v>2326</v>
      </c>
      <c r="B1209" s="30" t="s">
        <v>11</v>
      </c>
      <c r="C1209" s="30" t="s">
        <v>103</v>
      </c>
      <c r="D1209" s="30" t="s">
        <v>104</v>
      </c>
      <c r="E1209" s="30" t="s">
        <v>904</v>
      </c>
      <c r="F1209" s="30">
        <v>1</v>
      </c>
      <c r="G1209" s="44">
        <v>3900</v>
      </c>
      <c r="H1209" s="30"/>
      <c r="I1209" s="44"/>
      <c r="J1209" s="44"/>
      <c r="K1209" s="44">
        <f t="shared" si="40"/>
        <v>3900</v>
      </c>
      <c r="L1209" s="51">
        <v>20221117</v>
      </c>
    </row>
    <row r="1210" spans="1:12" x14ac:dyDescent="0.25">
      <c r="A1210" s="50" t="s">
        <v>2325</v>
      </c>
      <c r="B1210" s="30" t="s">
        <v>11</v>
      </c>
      <c r="C1210" s="30" t="s">
        <v>103</v>
      </c>
      <c r="D1210" s="30" t="s">
        <v>104</v>
      </c>
      <c r="E1210" s="30" t="s">
        <v>948</v>
      </c>
      <c r="F1210" s="30">
        <v>1</v>
      </c>
      <c r="G1210" s="44">
        <v>3900</v>
      </c>
      <c r="H1210" s="30"/>
      <c r="I1210" s="44"/>
      <c r="J1210" s="44"/>
      <c r="K1210" s="44">
        <f t="shared" si="40"/>
        <v>3900</v>
      </c>
      <c r="L1210" s="51">
        <v>20221117</v>
      </c>
    </row>
    <row r="1211" spans="1:12" x14ac:dyDescent="0.25">
      <c r="A1211" s="50" t="s">
        <v>2323</v>
      </c>
      <c r="B1211" s="30" t="s">
        <v>11</v>
      </c>
      <c r="C1211" s="30" t="s">
        <v>29</v>
      </c>
      <c r="D1211" s="30" t="s">
        <v>1656</v>
      </c>
      <c r="E1211" s="30" t="s">
        <v>2324</v>
      </c>
      <c r="F1211" s="30">
        <v>1</v>
      </c>
      <c r="G1211" s="44">
        <v>3900</v>
      </c>
      <c r="H1211" s="30"/>
      <c r="I1211" s="44"/>
      <c r="J1211" s="44"/>
      <c r="K1211" s="44">
        <f t="shared" si="40"/>
        <v>3900</v>
      </c>
      <c r="L1211" s="51">
        <v>20221118</v>
      </c>
    </row>
    <row r="1212" spans="1:12" x14ac:dyDescent="0.25">
      <c r="A1212" s="50" t="s">
        <v>2319</v>
      </c>
      <c r="B1212" s="30" t="s">
        <v>11</v>
      </c>
      <c r="C1212" s="30" t="s">
        <v>94</v>
      </c>
      <c r="D1212" s="30" t="s">
        <v>95</v>
      </c>
      <c r="E1212" s="30" t="s">
        <v>982</v>
      </c>
      <c r="F1212" s="30">
        <v>1</v>
      </c>
      <c r="G1212" s="44">
        <v>3900</v>
      </c>
      <c r="H1212" s="30"/>
      <c r="I1212" s="44"/>
      <c r="J1212" s="44"/>
      <c r="K1212" s="44">
        <f t="shared" si="40"/>
        <v>3900</v>
      </c>
      <c r="L1212" s="51">
        <v>20221123</v>
      </c>
    </row>
    <row r="1213" spans="1:12" x14ac:dyDescent="0.25">
      <c r="A1213" s="50" t="s">
        <v>2318</v>
      </c>
      <c r="B1213" s="30" t="s">
        <v>11</v>
      </c>
      <c r="C1213" s="30" t="s">
        <v>94</v>
      </c>
      <c r="D1213" s="30" t="s">
        <v>95</v>
      </c>
      <c r="E1213" s="30" t="s">
        <v>458</v>
      </c>
      <c r="F1213" s="30">
        <v>1</v>
      </c>
      <c r="G1213" s="44">
        <v>3900</v>
      </c>
      <c r="H1213" s="30"/>
      <c r="I1213" s="44"/>
      <c r="J1213" s="44"/>
      <c r="K1213" s="44">
        <f t="shared" si="40"/>
        <v>3900</v>
      </c>
      <c r="L1213" s="51">
        <v>20221123</v>
      </c>
    </row>
    <row r="1214" spans="1:12" x14ac:dyDescent="0.25">
      <c r="A1214" s="50" t="s">
        <v>2321</v>
      </c>
      <c r="B1214" s="30" t="s">
        <v>11</v>
      </c>
      <c r="C1214" s="30" t="s">
        <v>94</v>
      </c>
      <c r="D1214" s="30" t="s">
        <v>95</v>
      </c>
      <c r="E1214" s="30" t="s">
        <v>260</v>
      </c>
      <c r="F1214" s="30">
        <v>1</v>
      </c>
      <c r="G1214" s="44">
        <v>3900</v>
      </c>
      <c r="H1214" s="30"/>
      <c r="I1214" s="44"/>
      <c r="J1214" s="44"/>
      <c r="K1214" s="44">
        <f t="shared" si="40"/>
        <v>3900</v>
      </c>
      <c r="L1214" s="51">
        <v>20221123</v>
      </c>
    </row>
    <row r="1215" spans="1:12" x14ac:dyDescent="0.25">
      <c r="A1215" s="50" t="s">
        <v>2299</v>
      </c>
      <c r="B1215" s="30" t="s">
        <v>11</v>
      </c>
      <c r="C1215" s="30" t="s">
        <v>29</v>
      </c>
      <c r="D1215" s="30" t="s">
        <v>1656</v>
      </c>
      <c r="E1215" s="30" t="s">
        <v>2300</v>
      </c>
      <c r="F1215" s="30">
        <v>1</v>
      </c>
      <c r="G1215" s="44">
        <v>3900</v>
      </c>
      <c r="H1215" s="30"/>
      <c r="I1215" s="44"/>
      <c r="J1215" s="44"/>
      <c r="K1215" s="44">
        <f t="shared" si="40"/>
        <v>3900</v>
      </c>
      <c r="L1215" s="51">
        <v>20221124</v>
      </c>
    </row>
    <row r="1216" spans="1:12" x14ac:dyDescent="0.25">
      <c r="A1216" s="50" t="s">
        <v>2322</v>
      </c>
      <c r="B1216" s="30" t="s">
        <v>11</v>
      </c>
      <c r="C1216" s="30" t="s">
        <v>654</v>
      </c>
      <c r="D1216" s="30" t="s">
        <v>1470</v>
      </c>
      <c r="E1216" s="30" t="s">
        <v>2084</v>
      </c>
      <c r="F1216" s="30">
        <v>1</v>
      </c>
      <c r="G1216" s="44">
        <v>3900</v>
      </c>
      <c r="H1216" s="30"/>
      <c r="I1216" s="44"/>
      <c r="J1216" s="44"/>
      <c r="K1216" s="44">
        <f t="shared" si="40"/>
        <v>3900</v>
      </c>
      <c r="L1216" s="51">
        <v>20221125</v>
      </c>
    </row>
    <row r="1217" spans="1:12" x14ac:dyDescent="0.25">
      <c r="A1217" s="50" t="s">
        <v>2320</v>
      </c>
      <c r="B1217" s="30" t="s">
        <v>11</v>
      </c>
      <c r="C1217" s="30" t="s">
        <v>1393</v>
      </c>
      <c r="D1217" s="30" t="s">
        <v>1394</v>
      </c>
      <c r="E1217" s="30" t="s">
        <v>2163</v>
      </c>
      <c r="F1217" s="30">
        <v>1</v>
      </c>
      <c r="G1217" s="44">
        <v>3900</v>
      </c>
      <c r="H1217" s="30"/>
      <c r="I1217" s="44"/>
      <c r="J1217" s="44"/>
      <c r="K1217" s="44">
        <f t="shared" si="40"/>
        <v>3900</v>
      </c>
      <c r="L1217" s="51">
        <v>20221125</v>
      </c>
    </row>
    <row r="1218" spans="1:12" x14ac:dyDescent="0.25">
      <c r="A1218" s="52" t="s">
        <v>2296</v>
      </c>
      <c r="B1218" s="32" t="s">
        <v>11</v>
      </c>
      <c r="C1218" s="32" t="s">
        <v>337</v>
      </c>
      <c r="D1218" s="32" t="s">
        <v>162</v>
      </c>
      <c r="E1218" s="32" t="s">
        <v>2297</v>
      </c>
      <c r="F1218" s="32">
        <v>1</v>
      </c>
      <c r="G1218" s="45">
        <v>3900</v>
      </c>
      <c r="H1218" s="32">
        <v>69</v>
      </c>
      <c r="I1218" s="45">
        <v>50</v>
      </c>
      <c r="J1218" s="45">
        <f>I1218*H1218</f>
        <v>3450</v>
      </c>
      <c r="K1218" s="45">
        <f t="shared" si="40"/>
        <v>7350</v>
      </c>
      <c r="L1218" s="53">
        <v>20221128</v>
      </c>
    </row>
    <row r="1219" spans="1:12" x14ac:dyDescent="0.25">
      <c r="A1219" s="50" t="s">
        <v>2293</v>
      </c>
      <c r="B1219" s="30" t="s">
        <v>11</v>
      </c>
      <c r="C1219" s="30" t="s">
        <v>57</v>
      </c>
      <c r="D1219" s="30" t="s">
        <v>58</v>
      </c>
      <c r="E1219" s="30" t="s">
        <v>62</v>
      </c>
      <c r="F1219" s="30">
        <v>1</v>
      </c>
      <c r="G1219" s="44">
        <v>3900</v>
      </c>
      <c r="H1219" s="30"/>
      <c r="I1219" s="44"/>
      <c r="J1219" s="44"/>
      <c r="K1219" s="44">
        <f t="shared" si="40"/>
        <v>3900</v>
      </c>
      <c r="L1219" s="51">
        <v>20221129</v>
      </c>
    </row>
    <row r="1220" spans="1:12" x14ac:dyDescent="0.25">
      <c r="A1220" s="50" t="s">
        <v>2295</v>
      </c>
      <c r="B1220" s="30" t="s">
        <v>11</v>
      </c>
      <c r="C1220" s="30" t="s">
        <v>57</v>
      </c>
      <c r="D1220" s="30" t="s">
        <v>58</v>
      </c>
      <c r="E1220" s="30" t="s">
        <v>59</v>
      </c>
      <c r="F1220" s="30">
        <v>1</v>
      </c>
      <c r="G1220" s="44">
        <v>3900</v>
      </c>
      <c r="H1220" s="30"/>
      <c r="I1220" s="44"/>
      <c r="J1220" s="44"/>
      <c r="K1220" s="44">
        <f t="shared" si="40"/>
        <v>3900</v>
      </c>
      <c r="L1220" s="51">
        <v>20221129</v>
      </c>
    </row>
    <row r="1221" spans="1:12" x14ac:dyDescent="0.25">
      <c r="A1221" s="50" t="s">
        <v>2294</v>
      </c>
      <c r="B1221" s="30" t="s">
        <v>11</v>
      </c>
      <c r="C1221" s="30" t="s">
        <v>57</v>
      </c>
      <c r="D1221" s="30" t="s">
        <v>58</v>
      </c>
      <c r="E1221" s="30" t="s">
        <v>329</v>
      </c>
      <c r="F1221" s="30">
        <v>1</v>
      </c>
      <c r="G1221" s="44">
        <v>3900</v>
      </c>
      <c r="H1221" s="30"/>
      <c r="I1221" s="44"/>
      <c r="J1221" s="44"/>
      <c r="K1221" s="44">
        <f t="shared" si="40"/>
        <v>3900</v>
      </c>
      <c r="L1221" s="51">
        <v>20221129</v>
      </c>
    </row>
    <row r="1222" spans="1:12" x14ac:dyDescent="0.25">
      <c r="A1222" s="50" t="s">
        <v>2290</v>
      </c>
      <c r="B1222" s="30" t="s">
        <v>11</v>
      </c>
      <c r="C1222" s="30" t="s">
        <v>57</v>
      </c>
      <c r="D1222" s="30" t="s">
        <v>58</v>
      </c>
      <c r="E1222" s="30" t="s">
        <v>399</v>
      </c>
      <c r="F1222" s="30">
        <v>1</v>
      </c>
      <c r="G1222" s="44">
        <v>3900</v>
      </c>
      <c r="H1222" s="30"/>
      <c r="I1222" s="44"/>
      <c r="J1222" s="44"/>
      <c r="K1222" s="44">
        <f t="shared" si="40"/>
        <v>3900</v>
      </c>
      <c r="L1222" s="51">
        <v>20221129</v>
      </c>
    </row>
    <row r="1223" spans="1:12" x14ac:dyDescent="0.25">
      <c r="A1223" s="50" t="s">
        <v>2292</v>
      </c>
      <c r="B1223" s="30" t="s">
        <v>11</v>
      </c>
      <c r="C1223" s="30" t="s">
        <v>57</v>
      </c>
      <c r="D1223" s="30" t="s">
        <v>58</v>
      </c>
      <c r="E1223" s="30" t="s">
        <v>331</v>
      </c>
      <c r="F1223" s="30">
        <v>1</v>
      </c>
      <c r="G1223" s="44">
        <v>3900</v>
      </c>
      <c r="H1223" s="30"/>
      <c r="I1223" s="44"/>
      <c r="J1223" s="44"/>
      <c r="K1223" s="44">
        <f t="shared" si="40"/>
        <v>3900</v>
      </c>
      <c r="L1223" s="51">
        <v>20221129</v>
      </c>
    </row>
    <row r="1224" spans="1:12" x14ac:dyDescent="0.25">
      <c r="A1224" s="50" t="s">
        <v>2291</v>
      </c>
      <c r="B1224" s="30" t="s">
        <v>11</v>
      </c>
      <c r="C1224" s="30" t="s">
        <v>57</v>
      </c>
      <c r="D1224" s="30" t="s">
        <v>58</v>
      </c>
      <c r="E1224" s="30" t="s">
        <v>60</v>
      </c>
      <c r="F1224" s="30">
        <v>1</v>
      </c>
      <c r="G1224" s="44">
        <v>3900</v>
      </c>
      <c r="H1224" s="30"/>
      <c r="I1224" s="44"/>
      <c r="J1224" s="44"/>
      <c r="K1224" s="44">
        <f t="shared" si="40"/>
        <v>3900</v>
      </c>
      <c r="L1224" s="51">
        <v>20221129</v>
      </c>
    </row>
    <row r="1225" spans="1:12" x14ac:dyDescent="0.25">
      <c r="A1225" s="50" t="s">
        <v>2298</v>
      </c>
      <c r="B1225" s="30" t="s">
        <v>11</v>
      </c>
      <c r="C1225" s="30" t="s">
        <v>53</v>
      </c>
      <c r="D1225" s="30" t="s">
        <v>24</v>
      </c>
      <c r="E1225" s="30" t="s">
        <v>1281</v>
      </c>
      <c r="F1225" s="30">
        <v>1</v>
      </c>
      <c r="G1225" s="44">
        <v>3900</v>
      </c>
      <c r="H1225" s="30"/>
      <c r="I1225" s="44"/>
      <c r="J1225" s="44"/>
      <c r="K1225" s="44">
        <f t="shared" si="40"/>
        <v>3900</v>
      </c>
      <c r="L1225" s="51">
        <v>20221129</v>
      </c>
    </row>
    <row r="1226" spans="1:12" x14ac:dyDescent="0.25">
      <c r="A1226" s="50" t="s">
        <v>2283</v>
      </c>
      <c r="B1226" s="30" t="s">
        <v>11</v>
      </c>
      <c r="C1226" s="30" t="s">
        <v>28</v>
      </c>
      <c r="D1226" s="30" t="s">
        <v>2284</v>
      </c>
      <c r="E1226" s="30" t="s">
        <v>2285</v>
      </c>
      <c r="F1226" s="30">
        <v>1</v>
      </c>
      <c r="G1226" s="44">
        <v>3900</v>
      </c>
      <c r="H1226" s="30"/>
      <c r="I1226" s="44"/>
      <c r="J1226" s="44"/>
      <c r="K1226" s="44">
        <f t="shared" si="40"/>
        <v>3900</v>
      </c>
      <c r="L1226" s="51">
        <v>20221130</v>
      </c>
    </row>
    <row r="1227" spans="1:12" ht="15.75" thickBot="1" x14ac:dyDescent="0.3">
      <c r="A1227" s="54" t="s">
        <v>2274</v>
      </c>
      <c r="B1227" s="36" t="s">
        <v>11</v>
      </c>
      <c r="C1227" s="36" t="s">
        <v>29</v>
      </c>
      <c r="D1227" s="36" t="s">
        <v>30</v>
      </c>
      <c r="E1227" s="36" t="s">
        <v>509</v>
      </c>
      <c r="F1227" s="36">
        <v>1</v>
      </c>
      <c r="G1227" s="65">
        <v>3900</v>
      </c>
      <c r="H1227" s="36"/>
      <c r="I1227" s="65"/>
      <c r="J1227" s="65"/>
      <c r="K1227" s="65">
        <f t="shared" si="40"/>
        <v>3900</v>
      </c>
      <c r="L1227" s="55">
        <v>20221130</v>
      </c>
    </row>
    <row r="1228" spans="1:12" x14ac:dyDescent="0.25">
      <c r="A1228" s="73"/>
      <c r="B1228" s="74"/>
      <c r="C1228" s="74"/>
      <c r="D1228" s="74"/>
      <c r="E1228" s="74"/>
      <c r="F1228" s="74"/>
      <c r="G1228" s="75"/>
      <c r="H1228" s="74"/>
      <c r="I1228" s="75"/>
      <c r="J1228" s="75"/>
      <c r="K1228" s="75"/>
      <c r="L1228" s="76"/>
    </row>
    <row r="1229" spans="1:12" ht="15.75" thickBot="1" x14ac:dyDescent="0.3">
      <c r="A1229" s="69"/>
      <c r="B1229" s="70"/>
      <c r="C1229" s="70"/>
      <c r="D1229" s="70"/>
      <c r="E1229" s="70"/>
      <c r="F1229" s="70"/>
      <c r="G1229" s="71"/>
      <c r="H1229" s="70"/>
      <c r="I1229" s="71"/>
      <c r="J1229" s="71"/>
      <c r="K1229" s="71"/>
      <c r="L1229" s="72"/>
    </row>
    <row r="1230" spans="1:12" x14ac:dyDescent="0.25">
      <c r="A1230" s="48" t="s">
        <v>2338</v>
      </c>
      <c r="B1230" s="34" t="s">
        <v>137</v>
      </c>
      <c r="C1230" s="34" t="s">
        <v>251</v>
      </c>
      <c r="D1230" s="34" t="s">
        <v>252</v>
      </c>
      <c r="E1230" s="34" t="s">
        <v>253</v>
      </c>
      <c r="F1230" s="34">
        <v>1</v>
      </c>
      <c r="G1230" s="64">
        <v>1950</v>
      </c>
      <c r="H1230" s="34"/>
      <c r="I1230" s="64"/>
      <c r="J1230" s="64"/>
      <c r="K1230" s="64">
        <f t="shared" ref="K1230:K1259" si="41">J1230+G1230</f>
        <v>1950</v>
      </c>
      <c r="L1230" s="49">
        <v>20221110</v>
      </c>
    </row>
    <row r="1231" spans="1:12" x14ac:dyDescent="0.25">
      <c r="A1231" s="50" t="s">
        <v>2336</v>
      </c>
      <c r="B1231" s="30" t="s">
        <v>137</v>
      </c>
      <c r="C1231" s="30" t="s">
        <v>251</v>
      </c>
      <c r="D1231" s="30" t="s">
        <v>744</v>
      </c>
      <c r="E1231" s="30" t="s">
        <v>745</v>
      </c>
      <c r="F1231" s="30">
        <v>1</v>
      </c>
      <c r="G1231" s="44">
        <v>1950</v>
      </c>
      <c r="H1231" s="30"/>
      <c r="I1231" s="44"/>
      <c r="J1231" s="44"/>
      <c r="K1231" s="44">
        <f t="shared" si="41"/>
        <v>1950</v>
      </c>
      <c r="L1231" s="51">
        <v>20221110</v>
      </c>
    </row>
    <row r="1232" spans="1:12" x14ac:dyDescent="0.25">
      <c r="A1232" s="50" t="s">
        <v>2337</v>
      </c>
      <c r="B1232" s="30" t="s">
        <v>137</v>
      </c>
      <c r="C1232" s="30" t="s">
        <v>251</v>
      </c>
      <c r="D1232" s="30" t="s">
        <v>375</v>
      </c>
      <c r="E1232" s="30" t="s">
        <v>376</v>
      </c>
      <c r="F1232" s="30">
        <v>1</v>
      </c>
      <c r="G1232" s="44">
        <v>1950</v>
      </c>
      <c r="H1232" s="30"/>
      <c r="I1232" s="44"/>
      <c r="J1232" s="44"/>
      <c r="K1232" s="44">
        <f t="shared" si="41"/>
        <v>1950</v>
      </c>
      <c r="L1232" s="51">
        <v>20221110</v>
      </c>
    </row>
    <row r="1233" spans="1:12" x14ac:dyDescent="0.25">
      <c r="A1233" s="50" t="s">
        <v>2339</v>
      </c>
      <c r="B1233" s="30" t="s">
        <v>137</v>
      </c>
      <c r="C1233" s="30" t="s">
        <v>868</v>
      </c>
      <c r="D1233" s="30" t="s">
        <v>24</v>
      </c>
      <c r="E1233" s="30" t="s">
        <v>869</v>
      </c>
      <c r="F1233" s="30">
        <v>1</v>
      </c>
      <c r="G1233" s="44">
        <v>1950</v>
      </c>
      <c r="H1233" s="30"/>
      <c r="I1233" s="44"/>
      <c r="J1233" s="44"/>
      <c r="K1233" s="44">
        <f t="shared" si="41"/>
        <v>1950</v>
      </c>
      <c r="L1233" s="51">
        <v>20221110</v>
      </c>
    </row>
    <row r="1234" spans="1:12" x14ac:dyDescent="0.25">
      <c r="A1234" s="50" t="s">
        <v>2335</v>
      </c>
      <c r="B1234" s="30" t="s">
        <v>137</v>
      </c>
      <c r="C1234" s="30" t="s">
        <v>936</v>
      </c>
      <c r="D1234" s="30" t="s">
        <v>937</v>
      </c>
      <c r="E1234" s="30" t="s">
        <v>938</v>
      </c>
      <c r="F1234" s="30">
        <v>1</v>
      </c>
      <c r="G1234" s="44">
        <v>1950</v>
      </c>
      <c r="H1234" s="30"/>
      <c r="I1234" s="44"/>
      <c r="J1234" s="44"/>
      <c r="K1234" s="44">
        <f t="shared" si="41"/>
        <v>1950</v>
      </c>
      <c r="L1234" s="51">
        <v>20221110</v>
      </c>
    </row>
    <row r="1235" spans="1:12" x14ac:dyDescent="0.25">
      <c r="A1235" s="50" t="s">
        <v>2340</v>
      </c>
      <c r="B1235" s="30" t="s">
        <v>137</v>
      </c>
      <c r="C1235" s="30" t="s">
        <v>474</v>
      </c>
      <c r="D1235" s="30" t="s">
        <v>475</v>
      </c>
      <c r="E1235" s="30" t="s">
        <v>940</v>
      </c>
      <c r="F1235" s="30">
        <v>1</v>
      </c>
      <c r="G1235" s="44">
        <v>1950</v>
      </c>
      <c r="H1235" s="30"/>
      <c r="I1235" s="44"/>
      <c r="J1235" s="44"/>
      <c r="K1235" s="44">
        <f t="shared" si="41"/>
        <v>1950</v>
      </c>
      <c r="L1235" s="51">
        <v>20221110</v>
      </c>
    </row>
    <row r="1236" spans="1:12" x14ac:dyDescent="0.25">
      <c r="A1236" s="50" t="s">
        <v>2317</v>
      </c>
      <c r="B1236" s="30" t="s">
        <v>137</v>
      </c>
      <c r="C1236" s="30" t="s">
        <v>337</v>
      </c>
      <c r="D1236" s="30" t="s">
        <v>162</v>
      </c>
      <c r="E1236" s="30" t="s">
        <v>239</v>
      </c>
      <c r="F1236" s="30">
        <v>1</v>
      </c>
      <c r="G1236" s="44">
        <v>1950</v>
      </c>
      <c r="H1236" s="30"/>
      <c r="I1236" s="44"/>
      <c r="J1236" s="44"/>
      <c r="K1236" s="44">
        <f t="shared" si="41"/>
        <v>1950</v>
      </c>
      <c r="L1236" s="51">
        <v>20221123</v>
      </c>
    </row>
    <row r="1237" spans="1:12" x14ac:dyDescent="0.25">
      <c r="A1237" s="50" t="s">
        <v>2315</v>
      </c>
      <c r="B1237" s="30" t="s">
        <v>137</v>
      </c>
      <c r="C1237" s="30" t="s">
        <v>337</v>
      </c>
      <c r="D1237" s="30" t="s">
        <v>162</v>
      </c>
      <c r="E1237" s="30" t="s">
        <v>2316</v>
      </c>
      <c r="F1237" s="30">
        <v>1</v>
      </c>
      <c r="G1237" s="44">
        <v>1950</v>
      </c>
      <c r="H1237" s="30"/>
      <c r="I1237" s="44"/>
      <c r="J1237" s="44"/>
      <c r="K1237" s="44">
        <f t="shared" si="41"/>
        <v>1950</v>
      </c>
      <c r="L1237" s="51">
        <v>20221123</v>
      </c>
    </row>
    <row r="1238" spans="1:12" x14ac:dyDescent="0.25">
      <c r="A1238" s="50" t="s">
        <v>2313</v>
      </c>
      <c r="B1238" s="30" t="s">
        <v>137</v>
      </c>
      <c r="C1238" s="30" t="s">
        <v>337</v>
      </c>
      <c r="D1238" s="30" t="s">
        <v>162</v>
      </c>
      <c r="E1238" s="30" t="s">
        <v>2314</v>
      </c>
      <c r="F1238" s="30">
        <v>1</v>
      </c>
      <c r="G1238" s="44">
        <v>1950</v>
      </c>
      <c r="H1238" s="30"/>
      <c r="I1238" s="44"/>
      <c r="J1238" s="44"/>
      <c r="K1238" s="44">
        <f t="shared" si="41"/>
        <v>1950</v>
      </c>
      <c r="L1238" s="51">
        <v>20221123</v>
      </c>
    </row>
    <row r="1239" spans="1:12" x14ac:dyDescent="0.25">
      <c r="A1239" s="50" t="s">
        <v>2311</v>
      </c>
      <c r="B1239" s="30" t="s">
        <v>137</v>
      </c>
      <c r="C1239" s="30" t="s">
        <v>337</v>
      </c>
      <c r="D1239" s="30" t="s">
        <v>162</v>
      </c>
      <c r="E1239" s="30" t="s">
        <v>2312</v>
      </c>
      <c r="F1239" s="30">
        <v>1</v>
      </c>
      <c r="G1239" s="44">
        <v>1950</v>
      </c>
      <c r="H1239" s="30"/>
      <c r="I1239" s="44"/>
      <c r="J1239" s="44"/>
      <c r="K1239" s="44">
        <f t="shared" si="41"/>
        <v>1950</v>
      </c>
      <c r="L1239" s="51">
        <v>20221123</v>
      </c>
    </row>
    <row r="1240" spans="1:12" x14ac:dyDescent="0.25">
      <c r="A1240" s="50" t="s">
        <v>2310</v>
      </c>
      <c r="B1240" s="30" t="s">
        <v>137</v>
      </c>
      <c r="C1240" s="30" t="s">
        <v>337</v>
      </c>
      <c r="D1240" s="30" t="s">
        <v>162</v>
      </c>
      <c r="E1240" s="30" t="s">
        <v>219</v>
      </c>
      <c r="F1240" s="30">
        <v>1</v>
      </c>
      <c r="G1240" s="44">
        <v>1950</v>
      </c>
      <c r="H1240" s="30"/>
      <c r="I1240" s="44"/>
      <c r="J1240" s="44"/>
      <c r="K1240" s="44">
        <f t="shared" si="41"/>
        <v>1950</v>
      </c>
      <c r="L1240" s="51">
        <v>20221123</v>
      </c>
    </row>
    <row r="1241" spans="1:12" x14ac:dyDescent="0.25">
      <c r="A1241" s="50" t="s">
        <v>2309</v>
      </c>
      <c r="B1241" s="30" t="s">
        <v>137</v>
      </c>
      <c r="C1241" s="30" t="s">
        <v>337</v>
      </c>
      <c r="D1241" s="30" t="s">
        <v>162</v>
      </c>
      <c r="E1241" s="30" t="s">
        <v>1534</v>
      </c>
      <c r="F1241" s="30">
        <v>1</v>
      </c>
      <c r="G1241" s="44">
        <v>1950</v>
      </c>
      <c r="H1241" s="30"/>
      <c r="I1241" s="44"/>
      <c r="J1241" s="44"/>
      <c r="K1241" s="44">
        <f t="shared" si="41"/>
        <v>1950</v>
      </c>
      <c r="L1241" s="51">
        <v>20221123</v>
      </c>
    </row>
    <row r="1242" spans="1:12" x14ac:dyDescent="0.25">
      <c r="A1242" s="50" t="s">
        <v>2308</v>
      </c>
      <c r="B1242" s="30" t="s">
        <v>137</v>
      </c>
      <c r="C1242" s="30" t="s">
        <v>337</v>
      </c>
      <c r="D1242" s="30" t="s">
        <v>162</v>
      </c>
      <c r="E1242" s="30" t="s">
        <v>1530</v>
      </c>
      <c r="F1242" s="30">
        <v>1</v>
      </c>
      <c r="G1242" s="44">
        <v>1950</v>
      </c>
      <c r="H1242" s="30"/>
      <c r="I1242" s="44"/>
      <c r="J1242" s="44"/>
      <c r="K1242" s="44">
        <f t="shared" si="41"/>
        <v>1950</v>
      </c>
      <c r="L1242" s="51">
        <v>20221123</v>
      </c>
    </row>
    <row r="1243" spans="1:12" x14ac:dyDescent="0.25">
      <c r="A1243" s="50" t="s">
        <v>2307</v>
      </c>
      <c r="B1243" s="30" t="s">
        <v>137</v>
      </c>
      <c r="C1243" s="30" t="s">
        <v>337</v>
      </c>
      <c r="D1243" s="30" t="s">
        <v>162</v>
      </c>
      <c r="E1243" s="30" t="s">
        <v>1528</v>
      </c>
      <c r="F1243" s="30">
        <v>1</v>
      </c>
      <c r="G1243" s="44">
        <v>1950</v>
      </c>
      <c r="H1243" s="30"/>
      <c r="I1243" s="44"/>
      <c r="J1243" s="44"/>
      <c r="K1243" s="44">
        <f t="shared" si="41"/>
        <v>1950</v>
      </c>
      <c r="L1243" s="51">
        <v>20221123</v>
      </c>
    </row>
    <row r="1244" spans="1:12" x14ac:dyDescent="0.25">
      <c r="A1244" s="50" t="s">
        <v>2306</v>
      </c>
      <c r="B1244" s="30" t="s">
        <v>137</v>
      </c>
      <c r="C1244" s="30" t="s">
        <v>337</v>
      </c>
      <c r="D1244" s="30" t="s">
        <v>162</v>
      </c>
      <c r="E1244" s="30" t="s">
        <v>426</v>
      </c>
      <c r="F1244" s="30">
        <v>1</v>
      </c>
      <c r="G1244" s="44">
        <v>1950</v>
      </c>
      <c r="H1244" s="30"/>
      <c r="I1244" s="44"/>
      <c r="J1244" s="44"/>
      <c r="K1244" s="44">
        <f t="shared" si="41"/>
        <v>1950</v>
      </c>
      <c r="L1244" s="51">
        <v>20221123</v>
      </c>
    </row>
    <row r="1245" spans="1:12" x14ac:dyDescent="0.25">
      <c r="A1245" s="50" t="s">
        <v>2305</v>
      </c>
      <c r="B1245" s="30" t="s">
        <v>137</v>
      </c>
      <c r="C1245" s="30" t="s">
        <v>337</v>
      </c>
      <c r="D1245" s="30" t="s">
        <v>162</v>
      </c>
      <c r="E1245" s="30" t="s">
        <v>237</v>
      </c>
      <c r="F1245" s="30">
        <v>1</v>
      </c>
      <c r="G1245" s="44">
        <v>1950</v>
      </c>
      <c r="H1245" s="30"/>
      <c r="I1245" s="44"/>
      <c r="J1245" s="44"/>
      <c r="K1245" s="44">
        <f t="shared" si="41"/>
        <v>1950</v>
      </c>
      <c r="L1245" s="51">
        <v>20221123</v>
      </c>
    </row>
    <row r="1246" spans="1:12" x14ac:dyDescent="0.25">
      <c r="A1246" s="50" t="s">
        <v>2304</v>
      </c>
      <c r="B1246" s="30" t="s">
        <v>137</v>
      </c>
      <c r="C1246" s="30" t="s">
        <v>337</v>
      </c>
      <c r="D1246" s="30" t="s">
        <v>162</v>
      </c>
      <c r="E1246" s="30" t="s">
        <v>235</v>
      </c>
      <c r="F1246" s="30">
        <v>1</v>
      </c>
      <c r="G1246" s="44">
        <v>1950</v>
      </c>
      <c r="H1246" s="30"/>
      <c r="I1246" s="44"/>
      <c r="J1246" s="44"/>
      <c r="K1246" s="44">
        <f t="shared" si="41"/>
        <v>1950</v>
      </c>
      <c r="L1246" s="51">
        <v>20221123</v>
      </c>
    </row>
    <row r="1247" spans="1:12" x14ac:dyDescent="0.25">
      <c r="A1247" s="52" t="s">
        <v>2302</v>
      </c>
      <c r="B1247" s="32" t="s">
        <v>137</v>
      </c>
      <c r="C1247" s="32" t="s">
        <v>337</v>
      </c>
      <c r="D1247" s="32" t="s">
        <v>162</v>
      </c>
      <c r="E1247" s="32" t="s">
        <v>2303</v>
      </c>
      <c r="F1247" s="32">
        <v>1</v>
      </c>
      <c r="G1247" s="45">
        <v>1950</v>
      </c>
      <c r="H1247" s="32">
        <v>69</v>
      </c>
      <c r="I1247" s="45">
        <v>50</v>
      </c>
      <c r="J1247" s="45">
        <f>I1247*H1247</f>
        <v>3450</v>
      </c>
      <c r="K1247" s="45">
        <f t="shared" si="41"/>
        <v>5400</v>
      </c>
      <c r="L1247" s="53">
        <v>20221123</v>
      </c>
    </row>
    <row r="1248" spans="1:12" x14ac:dyDescent="0.25">
      <c r="A1248" s="50" t="s">
        <v>2301</v>
      </c>
      <c r="B1248" s="30" t="s">
        <v>137</v>
      </c>
      <c r="C1248" s="30" t="s">
        <v>337</v>
      </c>
      <c r="D1248" s="30" t="s">
        <v>162</v>
      </c>
      <c r="E1248" s="30" t="s">
        <v>1532</v>
      </c>
      <c r="F1248" s="30">
        <v>1</v>
      </c>
      <c r="G1248" s="44">
        <v>1950</v>
      </c>
      <c r="H1248" s="30"/>
      <c r="I1248" s="44"/>
      <c r="J1248" s="44"/>
      <c r="K1248" s="44">
        <f t="shared" si="41"/>
        <v>1950</v>
      </c>
      <c r="L1248" s="51">
        <v>20221123</v>
      </c>
    </row>
    <row r="1249" spans="1:12" x14ac:dyDescent="0.25">
      <c r="A1249" s="50" t="s">
        <v>2288</v>
      </c>
      <c r="B1249" s="30" t="s">
        <v>137</v>
      </c>
      <c r="C1249" s="30" t="s">
        <v>53</v>
      </c>
      <c r="D1249" s="30" t="s">
        <v>24</v>
      </c>
      <c r="E1249" s="30" t="s">
        <v>2289</v>
      </c>
      <c r="F1249" s="30">
        <v>1</v>
      </c>
      <c r="G1249" s="44">
        <v>1950</v>
      </c>
      <c r="H1249" s="30"/>
      <c r="I1249" s="44"/>
      <c r="J1249" s="44"/>
      <c r="K1249" s="44">
        <f t="shared" si="41"/>
        <v>1950</v>
      </c>
      <c r="L1249" s="51">
        <v>20221129</v>
      </c>
    </row>
    <row r="1250" spans="1:12" x14ac:dyDescent="0.25">
      <c r="A1250" s="50" t="s">
        <v>2287</v>
      </c>
      <c r="B1250" s="30" t="s">
        <v>137</v>
      </c>
      <c r="C1250" s="30" t="s">
        <v>53</v>
      </c>
      <c r="D1250" s="30" t="s">
        <v>24</v>
      </c>
      <c r="E1250" s="30" t="s">
        <v>1132</v>
      </c>
      <c r="F1250" s="30">
        <v>1</v>
      </c>
      <c r="G1250" s="44">
        <v>1950</v>
      </c>
      <c r="H1250" s="30"/>
      <c r="I1250" s="44"/>
      <c r="J1250" s="44"/>
      <c r="K1250" s="44">
        <f t="shared" si="41"/>
        <v>1950</v>
      </c>
      <c r="L1250" s="51">
        <v>20221129</v>
      </c>
    </row>
    <row r="1251" spans="1:12" x14ac:dyDescent="0.25">
      <c r="A1251" s="50" t="s">
        <v>2286</v>
      </c>
      <c r="B1251" s="30" t="s">
        <v>137</v>
      </c>
      <c r="C1251" s="30" t="s">
        <v>53</v>
      </c>
      <c r="D1251" s="30" t="s">
        <v>24</v>
      </c>
      <c r="E1251" s="30" t="s">
        <v>1998</v>
      </c>
      <c r="F1251" s="30">
        <v>1</v>
      </c>
      <c r="G1251" s="44">
        <v>1950</v>
      </c>
      <c r="H1251" s="30"/>
      <c r="I1251" s="44"/>
      <c r="J1251" s="44"/>
      <c r="K1251" s="44">
        <f t="shared" si="41"/>
        <v>1950</v>
      </c>
      <c r="L1251" s="51">
        <v>20221129</v>
      </c>
    </row>
    <row r="1252" spans="1:12" x14ac:dyDescent="0.25">
      <c r="A1252" s="50" t="s">
        <v>2281</v>
      </c>
      <c r="B1252" s="30" t="s">
        <v>137</v>
      </c>
      <c r="C1252" s="30" t="s">
        <v>26</v>
      </c>
      <c r="D1252" s="30" t="s">
        <v>497</v>
      </c>
      <c r="E1252" s="30" t="s">
        <v>2282</v>
      </c>
      <c r="F1252" s="30">
        <v>1</v>
      </c>
      <c r="G1252" s="44">
        <v>1950</v>
      </c>
      <c r="H1252" s="30"/>
      <c r="I1252" s="44"/>
      <c r="J1252" s="44"/>
      <c r="K1252" s="44">
        <f t="shared" si="41"/>
        <v>1950</v>
      </c>
      <c r="L1252" s="51">
        <v>20221130</v>
      </c>
    </row>
    <row r="1253" spans="1:12" x14ac:dyDescent="0.25">
      <c r="A1253" s="50" t="s">
        <v>2280</v>
      </c>
      <c r="B1253" s="30" t="s">
        <v>137</v>
      </c>
      <c r="C1253" s="30" t="s">
        <v>26</v>
      </c>
      <c r="D1253" s="30" t="s">
        <v>497</v>
      </c>
      <c r="E1253" s="30" t="s">
        <v>498</v>
      </c>
      <c r="F1253" s="30">
        <v>1</v>
      </c>
      <c r="G1253" s="44">
        <v>1950</v>
      </c>
      <c r="H1253" s="30"/>
      <c r="I1253" s="44"/>
      <c r="J1253" s="44"/>
      <c r="K1253" s="44">
        <f t="shared" si="41"/>
        <v>1950</v>
      </c>
      <c r="L1253" s="51">
        <v>20221130</v>
      </c>
    </row>
    <row r="1254" spans="1:12" x14ac:dyDescent="0.25">
      <c r="A1254" s="50" t="s">
        <v>2278</v>
      </c>
      <c r="B1254" s="30" t="s">
        <v>137</v>
      </c>
      <c r="C1254" s="30" t="s">
        <v>26</v>
      </c>
      <c r="D1254" s="30" t="s">
        <v>497</v>
      </c>
      <c r="E1254" s="30" t="s">
        <v>2279</v>
      </c>
      <c r="F1254" s="30">
        <v>1</v>
      </c>
      <c r="G1254" s="44">
        <v>1950</v>
      </c>
      <c r="H1254" s="30"/>
      <c r="I1254" s="44"/>
      <c r="J1254" s="44"/>
      <c r="K1254" s="44">
        <f t="shared" si="41"/>
        <v>1950</v>
      </c>
      <c r="L1254" s="51">
        <v>20221130</v>
      </c>
    </row>
    <row r="1255" spans="1:12" x14ac:dyDescent="0.25">
      <c r="A1255" s="50" t="s">
        <v>2270</v>
      </c>
      <c r="B1255" s="30" t="s">
        <v>137</v>
      </c>
      <c r="C1255" s="30" t="s">
        <v>2230</v>
      </c>
      <c r="D1255" s="30" t="s">
        <v>2231</v>
      </c>
      <c r="E1255" s="30" t="s">
        <v>2232</v>
      </c>
      <c r="F1255" s="30">
        <v>1</v>
      </c>
      <c r="G1255" s="44">
        <v>1950</v>
      </c>
      <c r="H1255" s="30"/>
      <c r="I1255" s="44"/>
      <c r="J1255" s="44"/>
      <c r="K1255" s="44">
        <f t="shared" si="41"/>
        <v>1950</v>
      </c>
      <c r="L1255" s="51">
        <v>20221130</v>
      </c>
    </row>
    <row r="1256" spans="1:12" x14ac:dyDescent="0.25">
      <c r="A1256" s="50" t="s">
        <v>2272</v>
      </c>
      <c r="B1256" s="30" t="s">
        <v>137</v>
      </c>
      <c r="C1256" s="30" t="s">
        <v>29</v>
      </c>
      <c r="D1256" s="30" t="s">
        <v>30</v>
      </c>
      <c r="E1256" s="30" t="s">
        <v>2273</v>
      </c>
      <c r="F1256" s="30">
        <v>1</v>
      </c>
      <c r="G1256" s="44">
        <v>1950</v>
      </c>
      <c r="H1256" s="30"/>
      <c r="I1256" s="44"/>
      <c r="J1256" s="44"/>
      <c r="K1256" s="44">
        <f t="shared" si="41"/>
        <v>1950</v>
      </c>
      <c r="L1256" s="51">
        <v>20221130</v>
      </c>
    </row>
    <row r="1257" spans="1:12" x14ac:dyDescent="0.25">
      <c r="A1257" s="50" t="s">
        <v>2271</v>
      </c>
      <c r="B1257" s="30" t="s">
        <v>137</v>
      </c>
      <c r="C1257" s="30" t="s">
        <v>29</v>
      </c>
      <c r="D1257" s="30" t="s">
        <v>30</v>
      </c>
      <c r="E1257" s="30" t="s">
        <v>578</v>
      </c>
      <c r="F1257" s="30">
        <v>1</v>
      </c>
      <c r="G1257" s="44">
        <v>1950</v>
      </c>
      <c r="H1257" s="30"/>
      <c r="I1257" s="44"/>
      <c r="J1257" s="44"/>
      <c r="K1257" s="44">
        <f t="shared" si="41"/>
        <v>1950</v>
      </c>
      <c r="L1257" s="51">
        <v>20221130</v>
      </c>
    </row>
    <row r="1258" spans="1:12" x14ac:dyDescent="0.25">
      <c r="A1258" s="50" t="s">
        <v>2277</v>
      </c>
      <c r="B1258" s="30" t="s">
        <v>137</v>
      </c>
      <c r="C1258" s="30" t="s">
        <v>168</v>
      </c>
      <c r="D1258" s="30" t="s">
        <v>169</v>
      </c>
      <c r="E1258" s="30" t="s">
        <v>170</v>
      </c>
      <c r="F1258" s="30">
        <v>1</v>
      </c>
      <c r="G1258" s="44">
        <v>1950</v>
      </c>
      <c r="H1258" s="30"/>
      <c r="I1258" s="44"/>
      <c r="J1258" s="44"/>
      <c r="K1258" s="44">
        <f t="shared" si="41"/>
        <v>1950</v>
      </c>
      <c r="L1258" s="51">
        <v>20221130</v>
      </c>
    </row>
    <row r="1259" spans="1:12" ht="15.75" thickBot="1" x14ac:dyDescent="0.3">
      <c r="A1259" s="54" t="s">
        <v>2275</v>
      </c>
      <c r="B1259" s="36" t="s">
        <v>137</v>
      </c>
      <c r="C1259" s="36" t="s">
        <v>168</v>
      </c>
      <c r="D1259" s="36" t="s">
        <v>169</v>
      </c>
      <c r="E1259" s="36" t="s">
        <v>2276</v>
      </c>
      <c r="F1259" s="36">
        <v>1</v>
      </c>
      <c r="G1259" s="65">
        <v>1950</v>
      </c>
      <c r="H1259" s="36"/>
      <c r="I1259" s="65"/>
      <c r="J1259" s="65"/>
      <c r="K1259" s="65">
        <f t="shared" si="41"/>
        <v>1950</v>
      </c>
      <c r="L1259" s="55">
        <v>20221130</v>
      </c>
    </row>
    <row r="1260" spans="1:12" x14ac:dyDescent="0.25">
      <c r="A1260" s="73"/>
      <c r="B1260" s="74"/>
      <c r="C1260" s="74"/>
      <c r="D1260" s="74"/>
      <c r="E1260" s="74"/>
      <c r="F1260" s="74"/>
      <c r="G1260" s="75"/>
      <c r="H1260" s="74"/>
      <c r="I1260" s="75"/>
      <c r="J1260" s="75"/>
      <c r="K1260" s="75"/>
      <c r="L1260" s="76"/>
    </row>
    <row r="1264" spans="1:12" ht="15.75" thickBot="1" x14ac:dyDescent="0.3">
      <c r="A1264" s="69" t="s">
        <v>0</v>
      </c>
      <c r="B1264" s="70" t="s">
        <v>1</v>
      </c>
      <c r="C1264" s="70" t="s">
        <v>2</v>
      </c>
      <c r="D1264" s="70" t="s">
        <v>3</v>
      </c>
      <c r="E1264" s="70" t="s">
        <v>4</v>
      </c>
      <c r="F1264" s="70"/>
      <c r="G1264" s="71" t="s">
        <v>6</v>
      </c>
      <c r="H1264" s="70" t="s">
        <v>7</v>
      </c>
      <c r="I1264" s="71" t="s">
        <v>8</v>
      </c>
      <c r="J1264" s="71" t="s">
        <v>9</v>
      </c>
      <c r="K1264" s="71" t="s">
        <v>10</v>
      </c>
      <c r="L1264" s="72" t="s">
        <v>5</v>
      </c>
    </row>
    <row r="1265" spans="1:12" x14ac:dyDescent="0.25">
      <c r="A1265" s="48" t="s">
        <v>2421</v>
      </c>
      <c r="B1265" s="34" t="s">
        <v>1209</v>
      </c>
      <c r="C1265" s="34" t="s">
        <v>94</v>
      </c>
      <c r="D1265" s="34" t="s">
        <v>95</v>
      </c>
      <c r="E1265" s="34" t="s">
        <v>485</v>
      </c>
      <c r="F1265" s="34">
        <v>1</v>
      </c>
      <c r="G1265" s="64">
        <v>3900</v>
      </c>
      <c r="H1265" s="34"/>
      <c r="I1265" s="64"/>
      <c r="J1265" s="64"/>
      <c r="K1265" s="64">
        <f t="shared" ref="K1265:K1296" si="42">J1265+G1265</f>
        <v>3900</v>
      </c>
      <c r="L1265" s="49">
        <v>20221123</v>
      </c>
    </row>
    <row r="1266" spans="1:12" x14ac:dyDescent="0.25">
      <c r="A1266" s="50" t="s">
        <v>2418</v>
      </c>
      <c r="B1266" s="30" t="s">
        <v>1209</v>
      </c>
      <c r="C1266" s="30" t="s">
        <v>94</v>
      </c>
      <c r="D1266" s="30" t="s">
        <v>95</v>
      </c>
      <c r="E1266" s="30" t="s">
        <v>2419</v>
      </c>
      <c r="F1266" s="30">
        <v>1</v>
      </c>
      <c r="G1266" s="44">
        <v>3900</v>
      </c>
      <c r="H1266" s="30"/>
      <c r="I1266" s="44"/>
      <c r="J1266" s="44"/>
      <c r="K1266" s="44">
        <f t="shared" si="42"/>
        <v>3900</v>
      </c>
      <c r="L1266" s="51">
        <v>20221128</v>
      </c>
    </row>
    <row r="1267" spans="1:12" x14ac:dyDescent="0.25">
      <c r="A1267" s="50" t="s">
        <v>2417</v>
      </c>
      <c r="B1267" s="30" t="s">
        <v>11</v>
      </c>
      <c r="C1267" s="30" t="s">
        <v>770</v>
      </c>
      <c r="D1267" s="30" t="s">
        <v>24</v>
      </c>
      <c r="E1267" s="30" t="s">
        <v>777</v>
      </c>
      <c r="F1267" s="30">
        <v>1</v>
      </c>
      <c r="G1267" s="44">
        <v>3900</v>
      </c>
      <c r="H1267" s="30"/>
      <c r="I1267" s="44"/>
      <c r="J1267" s="44"/>
      <c r="K1267" s="44">
        <f t="shared" si="42"/>
        <v>3900</v>
      </c>
      <c r="L1267" s="51">
        <v>20221201</v>
      </c>
    </row>
    <row r="1268" spans="1:12" x14ac:dyDescent="0.25">
      <c r="A1268" s="52" t="s">
        <v>2414</v>
      </c>
      <c r="B1268" s="32" t="s">
        <v>11</v>
      </c>
      <c r="C1268" s="32" t="s">
        <v>163</v>
      </c>
      <c r="D1268" s="32" t="s">
        <v>164</v>
      </c>
      <c r="E1268" s="32" t="s">
        <v>361</v>
      </c>
      <c r="F1268" s="32">
        <v>1</v>
      </c>
      <c r="G1268" s="45">
        <v>3900</v>
      </c>
      <c r="H1268" s="32">
        <v>126</v>
      </c>
      <c r="I1268" s="45">
        <v>50</v>
      </c>
      <c r="J1268" s="45">
        <f>I1268*H1268</f>
        <v>6300</v>
      </c>
      <c r="K1268" s="45">
        <f t="shared" si="42"/>
        <v>10200</v>
      </c>
      <c r="L1268" s="53">
        <v>20221202</v>
      </c>
    </row>
    <row r="1269" spans="1:12" x14ac:dyDescent="0.25">
      <c r="A1269" s="50" t="s">
        <v>2413</v>
      </c>
      <c r="B1269" s="30" t="s">
        <v>11</v>
      </c>
      <c r="C1269" s="30" t="s">
        <v>163</v>
      </c>
      <c r="D1269" s="30" t="s">
        <v>164</v>
      </c>
      <c r="E1269" s="30" t="s">
        <v>166</v>
      </c>
      <c r="F1269" s="30">
        <v>1</v>
      </c>
      <c r="G1269" s="44">
        <v>3900</v>
      </c>
      <c r="H1269" s="30"/>
      <c r="I1269" s="44"/>
      <c r="J1269" s="44"/>
      <c r="K1269" s="44">
        <f t="shared" si="42"/>
        <v>3900</v>
      </c>
      <c r="L1269" s="51">
        <v>20221202</v>
      </c>
    </row>
    <row r="1270" spans="1:12" x14ac:dyDescent="0.25">
      <c r="A1270" s="50" t="s">
        <v>2415</v>
      </c>
      <c r="B1270" s="30" t="s">
        <v>11</v>
      </c>
      <c r="C1270" s="30" t="s">
        <v>57</v>
      </c>
      <c r="D1270" s="30" t="s">
        <v>58</v>
      </c>
      <c r="E1270" s="30" t="s">
        <v>59</v>
      </c>
      <c r="F1270" s="30">
        <v>1</v>
      </c>
      <c r="G1270" s="44">
        <v>3900</v>
      </c>
      <c r="H1270" s="30"/>
      <c r="I1270" s="44"/>
      <c r="J1270" s="44"/>
      <c r="K1270" s="44">
        <f t="shared" si="42"/>
        <v>3900</v>
      </c>
      <c r="L1270" s="51">
        <v>20221206</v>
      </c>
    </row>
    <row r="1271" spans="1:12" x14ac:dyDescent="0.25">
      <c r="A1271" s="52" t="s">
        <v>2416</v>
      </c>
      <c r="B1271" s="32" t="s">
        <v>11</v>
      </c>
      <c r="C1271" s="32" t="s">
        <v>28</v>
      </c>
      <c r="D1271" s="32" t="s">
        <v>1762</v>
      </c>
      <c r="E1271" s="32" t="s">
        <v>2409</v>
      </c>
      <c r="F1271" s="32">
        <v>1</v>
      </c>
      <c r="G1271" s="45">
        <v>3900</v>
      </c>
      <c r="H1271" s="32">
        <v>376</v>
      </c>
      <c r="I1271" s="45">
        <v>50</v>
      </c>
      <c r="J1271" s="45">
        <f>I1271*H1271</f>
        <v>18800</v>
      </c>
      <c r="K1271" s="45">
        <f t="shared" si="42"/>
        <v>22700</v>
      </c>
      <c r="L1271" s="53">
        <v>20221212</v>
      </c>
    </row>
    <row r="1272" spans="1:12" x14ac:dyDescent="0.25">
      <c r="A1272" s="50" t="s">
        <v>2411</v>
      </c>
      <c r="B1272" s="30" t="s">
        <v>11</v>
      </c>
      <c r="C1272" s="30" t="s">
        <v>26</v>
      </c>
      <c r="D1272" s="30" t="s">
        <v>521</v>
      </c>
      <c r="E1272" s="30" t="s">
        <v>524</v>
      </c>
      <c r="F1272" s="30">
        <v>1</v>
      </c>
      <c r="G1272" s="44">
        <v>3900</v>
      </c>
      <c r="H1272" s="30"/>
      <c r="I1272" s="44"/>
      <c r="J1272" s="44"/>
      <c r="K1272" s="44">
        <f t="shared" si="42"/>
        <v>3900</v>
      </c>
      <c r="L1272" s="51">
        <v>20221213</v>
      </c>
    </row>
    <row r="1273" spans="1:12" x14ac:dyDescent="0.25">
      <c r="A1273" s="50" t="s">
        <v>2406</v>
      </c>
      <c r="B1273" s="30" t="s">
        <v>11</v>
      </c>
      <c r="C1273" s="30" t="s">
        <v>26</v>
      </c>
      <c r="D1273" s="30" t="s">
        <v>179</v>
      </c>
      <c r="E1273" s="30" t="s">
        <v>223</v>
      </c>
      <c r="F1273" s="30">
        <v>1</v>
      </c>
      <c r="G1273" s="44">
        <v>3900</v>
      </c>
      <c r="H1273" s="30"/>
      <c r="I1273" s="44"/>
      <c r="J1273" s="44"/>
      <c r="K1273" s="44">
        <f t="shared" si="42"/>
        <v>3900</v>
      </c>
      <c r="L1273" s="51">
        <v>20221213</v>
      </c>
    </row>
    <row r="1274" spans="1:12" x14ac:dyDescent="0.25">
      <c r="A1274" s="50" t="s">
        <v>2412</v>
      </c>
      <c r="B1274" s="30" t="s">
        <v>11</v>
      </c>
      <c r="C1274" s="30" t="s">
        <v>103</v>
      </c>
      <c r="D1274" s="30" t="s">
        <v>104</v>
      </c>
      <c r="E1274" s="30" t="s">
        <v>217</v>
      </c>
      <c r="F1274" s="30">
        <v>1</v>
      </c>
      <c r="G1274" s="44">
        <v>3900</v>
      </c>
      <c r="H1274" s="30"/>
      <c r="I1274" s="44"/>
      <c r="J1274" s="44"/>
      <c r="K1274" s="44">
        <f t="shared" si="42"/>
        <v>3900</v>
      </c>
      <c r="L1274" s="51">
        <v>20221214</v>
      </c>
    </row>
    <row r="1275" spans="1:12" x14ac:dyDescent="0.25">
      <c r="A1275" s="52" t="s">
        <v>2391</v>
      </c>
      <c r="B1275" s="32" t="s">
        <v>11</v>
      </c>
      <c r="C1275" s="32" t="s">
        <v>28</v>
      </c>
      <c r="D1275" s="32" t="s">
        <v>2284</v>
      </c>
      <c r="E1275" s="32" t="s">
        <v>2285</v>
      </c>
      <c r="F1275" s="32">
        <v>1</v>
      </c>
      <c r="G1275" s="45">
        <v>3900</v>
      </c>
      <c r="H1275" s="32">
        <v>153</v>
      </c>
      <c r="I1275" s="45">
        <v>50</v>
      </c>
      <c r="J1275" s="45">
        <f>I1275*H1275</f>
        <v>7650</v>
      </c>
      <c r="K1275" s="45">
        <f t="shared" si="42"/>
        <v>11550</v>
      </c>
      <c r="L1275" s="53">
        <v>20221214</v>
      </c>
    </row>
    <row r="1276" spans="1:12" x14ac:dyDescent="0.25">
      <c r="A1276" s="52" t="s">
        <v>2405</v>
      </c>
      <c r="B1276" s="32" t="s">
        <v>11</v>
      </c>
      <c r="C1276" s="32" t="s">
        <v>2230</v>
      </c>
      <c r="D1276" s="32" t="s">
        <v>2231</v>
      </c>
      <c r="E1276" s="32" t="s">
        <v>2232</v>
      </c>
      <c r="F1276" s="32">
        <v>1</v>
      </c>
      <c r="G1276" s="45">
        <v>3900</v>
      </c>
      <c r="H1276" s="32">
        <v>153</v>
      </c>
      <c r="I1276" s="45">
        <v>50</v>
      </c>
      <c r="J1276" s="45">
        <f>I1276*H1276</f>
        <v>7650</v>
      </c>
      <c r="K1276" s="45">
        <f t="shared" si="42"/>
        <v>11550</v>
      </c>
      <c r="L1276" s="53">
        <v>20221214</v>
      </c>
    </row>
    <row r="1277" spans="1:12" x14ac:dyDescent="0.25">
      <c r="A1277" s="50" t="s">
        <v>2410</v>
      </c>
      <c r="B1277" s="30" t="s">
        <v>11</v>
      </c>
      <c r="C1277" s="30" t="s">
        <v>29</v>
      </c>
      <c r="D1277" s="30" t="s">
        <v>24</v>
      </c>
      <c r="E1277" s="30" t="s">
        <v>208</v>
      </c>
      <c r="F1277" s="30">
        <v>1</v>
      </c>
      <c r="G1277" s="44">
        <v>3900</v>
      </c>
      <c r="H1277" s="30"/>
      <c r="I1277" s="44"/>
      <c r="J1277" s="44"/>
      <c r="K1277" s="44">
        <f t="shared" si="42"/>
        <v>3900</v>
      </c>
      <c r="L1277" s="51">
        <v>20221214</v>
      </c>
    </row>
    <row r="1278" spans="1:12" x14ac:dyDescent="0.25">
      <c r="A1278" s="50" t="s">
        <v>2407</v>
      </c>
      <c r="B1278" s="30" t="s">
        <v>11</v>
      </c>
      <c r="C1278" s="30" t="s">
        <v>29</v>
      </c>
      <c r="D1278" s="30" t="s">
        <v>1385</v>
      </c>
      <c r="E1278" s="30" t="s">
        <v>1127</v>
      </c>
      <c r="F1278" s="30">
        <v>1</v>
      </c>
      <c r="G1278" s="44">
        <v>3900</v>
      </c>
      <c r="H1278" s="30"/>
      <c r="I1278" s="44"/>
      <c r="J1278" s="44"/>
      <c r="K1278" s="44">
        <f t="shared" si="42"/>
        <v>3900</v>
      </c>
      <c r="L1278" s="51">
        <v>20221214</v>
      </c>
    </row>
    <row r="1279" spans="1:12" x14ac:dyDescent="0.25">
      <c r="A1279" s="50" t="s">
        <v>2389</v>
      </c>
      <c r="B1279" s="30" t="s">
        <v>11</v>
      </c>
      <c r="C1279" s="30" t="s">
        <v>1393</v>
      </c>
      <c r="D1279" s="30" t="s">
        <v>1394</v>
      </c>
      <c r="E1279" s="30" t="s">
        <v>2163</v>
      </c>
      <c r="F1279" s="30">
        <v>1</v>
      </c>
      <c r="G1279" s="44">
        <v>3900</v>
      </c>
      <c r="H1279" s="30"/>
      <c r="I1279" s="44"/>
      <c r="J1279" s="44"/>
      <c r="K1279" s="44">
        <f t="shared" si="42"/>
        <v>3900</v>
      </c>
      <c r="L1279" s="51">
        <v>20221216</v>
      </c>
    </row>
    <row r="1280" spans="1:12" x14ac:dyDescent="0.25">
      <c r="A1280" s="50" t="s">
        <v>2403</v>
      </c>
      <c r="B1280" s="30" t="s">
        <v>1209</v>
      </c>
      <c r="C1280" s="30" t="s">
        <v>94</v>
      </c>
      <c r="D1280" s="30" t="s">
        <v>95</v>
      </c>
      <c r="E1280" s="30" t="s">
        <v>2404</v>
      </c>
      <c r="F1280" s="30">
        <v>1</v>
      </c>
      <c r="G1280" s="44">
        <v>3900</v>
      </c>
      <c r="H1280" s="30"/>
      <c r="I1280" s="44"/>
      <c r="J1280" s="44"/>
      <c r="K1280" s="44">
        <f t="shared" si="42"/>
        <v>3900</v>
      </c>
      <c r="L1280" s="51">
        <v>20221216</v>
      </c>
    </row>
    <row r="1281" spans="1:12" x14ac:dyDescent="0.25">
      <c r="A1281" s="50" t="s">
        <v>2383</v>
      </c>
      <c r="B1281" s="30" t="s">
        <v>11</v>
      </c>
      <c r="C1281" s="30" t="s">
        <v>251</v>
      </c>
      <c r="D1281" s="30" t="s">
        <v>933</v>
      </c>
      <c r="E1281" s="30" t="s">
        <v>934</v>
      </c>
      <c r="F1281" s="30">
        <v>1</v>
      </c>
      <c r="G1281" s="44">
        <v>3900</v>
      </c>
      <c r="H1281" s="30"/>
      <c r="I1281" s="44"/>
      <c r="J1281" s="44"/>
      <c r="K1281" s="44">
        <f t="shared" si="42"/>
        <v>3900</v>
      </c>
      <c r="L1281" s="51">
        <v>20221221</v>
      </c>
    </row>
    <row r="1282" spans="1:12" x14ac:dyDescent="0.25">
      <c r="A1282" s="50" t="s">
        <v>2386</v>
      </c>
      <c r="B1282" s="30" t="s">
        <v>11</v>
      </c>
      <c r="C1282" s="30" t="s">
        <v>873</v>
      </c>
      <c r="D1282" s="30" t="s">
        <v>1844</v>
      </c>
      <c r="E1282" s="30" t="s">
        <v>2387</v>
      </c>
      <c r="F1282" s="30">
        <v>1</v>
      </c>
      <c r="G1282" s="44">
        <v>3900</v>
      </c>
      <c r="H1282" s="30"/>
      <c r="I1282" s="44"/>
      <c r="J1282" s="44"/>
      <c r="K1282" s="44">
        <f t="shared" si="42"/>
        <v>3900</v>
      </c>
      <c r="L1282" s="51">
        <v>20221221</v>
      </c>
    </row>
    <row r="1283" spans="1:12" x14ac:dyDescent="0.25">
      <c r="A1283" s="52" t="s">
        <v>2385</v>
      </c>
      <c r="B1283" s="32" t="s">
        <v>11</v>
      </c>
      <c r="C1283" s="32" t="s">
        <v>103</v>
      </c>
      <c r="D1283" s="32" t="s">
        <v>104</v>
      </c>
      <c r="E1283" s="32" t="s">
        <v>908</v>
      </c>
      <c r="F1283" s="32">
        <v>1</v>
      </c>
      <c r="G1283" s="45">
        <v>3900</v>
      </c>
      <c r="H1283" s="32">
        <v>165</v>
      </c>
      <c r="I1283" s="45">
        <v>50</v>
      </c>
      <c r="J1283" s="45">
        <f>I1283*H1283</f>
        <v>8250</v>
      </c>
      <c r="K1283" s="45">
        <f t="shared" si="42"/>
        <v>12150</v>
      </c>
      <c r="L1283" s="53">
        <v>20221222</v>
      </c>
    </row>
    <row r="1284" spans="1:12" x14ac:dyDescent="0.25">
      <c r="A1284" s="50" t="s">
        <v>2420</v>
      </c>
      <c r="B1284" s="30" t="s">
        <v>11</v>
      </c>
      <c r="C1284" s="30" t="s">
        <v>103</v>
      </c>
      <c r="D1284" s="30" t="s">
        <v>104</v>
      </c>
      <c r="E1284" s="30" t="s">
        <v>904</v>
      </c>
      <c r="F1284" s="30">
        <v>1</v>
      </c>
      <c r="G1284" s="44">
        <v>3900</v>
      </c>
      <c r="H1284" s="30"/>
      <c r="I1284" s="44"/>
      <c r="J1284" s="44"/>
      <c r="K1284" s="44">
        <f t="shared" si="42"/>
        <v>3900</v>
      </c>
      <c r="L1284" s="51">
        <v>20221222</v>
      </c>
    </row>
    <row r="1285" spans="1:12" x14ac:dyDescent="0.25">
      <c r="A1285" s="50" t="s">
        <v>2379</v>
      </c>
      <c r="B1285" s="30" t="s">
        <v>11</v>
      </c>
      <c r="C1285" s="30" t="s">
        <v>57</v>
      </c>
      <c r="D1285" s="30" t="s">
        <v>58</v>
      </c>
      <c r="E1285" s="30" t="s">
        <v>62</v>
      </c>
      <c r="F1285" s="30">
        <v>1</v>
      </c>
      <c r="G1285" s="44">
        <v>3900</v>
      </c>
      <c r="H1285" s="30"/>
      <c r="I1285" s="44"/>
      <c r="J1285" s="44"/>
      <c r="K1285" s="44">
        <f t="shared" si="42"/>
        <v>3900</v>
      </c>
      <c r="L1285" s="51">
        <v>20221226</v>
      </c>
    </row>
    <row r="1286" spans="1:12" x14ac:dyDescent="0.25">
      <c r="A1286" s="50" t="s">
        <v>2384</v>
      </c>
      <c r="B1286" s="30" t="s">
        <v>11</v>
      </c>
      <c r="C1286" s="30" t="s">
        <v>1006</v>
      </c>
      <c r="D1286" s="30" t="s">
        <v>24</v>
      </c>
      <c r="E1286" s="30" t="s">
        <v>2362</v>
      </c>
      <c r="F1286" s="30">
        <v>1</v>
      </c>
      <c r="G1286" s="44">
        <v>3900</v>
      </c>
      <c r="H1286" s="30"/>
      <c r="I1286" s="44"/>
      <c r="J1286" s="44"/>
      <c r="K1286" s="44">
        <f t="shared" si="42"/>
        <v>3900</v>
      </c>
      <c r="L1286" s="51">
        <v>20221226</v>
      </c>
    </row>
    <row r="1287" spans="1:12" x14ac:dyDescent="0.25">
      <c r="A1287" s="52" t="s">
        <v>2388</v>
      </c>
      <c r="B1287" s="32" t="s">
        <v>11</v>
      </c>
      <c r="C1287" s="32" t="s">
        <v>134</v>
      </c>
      <c r="D1287" s="32" t="s">
        <v>135</v>
      </c>
      <c r="E1287" s="32" t="s">
        <v>190</v>
      </c>
      <c r="F1287" s="32">
        <v>1</v>
      </c>
      <c r="G1287" s="45">
        <v>3900</v>
      </c>
      <c r="H1287" s="32">
        <v>23</v>
      </c>
      <c r="I1287" s="45">
        <v>50</v>
      </c>
      <c r="J1287" s="45">
        <f>I1287*H1287</f>
        <v>1150</v>
      </c>
      <c r="K1287" s="45">
        <f t="shared" si="42"/>
        <v>5050</v>
      </c>
      <c r="L1287" s="53">
        <v>20221226</v>
      </c>
    </row>
    <row r="1288" spans="1:12" x14ac:dyDescent="0.25">
      <c r="A1288" s="50" t="s">
        <v>2390</v>
      </c>
      <c r="B1288" s="30" t="s">
        <v>779</v>
      </c>
      <c r="C1288" s="30" t="s">
        <v>29</v>
      </c>
      <c r="D1288" s="30" t="s">
        <v>389</v>
      </c>
      <c r="E1288" s="30" t="s">
        <v>390</v>
      </c>
      <c r="F1288" s="30">
        <v>1</v>
      </c>
      <c r="G1288" s="44">
        <v>3900</v>
      </c>
      <c r="H1288" s="30"/>
      <c r="I1288" s="44"/>
      <c r="J1288" s="44"/>
      <c r="K1288" s="44">
        <f t="shared" si="42"/>
        <v>3900</v>
      </c>
      <c r="L1288" s="51">
        <v>20221226</v>
      </c>
    </row>
    <row r="1289" spans="1:12" x14ac:dyDescent="0.25">
      <c r="A1289" s="50" t="s">
        <v>2374</v>
      </c>
      <c r="B1289" s="30" t="s">
        <v>11</v>
      </c>
      <c r="C1289" s="30" t="s">
        <v>364</v>
      </c>
      <c r="D1289" s="30" t="s">
        <v>24</v>
      </c>
      <c r="E1289" s="30" t="s">
        <v>695</v>
      </c>
      <c r="F1289" s="30">
        <v>1</v>
      </c>
      <c r="G1289" s="44">
        <v>3900</v>
      </c>
      <c r="H1289" s="30"/>
      <c r="I1289" s="44"/>
      <c r="J1289" s="44"/>
      <c r="K1289" s="44">
        <f t="shared" si="42"/>
        <v>3900</v>
      </c>
      <c r="L1289" s="51">
        <v>20221227</v>
      </c>
    </row>
    <row r="1290" spans="1:12" x14ac:dyDescent="0.25">
      <c r="A1290" s="50" t="s">
        <v>2373</v>
      </c>
      <c r="B1290" s="30" t="s">
        <v>11</v>
      </c>
      <c r="C1290" s="30" t="s">
        <v>251</v>
      </c>
      <c r="D1290" s="30" t="s">
        <v>252</v>
      </c>
      <c r="E1290" s="30" t="s">
        <v>253</v>
      </c>
      <c r="F1290" s="30">
        <v>1</v>
      </c>
      <c r="G1290" s="44">
        <v>3900</v>
      </c>
      <c r="H1290" s="30"/>
      <c r="I1290" s="44"/>
      <c r="J1290" s="44"/>
      <c r="K1290" s="44">
        <f t="shared" si="42"/>
        <v>3900</v>
      </c>
      <c r="L1290" s="51">
        <v>20221228</v>
      </c>
    </row>
    <row r="1291" spans="1:12" x14ac:dyDescent="0.25">
      <c r="A1291" s="50" t="s">
        <v>2371</v>
      </c>
      <c r="B1291" s="30" t="s">
        <v>11</v>
      </c>
      <c r="C1291" s="30" t="s">
        <v>29</v>
      </c>
      <c r="D1291" s="30" t="s">
        <v>1385</v>
      </c>
      <c r="E1291" s="30" t="s">
        <v>209</v>
      </c>
      <c r="F1291" s="30">
        <v>1</v>
      </c>
      <c r="G1291" s="44">
        <v>3900</v>
      </c>
      <c r="H1291" s="30"/>
      <c r="I1291" s="44"/>
      <c r="J1291" s="44"/>
      <c r="K1291" s="44">
        <f t="shared" si="42"/>
        <v>3900</v>
      </c>
      <c r="L1291" s="51">
        <v>20221228</v>
      </c>
    </row>
    <row r="1292" spans="1:12" x14ac:dyDescent="0.25">
      <c r="A1292" s="50" t="s">
        <v>2372</v>
      </c>
      <c r="B1292" s="30" t="s">
        <v>11</v>
      </c>
      <c r="C1292" s="30" t="s">
        <v>91</v>
      </c>
      <c r="D1292" s="30" t="s">
        <v>24</v>
      </c>
      <c r="E1292" s="30" t="s">
        <v>92</v>
      </c>
      <c r="F1292" s="30">
        <v>1</v>
      </c>
      <c r="G1292" s="44">
        <v>3900</v>
      </c>
      <c r="H1292" s="30"/>
      <c r="I1292" s="44"/>
      <c r="J1292" s="44"/>
      <c r="K1292" s="44">
        <f t="shared" si="42"/>
        <v>3900</v>
      </c>
      <c r="L1292" s="51">
        <v>20221228</v>
      </c>
    </row>
    <row r="1293" spans="1:12" x14ac:dyDescent="0.25">
      <c r="A1293" s="50" t="s">
        <v>2375</v>
      </c>
      <c r="B1293" s="30" t="s">
        <v>1209</v>
      </c>
      <c r="C1293" s="30" t="s">
        <v>1450</v>
      </c>
      <c r="D1293" s="30" t="s">
        <v>1592</v>
      </c>
      <c r="E1293" s="30" t="s">
        <v>2376</v>
      </c>
      <c r="F1293" s="30">
        <v>1</v>
      </c>
      <c r="G1293" s="44">
        <v>3900</v>
      </c>
      <c r="H1293" s="30"/>
      <c r="I1293" s="44"/>
      <c r="J1293" s="44"/>
      <c r="K1293" s="44">
        <f t="shared" si="42"/>
        <v>3900</v>
      </c>
      <c r="L1293" s="51">
        <v>20221228</v>
      </c>
    </row>
    <row r="1294" spans="1:12" x14ac:dyDescent="0.25">
      <c r="A1294" s="50" t="s">
        <v>2377</v>
      </c>
      <c r="B1294" s="30" t="s">
        <v>1209</v>
      </c>
      <c r="C1294" s="30" t="s">
        <v>1450</v>
      </c>
      <c r="D1294" s="30" t="s">
        <v>1592</v>
      </c>
      <c r="E1294" s="30" t="s">
        <v>2378</v>
      </c>
      <c r="F1294" s="30">
        <v>1</v>
      </c>
      <c r="G1294" s="44">
        <v>3900</v>
      </c>
      <c r="H1294" s="30"/>
      <c r="I1294" s="44"/>
      <c r="J1294" s="44"/>
      <c r="K1294" s="44">
        <f t="shared" si="42"/>
        <v>3900</v>
      </c>
      <c r="L1294" s="51">
        <v>20221228</v>
      </c>
    </row>
    <row r="1295" spans="1:12" x14ac:dyDescent="0.25">
      <c r="A1295" s="121" t="s">
        <v>2380</v>
      </c>
      <c r="B1295" s="122" t="s">
        <v>1209</v>
      </c>
      <c r="C1295" s="122" t="s">
        <v>666</v>
      </c>
      <c r="D1295" s="122" t="s">
        <v>2381</v>
      </c>
      <c r="E1295" s="122" t="s">
        <v>2382</v>
      </c>
      <c r="F1295" s="122">
        <v>1</v>
      </c>
      <c r="G1295" s="123">
        <v>7800</v>
      </c>
      <c r="H1295" s="122"/>
      <c r="I1295" s="123"/>
      <c r="J1295" s="123"/>
      <c r="K1295" s="123">
        <f t="shared" si="42"/>
        <v>7800</v>
      </c>
      <c r="L1295" s="124">
        <v>20221228</v>
      </c>
    </row>
    <row r="1296" spans="1:12" ht="15.75" thickBot="1" x14ac:dyDescent="0.3">
      <c r="A1296" s="54" t="s">
        <v>2370</v>
      </c>
      <c r="B1296" s="36" t="s">
        <v>11</v>
      </c>
      <c r="C1296" s="36" t="s">
        <v>29</v>
      </c>
      <c r="D1296" s="36" t="s">
        <v>1385</v>
      </c>
      <c r="E1296" s="36" t="s">
        <v>628</v>
      </c>
      <c r="F1296" s="36">
        <v>1</v>
      </c>
      <c r="G1296" s="65">
        <v>3900</v>
      </c>
      <c r="H1296" s="36"/>
      <c r="I1296" s="65"/>
      <c r="J1296" s="65"/>
      <c r="K1296" s="65">
        <f t="shared" si="42"/>
        <v>3900</v>
      </c>
      <c r="L1296" s="55">
        <v>20221229</v>
      </c>
    </row>
    <row r="1297" spans="1:12" ht="15.75" thickBot="1" x14ac:dyDescent="0.3">
      <c r="A1297" s="99"/>
      <c r="B1297" s="100"/>
      <c r="C1297" s="100"/>
      <c r="D1297" s="100"/>
      <c r="E1297" s="100"/>
      <c r="F1297" s="100"/>
      <c r="G1297" s="101"/>
      <c r="H1297" s="100"/>
      <c r="I1297" s="101"/>
      <c r="J1297" s="101"/>
      <c r="K1297" s="101"/>
      <c r="L1297" s="102"/>
    </row>
    <row r="1298" spans="1:12" x14ac:dyDescent="0.25">
      <c r="A1298" s="48" t="s">
        <v>2408</v>
      </c>
      <c r="B1298" s="34" t="s">
        <v>137</v>
      </c>
      <c r="C1298" s="34" t="s">
        <v>28</v>
      </c>
      <c r="D1298" s="34" t="s">
        <v>1762</v>
      </c>
      <c r="E1298" s="34" t="s">
        <v>2409</v>
      </c>
      <c r="F1298" s="34">
        <v>1</v>
      </c>
      <c r="G1298" s="64">
        <v>1950</v>
      </c>
      <c r="H1298" s="34"/>
      <c r="I1298" s="64"/>
      <c r="J1298" s="64"/>
      <c r="K1298" s="64">
        <f t="shared" ref="K1298:K1309" si="43">J1298+G1298</f>
        <v>1950</v>
      </c>
      <c r="L1298" s="49">
        <v>20221212</v>
      </c>
    </row>
    <row r="1299" spans="1:12" x14ac:dyDescent="0.25">
      <c r="A1299" s="50" t="s">
        <v>2401</v>
      </c>
      <c r="B1299" s="30" t="s">
        <v>137</v>
      </c>
      <c r="C1299" s="30" t="s">
        <v>29</v>
      </c>
      <c r="D1299" s="30" t="s">
        <v>24</v>
      </c>
      <c r="E1299" s="30" t="s">
        <v>1320</v>
      </c>
      <c r="F1299" s="30">
        <v>1</v>
      </c>
      <c r="G1299" s="44">
        <v>1950</v>
      </c>
      <c r="H1299" s="30"/>
      <c r="I1299" s="44"/>
      <c r="J1299" s="44"/>
      <c r="K1299" s="44">
        <f t="shared" si="43"/>
        <v>1950</v>
      </c>
      <c r="L1299" s="51">
        <v>20221214</v>
      </c>
    </row>
    <row r="1300" spans="1:12" x14ac:dyDescent="0.25">
      <c r="A1300" s="50" t="s">
        <v>2400</v>
      </c>
      <c r="B1300" s="30" t="s">
        <v>137</v>
      </c>
      <c r="C1300" s="30" t="s">
        <v>29</v>
      </c>
      <c r="D1300" s="30" t="s">
        <v>24</v>
      </c>
      <c r="E1300" s="30" t="s">
        <v>1497</v>
      </c>
      <c r="F1300" s="30">
        <v>1</v>
      </c>
      <c r="G1300" s="44">
        <v>1950</v>
      </c>
      <c r="H1300" s="30"/>
      <c r="I1300" s="44"/>
      <c r="J1300" s="44"/>
      <c r="K1300" s="44">
        <f t="shared" si="43"/>
        <v>1950</v>
      </c>
      <c r="L1300" s="51">
        <v>20221214</v>
      </c>
    </row>
    <row r="1301" spans="1:12" x14ac:dyDescent="0.25">
      <c r="A1301" s="50" t="s">
        <v>2396</v>
      </c>
      <c r="B1301" s="30" t="s">
        <v>137</v>
      </c>
      <c r="C1301" s="30" t="s">
        <v>29</v>
      </c>
      <c r="D1301" s="30" t="s">
        <v>24</v>
      </c>
      <c r="E1301" s="30" t="s">
        <v>632</v>
      </c>
      <c r="F1301" s="30">
        <v>1</v>
      </c>
      <c r="G1301" s="44">
        <v>1950</v>
      </c>
      <c r="H1301" s="30"/>
      <c r="I1301" s="44"/>
      <c r="J1301" s="44"/>
      <c r="K1301" s="44">
        <f t="shared" si="43"/>
        <v>1950</v>
      </c>
      <c r="L1301" s="51">
        <v>20221214</v>
      </c>
    </row>
    <row r="1302" spans="1:12" x14ac:dyDescent="0.25">
      <c r="A1302" s="50" t="s">
        <v>2402</v>
      </c>
      <c r="B1302" s="30" t="s">
        <v>137</v>
      </c>
      <c r="C1302" s="30" t="s">
        <v>29</v>
      </c>
      <c r="D1302" s="30" t="s">
        <v>1385</v>
      </c>
      <c r="E1302" s="30" t="s">
        <v>210</v>
      </c>
      <c r="F1302" s="30">
        <v>1</v>
      </c>
      <c r="G1302" s="44">
        <v>1950</v>
      </c>
      <c r="H1302" s="30"/>
      <c r="I1302" s="44"/>
      <c r="J1302" s="44"/>
      <c r="K1302" s="44">
        <f t="shared" si="43"/>
        <v>1950</v>
      </c>
      <c r="L1302" s="51">
        <v>20221214</v>
      </c>
    </row>
    <row r="1303" spans="1:12" x14ac:dyDescent="0.25">
      <c r="A1303" s="50" t="s">
        <v>2399</v>
      </c>
      <c r="B1303" s="30" t="s">
        <v>137</v>
      </c>
      <c r="C1303" s="30" t="s">
        <v>29</v>
      </c>
      <c r="D1303" s="30" t="s">
        <v>1385</v>
      </c>
      <c r="E1303" s="30" t="s">
        <v>1290</v>
      </c>
      <c r="F1303" s="30">
        <v>1</v>
      </c>
      <c r="G1303" s="44">
        <v>1950</v>
      </c>
      <c r="H1303" s="30"/>
      <c r="I1303" s="44"/>
      <c r="J1303" s="44"/>
      <c r="K1303" s="44">
        <f t="shared" si="43"/>
        <v>1950</v>
      </c>
      <c r="L1303" s="51">
        <v>20221214</v>
      </c>
    </row>
    <row r="1304" spans="1:12" x14ac:dyDescent="0.25">
      <c r="A1304" s="50" t="s">
        <v>2398</v>
      </c>
      <c r="B1304" s="30" t="s">
        <v>137</v>
      </c>
      <c r="C1304" s="30" t="s">
        <v>29</v>
      </c>
      <c r="D1304" s="30" t="s">
        <v>1385</v>
      </c>
      <c r="E1304" s="30" t="s">
        <v>1386</v>
      </c>
      <c r="F1304" s="30">
        <v>1</v>
      </c>
      <c r="G1304" s="44">
        <v>1950</v>
      </c>
      <c r="H1304" s="30"/>
      <c r="I1304" s="44"/>
      <c r="J1304" s="44"/>
      <c r="K1304" s="44">
        <f t="shared" si="43"/>
        <v>1950</v>
      </c>
      <c r="L1304" s="51">
        <v>20221214</v>
      </c>
    </row>
    <row r="1305" spans="1:12" x14ac:dyDescent="0.25">
      <c r="A1305" s="50" t="s">
        <v>2397</v>
      </c>
      <c r="B1305" s="30" t="s">
        <v>137</v>
      </c>
      <c r="C1305" s="30" t="s">
        <v>29</v>
      </c>
      <c r="D1305" s="30" t="s">
        <v>1385</v>
      </c>
      <c r="E1305" s="30" t="s">
        <v>2101</v>
      </c>
      <c r="F1305" s="30">
        <v>1</v>
      </c>
      <c r="G1305" s="44">
        <v>1950</v>
      </c>
      <c r="H1305" s="30"/>
      <c r="I1305" s="44"/>
      <c r="J1305" s="44"/>
      <c r="K1305" s="44">
        <f t="shared" si="43"/>
        <v>1950</v>
      </c>
      <c r="L1305" s="51">
        <v>20221214</v>
      </c>
    </row>
    <row r="1306" spans="1:12" x14ac:dyDescent="0.25">
      <c r="A1306" s="50" t="s">
        <v>2395</v>
      </c>
      <c r="B1306" s="30" t="s">
        <v>137</v>
      </c>
      <c r="C1306" s="30" t="s">
        <v>29</v>
      </c>
      <c r="D1306" s="30" t="s">
        <v>1385</v>
      </c>
      <c r="E1306" s="30" t="s">
        <v>209</v>
      </c>
      <c r="F1306" s="30">
        <v>1</v>
      </c>
      <c r="G1306" s="44">
        <v>1950</v>
      </c>
      <c r="H1306" s="30"/>
      <c r="I1306" s="44"/>
      <c r="J1306" s="44"/>
      <c r="K1306" s="44">
        <f t="shared" si="43"/>
        <v>1950</v>
      </c>
      <c r="L1306" s="51">
        <v>20221214</v>
      </c>
    </row>
    <row r="1307" spans="1:12" x14ac:dyDescent="0.25">
      <c r="A1307" s="50" t="s">
        <v>2394</v>
      </c>
      <c r="B1307" s="30" t="s">
        <v>137</v>
      </c>
      <c r="C1307" s="30" t="s">
        <v>29</v>
      </c>
      <c r="D1307" s="30" t="s">
        <v>1385</v>
      </c>
      <c r="E1307" s="30" t="s">
        <v>630</v>
      </c>
      <c r="F1307" s="30">
        <v>1</v>
      </c>
      <c r="G1307" s="44">
        <v>1950</v>
      </c>
      <c r="H1307" s="30"/>
      <c r="I1307" s="44"/>
      <c r="J1307" s="44"/>
      <c r="K1307" s="44">
        <f t="shared" si="43"/>
        <v>1950</v>
      </c>
      <c r="L1307" s="51">
        <v>20221214</v>
      </c>
    </row>
    <row r="1308" spans="1:12" x14ac:dyDescent="0.25">
      <c r="A1308" s="50" t="s">
        <v>2393</v>
      </c>
      <c r="B1308" s="30" t="s">
        <v>137</v>
      </c>
      <c r="C1308" s="30" t="s">
        <v>29</v>
      </c>
      <c r="D1308" s="30" t="s">
        <v>1385</v>
      </c>
      <c r="E1308" s="30" t="s">
        <v>628</v>
      </c>
      <c r="F1308" s="30">
        <v>1</v>
      </c>
      <c r="G1308" s="44">
        <v>1950</v>
      </c>
      <c r="H1308" s="30"/>
      <c r="I1308" s="44"/>
      <c r="J1308" s="44"/>
      <c r="K1308" s="44">
        <f t="shared" si="43"/>
        <v>1950</v>
      </c>
      <c r="L1308" s="51">
        <v>20221214</v>
      </c>
    </row>
    <row r="1309" spans="1:12" ht="15.75" thickBot="1" x14ac:dyDescent="0.3">
      <c r="A1309" s="54" t="s">
        <v>2392</v>
      </c>
      <c r="B1309" s="36" t="s">
        <v>137</v>
      </c>
      <c r="C1309" s="36" t="s">
        <v>29</v>
      </c>
      <c r="D1309" s="36" t="s">
        <v>24</v>
      </c>
      <c r="E1309" s="36" t="s">
        <v>2051</v>
      </c>
      <c r="F1309" s="36">
        <v>1</v>
      </c>
      <c r="G1309" s="65">
        <v>1950</v>
      </c>
      <c r="H1309" s="36"/>
      <c r="I1309" s="65"/>
      <c r="J1309" s="65"/>
      <c r="K1309" s="65">
        <f t="shared" si="43"/>
        <v>1950</v>
      </c>
      <c r="L1309" s="55">
        <v>20221226</v>
      </c>
    </row>
    <row r="1313" spans="1:12" ht="15.75" thickBot="1" x14ac:dyDescent="0.3">
      <c r="A1313" s="69" t="s">
        <v>0</v>
      </c>
      <c r="B1313" s="70" t="s">
        <v>1</v>
      </c>
      <c r="C1313" s="70" t="s">
        <v>2</v>
      </c>
      <c r="D1313" s="70" t="s">
        <v>3</v>
      </c>
      <c r="E1313" s="70" t="s">
        <v>4</v>
      </c>
      <c r="F1313" s="70"/>
      <c r="G1313" s="71" t="s">
        <v>6</v>
      </c>
      <c r="H1313" s="70" t="s">
        <v>7</v>
      </c>
      <c r="I1313" s="71" t="s">
        <v>8</v>
      </c>
      <c r="J1313" s="71" t="s">
        <v>9</v>
      </c>
      <c r="K1313" s="71" t="s">
        <v>10</v>
      </c>
      <c r="L1313" s="72" t="s">
        <v>5</v>
      </c>
    </row>
    <row r="1314" spans="1:12" x14ac:dyDescent="0.25">
      <c r="A1314" s="48" t="s">
        <v>2449</v>
      </c>
      <c r="B1314" s="34" t="s">
        <v>11</v>
      </c>
      <c r="C1314" s="34" t="s">
        <v>364</v>
      </c>
      <c r="D1314" s="34" t="s">
        <v>24</v>
      </c>
      <c r="E1314" s="34" t="s">
        <v>532</v>
      </c>
      <c r="F1314" s="34">
        <v>1</v>
      </c>
      <c r="G1314" s="64">
        <v>4620</v>
      </c>
      <c r="H1314" s="34"/>
      <c r="I1314" s="64"/>
      <c r="J1314" s="64"/>
      <c r="K1314" s="64">
        <f t="shared" ref="K1314:K1340" si="44">J1314+G1314</f>
        <v>4620</v>
      </c>
      <c r="L1314" s="49">
        <v>20230102</v>
      </c>
    </row>
    <row r="1315" spans="1:12" x14ac:dyDescent="0.25">
      <c r="A1315" s="50" t="s">
        <v>2451</v>
      </c>
      <c r="B1315" s="30" t="s">
        <v>11</v>
      </c>
      <c r="C1315" s="30" t="s">
        <v>364</v>
      </c>
      <c r="D1315" s="30" t="s">
        <v>24</v>
      </c>
      <c r="E1315" s="30" t="s">
        <v>1136</v>
      </c>
      <c r="F1315" s="30">
        <v>1</v>
      </c>
      <c r="G1315" s="44">
        <v>4620</v>
      </c>
      <c r="H1315" s="30"/>
      <c r="I1315" s="44"/>
      <c r="J1315" s="44"/>
      <c r="K1315" s="44">
        <f t="shared" si="44"/>
        <v>4620</v>
      </c>
      <c r="L1315" s="51">
        <v>20230102</v>
      </c>
    </row>
    <row r="1316" spans="1:12" x14ac:dyDescent="0.25">
      <c r="A1316" s="50" t="s">
        <v>2450</v>
      </c>
      <c r="B1316" s="30" t="s">
        <v>11</v>
      </c>
      <c r="C1316" s="30" t="s">
        <v>251</v>
      </c>
      <c r="D1316" s="30" t="s">
        <v>252</v>
      </c>
      <c r="E1316" s="30" t="s">
        <v>253</v>
      </c>
      <c r="F1316" s="30">
        <v>1</v>
      </c>
      <c r="G1316" s="44">
        <v>4620</v>
      </c>
      <c r="H1316" s="30"/>
      <c r="I1316" s="44"/>
      <c r="J1316" s="44"/>
      <c r="K1316" s="44">
        <f t="shared" si="44"/>
        <v>4620</v>
      </c>
      <c r="L1316" s="51">
        <v>20230103</v>
      </c>
    </row>
    <row r="1317" spans="1:12" x14ac:dyDescent="0.25">
      <c r="A1317" s="50" t="s">
        <v>2446</v>
      </c>
      <c r="B1317" s="30" t="s">
        <v>11</v>
      </c>
      <c r="C1317" s="30" t="s">
        <v>29</v>
      </c>
      <c r="D1317" s="30" t="s">
        <v>1656</v>
      </c>
      <c r="E1317" s="30" t="s">
        <v>2348</v>
      </c>
      <c r="F1317" s="30">
        <v>1</v>
      </c>
      <c r="G1317" s="44">
        <v>4620</v>
      </c>
      <c r="H1317" s="30"/>
      <c r="I1317" s="44"/>
      <c r="J1317" s="44"/>
      <c r="K1317" s="44">
        <f t="shared" si="44"/>
        <v>4620</v>
      </c>
      <c r="L1317" s="51">
        <v>20230104</v>
      </c>
    </row>
    <row r="1318" spans="1:12" x14ac:dyDescent="0.25">
      <c r="A1318" s="50" t="s">
        <v>2447</v>
      </c>
      <c r="B1318" s="30" t="s">
        <v>11</v>
      </c>
      <c r="C1318" s="30" t="s">
        <v>29</v>
      </c>
      <c r="D1318" s="30" t="s">
        <v>1656</v>
      </c>
      <c r="E1318" s="30" t="s">
        <v>2448</v>
      </c>
      <c r="F1318" s="30">
        <v>1</v>
      </c>
      <c r="G1318" s="44">
        <v>4620</v>
      </c>
      <c r="H1318" s="30"/>
      <c r="I1318" s="44"/>
      <c r="J1318" s="44"/>
      <c r="K1318" s="44">
        <f t="shared" si="44"/>
        <v>4620</v>
      </c>
      <c r="L1318" s="51">
        <v>20230104</v>
      </c>
    </row>
    <row r="1319" spans="1:12" x14ac:dyDescent="0.25">
      <c r="A1319" s="50" t="s">
        <v>2445</v>
      </c>
      <c r="B1319" s="30" t="s">
        <v>11</v>
      </c>
      <c r="C1319" s="30" t="s">
        <v>26</v>
      </c>
      <c r="D1319" s="30" t="s">
        <v>179</v>
      </c>
      <c r="E1319" s="30" t="s">
        <v>223</v>
      </c>
      <c r="F1319" s="30">
        <v>1</v>
      </c>
      <c r="G1319" s="44">
        <v>4620</v>
      </c>
      <c r="H1319" s="30"/>
      <c r="I1319" s="44"/>
      <c r="J1319" s="44"/>
      <c r="K1319" s="44">
        <f t="shared" si="44"/>
        <v>4620</v>
      </c>
      <c r="L1319" s="51">
        <v>20230105</v>
      </c>
    </row>
    <row r="1320" spans="1:12" x14ac:dyDescent="0.25">
      <c r="A1320" s="50" t="s">
        <v>2443</v>
      </c>
      <c r="B1320" s="30" t="s">
        <v>11</v>
      </c>
      <c r="C1320" s="30" t="s">
        <v>76</v>
      </c>
      <c r="D1320" s="30" t="s">
        <v>2072</v>
      </c>
      <c r="E1320" s="30" t="s">
        <v>1156</v>
      </c>
      <c r="F1320" s="30">
        <v>1</v>
      </c>
      <c r="G1320" s="44">
        <v>4620</v>
      </c>
      <c r="H1320" s="30"/>
      <c r="I1320" s="44"/>
      <c r="J1320" s="44"/>
      <c r="K1320" s="44">
        <f t="shared" si="44"/>
        <v>4620</v>
      </c>
      <c r="L1320" s="51">
        <v>20230110</v>
      </c>
    </row>
    <row r="1321" spans="1:12" x14ac:dyDescent="0.25">
      <c r="A1321" s="50" t="s">
        <v>2444</v>
      </c>
      <c r="B1321" s="30" t="s">
        <v>11</v>
      </c>
      <c r="C1321" s="30" t="s">
        <v>76</v>
      </c>
      <c r="D1321" s="30" t="s">
        <v>2072</v>
      </c>
      <c r="E1321" s="30" t="s">
        <v>77</v>
      </c>
      <c r="F1321" s="30">
        <v>1</v>
      </c>
      <c r="G1321" s="44">
        <v>4620</v>
      </c>
      <c r="H1321" s="30"/>
      <c r="I1321" s="44"/>
      <c r="J1321" s="44"/>
      <c r="K1321" s="44">
        <f t="shared" si="44"/>
        <v>4620</v>
      </c>
      <c r="L1321" s="51">
        <v>20230110</v>
      </c>
    </row>
    <row r="1322" spans="1:12" x14ac:dyDescent="0.25">
      <c r="A1322" s="52" t="s">
        <v>2455</v>
      </c>
      <c r="B1322" s="32" t="s">
        <v>1209</v>
      </c>
      <c r="C1322" s="32" t="s">
        <v>103</v>
      </c>
      <c r="D1322" s="32" t="s">
        <v>104</v>
      </c>
      <c r="E1322" s="32" t="s">
        <v>217</v>
      </c>
      <c r="F1322" s="32">
        <v>1</v>
      </c>
      <c r="G1322" s="45">
        <v>4620</v>
      </c>
      <c r="H1322" s="32">
        <v>159</v>
      </c>
      <c r="I1322" s="45">
        <v>58.7</v>
      </c>
      <c r="J1322" s="45">
        <f>I1322*H1322</f>
        <v>9333.3000000000011</v>
      </c>
      <c r="K1322" s="45">
        <f t="shared" si="44"/>
        <v>13953.300000000001</v>
      </c>
      <c r="L1322" s="53">
        <v>20230111</v>
      </c>
    </row>
    <row r="1323" spans="1:12" x14ac:dyDescent="0.25">
      <c r="A1323" s="52" t="s">
        <v>2457</v>
      </c>
      <c r="B1323" s="32" t="s">
        <v>892</v>
      </c>
      <c r="C1323" s="32" t="s">
        <v>103</v>
      </c>
      <c r="D1323" s="32" t="s">
        <v>104</v>
      </c>
      <c r="E1323" s="32" t="s">
        <v>904</v>
      </c>
      <c r="F1323" s="32">
        <v>1</v>
      </c>
      <c r="G1323" s="45">
        <v>4620</v>
      </c>
      <c r="H1323" s="32">
        <v>159</v>
      </c>
      <c r="I1323" s="45">
        <v>58.7</v>
      </c>
      <c r="J1323" s="45">
        <f>I1323*H1323</f>
        <v>9333.3000000000011</v>
      </c>
      <c r="K1323" s="45">
        <f t="shared" si="44"/>
        <v>13953.300000000001</v>
      </c>
      <c r="L1323" s="53">
        <v>20230111</v>
      </c>
    </row>
    <row r="1324" spans="1:12" x14ac:dyDescent="0.25">
      <c r="A1324" s="50" t="s">
        <v>2441</v>
      </c>
      <c r="B1324" s="30" t="s">
        <v>11</v>
      </c>
      <c r="C1324" s="30" t="s">
        <v>94</v>
      </c>
      <c r="D1324" s="30" t="s">
        <v>95</v>
      </c>
      <c r="E1324" s="30" t="s">
        <v>436</v>
      </c>
      <c r="F1324" s="30">
        <v>1</v>
      </c>
      <c r="G1324" s="44">
        <v>4620</v>
      </c>
      <c r="H1324" s="30"/>
      <c r="I1324" s="44"/>
      <c r="J1324" s="44"/>
      <c r="K1324" s="44">
        <f t="shared" si="44"/>
        <v>4620</v>
      </c>
      <c r="L1324" s="51">
        <v>20230117</v>
      </c>
    </row>
    <row r="1325" spans="1:12" x14ac:dyDescent="0.25">
      <c r="A1325" s="52" t="s">
        <v>2442</v>
      </c>
      <c r="B1325" s="32" t="s">
        <v>11</v>
      </c>
      <c r="C1325" s="32" t="s">
        <v>337</v>
      </c>
      <c r="D1325" s="32" t="s">
        <v>35</v>
      </c>
      <c r="E1325" s="32" t="s">
        <v>402</v>
      </c>
      <c r="F1325" s="32">
        <v>1</v>
      </c>
      <c r="G1325" s="45">
        <v>4620</v>
      </c>
      <c r="H1325" s="32">
        <v>72</v>
      </c>
      <c r="I1325" s="45">
        <v>58.7</v>
      </c>
      <c r="J1325" s="45">
        <f>I1325*H1325</f>
        <v>4226.4000000000005</v>
      </c>
      <c r="K1325" s="45">
        <f t="shared" si="44"/>
        <v>8846.4000000000015</v>
      </c>
      <c r="L1325" s="53">
        <v>20230120</v>
      </c>
    </row>
    <row r="1326" spans="1:12" x14ac:dyDescent="0.25">
      <c r="A1326" s="50" t="s">
        <v>2456</v>
      </c>
      <c r="B1326" s="30" t="s">
        <v>11</v>
      </c>
      <c r="C1326" s="30" t="s">
        <v>53</v>
      </c>
      <c r="D1326" s="30" t="s">
        <v>24</v>
      </c>
      <c r="E1326" s="30" t="s">
        <v>1281</v>
      </c>
      <c r="F1326" s="30">
        <v>1</v>
      </c>
      <c r="G1326" s="44">
        <v>4620</v>
      </c>
      <c r="H1326" s="30"/>
      <c r="I1326" s="44"/>
      <c r="J1326" s="44"/>
      <c r="K1326" s="44">
        <f t="shared" si="44"/>
        <v>4620</v>
      </c>
      <c r="L1326" s="51">
        <v>20230120</v>
      </c>
    </row>
    <row r="1327" spans="1:12" x14ac:dyDescent="0.25">
      <c r="A1327" s="50" t="s">
        <v>2432</v>
      </c>
      <c r="B1327" s="30" t="s">
        <v>11</v>
      </c>
      <c r="C1327" s="30" t="s">
        <v>172</v>
      </c>
      <c r="D1327" s="30" t="s">
        <v>703</v>
      </c>
      <c r="E1327" s="30" t="s">
        <v>704</v>
      </c>
      <c r="F1327" s="30">
        <v>1</v>
      </c>
      <c r="G1327" s="44">
        <v>4620</v>
      </c>
      <c r="H1327" s="30"/>
      <c r="I1327" s="44"/>
      <c r="J1327" s="44"/>
      <c r="K1327" s="44">
        <f t="shared" si="44"/>
        <v>4620</v>
      </c>
      <c r="L1327" s="51">
        <v>20230124</v>
      </c>
    </row>
    <row r="1328" spans="1:12" x14ac:dyDescent="0.25">
      <c r="A1328" s="50" t="s">
        <v>2437</v>
      </c>
      <c r="B1328" s="30" t="s">
        <v>1209</v>
      </c>
      <c r="C1328" s="30" t="s">
        <v>1450</v>
      </c>
      <c r="D1328" s="30" t="s">
        <v>1592</v>
      </c>
      <c r="E1328" s="30" t="s">
        <v>2438</v>
      </c>
      <c r="F1328" s="30">
        <v>1</v>
      </c>
      <c r="G1328" s="44">
        <v>4620</v>
      </c>
      <c r="H1328" s="30"/>
      <c r="I1328" s="44"/>
      <c r="J1328" s="44"/>
      <c r="K1328" s="44">
        <f t="shared" si="44"/>
        <v>4620</v>
      </c>
      <c r="L1328" s="51">
        <v>20230124</v>
      </c>
    </row>
    <row r="1329" spans="1:12" x14ac:dyDescent="0.25">
      <c r="A1329" s="50" t="s">
        <v>2439</v>
      </c>
      <c r="B1329" s="30" t="s">
        <v>1209</v>
      </c>
      <c r="C1329" s="30" t="s">
        <v>1450</v>
      </c>
      <c r="D1329" s="30" t="s">
        <v>1569</v>
      </c>
      <c r="E1329" s="30" t="s">
        <v>2440</v>
      </c>
      <c r="F1329" s="30">
        <v>1</v>
      </c>
      <c r="G1329" s="44">
        <v>4620</v>
      </c>
      <c r="H1329" s="30"/>
      <c r="I1329" s="44"/>
      <c r="J1329" s="44"/>
      <c r="K1329" s="44">
        <f t="shared" si="44"/>
        <v>4620</v>
      </c>
      <c r="L1329" s="51">
        <v>20230124</v>
      </c>
    </row>
    <row r="1330" spans="1:12" x14ac:dyDescent="0.25">
      <c r="A1330" s="50" t="s">
        <v>2433</v>
      </c>
      <c r="B1330" s="30" t="s">
        <v>11</v>
      </c>
      <c r="C1330" s="30" t="s">
        <v>28</v>
      </c>
      <c r="D1330" s="30" t="s">
        <v>1714</v>
      </c>
      <c r="E1330" s="30" t="s">
        <v>2434</v>
      </c>
      <c r="F1330" s="30">
        <v>1</v>
      </c>
      <c r="G1330" s="44">
        <v>4620</v>
      </c>
      <c r="H1330" s="30"/>
      <c r="I1330" s="44"/>
      <c r="J1330" s="44"/>
      <c r="K1330" s="44">
        <f t="shared" si="44"/>
        <v>4620</v>
      </c>
      <c r="L1330" s="51">
        <v>20230125</v>
      </c>
    </row>
    <row r="1331" spans="1:12" x14ac:dyDescent="0.25">
      <c r="A1331" s="52" t="s">
        <v>2435</v>
      </c>
      <c r="B1331" s="32" t="s">
        <v>11</v>
      </c>
      <c r="C1331" s="32" t="s">
        <v>28</v>
      </c>
      <c r="D1331" s="32" t="s">
        <v>1703</v>
      </c>
      <c r="E1331" s="32" t="s">
        <v>2436</v>
      </c>
      <c r="F1331" s="32">
        <v>1</v>
      </c>
      <c r="G1331" s="45">
        <v>4620</v>
      </c>
      <c r="H1331" s="32">
        <v>321</v>
      </c>
      <c r="I1331" s="45">
        <v>58.7</v>
      </c>
      <c r="J1331" s="45">
        <f>I1331*H1331</f>
        <v>18842.7</v>
      </c>
      <c r="K1331" s="45">
        <f t="shared" si="44"/>
        <v>23462.7</v>
      </c>
      <c r="L1331" s="53">
        <v>20230125</v>
      </c>
    </row>
    <row r="1332" spans="1:12" x14ac:dyDescent="0.25">
      <c r="A1332" s="52" t="s">
        <v>2427</v>
      </c>
      <c r="B1332" s="32" t="s">
        <v>11</v>
      </c>
      <c r="C1332" s="32" t="s">
        <v>28</v>
      </c>
      <c r="D1332" s="32" t="s">
        <v>1103</v>
      </c>
      <c r="E1332" s="32" t="s">
        <v>1104</v>
      </c>
      <c r="F1332" s="32">
        <v>1</v>
      </c>
      <c r="G1332" s="45">
        <v>4620</v>
      </c>
      <c r="H1332" s="32">
        <v>75</v>
      </c>
      <c r="I1332" s="45">
        <v>58.7</v>
      </c>
      <c r="J1332" s="45">
        <f>I1332*H1332</f>
        <v>4402.5</v>
      </c>
      <c r="K1332" s="45">
        <f t="shared" si="44"/>
        <v>9022.5</v>
      </c>
      <c r="L1332" s="53">
        <v>20230126</v>
      </c>
    </row>
    <row r="1333" spans="1:12" x14ac:dyDescent="0.25">
      <c r="A1333" s="50" t="s">
        <v>2428</v>
      </c>
      <c r="B1333" s="30" t="s">
        <v>11</v>
      </c>
      <c r="C1333" s="30" t="s">
        <v>364</v>
      </c>
      <c r="D1333" s="30" t="s">
        <v>24</v>
      </c>
      <c r="E1333" s="30" t="s">
        <v>1445</v>
      </c>
      <c r="F1333" s="30">
        <v>1</v>
      </c>
      <c r="G1333" s="44">
        <v>4620</v>
      </c>
      <c r="H1333" s="30"/>
      <c r="I1333" s="44"/>
      <c r="J1333" s="44"/>
      <c r="K1333" s="44">
        <f t="shared" si="44"/>
        <v>4620</v>
      </c>
      <c r="L1333" s="51">
        <v>20230126</v>
      </c>
    </row>
    <row r="1334" spans="1:12" x14ac:dyDescent="0.25">
      <c r="A1334" s="50" t="s">
        <v>2431</v>
      </c>
      <c r="B1334" s="30" t="s">
        <v>11</v>
      </c>
      <c r="C1334" s="30" t="s">
        <v>364</v>
      </c>
      <c r="D1334" s="30" t="s">
        <v>24</v>
      </c>
      <c r="E1334" s="30" t="s">
        <v>532</v>
      </c>
      <c r="F1334" s="30">
        <v>1</v>
      </c>
      <c r="G1334" s="44">
        <v>4620</v>
      </c>
      <c r="H1334" s="30"/>
      <c r="I1334" s="44"/>
      <c r="J1334" s="44"/>
      <c r="K1334" s="44">
        <f t="shared" si="44"/>
        <v>4620</v>
      </c>
      <c r="L1334" s="51">
        <v>20230126</v>
      </c>
    </row>
    <row r="1335" spans="1:12" x14ac:dyDescent="0.25">
      <c r="A1335" s="52" t="s">
        <v>2429</v>
      </c>
      <c r="B1335" s="32" t="s">
        <v>11</v>
      </c>
      <c r="C1335" s="32" t="s">
        <v>337</v>
      </c>
      <c r="D1335" s="32" t="s">
        <v>162</v>
      </c>
      <c r="E1335" s="32" t="s">
        <v>239</v>
      </c>
      <c r="F1335" s="32">
        <v>1</v>
      </c>
      <c r="G1335" s="45">
        <v>4620</v>
      </c>
      <c r="H1335" s="32">
        <v>69</v>
      </c>
      <c r="I1335" s="45">
        <v>58.7</v>
      </c>
      <c r="J1335" s="45">
        <f>I1335*H1335</f>
        <v>4050.3</v>
      </c>
      <c r="K1335" s="45">
        <f t="shared" si="44"/>
        <v>8670.2999999999993</v>
      </c>
      <c r="L1335" s="53">
        <v>20230130</v>
      </c>
    </row>
    <row r="1336" spans="1:12" x14ac:dyDescent="0.25">
      <c r="A1336" s="50" t="s">
        <v>2425</v>
      </c>
      <c r="B1336" s="30" t="s">
        <v>11</v>
      </c>
      <c r="C1336" s="30" t="s">
        <v>251</v>
      </c>
      <c r="D1336" s="30" t="s">
        <v>252</v>
      </c>
      <c r="E1336" s="30" t="s">
        <v>253</v>
      </c>
      <c r="F1336" s="30">
        <v>1</v>
      </c>
      <c r="G1336" s="44">
        <v>4620</v>
      </c>
      <c r="H1336" s="30"/>
      <c r="I1336" s="44"/>
      <c r="J1336" s="44"/>
      <c r="K1336" s="44">
        <f t="shared" si="44"/>
        <v>4620</v>
      </c>
      <c r="L1336" s="51">
        <v>20230130</v>
      </c>
    </row>
    <row r="1337" spans="1:12" x14ac:dyDescent="0.25">
      <c r="A1337" s="50" t="s">
        <v>2430</v>
      </c>
      <c r="B1337" s="30" t="s">
        <v>11</v>
      </c>
      <c r="C1337" s="30" t="s">
        <v>646</v>
      </c>
      <c r="D1337" s="30" t="s">
        <v>24</v>
      </c>
      <c r="E1337" s="30" t="s">
        <v>647</v>
      </c>
      <c r="F1337" s="30">
        <v>1</v>
      </c>
      <c r="G1337" s="44">
        <v>4620</v>
      </c>
      <c r="H1337" s="30"/>
      <c r="I1337" s="44"/>
      <c r="J1337" s="44"/>
      <c r="K1337" s="44">
        <f t="shared" si="44"/>
        <v>4620</v>
      </c>
      <c r="L1337" s="51">
        <v>20230130</v>
      </c>
    </row>
    <row r="1338" spans="1:12" x14ac:dyDescent="0.25">
      <c r="A1338" s="50" t="s">
        <v>2458</v>
      </c>
      <c r="B1338" s="30" t="s">
        <v>1209</v>
      </c>
      <c r="C1338" s="30" t="s">
        <v>39</v>
      </c>
      <c r="D1338" s="30" t="s">
        <v>40</v>
      </c>
      <c r="E1338" s="30" t="s">
        <v>2459</v>
      </c>
      <c r="F1338" s="30">
        <v>1</v>
      </c>
      <c r="G1338" s="44">
        <v>4620</v>
      </c>
      <c r="H1338" s="30"/>
      <c r="I1338" s="44"/>
      <c r="J1338" s="44"/>
      <c r="K1338" s="44">
        <f t="shared" si="44"/>
        <v>4620</v>
      </c>
      <c r="L1338" s="51">
        <v>20230130</v>
      </c>
    </row>
    <row r="1339" spans="1:12" x14ac:dyDescent="0.25">
      <c r="A1339" s="50" t="s">
        <v>2424</v>
      </c>
      <c r="B1339" s="30" t="s">
        <v>11</v>
      </c>
      <c r="C1339" s="30" t="s">
        <v>163</v>
      </c>
      <c r="D1339" s="30" t="s">
        <v>164</v>
      </c>
      <c r="E1339" s="30" t="s">
        <v>244</v>
      </c>
      <c r="F1339" s="30">
        <v>1</v>
      </c>
      <c r="G1339" s="44">
        <v>4620</v>
      </c>
      <c r="H1339" s="30"/>
      <c r="I1339" s="44"/>
      <c r="J1339" s="44"/>
      <c r="K1339" s="44">
        <f t="shared" si="44"/>
        <v>4620</v>
      </c>
      <c r="L1339" s="51">
        <v>20230131</v>
      </c>
    </row>
    <row r="1340" spans="1:12" ht="15.75" thickBot="1" x14ac:dyDescent="0.3">
      <c r="A1340" s="87" t="s">
        <v>2426</v>
      </c>
      <c r="B1340" s="88" t="s">
        <v>11</v>
      </c>
      <c r="C1340" s="88" t="s">
        <v>163</v>
      </c>
      <c r="D1340" s="88" t="s">
        <v>164</v>
      </c>
      <c r="E1340" s="88" t="s">
        <v>361</v>
      </c>
      <c r="F1340" s="88">
        <v>1</v>
      </c>
      <c r="G1340" s="89">
        <v>4620</v>
      </c>
      <c r="H1340" s="88">
        <v>126</v>
      </c>
      <c r="I1340" s="89">
        <v>58.7</v>
      </c>
      <c r="J1340" s="89">
        <f>I1340*H1340</f>
        <v>7396.2000000000007</v>
      </c>
      <c r="K1340" s="89">
        <f t="shared" si="44"/>
        <v>12016.2</v>
      </c>
      <c r="L1340" s="90">
        <v>20230131</v>
      </c>
    </row>
    <row r="1341" spans="1:12" x14ac:dyDescent="0.25">
      <c r="A1341" s="73"/>
      <c r="B1341" s="74"/>
      <c r="C1341" s="74"/>
      <c r="D1341" s="74"/>
      <c r="E1341" s="74"/>
      <c r="F1341" s="74"/>
      <c r="G1341" s="75"/>
      <c r="H1341" s="74"/>
      <c r="I1341" s="75"/>
      <c r="J1341" s="75"/>
      <c r="K1341" s="75"/>
      <c r="L1341" s="76"/>
    </row>
    <row r="1342" spans="1:12" ht="15.75" thickBot="1" x14ac:dyDescent="0.3">
      <c r="A1342" s="69"/>
      <c r="B1342" s="70"/>
      <c r="C1342" s="70"/>
      <c r="D1342" s="70"/>
      <c r="E1342" s="70"/>
      <c r="F1342" s="70"/>
      <c r="G1342" s="71"/>
      <c r="H1342" s="70"/>
      <c r="I1342" s="71"/>
      <c r="J1342" s="71"/>
      <c r="K1342" s="71"/>
      <c r="L1342" s="72"/>
    </row>
    <row r="1343" spans="1:12" x14ac:dyDescent="0.25">
      <c r="A1343" s="77" t="s">
        <v>2460</v>
      </c>
      <c r="B1343" s="78" t="s">
        <v>137</v>
      </c>
      <c r="C1343" s="78" t="s">
        <v>337</v>
      </c>
      <c r="D1343" s="78" t="s">
        <v>35</v>
      </c>
      <c r="E1343" s="78" t="s">
        <v>1481</v>
      </c>
      <c r="F1343" s="78">
        <v>1</v>
      </c>
      <c r="G1343" s="79">
        <v>2310</v>
      </c>
      <c r="H1343" s="78">
        <v>72</v>
      </c>
      <c r="I1343" s="79">
        <v>58.7</v>
      </c>
      <c r="J1343" s="79">
        <f>I1343*H1343</f>
        <v>4226.4000000000005</v>
      </c>
      <c r="K1343" s="79">
        <f t="shared" ref="K1343:K1353" si="45">J1343+G1343</f>
        <v>6536.4000000000005</v>
      </c>
      <c r="L1343" s="80">
        <v>20230104</v>
      </c>
    </row>
    <row r="1344" spans="1:12" x14ac:dyDescent="0.25">
      <c r="A1344" s="50" t="s">
        <v>2461</v>
      </c>
      <c r="B1344" s="30" t="s">
        <v>137</v>
      </c>
      <c r="C1344" s="30" t="s">
        <v>337</v>
      </c>
      <c r="D1344" s="30" t="s">
        <v>35</v>
      </c>
      <c r="E1344" s="30" t="s">
        <v>1477</v>
      </c>
      <c r="F1344" s="30">
        <v>1</v>
      </c>
      <c r="G1344" s="44">
        <v>2310</v>
      </c>
      <c r="H1344" s="30"/>
      <c r="I1344" s="44"/>
      <c r="J1344" s="44"/>
      <c r="K1344" s="44">
        <f t="shared" si="45"/>
        <v>2310</v>
      </c>
      <c r="L1344" s="51">
        <v>20230104</v>
      </c>
    </row>
    <row r="1345" spans="1:12" x14ac:dyDescent="0.25">
      <c r="A1345" s="50" t="s">
        <v>2462</v>
      </c>
      <c r="B1345" s="30" t="s">
        <v>137</v>
      </c>
      <c r="C1345" s="30" t="s">
        <v>337</v>
      </c>
      <c r="D1345" s="30" t="s">
        <v>35</v>
      </c>
      <c r="E1345" s="30" t="s">
        <v>2463</v>
      </c>
      <c r="F1345" s="30">
        <v>1</v>
      </c>
      <c r="G1345" s="44">
        <v>2310</v>
      </c>
      <c r="H1345" s="30"/>
      <c r="I1345" s="44"/>
      <c r="J1345" s="44"/>
      <c r="K1345" s="44">
        <f t="shared" si="45"/>
        <v>2310</v>
      </c>
      <c r="L1345" s="51">
        <v>20230104</v>
      </c>
    </row>
    <row r="1346" spans="1:12" x14ac:dyDescent="0.25">
      <c r="A1346" s="50" t="s">
        <v>2464</v>
      </c>
      <c r="B1346" s="30" t="s">
        <v>137</v>
      </c>
      <c r="C1346" s="30" t="s">
        <v>337</v>
      </c>
      <c r="D1346" s="30" t="s">
        <v>35</v>
      </c>
      <c r="E1346" s="30" t="s">
        <v>1479</v>
      </c>
      <c r="F1346" s="30">
        <v>1</v>
      </c>
      <c r="G1346" s="44">
        <v>2310</v>
      </c>
      <c r="H1346" s="30"/>
      <c r="I1346" s="44"/>
      <c r="J1346" s="44"/>
      <c r="K1346" s="44">
        <f t="shared" si="45"/>
        <v>2310</v>
      </c>
      <c r="L1346" s="51">
        <v>20230104</v>
      </c>
    </row>
    <row r="1347" spans="1:12" x14ac:dyDescent="0.25">
      <c r="A1347" s="50" t="s">
        <v>2465</v>
      </c>
      <c r="B1347" s="30" t="s">
        <v>137</v>
      </c>
      <c r="C1347" s="30" t="s">
        <v>337</v>
      </c>
      <c r="D1347" s="30" t="s">
        <v>35</v>
      </c>
      <c r="E1347" s="30" t="s">
        <v>157</v>
      </c>
      <c r="F1347" s="30">
        <v>1</v>
      </c>
      <c r="G1347" s="44">
        <v>2310</v>
      </c>
      <c r="H1347" s="30"/>
      <c r="I1347" s="44"/>
      <c r="J1347" s="44"/>
      <c r="K1347" s="44">
        <f t="shared" si="45"/>
        <v>2310</v>
      </c>
      <c r="L1347" s="51">
        <v>20230104</v>
      </c>
    </row>
    <row r="1348" spans="1:12" x14ac:dyDescent="0.25">
      <c r="A1348" s="50" t="s">
        <v>2466</v>
      </c>
      <c r="B1348" s="30" t="s">
        <v>137</v>
      </c>
      <c r="C1348" s="30" t="s">
        <v>337</v>
      </c>
      <c r="D1348" s="30" t="s">
        <v>35</v>
      </c>
      <c r="E1348" s="30" t="s">
        <v>511</v>
      </c>
      <c r="F1348" s="30">
        <v>1</v>
      </c>
      <c r="G1348" s="44">
        <v>2310</v>
      </c>
      <c r="H1348" s="30"/>
      <c r="I1348" s="44"/>
      <c r="J1348" s="44"/>
      <c r="K1348" s="44">
        <f t="shared" si="45"/>
        <v>2310</v>
      </c>
      <c r="L1348" s="51">
        <v>20230104</v>
      </c>
    </row>
    <row r="1349" spans="1:12" x14ac:dyDescent="0.25">
      <c r="A1349" s="50" t="s">
        <v>2467</v>
      </c>
      <c r="B1349" s="30" t="s">
        <v>137</v>
      </c>
      <c r="C1349" s="30" t="s">
        <v>337</v>
      </c>
      <c r="D1349" s="30" t="s">
        <v>35</v>
      </c>
      <c r="E1349" s="30" t="s">
        <v>38</v>
      </c>
      <c r="F1349" s="30">
        <v>1</v>
      </c>
      <c r="G1349" s="44">
        <v>2310</v>
      </c>
      <c r="H1349" s="30"/>
      <c r="I1349" s="44"/>
      <c r="J1349" s="44"/>
      <c r="K1349" s="44">
        <f t="shared" si="45"/>
        <v>2310</v>
      </c>
      <c r="L1349" s="51">
        <v>20230104</v>
      </c>
    </row>
    <row r="1350" spans="1:12" x14ac:dyDescent="0.25">
      <c r="A1350" s="50" t="s">
        <v>2468</v>
      </c>
      <c r="B1350" s="30" t="s">
        <v>137</v>
      </c>
      <c r="C1350" s="30" t="s">
        <v>337</v>
      </c>
      <c r="D1350" s="30" t="s">
        <v>35</v>
      </c>
      <c r="E1350" s="30" t="s">
        <v>686</v>
      </c>
      <c r="F1350" s="30">
        <v>1</v>
      </c>
      <c r="G1350" s="44">
        <v>2310</v>
      </c>
      <c r="H1350" s="30"/>
      <c r="I1350" s="44"/>
      <c r="J1350" s="44"/>
      <c r="K1350" s="44">
        <f t="shared" si="45"/>
        <v>2310</v>
      </c>
      <c r="L1350" s="51">
        <v>20230104</v>
      </c>
    </row>
    <row r="1351" spans="1:12" x14ac:dyDescent="0.25">
      <c r="A1351" s="50" t="s">
        <v>2452</v>
      </c>
      <c r="B1351" s="30" t="s">
        <v>137</v>
      </c>
      <c r="C1351" s="30" t="s">
        <v>103</v>
      </c>
      <c r="D1351" s="30" t="s">
        <v>104</v>
      </c>
      <c r="E1351" s="30" t="s">
        <v>948</v>
      </c>
      <c r="F1351" s="30">
        <v>1</v>
      </c>
      <c r="G1351" s="44">
        <v>2310</v>
      </c>
      <c r="H1351" s="30"/>
      <c r="I1351" s="44"/>
      <c r="J1351" s="44"/>
      <c r="K1351" s="44">
        <f t="shared" si="45"/>
        <v>2310</v>
      </c>
      <c r="L1351" s="51">
        <v>20230111</v>
      </c>
    </row>
    <row r="1352" spans="1:12" x14ac:dyDescent="0.25">
      <c r="A1352" s="50" t="s">
        <v>2453</v>
      </c>
      <c r="B1352" s="30" t="s">
        <v>137</v>
      </c>
      <c r="C1352" s="30" t="s">
        <v>103</v>
      </c>
      <c r="D1352" s="30" t="s">
        <v>104</v>
      </c>
      <c r="E1352" s="30" t="s">
        <v>906</v>
      </c>
      <c r="F1352" s="30">
        <v>1</v>
      </c>
      <c r="G1352" s="44">
        <v>2310</v>
      </c>
      <c r="H1352" s="30"/>
      <c r="I1352" s="44"/>
      <c r="J1352" s="44"/>
      <c r="K1352" s="44">
        <f t="shared" si="45"/>
        <v>2310</v>
      </c>
      <c r="L1352" s="51">
        <v>20230111</v>
      </c>
    </row>
    <row r="1353" spans="1:12" ht="15.75" thickBot="1" x14ac:dyDescent="0.3">
      <c r="A1353" s="54" t="s">
        <v>2454</v>
      </c>
      <c r="B1353" s="36" t="s">
        <v>137</v>
      </c>
      <c r="C1353" s="36" t="s">
        <v>103</v>
      </c>
      <c r="D1353" s="36" t="s">
        <v>104</v>
      </c>
      <c r="E1353" s="36" t="s">
        <v>908</v>
      </c>
      <c r="F1353" s="36">
        <v>1</v>
      </c>
      <c r="G1353" s="65">
        <v>2310</v>
      </c>
      <c r="H1353" s="36"/>
      <c r="I1353" s="65"/>
      <c r="J1353" s="65"/>
      <c r="K1353" s="65">
        <f t="shared" si="45"/>
        <v>2310</v>
      </c>
      <c r="L1353" s="55">
        <v>20230111</v>
      </c>
    </row>
    <row r="1356" spans="1:12" ht="15.75" thickBot="1" x14ac:dyDescent="0.3">
      <c r="A1356" s="69" t="s">
        <v>0</v>
      </c>
      <c r="B1356" s="70" t="s">
        <v>1</v>
      </c>
      <c r="C1356" s="70" t="s">
        <v>2</v>
      </c>
      <c r="D1356" s="70" t="s">
        <v>3</v>
      </c>
      <c r="E1356" s="70" t="s">
        <v>4</v>
      </c>
      <c r="F1356" s="70"/>
      <c r="G1356" s="71" t="s">
        <v>6</v>
      </c>
      <c r="H1356" s="70" t="s">
        <v>7</v>
      </c>
      <c r="I1356" s="71" t="s">
        <v>8</v>
      </c>
      <c r="J1356" s="71" t="s">
        <v>9</v>
      </c>
      <c r="K1356" s="71" t="s">
        <v>10</v>
      </c>
      <c r="L1356" s="72" t="s">
        <v>5</v>
      </c>
    </row>
    <row r="1357" spans="1:12" x14ac:dyDescent="0.25">
      <c r="A1357" s="48" t="s">
        <v>2522</v>
      </c>
      <c r="B1357" s="34" t="s">
        <v>11</v>
      </c>
      <c r="C1357" s="34" t="s">
        <v>993</v>
      </c>
      <c r="D1357" s="34" t="s">
        <v>994</v>
      </c>
      <c r="E1357" s="34" t="s">
        <v>995</v>
      </c>
      <c r="F1357" s="34">
        <v>1</v>
      </c>
      <c r="G1357" s="64">
        <v>4620</v>
      </c>
      <c r="H1357" s="34"/>
      <c r="I1357" s="64"/>
      <c r="J1357" s="64"/>
      <c r="K1357" s="64">
        <f t="shared" ref="K1357:K1379" si="46">J1357+G1357</f>
        <v>4620</v>
      </c>
      <c r="L1357" s="49">
        <v>20230201</v>
      </c>
    </row>
    <row r="1358" spans="1:12" x14ac:dyDescent="0.25">
      <c r="A1358" s="183" t="s">
        <v>2521</v>
      </c>
      <c r="B1358" s="184" t="s">
        <v>11</v>
      </c>
      <c r="C1358" s="184" t="s">
        <v>474</v>
      </c>
      <c r="D1358" s="184" t="s">
        <v>24</v>
      </c>
      <c r="E1358" s="184" t="s">
        <v>554</v>
      </c>
      <c r="F1358" s="184">
        <v>1</v>
      </c>
      <c r="G1358" s="185">
        <v>3900</v>
      </c>
      <c r="H1358" s="184"/>
      <c r="I1358" s="185"/>
      <c r="J1358" s="185"/>
      <c r="K1358" s="185">
        <f t="shared" si="46"/>
        <v>3900</v>
      </c>
      <c r="L1358" s="186">
        <v>20230202</v>
      </c>
    </row>
    <row r="1359" spans="1:12" x14ac:dyDescent="0.25">
      <c r="A1359" s="50" t="s">
        <v>2518</v>
      </c>
      <c r="B1359" s="30" t="s">
        <v>11</v>
      </c>
      <c r="C1359" s="30" t="s">
        <v>28</v>
      </c>
      <c r="D1359" s="30" t="s">
        <v>759</v>
      </c>
      <c r="E1359" s="30" t="s">
        <v>760</v>
      </c>
      <c r="F1359" s="30">
        <v>1</v>
      </c>
      <c r="G1359" s="44">
        <v>4620</v>
      </c>
      <c r="H1359" s="30"/>
      <c r="I1359" s="44"/>
      <c r="J1359" s="44"/>
      <c r="K1359" s="44">
        <f t="shared" si="46"/>
        <v>4620</v>
      </c>
      <c r="L1359" s="51">
        <v>20230203</v>
      </c>
    </row>
    <row r="1360" spans="1:12" x14ac:dyDescent="0.25">
      <c r="A1360" s="50" t="s">
        <v>2517</v>
      </c>
      <c r="B1360" s="30" t="s">
        <v>11</v>
      </c>
      <c r="C1360" s="30" t="s">
        <v>337</v>
      </c>
      <c r="D1360" s="30" t="s">
        <v>162</v>
      </c>
      <c r="E1360" s="30" t="s">
        <v>2303</v>
      </c>
      <c r="F1360" s="30">
        <v>1</v>
      </c>
      <c r="G1360" s="44">
        <v>4620</v>
      </c>
      <c r="H1360" s="30"/>
      <c r="I1360" s="44"/>
      <c r="J1360" s="44"/>
      <c r="K1360" s="44">
        <f t="shared" si="46"/>
        <v>4620</v>
      </c>
      <c r="L1360" s="51">
        <v>20230206</v>
      </c>
    </row>
    <row r="1361" spans="1:12" x14ac:dyDescent="0.25">
      <c r="A1361" s="50" t="s">
        <v>2515</v>
      </c>
      <c r="B1361" s="30" t="s">
        <v>1209</v>
      </c>
      <c r="C1361" s="30" t="s">
        <v>654</v>
      </c>
      <c r="D1361" s="30" t="s">
        <v>655</v>
      </c>
      <c r="E1361" s="30" t="s">
        <v>2516</v>
      </c>
      <c r="F1361" s="30">
        <v>1</v>
      </c>
      <c r="G1361" s="44">
        <v>4620</v>
      </c>
      <c r="H1361" s="30"/>
      <c r="I1361" s="44"/>
      <c r="J1361" s="44"/>
      <c r="K1361" s="44">
        <f t="shared" si="46"/>
        <v>4620</v>
      </c>
      <c r="L1361" s="51">
        <v>20230207</v>
      </c>
    </row>
    <row r="1362" spans="1:12" x14ac:dyDescent="0.25">
      <c r="A1362" s="50" t="s">
        <v>2523</v>
      </c>
      <c r="B1362" s="30" t="s">
        <v>779</v>
      </c>
      <c r="C1362" s="30" t="s">
        <v>251</v>
      </c>
      <c r="D1362" s="30" t="s">
        <v>252</v>
      </c>
      <c r="E1362" s="30" t="s">
        <v>253</v>
      </c>
      <c r="F1362" s="30">
        <v>1</v>
      </c>
      <c r="G1362" s="44">
        <v>4620</v>
      </c>
      <c r="H1362" s="30"/>
      <c r="I1362" s="44"/>
      <c r="J1362" s="44"/>
      <c r="K1362" s="44">
        <f t="shared" si="46"/>
        <v>4620</v>
      </c>
      <c r="L1362" s="51">
        <v>20230207</v>
      </c>
    </row>
    <row r="1363" spans="1:12" x14ac:dyDescent="0.25">
      <c r="A1363" s="50" t="s">
        <v>2524</v>
      </c>
      <c r="B1363" s="30" t="s">
        <v>11</v>
      </c>
      <c r="C1363" s="30" t="s">
        <v>134</v>
      </c>
      <c r="D1363" s="30" t="s">
        <v>135</v>
      </c>
      <c r="E1363" s="30" t="s">
        <v>190</v>
      </c>
      <c r="F1363" s="30">
        <v>1</v>
      </c>
      <c r="G1363" s="44">
        <v>4620</v>
      </c>
      <c r="H1363" s="30"/>
      <c r="I1363" s="44"/>
      <c r="J1363" s="44"/>
      <c r="K1363" s="44">
        <f t="shared" si="46"/>
        <v>4620</v>
      </c>
      <c r="L1363" s="51">
        <v>20230208</v>
      </c>
    </row>
    <row r="1364" spans="1:12" x14ac:dyDescent="0.25">
      <c r="A1364" s="50" t="s">
        <v>2506</v>
      </c>
      <c r="B1364" s="30" t="s">
        <v>1209</v>
      </c>
      <c r="C1364" s="30" t="s">
        <v>1450</v>
      </c>
      <c r="D1364" s="30" t="s">
        <v>1592</v>
      </c>
      <c r="E1364" s="30" t="s">
        <v>1593</v>
      </c>
      <c r="F1364" s="30">
        <v>1</v>
      </c>
      <c r="G1364" s="44">
        <v>4620</v>
      </c>
      <c r="H1364" s="30"/>
      <c r="I1364" s="44"/>
      <c r="J1364" s="44"/>
      <c r="K1364" s="44">
        <f t="shared" si="46"/>
        <v>4620</v>
      </c>
      <c r="L1364" s="51">
        <v>20230210</v>
      </c>
    </row>
    <row r="1365" spans="1:12" x14ac:dyDescent="0.25">
      <c r="A1365" s="50" t="s">
        <v>2507</v>
      </c>
      <c r="B1365" s="30" t="s">
        <v>1209</v>
      </c>
      <c r="C1365" s="30" t="s">
        <v>1450</v>
      </c>
      <c r="D1365" s="30" t="s">
        <v>1569</v>
      </c>
      <c r="E1365" s="30" t="s">
        <v>1595</v>
      </c>
      <c r="F1365" s="30">
        <v>1</v>
      </c>
      <c r="G1365" s="44">
        <v>4620</v>
      </c>
      <c r="H1365" s="30"/>
      <c r="I1365" s="44"/>
      <c r="J1365" s="44"/>
      <c r="K1365" s="44">
        <f t="shared" si="46"/>
        <v>4620</v>
      </c>
      <c r="L1365" s="51">
        <v>20230210</v>
      </c>
    </row>
    <row r="1366" spans="1:12" x14ac:dyDescent="0.25">
      <c r="A1366" s="50" t="s">
        <v>2505</v>
      </c>
      <c r="B1366" s="30" t="s">
        <v>11</v>
      </c>
      <c r="C1366" s="30" t="s">
        <v>29</v>
      </c>
      <c r="D1366" s="30" t="s">
        <v>1385</v>
      </c>
      <c r="E1366" s="30" t="s">
        <v>209</v>
      </c>
      <c r="F1366" s="30">
        <v>1</v>
      </c>
      <c r="G1366" s="44">
        <v>4620</v>
      </c>
      <c r="H1366" s="30"/>
      <c r="I1366" s="44"/>
      <c r="J1366" s="44"/>
      <c r="K1366" s="44">
        <f t="shared" si="46"/>
        <v>4620</v>
      </c>
      <c r="L1366" s="51">
        <v>20230213</v>
      </c>
    </row>
    <row r="1367" spans="1:12" x14ac:dyDescent="0.25">
      <c r="A1367" s="52" t="s">
        <v>2519</v>
      </c>
      <c r="B1367" s="32" t="s">
        <v>1209</v>
      </c>
      <c r="C1367" s="32" t="s">
        <v>337</v>
      </c>
      <c r="D1367" s="32" t="s">
        <v>162</v>
      </c>
      <c r="E1367" s="32" t="s">
        <v>2520</v>
      </c>
      <c r="F1367" s="32">
        <v>1</v>
      </c>
      <c r="G1367" s="45">
        <v>4620</v>
      </c>
      <c r="H1367" s="32">
        <v>69</v>
      </c>
      <c r="I1367" s="45">
        <v>58.7</v>
      </c>
      <c r="J1367" s="45">
        <f>I1367*H1367</f>
        <v>4050.3</v>
      </c>
      <c r="K1367" s="45">
        <f t="shared" si="46"/>
        <v>8670.2999999999993</v>
      </c>
      <c r="L1367" s="53">
        <v>20230213</v>
      </c>
    </row>
    <row r="1368" spans="1:12" x14ac:dyDescent="0.25">
      <c r="A1368" s="52" t="s">
        <v>2493</v>
      </c>
      <c r="B1368" s="32" t="s">
        <v>11</v>
      </c>
      <c r="C1368" s="32" t="s">
        <v>28</v>
      </c>
      <c r="D1368" s="32" t="s">
        <v>462</v>
      </c>
      <c r="E1368" s="32" t="s">
        <v>463</v>
      </c>
      <c r="F1368" s="32">
        <v>1</v>
      </c>
      <c r="G1368" s="45">
        <v>4620</v>
      </c>
      <c r="H1368" s="32">
        <v>45</v>
      </c>
      <c r="I1368" s="45">
        <v>58.7</v>
      </c>
      <c r="J1368" s="45">
        <f>I1368*H1368</f>
        <v>2641.5</v>
      </c>
      <c r="K1368" s="45">
        <f t="shared" si="46"/>
        <v>7261.5</v>
      </c>
      <c r="L1368" s="53">
        <v>20230215</v>
      </c>
    </row>
    <row r="1369" spans="1:12" x14ac:dyDescent="0.25">
      <c r="A1369" s="50" t="s">
        <v>2494</v>
      </c>
      <c r="B1369" s="30" t="s">
        <v>11</v>
      </c>
      <c r="C1369" s="30" t="s">
        <v>1006</v>
      </c>
      <c r="D1369" s="30" t="s">
        <v>24</v>
      </c>
      <c r="E1369" s="30" t="s">
        <v>2362</v>
      </c>
      <c r="F1369" s="30">
        <v>1</v>
      </c>
      <c r="G1369" s="44">
        <v>4620</v>
      </c>
      <c r="H1369" s="30"/>
      <c r="I1369" s="44"/>
      <c r="J1369" s="44"/>
      <c r="K1369" s="44">
        <f t="shared" si="46"/>
        <v>4620</v>
      </c>
      <c r="L1369" s="51">
        <v>20230215</v>
      </c>
    </row>
    <row r="1370" spans="1:12" x14ac:dyDescent="0.25">
      <c r="A1370" s="52" t="s">
        <v>2491</v>
      </c>
      <c r="B1370" s="32" t="s">
        <v>11</v>
      </c>
      <c r="C1370" s="32" t="s">
        <v>270</v>
      </c>
      <c r="D1370" s="32" t="s">
        <v>494</v>
      </c>
      <c r="E1370" s="32" t="s">
        <v>495</v>
      </c>
      <c r="F1370" s="32">
        <v>1</v>
      </c>
      <c r="G1370" s="45">
        <v>4620</v>
      </c>
      <c r="H1370" s="32">
        <v>123</v>
      </c>
      <c r="I1370" s="45">
        <v>58.7</v>
      </c>
      <c r="J1370" s="45">
        <f>I1370*H1370</f>
        <v>7220.1</v>
      </c>
      <c r="K1370" s="45">
        <f t="shared" si="46"/>
        <v>11840.1</v>
      </c>
      <c r="L1370" s="53">
        <v>20230216</v>
      </c>
    </row>
    <row r="1371" spans="1:12" x14ac:dyDescent="0.25">
      <c r="A1371" s="50" t="s">
        <v>2492</v>
      </c>
      <c r="B1371" s="30" t="s">
        <v>11</v>
      </c>
      <c r="C1371" s="30" t="s">
        <v>28</v>
      </c>
      <c r="D1371" s="30" t="s">
        <v>1714</v>
      </c>
      <c r="E1371" s="30" t="s">
        <v>2434</v>
      </c>
      <c r="F1371" s="30">
        <v>1</v>
      </c>
      <c r="G1371" s="44">
        <v>4620</v>
      </c>
      <c r="H1371" s="30"/>
      <c r="I1371" s="44"/>
      <c r="J1371" s="44"/>
      <c r="K1371" s="44">
        <f t="shared" si="46"/>
        <v>4620</v>
      </c>
      <c r="L1371" s="51">
        <v>20230217</v>
      </c>
    </row>
    <row r="1372" spans="1:12" x14ac:dyDescent="0.25">
      <c r="A1372" s="50" t="s">
        <v>2489</v>
      </c>
      <c r="B1372" s="30" t="s">
        <v>11</v>
      </c>
      <c r="C1372" s="30" t="s">
        <v>134</v>
      </c>
      <c r="D1372" s="30" t="s">
        <v>135</v>
      </c>
      <c r="E1372" s="30" t="s">
        <v>190</v>
      </c>
      <c r="F1372" s="30">
        <v>1</v>
      </c>
      <c r="G1372" s="44">
        <v>4620</v>
      </c>
      <c r="H1372" s="30"/>
      <c r="I1372" s="44"/>
      <c r="J1372" s="44"/>
      <c r="K1372" s="44">
        <f t="shared" si="46"/>
        <v>4620</v>
      </c>
      <c r="L1372" s="51">
        <v>20230222</v>
      </c>
    </row>
    <row r="1373" spans="1:12" x14ac:dyDescent="0.25">
      <c r="A1373" s="50" t="s">
        <v>2486</v>
      </c>
      <c r="B1373" s="30" t="s">
        <v>11</v>
      </c>
      <c r="C1373" s="30" t="s">
        <v>712</v>
      </c>
      <c r="D1373" s="30" t="s">
        <v>713</v>
      </c>
      <c r="E1373" s="30" t="s">
        <v>720</v>
      </c>
      <c r="F1373" s="30">
        <v>1</v>
      </c>
      <c r="G1373" s="44">
        <v>4620</v>
      </c>
      <c r="H1373" s="30"/>
      <c r="I1373" s="44"/>
      <c r="J1373" s="44"/>
      <c r="K1373" s="44">
        <f t="shared" si="46"/>
        <v>4620</v>
      </c>
      <c r="L1373" s="51">
        <v>20230223</v>
      </c>
    </row>
    <row r="1374" spans="1:12" x14ac:dyDescent="0.25">
      <c r="A1374" s="50" t="s">
        <v>2490</v>
      </c>
      <c r="B1374" s="30" t="s">
        <v>11</v>
      </c>
      <c r="C1374" s="30" t="s">
        <v>29</v>
      </c>
      <c r="D1374" s="30" t="s">
        <v>24</v>
      </c>
      <c r="E1374" s="30" t="s">
        <v>632</v>
      </c>
      <c r="F1374" s="30">
        <v>1</v>
      </c>
      <c r="G1374" s="44">
        <v>4620</v>
      </c>
      <c r="H1374" s="30"/>
      <c r="I1374" s="44"/>
      <c r="J1374" s="44"/>
      <c r="K1374" s="44">
        <f t="shared" si="46"/>
        <v>4620</v>
      </c>
      <c r="L1374" s="51">
        <v>20230223</v>
      </c>
    </row>
    <row r="1375" spans="1:12" x14ac:dyDescent="0.25">
      <c r="A1375" s="50" t="s">
        <v>2497</v>
      </c>
      <c r="B1375" s="30" t="s">
        <v>11</v>
      </c>
      <c r="C1375" s="30" t="s">
        <v>163</v>
      </c>
      <c r="D1375" s="30" t="s">
        <v>164</v>
      </c>
      <c r="E1375" s="30" t="s">
        <v>244</v>
      </c>
      <c r="F1375" s="30">
        <v>1</v>
      </c>
      <c r="G1375" s="44">
        <v>4620</v>
      </c>
      <c r="H1375" s="30"/>
      <c r="I1375" s="44"/>
      <c r="J1375" s="44"/>
      <c r="K1375" s="44">
        <f t="shared" si="46"/>
        <v>4620</v>
      </c>
      <c r="L1375" s="51">
        <v>20230223</v>
      </c>
    </row>
    <row r="1376" spans="1:12" x14ac:dyDescent="0.25">
      <c r="A1376" s="52" t="s">
        <v>2488</v>
      </c>
      <c r="B1376" s="32" t="s">
        <v>11</v>
      </c>
      <c r="C1376" s="32" t="s">
        <v>163</v>
      </c>
      <c r="D1376" s="32" t="s">
        <v>164</v>
      </c>
      <c r="E1376" s="32" t="s">
        <v>448</v>
      </c>
      <c r="F1376" s="32">
        <v>1</v>
      </c>
      <c r="G1376" s="45">
        <v>4620</v>
      </c>
      <c r="H1376" s="32">
        <v>126</v>
      </c>
      <c r="I1376" s="45">
        <v>58.7</v>
      </c>
      <c r="J1376" s="45">
        <f>I1376*H1376</f>
        <v>7396.2000000000007</v>
      </c>
      <c r="K1376" s="45">
        <f t="shared" si="46"/>
        <v>12016.2</v>
      </c>
      <c r="L1376" s="53">
        <v>20230223</v>
      </c>
    </row>
    <row r="1377" spans="1:12" x14ac:dyDescent="0.25">
      <c r="A1377" s="50" t="s">
        <v>2487</v>
      </c>
      <c r="B1377" s="30" t="s">
        <v>11</v>
      </c>
      <c r="C1377" s="30" t="s">
        <v>94</v>
      </c>
      <c r="D1377" s="30" t="s">
        <v>95</v>
      </c>
      <c r="E1377" s="30" t="s">
        <v>458</v>
      </c>
      <c r="F1377" s="30">
        <v>1</v>
      </c>
      <c r="G1377" s="44">
        <v>4620</v>
      </c>
      <c r="H1377" s="30"/>
      <c r="I1377" s="44"/>
      <c r="J1377" s="44"/>
      <c r="K1377" s="44">
        <f t="shared" si="46"/>
        <v>4620</v>
      </c>
      <c r="L1377" s="51">
        <v>20230223</v>
      </c>
    </row>
    <row r="1378" spans="1:12" x14ac:dyDescent="0.25">
      <c r="A1378" s="50" t="s">
        <v>2485</v>
      </c>
      <c r="B1378" s="30" t="s">
        <v>11</v>
      </c>
      <c r="C1378" s="30" t="s">
        <v>94</v>
      </c>
      <c r="D1378" s="30" t="s">
        <v>95</v>
      </c>
      <c r="E1378" s="30" t="s">
        <v>260</v>
      </c>
      <c r="F1378" s="30">
        <v>1</v>
      </c>
      <c r="G1378" s="44">
        <v>4620</v>
      </c>
      <c r="H1378" s="30"/>
      <c r="I1378" s="44"/>
      <c r="J1378" s="44"/>
      <c r="K1378" s="44">
        <f t="shared" si="46"/>
        <v>4620</v>
      </c>
      <c r="L1378" s="51">
        <v>20230223</v>
      </c>
    </row>
    <row r="1379" spans="1:12" ht="15.75" thickBot="1" x14ac:dyDescent="0.3">
      <c r="A1379" s="54" t="s">
        <v>2495</v>
      </c>
      <c r="B1379" s="36" t="s">
        <v>11</v>
      </c>
      <c r="C1379" s="36" t="s">
        <v>919</v>
      </c>
      <c r="D1379" s="36" t="s">
        <v>95</v>
      </c>
      <c r="E1379" s="36" t="s">
        <v>2496</v>
      </c>
      <c r="F1379" s="36">
        <v>1</v>
      </c>
      <c r="G1379" s="65">
        <v>4620</v>
      </c>
      <c r="H1379" s="36"/>
      <c r="I1379" s="65"/>
      <c r="J1379" s="65"/>
      <c r="K1379" s="65">
        <f t="shared" si="46"/>
        <v>4620</v>
      </c>
      <c r="L1379" s="55">
        <v>20230228</v>
      </c>
    </row>
    <row r="1380" spans="1:12" x14ac:dyDescent="0.25">
      <c r="A1380" s="73"/>
      <c r="B1380" s="74"/>
      <c r="C1380" s="74"/>
      <c r="D1380" s="74"/>
      <c r="E1380" s="74"/>
      <c r="F1380" s="74"/>
      <c r="G1380" s="75"/>
      <c r="H1380" s="74"/>
      <c r="I1380" s="75"/>
      <c r="J1380" s="75"/>
      <c r="K1380" s="75"/>
      <c r="L1380" s="76"/>
    </row>
    <row r="1381" spans="1:12" ht="15.75" thickBot="1" x14ac:dyDescent="0.3">
      <c r="A1381" s="69"/>
      <c r="B1381" s="70"/>
      <c r="C1381" s="70"/>
      <c r="D1381" s="70"/>
      <c r="E1381" s="70"/>
      <c r="F1381" s="70"/>
      <c r="G1381" s="71"/>
      <c r="H1381" s="70"/>
      <c r="I1381" s="71"/>
      <c r="J1381" s="71"/>
      <c r="K1381" s="71"/>
      <c r="L1381" s="72"/>
    </row>
    <row r="1382" spans="1:12" x14ac:dyDescent="0.25">
      <c r="A1382" s="48" t="s">
        <v>2513</v>
      </c>
      <c r="B1382" s="34" t="s">
        <v>137</v>
      </c>
      <c r="C1382" s="34" t="s">
        <v>29</v>
      </c>
      <c r="D1382" s="34" t="s">
        <v>24</v>
      </c>
      <c r="E1382" s="34" t="s">
        <v>1320</v>
      </c>
      <c r="F1382" s="34">
        <v>1</v>
      </c>
      <c r="G1382" s="64">
        <v>2310</v>
      </c>
      <c r="H1382" s="34"/>
      <c r="I1382" s="64"/>
      <c r="J1382" s="64"/>
      <c r="K1382" s="64">
        <f t="shared" ref="K1382:K1409" si="47">J1382+G1382</f>
        <v>2310</v>
      </c>
      <c r="L1382" s="49">
        <v>20230210</v>
      </c>
    </row>
    <row r="1383" spans="1:12" x14ac:dyDescent="0.25">
      <c r="A1383" s="50" t="s">
        <v>2503</v>
      </c>
      <c r="B1383" s="30" t="s">
        <v>137</v>
      </c>
      <c r="C1383" s="30" t="s">
        <v>29</v>
      </c>
      <c r="D1383" s="30" t="s">
        <v>24</v>
      </c>
      <c r="E1383" s="30" t="s">
        <v>1003</v>
      </c>
      <c r="F1383" s="30">
        <v>1</v>
      </c>
      <c r="G1383" s="44">
        <v>2310</v>
      </c>
      <c r="H1383" s="30"/>
      <c r="I1383" s="44"/>
      <c r="J1383" s="44"/>
      <c r="K1383" s="44">
        <f t="shared" si="47"/>
        <v>2310</v>
      </c>
      <c r="L1383" s="51">
        <v>20230210</v>
      </c>
    </row>
    <row r="1384" spans="1:12" x14ac:dyDescent="0.25">
      <c r="A1384" s="50" t="s">
        <v>2514</v>
      </c>
      <c r="B1384" s="30" t="s">
        <v>137</v>
      </c>
      <c r="C1384" s="30" t="s">
        <v>29</v>
      </c>
      <c r="D1384" s="30" t="s">
        <v>1385</v>
      </c>
      <c r="E1384" s="30" t="s">
        <v>210</v>
      </c>
      <c r="F1384" s="30">
        <v>1</v>
      </c>
      <c r="G1384" s="44">
        <v>2310</v>
      </c>
      <c r="H1384" s="30"/>
      <c r="I1384" s="44"/>
      <c r="J1384" s="44"/>
      <c r="K1384" s="44">
        <f t="shared" si="47"/>
        <v>2310</v>
      </c>
      <c r="L1384" s="51">
        <v>20230210</v>
      </c>
    </row>
    <row r="1385" spans="1:12" x14ac:dyDescent="0.25">
      <c r="A1385" s="50" t="s">
        <v>2504</v>
      </c>
      <c r="B1385" s="30" t="s">
        <v>137</v>
      </c>
      <c r="C1385" s="30" t="s">
        <v>29</v>
      </c>
      <c r="D1385" s="30" t="s">
        <v>1385</v>
      </c>
      <c r="E1385" s="30" t="s">
        <v>1127</v>
      </c>
      <c r="F1385" s="30">
        <v>1</v>
      </c>
      <c r="G1385" s="44">
        <v>2310</v>
      </c>
      <c r="H1385" s="30"/>
      <c r="I1385" s="44"/>
      <c r="J1385" s="44"/>
      <c r="K1385" s="44">
        <f t="shared" si="47"/>
        <v>2310</v>
      </c>
      <c r="L1385" s="51">
        <v>20230210</v>
      </c>
    </row>
    <row r="1386" spans="1:12" x14ac:dyDescent="0.25">
      <c r="A1386" s="50" t="s">
        <v>2512</v>
      </c>
      <c r="B1386" s="30" t="s">
        <v>137</v>
      </c>
      <c r="C1386" s="30" t="s">
        <v>29</v>
      </c>
      <c r="D1386" s="30" t="s">
        <v>1385</v>
      </c>
      <c r="E1386" s="30" t="s">
        <v>1290</v>
      </c>
      <c r="F1386" s="30">
        <v>1</v>
      </c>
      <c r="G1386" s="44">
        <v>2310</v>
      </c>
      <c r="H1386" s="30"/>
      <c r="I1386" s="44"/>
      <c r="J1386" s="44"/>
      <c r="K1386" s="44">
        <f t="shared" si="47"/>
        <v>2310</v>
      </c>
      <c r="L1386" s="51">
        <v>20230210</v>
      </c>
    </row>
    <row r="1387" spans="1:12" x14ac:dyDescent="0.25">
      <c r="A1387" s="50" t="s">
        <v>2511</v>
      </c>
      <c r="B1387" s="30" t="s">
        <v>137</v>
      </c>
      <c r="C1387" s="30" t="s">
        <v>29</v>
      </c>
      <c r="D1387" s="30" t="s">
        <v>1385</v>
      </c>
      <c r="E1387" s="30" t="s">
        <v>1386</v>
      </c>
      <c r="F1387" s="30">
        <v>1</v>
      </c>
      <c r="G1387" s="44">
        <v>2310</v>
      </c>
      <c r="H1387" s="30"/>
      <c r="I1387" s="44"/>
      <c r="J1387" s="44"/>
      <c r="K1387" s="44">
        <f t="shared" si="47"/>
        <v>2310</v>
      </c>
      <c r="L1387" s="51">
        <v>20230210</v>
      </c>
    </row>
    <row r="1388" spans="1:12" x14ac:dyDescent="0.25">
      <c r="A1388" s="50" t="s">
        <v>2510</v>
      </c>
      <c r="B1388" s="30" t="s">
        <v>137</v>
      </c>
      <c r="C1388" s="30" t="s">
        <v>29</v>
      </c>
      <c r="D1388" s="30" t="s">
        <v>1385</v>
      </c>
      <c r="E1388" s="30" t="s">
        <v>2101</v>
      </c>
      <c r="F1388" s="30">
        <v>1</v>
      </c>
      <c r="G1388" s="44">
        <v>2310</v>
      </c>
      <c r="H1388" s="30"/>
      <c r="I1388" s="44"/>
      <c r="J1388" s="44"/>
      <c r="K1388" s="44">
        <f t="shared" si="47"/>
        <v>2310</v>
      </c>
      <c r="L1388" s="51">
        <v>20230210</v>
      </c>
    </row>
    <row r="1389" spans="1:12" x14ac:dyDescent="0.25">
      <c r="A1389" s="50" t="s">
        <v>2509</v>
      </c>
      <c r="B1389" s="30" t="s">
        <v>137</v>
      </c>
      <c r="C1389" s="30" t="s">
        <v>29</v>
      </c>
      <c r="D1389" s="30" t="s">
        <v>1385</v>
      </c>
      <c r="E1389" s="30" t="s">
        <v>630</v>
      </c>
      <c r="F1389" s="30">
        <v>1</v>
      </c>
      <c r="G1389" s="44">
        <v>2310</v>
      </c>
      <c r="H1389" s="30"/>
      <c r="I1389" s="44"/>
      <c r="J1389" s="44"/>
      <c r="K1389" s="44">
        <f t="shared" si="47"/>
        <v>2310</v>
      </c>
      <c r="L1389" s="51">
        <v>20230210</v>
      </c>
    </row>
    <row r="1390" spans="1:12" x14ac:dyDescent="0.25">
      <c r="A1390" s="50" t="s">
        <v>2508</v>
      </c>
      <c r="B1390" s="30" t="s">
        <v>137</v>
      </c>
      <c r="C1390" s="30" t="s">
        <v>29</v>
      </c>
      <c r="D1390" s="30" t="s">
        <v>1385</v>
      </c>
      <c r="E1390" s="30" t="s">
        <v>628</v>
      </c>
      <c r="F1390" s="30">
        <v>1</v>
      </c>
      <c r="G1390" s="44">
        <v>2310</v>
      </c>
      <c r="H1390" s="30"/>
      <c r="I1390" s="44"/>
      <c r="J1390" s="44"/>
      <c r="K1390" s="44">
        <f t="shared" si="47"/>
        <v>2310</v>
      </c>
      <c r="L1390" s="51">
        <v>20230210</v>
      </c>
    </row>
    <row r="1391" spans="1:12" x14ac:dyDescent="0.25">
      <c r="A1391" s="50" t="s">
        <v>2502</v>
      </c>
      <c r="B1391" s="30" t="s">
        <v>137</v>
      </c>
      <c r="C1391" s="30" t="s">
        <v>26</v>
      </c>
      <c r="D1391" s="30" t="s">
        <v>351</v>
      </c>
      <c r="E1391" s="30" t="s">
        <v>352</v>
      </c>
      <c r="F1391" s="30">
        <v>1</v>
      </c>
      <c r="G1391" s="44">
        <v>2310</v>
      </c>
      <c r="H1391" s="30"/>
      <c r="I1391" s="44"/>
      <c r="J1391" s="44"/>
      <c r="K1391" s="44">
        <f t="shared" si="47"/>
        <v>2310</v>
      </c>
      <c r="L1391" s="51">
        <v>20230213</v>
      </c>
    </row>
    <row r="1392" spans="1:12" x14ac:dyDescent="0.25">
      <c r="A1392" s="50" t="s">
        <v>2500</v>
      </c>
      <c r="B1392" s="30" t="s">
        <v>137</v>
      </c>
      <c r="C1392" s="30" t="s">
        <v>26</v>
      </c>
      <c r="D1392" s="30" t="s">
        <v>351</v>
      </c>
      <c r="E1392" s="30" t="s">
        <v>2501</v>
      </c>
      <c r="F1392" s="30">
        <v>1</v>
      </c>
      <c r="G1392" s="44">
        <v>2310</v>
      </c>
      <c r="H1392" s="30"/>
      <c r="I1392" s="44"/>
      <c r="J1392" s="44"/>
      <c r="K1392" s="44">
        <f t="shared" si="47"/>
        <v>2310</v>
      </c>
      <c r="L1392" s="51">
        <v>20230213</v>
      </c>
    </row>
    <row r="1393" spans="1:12" x14ac:dyDescent="0.25">
      <c r="A1393" s="50" t="s">
        <v>2498</v>
      </c>
      <c r="B1393" s="30" t="s">
        <v>137</v>
      </c>
      <c r="C1393" s="30" t="s">
        <v>26</v>
      </c>
      <c r="D1393" s="30" t="s">
        <v>351</v>
      </c>
      <c r="E1393" s="30" t="s">
        <v>2499</v>
      </c>
      <c r="F1393" s="30">
        <v>1</v>
      </c>
      <c r="G1393" s="44">
        <v>2310</v>
      </c>
      <c r="H1393" s="30"/>
      <c r="I1393" s="44"/>
      <c r="J1393" s="44"/>
      <c r="K1393" s="44">
        <f t="shared" si="47"/>
        <v>2310</v>
      </c>
      <c r="L1393" s="51">
        <v>20230213</v>
      </c>
    </row>
    <row r="1394" spans="1:12" x14ac:dyDescent="0.25">
      <c r="A1394" s="50" t="s">
        <v>2479</v>
      </c>
      <c r="B1394" s="30" t="s">
        <v>137</v>
      </c>
      <c r="C1394" s="30" t="s">
        <v>646</v>
      </c>
      <c r="D1394" s="30" t="s">
        <v>24</v>
      </c>
      <c r="E1394" s="30" t="s">
        <v>672</v>
      </c>
      <c r="F1394" s="30">
        <v>1</v>
      </c>
      <c r="G1394" s="44">
        <v>2310</v>
      </c>
      <c r="H1394" s="30"/>
      <c r="I1394" s="44"/>
      <c r="J1394" s="44"/>
      <c r="K1394" s="44">
        <f t="shared" si="47"/>
        <v>2310</v>
      </c>
      <c r="L1394" s="51">
        <v>20230228</v>
      </c>
    </row>
    <row r="1395" spans="1:12" x14ac:dyDescent="0.25">
      <c r="A1395" s="50" t="s">
        <v>2478</v>
      </c>
      <c r="B1395" s="30" t="s">
        <v>137</v>
      </c>
      <c r="C1395" s="30" t="s">
        <v>646</v>
      </c>
      <c r="D1395" s="30" t="s">
        <v>24</v>
      </c>
      <c r="E1395" s="30" t="s">
        <v>647</v>
      </c>
      <c r="F1395" s="30">
        <v>1</v>
      </c>
      <c r="G1395" s="44">
        <v>2310</v>
      </c>
      <c r="H1395" s="30"/>
      <c r="I1395" s="44"/>
      <c r="J1395" s="44"/>
      <c r="K1395" s="44">
        <f t="shared" si="47"/>
        <v>2310</v>
      </c>
      <c r="L1395" s="51">
        <v>20230228</v>
      </c>
    </row>
    <row r="1396" spans="1:12" x14ac:dyDescent="0.25">
      <c r="A1396" s="50" t="s">
        <v>2477</v>
      </c>
      <c r="B1396" s="30" t="s">
        <v>137</v>
      </c>
      <c r="C1396" s="30" t="s">
        <v>646</v>
      </c>
      <c r="D1396" s="30" t="s">
        <v>24</v>
      </c>
      <c r="E1396" s="30" t="s">
        <v>670</v>
      </c>
      <c r="F1396" s="30">
        <v>1</v>
      </c>
      <c r="G1396" s="44">
        <v>2310</v>
      </c>
      <c r="H1396" s="30"/>
      <c r="I1396" s="44"/>
      <c r="J1396" s="44"/>
      <c r="K1396" s="44">
        <f t="shared" si="47"/>
        <v>2310</v>
      </c>
      <c r="L1396" s="51">
        <v>20230228</v>
      </c>
    </row>
    <row r="1397" spans="1:12" x14ac:dyDescent="0.25">
      <c r="A1397" s="50" t="s">
        <v>2481</v>
      </c>
      <c r="B1397" s="30" t="s">
        <v>137</v>
      </c>
      <c r="C1397" s="30" t="s">
        <v>172</v>
      </c>
      <c r="D1397" s="30" t="s">
        <v>703</v>
      </c>
      <c r="E1397" s="30" t="s">
        <v>710</v>
      </c>
      <c r="F1397" s="30">
        <v>1</v>
      </c>
      <c r="G1397" s="44">
        <v>2310</v>
      </c>
      <c r="H1397" s="30"/>
      <c r="I1397" s="44"/>
      <c r="J1397" s="44"/>
      <c r="K1397" s="44">
        <f t="shared" si="47"/>
        <v>2310</v>
      </c>
      <c r="L1397" s="51">
        <v>20230228</v>
      </c>
    </row>
    <row r="1398" spans="1:12" x14ac:dyDescent="0.25">
      <c r="A1398" s="50" t="s">
        <v>2480</v>
      </c>
      <c r="B1398" s="30" t="s">
        <v>137</v>
      </c>
      <c r="C1398" s="30" t="s">
        <v>172</v>
      </c>
      <c r="D1398" s="30" t="s">
        <v>703</v>
      </c>
      <c r="E1398" s="30" t="s">
        <v>708</v>
      </c>
      <c r="F1398" s="30">
        <v>1</v>
      </c>
      <c r="G1398" s="44">
        <v>2310</v>
      </c>
      <c r="H1398" s="30"/>
      <c r="I1398" s="44"/>
      <c r="J1398" s="44"/>
      <c r="K1398" s="44">
        <f t="shared" si="47"/>
        <v>2310</v>
      </c>
      <c r="L1398" s="51">
        <v>20230228</v>
      </c>
    </row>
    <row r="1399" spans="1:12" x14ac:dyDescent="0.25">
      <c r="A1399" s="50" t="s">
        <v>2471</v>
      </c>
      <c r="B1399" s="30" t="s">
        <v>137</v>
      </c>
      <c r="C1399" s="30" t="s">
        <v>172</v>
      </c>
      <c r="D1399" s="30" t="s">
        <v>703</v>
      </c>
      <c r="E1399" s="30" t="s">
        <v>706</v>
      </c>
      <c r="F1399" s="30">
        <v>1</v>
      </c>
      <c r="G1399" s="44">
        <v>2310</v>
      </c>
      <c r="H1399" s="30"/>
      <c r="I1399" s="44"/>
      <c r="J1399" s="44"/>
      <c r="K1399" s="44">
        <f t="shared" si="47"/>
        <v>2310</v>
      </c>
      <c r="L1399" s="51">
        <v>20230228</v>
      </c>
    </row>
    <row r="1400" spans="1:12" x14ac:dyDescent="0.25">
      <c r="A1400" s="50" t="s">
        <v>2472</v>
      </c>
      <c r="B1400" s="30" t="s">
        <v>137</v>
      </c>
      <c r="C1400" s="30" t="s">
        <v>172</v>
      </c>
      <c r="D1400" s="30" t="s">
        <v>703</v>
      </c>
      <c r="E1400" s="30" t="s">
        <v>704</v>
      </c>
      <c r="F1400" s="30">
        <v>1</v>
      </c>
      <c r="G1400" s="44">
        <v>2310</v>
      </c>
      <c r="H1400" s="30"/>
      <c r="I1400" s="44"/>
      <c r="J1400" s="44"/>
      <c r="K1400" s="44">
        <f t="shared" si="47"/>
        <v>2310</v>
      </c>
      <c r="L1400" s="51">
        <v>20230228</v>
      </c>
    </row>
    <row r="1401" spans="1:12" x14ac:dyDescent="0.25">
      <c r="A1401" s="50" t="s">
        <v>2484</v>
      </c>
      <c r="B1401" s="30" t="s">
        <v>137</v>
      </c>
      <c r="C1401" s="30" t="s">
        <v>712</v>
      </c>
      <c r="D1401" s="30" t="s">
        <v>713</v>
      </c>
      <c r="E1401" s="30" t="s">
        <v>722</v>
      </c>
      <c r="F1401" s="30">
        <v>1</v>
      </c>
      <c r="G1401" s="44">
        <v>2310</v>
      </c>
      <c r="H1401" s="30"/>
      <c r="I1401" s="44"/>
      <c r="J1401" s="44"/>
      <c r="K1401" s="44">
        <f t="shared" si="47"/>
        <v>2310</v>
      </c>
      <c r="L1401" s="51">
        <v>20230228</v>
      </c>
    </row>
    <row r="1402" spans="1:12" x14ac:dyDescent="0.25">
      <c r="A1402" s="50" t="s">
        <v>2483</v>
      </c>
      <c r="B1402" s="30" t="s">
        <v>137</v>
      </c>
      <c r="C1402" s="30" t="s">
        <v>712</v>
      </c>
      <c r="D1402" s="30" t="s">
        <v>713</v>
      </c>
      <c r="E1402" s="30" t="s">
        <v>720</v>
      </c>
      <c r="F1402" s="30">
        <v>1</v>
      </c>
      <c r="G1402" s="44">
        <v>2310</v>
      </c>
      <c r="H1402" s="30"/>
      <c r="I1402" s="44"/>
      <c r="J1402" s="44"/>
      <c r="K1402" s="44">
        <f t="shared" si="47"/>
        <v>2310</v>
      </c>
      <c r="L1402" s="51">
        <v>20230228</v>
      </c>
    </row>
    <row r="1403" spans="1:12" x14ac:dyDescent="0.25">
      <c r="A1403" s="50" t="s">
        <v>2482</v>
      </c>
      <c r="B1403" s="30" t="s">
        <v>137</v>
      </c>
      <c r="C1403" s="30" t="s">
        <v>712</v>
      </c>
      <c r="D1403" s="30" t="s">
        <v>713</v>
      </c>
      <c r="E1403" s="30" t="s">
        <v>718</v>
      </c>
      <c r="F1403" s="30">
        <v>1</v>
      </c>
      <c r="G1403" s="44">
        <v>2310</v>
      </c>
      <c r="H1403" s="30"/>
      <c r="I1403" s="44"/>
      <c r="J1403" s="44"/>
      <c r="K1403" s="44">
        <f t="shared" si="47"/>
        <v>2310</v>
      </c>
      <c r="L1403" s="51">
        <v>20230228</v>
      </c>
    </row>
    <row r="1404" spans="1:12" x14ac:dyDescent="0.25">
      <c r="A1404" s="50" t="s">
        <v>2469</v>
      </c>
      <c r="B1404" s="30" t="s">
        <v>137</v>
      </c>
      <c r="C1404" s="30" t="s">
        <v>712</v>
      </c>
      <c r="D1404" s="30" t="s">
        <v>713</v>
      </c>
      <c r="E1404" s="30" t="s">
        <v>716</v>
      </c>
      <c r="F1404" s="30">
        <v>1</v>
      </c>
      <c r="G1404" s="44">
        <v>2310</v>
      </c>
      <c r="H1404" s="30"/>
      <c r="I1404" s="44"/>
      <c r="J1404" s="44"/>
      <c r="K1404" s="44">
        <f t="shared" si="47"/>
        <v>2310</v>
      </c>
      <c r="L1404" s="51">
        <v>20230228</v>
      </c>
    </row>
    <row r="1405" spans="1:12" x14ac:dyDescent="0.25">
      <c r="A1405" s="50" t="s">
        <v>2470</v>
      </c>
      <c r="B1405" s="30" t="s">
        <v>137</v>
      </c>
      <c r="C1405" s="30" t="s">
        <v>712</v>
      </c>
      <c r="D1405" s="30" t="s">
        <v>713</v>
      </c>
      <c r="E1405" s="30" t="s">
        <v>714</v>
      </c>
      <c r="F1405" s="30">
        <v>1</v>
      </c>
      <c r="G1405" s="44">
        <v>2310</v>
      </c>
      <c r="H1405" s="30"/>
      <c r="I1405" s="44"/>
      <c r="J1405" s="44"/>
      <c r="K1405" s="44">
        <f t="shared" si="47"/>
        <v>2310</v>
      </c>
      <c r="L1405" s="51">
        <v>20230228</v>
      </c>
    </row>
    <row r="1406" spans="1:12" x14ac:dyDescent="0.25">
      <c r="A1406" s="50" t="s">
        <v>2476</v>
      </c>
      <c r="B1406" s="30" t="s">
        <v>137</v>
      </c>
      <c r="C1406" s="30" t="s">
        <v>474</v>
      </c>
      <c r="D1406" s="30" t="s">
        <v>24</v>
      </c>
      <c r="E1406" s="30" t="s">
        <v>554</v>
      </c>
      <c r="F1406" s="30">
        <v>1</v>
      </c>
      <c r="G1406" s="44">
        <v>2310</v>
      </c>
      <c r="H1406" s="30"/>
      <c r="I1406" s="44"/>
      <c r="J1406" s="44"/>
      <c r="K1406" s="44">
        <f t="shared" si="47"/>
        <v>2310</v>
      </c>
      <c r="L1406" s="51">
        <v>20230228</v>
      </c>
    </row>
    <row r="1407" spans="1:12" x14ac:dyDescent="0.25">
      <c r="A1407" s="50" t="s">
        <v>2475</v>
      </c>
      <c r="B1407" s="30" t="s">
        <v>137</v>
      </c>
      <c r="C1407" s="30" t="s">
        <v>474</v>
      </c>
      <c r="D1407" s="30" t="s">
        <v>24</v>
      </c>
      <c r="E1407" s="30" t="s">
        <v>942</v>
      </c>
      <c r="F1407" s="30">
        <v>1</v>
      </c>
      <c r="G1407" s="44">
        <v>2310</v>
      </c>
      <c r="H1407" s="30"/>
      <c r="I1407" s="44"/>
      <c r="J1407" s="44"/>
      <c r="K1407" s="44">
        <f t="shared" si="47"/>
        <v>2310</v>
      </c>
      <c r="L1407" s="51">
        <v>20230228</v>
      </c>
    </row>
    <row r="1408" spans="1:12" x14ac:dyDescent="0.25">
      <c r="A1408" s="50" t="s">
        <v>2474</v>
      </c>
      <c r="B1408" s="30" t="s">
        <v>137</v>
      </c>
      <c r="C1408" s="30" t="s">
        <v>1234</v>
      </c>
      <c r="D1408" s="30" t="s">
        <v>24</v>
      </c>
      <c r="E1408" s="30" t="s">
        <v>2045</v>
      </c>
      <c r="F1408" s="30">
        <v>1</v>
      </c>
      <c r="G1408" s="44">
        <v>2310</v>
      </c>
      <c r="H1408" s="30"/>
      <c r="I1408" s="44"/>
      <c r="J1408" s="44"/>
      <c r="K1408" s="44">
        <f t="shared" si="47"/>
        <v>2310</v>
      </c>
      <c r="L1408" s="51">
        <v>20230228</v>
      </c>
    </row>
    <row r="1409" spans="1:12" ht="15.75" thickBot="1" x14ac:dyDescent="0.3">
      <c r="A1409" s="54" t="s">
        <v>2473</v>
      </c>
      <c r="B1409" s="36" t="s">
        <v>137</v>
      </c>
      <c r="C1409" s="36" t="s">
        <v>1234</v>
      </c>
      <c r="D1409" s="36" t="s">
        <v>24</v>
      </c>
      <c r="E1409" s="36" t="s">
        <v>1235</v>
      </c>
      <c r="F1409" s="36">
        <v>1</v>
      </c>
      <c r="G1409" s="65">
        <v>2310</v>
      </c>
      <c r="H1409" s="36"/>
      <c r="I1409" s="65"/>
      <c r="J1409" s="65"/>
      <c r="K1409" s="65">
        <f t="shared" si="47"/>
        <v>2310</v>
      </c>
      <c r="L1409" s="55">
        <v>20230228</v>
      </c>
    </row>
    <row r="1412" spans="1:12" ht="15.75" thickBot="1" x14ac:dyDescent="0.3">
      <c r="A1412" s="69" t="s">
        <v>0</v>
      </c>
      <c r="B1412" s="70" t="s">
        <v>1</v>
      </c>
      <c r="C1412" s="70" t="s">
        <v>2</v>
      </c>
      <c r="D1412" s="70" t="s">
        <v>3</v>
      </c>
      <c r="E1412" s="70" t="s">
        <v>4</v>
      </c>
      <c r="F1412" s="70"/>
      <c r="G1412" s="71" t="s">
        <v>6</v>
      </c>
      <c r="H1412" s="70" t="s">
        <v>7</v>
      </c>
      <c r="I1412" s="71" t="s">
        <v>8</v>
      </c>
      <c r="J1412" s="71" t="s">
        <v>9</v>
      </c>
      <c r="K1412" s="71" t="s">
        <v>10</v>
      </c>
      <c r="L1412" s="72" t="s">
        <v>5</v>
      </c>
    </row>
    <row r="1413" spans="1:12" x14ac:dyDescent="0.25">
      <c r="A1413" s="48" t="s">
        <v>2572</v>
      </c>
      <c r="B1413" s="34" t="s">
        <v>11</v>
      </c>
      <c r="C1413" s="34" t="s">
        <v>26</v>
      </c>
      <c r="D1413" s="34" t="s">
        <v>521</v>
      </c>
      <c r="E1413" s="34" t="s">
        <v>526</v>
      </c>
      <c r="F1413" s="34">
        <v>1</v>
      </c>
      <c r="G1413" s="64">
        <v>4620</v>
      </c>
      <c r="H1413" s="34"/>
      <c r="I1413" s="64"/>
      <c r="J1413" s="64"/>
      <c r="K1413" s="64">
        <f t="shared" ref="K1413:K1437" si="48">J1413+G1413</f>
        <v>4620</v>
      </c>
      <c r="L1413" s="49">
        <v>20230302</v>
      </c>
    </row>
    <row r="1414" spans="1:12" x14ac:dyDescent="0.25">
      <c r="A1414" s="52" t="s">
        <v>2575</v>
      </c>
      <c r="B1414" s="32" t="s">
        <v>11</v>
      </c>
      <c r="C1414" s="32" t="s">
        <v>28</v>
      </c>
      <c r="D1414" s="32" t="s">
        <v>396</v>
      </c>
      <c r="E1414" s="32" t="s">
        <v>397</v>
      </c>
      <c r="F1414" s="32">
        <v>1</v>
      </c>
      <c r="G1414" s="45">
        <v>4620</v>
      </c>
      <c r="H1414" s="32">
        <v>87</v>
      </c>
      <c r="I1414" s="45">
        <v>58.7</v>
      </c>
      <c r="J1414" s="45">
        <f>I1414*H1414</f>
        <v>5106.9000000000005</v>
      </c>
      <c r="K1414" s="45">
        <f t="shared" si="48"/>
        <v>9726.9000000000015</v>
      </c>
      <c r="L1414" s="53">
        <v>20230306</v>
      </c>
    </row>
    <row r="1415" spans="1:12" x14ac:dyDescent="0.25">
      <c r="A1415" s="50" t="s">
        <v>2571</v>
      </c>
      <c r="B1415" s="30" t="s">
        <v>11</v>
      </c>
      <c r="C1415" s="30" t="s">
        <v>1450</v>
      </c>
      <c r="D1415" s="30" t="s">
        <v>1569</v>
      </c>
      <c r="E1415" s="30" t="s">
        <v>1570</v>
      </c>
      <c r="F1415" s="30">
        <v>1</v>
      </c>
      <c r="G1415" s="44">
        <v>4620</v>
      </c>
      <c r="H1415" s="30"/>
      <c r="I1415" s="44"/>
      <c r="J1415" s="44"/>
      <c r="K1415" s="44">
        <f t="shared" si="48"/>
        <v>4620</v>
      </c>
      <c r="L1415" s="51">
        <v>20230306</v>
      </c>
    </row>
    <row r="1416" spans="1:12" x14ac:dyDescent="0.25">
      <c r="A1416" s="50" t="s">
        <v>2573</v>
      </c>
      <c r="B1416" s="30" t="s">
        <v>11</v>
      </c>
      <c r="C1416" s="30" t="s">
        <v>364</v>
      </c>
      <c r="D1416" s="30" t="s">
        <v>24</v>
      </c>
      <c r="E1416" s="30" t="s">
        <v>1445</v>
      </c>
      <c r="F1416" s="30">
        <v>1</v>
      </c>
      <c r="G1416" s="44">
        <v>4620</v>
      </c>
      <c r="H1416" s="30"/>
      <c r="I1416" s="44"/>
      <c r="J1416" s="44"/>
      <c r="K1416" s="44">
        <f t="shared" si="48"/>
        <v>4620</v>
      </c>
      <c r="L1416" s="51">
        <v>20230310</v>
      </c>
    </row>
    <row r="1417" spans="1:12" x14ac:dyDescent="0.25">
      <c r="A1417" s="52" t="s">
        <v>2574</v>
      </c>
      <c r="B1417" s="32" t="s">
        <v>11</v>
      </c>
      <c r="C1417" s="32" t="s">
        <v>337</v>
      </c>
      <c r="D1417" s="32" t="s">
        <v>162</v>
      </c>
      <c r="E1417" s="32" t="s">
        <v>2520</v>
      </c>
      <c r="F1417" s="32">
        <v>1</v>
      </c>
      <c r="G1417" s="45">
        <v>4620</v>
      </c>
      <c r="H1417" s="32">
        <v>69</v>
      </c>
      <c r="I1417" s="45">
        <v>58.7</v>
      </c>
      <c r="J1417" s="45">
        <f>I1417*H1417</f>
        <v>4050.3</v>
      </c>
      <c r="K1417" s="45">
        <f t="shared" si="48"/>
        <v>8670.2999999999993</v>
      </c>
      <c r="L1417" s="53">
        <v>20230314</v>
      </c>
    </row>
    <row r="1418" spans="1:12" x14ac:dyDescent="0.25">
      <c r="A1418" s="50" t="s">
        <v>2563</v>
      </c>
      <c r="B1418" s="30" t="s">
        <v>11</v>
      </c>
      <c r="C1418" s="30" t="s">
        <v>337</v>
      </c>
      <c r="D1418" s="30" t="s">
        <v>162</v>
      </c>
      <c r="E1418" s="30" t="s">
        <v>219</v>
      </c>
      <c r="F1418" s="30">
        <v>1</v>
      </c>
      <c r="G1418" s="44">
        <v>4620</v>
      </c>
      <c r="H1418" s="30"/>
      <c r="I1418" s="44"/>
      <c r="J1418" s="44"/>
      <c r="K1418" s="44">
        <f t="shared" si="48"/>
        <v>4620</v>
      </c>
      <c r="L1418" s="51">
        <v>20230314</v>
      </c>
    </row>
    <row r="1419" spans="1:12" x14ac:dyDescent="0.25">
      <c r="A1419" s="95" t="s">
        <v>2576</v>
      </c>
      <c r="B1419" s="96" t="s">
        <v>892</v>
      </c>
      <c r="C1419" s="96" t="s">
        <v>26</v>
      </c>
      <c r="D1419" s="96" t="s">
        <v>226</v>
      </c>
      <c r="E1419" s="96" t="s">
        <v>730</v>
      </c>
      <c r="F1419" s="96">
        <v>1</v>
      </c>
      <c r="G1419" s="97">
        <v>11550</v>
      </c>
      <c r="H1419" s="96">
        <v>447</v>
      </c>
      <c r="I1419" s="97">
        <v>58.7</v>
      </c>
      <c r="J1419" s="97">
        <f>I1419*H1419</f>
        <v>26238.9</v>
      </c>
      <c r="K1419" s="97">
        <f t="shared" si="48"/>
        <v>37788.9</v>
      </c>
      <c r="L1419" s="98">
        <v>20230317</v>
      </c>
    </row>
    <row r="1420" spans="1:12" x14ac:dyDescent="0.25">
      <c r="A1420" s="50" t="s">
        <v>2558</v>
      </c>
      <c r="B1420" s="30" t="s">
        <v>11</v>
      </c>
      <c r="C1420" s="30" t="s">
        <v>76</v>
      </c>
      <c r="D1420" s="30" t="s">
        <v>2072</v>
      </c>
      <c r="E1420" s="30" t="s">
        <v>77</v>
      </c>
      <c r="F1420" s="30">
        <v>1</v>
      </c>
      <c r="G1420" s="44">
        <v>4620</v>
      </c>
      <c r="H1420" s="30"/>
      <c r="I1420" s="44"/>
      <c r="J1420" s="44"/>
      <c r="K1420" s="44">
        <f t="shared" si="48"/>
        <v>4620</v>
      </c>
      <c r="L1420" s="51">
        <v>20230320</v>
      </c>
    </row>
    <row r="1421" spans="1:12" x14ac:dyDescent="0.25">
      <c r="A1421" s="52" t="s">
        <v>2556</v>
      </c>
      <c r="B1421" s="32" t="s">
        <v>11</v>
      </c>
      <c r="C1421" s="32" t="s">
        <v>163</v>
      </c>
      <c r="D1421" s="32" t="s">
        <v>164</v>
      </c>
      <c r="E1421" s="32" t="s">
        <v>454</v>
      </c>
      <c r="F1421" s="32">
        <v>1</v>
      </c>
      <c r="G1421" s="45">
        <v>4620</v>
      </c>
      <c r="H1421" s="32">
        <v>126</v>
      </c>
      <c r="I1421" s="45">
        <v>58.7</v>
      </c>
      <c r="J1421" s="45">
        <f>I1421*H1421</f>
        <v>7396.2000000000007</v>
      </c>
      <c r="K1421" s="45">
        <f t="shared" si="48"/>
        <v>12016.2</v>
      </c>
      <c r="L1421" s="53">
        <v>20230320</v>
      </c>
    </row>
    <row r="1422" spans="1:12" x14ac:dyDescent="0.25">
      <c r="A1422" s="50" t="s">
        <v>2560</v>
      </c>
      <c r="B1422" s="30" t="s">
        <v>11</v>
      </c>
      <c r="C1422" s="30" t="s">
        <v>163</v>
      </c>
      <c r="D1422" s="30" t="s">
        <v>164</v>
      </c>
      <c r="E1422" s="30" t="s">
        <v>305</v>
      </c>
      <c r="F1422" s="30">
        <v>1</v>
      </c>
      <c r="G1422" s="44">
        <v>4620</v>
      </c>
      <c r="H1422" s="30"/>
      <c r="I1422" s="44"/>
      <c r="J1422" s="44"/>
      <c r="K1422" s="44">
        <f t="shared" si="48"/>
        <v>4620</v>
      </c>
      <c r="L1422" s="51">
        <v>20230320</v>
      </c>
    </row>
    <row r="1423" spans="1:12" x14ac:dyDescent="0.25">
      <c r="A1423" s="50" t="s">
        <v>2564</v>
      </c>
      <c r="B1423" s="30" t="s">
        <v>11</v>
      </c>
      <c r="C1423" s="30" t="s">
        <v>57</v>
      </c>
      <c r="D1423" s="30" t="s">
        <v>58</v>
      </c>
      <c r="E1423" s="30" t="s">
        <v>59</v>
      </c>
      <c r="F1423" s="30">
        <v>1</v>
      </c>
      <c r="G1423" s="44">
        <v>4620</v>
      </c>
      <c r="H1423" s="30"/>
      <c r="I1423" s="44"/>
      <c r="J1423" s="44"/>
      <c r="K1423" s="44">
        <f t="shared" si="48"/>
        <v>4620</v>
      </c>
      <c r="L1423" s="51">
        <v>20230321</v>
      </c>
    </row>
    <row r="1424" spans="1:12" x14ac:dyDescent="0.25">
      <c r="A1424" s="50" t="s">
        <v>2557</v>
      </c>
      <c r="B1424" s="30" t="s">
        <v>11</v>
      </c>
      <c r="C1424" s="30" t="s">
        <v>474</v>
      </c>
      <c r="D1424" s="30" t="s">
        <v>475</v>
      </c>
      <c r="E1424" s="30" t="s">
        <v>476</v>
      </c>
      <c r="F1424" s="30">
        <v>1</v>
      </c>
      <c r="G1424" s="44">
        <v>4620</v>
      </c>
      <c r="H1424" s="30"/>
      <c r="I1424" s="44"/>
      <c r="J1424" s="44"/>
      <c r="K1424" s="44">
        <f t="shared" si="48"/>
        <v>4620</v>
      </c>
      <c r="L1424" s="51">
        <v>20230321</v>
      </c>
    </row>
    <row r="1425" spans="1:12" x14ac:dyDescent="0.25">
      <c r="A1425" s="50" t="s">
        <v>2559</v>
      </c>
      <c r="B1425" s="30" t="s">
        <v>11</v>
      </c>
      <c r="C1425" s="30" t="s">
        <v>474</v>
      </c>
      <c r="D1425" s="30" t="s">
        <v>475</v>
      </c>
      <c r="E1425" s="30" t="s">
        <v>940</v>
      </c>
      <c r="F1425" s="30">
        <v>1</v>
      </c>
      <c r="G1425" s="44">
        <v>4620</v>
      </c>
      <c r="H1425" s="30"/>
      <c r="I1425" s="44"/>
      <c r="J1425" s="44"/>
      <c r="K1425" s="44">
        <f t="shared" si="48"/>
        <v>4620</v>
      </c>
      <c r="L1425" s="51">
        <v>20230321</v>
      </c>
    </row>
    <row r="1426" spans="1:12" x14ac:dyDescent="0.25">
      <c r="A1426" s="50" t="s">
        <v>2555</v>
      </c>
      <c r="B1426" s="30" t="s">
        <v>11</v>
      </c>
      <c r="C1426" s="30" t="s">
        <v>134</v>
      </c>
      <c r="D1426" s="30" t="s">
        <v>135</v>
      </c>
      <c r="E1426" s="30" t="s">
        <v>190</v>
      </c>
      <c r="F1426" s="30">
        <v>1</v>
      </c>
      <c r="G1426" s="44">
        <v>4620</v>
      </c>
      <c r="H1426" s="30"/>
      <c r="I1426" s="44"/>
      <c r="J1426" s="44"/>
      <c r="K1426" s="44">
        <f t="shared" si="48"/>
        <v>4620</v>
      </c>
      <c r="L1426" s="51">
        <v>20230321</v>
      </c>
    </row>
    <row r="1427" spans="1:12" x14ac:dyDescent="0.25">
      <c r="A1427" s="50" t="s">
        <v>2554</v>
      </c>
      <c r="B1427" s="30" t="s">
        <v>11</v>
      </c>
      <c r="C1427" s="30" t="s">
        <v>1450</v>
      </c>
      <c r="D1427" s="30" t="s">
        <v>1592</v>
      </c>
      <c r="E1427" s="30" t="s">
        <v>1593</v>
      </c>
      <c r="F1427" s="30">
        <v>1</v>
      </c>
      <c r="G1427" s="44">
        <v>4620</v>
      </c>
      <c r="H1427" s="30"/>
      <c r="I1427" s="44"/>
      <c r="J1427" s="44"/>
      <c r="K1427" s="44">
        <f t="shared" si="48"/>
        <v>4620</v>
      </c>
      <c r="L1427" s="51">
        <v>20230322</v>
      </c>
    </row>
    <row r="1428" spans="1:12" x14ac:dyDescent="0.25">
      <c r="A1428" s="50" t="s">
        <v>2550</v>
      </c>
      <c r="B1428" s="30" t="s">
        <v>11</v>
      </c>
      <c r="C1428" s="30" t="s">
        <v>29</v>
      </c>
      <c r="D1428" s="30" t="s">
        <v>1385</v>
      </c>
      <c r="E1428" s="30" t="s">
        <v>1290</v>
      </c>
      <c r="F1428" s="30">
        <v>1</v>
      </c>
      <c r="G1428" s="44">
        <v>4620</v>
      </c>
      <c r="H1428" s="30"/>
      <c r="I1428" s="44"/>
      <c r="J1428" s="44"/>
      <c r="K1428" s="44">
        <f t="shared" si="48"/>
        <v>4620</v>
      </c>
      <c r="L1428" s="51">
        <v>20230322</v>
      </c>
    </row>
    <row r="1429" spans="1:12" x14ac:dyDescent="0.25">
      <c r="A1429" s="52" t="s">
        <v>2561</v>
      </c>
      <c r="B1429" s="32" t="s">
        <v>11</v>
      </c>
      <c r="C1429" s="32" t="s">
        <v>29</v>
      </c>
      <c r="D1429" s="32" t="s">
        <v>30</v>
      </c>
      <c r="E1429" s="32" t="s">
        <v>509</v>
      </c>
      <c r="F1429" s="32">
        <v>1</v>
      </c>
      <c r="G1429" s="45">
        <v>4620</v>
      </c>
      <c r="H1429" s="32">
        <v>150</v>
      </c>
      <c r="I1429" s="45">
        <v>58.7</v>
      </c>
      <c r="J1429" s="45">
        <f>I1429*H1429</f>
        <v>8805</v>
      </c>
      <c r="K1429" s="45">
        <f t="shared" si="48"/>
        <v>13425</v>
      </c>
      <c r="L1429" s="53">
        <v>20230322</v>
      </c>
    </row>
    <row r="1430" spans="1:12" x14ac:dyDescent="0.25">
      <c r="A1430" s="50" t="s">
        <v>2562</v>
      </c>
      <c r="B1430" s="30" t="s">
        <v>892</v>
      </c>
      <c r="C1430" s="30" t="s">
        <v>1450</v>
      </c>
      <c r="D1430" s="30" t="s">
        <v>1569</v>
      </c>
      <c r="E1430" s="30" t="s">
        <v>1570</v>
      </c>
      <c r="F1430" s="30">
        <v>1</v>
      </c>
      <c r="G1430" s="44">
        <v>4620</v>
      </c>
      <c r="H1430" s="30"/>
      <c r="I1430" s="44"/>
      <c r="J1430" s="44"/>
      <c r="K1430" s="44">
        <f t="shared" si="48"/>
        <v>4620</v>
      </c>
      <c r="L1430" s="51">
        <v>20230322</v>
      </c>
    </row>
    <row r="1431" spans="1:12" x14ac:dyDescent="0.25">
      <c r="A1431" s="50" t="s">
        <v>2552</v>
      </c>
      <c r="B1431" s="30" t="s">
        <v>11</v>
      </c>
      <c r="C1431" s="30" t="s">
        <v>163</v>
      </c>
      <c r="D1431" s="30" t="s">
        <v>164</v>
      </c>
      <c r="E1431" s="30" t="s">
        <v>454</v>
      </c>
      <c r="F1431" s="30">
        <v>1</v>
      </c>
      <c r="G1431" s="44">
        <v>4620</v>
      </c>
      <c r="H1431" s="30"/>
      <c r="I1431" s="44"/>
      <c r="J1431" s="44"/>
      <c r="K1431" s="44">
        <f t="shared" si="48"/>
        <v>4620</v>
      </c>
      <c r="L1431" s="51">
        <v>20230323</v>
      </c>
    </row>
    <row r="1432" spans="1:12" x14ac:dyDescent="0.25">
      <c r="A1432" s="50" t="s">
        <v>2551</v>
      </c>
      <c r="B1432" s="30" t="s">
        <v>11</v>
      </c>
      <c r="C1432" s="30" t="s">
        <v>163</v>
      </c>
      <c r="D1432" s="30" t="s">
        <v>164</v>
      </c>
      <c r="E1432" s="30" t="s">
        <v>305</v>
      </c>
      <c r="F1432" s="30">
        <v>1</v>
      </c>
      <c r="G1432" s="44">
        <v>4620</v>
      </c>
      <c r="H1432" s="30"/>
      <c r="I1432" s="44"/>
      <c r="J1432" s="44"/>
      <c r="K1432" s="44">
        <f t="shared" si="48"/>
        <v>4620</v>
      </c>
      <c r="L1432" s="51">
        <v>20230323</v>
      </c>
    </row>
    <row r="1433" spans="1:12" x14ac:dyDescent="0.25">
      <c r="A1433" s="52" t="s">
        <v>2549</v>
      </c>
      <c r="B1433" s="32" t="s">
        <v>11</v>
      </c>
      <c r="C1433" s="32" t="s">
        <v>163</v>
      </c>
      <c r="D1433" s="32" t="s">
        <v>164</v>
      </c>
      <c r="E1433" s="32" t="s">
        <v>187</v>
      </c>
      <c r="F1433" s="32">
        <v>1</v>
      </c>
      <c r="G1433" s="45">
        <v>4620</v>
      </c>
      <c r="H1433" s="32">
        <v>126</v>
      </c>
      <c r="I1433" s="45">
        <v>58.7</v>
      </c>
      <c r="J1433" s="45">
        <f>I1433*H1433</f>
        <v>7396.2000000000007</v>
      </c>
      <c r="K1433" s="45">
        <f t="shared" si="48"/>
        <v>12016.2</v>
      </c>
      <c r="L1433" s="53">
        <v>20230323</v>
      </c>
    </row>
    <row r="1434" spans="1:12" x14ac:dyDescent="0.25">
      <c r="A1434" s="50" t="s">
        <v>2546</v>
      </c>
      <c r="B1434" s="30" t="s">
        <v>11</v>
      </c>
      <c r="C1434" s="30" t="s">
        <v>26</v>
      </c>
      <c r="D1434" s="30" t="s">
        <v>307</v>
      </c>
      <c r="E1434" s="30" t="s">
        <v>312</v>
      </c>
      <c r="F1434" s="30">
        <v>1</v>
      </c>
      <c r="G1434" s="44">
        <v>4620</v>
      </c>
      <c r="H1434" s="30"/>
      <c r="I1434" s="44"/>
      <c r="J1434" s="44"/>
      <c r="K1434" s="44">
        <f t="shared" si="48"/>
        <v>4620</v>
      </c>
      <c r="L1434" s="51">
        <v>20230327</v>
      </c>
    </row>
    <row r="1435" spans="1:12" x14ac:dyDescent="0.25">
      <c r="A1435" s="50" t="s">
        <v>2545</v>
      </c>
      <c r="B1435" s="30" t="s">
        <v>11</v>
      </c>
      <c r="C1435" s="30" t="s">
        <v>251</v>
      </c>
      <c r="D1435" s="30" t="s">
        <v>933</v>
      </c>
      <c r="E1435" s="30" t="s">
        <v>934</v>
      </c>
      <c r="F1435" s="30">
        <v>1</v>
      </c>
      <c r="G1435" s="44">
        <v>4620</v>
      </c>
      <c r="H1435" s="30"/>
      <c r="I1435" s="44"/>
      <c r="J1435" s="44"/>
      <c r="K1435" s="44">
        <f t="shared" si="48"/>
        <v>4620</v>
      </c>
      <c r="L1435" s="51">
        <v>20230329</v>
      </c>
    </row>
    <row r="1436" spans="1:12" x14ac:dyDescent="0.25">
      <c r="A1436" s="50" t="s">
        <v>2544</v>
      </c>
      <c r="B1436" s="30" t="s">
        <v>11</v>
      </c>
      <c r="C1436" s="30" t="s">
        <v>29</v>
      </c>
      <c r="D1436" s="30" t="s">
        <v>24</v>
      </c>
      <c r="E1436" s="30" t="s">
        <v>632</v>
      </c>
      <c r="F1436" s="30">
        <v>1</v>
      </c>
      <c r="G1436" s="44">
        <v>4620</v>
      </c>
      <c r="H1436" s="30"/>
      <c r="I1436" s="44"/>
      <c r="J1436" s="44"/>
      <c r="K1436" s="44">
        <f t="shared" si="48"/>
        <v>4620</v>
      </c>
      <c r="L1436" s="51">
        <v>20230329</v>
      </c>
    </row>
    <row r="1437" spans="1:12" ht="15.75" thickBot="1" x14ac:dyDescent="0.3">
      <c r="A1437" s="54" t="s">
        <v>2547</v>
      </c>
      <c r="B1437" s="36" t="s">
        <v>11</v>
      </c>
      <c r="C1437" s="36" t="s">
        <v>29</v>
      </c>
      <c r="D1437" s="36" t="s">
        <v>2548</v>
      </c>
      <c r="E1437" s="36" t="s">
        <v>390</v>
      </c>
      <c r="F1437" s="36">
        <v>1</v>
      </c>
      <c r="G1437" s="65">
        <v>4620</v>
      </c>
      <c r="H1437" s="36"/>
      <c r="I1437" s="65"/>
      <c r="J1437" s="65"/>
      <c r="K1437" s="65">
        <f t="shared" si="48"/>
        <v>4620</v>
      </c>
      <c r="L1437" s="55">
        <v>20230329</v>
      </c>
    </row>
    <row r="1438" spans="1:12" x14ac:dyDescent="0.25">
      <c r="A1438" s="73"/>
      <c r="B1438" s="74"/>
      <c r="C1438" s="74"/>
      <c r="D1438" s="74"/>
      <c r="E1438" s="74"/>
      <c r="F1438" s="74"/>
      <c r="G1438" s="75"/>
      <c r="H1438" s="74"/>
      <c r="I1438" s="75"/>
      <c r="J1438" s="75"/>
      <c r="K1438" s="75"/>
      <c r="L1438" s="76"/>
    </row>
    <row r="1439" spans="1:12" ht="15.75" thickBot="1" x14ac:dyDescent="0.3">
      <c r="A1439" s="69"/>
      <c r="B1439" s="70"/>
      <c r="C1439" s="70"/>
      <c r="D1439" s="70"/>
      <c r="E1439" s="70"/>
      <c r="F1439" s="70"/>
      <c r="G1439" s="71"/>
      <c r="H1439" s="70"/>
      <c r="I1439" s="71"/>
      <c r="J1439" s="71"/>
      <c r="K1439" s="71"/>
      <c r="L1439" s="72"/>
    </row>
    <row r="1440" spans="1:12" x14ac:dyDescent="0.25">
      <c r="A1440" s="48" t="s">
        <v>2570</v>
      </c>
      <c r="B1440" s="34" t="s">
        <v>137</v>
      </c>
      <c r="C1440" s="34" t="s">
        <v>364</v>
      </c>
      <c r="D1440" s="34" t="s">
        <v>24</v>
      </c>
      <c r="E1440" s="34" t="s">
        <v>365</v>
      </c>
      <c r="F1440" s="34">
        <v>1</v>
      </c>
      <c r="G1440" s="64">
        <v>2310</v>
      </c>
      <c r="H1440" s="34"/>
      <c r="I1440" s="64"/>
      <c r="J1440" s="64"/>
      <c r="K1440" s="64">
        <f t="shared" ref="K1440:K1465" si="49">J1440+G1440</f>
        <v>2310</v>
      </c>
      <c r="L1440" s="49">
        <v>20230307</v>
      </c>
    </row>
    <row r="1441" spans="1:12" x14ac:dyDescent="0.25">
      <c r="A1441" s="50" t="s">
        <v>2569</v>
      </c>
      <c r="B1441" s="30" t="s">
        <v>137</v>
      </c>
      <c r="C1441" s="30" t="s">
        <v>364</v>
      </c>
      <c r="D1441" s="30" t="s">
        <v>24</v>
      </c>
      <c r="E1441" s="30" t="s">
        <v>1136</v>
      </c>
      <c r="F1441" s="30">
        <v>1</v>
      </c>
      <c r="G1441" s="44">
        <v>2310</v>
      </c>
      <c r="H1441" s="30"/>
      <c r="I1441" s="44"/>
      <c r="J1441" s="44"/>
      <c r="K1441" s="44">
        <f t="shared" si="49"/>
        <v>2310</v>
      </c>
      <c r="L1441" s="51">
        <v>20230307</v>
      </c>
    </row>
    <row r="1442" spans="1:12" x14ac:dyDescent="0.25">
      <c r="A1442" s="50" t="s">
        <v>2568</v>
      </c>
      <c r="B1442" s="30" t="s">
        <v>137</v>
      </c>
      <c r="C1442" s="30" t="s">
        <v>364</v>
      </c>
      <c r="D1442" s="30" t="s">
        <v>24</v>
      </c>
      <c r="E1442" s="30" t="s">
        <v>1134</v>
      </c>
      <c r="F1442" s="30">
        <v>1</v>
      </c>
      <c r="G1442" s="44">
        <v>2310</v>
      </c>
      <c r="H1442" s="30"/>
      <c r="I1442" s="44"/>
      <c r="J1442" s="44"/>
      <c r="K1442" s="44">
        <f t="shared" si="49"/>
        <v>2310</v>
      </c>
      <c r="L1442" s="51">
        <v>20230307</v>
      </c>
    </row>
    <row r="1443" spans="1:12" x14ac:dyDescent="0.25">
      <c r="A1443" s="50" t="s">
        <v>2567</v>
      </c>
      <c r="B1443" s="30" t="s">
        <v>137</v>
      </c>
      <c r="C1443" s="30" t="s">
        <v>364</v>
      </c>
      <c r="D1443" s="30" t="s">
        <v>24</v>
      </c>
      <c r="E1443" s="30" t="s">
        <v>532</v>
      </c>
      <c r="F1443" s="30">
        <v>1</v>
      </c>
      <c r="G1443" s="44">
        <v>2310</v>
      </c>
      <c r="H1443" s="30"/>
      <c r="I1443" s="44"/>
      <c r="J1443" s="44"/>
      <c r="K1443" s="44">
        <f t="shared" si="49"/>
        <v>2310</v>
      </c>
      <c r="L1443" s="51">
        <v>20230307</v>
      </c>
    </row>
    <row r="1444" spans="1:12" x14ac:dyDescent="0.25">
      <c r="A1444" s="50" t="s">
        <v>2566</v>
      </c>
      <c r="B1444" s="30" t="s">
        <v>137</v>
      </c>
      <c r="C1444" s="30" t="s">
        <v>364</v>
      </c>
      <c r="D1444" s="30" t="s">
        <v>24</v>
      </c>
      <c r="E1444" s="30" t="s">
        <v>2075</v>
      </c>
      <c r="F1444" s="30">
        <v>1</v>
      </c>
      <c r="G1444" s="44">
        <v>2310</v>
      </c>
      <c r="H1444" s="30"/>
      <c r="I1444" s="44"/>
      <c r="J1444" s="44"/>
      <c r="K1444" s="44">
        <f t="shared" si="49"/>
        <v>2310</v>
      </c>
      <c r="L1444" s="51">
        <v>20230307</v>
      </c>
    </row>
    <row r="1445" spans="1:12" x14ac:dyDescent="0.25">
      <c r="A1445" s="50" t="s">
        <v>2565</v>
      </c>
      <c r="B1445" s="30" t="s">
        <v>137</v>
      </c>
      <c r="C1445" s="30" t="s">
        <v>364</v>
      </c>
      <c r="D1445" s="30" t="s">
        <v>24</v>
      </c>
      <c r="E1445" s="30" t="s">
        <v>695</v>
      </c>
      <c r="F1445" s="30">
        <v>1</v>
      </c>
      <c r="G1445" s="44">
        <v>2310</v>
      </c>
      <c r="H1445" s="30"/>
      <c r="I1445" s="44"/>
      <c r="J1445" s="44"/>
      <c r="K1445" s="44">
        <f t="shared" si="49"/>
        <v>2310</v>
      </c>
      <c r="L1445" s="51">
        <v>20230307</v>
      </c>
    </row>
    <row r="1446" spans="1:12" x14ac:dyDescent="0.25">
      <c r="A1446" s="50" t="s">
        <v>2553</v>
      </c>
      <c r="B1446" s="30" t="s">
        <v>137</v>
      </c>
      <c r="C1446" s="30" t="s">
        <v>76</v>
      </c>
      <c r="D1446" s="30" t="s">
        <v>2072</v>
      </c>
      <c r="E1446" s="30" t="s">
        <v>1156</v>
      </c>
      <c r="F1446" s="30">
        <v>1</v>
      </c>
      <c r="G1446" s="44">
        <v>2310</v>
      </c>
      <c r="H1446" s="30"/>
      <c r="I1446" s="44"/>
      <c r="J1446" s="44"/>
      <c r="K1446" s="44">
        <f t="shared" si="49"/>
        <v>2310</v>
      </c>
      <c r="L1446" s="51">
        <v>20230320</v>
      </c>
    </row>
    <row r="1447" spans="1:12" x14ac:dyDescent="0.25">
      <c r="A1447" s="50" t="s">
        <v>2528</v>
      </c>
      <c r="B1447" s="30" t="s">
        <v>137</v>
      </c>
      <c r="C1447" s="30" t="s">
        <v>28</v>
      </c>
      <c r="D1447" s="30" t="s">
        <v>750</v>
      </c>
      <c r="E1447" s="30" t="s">
        <v>751</v>
      </c>
      <c r="F1447" s="30">
        <v>1</v>
      </c>
      <c r="G1447" s="44">
        <v>2310</v>
      </c>
      <c r="H1447" s="30"/>
      <c r="I1447" s="44"/>
      <c r="J1447" s="44"/>
      <c r="K1447" s="44">
        <f t="shared" si="49"/>
        <v>2310</v>
      </c>
      <c r="L1447" s="51">
        <v>20230328</v>
      </c>
    </row>
    <row r="1448" spans="1:12" x14ac:dyDescent="0.25">
      <c r="A1448" s="50" t="s">
        <v>2532</v>
      </c>
      <c r="B1448" s="30" t="s">
        <v>137</v>
      </c>
      <c r="C1448" s="30" t="s">
        <v>28</v>
      </c>
      <c r="D1448" s="30" t="s">
        <v>371</v>
      </c>
      <c r="E1448" s="30" t="s">
        <v>372</v>
      </c>
      <c r="F1448" s="30">
        <v>1</v>
      </c>
      <c r="G1448" s="44">
        <v>2310</v>
      </c>
      <c r="H1448" s="30"/>
      <c r="I1448" s="44"/>
      <c r="J1448" s="44"/>
      <c r="K1448" s="44">
        <f t="shared" si="49"/>
        <v>2310</v>
      </c>
      <c r="L1448" s="51">
        <v>20230328</v>
      </c>
    </row>
    <row r="1449" spans="1:12" x14ac:dyDescent="0.25">
      <c r="A1449" s="50" t="s">
        <v>2531</v>
      </c>
      <c r="B1449" s="30" t="s">
        <v>137</v>
      </c>
      <c r="C1449" s="30" t="s">
        <v>28</v>
      </c>
      <c r="D1449" s="30" t="s">
        <v>759</v>
      </c>
      <c r="E1449" s="30" t="s">
        <v>762</v>
      </c>
      <c r="F1449" s="30">
        <v>1</v>
      </c>
      <c r="G1449" s="44">
        <v>2310</v>
      </c>
      <c r="H1449" s="30"/>
      <c r="I1449" s="44"/>
      <c r="J1449" s="44"/>
      <c r="K1449" s="44">
        <f t="shared" si="49"/>
        <v>2310</v>
      </c>
      <c r="L1449" s="51">
        <v>20230328</v>
      </c>
    </row>
    <row r="1450" spans="1:12" x14ac:dyDescent="0.25">
      <c r="A1450" s="50" t="s">
        <v>2530</v>
      </c>
      <c r="B1450" s="30" t="s">
        <v>137</v>
      </c>
      <c r="C1450" s="30" t="s">
        <v>28</v>
      </c>
      <c r="D1450" s="30" t="s">
        <v>759</v>
      </c>
      <c r="E1450" s="30" t="s">
        <v>760</v>
      </c>
      <c r="F1450" s="30">
        <v>1</v>
      </c>
      <c r="G1450" s="44">
        <v>2310</v>
      </c>
      <c r="H1450" s="30"/>
      <c r="I1450" s="44"/>
      <c r="J1450" s="44"/>
      <c r="K1450" s="44">
        <f t="shared" si="49"/>
        <v>2310</v>
      </c>
      <c r="L1450" s="51">
        <v>20230328</v>
      </c>
    </row>
    <row r="1451" spans="1:12" x14ac:dyDescent="0.25">
      <c r="A1451" s="50" t="s">
        <v>2536</v>
      </c>
      <c r="B1451" s="30" t="s">
        <v>137</v>
      </c>
      <c r="C1451" s="30" t="s">
        <v>505</v>
      </c>
      <c r="D1451" s="30" t="s">
        <v>24</v>
      </c>
      <c r="E1451" s="30" t="s">
        <v>931</v>
      </c>
      <c r="F1451" s="30">
        <v>1</v>
      </c>
      <c r="G1451" s="44">
        <v>2310</v>
      </c>
      <c r="H1451" s="30"/>
      <c r="I1451" s="44"/>
      <c r="J1451" s="44"/>
      <c r="K1451" s="44">
        <f t="shared" si="49"/>
        <v>2310</v>
      </c>
      <c r="L1451" s="51">
        <v>20230328</v>
      </c>
    </row>
    <row r="1452" spans="1:12" x14ac:dyDescent="0.25">
      <c r="A1452" s="50" t="s">
        <v>2535</v>
      </c>
      <c r="B1452" s="30" t="s">
        <v>137</v>
      </c>
      <c r="C1452" s="30" t="s">
        <v>505</v>
      </c>
      <c r="D1452" s="30" t="s">
        <v>24</v>
      </c>
      <c r="E1452" s="30" t="s">
        <v>929</v>
      </c>
      <c r="F1452" s="30">
        <v>1</v>
      </c>
      <c r="G1452" s="44">
        <v>2310</v>
      </c>
      <c r="H1452" s="30"/>
      <c r="I1452" s="44"/>
      <c r="J1452" s="44"/>
      <c r="K1452" s="44">
        <f t="shared" si="49"/>
        <v>2310</v>
      </c>
      <c r="L1452" s="51">
        <v>20230328</v>
      </c>
    </row>
    <row r="1453" spans="1:12" x14ac:dyDescent="0.25">
      <c r="A1453" s="50" t="s">
        <v>2534</v>
      </c>
      <c r="B1453" s="30" t="s">
        <v>137</v>
      </c>
      <c r="C1453" s="30" t="s">
        <v>505</v>
      </c>
      <c r="D1453" s="30" t="s">
        <v>24</v>
      </c>
      <c r="E1453" s="30" t="s">
        <v>925</v>
      </c>
      <c r="F1453" s="30">
        <v>1</v>
      </c>
      <c r="G1453" s="44">
        <v>2310</v>
      </c>
      <c r="H1453" s="30"/>
      <c r="I1453" s="44"/>
      <c r="J1453" s="44"/>
      <c r="K1453" s="44">
        <f t="shared" si="49"/>
        <v>2310</v>
      </c>
      <c r="L1453" s="51">
        <v>20230328</v>
      </c>
    </row>
    <row r="1454" spans="1:12" x14ac:dyDescent="0.25">
      <c r="A1454" s="50" t="s">
        <v>2533</v>
      </c>
      <c r="B1454" s="30" t="s">
        <v>137</v>
      </c>
      <c r="C1454" s="30" t="s">
        <v>505</v>
      </c>
      <c r="D1454" s="30" t="s">
        <v>24</v>
      </c>
      <c r="E1454" s="30" t="s">
        <v>506</v>
      </c>
      <c r="F1454" s="30">
        <v>1</v>
      </c>
      <c r="G1454" s="44">
        <v>2310</v>
      </c>
      <c r="H1454" s="30"/>
      <c r="I1454" s="44"/>
      <c r="J1454" s="44"/>
      <c r="K1454" s="44">
        <f t="shared" si="49"/>
        <v>2310</v>
      </c>
      <c r="L1454" s="51">
        <v>20230328</v>
      </c>
    </row>
    <row r="1455" spans="1:12" x14ac:dyDescent="0.25">
      <c r="A1455" s="50" t="s">
        <v>2525</v>
      </c>
      <c r="B1455" s="30" t="s">
        <v>137</v>
      </c>
      <c r="C1455" s="30" t="s">
        <v>919</v>
      </c>
      <c r="D1455" s="30" t="s">
        <v>24</v>
      </c>
      <c r="E1455" s="30" t="s">
        <v>920</v>
      </c>
      <c r="F1455" s="30">
        <v>1</v>
      </c>
      <c r="G1455" s="44">
        <v>2310</v>
      </c>
      <c r="H1455" s="30"/>
      <c r="I1455" s="44"/>
      <c r="J1455" s="44"/>
      <c r="K1455" s="44">
        <f t="shared" si="49"/>
        <v>2310</v>
      </c>
      <c r="L1455" s="51">
        <v>20230328</v>
      </c>
    </row>
    <row r="1456" spans="1:12" x14ac:dyDescent="0.25">
      <c r="A1456" s="50" t="s">
        <v>2543</v>
      </c>
      <c r="B1456" s="30" t="s">
        <v>137</v>
      </c>
      <c r="C1456" s="30" t="s">
        <v>899</v>
      </c>
      <c r="D1456" s="30" t="s">
        <v>24</v>
      </c>
      <c r="E1456" s="30" t="s">
        <v>902</v>
      </c>
      <c r="F1456" s="30">
        <v>1</v>
      </c>
      <c r="G1456" s="44">
        <v>2310</v>
      </c>
      <c r="H1456" s="30"/>
      <c r="I1456" s="44"/>
      <c r="J1456" s="44"/>
      <c r="K1456" s="44">
        <f t="shared" si="49"/>
        <v>2310</v>
      </c>
      <c r="L1456" s="51">
        <v>20230328</v>
      </c>
    </row>
    <row r="1457" spans="1:12" x14ac:dyDescent="0.25">
      <c r="A1457" s="50" t="s">
        <v>2542</v>
      </c>
      <c r="B1457" s="30" t="s">
        <v>137</v>
      </c>
      <c r="C1457" s="30" t="s">
        <v>899</v>
      </c>
      <c r="D1457" s="30" t="s">
        <v>24</v>
      </c>
      <c r="E1457" s="30" t="s">
        <v>900</v>
      </c>
      <c r="F1457" s="30">
        <v>1</v>
      </c>
      <c r="G1457" s="44">
        <v>2310</v>
      </c>
      <c r="H1457" s="30"/>
      <c r="I1457" s="44"/>
      <c r="J1457" s="44"/>
      <c r="K1457" s="44">
        <f t="shared" si="49"/>
        <v>2310</v>
      </c>
      <c r="L1457" s="51">
        <v>20230328</v>
      </c>
    </row>
    <row r="1458" spans="1:12" x14ac:dyDescent="0.25">
      <c r="A1458" s="50" t="s">
        <v>2526</v>
      </c>
      <c r="B1458" s="30" t="s">
        <v>137</v>
      </c>
      <c r="C1458" s="30" t="s">
        <v>770</v>
      </c>
      <c r="D1458" s="30" t="s">
        <v>24</v>
      </c>
      <c r="E1458" s="30" t="s">
        <v>777</v>
      </c>
      <c r="F1458" s="30">
        <v>1</v>
      </c>
      <c r="G1458" s="44">
        <v>2310</v>
      </c>
      <c r="H1458" s="30"/>
      <c r="I1458" s="44"/>
      <c r="J1458" s="44"/>
      <c r="K1458" s="44">
        <f t="shared" si="49"/>
        <v>2310</v>
      </c>
      <c r="L1458" s="51">
        <v>20230329</v>
      </c>
    </row>
    <row r="1459" spans="1:12" x14ac:dyDescent="0.25">
      <c r="A1459" s="50" t="s">
        <v>2527</v>
      </c>
      <c r="B1459" s="30" t="s">
        <v>137</v>
      </c>
      <c r="C1459" s="30" t="s">
        <v>770</v>
      </c>
      <c r="D1459" s="30" t="s">
        <v>24</v>
      </c>
      <c r="E1459" s="30" t="s">
        <v>775</v>
      </c>
      <c r="F1459" s="30">
        <v>1</v>
      </c>
      <c r="G1459" s="44">
        <v>2310</v>
      </c>
      <c r="H1459" s="30"/>
      <c r="I1459" s="44"/>
      <c r="J1459" s="44"/>
      <c r="K1459" s="44">
        <f t="shared" si="49"/>
        <v>2310</v>
      </c>
      <c r="L1459" s="51">
        <v>20230329</v>
      </c>
    </row>
    <row r="1460" spans="1:12" x14ac:dyDescent="0.25">
      <c r="A1460" s="50" t="s">
        <v>2538</v>
      </c>
      <c r="B1460" s="30" t="s">
        <v>137</v>
      </c>
      <c r="C1460" s="30" t="s">
        <v>770</v>
      </c>
      <c r="D1460" s="30" t="s">
        <v>24</v>
      </c>
      <c r="E1460" s="30" t="s">
        <v>773</v>
      </c>
      <c r="F1460" s="30">
        <v>1</v>
      </c>
      <c r="G1460" s="44">
        <v>2310</v>
      </c>
      <c r="H1460" s="30"/>
      <c r="I1460" s="44"/>
      <c r="J1460" s="44"/>
      <c r="K1460" s="44">
        <f t="shared" si="49"/>
        <v>2310</v>
      </c>
      <c r="L1460" s="51">
        <v>20230329</v>
      </c>
    </row>
    <row r="1461" spans="1:12" x14ac:dyDescent="0.25">
      <c r="A1461" s="50" t="s">
        <v>2537</v>
      </c>
      <c r="B1461" s="30" t="s">
        <v>137</v>
      </c>
      <c r="C1461" s="30" t="s">
        <v>770</v>
      </c>
      <c r="D1461" s="30" t="s">
        <v>24</v>
      </c>
      <c r="E1461" s="30" t="s">
        <v>771</v>
      </c>
      <c r="F1461" s="30">
        <v>1</v>
      </c>
      <c r="G1461" s="44">
        <v>2310</v>
      </c>
      <c r="H1461" s="30"/>
      <c r="I1461" s="44"/>
      <c r="J1461" s="44"/>
      <c r="K1461" s="44">
        <f t="shared" si="49"/>
        <v>2310</v>
      </c>
      <c r="L1461" s="51">
        <v>20230329</v>
      </c>
    </row>
    <row r="1462" spans="1:12" x14ac:dyDescent="0.25">
      <c r="A1462" s="50" t="s">
        <v>2541</v>
      </c>
      <c r="B1462" s="30" t="s">
        <v>137</v>
      </c>
      <c r="C1462" s="30" t="s">
        <v>51</v>
      </c>
      <c r="D1462" s="30" t="s">
        <v>24</v>
      </c>
      <c r="E1462" s="30" t="s">
        <v>52</v>
      </c>
      <c r="F1462" s="30">
        <v>1</v>
      </c>
      <c r="G1462" s="44">
        <v>2310</v>
      </c>
      <c r="H1462" s="30"/>
      <c r="I1462" s="44"/>
      <c r="J1462" s="44"/>
      <c r="K1462" s="44">
        <f t="shared" si="49"/>
        <v>2310</v>
      </c>
      <c r="L1462" s="51">
        <v>20230329</v>
      </c>
    </row>
    <row r="1463" spans="1:12" x14ac:dyDescent="0.25">
      <c r="A1463" s="50" t="s">
        <v>2540</v>
      </c>
      <c r="B1463" s="30" t="s">
        <v>137</v>
      </c>
      <c r="C1463" s="30" t="s">
        <v>993</v>
      </c>
      <c r="D1463" s="30" t="s">
        <v>994</v>
      </c>
      <c r="E1463" s="30" t="s">
        <v>995</v>
      </c>
      <c r="F1463" s="30">
        <v>1</v>
      </c>
      <c r="G1463" s="44">
        <v>2310</v>
      </c>
      <c r="H1463" s="30"/>
      <c r="I1463" s="44"/>
      <c r="J1463" s="44"/>
      <c r="K1463" s="44">
        <f t="shared" si="49"/>
        <v>2310</v>
      </c>
      <c r="L1463" s="51">
        <v>20230329</v>
      </c>
    </row>
    <row r="1464" spans="1:12" x14ac:dyDescent="0.25">
      <c r="A1464" s="50" t="s">
        <v>2539</v>
      </c>
      <c r="B1464" s="30" t="s">
        <v>137</v>
      </c>
      <c r="C1464" s="30" t="s">
        <v>993</v>
      </c>
      <c r="D1464" s="30" t="s">
        <v>994</v>
      </c>
      <c r="E1464" s="30" t="s">
        <v>1015</v>
      </c>
      <c r="F1464" s="30">
        <v>1</v>
      </c>
      <c r="G1464" s="44">
        <v>2310</v>
      </c>
      <c r="H1464" s="30"/>
      <c r="I1464" s="44"/>
      <c r="J1464" s="44"/>
      <c r="K1464" s="44">
        <f t="shared" si="49"/>
        <v>2310</v>
      </c>
      <c r="L1464" s="51">
        <v>20230329</v>
      </c>
    </row>
    <row r="1465" spans="1:12" ht="15.75" thickBot="1" x14ac:dyDescent="0.3">
      <c r="A1465" s="54" t="s">
        <v>2529</v>
      </c>
      <c r="B1465" s="36" t="s">
        <v>137</v>
      </c>
      <c r="C1465" s="36" t="s">
        <v>28</v>
      </c>
      <c r="D1465" s="36" t="s">
        <v>759</v>
      </c>
      <c r="E1465" s="36" t="s">
        <v>1106</v>
      </c>
      <c r="F1465" s="36">
        <v>1</v>
      </c>
      <c r="G1465" s="65">
        <v>2310</v>
      </c>
      <c r="H1465" s="36"/>
      <c r="I1465" s="65"/>
      <c r="J1465" s="65"/>
      <c r="K1465" s="65">
        <f t="shared" si="49"/>
        <v>2310</v>
      </c>
      <c r="L1465" s="55">
        <v>20230331</v>
      </c>
    </row>
    <row r="1469" spans="1:12" ht="15.75" thickBot="1" x14ac:dyDescent="0.3">
      <c r="A1469" s="69" t="s">
        <v>0</v>
      </c>
      <c r="B1469" s="70" t="s">
        <v>1</v>
      </c>
      <c r="C1469" s="70" t="s">
        <v>2</v>
      </c>
      <c r="D1469" s="70" t="s">
        <v>3</v>
      </c>
      <c r="E1469" s="70" t="s">
        <v>4</v>
      </c>
      <c r="F1469" s="70"/>
      <c r="G1469" s="71" t="s">
        <v>6</v>
      </c>
      <c r="H1469" s="70" t="s">
        <v>7</v>
      </c>
      <c r="I1469" s="71" t="s">
        <v>8</v>
      </c>
      <c r="J1469" s="71" t="s">
        <v>9</v>
      </c>
      <c r="K1469" s="71" t="s">
        <v>10</v>
      </c>
      <c r="L1469" s="72" t="s">
        <v>5</v>
      </c>
    </row>
    <row r="1470" spans="1:12" x14ac:dyDescent="0.25">
      <c r="A1470" s="48" t="s">
        <v>2636</v>
      </c>
      <c r="B1470" s="34" t="s">
        <v>11</v>
      </c>
      <c r="C1470" s="34" t="s">
        <v>28</v>
      </c>
      <c r="D1470" s="34" t="s">
        <v>753</v>
      </c>
      <c r="E1470" s="34" t="s">
        <v>2637</v>
      </c>
      <c r="F1470" s="34">
        <v>1</v>
      </c>
      <c r="G1470" s="64">
        <v>5489</v>
      </c>
      <c r="H1470" s="34"/>
      <c r="I1470" s="64"/>
      <c r="J1470" s="64"/>
      <c r="K1470" s="64">
        <f t="shared" ref="K1470:K1494" si="50">J1470+G1470</f>
        <v>5489</v>
      </c>
      <c r="L1470" s="49">
        <v>20230404</v>
      </c>
    </row>
    <row r="1471" spans="1:12" x14ac:dyDescent="0.25">
      <c r="A1471" s="50" t="s">
        <v>2635</v>
      </c>
      <c r="B1471" s="30" t="s">
        <v>11</v>
      </c>
      <c r="C1471" s="30" t="s">
        <v>29</v>
      </c>
      <c r="D1471" s="30" t="s">
        <v>1385</v>
      </c>
      <c r="E1471" s="30" t="s">
        <v>1290</v>
      </c>
      <c r="F1471" s="30">
        <v>1</v>
      </c>
      <c r="G1471" s="44">
        <v>5489</v>
      </c>
      <c r="H1471" s="30"/>
      <c r="I1471" s="44"/>
      <c r="J1471" s="44"/>
      <c r="K1471" s="44">
        <f t="shared" si="50"/>
        <v>5489</v>
      </c>
      <c r="L1471" s="51">
        <v>20230404</v>
      </c>
    </row>
    <row r="1472" spans="1:12" x14ac:dyDescent="0.25">
      <c r="A1472" s="50" t="s">
        <v>2638</v>
      </c>
      <c r="B1472" s="30" t="s">
        <v>11</v>
      </c>
      <c r="C1472" s="30" t="s">
        <v>770</v>
      </c>
      <c r="D1472" s="30" t="s">
        <v>24</v>
      </c>
      <c r="E1472" s="30" t="s">
        <v>777</v>
      </c>
      <c r="F1472" s="30">
        <v>1</v>
      </c>
      <c r="G1472" s="44">
        <v>5489</v>
      </c>
      <c r="H1472" s="30"/>
      <c r="I1472" s="44"/>
      <c r="J1472" s="44"/>
      <c r="K1472" s="44">
        <f t="shared" si="50"/>
        <v>5489</v>
      </c>
      <c r="L1472" s="51">
        <v>20230405</v>
      </c>
    </row>
    <row r="1473" spans="1:12" x14ac:dyDescent="0.25">
      <c r="A1473" s="50" t="s">
        <v>2623</v>
      </c>
      <c r="B1473" s="30" t="s">
        <v>11</v>
      </c>
      <c r="C1473" s="30" t="s">
        <v>29</v>
      </c>
      <c r="D1473" s="30" t="s">
        <v>1385</v>
      </c>
      <c r="E1473" s="30" t="s">
        <v>209</v>
      </c>
      <c r="F1473" s="30">
        <v>1</v>
      </c>
      <c r="G1473" s="44">
        <v>5489</v>
      </c>
      <c r="H1473" s="30"/>
      <c r="I1473" s="44"/>
      <c r="J1473" s="44"/>
      <c r="K1473" s="44">
        <f t="shared" si="50"/>
        <v>5489</v>
      </c>
      <c r="L1473" s="51">
        <v>20230410</v>
      </c>
    </row>
    <row r="1474" spans="1:12" x14ac:dyDescent="0.25">
      <c r="A1474" s="50" t="s">
        <v>2634</v>
      </c>
      <c r="B1474" s="30" t="s">
        <v>11</v>
      </c>
      <c r="C1474" s="30" t="s">
        <v>29</v>
      </c>
      <c r="D1474" s="30" t="s">
        <v>24</v>
      </c>
      <c r="E1474" s="30" t="s">
        <v>632</v>
      </c>
      <c r="F1474" s="30">
        <v>1</v>
      </c>
      <c r="G1474" s="44">
        <v>5489</v>
      </c>
      <c r="H1474" s="30"/>
      <c r="I1474" s="44"/>
      <c r="J1474" s="44"/>
      <c r="K1474" s="44">
        <f t="shared" si="50"/>
        <v>5489</v>
      </c>
      <c r="L1474" s="51">
        <v>20230412</v>
      </c>
    </row>
    <row r="1475" spans="1:12" x14ac:dyDescent="0.25">
      <c r="A1475" s="52" t="s">
        <v>2622</v>
      </c>
      <c r="B1475" s="32" t="s">
        <v>11</v>
      </c>
      <c r="C1475" s="32" t="s">
        <v>337</v>
      </c>
      <c r="D1475" s="32" t="s">
        <v>162</v>
      </c>
      <c r="E1475" s="32" t="s">
        <v>239</v>
      </c>
      <c r="F1475" s="32">
        <v>1</v>
      </c>
      <c r="G1475" s="45">
        <v>5489</v>
      </c>
      <c r="H1475" s="32">
        <v>159</v>
      </c>
      <c r="I1475" s="45">
        <v>69.400000000000006</v>
      </c>
      <c r="J1475" s="45">
        <f>I1475*H1475</f>
        <v>11034.6</v>
      </c>
      <c r="K1475" s="45">
        <f t="shared" si="50"/>
        <v>16523.599999999999</v>
      </c>
      <c r="L1475" s="53">
        <v>20230413</v>
      </c>
    </row>
    <row r="1476" spans="1:12" x14ac:dyDescent="0.25">
      <c r="A1476" s="50" t="s">
        <v>2619</v>
      </c>
      <c r="B1476" s="30" t="s">
        <v>11</v>
      </c>
      <c r="C1476" s="30" t="s">
        <v>28</v>
      </c>
      <c r="D1476" s="30" t="s">
        <v>759</v>
      </c>
      <c r="E1476" s="30" t="s">
        <v>1106</v>
      </c>
      <c r="F1476" s="30">
        <v>1</v>
      </c>
      <c r="G1476" s="44">
        <v>5489</v>
      </c>
      <c r="H1476" s="30"/>
      <c r="I1476" s="44"/>
      <c r="J1476" s="44"/>
      <c r="K1476" s="44">
        <f t="shared" si="50"/>
        <v>5489</v>
      </c>
      <c r="L1476" s="51">
        <v>20230414</v>
      </c>
    </row>
    <row r="1477" spans="1:12" x14ac:dyDescent="0.25">
      <c r="A1477" s="50" t="s">
        <v>2620</v>
      </c>
      <c r="B1477" s="30" t="s">
        <v>11</v>
      </c>
      <c r="C1477" s="30" t="s">
        <v>29</v>
      </c>
      <c r="D1477" s="30" t="s">
        <v>1385</v>
      </c>
      <c r="E1477" s="30" t="s">
        <v>1290</v>
      </c>
      <c r="F1477" s="30">
        <v>1</v>
      </c>
      <c r="G1477" s="44">
        <v>5489</v>
      </c>
      <c r="H1477" s="30"/>
      <c r="I1477" s="44"/>
      <c r="J1477" s="44"/>
      <c r="K1477" s="44">
        <f t="shared" si="50"/>
        <v>5489</v>
      </c>
      <c r="L1477" s="51">
        <v>20230417</v>
      </c>
    </row>
    <row r="1478" spans="1:12" x14ac:dyDescent="0.25">
      <c r="A1478" s="52" t="s">
        <v>2639</v>
      </c>
      <c r="B1478" s="32" t="s">
        <v>11</v>
      </c>
      <c r="C1478" s="32" t="s">
        <v>34</v>
      </c>
      <c r="D1478" s="32" t="s">
        <v>35</v>
      </c>
      <c r="E1478" s="32" t="s">
        <v>968</v>
      </c>
      <c r="F1478" s="32">
        <v>1</v>
      </c>
      <c r="G1478" s="45">
        <v>5489</v>
      </c>
      <c r="H1478" s="32">
        <v>78</v>
      </c>
      <c r="I1478" s="45">
        <v>69.400000000000006</v>
      </c>
      <c r="J1478" s="45">
        <f>I1478*H1478</f>
        <v>5413.2000000000007</v>
      </c>
      <c r="K1478" s="45">
        <f t="shared" si="50"/>
        <v>10902.2</v>
      </c>
      <c r="L1478" s="53">
        <v>20230417</v>
      </c>
    </row>
    <row r="1479" spans="1:12" x14ac:dyDescent="0.25">
      <c r="A1479" s="50" t="s">
        <v>2618</v>
      </c>
      <c r="B1479" s="30" t="s">
        <v>11</v>
      </c>
      <c r="C1479" s="30" t="s">
        <v>134</v>
      </c>
      <c r="D1479" s="30" t="s">
        <v>135</v>
      </c>
      <c r="E1479" s="30" t="s">
        <v>190</v>
      </c>
      <c r="F1479" s="30">
        <v>1</v>
      </c>
      <c r="G1479" s="44">
        <v>5489</v>
      </c>
      <c r="H1479" s="30"/>
      <c r="I1479" s="44"/>
      <c r="J1479" s="44"/>
      <c r="K1479" s="44">
        <f t="shared" si="50"/>
        <v>5489</v>
      </c>
      <c r="L1479" s="51">
        <v>20230420</v>
      </c>
    </row>
    <row r="1480" spans="1:12" x14ac:dyDescent="0.25">
      <c r="A1480" s="52" t="s">
        <v>2616</v>
      </c>
      <c r="B1480" s="32" t="s">
        <v>11</v>
      </c>
      <c r="C1480" s="32" t="s">
        <v>337</v>
      </c>
      <c r="D1480" s="32" t="s">
        <v>162</v>
      </c>
      <c r="E1480" s="32" t="s">
        <v>2520</v>
      </c>
      <c r="F1480" s="32">
        <v>1</v>
      </c>
      <c r="G1480" s="45">
        <v>5489</v>
      </c>
      <c r="H1480" s="32">
        <v>69</v>
      </c>
      <c r="I1480" s="45">
        <v>69.400000000000006</v>
      </c>
      <c r="J1480" s="45">
        <f>I1480*H1480</f>
        <v>4788.6000000000004</v>
      </c>
      <c r="K1480" s="45">
        <f t="shared" si="50"/>
        <v>10277.6</v>
      </c>
      <c r="L1480" s="53">
        <v>20230421</v>
      </c>
    </row>
    <row r="1481" spans="1:12" x14ac:dyDescent="0.25">
      <c r="A1481" s="50" t="s">
        <v>2615</v>
      </c>
      <c r="B1481" s="30" t="s">
        <v>11</v>
      </c>
      <c r="C1481" s="30" t="s">
        <v>28</v>
      </c>
      <c r="D1481" s="30" t="s">
        <v>470</v>
      </c>
      <c r="E1481" s="30" t="s">
        <v>471</v>
      </c>
      <c r="F1481" s="30">
        <v>1</v>
      </c>
      <c r="G1481" s="44">
        <v>5489</v>
      </c>
      <c r="H1481" s="30"/>
      <c r="I1481" s="44"/>
      <c r="J1481" s="44"/>
      <c r="K1481" s="44">
        <f t="shared" si="50"/>
        <v>5489</v>
      </c>
      <c r="L1481" s="51">
        <v>20230421</v>
      </c>
    </row>
    <row r="1482" spans="1:12" x14ac:dyDescent="0.25">
      <c r="A1482" s="50" t="s">
        <v>2614</v>
      </c>
      <c r="B1482" s="30" t="s">
        <v>11</v>
      </c>
      <c r="C1482" s="30" t="s">
        <v>364</v>
      </c>
      <c r="D1482" s="30" t="s">
        <v>24</v>
      </c>
      <c r="E1482" s="30" t="s">
        <v>1445</v>
      </c>
      <c r="F1482" s="30">
        <v>1</v>
      </c>
      <c r="G1482" s="44">
        <v>5489</v>
      </c>
      <c r="H1482" s="30"/>
      <c r="I1482" s="44"/>
      <c r="J1482" s="44"/>
      <c r="K1482" s="44">
        <f t="shared" si="50"/>
        <v>5489</v>
      </c>
      <c r="L1482" s="51">
        <v>20230421</v>
      </c>
    </row>
    <row r="1483" spans="1:12" x14ac:dyDescent="0.25">
      <c r="A1483" s="50" t="s">
        <v>2617</v>
      </c>
      <c r="B1483" s="30" t="s">
        <v>11</v>
      </c>
      <c r="C1483" s="30" t="s">
        <v>364</v>
      </c>
      <c r="D1483" s="30" t="s">
        <v>24</v>
      </c>
      <c r="E1483" s="30" t="s">
        <v>695</v>
      </c>
      <c r="F1483" s="30">
        <v>1</v>
      </c>
      <c r="G1483" s="44">
        <v>5489</v>
      </c>
      <c r="H1483" s="30"/>
      <c r="I1483" s="44"/>
      <c r="J1483" s="44"/>
      <c r="K1483" s="44">
        <f t="shared" si="50"/>
        <v>5489</v>
      </c>
      <c r="L1483" s="51">
        <v>20230421</v>
      </c>
    </row>
    <row r="1484" spans="1:12" x14ac:dyDescent="0.25">
      <c r="A1484" s="52" t="s">
        <v>2613</v>
      </c>
      <c r="B1484" s="32" t="s">
        <v>11</v>
      </c>
      <c r="C1484" s="32" t="s">
        <v>28</v>
      </c>
      <c r="D1484" s="32" t="s">
        <v>1183</v>
      </c>
      <c r="E1484" s="32" t="s">
        <v>1184</v>
      </c>
      <c r="F1484" s="32">
        <v>1</v>
      </c>
      <c r="G1484" s="45">
        <v>5489</v>
      </c>
      <c r="H1484" s="32">
        <v>138</v>
      </c>
      <c r="I1484" s="45">
        <v>69.400000000000006</v>
      </c>
      <c r="J1484" s="45">
        <f>I1484*H1484</f>
        <v>9577.2000000000007</v>
      </c>
      <c r="K1484" s="45">
        <f t="shared" si="50"/>
        <v>15066.2</v>
      </c>
      <c r="L1484" s="53">
        <v>20230424</v>
      </c>
    </row>
    <row r="1485" spans="1:12" x14ac:dyDescent="0.25">
      <c r="A1485" s="52" t="s">
        <v>2588</v>
      </c>
      <c r="B1485" s="32" t="s">
        <v>11</v>
      </c>
      <c r="C1485" s="32" t="s">
        <v>28</v>
      </c>
      <c r="D1485" s="32" t="s">
        <v>1297</v>
      </c>
      <c r="E1485" s="32" t="s">
        <v>1298</v>
      </c>
      <c r="F1485" s="32">
        <v>1</v>
      </c>
      <c r="G1485" s="45">
        <v>5489</v>
      </c>
      <c r="H1485" s="32">
        <v>32</v>
      </c>
      <c r="I1485" s="45">
        <v>69.400000000000006</v>
      </c>
      <c r="J1485" s="45">
        <f>I1485*H1485</f>
        <v>2220.8000000000002</v>
      </c>
      <c r="K1485" s="45">
        <f t="shared" si="50"/>
        <v>7709.8</v>
      </c>
      <c r="L1485" s="53">
        <v>20230425</v>
      </c>
    </row>
    <row r="1486" spans="1:12" x14ac:dyDescent="0.25">
      <c r="A1486" s="50" t="s">
        <v>2589</v>
      </c>
      <c r="B1486" s="30" t="s">
        <v>11</v>
      </c>
      <c r="C1486" s="30" t="s">
        <v>29</v>
      </c>
      <c r="D1486" s="30" t="s">
        <v>1385</v>
      </c>
      <c r="E1486" s="30" t="s">
        <v>1290</v>
      </c>
      <c r="F1486" s="30">
        <v>1</v>
      </c>
      <c r="G1486" s="44">
        <v>5489</v>
      </c>
      <c r="H1486" s="30"/>
      <c r="I1486" s="44"/>
      <c r="J1486" s="44"/>
      <c r="K1486" s="44">
        <f t="shared" si="50"/>
        <v>5489</v>
      </c>
      <c r="L1486" s="51">
        <v>20230425</v>
      </c>
    </row>
    <row r="1487" spans="1:12" x14ac:dyDescent="0.25">
      <c r="A1487" s="50" t="s">
        <v>2586</v>
      </c>
      <c r="B1487" s="30" t="s">
        <v>11</v>
      </c>
      <c r="C1487" s="30" t="s">
        <v>134</v>
      </c>
      <c r="D1487" s="30" t="s">
        <v>354</v>
      </c>
      <c r="E1487" s="30" t="s">
        <v>2166</v>
      </c>
      <c r="F1487" s="30">
        <v>1</v>
      </c>
      <c r="G1487" s="44">
        <v>5489</v>
      </c>
      <c r="H1487" s="30"/>
      <c r="I1487" s="44"/>
      <c r="J1487" s="44"/>
      <c r="K1487" s="44">
        <f t="shared" si="50"/>
        <v>5489</v>
      </c>
      <c r="L1487" s="51">
        <v>20230426</v>
      </c>
    </row>
    <row r="1488" spans="1:12" x14ac:dyDescent="0.25">
      <c r="A1488" s="50" t="s">
        <v>2599</v>
      </c>
      <c r="B1488" s="30" t="s">
        <v>11</v>
      </c>
      <c r="C1488" s="30" t="s">
        <v>94</v>
      </c>
      <c r="D1488" s="30" t="s">
        <v>95</v>
      </c>
      <c r="E1488" s="30" t="s">
        <v>2404</v>
      </c>
      <c r="F1488" s="30">
        <v>1</v>
      </c>
      <c r="G1488" s="44">
        <v>5489</v>
      </c>
      <c r="H1488" s="30"/>
      <c r="I1488" s="44"/>
      <c r="J1488" s="44"/>
      <c r="K1488" s="44">
        <f t="shared" si="50"/>
        <v>5489</v>
      </c>
      <c r="L1488" s="51">
        <v>20230426</v>
      </c>
    </row>
    <row r="1489" spans="1:12" x14ac:dyDescent="0.25">
      <c r="A1489" s="50" t="s">
        <v>2580</v>
      </c>
      <c r="B1489" s="30" t="s">
        <v>11</v>
      </c>
      <c r="C1489" s="30" t="s">
        <v>28</v>
      </c>
      <c r="D1489" s="30" t="s">
        <v>1409</v>
      </c>
      <c r="E1489" s="30" t="s">
        <v>1410</v>
      </c>
      <c r="F1489" s="30">
        <v>1</v>
      </c>
      <c r="G1489" s="44">
        <v>5489</v>
      </c>
      <c r="H1489" s="30"/>
      <c r="I1489" s="44"/>
      <c r="J1489" s="44"/>
      <c r="K1489" s="44">
        <f t="shared" si="50"/>
        <v>5489</v>
      </c>
      <c r="L1489" s="51">
        <v>20230427</v>
      </c>
    </row>
    <row r="1490" spans="1:12" x14ac:dyDescent="0.25">
      <c r="A1490" s="50" t="s">
        <v>2585</v>
      </c>
      <c r="B1490" s="30" t="s">
        <v>11</v>
      </c>
      <c r="C1490" s="30" t="s">
        <v>29</v>
      </c>
      <c r="D1490" s="30" t="s">
        <v>1385</v>
      </c>
      <c r="E1490" s="30" t="s">
        <v>1320</v>
      </c>
      <c r="F1490" s="30">
        <v>1</v>
      </c>
      <c r="G1490" s="44">
        <v>5489</v>
      </c>
      <c r="H1490" s="30"/>
      <c r="I1490" s="44"/>
      <c r="J1490" s="44"/>
      <c r="K1490" s="44">
        <f t="shared" si="50"/>
        <v>5489</v>
      </c>
      <c r="L1490" s="51">
        <v>20230427</v>
      </c>
    </row>
    <row r="1491" spans="1:12" x14ac:dyDescent="0.25">
      <c r="A1491" s="50" t="s">
        <v>2578</v>
      </c>
      <c r="B1491" s="30" t="s">
        <v>11</v>
      </c>
      <c r="C1491" s="30" t="s">
        <v>251</v>
      </c>
      <c r="D1491" s="30" t="s">
        <v>375</v>
      </c>
      <c r="E1491" s="30" t="s">
        <v>376</v>
      </c>
      <c r="F1491" s="30">
        <v>1</v>
      </c>
      <c r="G1491" s="44">
        <v>5489</v>
      </c>
      <c r="H1491" s="30"/>
      <c r="I1491" s="44"/>
      <c r="J1491" s="44"/>
      <c r="K1491" s="44">
        <f t="shared" si="50"/>
        <v>5489</v>
      </c>
      <c r="L1491" s="51">
        <v>20230428</v>
      </c>
    </row>
    <row r="1492" spans="1:12" x14ac:dyDescent="0.25">
      <c r="A1492" s="50" t="s">
        <v>2579</v>
      </c>
      <c r="B1492" s="30" t="s">
        <v>11</v>
      </c>
      <c r="C1492" s="30" t="s">
        <v>251</v>
      </c>
      <c r="D1492" s="30" t="s">
        <v>764</v>
      </c>
      <c r="E1492" s="30" t="s">
        <v>1210</v>
      </c>
      <c r="F1492" s="30">
        <v>1</v>
      </c>
      <c r="G1492" s="44">
        <v>5489</v>
      </c>
      <c r="H1492" s="30"/>
      <c r="I1492" s="44"/>
      <c r="J1492" s="44"/>
      <c r="K1492" s="44">
        <f t="shared" si="50"/>
        <v>5489</v>
      </c>
      <c r="L1492" s="51">
        <v>20230428</v>
      </c>
    </row>
    <row r="1493" spans="1:12" x14ac:dyDescent="0.25">
      <c r="A1493" s="50" t="s">
        <v>2582</v>
      </c>
      <c r="B1493" s="30" t="s">
        <v>11</v>
      </c>
      <c r="C1493" s="30" t="s">
        <v>94</v>
      </c>
      <c r="D1493" s="30" t="s">
        <v>95</v>
      </c>
      <c r="E1493" s="30" t="s">
        <v>2583</v>
      </c>
      <c r="F1493" s="30">
        <v>1</v>
      </c>
      <c r="G1493" s="44">
        <v>5489</v>
      </c>
      <c r="H1493" s="30"/>
      <c r="I1493" s="44"/>
      <c r="J1493" s="44"/>
      <c r="K1493" s="44">
        <f t="shared" si="50"/>
        <v>5489</v>
      </c>
      <c r="L1493" s="51">
        <v>20230428</v>
      </c>
    </row>
    <row r="1494" spans="1:12" ht="15.75" thickBot="1" x14ac:dyDescent="0.3">
      <c r="A1494" s="54" t="s">
        <v>2584</v>
      </c>
      <c r="B1494" s="36" t="s">
        <v>11</v>
      </c>
      <c r="C1494" s="36" t="s">
        <v>94</v>
      </c>
      <c r="D1494" s="36" t="s">
        <v>95</v>
      </c>
      <c r="E1494" s="36" t="s">
        <v>436</v>
      </c>
      <c r="F1494" s="36">
        <v>1</v>
      </c>
      <c r="G1494" s="65">
        <v>5489</v>
      </c>
      <c r="H1494" s="36"/>
      <c r="I1494" s="65"/>
      <c r="J1494" s="65"/>
      <c r="K1494" s="65">
        <f t="shared" si="50"/>
        <v>5489</v>
      </c>
      <c r="L1494" s="55">
        <v>20230428</v>
      </c>
    </row>
    <row r="1495" spans="1:12" x14ac:dyDescent="0.25">
      <c r="A1495" s="73"/>
      <c r="B1495" s="74"/>
      <c r="C1495" s="74"/>
      <c r="D1495" s="74"/>
      <c r="E1495" s="74"/>
      <c r="F1495" s="74"/>
      <c r="G1495" s="75"/>
      <c r="H1495" s="74"/>
      <c r="I1495" s="75"/>
      <c r="J1495" s="75"/>
      <c r="K1495" s="75"/>
      <c r="L1495" s="76"/>
    </row>
    <row r="1496" spans="1:12" ht="15.75" thickBot="1" x14ac:dyDescent="0.3">
      <c r="A1496" s="69"/>
      <c r="B1496" s="70"/>
      <c r="C1496" s="70"/>
      <c r="D1496" s="70"/>
      <c r="E1496" s="70"/>
      <c r="F1496" s="70"/>
      <c r="G1496" s="71"/>
      <c r="H1496" s="70"/>
      <c r="I1496" s="71"/>
      <c r="J1496" s="71"/>
      <c r="K1496" s="71"/>
      <c r="L1496" s="72"/>
    </row>
    <row r="1497" spans="1:12" x14ac:dyDescent="0.25">
      <c r="A1497" s="48" t="s">
        <v>2625</v>
      </c>
      <c r="B1497" s="34" t="s">
        <v>137</v>
      </c>
      <c r="C1497" s="34" t="s">
        <v>29</v>
      </c>
      <c r="D1497" s="34" t="s">
        <v>24</v>
      </c>
      <c r="E1497" s="34" t="s">
        <v>1003</v>
      </c>
      <c r="F1497" s="34">
        <v>1</v>
      </c>
      <c r="G1497" s="64">
        <v>2744</v>
      </c>
      <c r="H1497" s="34"/>
      <c r="I1497" s="64"/>
      <c r="J1497" s="64"/>
      <c r="K1497" s="64">
        <f t="shared" ref="K1497:K1531" si="51">J1497+G1497</f>
        <v>2744</v>
      </c>
      <c r="L1497" s="49">
        <v>20230410</v>
      </c>
    </row>
    <row r="1498" spans="1:12" x14ac:dyDescent="0.25">
      <c r="A1498" s="50" t="s">
        <v>2632</v>
      </c>
      <c r="B1498" s="30" t="s">
        <v>137</v>
      </c>
      <c r="C1498" s="30" t="s">
        <v>29</v>
      </c>
      <c r="D1498" s="30" t="s">
        <v>24</v>
      </c>
      <c r="E1498" s="30" t="s">
        <v>1320</v>
      </c>
      <c r="F1498" s="30">
        <v>1</v>
      </c>
      <c r="G1498" s="44">
        <v>2744</v>
      </c>
      <c r="H1498" s="30"/>
      <c r="I1498" s="44"/>
      <c r="J1498" s="44"/>
      <c r="K1498" s="44">
        <f t="shared" si="51"/>
        <v>2744</v>
      </c>
      <c r="L1498" s="51">
        <v>20230410</v>
      </c>
    </row>
    <row r="1499" spans="1:12" x14ac:dyDescent="0.25">
      <c r="A1499" s="50" t="s">
        <v>2624</v>
      </c>
      <c r="B1499" s="30" t="s">
        <v>137</v>
      </c>
      <c r="C1499" s="30" t="s">
        <v>29</v>
      </c>
      <c r="D1499" s="30" t="s">
        <v>1385</v>
      </c>
      <c r="E1499" s="30" t="s">
        <v>733</v>
      </c>
      <c r="F1499" s="30">
        <v>1</v>
      </c>
      <c r="G1499" s="44">
        <v>2744</v>
      </c>
      <c r="H1499" s="30"/>
      <c r="I1499" s="44"/>
      <c r="J1499" s="44"/>
      <c r="K1499" s="44">
        <f t="shared" si="51"/>
        <v>2744</v>
      </c>
      <c r="L1499" s="51">
        <v>20230410</v>
      </c>
    </row>
    <row r="1500" spans="1:12" x14ac:dyDescent="0.25">
      <c r="A1500" s="50" t="s">
        <v>2626</v>
      </c>
      <c r="B1500" s="30" t="s">
        <v>137</v>
      </c>
      <c r="C1500" s="30" t="s">
        <v>29</v>
      </c>
      <c r="D1500" s="30" t="s">
        <v>1385</v>
      </c>
      <c r="E1500" s="30" t="s">
        <v>628</v>
      </c>
      <c r="F1500" s="30">
        <v>1</v>
      </c>
      <c r="G1500" s="44">
        <v>2744</v>
      </c>
      <c r="H1500" s="30"/>
      <c r="I1500" s="44"/>
      <c r="J1500" s="44"/>
      <c r="K1500" s="44">
        <f t="shared" si="51"/>
        <v>2744</v>
      </c>
      <c r="L1500" s="51">
        <v>20230410</v>
      </c>
    </row>
    <row r="1501" spans="1:12" x14ac:dyDescent="0.25">
      <c r="A1501" s="50" t="s">
        <v>2627</v>
      </c>
      <c r="B1501" s="30" t="s">
        <v>137</v>
      </c>
      <c r="C1501" s="30" t="s">
        <v>29</v>
      </c>
      <c r="D1501" s="30" t="s">
        <v>1385</v>
      </c>
      <c r="E1501" s="30" t="s">
        <v>630</v>
      </c>
      <c r="F1501" s="30">
        <v>1</v>
      </c>
      <c r="G1501" s="44">
        <v>2744</v>
      </c>
      <c r="H1501" s="30"/>
      <c r="I1501" s="44"/>
      <c r="J1501" s="44"/>
      <c r="K1501" s="44">
        <f t="shared" si="51"/>
        <v>2744</v>
      </c>
      <c r="L1501" s="51">
        <v>20230410</v>
      </c>
    </row>
    <row r="1502" spans="1:12" x14ac:dyDescent="0.25">
      <c r="A1502" s="50" t="s">
        <v>2628</v>
      </c>
      <c r="B1502" s="30" t="s">
        <v>137</v>
      </c>
      <c r="C1502" s="30" t="s">
        <v>29</v>
      </c>
      <c r="D1502" s="30" t="s">
        <v>1385</v>
      </c>
      <c r="E1502" s="30" t="s">
        <v>2101</v>
      </c>
      <c r="F1502" s="30">
        <v>1</v>
      </c>
      <c r="G1502" s="44">
        <v>2744</v>
      </c>
      <c r="H1502" s="30"/>
      <c r="I1502" s="44"/>
      <c r="J1502" s="44"/>
      <c r="K1502" s="44">
        <f t="shared" si="51"/>
        <v>2744</v>
      </c>
      <c r="L1502" s="51">
        <v>20230410</v>
      </c>
    </row>
    <row r="1503" spans="1:12" x14ac:dyDescent="0.25">
      <c r="A1503" s="50" t="s">
        <v>2629</v>
      </c>
      <c r="B1503" s="30" t="s">
        <v>137</v>
      </c>
      <c r="C1503" s="30" t="s">
        <v>29</v>
      </c>
      <c r="D1503" s="30" t="s">
        <v>1385</v>
      </c>
      <c r="E1503" s="30" t="s">
        <v>1386</v>
      </c>
      <c r="F1503" s="30">
        <v>1</v>
      </c>
      <c r="G1503" s="44">
        <v>2744</v>
      </c>
      <c r="H1503" s="30"/>
      <c r="I1503" s="44"/>
      <c r="J1503" s="44"/>
      <c r="K1503" s="44">
        <f t="shared" si="51"/>
        <v>2744</v>
      </c>
      <c r="L1503" s="51">
        <v>20230410</v>
      </c>
    </row>
    <row r="1504" spans="1:12" x14ac:dyDescent="0.25">
      <c r="A1504" s="50" t="s">
        <v>2630</v>
      </c>
      <c r="B1504" s="30" t="s">
        <v>137</v>
      </c>
      <c r="C1504" s="30" t="s">
        <v>29</v>
      </c>
      <c r="D1504" s="30" t="s">
        <v>1385</v>
      </c>
      <c r="E1504" s="30" t="s">
        <v>1290</v>
      </c>
      <c r="F1504" s="30">
        <v>1</v>
      </c>
      <c r="G1504" s="44">
        <v>2744</v>
      </c>
      <c r="H1504" s="30"/>
      <c r="I1504" s="44"/>
      <c r="J1504" s="44"/>
      <c r="K1504" s="44">
        <f t="shared" si="51"/>
        <v>2744</v>
      </c>
      <c r="L1504" s="51">
        <v>20230410</v>
      </c>
    </row>
    <row r="1505" spans="1:12" x14ac:dyDescent="0.25">
      <c r="A1505" s="50" t="s">
        <v>2631</v>
      </c>
      <c r="B1505" s="30" t="s">
        <v>137</v>
      </c>
      <c r="C1505" s="30" t="s">
        <v>29</v>
      </c>
      <c r="D1505" s="30" t="s">
        <v>1385</v>
      </c>
      <c r="E1505" s="30" t="s">
        <v>1127</v>
      </c>
      <c r="F1505" s="30">
        <v>1</v>
      </c>
      <c r="G1505" s="44">
        <v>2744</v>
      </c>
      <c r="H1505" s="30"/>
      <c r="I1505" s="44"/>
      <c r="J1505" s="44"/>
      <c r="K1505" s="44">
        <f t="shared" si="51"/>
        <v>2744</v>
      </c>
      <c r="L1505" s="51">
        <v>20230410</v>
      </c>
    </row>
    <row r="1506" spans="1:12" x14ac:dyDescent="0.25">
      <c r="A1506" s="50" t="s">
        <v>2633</v>
      </c>
      <c r="B1506" s="30" t="s">
        <v>137</v>
      </c>
      <c r="C1506" s="30" t="s">
        <v>29</v>
      </c>
      <c r="D1506" s="30" t="s">
        <v>1385</v>
      </c>
      <c r="E1506" s="30" t="s">
        <v>210</v>
      </c>
      <c r="F1506" s="30">
        <v>1</v>
      </c>
      <c r="G1506" s="44">
        <v>2744</v>
      </c>
      <c r="H1506" s="30"/>
      <c r="I1506" s="44"/>
      <c r="J1506" s="44"/>
      <c r="K1506" s="44">
        <f t="shared" si="51"/>
        <v>2744</v>
      </c>
      <c r="L1506" s="51">
        <v>20230410</v>
      </c>
    </row>
    <row r="1507" spans="1:12" x14ac:dyDescent="0.25">
      <c r="A1507" s="50" t="s">
        <v>2621</v>
      </c>
      <c r="B1507" s="30" t="s">
        <v>137</v>
      </c>
      <c r="C1507" s="30" t="s">
        <v>29</v>
      </c>
      <c r="D1507" s="30" t="s">
        <v>2548</v>
      </c>
      <c r="E1507" s="30" t="s">
        <v>390</v>
      </c>
      <c r="F1507" s="30">
        <v>1</v>
      </c>
      <c r="G1507" s="44">
        <v>2744</v>
      </c>
      <c r="H1507" s="30"/>
      <c r="I1507" s="44"/>
      <c r="J1507" s="44"/>
      <c r="K1507" s="44">
        <f t="shared" si="51"/>
        <v>2744</v>
      </c>
      <c r="L1507" s="51">
        <v>20230411</v>
      </c>
    </row>
    <row r="1508" spans="1:12" x14ac:dyDescent="0.25">
      <c r="A1508" s="50" t="s">
        <v>2600</v>
      </c>
      <c r="B1508" s="30" t="s">
        <v>137</v>
      </c>
      <c r="C1508" s="30" t="s">
        <v>251</v>
      </c>
      <c r="D1508" s="30" t="s">
        <v>375</v>
      </c>
      <c r="E1508" s="30" t="s">
        <v>376</v>
      </c>
      <c r="F1508" s="30">
        <v>1</v>
      </c>
      <c r="G1508" s="44">
        <v>2744</v>
      </c>
      <c r="H1508" s="30"/>
      <c r="I1508" s="44"/>
      <c r="J1508" s="44"/>
      <c r="K1508" s="44">
        <f t="shared" si="51"/>
        <v>2744</v>
      </c>
      <c r="L1508" s="51">
        <v>20230424</v>
      </c>
    </row>
    <row r="1509" spans="1:12" x14ac:dyDescent="0.25">
      <c r="A1509" s="50" t="s">
        <v>2604</v>
      </c>
      <c r="B1509" s="30" t="s">
        <v>137</v>
      </c>
      <c r="C1509" s="30" t="s">
        <v>26</v>
      </c>
      <c r="D1509" s="30" t="s">
        <v>204</v>
      </c>
      <c r="E1509" s="30" t="s">
        <v>234</v>
      </c>
      <c r="F1509" s="30">
        <v>1</v>
      </c>
      <c r="G1509" s="44">
        <v>2744</v>
      </c>
      <c r="H1509" s="30"/>
      <c r="I1509" s="44"/>
      <c r="J1509" s="44"/>
      <c r="K1509" s="44">
        <f t="shared" si="51"/>
        <v>2744</v>
      </c>
      <c r="L1509" s="51">
        <v>20230424</v>
      </c>
    </row>
    <row r="1510" spans="1:12" x14ac:dyDescent="0.25">
      <c r="A1510" s="50" t="s">
        <v>2605</v>
      </c>
      <c r="B1510" s="30" t="s">
        <v>137</v>
      </c>
      <c r="C1510" s="30" t="s">
        <v>26</v>
      </c>
      <c r="D1510" s="30" t="s">
        <v>204</v>
      </c>
      <c r="E1510" s="30" t="s">
        <v>205</v>
      </c>
      <c r="F1510" s="30">
        <v>1</v>
      </c>
      <c r="G1510" s="44">
        <v>2744</v>
      </c>
      <c r="H1510" s="30"/>
      <c r="I1510" s="44"/>
      <c r="J1510" s="44"/>
      <c r="K1510" s="44">
        <f t="shared" si="51"/>
        <v>2744</v>
      </c>
      <c r="L1510" s="51">
        <v>20230424</v>
      </c>
    </row>
    <row r="1511" spans="1:12" x14ac:dyDescent="0.25">
      <c r="A1511" s="50" t="s">
        <v>2606</v>
      </c>
      <c r="B1511" s="30" t="s">
        <v>137</v>
      </c>
      <c r="C1511" s="30" t="s">
        <v>26</v>
      </c>
      <c r="D1511" s="30" t="s">
        <v>204</v>
      </c>
      <c r="E1511" s="30" t="s">
        <v>786</v>
      </c>
      <c r="F1511" s="30">
        <v>1</v>
      </c>
      <c r="G1511" s="44">
        <v>2744</v>
      </c>
      <c r="H1511" s="30"/>
      <c r="I1511" s="44"/>
      <c r="J1511" s="44"/>
      <c r="K1511" s="44">
        <f t="shared" si="51"/>
        <v>2744</v>
      </c>
      <c r="L1511" s="51">
        <v>20230424</v>
      </c>
    </row>
    <row r="1512" spans="1:12" x14ac:dyDescent="0.25">
      <c r="A1512" s="50" t="s">
        <v>2591</v>
      </c>
      <c r="B1512" s="30" t="s">
        <v>137</v>
      </c>
      <c r="C1512" s="30" t="s">
        <v>26</v>
      </c>
      <c r="D1512" s="30" t="s">
        <v>544</v>
      </c>
      <c r="E1512" s="30" t="s">
        <v>545</v>
      </c>
      <c r="F1512" s="30">
        <v>1</v>
      </c>
      <c r="G1512" s="44">
        <v>2744</v>
      </c>
      <c r="H1512" s="30"/>
      <c r="I1512" s="44"/>
      <c r="J1512" s="44"/>
      <c r="K1512" s="44">
        <f t="shared" si="51"/>
        <v>2744</v>
      </c>
      <c r="L1512" s="51">
        <v>20230424</v>
      </c>
    </row>
    <row r="1513" spans="1:12" x14ac:dyDescent="0.25">
      <c r="A1513" s="50" t="s">
        <v>2592</v>
      </c>
      <c r="B1513" s="30" t="s">
        <v>137</v>
      </c>
      <c r="C1513" s="30" t="s">
        <v>26</v>
      </c>
      <c r="D1513" s="30" t="s">
        <v>544</v>
      </c>
      <c r="E1513" s="30" t="s">
        <v>549</v>
      </c>
      <c r="F1513" s="30">
        <v>1</v>
      </c>
      <c r="G1513" s="44">
        <v>2744</v>
      </c>
      <c r="H1513" s="30"/>
      <c r="I1513" s="44"/>
      <c r="J1513" s="44"/>
      <c r="K1513" s="44">
        <f t="shared" si="51"/>
        <v>2744</v>
      </c>
      <c r="L1513" s="51">
        <v>20230424</v>
      </c>
    </row>
    <row r="1514" spans="1:12" x14ac:dyDescent="0.25">
      <c r="A1514" s="50" t="s">
        <v>2593</v>
      </c>
      <c r="B1514" s="30" t="s">
        <v>137</v>
      </c>
      <c r="C1514" s="30" t="s">
        <v>26</v>
      </c>
      <c r="D1514" s="30" t="s">
        <v>544</v>
      </c>
      <c r="E1514" s="30" t="s">
        <v>551</v>
      </c>
      <c r="F1514" s="30">
        <v>1</v>
      </c>
      <c r="G1514" s="44">
        <v>2744</v>
      </c>
      <c r="H1514" s="30"/>
      <c r="I1514" s="44"/>
      <c r="J1514" s="44"/>
      <c r="K1514" s="44">
        <f t="shared" si="51"/>
        <v>2744</v>
      </c>
      <c r="L1514" s="51">
        <v>20230424</v>
      </c>
    </row>
    <row r="1515" spans="1:12" x14ac:dyDescent="0.25">
      <c r="A1515" s="50" t="s">
        <v>2607</v>
      </c>
      <c r="B1515" s="30" t="s">
        <v>137</v>
      </c>
      <c r="C1515" s="30" t="s">
        <v>134</v>
      </c>
      <c r="D1515" s="30" t="s">
        <v>354</v>
      </c>
      <c r="E1515" s="30" t="s">
        <v>357</v>
      </c>
      <c r="F1515" s="30">
        <v>1</v>
      </c>
      <c r="G1515" s="44">
        <v>2744</v>
      </c>
      <c r="H1515" s="30"/>
      <c r="I1515" s="44"/>
      <c r="J1515" s="44"/>
      <c r="K1515" s="44">
        <f t="shared" si="51"/>
        <v>2744</v>
      </c>
      <c r="L1515" s="51">
        <v>20230424</v>
      </c>
    </row>
    <row r="1516" spans="1:12" x14ac:dyDescent="0.25">
      <c r="A1516" s="50" t="s">
        <v>2608</v>
      </c>
      <c r="B1516" s="30" t="s">
        <v>137</v>
      </c>
      <c r="C1516" s="30" t="s">
        <v>134</v>
      </c>
      <c r="D1516" s="30" t="s">
        <v>354</v>
      </c>
      <c r="E1516" s="30" t="s">
        <v>359</v>
      </c>
      <c r="F1516" s="30">
        <v>1</v>
      </c>
      <c r="G1516" s="44">
        <v>2744</v>
      </c>
      <c r="H1516" s="30"/>
      <c r="I1516" s="44"/>
      <c r="J1516" s="44"/>
      <c r="K1516" s="44">
        <f t="shared" si="51"/>
        <v>2744</v>
      </c>
      <c r="L1516" s="51">
        <v>20230424</v>
      </c>
    </row>
    <row r="1517" spans="1:12" x14ac:dyDescent="0.25">
      <c r="A1517" s="50" t="s">
        <v>2609</v>
      </c>
      <c r="B1517" s="30" t="s">
        <v>137</v>
      </c>
      <c r="C1517" s="30" t="s">
        <v>134</v>
      </c>
      <c r="D1517" s="30" t="s">
        <v>354</v>
      </c>
      <c r="E1517" s="30" t="s">
        <v>410</v>
      </c>
      <c r="F1517" s="30">
        <v>1</v>
      </c>
      <c r="G1517" s="44">
        <v>2744</v>
      </c>
      <c r="H1517" s="30"/>
      <c r="I1517" s="44"/>
      <c r="J1517" s="44"/>
      <c r="K1517" s="44">
        <f t="shared" si="51"/>
        <v>2744</v>
      </c>
      <c r="L1517" s="51">
        <v>20230424</v>
      </c>
    </row>
    <row r="1518" spans="1:12" x14ac:dyDescent="0.25">
      <c r="A1518" s="50" t="s">
        <v>2610</v>
      </c>
      <c r="B1518" s="30" t="s">
        <v>137</v>
      </c>
      <c r="C1518" s="30" t="s">
        <v>134</v>
      </c>
      <c r="D1518" s="30" t="s">
        <v>354</v>
      </c>
      <c r="E1518" s="30" t="s">
        <v>825</v>
      </c>
      <c r="F1518" s="30">
        <v>1</v>
      </c>
      <c r="G1518" s="44">
        <v>2744</v>
      </c>
      <c r="H1518" s="30"/>
      <c r="I1518" s="44"/>
      <c r="J1518" s="44"/>
      <c r="K1518" s="44">
        <f t="shared" si="51"/>
        <v>2744</v>
      </c>
      <c r="L1518" s="51">
        <v>20230424</v>
      </c>
    </row>
    <row r="1519" spans="1:12" x14ac:dyDescent="0.25">
      <c r="A1519" s="50" t="s">
        <v>2611</v>
      </c>
      <c r="B1519" s="30" t="s">
        <v>137</v>
      </c>
      <c r="C1519" s="30" t="s">
        <v>134</v>
      </c>
      <c r="D1519" s="30" t="s">
        <v>354</v>
      </c>
      <c r="E1519" s="30" t="s">
        <v>833</v>
      </c>
      <c r="F1519" s="30">
        <v>1</v>
      </c>
      <c r="G1519" s="44">
        <v>2744</v>
      </c>
      <c r="H1519" s="30"/>
      <c r="I1519" s="44"/>
      <c r="J1519" s="44"/>
      <c r="K1519" s="44">
        <f t="shared" si="51"/>
        <v>2744</v>
      </c>
      <c r="L1519" s="51">
        <v>20230424</v>
      </c>
    </row>
    <row r="1520" spans="1:12" x14ac:dyDescent="0.25">
      <c r="A1520" s="50" t="s">
        <v>2612</v>
      </c>
      <c r="B1520" s="30" t="s">
        <v>137</v>
      </c>
      <c r="C1520" s="30" t="s">
        <v>134</v>
      </c>
      <c r="D1520" s="30" t="s">
        <v>354</v>
      </c>
      <c r="E1520" s="30" t="s">
        <v>355</v>
      </c>
      <c r="F1520" s="30">
        <v>1</v>
      </c>
      <c r="G1520" s="44">
        <v>2744</v>
      </c>
      <c r="H1520" s="30"/>
      <c r="I1520" s="44"/>
      <c r="J1520" s="44"/>
      <c r="K1520" s="44">
        <f t="shared" si="51"/>
        <v>2744</v>
      </c>
      <c r="L1520" s="51">
        <v>20230424</v>
      </c>
    </row>
    <row r="1521" spans="1:12" x14ac:dyDescent="0.25">
      <c r="A1521" s="50" t="s">
        <v>2587</v>
      </c>
      <c r="B1521" s="30" t="s">
        <v>137</v>
      </c>
      <c r="C1521" s="30" t="s">
        <v>134</v>
      </c>
      <c r="D1521" s="30" t="s">
        <v>354</v>
      </c>
      <c r="E1521" s="30" t="s">
        <v>831</v>
      </c>
      <c r="F1521" s="30">
        <v>1</v>
      </c>
      <c r="G1521" s="44">
        <v>2744</v>
      </c>
      <c r="H1521" s="30"/>
      <c r="I1521" s="44"/>
      <c r="J1521" s="44"/>
      <c r="K1521" s="44">
        <f t="shared" si="51"/>
        <v>2744</v>
      </c>
      <c r="L1521" s="51">
        <v>20230426</v>
      </c>
    </row>
    <row r="1522" spans="1:12" x14ac:dyDescent="0.25">
      <c r="A1522" s="50" t="s">
        <v>2581</v>
      </c>
      <c r="B1522" s="30" t="s">
        <v>137</v>
      </c>
      <c r="C1522" s="30" t="s">
        <v>251</v>
      </c>
      <c r="D1522" s="30" t="s">
        <v>744</v>
      </c>
      <c r="E1522" s="30" t="s">
        <v>745</v>
      </c>
      <c r="F1522" s="30">
        <v>1</v>
      </c>
      <c r="G1522" s="44">
        <v>2744</v>
      </c>
      <c r="H1522" s="30"/>
      <c r="I1522" s="44"/>
      <c r="J1522" s="44"/>
      <c r="K1522" s="44">
        <f t="shared" si="51"/>
        <v>2744</v>
      </c>
      <c r="L1522" s="51">
        <v>20230427</v>
      </c>
    </row>
    <row r="1523" spans="1:12" x14ac:dyDescent="0.25">
      <c r="A1523" s="50" t="s">
        <v>2590</v>
      </c>
      <c r="B1523" s="30" t="s">
        <v>137</v>
      </c>
      <c r="C1523" s="30" t="s">
        <v>251</v>
      </c>
      <c r="D1523" s="30" t="s">
        <v>767</v>
      </c>
      <c r="E1523" s="30" t="s">
        <v>2150</v>
      </c>
      <c r="F1523" s="30">
        <v>1</v>
      </c>
      <c r="G1523" s="44">
        <v>2744</v>
      </c>
      <c r="H1523" s="30"/>
      <c r="I1523" s="44"/>
      <c r="J1523" s="44"/>
      <c r="K1523" s="44">
        <f t="shared" si="51"/>
        <v>2744</v>
      </c>
      <c r="L1523" s="51">
        <v>20230427</v>
      </c>
    </row>
    <row r="1524" spans="1:12" x14ac:dyDescent="0.25">
      <c r="A1524" s="50" t="s">
        <v>2601</v>
      </c>
      <c r="B1524" s="30" t="s">
        <v>137</v>
      </c>
      <c r="C1524" s="30" t="s">
        <v>26</v>
      </c>
      <c r="D1524" s="30" t="s">
        <v>556</v>
      </c>
      <c r="E1524" s="30" t="s">
        <v>557</v>
      </c>
      <c r="F1524" s="30">
        <v>1</v>
      </c>
      <c r="G1524" s="44">
        <v>2744</v>
      </c>
      <c r="H1524" s="30"/>
      <c r="I1524" s="44"/>
      <c r="J1524" s="44"/>
      <c r="K1524" s="44">
        <f t="shared" si="51"/>
        <v>2744</v>
      </c>
      <c r="L1524" s="51">
        <v>20230427</v>
      </c>
    </row>
    <row r="1525" spans="1:12" x14ac:dyDescent="0.25">
      <c r="A1525" s="50" t="s">
        <v>2602</v>
      </c>
      <c r="B1525" s="30" t="s">
        <v>137</v>
      </c>
      <c r="C1525" s="30" t="s">
        <v>26</v>
      </c>
      <c r="D1525" s="30" t="s">
        <v>556</v>
      </c>
      <c r="E1525" s="30" t="s">
        <v>561</v>
      </c>
      <c r="F1525" s="30">
        <v>1</v>
      </c>
      <c r="G1525" s="44">
        <v>2744</v>
      </c>
      <c r="H1525" s="30"/>
      <c r="I1525" s="44"/>
      <c r="J1525" s="44"/>
      <c r="K1525" s="44">
        <f t="shared" si="51"/>
        <v>2744</v>
      </c>
      <c r="L1525" s="51">
        <v>20230427</v>
      </c>
    </row>
    <row r="1526" spans="1:12" x14ac:dyDescent="0.25">
      <c r="A1526" s="50" t="s">
        <v>2603</v>
      </c>
      <c r="B1526" s="30" t="s">
        <v>137</v>
      </c>
      <c r="C1526" s="30" t="s">
        <v>26</v>
      </c>
      <c r="D1526" s="30" t="s">
        <v>556</v>
      </c>
      <c r="E1526" s="30" t="s">
        <v>563</v>
      </c>
      <c r="F1526" s="30">
        <v>1</v>
      </c>
      <c r="G1526" s="44">
        <v>2744</v>
      </c>
      <c r="H1526" s="30"/>
      <c r="I1526" s="44"/>
      <c r="J1526" s="44"/>
      <c r="K1526" s="44">
        <f t="shared" si="51"/>
        <v>2744</v>
      </c>
      <c r="L1526" s="51">
        <v>20230427</v>
      </c>
    </row>
    <row r="1527" spans="1:12" x14ac:dyDescent="0.25">
      <c r="A1527" s="50" t="s">
        <v>2594</v>
      </c>
      <c r="B1527" s="30" t="s">
        <v>137</v>
      </c>
      <c r="C1527" s="30" t="s">
        <v>134</v>
      </c>
      <c r="D1527" s="30" t="s">
        <v>135</v>
      </c>
      <c r="E1527" s="30" t="s">
        <v>183</v>
      </c>
      <c r="F1527" s="30">
        <v>1</v>
      </c>
      <c r="G1527" s="44">
        <v>2744</v>
      </c>
      <c r="H1527" s="30"/>
      <c r="I1527" s="44"/>
      <c r="J1527" s="44"/>
      <c r="K1527" s="44">
        <f t="shared" si="51"/>
        <v>2744</v>
      </c>
      <c r="L1527" s="51">
        <v>20230427</v>
      </c>
    </row>
    <row r="1528" spans="1:12" x14ac:dyDescent="0.25">
      <c r="A1528" s="50" t="s">
        <v>2595</v>
      </c>
      <c r="B1528" s="30" t="s">
        <v>137</v>
      </c>
      <c r="C1528" s="30" t="s">
        <v>134</v>
      </c>
      <c r="D1528" s="30" t="s">
        <v>135</v>
      </c>
      <c r="E1528" s="30" t="s">
        <v>190</v>
      </c>
      <c r="F1528" s="30">
        <v>1</v>
      </c>
      <c r="G1528" s="44">
        <v>2744</v>
      </c>
      <c r="H1528" s="30"/>
      <c r="I1528" s="44"/>
      <c r="J1528" s="44"/>
      <c r="K1528" s="44">
        <f t="shared" si="51"/>
        <v>2744</v>
      </c>
      <c r="L1528" s="51">
        <v>20230427</v>
      </c>
    </row>
    <row r="1529" spans="1:12" x14ac:dyDescent="0.25">
      <c r="A1529" s="50" t="s">
        <v>2596</v>
      </c>
      <c r="B1529" s="30" t="s">
        <v>137</v>
      </c>
      <c r="C1529" s="30" t="s">
        <v>134</v>
      </c>
      <c r="D1529" s="30" t="s">
        <v>135</v>
      </c>
      <c r="E1529" s="30" t="s">
        <v>264</v>
      </c>
      <c r="F1529" s="30">
        <v>1</v>
      </c>
      <c r="G1529" s="44">
        <v>2744</v>
      </c>
      <c r="H1529" s="30"/>
      <c r="I1529" s="44"/>
      <c r="J1529" s="44"/>
      <c r="K1529" s="44">
        <f t="shared" si="51"/>
        <v>2744</v>
      </c>
      <c r="L1529" s="51">
        <v>20230427</v>
      </c>
    </row>
    <row r="1530" spans="1:12" x14ac:dyDescent="0.25">
      <c r="A1530" s="50" t="s">
        <v>2597</v>
      </c>
      <c r="B1530" s="30" t="s">
        <v>137</v>
      </c>
      <c r="C1530" s="30" t="s">
        <v>134</v>
      </c>
      <c r="D1530" s="30" t="s">
        <v>135</v>
      </c>
      <c r="E1530" s="30" t="s">
        <v>1178</v>
      </c>
      <c r="F1530" s="30">
        <v>1</v>
      </c>
      <c r="G1530" s="44">
        <v>2744</v>
      </c>
      <c r="H1530" s="30"/>
      <c r="I1530" s="44"/>
      <c r="J1530" s="44"/>
      <c r="K1530" s="44">
        <f t="shared" si="51"/>
        <v>2744</v>
      </c>
      <c r="L1530" s="51">
        <v>20230427</v>
      </c>
    </row>
    <row r="1531" spans="1:12" ht="15.75" thickBot="1" x14ac:dyDescent="0.3">
      <c r="A1531" s="54" t="s">
        <v>2598</v>
      </c>
      <c r="B1531" s="36" t="s">
        <v>137</v>
      </c>
      <c r="C1531" s="36" t="s">
        <v>134</v>
      </c>
      <c r="D1531" s="36" t="s">
        <v>135</v>
      </c>
      <c r="E1531" s="36" t="s">
        <v>136</v>
      </c>
      <c r="F1531" s="36">
        <v>1</v>
      </c>
      <c r="G1531" s="65">
        <v>2744</v>
      </c>
      <c r="H1531" s="36"/>
      <c r="I1531" s="65"/>
      <c r="J1531" s="65"/>
      <c r="K1531" s="65">
        <f t="shared" si="51"/>
        <v>2744</v>
      </c>
      <c r="L1531" s="55">
        <v>20230427</v>
      </c>
    </row>
    <row r="1534" spans="1:12" ht="15.75" thickBot="1" x14ac:dyDescent="0.3">
      <c r="A1534" s="69" t="s">
        <v>0</v>
      </c>
      <c r="B1534" s="70" t="s">
        <v>1</v>
      </c>
      <c r="C1534" s="70" t="s">
        <v>2</v>
      </c>
      <c r="D1534" s="70" t="s">
        <v>3</v>
      </c>
      <c r="E1534" s="70" t="s">
        <v>4</v>
      </c>
      <c r="F1534" s="70"/>
      <c r="G1534" s="71" t="s">
        <v>6</v>
      </c>
      <c r="H1534" s="70" t="s">
        <v>7</v>
      </c>
      <c r="I1534" s="71" t="s">
        <v>8</v>
      </c>
      <c r="J1534" s="71" t="s">
        <v>9</v>
      </c>
      <c r="K1534" s="71" t="s">
        <v>10</v>
      </c>
      <c r="L1534" s="72" t="s">
        <v>5</v>
      </c>
    </row>
    <row r="1535" spans="1:12" x14ac:dyDescent="0.25">
      <c r="A1535" s="77" t="s">
        <v>2698</v>
      </c>
      <c r="B1535" s="78" t="s">
        <v>11</v>
      </c>
      <c r="C1535" s="78" t="s">
        <v>28</v>
      </c>
      <c r="D1535" s="78" t="s">
        <v>267</v>
      </c>
      <c r="E1535" s="78" t="s">
        <v>268</v>
      </c>
      <c r="F1535" s="78">
        <v>1</v>
      </c>
      <c r="G1535" s="79">
        <v>5489</v>
      </c>
      <c r="H1535" s="78">
        <v>146</v>
      </c>
      <c r="I1535" s="79">
        <v>69.400000000000006</v>
      </c>
      <c r="J1535" s="79">
        <f>I1535*H1535</f>
        <v>10132.400000000001</v>
      </c>
      <c r="K1535" s="79">
        <f t="shared" ref="K1535:K1560" si="52">J1535+G1535</f>
        <v>15621.400000000001</v>
      </c>
      <c r="L1535" s="80">
        <v>20230502</v>
      </c>
    </row>
    <row r="1536" spans="1:12" x14ac:dyDescent="0.25">
      <c r="A1536" s="50" t="s">
        <v>2701</v>
      </c>
      <c r="B1536" s="30" t="s">
        <v>1209</v>
      </c>
      <c r="C1536" s="30" t="s">
        <v>364</v>
      </c>
      <c r="D1536" s="30" t="s">
        <v>24</v>
      </c>
      <c r="E1536" s="30" t="s">
        <v>2702</v>
      </c>
      <c r="F1536" s="30">
        <v>1</v>
      </c>
      <c r="G1536" s="44">
        <v>5489</v>
      </c>
      <c r="H1536" s="30"/>
      <c r="I1536" s="44"/>
      <c r="J1536" s="44"/>
      <c r="K1536" s="44">
        <f t="shared" si="52"/>
        <v>5489</v>
      </c>
      <c r="L1536" s="51">
        <v>20230502</v>
      </c>
    </row>
    <row r="1537" spans="1:12" x14ac:dyDescent="0.25">
      <c r="A1537" s="50" t="s">
        <v>2696</v>
      </c>
      <c r="B1537" s="30" t="s">
        <v>11</v>
      </c>
      <c r="C1537" s="30" t="s">
        <v>770</v>
      </c>
      <c r="D1537" s="30" t="s">
        <v>24</v>
      </c>
      <c r="E1537" s="30" t="s">
        <v>777</v>
      </c>
      <c r="F1537" s="30">
        <v>1</v>
      </c>
      <c r="G1537" s="44">
        <v>5489</v>
      </c>
      <c r="H1537" s="30"/>
      <c r="I1537" s="44"/>
      <c r="J1537" s="44"/>
      <c r="K1537" s="44">
        <f t="shared" si="52"/>
        <v>5489</v>
      </c>
      <c r="L1537" s="51">
        <v>20230503</v>
      </c>
    </row>
    <row r="1538" spans="1:12" x14ac:dyDescent="0.25">
      <c r="A1538" s="50" t="s">
        <v>2697</v>
      </c>
      <c r="B1538" s="30" t="s">
        <v>11</v>
      </c>
      <c r="C1538" s="30" t="s">
        <v>134</v>
      </c>
      <c r="D1538" s="30" t="s">
        <v>135</v>
      </c>
      <c r="E1538" s="30" t="s">
        <v>1178</v>
      </c>
      <c r="F1538" s="30">
        <v>1</v>
      </c>
      <c r="G1538" s="44">
        <v>5489</v>
      </c>
      <c r="H1538" s="30"/>
      <c r="I1538" s="44"/>
      <c r="J1538" s="44"/>
      <c r="K1538" s="44">
        <f t="shared" si="52"/>
        <v>5489</v>
      </c>
      <c r="L1538" s="51">
        <v>20230504</v>
      </c>
    </row>
    <row r="1539" spans="1:12" x14ac:dyDescent="0.25">
      <c r="A1539" s="50" t="s">
        <v>2695</v>
      </c>
      <c r="B1539" s="30" t="s">
        <v>1209</v>
      </c>
      <c r="C1539" s="30" t="s">
        <v>1450</v>
      </c>
      <c r="D1539" s="30" t="s">
        <v>1451</v>
      </c>
      <c r="E1539" s="30" t="s">
        <v>1452</v>
      </c>
      <c r="F1539" s="30">
        <v>1</v>
      </c>
      <c r="G1539" s="44">
        <v>5489</v>
      </c>
      <c r="H1539" s="30"/>
      <c r="I1539" s="44"/>
      <c r="J1539" s="44"/>
      <c r="K1539" s="44">
        <f t="shared" si="52"/>
        <v>5489</v>
      </c>
      <c r="L1539" s="51">
        <v>20230505</v>
      </c>
    </row>
    <row r="1540" spans="1:12" x14ac:dyDescent="0.25">
      <c r="A1540" s="50" t="s">
        <v>2694</v>
      </c>
      <c r="B1540" s="30" t="s">
        <v>11</v>
      </c>
      <c r="C1540" s="30" t="s">
        <v>1393</v>
      </c>
      <c r="D1540" s="30" t="s">
        <v>1394</v>
      </c>
      <c r="E1540" s="30" t="s">
        <v>2163</v>
      </c>
      <c r="F1540" s="30">
        <v>1</v>
      </c>
      <c r="G1540" s="44">
        <v>5489</v>
      </c>
      <c r="H1540" s="30"/>
      <c r="I1540" s="44"/>
      <c r="J1540" s="44"/>
      <c r="K1540" s="44">
        <f t="shared" si="52"/>
        <v>5489</v>
      </c>
      <c r="L1540" s="51">
        <v>20230508</v>
      </c>
    </row>
    <row r="1541" spans="1:12" x14ac:dyDescent="0.25">
      <c r="A1541" s="50" t="s">
        <v>2686</v>
      </c>
      <c r="B1541" s="30" t="s">
        <v>11</v>
      </c>
      <c r="C1541" s="30" t="s">
        <v>28</v>
      </c>
      <c r="D1541" s="30" t="s">
        <v>412</v>
      </c>
      <c r="E1541" s="30" t="s">
        <v>413</v>
      </c>
      <c r="F1541" s="30">
        <v>1</v>
      </c>
      <c r="G1541" s="44">
        <v>5489</v>
      </c>
      <c r="H1541" s="30"/>
      <c r="I1541" s="44"/>
      <c r="J1541" s="44"/>
      <c r="K1541" s="44">
        <f t="shared" si="52"/>
        <v>5489</v>
      </c>
      <c r="L1541" s="51">
        <v>20230509</v>
      </c>
    </row>
    <row r="1542" spans="1:12" x14ac:dyDescent="0.25">
      <c r="A1542" s="50" t="s">
        <v>2677</v>
      </c>
      <c r="B1542" s="30" t="s">
        <v>11</v>
      </c>
      <c r="C1542" s="30" t="s">
        <v>646</v>
      </c>
      <c r="D1542" s="30" t="s">
        <v>24</v>
      </c>
      <c r="E1542" s="30" t="s">
        <v>647</v>
      </c>
      <c r="F1542" s="30">
        <v>1</v>
      </c>
      <c r="G1542" s="44">
        <v>5489</v>
      </c>
      <c r="H1542" s="30"/>
      <c r="I1542" s="44"/>
      <c r="J1542" s="44"/>
      <c r="K1542" s="44">
        <f t="shared" si="52"/>
        <v>5489</v>
      </c>
      <c r="L1542" s="51">
        <v>20230510</v>
      </c>
    </row>
    <row r="1543" spans="1:12" x14ac:dyDescent="0.25">
      <c r="A1543" s="50" t="s">
        <v>2683</v>
      </c>
      <c r="B1543" s="30" t="s">
        <v>11</v>
      </c>
      <c r="C1543" s="30" t="s">
        <v>29</v>
      </c>
      <c r="D1543" s="30" t="s">
        <v>24</v>
      </c>
      <c r="E1543" s="30" t="s">
        <v>632</v>
      </c>
      <c r="F1543" s="30">
        <v>1</v>
      </c>
      <c r="G1543" s="44">
        <v>5489</v>
      </c>
      <c r="H1543" s="30"/>
      <c r="I1543" s="44"/>
      <c r="J1543" s="44"/>
      <c r="K1543" s="44">
        <f t="shared" si="52"/>
        <v>5489</v>
      </c>
      <c r="L1543" s="51">
        <v>20230510</v>
      </c>
    </row>
    <row r="1544" spans="1:12" x14ac:dyDescent="0.25">
      <c r="A1544" s="52" t="s">
        <v>2680</v>
      </c>
      <c r="B1544" s="32" t="s">
        <v>11</v>
      </c>
      <c r="C1544" s="32" t="s">
        <v>34</v>
      </c>
      <c r="D1544" s="32" t="s">
        <v>35</v>
      </c>
      <c r="E1544" s="32" t="s">
        <v>2681</v>
      </c>
      <c r="F1544" s="32">
        <v>1</v>
      </c>
      <c r="G1544" s="45">
        <v>5489</v>
      </c>
      <c r="H1544" s="32">
        <v>78</v>
      </c>
      <c r="I1544" s="45">
        <v>69.400000000000006</v>
      </c>
      <c r="J1544" s="45">
        <f>I1544*H1544</f>
        <v>5413.2000000000007</v>
      </c>
      <c r="K1544" s="45">
        <f t="shared" si="52"/>
        <v>10902.2</v>
      </c>
      <c r="L1544" s="53">
        <v>20230510</v>
      </c>
    </row>
    <row r="1545" spans="1:12" x14ac:dyDescent="0.25">
      <c r="A1545" s="50" t="s">
        <v>2678</v>
      </c>
      <c r="B1545" s="30" t="s">
        <v>11</v>
      </c>
      <c r="C1545" s="30" t="s">
        <v>94</v>
      </c>
      <c r="D1545" s="30" t="s">
        <v>95</v>
      </c>
      <c r="E1545" s="30" t="s">
        <v>2404</v>
      </c>
      <c r="F1545" s="30">
        <v>1</v>
      </c>
      <c r="G1545" s="44">
        <v>5489</v>
      </c>
      <c r="H1545" s="30"/>
      <c r="I1545" s="44"/>
      <c r="J1545" s="44"/>
      <c r="K1545" s="44">
        <f t="shared" si="52"/>
        <v>5489</v>
      </c>
      <c r="L1545" s="51">
        <v>20230510</v>
      </c>
    </row>
    <row r="1546" spans="1:12" x14ac:dyDescent="0.25">
      <c r="A1546" s="50" t="s">
        <v>2684</v>
      </c>
      <c r="B1546" s="30" t="s">
        <v>11</v>
      </c>
      <c r="C1546" s="30" t="s">
        <v>94</v>
      </c>
      <c r="D1546" s="30" t="s">
        <v>95</v>
      </c>
      <c r="E1546" s="30" t="s">
        <v>2583</v>
      </c>
      <c r="F1546" s="30">
        <v>1</v>
      </c>
      <c r="G1546" s="44">
        <v>5489</v>
      </c>
      <c r="H1546" s="30"/>
      <c r="I1546" s="44"/>
      <c r="J1546" s="44"/>
      <c r="K1546" s="44">
        <f t="shared" si="52"/>
        <v>5489</v>
      </c>
      <c r="L1546" s="51">
        <v>20230510</v>
      </c>
    </row>
    <row r="1547" spans="1:12" x14ac:dyDescent="0.25">
      <c r="A1547" s="50" t="s">
        <v>2685</v>
      </c>
      <c r="B1547" s="30" t="s">
        <v>1209</v>
      </c>
      <c r="C1547" s="30" t="s">
        <v>646</v>
      </c>
      <c r="D1547" s="30" t="s">
        <v>24</v>
      </c>
      <c r="E1547" s="30" t="s">
        <v>674</v>
      </c>
      <c r="F1547" s="30">
        <v>1</v>
      </c>
      <c r="G1547" s="44">
        <v>5489</v>
      </c>
      <c r="H1547" s="30"/>
      <c r="I1547" s="44"/>
      <c r="J1547" s="44"/>
      <c r="K1547" s="44">
        <f t="shared" si="52"/>
        <v>5489</v>
      </c>
      <c r="L1547" s="51">
        <v>20230510</v>
      </c>
    </row>
    <row r="1548" spans="1:12" x14ac:dyDescent="0.25">
      <c r="A1548" s="52" t="s">
        <v>2682</v>
      </c>
      <c r="B1548" s="32" t="s">
        <v>11</v>
      </c>
      <c r="C1548" s="32" t="s">
        <v>337</v>
      </c>
      <c r="D1548" s="32" t="s">
        <v>162</v>
      </c>
      <c r="E1548" s="32" t="s">
        <v>2520</v>
      </c>
      <c r="F1548" s="32">
        <v>1</v>
      </c>
      <c r="G1548" s="45">
        <v>5489</v>
      </c>
      <c r="H1548" s="32">
        <v>69</v>
      </c>
      <c r="I1548" s="45">
        <v>69.400000000000006</v>
      </c>
      <c r="J1548" s="45">
        <f>I1548*H1548</f>
        <v>4788.6000000000004</v>
      </c>
      <c r="K1548" s="45">
        <f t="shared" si="52"/>
        <v>10277.6</v>
      </c>
      <c r="L1548" s="53">
        <v>20230512</v>
      </c>
    </row>
    <row r="1549" spans="1:12" x14ac:dyDescent="0.25">
      <c r="A1549" s="50" t="s">
        <v>2699</v>
      </c>
      <c r="B1549" s="30" t="s">
        <v>11</v>
      </c>
      <c r="C1549" s="30" t="s">
        <v>405</v>
      </c>
      <c r="D1549" s="30" t="s">
        <v>1264</v>
      </c>
      <c r="E1549" s="30" t="s">
        <v>2700</v>
      </c>
      <c r="F1549" s="30">
        <v>1</v>
      </c>
      <c r="G1549" s="44">
        <v>5489</v>
      </c>
      <c r="H1549" s="30"/>
      <c r="I1549" s="44"/>
      <c r="J1549" s="44"/>
      <c r="K1549" s="44">
        <f t="shared" si="52"/>
        <v>5489</v>
      </c>
      <c r="L1549" s="51">
        <v>20230512</v>
      </c>
    </row>
    <row r="1550" spans="1:12" x14ac:dyDescent="0.25">
      <c r="A1550" s="50" t="s">
        <v>2703</v>
      </c>
      <c r="B1550" s="30" t="s">
        <v>11</v>
      </c>
      <c r="C1550" s="30" t="s">
        <v>405</v>
      </c>
      <c r="D1550" s="30" t="s">
        <v>1264</v>
      </c>
      <c r="E1550" s="30" t="s">
        <v>2704</v>
      </c>
      <c r="F1550" s="30">
        <v>1</v>
      </c>
      <c r="G1550" s="44">
        <v>5489</v>
      </c>
      <c r="H1550" s="30"/>
      <c r="I1550" s="44"/>
      <c r="J1550" s="44"/>
      <c r="K1550" s="44">
        <f t="shared" si="52"/>
        <v>5489</v>
      </c>
      <c r="L1550" s="51">
        <v>20230512</v>
      </c>
    </row>
    <row r="1551" spans="1:12" x14ac:dyDescent="0.25">
      <c r="A1551" s="50" t="s">
        <v>2679</v>
      </c>
      <c r="B1551" s="30" t="s">
        <v>11</v>
      </c>
      <c r="C1551" s="30" t="s">
        <v>134</v>
      </c>
      <c r="D1551" s="30" t="s">
        <v>135</v>
      </c>
      <c r="E1551" s="30" t="s">
        <v>190</v>
      </c>
      <c r="F1551" s="30">
        <v>1</v>
      </c>
      <c r="G1551" s="44">
        <v>5489</v>
      </c>
      <c r="H1551" s="30"/>
      <c r="I1551" s="44"/>
      <c r="J1551" s="44"/>
      <c r="K1551" s="44">
        <f t="shared" si="52"/>
        <v>5489</v>
      </c>
      <c r="L1551" s="51">
        <v>20230512</v>
      </c>
    </row>
    <row r="1552" spans="1:12" x14ac:dyDescent="0.25">
      <c r="A1552" s="50" t="s">
        <v>2675</v>
      </c>
      <c r="B1552" s="30" t="s">
        <v>11</v>
      </c>
      <c r="C1552" s="30" t="s">
        <v>364</v>
      </c>
      <c r="D1552" s="30" t="s">
        <v>24</v>
      </c>
      <c r="E1552" s="30" t="s">
        <v>532</v>
      </c>
      <c r="F1552" s="30">
        <v>1</v>
      </c>
      <c r="G1552" s="44">
        <v>5489</v>
      </c>
      <c r="H1552" s="30"/>
      <c r="I1552" s="44"/>
      <c r="J1552" s="44"/>
      <c r="K1552" s="44">
        <f t="shared" si="52"/>
        <v>5489</v>
      </c>
      <c r="L1552" s="51">
        <v>20230516</v>
      </c>
    </row>
    <row r="1553" spans="1:12" x14ac:dyDescent="0.25">
      <c r="A1553" s="50" t="s">
        <v>2671</v>
      </c>
      <c r="B1553" s="30" t="s">
        <v>11</v>
      </c>
      <c r="C1553" s="30" t="s">
        <v>134</v>
      </c>
      <c r="D1553" s="30" t="s">
        <v>135</v>
      </c>
      <c r="E1553" s="30" t="s">
        <v>190</v>
      </c>
      <c r="F1553" s="30">
        <v>1</v>
      </c>
      <c r="G1553" s="44">
        <v>5489</v>
      </c>
      <c r="H1553" s="30"/>
      <c r="I1553" s="44"/>
      <c r="J1553" s="44"/>
      <c r="K1553" s="44">
        <f t="shared" si="52"/>
        <v>5489</v>
      </c>
      <c r="L1553" s="51">
        <v>20230517</v>
      </c>
    </row>
    <row r="1554" spans="1:12" x14ac:dyDescent="0.25">
      <c r="A1554" s="50" t="s">
        <v>2673</v>
      </c>
      <c r="B1554" s="30" t="s">
        <v>11</v>
      </c>
      <c r="C1554" s="30" t="s">
        <v>94</v>
      </c>
      <c r="D1554" s="30" t="s">
        <v>95</v>
      </c>
      <c r="E1554" s="30" t="s">
        <v>2674</v>
      </c>
      <c r="F1554" s="30">
        <v>1</v>
      </c>
      <c r="G1554" s="44">
        <v>5489</v>
      </c>
      <c r="H1554" s="30"/>
      <c r="I1554" s="44"/>
      <c r="J1554" s="44"/>
      <c r="K1554" s="44">
        <f t="shared" si="52"/>
        <v>5489</v>
      </c>
      <c r="L1554" s="51">
        <v>20230519</v>
      </c>
    </row>
    <row r="1555" spans="1:12" x14ac:dyDescent="0.25">
      <c r="A1555" s="50" t="s">
        <v>2676</v>
      </c>
      <c r="B1555" s="30" t="s">
        <v>11</v>
      </c>
      <c r="C1555" s="30" t="s">
        <v>94</v>
      </c>
      <c r="D1555" s="30" t="s">
        <v>95</v>
      </c>
      <c r="E1555" s="30" t="s">
        <v>2583</v>
      </c>
      <c r="F1555" s="30">
        <v>1</v>
      </c>
      <c r="G1555" s="44">
        <v>5489</v>
      </c>
      <c r="H1555" s="30"/>
      <c r="I1555" s="44"/>
      <c r="J1555" s="44"/>
      <c r="K1555" s="44">
        <f t="shared" si="52"/>
        <v>5489</v>
      </c>
      <c r="L1555" s="51">
        <v>20230519</v>
      </c>
    </row>
    <row r="1556" spans="1:12" x14ac:dyDescent="0.25">
      <c r="A1556" s="50" t="s">
        <v>2668</v>
      </c>
      <c r="B1556" s="30" t="s">
        <v>11</v>
      </c>
      <c r="C1556" s="30" t="s">
        <v>94</v>
      </c>
      <c r="D1556" s="30" t="s">
        <v>95</v>
      </c>
      <c r="E1556" s="30" t="s">
        <v>436</v>
      </c>
      <c r="F1556" s="30">
        <v>1</v>
      </c>
      <c r="G1556" s="44">
        <v>5489</v>
      </c>
      <c r="H1556" s="30"/>
      <c r="I1556" s="44"/>
      <c r="J1556" s="44"/>
      <c r="K1556" s="44">
        <f t="shared" si="52"/>
        <v>5489</v>
      </c>
      <c r="L1556" s="51">
        <v>20230522</v>
      </c>
    </row>
    <row r="1557" spans="1:12" x14ac:dyDescent="0.25">
      <c r="A1557" s="50" t="s">
        <v>2670</v>
      </c>
      <c r="B1557" s="30" t="s">
        <v>11</v>
      </c>
      <c r="C1557" s="30" t="s">
        <v>94</v>
      </c>
      <c r="D1557" s="30" t="s">
        <v>95</v>
      </c>
      <c r="E1557" s="30" t="s">
        <v>2583</v>
      </c>
      <c r="F1557" s="30">
        <v>1</v>
      </c>
      <c r="G1557" s="44">
        <v>5489</v>
      </c>
      <c r="H1557" s="30"/>
      <c r="I1557" s="44"/>
      <c r="J1557" s="44"/>
      <c r="K1557" s="44">
        <f t="shared" si="52"/>
        <v>5489</v>
      </c>
      <c r="L1557" s="51">
        <v>20230522</v>
      </c>
    </row>
    <row r="1558" spans="1:12" x14ac:dyDescent="0.25">
      <c r="A1558" s="50" t="s">
        <v>2669</v>
      </c>
      <c r="B1558" s="30" t="s">
        <v>11</v>
      </c>
      <c r="C1558" s="30" t="s">
        <v>770</v>
      </c>
      <c r="D1558" s="30" t="s">
        <v>24</v>
      </c>
      <c r="E1558" s="30" t="s">
        <v>777</v>
      </c>
      <c r="F1558" s="30">
        <v>1</v>
      </c>
      <c r="G1558" s="44">
        <v>5489</v>
      </c>
      <c r="H1558" s="30"/>
      <c r="I1558" s="44"/>
      <c r="J1558" s="44"/>
      <c r="K1558" s="44">
        <f t="shared" si="52"/>
        <v>5489</v>
      </c>
      <c r="L1558" s="51">
        <v>20230524</v>
      </c>
    </row>
    <row r="1559" spans="1:12" x14ac:dyDescent="0.25">
      <c r="A1559" s="52" t="s">
        <v>2654</v>
      </c>
      <c r="B1559" s="32" t="s">
        <v>11</v>
      </c>
      <c r="C1559" s="32" t="s">
        <v>26</v>
      </c>
      <c r="D1559" s="32" t="s">
        <v>497</v>
      </c>
      <c r="E1559" s="32" t="s">
        <v>2282</v>
      </c>
      <c r="F1559" s="32">
        <v>1</v>
      </c>
      <c r="G1559" s="45">
        <v>5489</v>
      </c>
      <c r="H1559" s="32">
        <v>148</v>
      </c>
      <c r="I1559" s="45">
        <v>69.400000000000006</v>
      </c>
      <c r="J1559" s="45">
        <f>I1559*H1559</f>
        <v>10271.200000000001</v>
      </c>
      <c r="K1559" s="45">
        <f t="shared" si="52"/>
        <v>15760.2</v>
      </c>
      <c r="L1559" s="53">
        <v>20230531</v>
      </c>
    </row>
    <row r="1560" spans="1:12" ht="15.75" thickBot="1" x14ac:dyDescent="0.3">
      <c r="A1560" s="54" t="s">
        <v>2653</v>
      </c>
      <c r="B1560" s="36" t="s">
        <v>11</v>
      </c>
      <c r="C1560" s="36" t="s">
        <v>57</v>
      </c>
      <c r="D1560" s="36" t="s">
        <v>58</v>
      </c>
      <c r="E1560" s="36" t="s">
        <v>62</v>
      </c>
      <c r="F1560" s="36">
        <v>1</v>
      </c>
      <c r="G1560" s="65">
        <v>5489</v>
      </c>
      <c r="H1560" s="36"/>
      <c r="I1560" s="65"/>
      <c r="J1560" s="65"/>
      <c r="K1560" s="65">
        <f t="shared" si="52"/>
        <v>5489</v>
      </c>
      <c r="L1560" s="55">
        <v>20230531</v>
      </c>
    </row>
    <row r="1561" spans="1:12" x14ac:dyDescent="0.25">
      <c r="A1561" s="73"/>
      <c r="B1561" s="74"/>
      <c r="C1561" s="74"/>
      <c r="D1561" s="74"/>
      <c r="E1561" s="74"/>
      <c r="F1561" s="74"/>
      <c r="G1561" s="75"/>
      <c r="H1561" s="74"/>
      <c r="I1561" s="75"/>
      <c r="J1561" s="75"/>
      <c r="K1561" s="75"/>
      <c r="L1561" s="76"/>
    </row>
    <row r="1562" spans="1:12" ht="15.75" thickBot="1" x14ac:dyDescent="0.3">
      <c r="A1562" s="69"/>
      <c r="B1562" s="70"/>
      <c r="C1562" s="70"/>
      <c r="D1562" s="70"/>
      <c r="E1562" s="70"/>
      <c r="F1562" s="70"/>
      <c r="G1562" s="71"/>
      <c r="H1562" s="70"/>
      <c r="I1562" s="71"/>
      <c r="J1562" s="71"/>
      <c r="K1562" s="71"/>
      <c r="L1562" s="72"/>
    </row>
    <row r="1563" spans="1:12" x14ac:dyDescent="0.25">
      <c r="A1563" s="77" t="s">
        <v>2690</v>
      </c>
      <c r="B1563" s="78" t="s">
        <v>137</v>
      </c>
      <c r="C1563" s="78" t="s">
        <v>270</v>
      </c>
      <c r="D1563" s="78" t="s">
        <v>494</v>
      </c>
      <c r="E1563" s="78" t="s">
        <v>596</v>
      </c>
      <c r="F1563" s="78">
        <v>1</v>
      </c>
      <c r="G1563" s="79">
        <v>2744</v>
      </c>
      <c r="H1563" s="78">
        <v>137</v>
      </c>
      <c r="I1563" s="79">
        <v>69.400000000000006</v>
      </c>
      <c r="J1563" s="79">
        <f>I1563*H1563</f>
        <v>9507.8000000000011</v>
      </c>
      <c r="K1563" s="79">
        <f t="shared" ref="K1563:K1597" si="53">J1563+G1563</f>
        <v>12251.800000000001</v>
      </c>
      <c r="L1563" s="80">
        <v>20230505</v>
      </c>
    </row>
    <row r="1564" spans="1:12" x14ac:dyDescent="0.25">
      <c r="A1564" s="50" t="s">
        <v>2691</v>
      </c>
      <c r="B1564" s="30" t="s">
        <v>137</v>
      </c>
      <c r="C1564" s="30" t="s">
        <v>270</v>
      </c>
      <c r="D1564" s="30" t="s">
        <v>494</v>
      </c>
      <c r="E1564" s="30" t="s">
        <v>1212</v>
      </c>
      <c r="F1564" s="30">
        <v>1</v>
      </c>
      <c r="G1564" s="44">
        <v>2744</v>
      </c>
      <c r="H1564" s="30"/>
      <c r="I1564" s="44"/>
      <c r="J1564" s="44"/>
      <c r="K1564" s="44">
        <f t="shared" si="53"/>
        <v>2744</v>
      </c>
      <c r="L1564" s="51">
        <v>20230505</v>
      </c>
    </row>
    <row r="1565" spans="1:12" x14ac:dyDescent="0.25">
      <c r="A1565" s="50" t="s">
        <v>2692</v>
      </c>
      <c r="B1565" s="30" t="s">
        <v>137</v>
      </c>
      <c r="C1565" s="30" t="s">
        <v>270</v>
      </c>
      <c r="D1565" s="30" t="s">
        <v>494</v>
      </c>
      <c r="E1565" s="30" t="s">
        <v>495</v>
      </c>
      <c r="F1565" s="30">
        <v>1</v>
      </c>
      <c r="G1565" s="44">
        <v>2744</v>
      </c>
      <c r="H1565" s="30"/>
      <c r="I1565" s="44"/>
      <c r="J1565" s="44"/>
      <c r="K1565" s="44">
        <f t="shared" si="53"/>
        <v>2744</v>
      </c>
      <c r="L1565" s="51">
        <v>20230505</v>
      </c>
    </row>
    <row r="1566" spans="1:12" x14ac:dyDescent="0.25">
      <c r="A1566" s="50" t="s">
        <v>2693</v>
      </c>
      <c r="B1566" s="30" t="s">
        <v>137</v>
      </c>
      <c r="C1566" s="30" t="s">
        <v>270</v>
      </c>
      <c r="D1566" s="30" t="s">
        <v>494</v>
      </c>
      <c r="E1566" s="30" t="s">
        <v>1215</v>
      </c>
      <c r="F1566" s="30">
        <v>1</v>
      </c>
      <c r="G1566" s="44">
        <v>2744</v>
      </c>
      <c r="H1566" s="30"/>
      <c r="I1566" s="44"/>
      <c r="J1566" s="44"/>
      <c r="K1566" s="44">
        <f t="shared" si="53"/>
        <v>2744</v>
      </c>
      <c r="L1566" s="51">
        <v>20230505</v>
      </c>
    </row>
    <row r="1567" spans="1:12" x14ac:dyDescent="0.25">
      <c r="A1567" s="50" t="s">
        <v>2687</v>
      </c>
      <c r="B1567" s="30" t="s">
        <v>137</v>
      </c>
      <c r="C1567" s="30" t="s">
        <v>26</v>
      </c>
      <c r="D1567" s="30" t="s">
        <v>141</v>
      </c>
      <c r="E1567" s="30" t="s">
        <v>601</v>
      </c>
      <c r="F1567" s="30">
        <v>1</v>
      </c>
      <c r="G1567" s="44">
        <v>2744</v>
      </c>
      <c r="H1567" s="30"/>
      <c r="I1567" s="44"/>
      <c r="J1567" s="44"/>
      <c r="K1567" s="44">
        <f t="shared" si="53"/>
        <v>2744</v>
      </c>
      <c r="L1567" s="51">
        <v>20230505</v>
      </c>
    </row>
    <row r="1568" spans="1:12" x14ac:dyDescent="0.25">
      <c r="A1568" s="50" t="s">
        <v>2688</v>
      </c>
      <c r="B1568" s="30" t="s">
        <v>137</v>
      </c>
      <c r="C1568" s="30" t="s">
        <v>26</v>
      </c>
      <c r="D1568" s="30" t="s">
        <v>141</v>
      </c>
      <c r="E1568" s="30" t="s">
        <v>603</v>
      </c>
      <c r="F1568" s="30">
        <v>1</v>
      </c>
      <c r="G1568" s="44">
        <v>2744</v>
      </c>
      <c r="H1568" s="30"/>
      <c r="I1568" s="44"/>
      <c r="J1568" s="44"/>
      <c r="K1568" s="44">
        <f t="shared" si="53"/>
        <v>2744</v>
      </c>
      <c r="L1568" s="51">
        <v>20230505</v>
      </c>
    </row>
    <row r="1569" spans="1:12" x14ac:dyDescent="0.25">
      <c r="A1569" s="50" t="s">
        <v>2689</v>
      </c>
      <c r="B1569" s="30" t="s">
        <v>137</v>
      </c>
      <c r="C1569" s="30" t="s">
        <v>26</v>
      </c>
      <c r="D1569" s="30" t="s">
        <v>141</v>
      </c>
      <c r="E1569" s="30" t="s">
        <v>605</v>
      </c>
      <c r="F1569" s="30">
        <v>1</v>
      </c>
      <c r="G1569" s="44">
        <v>2744</v>
      </c>
      <c r="H1569" s="30"/>
      <c r="I1569" s="44"/>
      <c r="J1569" s="44"/>
      <c r="K1569" s="44">
        <f t="shared" si="53"/>
        <v>2744</v>
      </c>
      <c r="L1569" s="51">
        <v>20230505</v>
      </c>
    </row>
    <row r="1570" spans="1:12" x14ac:dyDescent="0.25">
      <c r="A1570" s="50" t="s">
        <v>2672</v>
      </c>
      <c r="B1570" s="30" t="s">
        <v>137</v>
      </c>
      <c r="C1570" s="30" t="s">
        <v>405</v>
      </c>
      <c r="D1570" s="30" t="s">
        <v>1264</v>
      </c>
      <c r="E1570" s="30" t="s">
        <v>811</v>
      </c>
      <c r="F1570" s="30">
        <v>1</v>
      </c>
      <c r="G1570" s="44">
        <v>2744</v>
      </c>
      <c r="H1570" s="30"/>
      <c r="I1570" s="44"/>
      <c r="J1570" s="44"/>
      <c r="K1570" s="44">
        <f t="shared" si="53"/>
        <v>2744</v>
      </c>
      <c r="L1570" s="51">
        <v>20230517</v>
      </c>
    </row>
    <row r="1571" spans="1:12" x14ac:dyDescent="0.25">
      <c r="A1571" s="50" t="s">
        <v>2705</v>
      </c>
      <c r="B1571" s="30" t="s">
        <v>137</v>
      </c>
      <c r="C1571" s="30" t="s">
        <v>405</v>
      </c>
      <c r="D1571" s="30" t="s">
        <v>1264</v>
      </c>
      <c r="E1571" s="30" t="s">
        <v>2706</v>
      </c>
      <c r="F1571" s="30">
        <v>1</v>
      </c>
      <c r="G1571" s="44">
        <v>2744</v>
      </c>
      <c r="H1571" s="30"/>
      <c r="I1571" s="44"/>
      <c r="J1571" s="44"/>
      <c r="K1571" s="44">
        <f t="shared" si="53"/>
        <v>2744</v>
      </c>
      <c r="L1571" s="51">
        <v>20230517</v>
      </c>
    </row>
    <row r="1572" spans="1:12" x14ac:dyDescent="0.25">
      <c r="A1572" s="50" t="s">
        <v>2656</v>
      </c>
      <c r="B1572" s="30" t="s">
        <v>137</v>
      </c>
      <c r="C1572" s="30" t="s">
        <v>163</v>
      </c>
      <c r="D1572" s="30" t="s">
        <v>164</v>
      </c>
      <c r="E1572" s="30" t="s">
        <v>305</v>
      </c>
      <c r="F1572" s="30">
        <v>1</v>
      </c>
      <c r="G1572" s="44">
        <v>2744</v>
      </c>
      <c r="H1572" s="30"/>
      <c r="I1572" s="44"/>
      <c r="J1572" s="44"/>
      <c r="K1572" s="44">
        <f t="shared" si="53"/>
        <v>2744</v>
      </c>
      <c r="L1572" s="51">
        <v>20230523</v>
      </c>
    </row>
    <row r="1573" spans="1:12" x14ac:dyDescent="0.25">
      <c r="A1573" s="50" t="s">
        <v>2657</v>
      </c>
      <c r="B1573" s="30" t="s">
        <v>137</v>
      </c>
      <c r="C1573" s="30" t="s">
        <v>163</v>
      </c>
      <c r="D1573" s="30" t="s">
        <v>164</v>
      </c>
      <c r="E1573" s="30" t="s">
        <v>221</v>
      </c>
      <c r="F1573" s="30">
        <v>1</v>
      </c>
      <c r="G1573" s="44">
        <v>2744</v>
      </c>
      <c r="H1573" s="30"/>
      <c r="I1573" s="44"/>
      <c r="J1573" s="44"/>
      <c r="K1573" s="44">
        <f t="shared" si="53"/>
        <v>2744</v>
      </c>
      <c r="L1573" s="51">
        <v>20230523</v>
      </c>
    </row>
    <row r="1574" spans="1:12" x14ac:dyDescent="0.25">
      <c r="A1574" s="50" t="s">
        <v>2658</v>
      </c>
      <c r="B1574" s="30" t="s">
        <v>137</v>
      </c>
      <c r="C1574" s="30" t="s">
        <v>163</v>
      </c>
      <c r="D1574" s="30" t="s">
        <v>164</v>
      </c>
      <c r="E1574" s="30" t="s">
        <v>444</v>
      </c>
      <c r="F1574" s="30">
        <v>1</v>
      </c>
      <c r="G1574" s="44">
        <v>2744</v>
      </c>
      <c r="H1574" s="30"/>
      <c r="I1574" s="44"/>
      <c r="J1574" s="44"/>
      <c r="K1574" s="44">
        <f t="shared" si="53"/>
        <v>2744</v>
      </c>
      <c r="L1574" s="51">
        <v>20230523</v>
      </c>
    </row>
    <row r="1575" spans="1:12" x14ac:dyDescent="0.25">
      <c r="A1575" s="50" t="s">
        <v>2659</v>
      </c>
      <c r="B1575" s="30" t="s">
        <v>137</v>
      </c>
      <c r="C1575" s="30" t="s">
        <v>163</v>
      </c>
      <c r="D1575" s="30" t="s">
        <v>164</v>
      </c>
      <c r="E1575" s="30" t="s">
        <v>207</v>
      </c>
      <c r="F1575" s="30">
        <v>1</v>
      </c>
      <c r="G1575" s="44">
        <v>2744</v>
      </c>
      <c r="H1575" s="30"/>
      <c r="I1575" s="44"/>
      <c r="J1575" s="44"/>
      <c r="K1575" s="44">
        <f t="shared" si="53"/>
        <v>2744</v>
      </c>
      <c r="L1575" s="51">
        <v>20230523</v>
      </c>
    </row>
    <row r="1576" spans="1:12" x14ac:dyDescent="0.25">
      <c r="A1576" s="50" t="s">
        <v>2660</v>
      </c>
      <c r="B1576" s="30" t="s">
        <v>137</v>
      </c>
      <c r="C1576" s="30" t="s">
        <v>163</v>
      </c>
      <c r="D1576" s="30" t="s">
        <v>164</v>
      </c>
      <c r="E1576" s="30" t="s">
        <v>448</v>
      </c>
      <c r="F1576" s="30">
        <v>1</v>
      </c>
      <c r="G1576" s="44">
        <v>2744</v>
      </c>
      <c r="H1576" s="30"/>
      <c r="I1576" s="44"/>
      <c r="J1576" s="44"/>
      <c r="K1576" s="44">
        <f t="shared" si="53"/>
        <v>2744</v>
      </c>
      <c r="L1576" s="51">
        <v>20230523</v>
      </c>
    </row>
    <row r="1577" spans="1:12" x14ac:dyDescent="0.25">
      <c r="A1577" s="50" t="s">
        <v>2661</v>
      </c>
      <c r="B1577" s="30" t="s">
        <v>137</v>
      </c>
      <c r="C1577" s="30" t="s">
        <v>163</v>
      </c>
      <c r="D1577" s="30" t="s">
        <v>164</v>
      </c>
      <c r="E1577" s="30" t="s">
        <v>478</v>
      </c>
      <c r="F1577" s="30">
        <v>1</v>
      </c>
      <c r="G1577" s="44">
        <v>2744</v>
      </c>
      <c r="H1577" s="30"/>
      <c r="I1577" s="44"/>
      <c r="J1577" s="44"/>
      <c r="K1577" s="44">
        <f t="shared" si="53"/>
        <v>2744</v>
      </c>
      <c r="L1577" s="51">
        <v>20230523</v>
      </c>
    </row>
    <row r="1578" spans="1:12" x14ac:dyDescent="0.25">
      <c r="A1578" s="50" t="s">
        <v>2662</v>
      </c>
      <c r="B1578" s="30" t="s">
        <v>137</v>
      </c>
      <c r="C1578" s="30" t="s">
        <v>163</v>
      </c>
      <c r="D1578" s="30" t="s">
        <v>164</v>
      </c>
      <c r="E1578" s="30" t="s">
        <v>166</v>
      </c>
      <c r="F1578" s="30">
        <v>1</v>
      </c>
      <c r="G1578" s="44">
        <v>2744</v>
      </c>
      <c r="H1578" s="30"/>
      <c r="I1578" s="44"/>
      <c r="J1578" s="44"/>
      <c r="K1578" s="44">
        <f t="shared" si="53"/>
        <v>2744</v>
      </c>
      <c r="L1578" s="51">
        <v>20230523</v>
      </c>
    </row>
    <row r="1579" spans="1:12" x14ac:dyDescent="0.25">
      <c r="A1579" s="50" t="s">
        <v>2663</v>
      </c>
      <c r="B1579" s="30" t="s">
        <v>137</v>
      </c>
      <c r="C1579" s="30" t="s">
        <v>163</v>
      </c>
      <c r="D1579" s="30" t="s">
        <v>164</v>
      </c>
      <c r="E1579" s="30" t="s">
        <v>361</v>
      </c>
      <c r="F1579" s="30">
        <v>1</v>
      </c>
      <c r="G1579" s="44">
        <v>2744</v>
      </c>
      <c r="H1579" s="30"/>
      <c r="I1579" s="44"/>
      <c r="J1579" s="44"/>
      <c r="K1579" s="44">
        <f t="shared" si="53"/>
        <v>2744</v>
      </c>
      <c r="L1579" s="51">
        <v>20230523</v>
      </c>
    </row>
    <row r="1580" spans="1:12" x14ac:dyDescent="0.25">
      <c r="A1580" s="50" t="s">
        <v>2664</v>
      </c>
      <c r="B1580" s="30" t="s">
        <v>137</v>
      </c>
      <c r="C1580" s="30" t="s">
        <v>163</v>
      </c>
      <c r="D1580" s="30" t="s">
        <v>164</v>
      </c>
      <c r="E1580" s="30" t="s">
        <v>244</v>
      </c>
      <c r="F1580" s="30">
        <v>1</v>
      </c>
      <c r="G1580" s="44">
        <v>2744</v>
      </c>
      <c r="H1580" s="30"/>
      <c r="I1580" s="44"/>
      <c r="J1580" s="44"/>
      <c r="K1580" s="44">
        <f t="shared" si="53"/>
        <v>2744</v>
      </c>
      <c r="L1580" s="51">
        <v>20230523</v>
      </c>
    </row>
    <row r="1581" spans="1:12" x14ac:dyDescent="0.25">
      <c r="A1581" s="52" t="s">
        <v>2665</v>
      </c>
      <c r="B1581" s="32" t="s">
        <v>137</v>
      </c>
      <c r="C1581" s="32" t="s">
        <v>163</v>
      </c>
      <c r="D1581" s="32" t="s">
        <v>164</v>
      </c>
      <c r="E1581" s="32" t="s">
        <v>185</v>
      </c>
      <c r="F1581" s="32">
        <v>1</v>
      </c>
      <c r="G1581" s="45">
        <v>2744</v>
      </c>
      <c r="H1581" s="32">
        <v>126</v>
      </c>
      <c r="I1581" s="45">
        <v>69.400000000000006</v>
      </c>
      <c r="J1581" s="45">
        <f>I1581*H1581</f>
        <v>8744.4000000000015</v>
      </c>
      <c r="K1581" s="45">
        <f t="shared" si="53"/>
        <v>11488.400000000001</v>
      </c>
      <c r="L1581" s="53">
        <v>20230523</v>
      </c>
    </row>
    <row r="1582" spans="1:12" x14ac:dyDescent="0.25">
      <c r="A1582" s="50" t="s">
        <v>2667</v>
      </c>
      <c r="B1582" s="30" t="s">
        <v>137</v>
      </c>
      <c r="C1582" s="30" t="s">
        <v>163</v>
      </c>
      <c r="D1582" s="30" t="s">
        <v>164</v>
      </c>
      <c r="E1582" s="30" t="s">
        <v>454</v>
      </c>
      <c r="F1582" s="30">
        <v>1</v>
      </c>
      <c r="G1582" s="44">
        <v>2744</v>
      </c>
      <c r="H1582" s="30"/>
      <c r="I1582" s="44"/>
      <c r="J1582" s="44"/>
      <c r="K1582" s="44">
        <f t="shared" si="53"/>
        <v>2744</v>
      </c>
      <c r="L1582" s="51">
        <v>20230523</v>
      </c>
    </row>
    <row r="1583" spans="1:12" x14ac:dyDescent="0.25">
      <c r="A1583" s="50" t="s">
        <v>2655</v>
      </c>
      <c r="B1583" s="30" t="s">
        <v>137</v>
      </c>
      <c r="C1583" s="30" t="s">
        <v>163</v>
      </c>
      <c r="D1583" s="30" t="s">
        <v>164</v>
      </c>
      <c r="E1583" s="30" t="s">
        <v>187</v>
      </c>
      <c r="F1583" s="30">
        <v>1</v>
      </c>
      <c r="G1583" s="44">
        <v>2744</v>
      </c>
      <c r="H1583" s="30"/>
      <c r="I1583" s="44"/>
      <c r="J1583" s="44"/>
      <c r="K1583" s="44">
        <f t="shared" si="53"/>
        <v>2744</v>
      </c>
      <c r="L1583" s="51">
        <v>20230524</v>
      </c>
    </row>
    <row r="1584" spans="1:12" x14ac:dyDescent="0.25">
      <c r="A1584" s="50" t="s">
        <v>2666</v>
      </c>
      <c r="B1584" s="30" t="s">
        <v>137</v>
      </c>
      <c r="C1584" s="30" t="s">
        <v>163</v>
      </c>
      <c r="D1584" s="30" t="s">
        <v>164</v>
      </c>
      <c r="E1584" s="30" t="s">
        <v>452</v>
      </c>
      <c r="F1584" s="30">
        <v>1</v>
      </c>
      <c r="G1584" s="44">
        <v>2744</v>
      </c>
      <c r="H1584" s="30"/>
      <c r="I1584" s="44"/>
      <c r="J1584" s="44"/>
      <c r="K1584" s="44">
        <f t="shared" si="53"/>
        <v>2744</v>
      </c>
      <c r="L1584" s="51">
        <v>20230524</v>
      </c>
    </row>
    <row r="1585" spans="1:12" x14ac:dyDescent="0.25">
      <c r="A1585" s="50" t="s">
        <v>2641</v>
      </c>
      <c r="B1585" s="30" t="s">
        <v>137</v>
      </c>
      <c r="C1585" s="30" t="s">
        <v>57</v>
      </c>
      <c r="D1585" s="30" t="s">
        <v>58</v>
      </c>
      <c r="E1585" s="30" t="s">
        <v>60</v>
      </c>
      <c r="F1585" s="30">
        <v>1</v>
      </c>
      <c r="G1585" s="44">
        <v>2744</v>
      </c>
      <c r="H1585" s="30"/>
      <c r="I1585" s="44"/>
      <c r="J1585" s="44"/>
      <c r="K1585" s="44">
        <f t="shared" si="53"/>
        <v>2744</v>
      </c>
      <c r="L1585" s="51">
        <v>20230531</v>
      </c>
    </row>
    <row r="1586" spans="1:12" x14ac:dyDescent="0.25">
      <c r="A1586" s="50" t="s">
        <v>2642</v>
      </c>
      <c r="B1586" s="30" t="s">
        <v>137</v>
      </c>
      <c r="C1586" s="30" t="s">
        <v>57</v>
      </c>
      <c r="D1586" s="30" t="s">
        <v>58</v>
      </c>
      <c r="E1586" s="30" t="s">
        <v>331</v>
      </c>
      <c r="F1586" s="30">
        <v>1</v>
      </c>
      <c r="G1586" s="44">
        <v>2744</v>
      </c>
      <c r="H1586" s="30"/>
      <c r="I1586" s="44"/>
      <c r="J1586" s="44"/>
      <c r="K1586" s="44">
        <f t="shared" si="53"/>
        <v>2744</v>
      </c>
      <c r="L1586" s="51">
        <v>20230531</v>
      </c>
    </row>
    <row r="1587" spans="1:12" x14ac:dyDescent="0.25">
      <c r="A1587" s="50" t="s">
        <v>2643</v>
      </c>
      <c r="B1587" s="30" t="s">
        <v>137</v>
      </c>
      <c r="C1587" s="30" t="s">
        <v>57</v>
      </c>
      <c r="D1587" s="30" t="s">
        <v>58</v>
      </c>
      <c r="E1587" s="30" t="s">
        <v>399</v>
      </c>
      <c r="F1587" s="30">
        <v>1</v>
      </c>
      <c r="G1587" s="44">
        <v>2744</v>
      </c>
      <c r="H1587" s="30"/>
      <c r="I1587" s="44"/>
      <c r="J1587" s="44"/>
      <c r="K1587" s="44">
        <f t="shared" si="53"/>
        <v>2744</v>
      </c>
      <c r="L1587" s="51">
        <v>20230531</v>
      </c>
    </row>
    <row r="1588" spans="1:12" x14ac:dyDescent="0.25">
      <c r="A1588" s="50" t="s">
        <v>2644</v>
      </c>
      <c r="B1588" s="30" t="s">
        <v>137</v>
      </c>
      <c r="C1588" s="30" t="s">
        <v>57</v>
      </c>
      <c r="D1588" s="30" t="s">
        <v>58</v>
      </c>
      <c r="E1588" s="30" t="s">
        <v>329</v>
      </c>
      <c r="F1588" s="30">
        <v>1</v>
      </c>
      <c r="G1588" s="44">
        <v>2744</v>
      </c>
      <c r="H1588" s="30"/>
      <c r="I1588" s="44"/>
      <c r="J1588" s="44"/>
      <c r="K1588" s="44">
        <f t="shared" si="53"/>
        <v>2744</v>
      </c>
      <c r="L1588" s="51">
        <v>20230531</v>
      </c>
    </row>
    <row r="1589" spans="1:12" x14ac:dyDescent="0.25">
      <c r="A1589" s="50" t="s">
        <v>2645</v>
      </c>
      <c r="B1589" s="30" t="s">
        <v>137</v>
      </c>
      <c r="C1589" s="30" t="s">
        <v>57</v>
      </c>
      <c r="D1589" s="30" t="s">
        <v>58</v>
      </c>
      <c r="E1589" s="30" t="s">
        <v>59</v>
      </c>
      <c r="F1589" s="30">
        <v>1</v>
      </c>
      <c r="G1589" s="44">
        <v>2744</v>
      </c>
      <c r="H1589" s="30"/>
      <c r="I1589" s="44"/>
      <c r="J1589" s="44"/>
      <c r="K1589" s="44">
        <f t="shared" si="53"/>
        <v>2744</v>
      </c>
      <c r="L1589" s="51">
        <v>20230531</v>
      </c>
    </row>
    <row r="1590" spans="1:12" x14ac:dyDescent="0.25">
      <c r="A1590" s="50" t="s">
        <v>2649</v>
      </c>
      <c r="B1590" s="30" t="s">
        <v>137</v>
      </c>
      <c r="C1590" s="30" t="s">
        <v>29</v>
      </c>
      <c r="D1590" s="30" t="s">
        <v>24</v>
      </c>
      <c r="E1590" s="30" t="s">
        <v>1003</v>
      </c>
      <c r="F1590" s="30">
        <v>1</v>
      </c>
      <c r="G1590" s="44">
        <v>2744</v>
      </c>
      <c r="H1590" s="30"/>
      <c r="I1590" s="44"/>
      <c r="J1590" s="44"/>
      <c r="K1590" s="44">
        <f t="shared" si="53"/>
        <v>2744</v>
      </c>
      <c r="L1590" s="51">
        <v>20230531</v>
      </c>
    </row>
    <row r="1591" spans="1:12" x14ac:dyDescent="0.25">
      <c r="A1591" s="50" t="s">
        <v>2640</v>
      </c>
      <c r="B1591" s="30" t="s">
        <v>137</v>
      </c>
      <c r="C1591" s="30" t="s">
        <v>29</v>
      </c>
      <c r="D1591" s="30" t="s">
        <v>1385</v>
      </c>
      <c r="E1591" s="30" t="s">
        <v>209</v>
      </c>
      <c r="F1591" s="30">
        <v>1</v>
      </c>
      <c r="G1591" s="44">
        <v>2744</v>
      </c>
      <c r="H1591" s="30"/>
      <c r="I1591" s="44"/>
      <c r="J1591" s="44"/>
      <c r="K1591" s="44">
        <f t="shared" si="53"/>
        <v>2744</v>
      </c>
      <c r="L1591" s="51">
        <v>20230531</v>
      </c>
    </row>
    <row r="1592" spans="1:12" x14ac:dyDescent="0.25">
      <c r="A1592" s="50" t="s">
        <v>2646</v>
      </c>
      <c r="B1592" s="30" t="s">
        <v>137</v>
      </c>
      <c r="C1592" s="30" t="s">
        <v>29</v>
      </c>
      <c r="D1592" s="30" t="s">
        <v>1385</v>
      </c>
      <c r="E1592" s="30" t="s">
        <v>1386</v>
      </c>
      <c r="F1592" s="30">
        <v>1</v>
      </c>
      <c r="G1592" s="44">
        <v>2744</v>
      </c>
      <c r="H1592" s="30"/>
      <c r="I1592" s="44"/>
      <c r="J1592" s="44"/>
      <c r="K1592" s="44">
        <f t="shared" si="53"/>
        <v>2744</v>
      </c>
      <c r="L1592" s="51">
        <v>20230531</v>
      </c>
    </row>
    <row r="1593" spans="1:12" x14ac:dyDescent="0.25">
      <c r="A1593" s="50" t="s">
        <v>2647</v>
      </c>
      <c r="B1593" s="30" t="s">
        <v>137</v>
      </c>
      <c r="C1593" s="30" t="s">
        <v>29</v>
      </c>
      <c r="D1593" s="30" t="s">
        <v>1385</v>
      </c>
      <c r="E1593" s="30" t="s">
        <v>1290</v>
      </c>
      <c r="F1593" s="30">
        <v>1</v>
      </c>
      <c r="G1593" s="44">
        <v>2744</v>
      </c>
      <c r="H1593" s="30"/>
      <c r="I1593" s="44"/>
      <c r="J1593" s="44"/>
      <c r="K1593" s="44">
        <f t="shared" si="53"/>
        <v>2744</v>
      </c>
      <c r="L1593" s="51">
        <v>20230531</v>
      </c>
    </row>
    <row r="1594" spans="1:12" x14ac:dyDescent="0.25">
      <c r="A1594" s="50" t="s">
        <v>2648</v>
      </c>
      <c r="B1594" s="30" t="s">
        <v>137</v>
      </c>
      <c r="C1594" s="30" t="s">
        <v>29</v>
      </c>
      <c r="D1594" s="30" t="s">
        <v>1385</v>
      </c>
      <c r="E1594" s="30" t="s">
        <v>210</v>
      </c>
      <c r="F1594" s="30">
        <v>1</v>
      </c>
      <c r="G1594" s="44">
        <v>2744</v>
      </c>
      <c r="H1594" s="30"/>
      <c r="I1594" s="44"/>
      <c r="J1594" s="44"/>
      <c r="K1594" s="44">
        <f t="shared" si="53"/>
        <v>2744</v>
      </c>
      <c r="L1594" s="51">
        <v>20230531</v>
      </c>
    </row>
    <row r="1595" spans="1:12" x14ac:dyDescent="0.25">
      <c r="A1595" s="50" t="s">
        <v>2650</v>
      </c>
      <c r="B1595" s="30" t="s">
        <v>137</v>
      </c>
      <c r="C1595" s="30" t="s">
        <v>29</v>
      </c>
      <c r="D1595" s="30" t="s">
        <v>1385</v>
      </c>
      <c r="E1595" s="30" t="s">
        <v>628</v>
      </c>
      <c r="F1595" s="30">
        <v>1</v>
      </c>
      <c r="G1595" s="44">
        <v>2744</v>
      </c>
      <c r="H1595" s="30"/>
      <c r="I1595" s="44"/>
      <c r="J1595" s="44"/>
      <c r="K1595" s="44">
        <f t="shared" si="53"/>
        <v>2744</v>
      </c>
      <c r="L1595" s="51">
        <v>20230531</v>
      </c>
    </row>
    <row r="1596" spans="1:12" x14ac:dyDescent="0.25">
      <c r="A1596" s="50" t="s">
        <v>2651</v>
      </c>
      <c r="B1596" s="30" t="s">
        <v>137</v>
      </c>
      <c r="C1596" s="30" t="s">
        <v>29</v>
      </c>
      <c r="D1596" s="30" t="s">
        <v>1385</v>
      </c>
      <c r="E1596" s="30" t="s">
        <v>630</v>
      </c>
      <c r="F1596" s="30">
        <v>1</v>
      </c>
      <c r="G1596" s="44">
        <v>2744</v>
      </c>
      <c r="H1596" s="30"/>
      <c r="I1596" s="44"/>
      <c r="J1596" s="44"/>
      <c r="K1596" s="44">
        <f t="shared" si="53"/>
        <v>2744</v>
      </c>
      <c r="L1596" s="51">
        <v>20230531</v>
      </c>
    </row>
    <row r="1597" spans="1:12" ht="15.75" thickBot="1" x14ac:dyDescent="0.3">
      <c r="A1597" s="54" t="s">
        <v>2652</v>
      </c>
      <c r="B1597" s="36" t="s">
        <v>137</v>
      </c>
      <c r="C1597" s="36" t="s">
        <v>29</v>
      </c>
      <c r="D1597" s="36" t="s">
        <v>1385</v>
      </c>
      <c r="E1597" s="36" t="s">
        <v>2101</v>
      </c>
      <c r="F1597" s="36">
        <v>1</v>
      </c>
      <c r="G1597" s="65">
        <v>2744</v>
      </c>
      <c r="H1597" s="36"/>
      <c r="I1597" s="65"/>
      <c r="J1597" s="65"/>
      <c r="K1597" s="65">
        <f t="shared" si="53"/>
        <v>2744</v>
      </c>
      <c r="L1597" s="55">
        <v>20230531</v>
      </c>
    </row>
    <row r="1601" spans="1:12" ht="15.75" thickBot="1" x14ac:dyDescent="0.3">
      <c r="A1601" s="69" t="s">
        <v>0</v>
      </c>
      <c r="B1601" s="70" t="s">
        <v>1</v>
      </c>
      <c r="C1601" s="70" t="s">
        <v>2</v>
      </c>
      <c r="D1601" s="70" t="s">
        <v>3</v>
      </c>
      <c r="E1601" s="70" t="s">
        <v>4</v>
      </c>
      <c r="F1601" s="70"/>
      <c r="G1601" s="71" t="s">
        <v>6</v>
      </c>
      <c r="H1601" s="70" t="s">
        <v>7</v>
      </c>
      <c r="I1601" s="71" t="s">
        <v>8</v>
      </c>
      <c r="J1601" s="71" t="s">
        <v>9</v>
      </c>
      <c r="K1601" s="71" t="s">
        <v>10</v>
      </c>
      <c r="L1601" s="72" t="s">
        <v>5</v>
      </c>
    </row>
    <row r="1602" spans="1:12" x14ac:dyDescent="0.25">
      <c r="A1602" s="48" t="s">
        <v>2750</v>
      </c>
      <c r="B1602" s="34" t="s">
        <v>11</v>
      </c>
      <c r="C1602" s="34" t="s">
        <v>129</v>
      </c>
      <c r="D1602" s="34" t="s">
        <v>24</v>
      </c>
      <c r="E1602" s="34" t="s">
        <v>130</v>
      </c>
      <c r="F1602" s="34">
        <v>1</v>
      </c>
      <c r="G1602" s="64">
        <v>5489</v>
      </c>
      <c r="H1602" s="34"/>
      <c r="I1602" s="64"/>
      <c r="J1602" s="64"/>
      <c r="K1602" s="64">
        <f t="shared" ref="K1602:K1634" si="54">J1602+G1602</f>
        <v>5489</v>
      </c>
      <c r="L1602" s="49">
        <v>20230601</v>
      </c>
    </row>
    <row r="1603" spans="1:12" x14ac:dyDescent="0.25">
      <c r="A1603" s="52" t="s">
        <v>2739</v>
      </c>
      <c r="B1603" s="32" t="s">
        <v>11</v>
      </c>
      <c r="C1603" s="32" t="s">
        <v>28</v>
      </c>
      <c r="D1603" s="32" t="s">
        <v>462</v>
      </c>
      <c r="E1603" s="32" t="s">
        <v>463</v>
      </c>
      <c r="F1603" s="32">
        <v>1</v>
      </c>
      <c r="G1603" s="45">
        <v>5489</v>
      </c>
      <c r="H1603" s="32">
        <v>45</v>
      </c>
      <c r="I1603" s="45">
        <v>69.400000000000006</v>
      </c>
      <c r="J1603" s="45">
        <f>I1603*H1603</f>
        <v>3123.0000000000005</v>
      </c>
      <c r="K1603" s="45">
        <f t="shared" si="54"/>
        <v>8612</v>
      </c>
      <c r="L1603" s="53">
        <v>20230605</v>
      </c>
    </row>
    <row r="1604" spans="1:12" x14ac:dyDescent="0.25">
      <c r="A1604" s="52" t="s">
        <v>2748</v>
      </c>
      <c r="B1604" s="32" t="s">
        <v>11</v>
      </c>
      <c r="C1604" s="32" t="s">
        <v>34</v>
      </c>
      <c r="D1604" s="32" t="s">
        <v>35</v>
      </c>
      <c r="E1604" s="32" t="s">
        <v>2681</v>
      </c>
      <c r="F1604" s="32">
        <v>1</v>
      </c>
      <c r="G1604" s="45">
        <v>5489</v>
      </c>
      <c r="H1604" s="32">
        <v>78</v>
      </c>
      <c r="I1604" s="45">
        <v>69.400000000000006</v>
      </c>
      <c r="J1604" s="45">
        <f>I1604*H1604</f>
        <v>5413.2000000000007</v>
      </c>
      <c r="K1604" s="45">
        <f t="shared" si="54"/>
        <v>10902.2</v>
      </c>
      <c r="L1604" s="53">
        <v>20230605</v>
      </c>
    </row>
    <row r="1605" spans="1:12" x14ac:dyDescent="0.25">
      <c r="A1605" s="50" t="s">
        <v>2740</v>
      </c>
      <c r="B1605" s="30" t="s">
        <v>11</v>
      </c>
      <c r="C1605" s="30" t="s">
        <v>29</v>
      </c>
      <c r="D1605" s="30" t="s">
        <v>1385</v>
      </c>
      <c r="E1605" s="30" t="s">
        <v>1386</v>
      </c>
      <c r="F1605" s="30">
        <v>1</v>
      </c>
      <c r="G1605" s="44">
        <v>5489</v>
      </c>
      <c r="H1605" s="30"/>
      <c r="I1605" s="44"/>
      <c r="J1605" s="44"/>
      <c r="K1605" s="44">
        <f t="shared" si="54"/>
        <v>5489</v>
      </c>
      <c r="L1605" s="51">
        <v>20230606</v>
      </c>
    </row>
    <row r="1606" spans="1:12" x14ac:dyDescent="0.25">
      <c r="A1606" s="50" t="s">
        <v>2741</v>
      </c>
      <c r="B1606" s="30" t="s">
        <v>11</v>
      </c>
      <c r="C1606" s="30" t="s">
        <v>53</v>
      </c>
      <c r="D1606" s="30" t="s">
        <v>24</v>
      </c>
      <c r="E1606" s="30" t="s">
        <v>1281</v>
      </c>
      <c r="F1606" s="30">
        <v>1</v>
      </c>
      <c r="G1606" s="44">
        <v>5489</v>
      </c>
      <c r="H1606" s="30"/>
      <c r="I1606" s="44"/>
      <c r="J1606" s="44"/>
      <c r="K1606" s="44">
        <f t="shared" si="54"/>
        <v>5489</v>
      </c>
      <c r="L1606" s="51">
        <v>20230606</v>
      </c>
    </row>
    <row r="1607" spans="1:12" x14ac:dyDescent="0.25">
      <c r="A1607" s="52" t="s">
        <v>2738</v>
      </c>
      <c r="B1607" s="32" t="s">
        <v>11</v>
      </c>
      <c r="C1607" s="32" t="s">
        <v>337</v>
      </c>
      <c r="D1607" s="32" t="s">
        <v>162</v>
      </c>
      <c r="E1607" s="32" t="s">
        <v>2520</v>
      </c>
      <c r="F1607" s="32">
        <v>1</v>
      </c>
      <c r="G1607" s="45">
        <v>5489</v>
      </c>
      <c r="H1607" s="32">
        <v>69</v>
      </c>
      <c r="I1607" s="45">
        <v>69.400000000000006</v>
      </c>
      <c r="J1607" s="45">
        <f>I1607*H1607</f>
        <v>4788.6000000000004</v>
      </c>
      <c r="K1607" s="45">
        <f t="shared" si="54"/>
        <v>10277.6</v>
      </c>
      <c r="L1607" s="53">
        <v>20230607</v>
      </c>
    </row>
    <row r="1608" spans="1:12" x14ac:dyDescent="0.25">
      <c r="A1608" s="52" t="s">
        <v>2733</v>
      </c>
      <c r="B1608" s="32" t="s">
        <v>11</v>
      </c>
      <c r="C1608" s="32" t="s">
        <v>29</v>
      </c>
      <c r="D1608" s="32" t="s">
        <v>148</v>
      </c>
      <c r="E1608" s="32" t="s">
        <v>1248</v>
      </c>
      <c r="F1608" s="32">
        <v>1</v>
      </c>
      <c r="G1608" s="45">
        <v>5489</v>
      </c>
      <c r="H1608" s="32">
        <v>56</v>
      </c>
      <c r="I1608" s="45">
        <v>69.400000000000006</v>
      </c>
      <c r="J1608" s="45">
        <f>I1608*H1608</f>
        <v>3886.4000000000005</v>
      </c>
      <c r="K1608" s="45">
        <f t="shared" si="54"/>
        <v>9375.4000000000015</v>
      </c>
      <c r="L1608" s="53">
        <v>20230607</v>
      </c>
    </row>
    <row r="1609" spans="1:12" x14ac:dyDescent="0.25">
      <c r="A1609" s="50" t="s">
        <v>2735</v>
      </c>
      <c r="B1609" s="30" t="s">
        <v>11</v>
      </c>
      <c r="C1609" s="30" t="s">
        <v>129</v>
      </c>
      <c r="D1609" s="30" t="s">
        <v>24</v>
      </c>
      <c r="E1609" s="30" t="s">
        <v>130</v>
      </c>
      <c r="F1609" s="30">
        <v>1</v>
      </c>
      <c r="G1609" s="44">
        <v>5489</v>
      </c>
      <c r="H1609" s="30"/>
      <c r="I1609" s="44"/>
      <c r="J1609" s="44"/>
      <c r="K1609" s="44">
        <f t="shared" si="54"/>
        <v>5489</v>
      </c>
      <c r="L1609" s="51">
        <v>20230609</v>
      </c>
    </row>
    <row r="1610" spans="1:12" x14ac:dyDescent="0.25">
      <c r="A1610" s="50" t="s">
        <v>2725</v>
      </c>
      <c r="B1610" s="30" t="s">
        <v>11</v>
      </c>
      <c r="C1610" s="30" t="s">
        <v>57</v>
      </c>
      <c r="D1610" s="30" t="s">
        <v>58</v>
      </c>
      <c r="E1610" s="30" t="s">
        <v>60</v>
      </c>
      <c r="F1610" s="30">
        <v>1</v>
      </c>
      <c r="G1610" s="44">
        <v>5489</v>
      </c>
      <c r="H1610" s="30"/>
      <c r="I1610" s="44"/>
      <c r="J1610" s="44"/>
      <c r="K1610" s="44">
        <f t="shared" si="54"/>
        <v>5489</v>
      </c>
      <c r="L1610" s="51">
        <v>20230609</v>
      </c>
    </row>
    <row r="1611" spans="1:12" x14ac:dyDescent="0.25">
      <c r="A1611" s="50" t="s">
        <v>2736</v>
      </c>
      <c r="B1611" s="30" t="s">
        <v>11</v>
      </c>
      <c r="C1611" s="30" t="s">
        <v>91</v>
      </c>
      <c r="D1611" s="30" t="s">
        <v>24</v>
      </c>
      <c r="E1611" s="30" t="s">
        <v>92</v>
      </c>
      <c r="F1611" s="30">
        <v>1</v>
      </c>
      <c r="G1611" s="44">
        <v>5489</v>
      </c>
      <c r="H1611" s="30"/>
      <c r="I1611" s="44"/>
      <c r="J1611" s="44"/>
      <c r="K1611" s="44">
        <f t="shared" si="54"/>
        <v>5489</v>
      </c>
      <c r="L1611" s="51">
        <v>20230609</v>
      </c>
    </row>
    <row r="1612" spans="1:12" x14ac:dyDescent="0.25">
      <c r="A1612" s="50" t="s">
        <v>2732</v>
      </c>
      <c r="B1612" s="30" t="s">
        <v>11</v>
      </c>
      <c r="C1612" s="30" t="s">
        <v>94</v>
      </c>
      <c r="D1612" s="30" t="s">
        <v>95</v>
      </c>
      <c r="E1612" s="30" t="s">
        <v>326</v>
      </c>
      <c r="F1612" s="30">
        <v>1</v>
      </c>
      <c r="G1612" s="44">
        <v>5489</v>
      </c>
      <c r="H1612" s="30"/>
      <c r="I1612" s="44"/>
      <c r="J1612" s="44"/>
      <c r="K1612" s="44">
        <f t="shared" si="54"/>
        <v>5489</v>
      </c>
      <c r="L1612" s="51">
        <v>20230609</v>
      </c>
    </row>
    <row r="1613" spans="1:12" x14ac:dyDescent="0.25">
      <c r="A1613" s="50" t="s">
        <v>2726</v>
      </c>
      <c r="B1613" s="30" t="s">
        <v>11</v>
      </c>
      <c r="C1613" s="30" t="s">
        <v>94</v>
      </c>
      <c r="D1613" s="30" t="s">
        <v>95</v>
      </c>
      <c r="E1613" s="30" t="s">
        <v>260</v>
      </c>
      <c r="F1613" s="30">
        <v>1</v>
      </c>
      <c r="G1613" s="44">
        <v>5489</v>
      </c>
      <c r="H1613" s="30"/>
      <c r="I1613" s="44"/>
      <c r="J1613" s="44"/>
      <c r="K1613" s="44">
        <f t="shared" si="54"/>
        <v>5489</v>
      </c>
      <c r="L1613" s="51">
        <v>20230612</v>
      </c>
    </row>
    <row r="1614" spans="1:12" x14ac:dyDescent="0.25">
      <c r="A1614" s="50" t="s">
        <v>2737</v>
      </c>
      <c r="B1614" s="30" t="s">
        <v>11</v>
      </c>
      <c r="C1614" s="30" t="s">
        <v>94</v>
      </c>
      <c r="D1614" s="30" t="s">
        <v>95</v>
      </c>
      <c r="E1614" s="30" t="s">
        <v>436</v>
      </c>
      <c r="F1614" s="30">
        <v>1</v>
      </c>
      <c r="G1614" s="44">
        <v>5489</v>
      </c>
      <c r="H1614" s="30"/>
      <c r="I1614" s="44"/>
      <c r="J1614" s="44"/>
      <c r="K1614" s="44">
        <f t="shared" si="54"/>
        <v>5489</v>
      </c>
      <c r="L1614" s="51">
        <v>20230612</v>
      </c>
    </row>
    <row r="1615" spans="1:12" x14ac:dyDescent="0.25">
      <c r="A1615" s="52" t="s">
        <v>2729</v>
      </c>
      <c r="B1615" s="32" t="s">
        <v>11</v>
      </c>
      <c r="C1615" s="32" t="s">
        <v>337</v>
      </c>
      <c r="D1615" s="32" t="s">
        <v>162</v>
      </c>
      <c r="E1615" s="32" t="s">
        <v>219</v>
      </c>
      <c r="F1615" s="32">
        <v>1</v>
      </c>
      <c r="G1615" s="45">
        <v>5489</v>
      </c>
      <c r="H1615" s="32">
        <v>69</v>
      </c>
      <c r="I1615" s="45">
        <v>69.400000000000006</v>
      </c>
      <c r="J1615" s="45">
        <f>I1615*H1615</f>
        <v>4788.6000000000004</v>
      </c>
      <c r="K1615" s="45">
        <f t="shared" si="54"/>
        <v>10277.6</v>
      </c>
      <c r="L1615" s="53">
        <v>20230613</v>
      </c>
    </row>
    <row r="1616" spans="1:12" x14ac:dyDescent="0.25">
      <c r="A1616" s="52" t="s">
        <v>2727</v>
      </c>
      <c r="B1616" s="32" t="s">
        <v>11</v>
      </c>
      <c r="C1616" s="32" t="s">
        <v>29</v>
      </c>
      <c r="D1616" s="32" t="s">
        <v>148</v>
      </c>
      <c r="E1616" s="32" t="s">
        <v>1248</v>
      </c>
      <c r="F1616" s="32">
        <v>1</v>
      </c>
      <c r="G1616" s="45">
        <v>5489</v>
      </c>
      <c r="H1616" s="32">
        <v>56</v>
      </c>
      <c r="I1616" s="45">
        <v>69.400000000000006</v>
      </c>
      <c r="J1616" s="45">
        <f>I1616*H1616</f>
        <v>3886.4000000000005</v>
      </c>
      <c r="K1616" s="45">
        <f t="shared" si="54"/>
        <v>9375.4000000000015</v>
      </c>
      <c r="L1616" s="53">
        <v>20230613</v>
      </c>
    </row>
    <row r="1617" spans="1:12" x14ac:dyDescent="0.25">
      <c r="A1617" s="52" t="s">
        <v>2731</v>
      </c>
      <c r="B1617" s="32" t="s">
        <v>11</v>
      </c>
      <c r="C1617" s="32" t="s">
        <v>163</v>
      </c>
      <c r="D1617" s="32" t="s">
        <v>164</v>
      </c>
      <c r="E1617" s="32" t="s">
        <v>244</v>
      </c>
      <c r="F1617" s="32">
        <v>1</v>
      </c>
      <c r="G1617" s="45">
        <v>5489</v>
      </c>
      <c r="H1617" s="32">
        <v>126</v>
      </c>
      <c r="I1617" s="45">
        <v>69.400000000000006</v>
      </c>
      <c r="J1617" s="45">
        <f>I1617*H1617</f>
        <v>8744.4000000000015</v>
      </c>
      <c r="K1617" s="45">
        <f t="shared" si="54"/>
        <v>14233.400000000001</v>
      </c>
      <c r="L1617" s="53">
        <v>20230613</v>
      </c>
    </row>
    <row r="1618" spans="1:12" x14ac:dyDescent="0.25">
      <c r="A1618" s="52" t="s">
        <v>2724</v>
      </c>
      <c r="B1618" s="32" t="s">
        <v>11</v>
      </c>
      <c r="C1618" s="32" t="s">
        <v>163</v>
      </c>
      <c r="D1618" s="32" t="s">
        <v>164</v>
      </c>
      <c r="E1618" s="32" t="s">
        <v>478</v>
      </c>
      <c r="F1618" s="32">
        <v>1</v>
      </c>
      <c r="G1618" s="45">
        <v>5489</v>
      </c>
      <c r="H1618" s="32">
        <v>126</v>
      </c>
      <c r="I1618" s="45">
        <v>69.400000000000006</v>
      </c>
      <c r="J1618" s="45">
        <f>I1618*H1618</f>
        <v>8744.4000000000015</v>
      </c>
      <c r="K1618" s="45">
        <f t="shared" si="54"/>
        <v>14233.400000000001</v>
      </c>
      <c r="L1618" s="53">
        <v>20230613</v>
      </c>
    </row>
    <row r="1619" spans="1:12" x14ac:dyDescent="0.25">
      <c r="A1619" s="50" t="s">
        <v>2728</v>
      </c>
      <c r="B1619" s="30" t="s">
        <v>11</v>
      </c>
      <c r="C1619" s="30" t="s">
        <v>1021</v>
      </c>
      <c r="D1619" s="30" t="s">
        <v>95</v>
      </c>
      <c r="E1619" s="30" t="s">
        <v>1022</v>
      </c>
      <c r="F1619" s="30">
        <v>1</v>
      </c>
      <c r="G1619" s="44">
        <v>5489</v>
      </c>
      <c r="H1619" s="30"/>
      <c r="I1619" s="44"/>
      <c r="J1619" s="44"/>
      <c r="K1619" s="44">
        <f t="shared" si="54"/>
        <v>5489</v>
      </c>
      <c r="L1619" s="51">
        <v>20230615</v>
      </c>
    </row>
    <row r="1620" spans="1:12" x14ac:dyDescent="0.25">
      <c r="A1620" s="50" t="s">
        <v>2716</v>
      </c>
      <c r="B1620" s="30" t="s">
        <v>11</v>
      </c>
      <c r="C1620" s="30" t="s">
        <v>474</v>
      </c>
      <c r="D1620" s="30" t="s">
        <v>24</v>
      </c>
      <c r="E1620" s="30" t="s">
        <v>554</v>
      </c>
      <c r="F1620" s="30">
        <v>1</v>
      </c>
      <c r="G1620" s="44">
        <v>5489</v>
      </c>
      <c r="H1620" s="30"/>
      <c r="I1620" s="44"/>
      <c r="J1620" s="44"/>
      <c r="K1620" s="44">
        <f t="shared" si="54"/>
        <v>5489</v>
      </c>
      <c r="L1620" s="51">
        <v>20230615</v>
      </c>
    </row>
    <row r="1621" spans="1:12" x14ac:dyDescent="0.25">
      <c r="A1621" s="50" t="s">
        <v>2747</v>
      </c>
      <c r="B1621" s="30" t="s">
        <v>1209</v>
      </c>
      <c r="C1621" s="30" t="s">
        <v>1450</v>
      </c>
      <c r="D1621" s="30" t="s">
        <v>1601</v>
      </c>
      <c r="E1621" s="30" t="s">
        <v>1602</v>
      </c>
      <c r="F1621" s="30">
        <v>1</v>
      </c>
      <c r="G1621" s="44">
        <v>5489</v>
      </c>
      <c r="H1621" s="30"/>
      <c r="I1621" s="44"/>
      <c r="J1621" s="44"/>
      <c r="K1621" s="44">
        <f t="shared" si="54"/>
        <v>5489</v>
      </c>
      <c r="L1621" s="51">
        <v>20230615</v>
      </c>
    </row>
    <row r="1622" spans="1:12" x14ac:dyDescent="0.25">
      <c r="A1622" s="50" t="s">
        <v>2746</v>
      </c>
      <c r="B1622" s="30" t="s">
        <v>1209</v>
      </c>
      <c r="C1622" s="30" t="s">
        <v>1450</v>
      </c>
      <c r="D1622" s="30" t="s">
        <v>1601</v>
      </c>
      <c r="E1622" s="30" t="s">
        <v>1604</v>
      </c>
      <c r="F1622" s="30">
        <v>1</v>
      </c>
      <c r="G1622" s="44">
        <v>5489</v>
      </c>
      <c r="H1622" s="30"/>
      <c r="I1622" s="44"/>
      <c r="J1622" s="44"/>
      <c r="K1622" s="44">
        <f t="shared" si="54"/>
        <v>5489</v>
      </c>
      <c r="L1622" s="51">
        <v>20230615</v>
      </c>
    </row>
    <row r="1623" spans="1:12" x14ac:dyDescent="0.25">
      <c r="A1623" s="52" t="s">
        <v>2734</v>
      </c>
      <c r="B1623" s="32" t="s">
        <v>1209</v>
      </c>
      <c r="C1623" s="32" t="s">
        <v>1450</v>
      </c>
      <c r="D1623" s="32" t="s">
        <v>169</v>
      </c>
      <c r="E1623" s="32" t="s">
        <v>1598</v>
      </c>
      <c r="F1623" s="32">
        <v>1</v>
      </c>
      <c r="G1623" s="45">
        <v>5489</v>
      </c>
      <c r="H1623" s="32">
        <v>148</v>
      </c>
      <c r="I1623" s="45">
        <v>69.400000000000006</v>
      </c>
      <c r="J1623" s="45">
        <f>I1623*H1623</f>
        <v>10271.200000000001</v>
      </c>
      <c r="K1623" s="45">
        <f t="shared" si="54"/>
        <v>15760.2</v>
      </c>
      <c r="L1623" s="53">
        <v>20230615</v>
      </c>
    </row>
    <row r="1624" spans="1:12" x14ac:dyDescent="0.25">
      <c r="A1624" s="50" t="s">
        <v>2713</v>
      </c>
      <c r="B1624" s="30" t="s">
        <v>11</v>
      </c>
      <c r="C1624" s="30" t="s">
        <v>28</v>
      </c>
      <c r="D1624" s="30" t="s">
        <v>1742</v>
      </c>
      <c r="E1624" s="30" t="s">
        <v>2226</v>
      </c>
      <c r="F1624" s="30">
        <v>1</v>
      </c>
      <c r="G1624" s="44">
        <v>5489</v>
      </c>
      <c r="H1624" s="30"/>
      <c r="I1624" s="44"/>
      <c r="J1624" s="44"/>
      <c r="K1624" s="44">
        <f t="shared" si="54"/>
        <v>5489</v>
      </c>
      <c r="L1624" s="51">
        <v>20230616</v>
      </c>
    </row>
    <row r="1625" spans="1:12" x14ac:dyDescent="0.25">
      <c r="A1625" s="50" t="s">
        <v>2730</v>
      </c>
      <c r="B1625" s="30" t="s">
        <v>11</v>
      </c>
      <c r="C1625" s="30" t="s">
        <v>57</v>
      </c>
      <c r="D1625" s="30" t="s">
        <v>58</v>
      </c>
      <c r="E1625" s="30" t="s">
        <v>59</v>
      </c>
      <c r="F1625" s="30">
        <v>1</v>
      </c>
      <c r="G1625" s="44">
        <v>5489</v>
      </c>
      <c r="H1625" s="30"/>
      <c r="I1625" s="44"/>
      <c r="J1625" s="44"/>
      <c r="K1625" s="44">
        <f t="shared" si="54"/>
        <v>5489</v>
      </c>
      <c r="L1625" s="51">
        <v>20230616</v>
      </c>
    </row>
    <row r="1626" spans="1:12" x14ac:dyDescent="0.25">
      <c r="A1626" s="50" t="s">
        <v>2749</v>
      </c>
      <c r="B1626" s="30" t="s">
        <v>11</v>
      </c>
      <c r="C1626" s="30" t="s">
        <v>936</v>
      </c>
      <c r="D1626" s="30" t="s">
        <v>937</v>
      </c>
      <c r="E1626" s="30" t="s">
        <v>938</v>
      </c>
      <c r="F1626" s="30">
        <v>1</v>
      </c>
      <c r="G1626" s="44">
        <v>5489</v>
      </c>
      <c r="H1626" s="30"/>
      <c r="I1626" s="44"/>
      <c r="J1626" s="44"/>
      <c r="K1626" s="44">
        <f t="shared" si="54"/>
        <v>5489</v>
      </c>
      <c r="L1626" s="51">
        <v>20230616</v>
      </c>
    </row>
    <row r="1627" spans="1:12" x14ac:dyDescent="0.25">
      <c r="A1627" s="50" t="s">
        <v>2715</v>
      </c>
      <c r="B1627" s="30" t="s">
        <v>11</v>
      </c>
      <c r="C1627" s="30" t="s">
        <v>134</v>
      </c>
      <c r="D1627" s="30" t="s">
        <v>135</v>
      </c>
      <c r="E1627" s="30" t="s">
        <v>1178</v>
      </c>
      <c r="F1627" s="30">
        <v>1</v>
      </c>
      <c r="G1627" s="44">
        <v>5489</v>
      </c>
      <c r="H1627" s="30"/>
      <c r="I1627" s="44"/>
      <c r="J1627" s="44"/>
      <c r="K1627" s="44">
        <f t="shared" si="54"/>
        <v>5489</v>
      </c>
      <c r="L1627" s="51">
        <v>20230621</v>
      </c>
    </row>
    <row r="1628" spans="1:12" x14ac:dyDescent="0.25">
      <c r="A1628" s="52" t="s">
        <v>2714</v>
      </c>
      <c r="B1628" s="32" t="s">
        <v>11</v>
      </c>
      <c r="C1628" s="32" t="s">
        <v>337</v>
      </c>
      <c r="D1628" s="32" t="s">
        <v>162</v>
      </c>
      <c r="E1628" s="32" t="s">
        <v>219</v>
      </c>
      <c r="F1628" s="32">
        <v>1</v>
      </c>
      <c r="G1628" s="45">
        <v>5489</v>
      </c>
      <c r="H1628" s="32">
        <v>69</v>
      </c>
      <c r="I1628" s="45">
        <v>69.400000000000006</v>
      </c>
      <c r="J1628" s="45">
        <f>I1628*H1628</f>
        <v>4788.6000000000004</v>
      </c>
      <c r="K1628" s="45">
        <f t="shared" si="54"/>
        <v>10277.6</v>
      </c>
      <c r="L1628" s="53">
        <v>20230623</v>
      </c>
    </row>
    <row r="1629" spans="1:12" x14ac:dyDescent="0.25">
      <c r="A1629" s="50" t="s">
        <v>2717</v>
      </c>
      <c r="B1629" s="30" t="s">
        <v>11</v>
      </c>
      <c r="C1629" s="30" t="s">
        <v>29</v>
      </c>
      <c r="D1629" s="30" t="s">
        <v>1385</v>
      </c>
      <c r="E1629" s="30" t="s">
        <v>1386</v>
      </c>
      <c r="F1629" s="30">
        <v>1</v>
      </c>
      <c r="G1629" s="44">
        <v>5489</v>
      </c>
      <c r="H1629" s="30"/>
      <c r="I1629" s="44"/>
      <c r="J1629" s="44"/>
      <c r="K1629" s="44">
        <f t="shared" si="54"/>
        <v>5489</v>
      </c>
      <c r="L1629" s="51">
        <v>20230623</v>
      </c>
    </row>
    <row r="1630" spans="1:12" x14ac:dyDescent="0.25">
      <c r="A1630" s="50" t="s">
        <v>2712</v>
      </c>
      <c r="B1630" s="30" t="s">
        <v>11</v>
      </c>
      <c r="C1630" s="30" t="s">
        <v>94</v>
      </c>
      <c r="D1630" s="30" t="s">
        <v>95</v>
      </c>
      <c r="E1630" s="30" t="s">
        <v>2583</v>
      </c>
      <c r="F1630" s="30">
        <v>1</v>
      </c>
      <c r="G1630" s="44">
        <v>5489</v>
      </c>
      <c r="H1630" s="30"/>
      <c r="I1630" s="44"/>
      <c r="J1630" s="44"/>
      <c r="K1630" s="44">
        <f t="shared" si="54"/>
        <v>5489</v>
      </c>
      <c r="L1630" s="51">
        <v>20230623</v>
      </c>
    </row>
    <row r="1631" spans="1:12" x14ac:dyDescent="0.25">
      <c r="A1631" s="50" t="s">
        <v>2708</v>
      </c>
      <c r="B1631" s="30" t="s">
        <v>11</v>
      </c>
      <c r="C1631" s="30" t="s">
        <v>251</v>
      </c>
      <c r="D1631" s="30" t="s">
        <v>1231</v>
      </c>
      <c r="E1631" s="30" t="s">
        <v>1232</v>
      </c>
      <c r="F1631" s="30">
        <v>1</v>
      </c>
      <c r="G1631" s="44">
        <v>5489</v>
      </c>
      <c r="H1631" s="30"/>
      <c r="I1631" s="44"/>
      <c r="J1631" s="44"/>
      <c r="K1631" s="44">
        <f t="shared" si="54"/>
        <v>5489</v>
      </c>
      <c r="L1631" s="51">
        <v>20230628</v>
      </c>
    </row>
    <row r="1632" spans="1:12" x14ac:dyDescent="0.25">
      <c r="A1632" s="50" t="s">
        <v>2711</v>
      </c>
      <c r="B1632" s="30" t="s">
        <v>11</v>
      </c>
      <c r="C1632" s="30" t="s">
        <v>29</v>
      </c>
      <c r="D1632" s="30" t="s">
        <v>24</v>
      </c>
      <c r="E1632" s="30" t="s">
        <v>632</v>
      </c>
      <c r="F1632" s="30">
        <v>1</v>
      </c>
      <c r="G1632" s="44">
        <v>5489</v>
      </c>
      <c r="H1632" s="30"/>
      <c r="I1632" s="44"/>
      <c r="J1632" s="44"/>
      <c r="K1632" s="44">
        <f t="shared" si="54"/>
        <v>5489</v>
      </c>
      <c r="L1632" s="51">
        <v>20230628</v>
      </c>
    </row>
    <row r="1633" spans="1:12" x14ac:dyDescent="0.25">
      <c r="A1633" s="50" t="s">
        <v>2710</v>
      </c>
      <c r="B1633" s="30" t="s">
        <v>11</v>
      </c>
      <c r="C1633" s="30" t="s">
        <v>53</v>
      </c>
      <c r="D1633" s="30" t="s">
        <v>24</v>
      </c>
      <c r="E1633" s="30" t="s">
        <v>1998</v>
      </c>
      <c r="F1633" s="30">
        <v>1</v>
      </c>
      <c r="G1633" s="44">
        <v>5489</v>
      </c>
      <c r="H1633" s="30"/>
      <c r="I1633" s="44"/>
      <c r="J1633" s="44"/>
      <c r="K1633" s="44">
        <f t="shared" si="54"/>
        <v>5489</v>
      </c>
      <c r="L1633" s="51">
        <v>20230628</v>
      </c>
    </row>
    <row r="1634" spans="1:12" ht="15.75" thickBot="1" x14ac:dyDescent="0.3">
      <c r="A1634" s="87" t="s">
        <v>2709</v>
      </c>
      <c r="B1634" s="88" t="s">
        <v>11</v>
      </c>
      <c r="C1634" s="88" t="s">
        <v>163</v>
      </c>
      <c r="D1634" s="88" t="s">
        <v>164</v>
      </c>
      <c r="E1634" s="88" t="s">
        <v>1115</v>
      </c>
      <c r="F1634" s="88">
        <v>1</v>
      </c>
      <c r="G1634" s="89">
        <v>5489</v>
      </c>
      <c r="H1634" s="88">
        <v>126</v>
      </c>
      <c r="I1634" s="89">
        <v>69.400000000000006</v>
      </c>
      <c r="J1634" s="89">
        <f>I1634*H1634</f>
        <v>8744.4000000000015</v>
      </c>
      <c r="K1634" s="89">
        <f t="shared" si="54"/>
        <v>14233.400000000001</v>
      </c>
      <c r="L1634" s="90">
        <v>20230629</v>
      </c>
    </row>
    <row r="1635" spans="1:12" ht="15.75" thickBot="1" x14ac:dyDescent="0.3"/>
    <row r="1636" spans="1:12" x14ac:dyDescent="0.25">
      <c r="A1636" s="48" t="s">
        <v>2745</v>
      </c>
      <c r="B1636" s="34" t="s">
        <v>137</v>
      </c>
      <c r="C1636" s="34" t="s">
        <v>53</v>
      </c>
      <c r="D1636" s="34" t="s">
        <v>24</v>
      </c>
      <c r="E1636" s="34" t="s">
        <v>2289</v>
      </c>
      <c r="F1636" s="34">
        <v>1</v>
      </c>
      <c r="G1636" s="64">
        <v>2744</v>
      </c>
      <c r="H1636" s="34"/>
      <c r="I1636" s="64"/>
      <c r="J1636" s="64"/>
      <c r="K1636" s="64">
        <f t="shared" ref="K1636:K1644" si="55">J1636+G1636</f>
        <v>2744</v>
      </c>
      <c r="L1636" s="49">
        <v>20230606</v>
      </c>
    </row>
    <row r="1637" spans="1:12" x14ac:dyDescent="0.25">
      <c r="A1637" s="50" t="s">
        <v>2744</v>
      </c>
      <c r="B1637" s="30" t="s">
        <v>137</v>
      </c>
      <c r="C1637" s="30" t="s">
        <v>53</v>
      </c>
      <c r="D1637" s="30" t="s">
        <v>24</v>
      </c>
      <c r="E1637" s="30" t="s">
        <v>1132</v>
      </c>
      <c r="F1637" s="30">
        <v>1</v>
      </c>
      <c r="G1637" s="44">
        <v>2744</v>
      </c>
      <c r="H1637" s="30"/>
      <c r="I1637" s="44"/>
      <c r="J1637" s="44"/>
      <c r="K1637" s="44">
        <f t="shared" si="55"/>
        <v>2744</v>
      </c>
      <c r="L1637" s="51">
        <v>20230606</v>
      </c>
    </row>
    <row r="1638" spans="1:12" x14ac:dyDescent="0.25">
      <c r="A1638" s="50" t="s">
        <v>2743</v>
      </c>
      <c r="B1638" s="30" t="s">
        <v>137</v>
      </c>
      <c r="C1638" s="30" t="s">
        <v>53</v>
      </c>
      <c r="D1638" s="30" t="s">
        <v>24</v>
      </c>
      <c r="E1638" s="30" t="s">
        <v>1998</v>
      </c>
      <c r="F1638" s="30">
        <v>1</v>
      </c>
      <c r="G1638" s="44">
        <v>2744</v>
      </c>
      <c r="H1638" s="30"/>
      <c r="I1638" s="44"/>
      <c r="J1638" s="44"/>
      <c r="K1638" s="44">
        <f t="shared" si="55"/>
        <v>2744</v>
      </c>
      <c r="L1638" s="51">
        <v>20230606</v>
      </c>
    </row>
    <row r="1639" spans="1:12" x14ac:dyDescent="0.25">
      <c r="A1639" s="50" t="s">
        <v>2722</v>
      </c>
      <c r="B1639" s="30" t="s">
        <v>137</v>
      </c>
      <c r="C1639" s="30" t="s">
        <v>270</v>
      </c>
      <c r="D1639" s="30" t="s">
        <v>271</v>
      </c>
      <c r="E1639" s="30" t="s">
        <v>2723</v>
      </c>
      <c r="F1639" s="30">
        <v>1</v>
      </c>
      <c r="G1639" s="44">
        <v>2744</v>
      </c>
      <c r="H1639" s="30"/>
      <c r="I1639" s="44"/>
      <c r="J1639" s="44"/>
      <c r="K1639" s="44">
        <f t="shared" si="55"/>
        <v>2744</v>
      </c>
      <c r="L1639" s="51">
        <v>20230612</v>
      </c>
    </row>
    <row r="1640" spans="1:12" x14ac:dyDescent="0.25">
      <c r="A1640" s="50" t="s">
        <v>2721</v>
      </c>
      <c r="B1640" s="30" t="s">
        <v>137</v>
      </c>
      <c r="C1640" s="30" t="s">
        <v>270</v>
      </c>
      <c r="D1640" s="30" t="s">
        <v>271</v>
      </c>
      <c r="E1640" s="30" t="s">
        <v>278</v>
      </c>
      <c r="F1640" s="30">
        <v>1</v>
      </c>
      <c r="G1640" s="44">
        <v>2744</v>
      </c>
      <c r="H1640" s="30"/>
      <c r="I1640" s="44"/>
      <c r="J1640" s="44"/>
      <c r="K1640" s="44">
        <f t="shared" si="55"/>
        <v>2744</v>
      </c>
      <c r="L1640" s="51">
        <v>20230612</v>
      </c>
    </row>
    <row r="1641" spans="1:12" x14ac:dyDescent="0.25">
      <c r="A1641" s="50" t="s">
        <v>2720</v>
      </c>
      <c r="B1641" s="30" t="s">
        <v>137</v>
      </c>
      <c r="C1641" s="30" t="s">
        <v>270</v>
      </c>
      <c r="D1641" s="30" t="s">
        <v>271</v>
      </c>
      <c r="E1641" s="30" t="s">
        <v>276</v>
      </c>
      <c r="F1641" s="30">
        <v>1</v>
      </c>
      <c r="G1641" s="44">
        <v>2744</v>
      </c>
      <c r="H1641" s="30"/>
      <c r="I1641" s="44"/>
      <c r="J1641" s="44"/>
      <c r="K1641" s="44">
        <f t="shared" si="55"/>
        <v>2744</v>
      </c>
      <c r="L1641" s="51">
        <v>20230612</v>
      </c>
    </row>
    <row r="1642" spans="1:12" x14ac:dyDescent="0.25">
      <c r="A1642" s="50" t="s">
        <v>2719</v>
      </c>
      <c r="B1642" s="30" t="s">
        <v>137</v>
      </c>
      <c r="C1642" s="30" t="s">
        <v>270</v>
      </c>
      <c r="D1642" s="30" t="s">
        <v>271</v>
      </c>
      <c r="E1642" s="30" t="s">
        <v>274</v>
      </c>
      <c r="F1642" s="30">
        <v>1</v>
      </c>
      <c r="G1642" s="44">
        <v>2744</v>
      </c>
      <c r="H1642" s="30"/>
      <c r="I1642" s="44"/>
      <c r="J1642" s="44"/>
      <c r="K1642" s="44">
        <f t="shared" si="55"/>
        <v>2744</v>
      </c>
      <c r="L1642" s="51">
        <v>20230612</v>
      </c>
    </row>
    <row r="1643" spans="1:12" x14ac:dyDescent="0.25">
      <c r="A1643" s="52" t="s">
        <v>2718</v>
      </c>
      <c r="B1643" s="32" t="s">
        <v>137</v>
      </c>
      <c r="C1643" s="32" t="s">
        <v>270</v>
      </c>
      <c r="D1643" s="32" t="s">
        <v>271</v>
      </c>
      <c r="E1643" s="32" t="s">
        <v>272</v>
      </c>
      <c r="F1643" s="32">
        <v>1</v>
      </c>
      <c r="G1643" s="45">
        <v>2744</v>
      </c>
      <c r="H1643" s="32">
        <v>251</v>
      </c>
      <c r="I1643" s="45">
        <v>69.400000000000006</v>
      </c>
      <c r="J1643" s="45">
        <f>I1643*H1643</f>
        <v>17419.400000000001</v>
      </c>
      <c r="K1643" s="45">
        <f t="shared" si="55"/>
        <v>20163.400000000001</v>
      </c>
      <c r="L1643" s="53">
        <v>20230612</v>
      </c>
    </row>
    <row r="1644" spans="1:12" ht="15.75" thickBot="1" x14ac:dyDescent="0.3">
      <c r="A1644" s="54" t="s">
        <v>2742</v>
      </c>
      <c r="B1644" s="36" t="s">
        <v>137</v>
      </c>
      <c r="C1644" s="36" t="s">
        <v>1968</v>
      </c>
      <c r="D1644" s="36" t="s">
        <v>655</v>
      </c>
      <c r="E1644" s="36" t="s">
        <v>2186</v>
      </c>
      <c r="F1644" s="36">
        <v>1</v>
      </c>
      <c r="G1644" s="65">
        <v>2744</v>
      </c>
      <c r="H1644" s="36"/>
      <c r="I1644" s="65"/>
      <c r="J1644" s="65"/>
      <c r="K1644" s="65">
        <f t="shared" si="55"/>
        <v>2744</v>
      </c>
      <c r="L1644" s="55">
        <v>20230630</v>
      </c>
    </row>
    <row r="1647" spans="1:12" ht="15.75" thickBot="1" x14ac:dyDescent="0.3">
      <c r="A1647" s="69" t="s">
        <v>0</v>
      </c>
      <c r="B1647" s="70" t="s">
        <v>1</v>
      </c>
      <c r="C1647" s="70" t="s">
        <v>2</v>
      </c>
      <c r="D1647" s="70" t="s">
        <v>3</v>
      </c>
      <c r="E1647" s="70" t="s">
        <v>4</v>
      </c>
      <c r="F1647" s="70"/>
      <c r="G1647" s="71" t="s">
        <v>6</v>
      </c>
      <c r="H1647" s="70" t="s">
        <v>7</v>
      </c>
      <c r="I1647" s="71" t="s">
        <v>8</v>
      </c>
      <c r="J1647" s="71" t="s">
        <v>9</v>
      </c>
      <c r="K1647" s="71" t="s">
        <v>10</v>
      </c>
      <c r="L1647" s="72" t="s">
        <v>5</v>
      </c>
    </row>
    <row r="1648" spans="1:12" x14ac:dyDescent="0.25">
      <c r="A1648" s="77" t="s">
        <v>2798</v>
      </c>
      <c r="B1648" s="78" t="s">
        <v>11</v>
      </c>
      <c r="C1648" s="78" t="s">
        <v>29</v>
      </c>
      <c r="D1648" s="78" t="s">
        <v>241</v>
      </c>
      <c r="E1648" s="78" t="s">
        <v>242</v>
      </c>
      <c r="F1648" s="78">
        <v>1</v>
      </c>
      <c r="G1648" s="79">
        <v>7000</v>
      </c>
      <c r="H1648" s="78">
        <v>149</v>
      </c>
      <c r="I1648" s="79">
        <v>86</v>
      </c>
      <c r="J1648" s="79">
        <f>I1648*H1648</f>
        <v>12814</v>
      </c>
      <c r="K1648" s="79">
        <f t="shared" ref="K1648:K1671" si="56">J1648+G1648</f>
        <v>19814</v>
      </c>
      <c r="L1648" s="80">
        <v>20230704</v>
      </c>
    </row>
    <row r="1649" spans="1:12" x14ac:dyDescent="0.25">
      <c r="A1649" s="52" t="s">
        <v>2800</v>
      </c>
      <c r="B1649" s="32" t="s">
        <v>11</v>
      </c>
      <c r="C1649" s="32" t="s">
        <v>163</v>
      </c>
      <c r="D1649" s="32" t="s">
        <v>164</v>
      </c>
      <c r="E1649" s="32" t="s">
        <v>207</v>
      </c>
      <c r="F1649" s="32">
        <v>1</v>
      </c>
      <c r="G1649" s="45">
        <v>7000</v>
      </c>
      <c r="H1649" s="32">
        <v>126</v>
      </c>
      <c r="I1649" s="45">
        <v>86</v>
      </c>
      <c r="J1649" s="45">
        <f>I1649*H1649</f>
        <v>10836</v>
      </c>
      <c r="K1649" s="45">
        <f t="shared" si="56"/>
        <v>17836</v>
      </c>
      <c r="L1649" s="53">
        <v>20230704</v>
      </c>
    </row>
    <row r="1650" spans="1:12" x14ac:dyDescent="0.25">
      <c r="A1650" s="50" t="s">
        <v>2801</v>
      </c>
      <c r="B1650" s="30" t="s">
        <v>11</v>
      </c>
      <c r="C1650" s="30" t="s">
        <v>57</v>
      </c>
      <c r="D1650" s="30" t="s">
        <v>58</v>
      </c>
      <c r="E1650" s="30" t="s">
        <v>59</v>
      </c>
      <c r="F1650" s="30">
        <v>1</v>
      </c>
      <c r="G1650" s="44">
        <v>7000</v>
      </c>
      <c r="H1650" s="30"/>
      <c r="I1650" s="44"/>
      <c r="J1650" s="44"/>
      <c r="K1650" s="44">
        <f t="shared" si="56"/>
        <v>7000</v>
      </c>
      <c r="L1650" s="51">
        <v>20230705</v>
      </c>
    </row>
    <row r="1651" spans="1:12" x14ac:dyDescent="0.25">
      <c r="A1651" s="50" t="s">
        <v>2799</v>
      </c>
      <c r="B1651" s="30" t="s">
        <v>11</v>
      </c>
      <c r="C1651" s="30" t="s">
        <v>29</v>
      </c>
      <c r="D1651" s="30" t="s">
        <v>1385</v>
      </c>
      <c r="E1651" s="30" t="s">
        <v>628</v>
      </c>
      <c r="F1651" s="30">
        <v>1</v>
      </c>
      <c r="G1651" s="44">
        <v>7000</v>
      </c>
      <c r="H1651" s="30"/>
      <c r="I1651" s="44"/>
      <c r="J1651" s="44"/>
      <c r="K1651" s="44">
        <f t="shared" si="56"/>
        <v>7000</v>
      </c>
      <c r="L1651" s="51">
        <v>20230705</v>
      </c>
    </row>
    <row r="1652" spans="1:12" x14ac:dyDescent="0.25">
      <c r="A1652" s="50" t="s">
        <v>2797</v>
      </c>
      <c r="B1652" s="30" t="s">
        <v>11</v>
      </c>
      <c r="C1652" s="30" t="s">
        <v>29</v>
      </c>
      <c r="D1652" s="30" t="s">
        <v>148</v>
      </c>
      <c r="E1652" s="30" t="s">
        <v>1248</v>
      </c>
      <c r="F1652" s="30">
        <v>1</v>
      </c>
      <c r="G1652" s="44">
        <v>7000</v>
      </c>
      <c r="H1652" s="30"/>
      <c r="I1652" s="44"/>
      <c r="J1652" s="44"/>
      <c r="K1652" s="44">
        <f t="shared" si="56"/>
        <v>7000</v>
      </c>
      <c r="L1652" s="51">
        <v>20230706</v>
      </c>
    </row>
    <row r="1653" spans="1:12" x14ac:dyDescent="0.25">
      <c r="A1653" s="50" t="s">
        <v>2789</v>
      </c>
      <c r="B1653" s="30" t="s">
        <v>11</v>
      </c>
      <c r="C1653" s="30" t="s">
        <v>251</v>
      </c>
      <c r="D1653" s="30" t="s">
        <v>1231</v>
      </c>
      <c r="E1653" s="30" t="s">
        <v>1232</v>
      </c>
      <c r="F1653" s="30">
        <v>1</v>
      </c>
      <c r="G1653" s="44">
        <v>7000</v>
      </c>
      <c r="H1653" s="30"/>
      <c r="I1653" s="44"/>
      <c r="J1653" s="44"/>
      <c r="K1653" s="44">
        <f t="shared" si="56"/>
        <v>7000</v>
      </c>
      <c r="L1653" s="51">
        <v>20230714</v>
      </c>
    </row>
    <row r="1654" spans="1:12" x14ac:dyDescent="0.25">
      <c r="A1654" s="50" t="s">
        <v>2796</v>
      </c>
      <c r="B1654" s="30" t="s">
        <v>11</v>
      </c>
      <c r="C1654" s="30" t="s">
        <v>337</v>
      </c>
      <c r="D1654" s="30" t="s">
        <v>35</v>
      </c>
      <c r="E1654" s="30" t="s">
        <v>1318</v>
      </c>
      <c r="F1654" s="30">
        <v>1</v>
      </c>
      <c r="G1654" s="44">
        <v>7000</v>
      </c>
      <c r="H1654" s="30"/>
      <c r="I1654" s="44"/>
      <c r="J1654" s="44"/>
      <c r="K1654" s="44">
        <f t="shared" si="56"/>
        <v>7000</v>
      </c>
      <c r="L1654" s="51">
        <v>20230717</v>
      </c>
    </row>
    <row r="1655" spans="1:12" x14ac:dyDescent="0.25">
      <c r="A1655" s="50" t="s">
        <v>2792</v>
      </c>
      <c r="B1655" s="30" t="s">
        <v>11</v>
      </c>
      <c r="C1655" s="30" t="s">
        <v>202</v>
      </c>
      <c r="D1655" s="30" t="s">
        <v>203</v>
      </c>
      <c r="E1655" s="30" t="s">
        <v>492</v>
      </c>
      <c r="F1655" s="30">
        <v>1</v>
      </c>
      <c r="G1655" s="44">
        <v>7000</v>
      </c>
      <c r="H1655" s="30"/>
      <c r="I1655" s="44"/>
      <c r="J1655" s="44"/>
      <c r="K1655" s="44">
        <f t="shared" si="56"/>
        <v>7000</v>
      </c>
      <c r="L1655" s="51">
        <v>20230717</v>
      </c>
    </row>
    <row r="1656" spans="1:12" x14ac:dyDescent="0.25">
      <c r="A1656" s="50" t="s">
        <v>2790</v>
      </c>
      <c r="B1656" s="30" t="s">
        <v>11</v>
      </c>
      <c r="C1656" s="30" t="s">
        <v>129</v>
      </c>
      <c r="D1656" s="30" t="s">
        <v>24</v>
      </c>
      <c r="E1656" s="30" t="s">
        <v>130</v>
      </c>
      <c r="F1656" s="30">
        <v>1</v>
      </c>
      <c r="G1656" s="44">
        <v>7000</v>
      </c>
      <c r="H1656" s="30"/>
      <c r="I1656" s="44"/>
      <c r="J1656" s="44"/>
      <c r="K1656" s="44">
        <f t="shared" si="56"/>
        <v>7000</v>
      </c>
      <c r="L1656" s="51">
        <v>20230720</v>
      </c>
    </row>
    <row r="1657" spans="1:12" x14ac:dyDescent="0.25">
      <c r="A1657" s="50" t="s">
        <v>2787</v>
      </c>
      <c r="B1657" s="30" t="s">
        <v>11</v>
      </c>
      <c r="C1657" s="30" t="s">
        <v>57</v>
      </c>
      <c r="D1657" s="30" t="s">
        <v>58</v>
      </c>
      <c r="E1657" s="30" t="s">
        <v>62</v>
      </c>
      <c r="F1657" s="30">
        <v>1</v>
      </c>
      <c r="G1657" s="44">
        <v>7000</v>
      </c>
      <c r="H1657" s="30"/>
      <c r="I1657" s="44"/>
      <c r="J1657" s="44"/>
      <c r="K1657" s="44">
        <f t="shared" si="56"/>
        <v>7000</v>
      </c>
      <c r="L1657" s="51">
        <v>20230721</v>
      </c>
    </row>
    <row r="1658" spans="1:12" x14ac:dyDescent="0.25">
      <c r="A1658" s="50" t="s">
        <v>2777</v>
      </c>
      <c r="B1658" s="30" t="s">
        <v>11</v>
      </c>
      <c r="C1658" s="30" t="s">
        <v>251</v>
      </c>
      <c r="D1658" s="30" t="s">
        <v>740</v>
      </c>
      <c r="E1658" s="30" t="s">
        <v>741</v>
      </c>
      <c r="F1658" s="30">
        <v>1</v>
      </c>
      <c r="G1658" s="44">
        <v>7000</v>
      </c>
      <c r="H1658" s="30"/>
      <c r="I1658" s="44"/>
      <c r="J1658" s="44"/>
      <c r="K1658" s="44">
        <f t="shared" si="56"/>
        <v>7000</v>
      </c>
      <c r="L1658" s="51">
        <v>20230724</v>
      </c>
    </row>
    <row r="1659" spans="1:12" x14ac:dyDescent="0.25">
      <c r="A1659" s="52" t="s">
        <v>2778</v>
      </c>
      <c r="B1659" s="32" t="s">
        <v>11</v>
      </c>
      <c r="C1659" s="32" t="s">
        <v>45</v>
      </c>
      <c r="D1659" s="32" t="s">
        <v>46</v>
      </c>
      <c r="E1659" s="32" t="s">
        <v>80</v>
      </c>
      <c r="F1659" s="32">
        <v>1</v>
      </c>
      <c r="G1659" s="45">
        <v>7000</v>
      </c>
      <c r="H1659" s="32">
        <v>71</v>
      </c>
      <c r="I1659" s="45">
        <v>86</v>
      </c>
      <c r="J1659" s="45">
        <f>I1659*H1659</f>
        <v>6106</v>
      </c>
      <c r="K1659" s="45">
        <f t="shared" si="56"/>
        <v>13106</v>
      </c>
      <c r="L1659" s="53">
        <v>20230724</v>
      </c>
    </row>
    <row r="1660" spans="1:12" x14ac:dyDescent="0.25">
      <c r="A1660" s="50" t="s">
        <v>2784</v>
      </c>
      <c r="B1660" s="30" t="s">
        <v>11</v>
      </c>
      <c r="C1660" s="30" t="s">
        <v>607</v>
      </c>
      <c r="D1660" s="30" t="s">
        <v>24</v>
      </c>
      <c r="E1660" s="30" t="s">
        <v>2118</v>
      </c>
      <c r="F1660" s="30">
        <v>1</v>
      </c>
      <c r="G1660" s="44">
        <v>7000</v>
      </c>
      <c r="H1660" s="30"/>
      <c r="I1660" s="44"/>
      <c r="J1660" s="44"/>
      <c r="K1660" s="44">
        <f t="shared" si="56"/>
        <v>7000</v>
      </c>
      <c r="L1660" s="51">
        <v>20230724</v>
      </c>
    </row>
    <row r="1661" spans="1:12" x14ac:dyDescent="0.25">
      <c r="A1661" s="50" t="s">
        <v>2782</v>
      </c>
      <c r="B1661" s="30" t="s">
        <v>11</v>
      </c>
      <c r="C1661" s="30" t="s">
        <v>163</v>
      </c>
      <c r="D1661" s="30" t="s">
        <v>164</v>
      </c>
      <c r="E1661" s="30" t="s">
        <v>305</v>
      </c>
      <c r="F1661" s="30">
        <v>1</v>
      </c>
      <c r="G1661" s="44">
        <v>7000</v>
      </c>
      <c r="H1661" s="30"/>
      <c r="I1661" s="44"/>
      <c r="J1661" s="44"/>
      <c r="K1661" s="44">
        <f t="shared" si="56"/>
        <v>7000</v>
      </c>
      <c r="L1661" s="51">
        <v>20230725</v>
      </c>
    </row>
    <row r="1662" spans="1:12" x14ac:dyDescent="0.25">
      <c r="A1662" s="52" t="s">
        <v>2788</v>
      </c>
      <c r="B1662" s="32" t="s">
        <v>11</v>
      </c>
      <c r="C1662" s="32" t="s">
        <v>163</v>
      </c>
      <c r="D1662" s="32" t="s">
        <v>164</v>
      </c>
      <c r="E1662" s="32" t="s">
        <v>187</v>
      </c>
      <c r="F1662" s="32">
        <v>1</v>
      </c>
      <c r="G1662" s="45">
        <v>7000</v>
      </c>
      <c r="H1662" s="32">
        <v>126</v>
      </c>
      <c r="I1662" s="45">
        <v>86</v>
      </c>
      <c r="J1662" s="45">
        <f>I1662*H1662</f>
        <v>10836</v>
      </c>
      <c r="K1662" s="45">
        <f t="shared" si="56"/>
        <v>17836</v>
      </c>
      <c r="L1662" s="53">
        <v>20230725</v>
      </c>
    </row>
    <row r="1663" spans="1:12" x14ac:dyDescent="0.25">
      <c r="A1663" s="52" t="s">
        <v>2783</v>
      </c>
      <c r="B1663" s="32" t="s">
        <v>11</v>
      </c>
      <c r="C1663" s="32" t="s">
        <v>337</v>
      </c>
      <c r="D1663" s="32" t="s">
        <v>35</v>
      </c>
      <c r="E1663" s="32" t="s">
        <v>1479</v>
      </c>
      <c r="F1663" s="32">
        <v>1</v>
      </c>
      <c r="G1663" s="45">
        <v>7000</v>
      </c>
      <c r="H1663" s="32">
        <v>72</v>
      </c>
      <c r="I1663" s="45">
        <v>86</v>
      </c>
      <c r="J1663" s="45">
        <f>I1663*H1663</f>
        <v>6192</v>
      </c>
      <c r="K1663" s="45">
        <f t="shared" si="56"/>
        <v>13192</v>
      </c>
      <c r="L1663" s="53">
        <v>20230726</v>
      </c>
    </row>
    <row r="1664" spans="1:12" x14ac:dyDescent="0.25">
      <c r="A1664" s="50" t="s">
        <v>2779</v>
      </c>
      <c r="B1664" s="30" t="s">
        <v>11</v>
      </c>
      <c r="C1664" s="30" t="s">
        <v>251</v>
      </c>
      <c r="D1664" s="30" t="s">
        <v>2780</v>
      </c>
      <c r="E1664" s="30" t="s">
        <v>2781</v>
      </c>
      <c r="F1664" s="30">
        <v>1</v>
      </c>
      <c r="G1664" s="44">
        <v>7000</v>
      </c>
      <c r="H1664" s="30"/>
      <c r="I1664" s="44"/>
      <c r="J1664" s="44"/>
      <c r="K1664" s="44">
        <f t="shared" si="56"/>
        <v>7000</v>
      </c>
      <c r="L1664" s="51">
        <v>20230726</v>
      </c>
    </row>
    <row r="1665" spans="1:12" x14ac:dyDescent="0.25">
      <c r="A1665" s="50" t="s">
        <v>2795</v>
      </c>
      <c r="B1665" s="30" t="s">
        <v>11</v>
      </c>
      <c r="C1665" s="30" t="s">
        <v>103</v>
      </c>
      <c r="D1665" s="30" t="s">
        <v>104</v>
      </c>
      <c r="E1665" s="30" t="s">
        <v>906</v>
      </c>
      <c r="F1665" s="30">
        <v>1</v>
      </c>
      <c r="G1665" s="44">
        <v>7000</v>
      </c>
      <c r="H1665" s="30"/>
      <c r="I1665" s="44"/>
      <c r="J1665" s="44"/>
      <c r="K1665" s="44">
        <f t="shared" si="56"/>
        <v>7000</v>
      </c>
      <c r="L1665" s="51">
        <v>20230727</v>
      </c>
    </row>
    <row r="1666" spans="1:12" x14ac:dyDescent="0.25">
      <c r="A1666" s="50" t="s">
        <v>2791</v>
      </c>
      <c r="B1666" s="30" t="s">
        <v>11</v>
      </c>
      <c r="C1666" s="30" t="s">
        <v>103</v>
      </c>
      <c r="D1666" s="30" t="s">
        <v>104</v>
      </c>
      <c r="E1666" s="30" t="s">
        <v>904</v>
      </c>
      <c r="F1666" s="30">
        <v>1</v>
      </c>
      <c r="G1666" s="44">
        <v>7000</v>
      </c>
      <c r="H1666" s="30"/>
      <c r="I1666" s="44"/>
      <c r="J1666" s="44"/>
      <c r="K1666" s="44">
        <f t="shared" si="56"/>
        <v>7000</v>
      </c>
      <c r="L1666" s="51">
        <v>20230727</v>
      </c>
    </row>
    <row r="1667" spans="1:12" x14ac:dyDescent="0.25">
      <c r="A1667" s="50" t="s">
        <v>2786</v>
      </c>
      <c r="B1667" s="30" t="s">
        <v>11</v>
      </c>
      <c r="C1667" s="30" t="s">
        <v>103</v>
      </c>
      <c r="D1667" s="30" t="s">
        <v>104</v>
      </c>
      <c r="E1667" s="30" t="s">
        <v>948</v>
      </c>
      <c r="F1667" s="30">
        <v>1</v>
      </c>
      <c r="G1667" s="44">
        <v>7000</v>
      </c>
      <c r="H1667" s="30"/>
      <c r="I1667" s="44"/>
      <c r="J1667" s="44"/>
      <c r="K1667" s="44">
        <f t="shared" si="56"/>
        <v>7000</v>
      </c>
      <c r="L1667" s="51">
        <v>20230727</v>
      </c>
    </row>
    <row r="1668" spans="1:12" x14ac:dyDescent="0.25">
      <c r="A1668" s="52" t="s">
        <v>2776</v>
      </c>
      <c r="B1668" s="32" t="s">
        <v>11</v>
      </c>
      <c r="C1668" s="32" t="s">
        <v>29</v>
      </c>
      <c r="D1668" s="32" t="s">
        <v>30</v>
      </c>
      <c r="E1668" s="32" t="s">
        <v>509</v>
      </c>
      <c r="F1668" s="32">
        <v>1</v>
      </c>
      <c r="G1668" s="45">
        <v>7000</v>
      </c>
      <c r="H1668" s="32">
        <v>150</v>
      </c>
      <c r="I1668" s="45">
        <v>86</v>
      </c>
      <c r="J1668" s="45">
        <f>I1668*H1668</f>
        <v>12900</v>
      </c>
      <c r="K1668" s="45">
        <f t="shared" si="56"/>
        <v>19900</v>
      </c>
      <c r="L1668" s="53">
        <v>20230727</v>
      </c>
    </row>
    <row r="1669" spans="1:12" x14ac:dyDescent="0.25">
      <c r="A1669" s="50" t="s">
        <v>2774</v>
      </c>
      <c r="B1669" s="30" t="s">
        <v>11</v>
      </c>
      <c r="C1669" s="30" t="s">
        <v>337</v>
      </c>
      <c r="D1669" s="30" t="s">
        <v>35</v>
      </c>
      <c r="E1669" s="30" t="s">
        <v>1481</v>
      </c>
      <c r="F1669" s="30">
        <v>1</v>
      </c>
      <c r="G1669" s="44">
        <v>7000</v>
      </c>
      <c r="H1669" s="30"/>
      <c r="I1669" s="44"/>
      <c r="J1669" s="44"/>
      <c r="K1669" s="44">
        <f t="shared" si="56"/>
        <v>7000</v>
      </c>
      <c r="L1669" s="51">
        <v>20230728</v>
      </c>
    </row>
    <row r="1670" spans="1:12" x14ac:dyDescent="0.25">
      <c r="A1670" s="50" t="s">
        <v>2785</v>
      </c>
      <c r="B1670" s="30" t="s">
        <v>11</v>
      </c>
      <c r="C1670" s="30" t="s">
        <v>57</v>
      </c>
      <c r="D1670" s="30" t="s">
        <v>58</v>
      </c>
      <c r="E1670" s="30" t="s">
        <v>59</v>
      </c>
      <c r="F1670" s="30">
        <v>1</v>
      </c>
      <c r="G1670" s="44">
        <v>7000</v>
      </c>
      <c r="H1670" s="30"/>
      <c r="I1670" s="44"/>
      <c r="J1670" s="44"/>
      <c r="K1670" s="44">
        <f t="shared" si="56"/>
        <v>7000</v>
      </c>
      <c r="L1670" s="51">
        <v>20230728</v>
      </c>
    </row>
    <row r="1671" spans="1:12" ht="15.75" thickBot="1" x14ac:dyDescent="0.3">
      <c r="A1671" s="54" t="s">
        <v>2775</v>
      </c>
      <c r="B1671" s="36" t="s">
        <v>11</v>
      </c>
      <c r="C1671" s="36" t="s">
        <v>1021</v>
      </c>
      <c r="D1671" s="36" t="s">
        <v>95</v>
      </c>
      <c r="E1671" s="36" t="s">
        <v>1022</v>
      </c>
      <c r="F1671" s="36">
        <v>1</v>
      </c>
      <c r="G1671" s="65">
        <v>7000</v>
      </c>
      <c r="H1671" s="36"/>
      <c r="I1671" s="65"/>
      <c r="J1671" s="65"/>
      <c r="K1671" s="65">
        <f t="shared" si="56"/>
        <v>7000</v>
      </c>
      <c r="L1671" s="55">
        <v>20230731</v>
      </c>
    </row>
    <row r="1672" spans="1:12" x14ac:dyDescent="0.25">
      <c r="A1672" s="73"/>
      <c r="B1672" s="74"/>
      <c r="C1672" s="74"/>
      <c r="D1672" s="74"/>
      <c r="E1672" s="74"/>
      <c r="F1672" s="74"/>
      <c r="G1672" s="75"/>
      <c r="H1672" s="74"/>
      <c r="I1672" s="75"/>
      <c r="J1672" s="75"/>
      <c r="K1672" s="75"/>
      <c r="L1672" s="76"/>
    </row>
    <row r="1673" spans="1:12" ht="15.75" thickBot="1" x14ac:dyDescent="0.3">
      <c r="A1673" s="69"/>
      <c r="B1673" s="70"/>
      <c r="C1673" s="70"/>
      <c r="D1673" s="70"/>
      <c r="E1673" s="70"/>
      <c r="F1673" s="70"/>
      <c r="G1673" s="71"/>
      <c r="H1673" s="70"/>
      <c r="I1673" s="71"/>
      <c r="J1673" s="71"/>
      <c r="K1673" s="71"/>
      <c r="L1673" s="72"/>
    </row>
    <row r="1674" spans="1:12" x14ac:dyDescent="0.25">
      <c r="A1674" s="48" t="s">
        <v>2794</v>
      </c>
      <c r="B1674" s="34" t="s">
        <v>137</v>
      </c>
      <c r="C1674" s="34" t="s">
        <v>26</v>
      </c>
      <c r="D1674" s="34" t="s">
        <v>521</v>
      </c>
      <c r="E1674" s="34" t="s">
        <v>526</v>
      </c>
      <c r="F1674" s="34">
        <v>1</v>
      </c>
      <c r="G1674" s="64">
        <v>3500</v>
      </c>
      <c r="H1674" s="34"/>
      <c r="I1674" s="64"/>
      <c r="J1674" s="64"/>
      <c r="K1674" s="64">
        <f t="shared" ref="K1674:K1691" si="57">J1674+G1674</f>
        <v>3500</v>
      </c>
      <c r="L1674" s="49">
        <v>20230717</v>
      </c>
    </row>
    <row r="1675" spans="1:12" x14ac:dyDescent="0.25">
      <c r="A1675" s="50" t="s">
        <v>2793</v>
      </c>
      <c r="B1675" s="30" t="s">
        <v>137</v>
      </c>
      <c r="C1675" s="30" t="s">
        <v>26</v>
      </c>
      <c r="D1675" s="30" t="s">
        <v>521</v>
      </c>
      <c r="E1675" s="30" t="s">
        <v>524</v>
      </c>
      <c r="F1675" s="30">
        <v>1</v>
      </c>
      <c r="G1675" s="44">
        <v>3500</v>
      </c>
      <c r="H1675" s="30"/>
      <c r="I1675" s="44"/>
      <c r="J1675" s="44"/>
      <c r="K1675" s="44">
        <f t="shared" si="57"/>
        <v>3500</v>
      </c>
      <c r="L1675" s="51">
        <v>20230717</v>
      </c>
    </row>
    <row r="1676" spans="1:12" x14ac:dyDescent="0.25">
      <c r="A1676" s="50" t="s">
        <v>2762</v>
      </c>
      <c r="B1676" s="30" t="s">
        <v>137</v>
      </c>
      <c r="C1676" s="30" t="s">
        <v>364</v>
      </c>
      <c r="D1676" s="30" t="s">
        <v>24</v>
      </c>
      <c r="E1676" s="30" t="s">
        <v>365</v>
      </c>
      <c r="F1676" s="30">
        <v>1</v>
      </c>
      <c r="G1676" s="44">
        <v>3500</v>
      </c>
      <c r="H1676" s="30"/>
      <c r="I1676" s="44"/>
      <c r="J1676" s="44"/>
      <c r="K1676" s="44">
        <f t="shared" si="57"/>
        <v>3500</v>
      </c>
      <c r="L1676" s="51">
        <v>20230729</v>
      </c>
    </row>
    <row r="1677" spans="1:12" x14ac:dyDescent="0.25">
      <c r="A1677" s="50" t="s">
        <v>2761</v>
      </c>
      <c r="B1677" s="30" t="s">
        <v>137</v>
      </c>
      <c r="C1677" s="30" t="s">
        <v>364</v>
      </c>
      <c r="D1677" s="30" t="s">
        <v>24</v>
      </c>
      <c r="E1677" s="30" t="s">
        <v>1136</v>
      </c>
      <c r="F1677" s="30">
        <v>1</v>
      </c>
      <c r="G1677" s="44">
        <v>3500</v>
      </c>
      <c r="H1677" s="30"/>
      <c r="I1677" s="44"/>
      <c r="J1677" s="44"/>
      <c r="K1677" s="44">
        <f t="shared" si="57"/>
        <v>3500</v>
      </c>
      <c r="L1677" s="51">
        <v>20230729</v>
      </c>
    </row>
    <row r="1678" spans="1:12" x14ac:dyDescent="0.25">
      <c r="A1678" s="50" t="s">
        <v>2760</v>
      </c>
      <c r="B1678" s="30" t="s">
        <v>137</v>
      </c>
      <c r="C1678" s="30" t="s">
        <v>364</v>
      </c>
      <c r="D1678" s="30" t="s">
        <v>24</v>
      </c>
      <c r="E1678" s="30" t="s">
        <v>2075</v>
      </c>
      <c r="F1678" s="30">
        <v>1</v>
      </c>
      <c r="G1678" s="44">
        <v>3500</v>
      </c>
      <c r="H1678" s="30"/>
      <c r="I1678" s="44"/>
      <c r="J1678" s="44"/>
      <c r="K1678" s="44">
        <f t="shared" si="57"/>
        <v>3500</v>
      </c>
      <c r="L1678" s="51">
        <v>20230729</v>
      </c>
    </row>
    <row r="1679" spans="1:12" x14ac:dyDescent="0.25">
      <c r="A1679" s="50" t="s">
        <v>2766</v>
      </c>
      <c r="B1679" s="30" t="s">
        <v>137</v>
      </c>
      <c r="C1679" s="30" t="s">
        <v>770</v>
      </c>
      <c r="D1679" s="30" t="s">
        <v>2764</v>
      </c>
      <c r="E1679" s="30" t="s">
        <v>775</v>
      </c>
      <c r="F1679" s="30">
        <v>1</v>
      </c>
      <c r="G1679" s="44">
        <v>3500</v>
      </c>
      <c r="H1679" s="30"/>
      <c r="I1679" s="44"/>
      <c r="J1679" s="44"/>
      <c r="K1679" s="44">
        <f t="shared" si="57"/>
        <v>3500</v>
      </c>
      <c r="L1679" s="51">
        <v>20230729</v>
      </c>
    </row>
    <row r="1680" spans="1:12" x14ac:dyDescent="0.25">
      <c r="A1680" s="50" t="s">
        <v>2765</v>
      </c>
      <c r="B1680" s="30" t="s">
        <v>137</v>
      </c>
      <c r="C1680" s="30" t="s">
        <v>770</v>
      </c>
      <c r="D1680" s="30" t="s">
        <v>2764</v>
      </c>
      <c r="E1680" s="30" t="s">
        <v>773</v>
      </c>
      <c r="F1680" s="30">
        <v>1</v>
      </c>
      <c r="G1680" s="44">
        <v>3500</v>
      </c>
      <c r="H1680" s="30"/>
      <c r="I1680" s="44"/>
      <c r="J1680" s="44"/>
      <c r="K1680" s="44">
        <f t="shared" si="57"/>
        <v>3500</v>
      </c>
      <c r="L1680" s="51">
        <v>20230729</v>
      </c>
    </row>
    <row r="1681" spans="1:12" x14ac:dyDescent="0.25">
      <c r="A1681" s="50" t="s">
        <v>2763</v>
      </c>
      <c r="B1681" s="30" t="s">
        <v>137</v>
      </c>
      <c r="C1681" s="30" t="s">
        <v>770</v>
      </c>
      <c r="D1681" s="30" t="s">
        <v>2764</v>
      </c>
      <c r="E1681" s="30" t="s">
        <v>771</v>
      </c>
      <c r="F1681" s="30">
        <v>1</v>
      </c>
      <c r="G1681" s="44">
        <v>3500</v>
      </c>
      <c r="H1681" s="30"/>
      <c r="I1681" s="44"/>
      <c r="J1681" s="44"/>
      <c r="K1681" s="44">
        <f t="shared" si="57"/>
        <v>3500</v>
      </c>
      <c r="L1681" s="51">
        <v>20230729</v>
      </c>
    </row>
    <row r="1682" spans="1:12" x14ac:dyDescent="0.25">
      <c r="A1682" s="50" t="s">
        <v>2767</v>
      </c>
      <c r="B1682" s="30" t="s">
        <v>137</v>
      </c>
      <c r="C1682" s="30" t="s">
        <v>29</v>
      </c>
      <c r="D1682" s="30" t="s">
        <v>24</v>
      </c>
      <c r="E1682" s="30" t="s">
        <v>1003</v>
      </c>
      <c r="F1682" s="30">
        <v>1</v>
      </c>
      <c r="G1682" s="44">
        <v>3500</v>
      </c>
      <c r="H1682" s="30"/>
      <c r="I1682" s="44"/>
      <c r="J1682" s="44"/>
      <c r="K1682" s="44">
        <f t="shared" si="57"/>
        <v>3500</v>
      </c>
      <c r="L1682" s="51">
        <v>20230729</v>
      </c>
    </row>
    <row r="1683" spans="1:12" x14ac:dyDescent="0.25">
      <c r="A1683" s="50" t="s">
        <v>2773</v>
      </c>
      <c r="B1683" s="30" t="s">
        <v>137</v>
      </c>
      <c r="C1683" s="30" t="s">
        <v>29</v>
      </c>
      <c r="D1683" s="30" t="s">
        <v>1385</v>
      </c>
      <c r="E1683" s="30" t="s">
        <v>1290</v>
      </c>
      <c r="F1683" s="30">
        <v>1</v>
      </c>
      <c r="G1683" s="44">
        <v>3500</v>
      </c>
      <c r="H1683" s="30"/>
      <c r="I1683" s="44"/>
      <c r="J1683" s="44"/>
      <c r="K1683" s="44">
        <f t="shared" si="57"/>
        <v>3500</v>
      </c>
      <c r="L1683" s="51">
        <v>20230729</v>
      </c>
    </row>
    <row r="1684" spans="1:12" x14ac:dyDescent="0.25">
      <c r="A1684" s="50" t="s">
        <v>2772</v>
      </c>
      <c r="B1684" s="30" t="s">
        <v>137</v>
      </c>
      <c r="C1684" s="30" t="s">
        <v>29</v>
      </c>
      <c r="D1684" s="30" t="s">
        <v>1385</v>
      </c>
      <c r="E1684" s="30" t="s">
        <v>1386</v>
      </c>
      <c r="F1684" s="30">
        <v>1</v>
      </c>
      <c r="G1684" s="44">
        <v>3500</v>
      </c>
      <c r="H1684" s="30"/>
      <c r="I1684" s="44"/>
      <c r="J1684" s="44"/>
      <c r="K1684" s="44">
        <f t="shared" si="57"/>
        <v>3500</v>
      </c>
      <c r="L1684" s="51">
        <v>20230729</v>
      </c>
    </row>
    <row r="1685" spans="1:12" x14ac:dyDescent="0.25">
      <c r="A1685" s="50" t="s">
        <v>2771</v>
      </c>
      <c r="B1685" s="30" t="s">
        <v>137</v>
      </c>
      <c r="C1685" s="30" t="s">
        <v>29</v>
      </c>
      <c r="D1685" s="30" t="s">
        <v>1385</v>
      </c>
      <c r="E1685" s="30" t="s">
        <v>2101</v>
      </c>
      <c r="F1685" s="30">
        <v>1</v>
      </c>
      <c r="G1685" s="44">
        <v>3500</v>
      </c>
      <c r="H1685" s="30"/>
      <c r="I1685" s="44"/>
      <c r="J1685" s="44"/>
      <c r="K1685" s="44">
        <f t="shared" si="57"/>
        <v>3500</v>
      </c>
      <c r="L1685" s="51">
        <v>20230729</v>
      </c>
    </row>
    <row r="1686" spans="1:12" x14ac:dyDescent="0.25">
      <c r="A1686" s="50" t="s">
        <v>2770</v>
      </c>
      <c r="B1686" s="30" t="s">
        <v>137</v>
      </c>
      <c r="C1686" s="30" t="s">
        <v>29</v>
      </c>
      <c r="D1686" s="30" t="s">
        <v>1385</v>
      </c>
      <c r="E1686" s="30" t="s">
        <v>209</v>
      </c>
      <c r="F1686" s="30">
        <v>1</v>
      </c>
      <c r="G1686" s="44">
        <v>3500</v>
      </c>
      <c r="H1686" s="30"/>
      <c r="I1686" s="44"/>
      <c r="J1686" s="44"/>
      <c r="K1686" s="44">
        <f t="shared" si="57"/>
        <v>3500</v>
      </c>
      <c r="L1686" s="51">
        <v>20230729</v>
      </c>
    </row>
    <row r="1687" spans="1:12" x14ac:dyDescent="0.25">
      <c r="A1687" s="50" t="s">
        <v>2769</v>
      </c>
      <c r="B1687" s="30" t="s">
        <v>137</v>
      </c>
      <c r="C1687" s="30" t="s">
        <v>29</v>
      </c>
      <c r="D1687" s="30" t="s">
        <v>1385</v>
      </c>
      <c r="E1687" s="30" t="s">
        <v>630</v>
      </c>
      <c r="F1687" s="30">
        <v>1</v>
      </c>
      <c r="G1687" s="44">
        <v>3500</v>
      </c>
      <c r="H1687" s="30"/>
      <c r="I1687" s="44"/>
      <c r="J1687" s="44"/>
      <c r="K1687" s="44">
        <f t="shared" si="57"/>
        <v>3500</v>
      </c>
      <c r="L1687" s="51">
        <v>20230729</v>
      </c>
    </row>
    <row r="1688" spans="1:12" x14ac:dyDescent="0.25">
      <c r="A1688" s="50" t="s">
        <v>2768</v>
      </c>
      <c r="B1688" s="30" t="s">
        <v>137</v>
      </c>
      <c r="C1688" s="30" t="s">
        <v>29</v>
      </c>
      <c r="D1688" s="30" t="s">
        <v>1385</v>
      </c>
      <c r="E1688" s="30" t="s">
        <v>628</v>
      </c>
      <c r="F1688" s="30">
        <v>1</v>
      </c>
      <c r="G1688" s="44">
        <v>3500</v>
      </c>
      <c r="H1688" s="30"/>
      <c r="I1688" s="44"/>
      <c r="J1688" s="44"/>
      <c r="K1688" s="44">
        <f t="shared" si="57"/>
        <v>3500</v>
      </c>
      <c r="L1688" s="51">
        <v>20230729</v>
      </c>
    </row>
    <row r="1689" spans="1:12" x14ac:dyDescent="0.25">
      <c r="A1689" s="50" t="s">
        <v>2757</v>
      </c>
      <c r="B1689" s="30" t="s">
        <v>137</v>
      </c>
      <c r="C1689" s="30" t="s">
        <v>364</v>
      </c>
      <c r="D1689" s="30" t="s">
        <v>24</v>
      </c>
      <c r="E1689" s="30" t="s">
        <v>1445</v>
      </c>
      <c r="F1689" s="30">
        <v>1</v>
      </c>
      <c r="G1689" s="44">
        <v>3500</v>
      </c>
      <c r="H1689" s="30"/>
      <c r="I1689" s="44"/>
      <c r="J1689" s="44"/>
      <c r="K1689" s="44">
        <f t="shared" si="57"/>
        <v>3500</v>
      </c>
      <c r="L1689" s="51">
        <v>20230730</v>
      </c>
    </row>
    <row r="1690" spans="1:12" x14ac:dyDescent="0.25">
      <c r="A1690" s="50" t="s">
        <v>2759</v>
      </c>
      <c r="B1690" s="30" t="s">
        <v>137</v>
      </c>
      <c r="C1690" s="30" t="s">
        <v>29</v>
      </c>
      <c r="D1690" s="30" t="s">
        <v>1385</v>
      </c>
      <c r="E1690" s="30" t="s">
        <v>1320</v>
      </c>
      <c r="F1690" s="30">
        <v>1</v>
      </c>
      <c r="G1690" s="44">
        <v>3500</v>
      </c>
      <c r="H1690" s="30"/>
      <c r="I1690" s="44"/>
      <c r="J1690" s="44"/>
      <c r="K1690" s="44">
        <f t="shared" si="57"/>
        <v>3500</v>
      </c>
      <c r="L1690" s="51">
        <v>20230730</v>
      </c>
    </row>
    <row r="1691" spans="1:12" ht="15.75" thickBot="1" x14ac:dyDescent="0.3">
      <c r="A1691" s="54" t="s">
        <v>2758</v>
      </c>
      <c r="B1691" s="36" t="s">
        <v>137</v>
      </c>
      <c r="C1691" s="36" t="s">
        <v>29</v>
      </c>
      <c r="D1691" s="36" t="s">
        <v>1385</v>
      </c>
      <c r="E1691" s="36" t="s">
        <v>1127</v>
      </c>
      <c r="F1691" s="36">
        <v>1</v>
      </c>
      <c r="G1691" s="65">
        <v>3500</v>
      </c>
      <c r="H1691" s="36"/>
      <c r="I1691" s="65"/>
      <c r="J1691" s="65"/>
      <c r="K1691" s="65">
        <f t="shared" si="57"/>
        <v>3500</v>
      </c>
      <c r="L1691" s="55">
        <v>20230730</v>
      </c>
    </row>
    <row r="1693" spans="1:12" ht="15.75" thickBot="1" x14ac:dyDescent="0.3">
      <c r="A1693" s="69" t="s">
        <v>0</v>
      </c>
      <c r="B1693" s="70" t="s">
        <v>1</v>
      </c>
      <c r="C1693" s="70" t="s">
        <v>2</v>
      </c>
      <c r="D1693" s="70" t="s">
        <v>3</v>
      </c>
      <c r="E1693" s="70" t="s">
        <v>4</v>
      </c>
      <c r="F1693" s="70"/>
      <c r="G1693" s="71" t="s">
        <v>6</v>
      </c>
      <c r="H1693" s="70" t="s">
        <v>7</v>
      </c>
      <c r="I1693" s="71" t="s">
        <v>8</v>
      </c>
      <c r="J1693" s="71" t="s">
        <v>9</v>
      </c>
      <c r="K1693" s="71" t="s">
        <v>10</v>
      </c>
      <c r="L1693" s="72" t="s">
        <v>5</v>
      </c>
    </row>
    <row r="1694" spans="1:12" x14ac:dyDescent="0.25">
      <c r="A1694" s="48" t="s">
        <v>2926</v>
      </c>
      <c r="B1694" s="34" t="s">
        <v>11</v>
      </c>
      <c r="C1694" s="34" t="s">
        <v>364</v>
      </c>
      <c r="D1694" s="34" t="s">
        <v>24</v>
      </c>
      <c r="E1694" s="34" t="s">
        <v>532</v>
      </c>
      <c r="F1694" s="34">
        <v>1</v>
      </c>
      <c r="G1694" s="212">
        <v>6900</v>
      </c>
      <c r="H1694" s="34"/>
      <c r="I1694" s="64"/>
      <c r="J1694" s="64"/>
      <c r="K1694" s="64">
        <f t="shared" ref="K1694:K1732" si="58">J1694+G1694</f>
        <v>6900</v>
      </c>
      <c r="L1694" s="49">
        <v>20230801</v>
      </c>
    </row>
    <row r="1695" spans="1:12" x14ac:dyDescent="0.25">
      <c r="A1695" s="50" t="s">
        <v>2922</v>
      </c>
      <c r="B1695" s="30" t="s">
        <v>11</v>
      </c>
      <c r="C1695" s="30" t="s">
        <v>134</v>
      </c>
      <c r="D1695" s="30" t="s">
        <v>354</v>
      </c>
      <c r="E1695" s="30" t="s">
        <v>831</v>
      </c>
      <c r="F1695" s="30">
        <v>1</v>
      </c>
      <c r="G1695" s="123">
        <v>6900</v>
      </c>
      <c r="H1695" s="30"/>
      <c r="I1695" s="44"/>
      <c r="J1695" s="44"/>
      <c r="K1695" s="44">
        <f t="shared" si="58"/>
        <v>6900</v>
      </c>
      <c r="L1695" s="51">
        <v>20230802</v>
      </c>
    </row>
    <row r="1696" spans="1:12" x14ac:dyDescent="0.25">
      <c r="A1696" s="52" t="s">
        <v>2921</v>
      </c>
      <c r="B1696" s="32" t="s">
        <v>11</v>
      </c>
      <c r="C1696" s="32" t="s">
        <v>337</v>
      </c>
      <c r="D1696" s="32" t="s">
        <v>35</v>
      </c>
      <c r="E1696" s="32" t="s">
        <v>157</v>
      </c>
      <c r="F1696" s="32">
        <v>1</v>
      </c>
      <c r="G1696" s="97">
        <v>6900</v>
      </c>
      <c r="H1696" s="32">
        <v>72</v>
      </c>
      <c r="I1696" s="45">
        <v>86</v>
      </c>
      <c r="J1696" s="45">
        <f>I1696*H1696</f>
        <v>6192</v>
      </c>
      <c r="K1696" s="45">
        <f t="shared" si="58"/>
        <v>13092</v>
      </c>
      <c r="L1696" s="53">
        <v>20230803</v>
      </c>
    </row>
    <row r="1697" spans="1:12" x14ac:dyDescent="0.25">
      <c r="A1697" s="50" t="s">
        <v>2920</v>
      </c>
      <c r="B1697" s="30" t="s">
        <v>11</v>
      </c>
      <c r="C1697" s="30" t="s">
        <v>337</v>
      </c>
      <c r="D1697" s="30" t="s">
        <v>35</v>
      </c>
      <c r="E1697" s="30" t="s">
        <v>2463</v>
      </c>
      <c r="F1697" s="30">
        <v>1</v>
      </c>
      <c r="G1697" s="123">
        <v>6900</v>
      </c>
      <c r="H1697" s="30"/>
      <c r="I1697" s="44"/>
      <c r="J1697" s="44"/>
      <c r="K1697" s="44">
        <f t="shared" si="58"/>
        <v>6900</v>
      </c>
      <c r="L1697" s="51">
        <v>20230803</v>
      </c>
    </row>
    <row r="1698" spans="1:12" x14ac:dyDescent="0.25">
      <c r="A1698" s="52" t="s">
        <v>2924</v>
      </c>
      <c r="B1698" s="32" t="s">
        <v>11</v>
      </c>
      <c r="C1698" s="32" t="s">
        <v>34</v>
      </c>
      <c r="D1698" s="32" t="s">
        <v>35</v>
      </c>
      <c r="E1698" s="32" t="s">
        <v>2925</v>
      </c>
      <c r="F1698" s="32">
        <v>1</v>
      </c>
      <c r="G1698" s="97">
        <v>6900</v>
      </c>
      <c r="H1698" s="32">
        <v>78</v>
      </c>
      <c r="I1698" s="45">
        <v>86</v>
      </c>
      <c r="J1698" s="45">
        <f>I1698*H1698</f>
        <v>6708</v>
      </c>
      <c r="K1698" s="45">
        <f t="shared" si="58"/>
        <v>13608</v>
      </c>
      <c r="L1698" s="53">
        <v>20230803</v>
      </c>
    </row>
    <row r="1699" spans="1:12" x14ac:dyDescent="0.25">
      <c r="A1699" s="50" t="s">
        <v>2918</v>
      </c>
      <c r="B1699" s="30" t="s">
        <v>11</v>
      </c>
      <c r="C1699" s="30" t="s">
        <v>134</v>
      </c>
      <c r="D1699" s="30" t="s">
        <v>135</v>
      </c>
      <c r="E1699" s="30" t="s">
        <v>136</v>
      </c>
      <c r="F1699" s="30">
        <v>1</v>
      </c>
      <c r="G1699" s="44">
        <v>7000</v>
      </c>
      <c r="H1699" s="30"/>
      <c r="I1699" s="44"/>
      <c r="J1699" s="44"/>
      <c r="K1699" s="44">
        <f t="shared" si="58"/>
        <v>7000</v>
      </c>
      <c r="L1699" s="51">
        <v>20230807</v>
      </c>
    </row>
    <row r="1700" spans="1:12" x14ac:dyDescent="0.25">
      <c r="A1700" s="52" t="s">
        <v>2927</v>
      </c>
      <c r="B1700" s="32" t="s">
        <v>11</v>
      </c>
      <c r="C1700" s="32" t="s">
        <v>103</v>
      </c>
      <c r="D1700" s="32" t="s">
        <v>104</v>
      </c>
      <c r="E1700" s="32" t="s">
        <v>2928</v>
      </c>
      <c r="F1700" s="32">
        <v>1</v>
      </c>
      <c r="G1700" s="45">
        <v>7000</v>
      </c>
      <c r="H1700" s="32">
        <v>159</v>
      </c>
      <c r="I1700" s="45">
        <v>86</v>
      </c>
      <c r="J1700" s="45">
        <f>I1700*H1700</f>
        <v>13674</v>
      </c>
      <c r="K1700" s="45">
        <f t="shared" si="58"/>
        <v>20674</v>
      </c>
      <c r="L1700" s="53">
        <v>20230808</v>
      </c>
    </row>
    <row r="1701" spans="1:12" x14ac:dyDescent="0.25">
      <c r="A1701" s="50" t="s">
        <v>2919</v>
      </c>
      <c r="B1701" s="30" t="s">
        <v>11</v>
      </c>
      <c r="C1701" s="30" t="s">
        <v>91</v>
      </c>
      <c r="D1701" s="30" t="s">
        <v>24</v>
      </c>
      <c r="E1701" s="30" t="s">
        <v>92</v>
      </c>
      <c r="F1701" s="30">
        <v>1</v>
      </c>
      <c r="G1701" s="44">
        <v>7000</v>
      </c>
      <c r="H1701" s="30"/>
      <c r="I1701" s="44"/>
      <c r="J1701" s="44"/>
      <c r="K1701" s="44">
        <f t="shared" si="58"/>
        <v>7000</v>
      </c>
      <c r="L1701" s="51">
        <v>20230808</v>
      </c>
    </row>
    <row r="1702" spans="1:12" x14ac:dyDescent="0.25">
      <c r="A1702" s="50" t="s">
        <v>2912</v>
      </c>
      <c r="B1702" s="30" t="s">
        <v>11</v>
      </c>
      <c r="C1702" s="30" t="s">
        <v>76</v>
      </c>
      <c r="D1702" s="30" t="s">
        <v>2913</v>
      </c>
      <c r="E1702" s="30" t="s">
        <v>77</v>
      </c>
      <c r="F1702" s="30">
        <v>1</v>
      </c>
      <c r="G1702" s="44">
        <v>7000</v>
      </c>
      <c r="H1702" s="30"/>
      <c r="I1702" s="44"/>
      <c r="J1702" s="44"/>
      <c r="K1702" s="44">
        <f t="shared" si="58"/>
        <v>7000</v>
      </c>
      <c r="L1702" s="51">
        <v>20230811</v>
      </c>
    </row>
    <row r="1703" spans="1:12" x14ac:dyDescent="0.25">
      <c r="A1703" s="50" t="s">
        <v>2917</v>
      </c>
      <c r="B1703" s="30" t="s">
        <v>11</v>
      </c>
      <c r="C1703" s="30" t="s">
        <v>29</v>
      </c>
      <c r="D1703" s="30" t="s">
        <v>1385</v>
      </c>
      <c r="E1703" s="30" t="s">
        <v>1290</v>
      </c>
      <c r="F1703" s="30">
        <v>1</v>
      </c>
      <c r="G1703" s="44">
        <v>7000</v>
      </c>
      <c r="H1703" s="30"/>
      <c r="I1703" s="44"/>
      <c r="J1703" s="44"/>
      <c r="K1703" s="44">
        <f t="shared" si="58"/>
        <v>7000</v>
      </c>
      <c r="L1703" s="51">
        <v>20230811</v>
      </c>
    </row>
    <row r="1704" spans="1:12" x14ac:dyDescent="0.25">
      <c r="A1704" s="52" t="s">
        <v>2906</v>
      </c>
      <c r="B1704" s="32" t="s">
        <v>11</v>
      </c>
      <c r="C1704" s="32" t="s">
        <v>26</v>
      </c>
      <c r="D1704" s="32" t="s">
        <v>224</v>
      </c>
      <c r="E1704" s="32" t="s">
        <v>2907</v>
      </c>
      <c r="F1704" s="32">
        <v>1</v>
      </c>
      <c r="G1704" s="45">
        <v>7000</v>
      </c>
      <c r="H1704" s="32">
        <v>58</v>
      </c>
      <c r="I1704" s="45">
        <v>86</v>
      </c>
      <c r="J1704" s="45">
        <f>I1704*H1704</f>
        <v>4988</v>
      </c>
      <c r="K1704" s="45">
        <f t="shared" si="58"/>
        <v>11988</v>
      </c>
      <c r="L1704" s="53">
        <v>20230814</v>
      </c>
    </row>
    <row r="1705" spans="1:12" x14ac:dyDescent="0.25">
      <c r="A1705" s="50" t="s">
        <v>2915</v>
      </c>
      <c r="B1705" s="30" t="s">
        <v>11</v>
      </c>
      <c r="C1705" s="30" t="s">
        <v>337</v>
      </c>
      <c r="D1705" s="30" t="s">
        <v>35</v>
      </c>
      <c r="E1705" s="30" t="s">
        <v>511</v>
      </c>
      <c r="F1705" s="30">
        <v>1</v>
      </c>
      <c r="G1705" s="44">
        <v>7000</v>
      </c>
      <c r="H1705" s="30"/>
      <c r="I1705" s="44"/>
      <c r="J1705" s="44"/>
      <c r="K1705" s="44">
        <f t="shared" si="58"/>
        <v>7000</v>
      </c>
      <c r="L1705" s="51">
        <v>20230815</v>
      </c>
    </row>
    <row r="1706" spans="1:12" x14ac:dyDescent="0.25">
      <c r="A1706" s="52" t="s">
        <v>2916</v>
      </c>
      <c r="B1706" s="32" t="s">
        <v>11</v>
      </c>
      <c r="C1706" s="32" t="s">
        <v>337</v>
      </c>
      <c r="D1706" s="32" t="s">
        <v>35</v>
      </c>
      <c r="E1706" s="32" t="s">
        <v>157</v>
      </c>
      <c r="F1706" s="32">
        <v>1</v>
      </c>
      <c r="G1706" s="45">
        <v>7000</v>
      </c>
      <c r="H1706" s="32">
        <v>72</v>
      </c>
      <c r="I1706" s="45">
        <v>86</v>
      </c>
      <c r="J1706" s="45">
        <f>I1706*H1706</f>
        <v>6192</v>
      </c>
      <c r="K1706" s="45">
        <f t="shared" si="58"/>
        <v>13192</v>
      </c>
      <c r="L1706" s="53">
        <v>20230815</v>
      </c>
    </row>
    <row r="1707" spans="1:12" x14ac:dyDescent="0.25">
      <c r="A1707" s="50" t="s">
        <v>2908</v>
      </c>
      <c r="B1707" s="30" t="s">
        <v>11</v>
      </c>
      <c r="C1707" s="30" t="s">
        <v>94</v>
      </c>
      <c r="D1707" s="30" t="s">
        <v>95</v>
      </c>
      <c r="E1707" s="30" t="s">
        <v>2404</v>
      </c>
      <c r="F1707" s="30">
        <v>1</v>
      </c>
      <c r="G1707" s="44">
        <v>7000</v>
      </c>
      <c r="H1707" s="30"/>
      <c r="I1707" s="44"/>
      <c r="J1707" s="44"/>
      <c r="K1707" s="44">
        <f t="shared" si="58"/>
        <v>7000</v>
      </c>
      <c r="L1707" s="51">
        <v>20230815</v>
      </c>
    </row>
    <row r="1708" spans="1:12" x14ac:dyDescent="0.25">
      <c r="A1708" s="52" t="s">
        <v>2911</v>
      </c>
      <c r="B1708" s="32" t="s">
        <v>11</v>
      </c>
      <c r="C1708" s="32" t="s">
        <v>163</v>
      </c>
      <c r="D1708" s="32" t="s">
        <v>164</v>
      </c>
      <c r="E1708" s="32" t="s">
        <v>444</v>
      </c>
      <c r="F1708" s="32">
        <v>1</v>
      </c>
      <c r="G1708" s="45">
        <v>7000</v>
      </c>
      <c r="H1708" s="32">
        <v>126</v>
      </c>
      <c r="I1708" s="45">
        <v>86</v>
      </c>
      <c r="J1708" s="45">
        <f>I1708*H1708</f>
        <v>10836</v>
      </c>
      <c r="K1708" s="45">
        <f t="shared" si="58"/>
        <v>17836</v>
      </c>
      <c r="L1708" s="53">
        <v>20230816</v>
      </c>
    </row>
    <row r="1709" spans="1:12" x14ac:dyDescent="0.25">
      <c r="A1709" s="50" t="s">
        <v>2914</v>
      </c>
      <c r="B1709" s="30" t="s">
        <v>11</v>
      </c>
      <c r="C1709" s="30" t="s">
        <v>163</v>
      </c>
      <c r="D1709" s="30" t="s">
        <v>164</v>
      </c>
      <c r="E1709" s="30" t="s">
        <v>305</v>
      </c>
      <c r="F1709" s="30">
        <v>1</v>
      </c>
      <c r="G1709" s="44">
        <v>7000</v>
      </c>
      <c r="H1709" s="30"/>
      <c r="I1709" s="44"/>
      <c r="J1709" s="44"/>
      <c r="K1709" s="44">
        <f t="shared" si="58"/>
        <v>7000</v>
      </c>
      <c r="L1709" s="51">
        <v>20230816</v>
      </c>
    </row>
    <row r="1710" spans="1:12" x14ac:dyDescent="0.25">
      <c r="A1710" s="50" t="s">
        <v>2905</v>
      </c>
      <c r="B1710" s="30" t="s">
        <v>11</v>
      </c>
      <c r="C1710" s="30" t="s">
        <v>163</v>
      </c>
      <c r="D1710" s="30" t="s">
        <v>164</v>
      </c>
      <c r="E1710" s="30" t="s">
        <v>187</v>
      </c>
      <c r="F1710" s="30">
        <v>1</v>
      </c>
      <c r="G1710" s="44">
        <v>7000</v>
      </c>
      <c r="H1710" s="30"/>
      <c r="I1710" s="44"/>
      <c r="J1710" s="44"/>
      <c r="K1710" s="44">
        <f t="shared" si="58"/>
        <v>7000</v>
      </c>
      <c r="L1710" s="51">
        <v>20230816</v>
      </c>
    </row>
    <row r="1711" spans="1:12" x14ac:dyDescent="0.25">
      <c r="A1711" s="50" t="s">
        <v>2897</v>
      </c>
      <c r="B1711" s="30" t="s">
        <v>11</v>
      </c>
      <c r="C1711" s="30" t="s">
        <v>26</v>
      </c>
      <c r="D1711" s="30" t="s">
        <v>307</v>
      </c>
      <c r="E1711" s="30" t="s">
        <v>314</v>
      </c>
      <c r="F1711" s="30">
        <v>1</v>
      </c>
      <c r="G1711" s="44">
        <v>7000</v>
      </c>
      <c r="H1711" s="30"/>
      <c r="I1711" s="44"/>
      <c r="J1711" s="44"/>
      <c r="K1711" s="44">
        <f t="shared" si="58"/>
        <v>7000</v>
      </c>
      <c r="L1711" s="51">
        <v>20230817</v>
      </c>
    </row>
    <row r="1712" spans="1:12" x14ac:dyDescent="0.25">
      <c r="A1712" s="50" t="s">
        <v>2896</v>
      </c>
      <c r="B1712" s="30" t="s">
        <v>11</v>
      </c>
      <c r="C1712" s="30" t="s">
        <v>134</v>
      </c>
      <c r="D1712" s="30" t="s">
        <v>354</v>
      </c>
      <c r="E1712" s="30" t="s">
        <v>357</v>
      </c>
      <c r="F1712" s="30">
        <v>1</v>
      </c>
      <c r="G1712" s="44">
        <v>7000</v>
      </c>
      <c r="H1712" s="30"/>
      <c r="I1712" s="44"/>
      <c r="J1712" s="44"/>
      <c r="K1712" s="44">
        <f t="shared" si="58"/>
        <v>7000</v>
      </c>
      <c r="L1712" s="51">
        <v>20230817</v>
      </c>
    </row>
    <row r="1713" spans="1:12" x14ac:dyDescent="0.25">
      <c r="A1713" s="50" t="s">
        <v>2898</v>
      </c>
      <c r="B1713" s="30" t="s">
        <v>11</v>
      </c>
      <c r="C1713" s="30" t="s">
        <v>28</v>
      </c>
      <c r="D1713" s="30" t="s">
        <v>753</v>
      </c>
      <c r="E1713" s="30" t="s">
        <v>2637</v>
      </c>
      <c r="F1713" s="30">
        <v>1</v>
      </c>
      <c r="G1713" s="44">
        <v>7000</v>
      </c>
      <c r="H1713" s="30"/>
      <c r="I1713" s="44"/>
      <c r="J1713" s="44"/>
      <c r="K1713" s="44">
        <f t="shared" si="58"/>
        <v>7000</v>
      </c>
      <c r="L1713" s="51">
        <v>20230818</v>
      </c>
    </row>
    <row r="1714" spans="1:12" x14ac:dyDescent="0.25">
      <c r="A1714" s="50" t="s">
        <v>2891</v>
      </c>
      <c r="B1714" s="30" t="s">
        <v>1209</v>
      </c>
      <c r="C1714" s="30" t="s">
        <v>2861</v>
      </c>
      <c r="D1714" s="30" t="s">
        <v>2892</v>
      </c>
      <c r="E1714" s="30" t="s">
        <v>2893</v>
      </c>
      <c r="F1714" s="30">
        <v>1</v>
      </c>
      <c r="G1714" s="44">
        <v>7000</v>
      </c>
      <c r="H1714" s="30"/>
      <c r="I1714" s="44"/>
      <c r="J1714" s="44"/>
      <c r="K1714" s="44">
        <f t="shared" si="58"/>
        <v>7000</v>
      </c>
      <c r="L1714" s="51">
        <v>20230822</v>
      </c>
    </row>
    <row r="1715" spans="1:12" x14ac:dyDescent="0.25">
      <c r="A1715" s="50" t="s">
        <v>2889</v>
      </c>
      <c r="B1715" s="30" t="s">
        <v>11</v>
      </c>
      <c r="C1715" s="30" t="s">
        <v>26</v>
      </c>
      <c r="D1715" s="30" t="s">
        <v>2874</v>
      </c>
      <c r="E1715" s="30" t="s">
        <v>2890</v>
      </c>
      <c r="F1715" s="30">
        <v>1</v>
      </c>
      <c r="G1715" s="44">
        <v>7000</v>
      </c>
      <c r="H1715" s="30"/>
      <c r="I1715" s="44"/>
      <c r="J1715" s="44"/>
      <c r="K1715" s="44">
        <f t="shared" si="58"/>
        <v>7000</v>
      </c>
      <c r="L1715" s="51">
        <v>20230823</v>
      </c>
    </row>
    <row r="1716" spans="1:12" x14ac:dyDescent="0.25">
      <c r="A1716" s="50" t="s">
        <v>2871</v>
      </c>
      <c r="B1716" s="30" t="s">
        <v>11</v>
      </c>
      <c r="C1716" s="30" t="s">
        <v>26</v>
      </c>
      <c r="D1716" s="30" t="s">
        <v>2867</v>
      </c>
      <c r="E1716" s="30" t="s">
        <v>2872</v>
      </c>
      <c r="F1716" s="30">
        <v>1</v>
      </c>
      <c r="G1716" s="44">
        <v>7000</v>
      </c>
      <c r="H1716" s="30"/>
      <c r="I1716" s="44"/>
      <c r="J1716" s="44"/>
      <c r="K1716" s="44">
        <f t="shared" si="58"/>
        <v>7000</v>
      </c>
      <c r="L1716" s="51">
        <v>20230823</v>
      </c>
    </row>
    <row r="1717" spans="1:12" x14ac:dyDescent="0.25">
      <c r="A1717" s="50" t="s">
        <v>2895</v>
      </c>
      <c r="B1717" s="30" t="s">
        <v>11</v>
      </c>
      <c r="C1717" s="30" t="s">
        <v>505</v>
      </c>
      <c r="D1717" s="30" t="s">
        <v>24</v>
      </c>
      <c r="E1717" s="30" t="s">
        <v>931</v>
      </c>
      <c r="F1717" s="30">
        <v>1</v>
      </c>
      <c r="G1717" s="44">
        <v>7000</v>
      </c>
      <c r="H1717" s="30"/>
      <c r="I1717" s="44"/>
      <c r="J1717" s="44"/>
      <c r="K1717" s="44">
        <f t="shared" si="58"/>
        <v>7000</v>
      </c>
      <c r="L1717" s="51">
        <v>20230823</v>
      </c>
    </row>
    <row r="1718" spans="1:12" x14ac:dyDescent="0.25">
      <c r="A1718" s="50" t="s">
        <v>2894</v>
      </c>
      <c r="B1718" s="30" t="s">
        <v>11</v>
      </c>
      <c r="C1718" s="30" t="s">
        <v>134</v>
      </c>
      <c r="D1718" s="30" t="s">
        <v>354</v>
      </c>
      <c r="E1718" s="30" t="s">
        <v>359</v>
      </c>
      <c r="F1718" s="30">
        <v>1</v>
      </c>
      <c r="G1718" s="44">
        <v>7000</v>
      </c>
      <c r="H1718" s="30"/>
      <c r="I1718" s="44"/>
      <c r="J1718" s="44"/>
      <c r="K1718" s="44">
        <f t="shared" si="58"/>
        <v>7000</v>
      </c>
      <c r="L1718" s="51">
        <v>20230823</v>
      </c>
    </row>
    <row r="1719" spans="1:12" x14ac:dyDescent="0.25">
      <c r="A1719" s="50" t="s">
        <v>2859</v>
      </c>
      <c r="B1719" s="30" t="s">
        <v>11</v>
      </c>
      <c r="C1719" s="30" t="s">
        <v>94</v>
      </c>
      <c r="D1719" s="30" t="s">
        <v>95</v>
      </c>
      <c r="E1719" s="30" t="s">
        <v>2404</v>
      </c>
      <c r="F1719" s="30">
        <v>1</v>
      </c>
      <c r="G1719" s="44">
        <v>7000</v>
      </c>
      <c r="H1719" s="30"/>
      <c r="I1719" s="44"/>
      <c r="J1719" s="44"/>
      <c r="K1719" s="44">
        <f t="shared" si="58"/>
        <v>7000</v>
      </c>
      <c r="L1719" s="51">
        <v>20230823</v>
      </c>
    </row>
    <row r="1720" spans="1:12" x14ac:dyDescent="0.25">
      <c r="A1720" s="50" t="s">
        <v>2864</v>
      </c>
      <c r="B1720" s="30" t="s">
        <v>11</v>
      </c>
      <c r="C1720" s="30" t="s">
        <v>94</v>
      </c>
      <c r="D1720" s="30" t="s">
        <v>95</v>
      </c>
      <c r="E1720" s="30" t="s">
        <v>1085</v>
      </c>
      <c r="F1720" s="30">
        <v>1</v>
      </c>
      <c r="G1720" s="44">
        <v>7000</v>
      </c>
      <c r="H1720" s="30"/>
      <c r="I1720" s="44"/>
      <c r="J1720" s="44"/>
      <c r="K1720" s="44">
        <f t="shared" si="58"/>
        <v>7000</v>
      </c>
      <c r="L1720" s="51">
        <v>20230823</v>
      </c>
    </row>
    <row r="1721" spans="1:12" x14ac:dyDescent="0.25">
      <c r="A1721" s="50" t="s">
        <v>2865</v>
      </c>
      <c r="B1721" s="30" t="s">
        <v>11</v>
      </c>
      <c r="C1721" s="30" t="s">
        <v>94</v>
      </c>
      <c r="D1721" s="30" t="s">
        <v>95</v>
      </c>
      <c r="E1721" s="30" t="s">
        <v>1398</v>
      </c>
      <c r="F1721" s="30">
        <v>1</v>
      </c>
      <c r="G1721" s="44">
        <v>7000</v>
      </c>
      <c r="H1721" s="30"/>
      <c r="I1721" s="44"/>
      <c r="J1721" s="44"/>
      <c r="K1721" s="44">
        <f t="shared" si="58"/>
        <v>7000</v>
      </c>
      <c r="L1721" s="51">
        <v>20230823</v>
      </c>
    </row>
    <row r="1722" spans="1:12" x14ac:dyDescent="0.25">
      <c r="A1722" s="52" t="s">
        <v>2923</v>
      </c>
      <c r="B1722" s="32" t="s">
        <v>11</v>
      </c>
      <c r="C1722" s="32" t="s">
        <v>45</v>
      </c>
      <c r="D1722" s="32" t="s">
        <v>46</v>
      </c>
      <c r="E1722" s="32" t="s">
        <v>80</v>
      </c>
      <c r="F1722" s="32">
        <v>1</v>
      </c>
      <c r="G1722" s="45">
        <v>7000</v>
      </c>
      <c r="H1722" s="32">
        <v>71</v>
      </c>
      <c r="I1722" s="45">
        <v>86</v>
      </c>
      <c r="J1722" s="45">
        <f>I1722*H1722</f>
        <v>6106</v>
      </c>
      <c r="K1722" s="45">
        <f t="shared" si="58"/>
        <v>13106</v>
      </c>
      <c r="L1722" s="53">
        <v>20230824</v>
      </c>
    </row>
    <row r="1723" spans="1:12" x14ac:dyDescent="0.25">
      <c r="A1723" s="50" t="s">
        <v>2888</v>
      </c>
      <c r="B1723" s="30" t="s">
        <v>11</v>
      </c>
      <c r="C1723" s="30" t="s">
        <v>163</v>
      </c>
      <c r="D1723" s="30" t="s">
        <v>164</v>
      </c>
      <c r="E1723" s="30" t="s">
        <v>305</v>
      </c>
      <c r="F1723" s="30">
        <v>1</v>
      </c>
      <c r="G1723" s="44">
        <v>7000</v>
      </c>
      <c r="H1723" s="30"/>
      <c r="I1723" s="44"/>
      <c r="J1723" s="44"/>
      <c r="K1723" s="44">
        <f t="shared" si="58"/>
        <v>7000</v>
      </c>
      <c r="L1723" s="51">
        <v>20230825</v>
      </c>
    </row>
    <row r="1724" spans="1:12" x14ac:dyDescent="0.25">
      <c r="A1724" s="50" t="s">
        <v>2860</v>
      </c>
      <c r="B1724" s="30" t="s">
        <v>1209</v>
      </c>
      <c r="C1724" s="30" t="s">
        <v>2861</v>
      </c>
      <c r="D1724" s="30" t="s">
        <v>2862</v>
      </c>
      <c r="E1724" s="30" t="s">
        <v>2863</v>
      </c>
      <c r="F1724" s="30">
        <v>1</v>
      </c>
      <c r="G1724" s="44">
        <v>7000</v>
      </c>
      <c r="H1724" s="30"/>
      <c r="I1724" s="44"/>
      <c r="J1724" s="44"/>
      <c r="K1724" s="44">
        <f t="shared" si="58"/>
        <v>7000</v>
      </c>
      <c r="L1724" s="51">
        <v>20230828</v>
      </c>
    </row>
    <row r="1725" spans="1:12" x14ac:dyDescent="0.25">
      <c r="A1725" s="50" t="s">
        <v>2837</v>
      </c>
      <c r="B1725" s="30" t="s">
        <v>11</v>
      </c>
      <c r="C1725" s="30" t="s">
        <v>28</v>
      </c>
      <c r="D1725" s="30" t="s">
        <v>267</v>
      </c>
      <c r="E1725" s="30" t="s">
        <v>268</v>
      </c>
      <c r="F1725" s="30">
        <v>1</v>
      </c>
      <c r="G1725" s="44">
        <v>7000</v>
      </c>
      <c r="H1725" s="30"/>
      <c r="I1725" s="44"/>
      <c r="J1725" s="44"/>
      <c r="K1725" s="44">
        <f t="shared" si="58"/>
        <v>7000</v>
      </c>
      <c r="L1725" s="51">
        <v>20230829</v>
      </c>
    </row>
    <row r="1726" spans="1:12" x14ac:dyDescent="0.25">
      <c r="A1726" s="50" t="s">
        <v>2835</v>
      </c>
      <c r="B1726" s="30" t="s">
        <v>11</v>
      </c>
      <c r="C1726" s="30" t="s">
        <v>364</v>
      </c>
      <c r="D1726" s="30" t="s">
        <v>24</v>
      </c>
      <c r="E1726" s="30" t="s">
        <v>392</v>
      </c>
      <c r="F1726" s="30">
        <v>1</v>
      </c>
      <c r="G1726" s="44">
        <v>7000</v>
      </c>
      <c r="H1726" s="30"/>
      <c r="I1726" s="44"/>
      <c r="J1726" s="44"/>
      <c r="K1726" s="44">
        <f t="shared" si="58"/>
        <v>7000</v>
      </c>
      <c r="L1726" s="51">
        <v>20230829</v>
      </c>
    </row>
    <row r="1727" spans="1:12" x14ac:dyDescent="0.25">
      <c r="A1727" s="50" t="s">
        <v>2833</v>
      </c>
      <c r="B1727" s="30" t="s">
        <v>11</v>
      </c>
      <c r="C1727" s="30" t="s">
        <v>94</v>
      </c>
      <c r="D1727" s="30" t="s">
        <v>95</v>
      </c>
      <c r="E1727" s="30" t="s">
        <v>1085</v>
      </c>
      <c r="F1727" s="30">
        <v>1</v>
      </c>
      <c r="G1727" s="44">
        <v>7000</v>
      </c>
      <c r="H1727" s="30"/>
      <c r="I1727" s="44"/>
      <c r="J1727" s="44"/>
      <c r="K1727" s="44">
        <f t="shared" si="58"/>
        <v>7000</v>
      </c>
      <c r="L1727" s="51">
        <v>20230830</v>
      </c>
    </row>
    <row r="1728" spans="1:12" x14ac:dyDescent="0.25">
      <c r="A1728" s="50" t="s">
        <v>2809</v>
      </c>
      <c r="B1728" s="30" t="s">
        <v>11</v>
      </c>
      <c r="C1728" s="30" t="s">
        <v>251</v>
      </c>
      <c r="D1728" s="30" t="s">
        <v>744</v>
      </c>
      <c r="E1728" s="30" t="s">
        <v>745</v>
      </c>
      <c r="F1728" s="30">
        <v>1</v>
      </c>
      <c r="G1728" s="44">
        <v>7000</v>
      </c>
      <c r="H1728" s="30"/>
      <c r="I1728" s="44"/>
      <c r="J1728" s="44"/>
      <c r="K1728" s="44">
        <f t="shared" si="58"/>
        <v>7000</v>
      </c>
      <c r="L1728" s="51">
        <v>20230831</v>
      </c>
    </row>
    <row r="1729" spans="1:12" x14ac:dyDescent="0.25">
      <c r="A1729" s="50" t="s">
        <v>2853</v>
      </c>
      <c r="B1729" s="30" t="s">
        <v>11</v>
      </c>
      <c r="C1729" s="30" t="s">
        <v>251</v>
      </c>
      <c r="D1729" s="30" t="s">
        <v>767</v>
      </c>
      <c r="E1729" s="30" t="s">
        <v>2150</v>
      </c>
      <c r="F1729" s="30">
        <v>1</v>
      </c>
      <c r="G1729" s="44">
        <v>7000</v>
      </c>
      <c r="H1729" s="30"/>
      <c r="I1729" s="44"/>
      <c r="J1729" s="44"/>
      <c r="K1729" s="44">
        <f t="shared" si="58"/>
        <v>7000</v>
      </c>
      <c r="L1729" s="51">
        <v>20230831</v>
      </c>
    </row>
    <row r="1730" spans="1:12" x14ac:dyDescent="0.25">
      <c r="A1730" s="52" t="s">
        <v>2836</v>
      </c>
      <c r="B1730" s="32" t="s">
        <v>11</v>
      </c>
      <c r="C1730" s="32" t="s">
        <v>26</v>
      </c>
      <c r="D1730" s="32" t="s">
        <v>351</v>
      </c>
      <c r="E1730" s="32" t="s">
        <v>2501</v>
      </c>
      <c r="F1730" s="32">
        <v>1</v>
      </c>
      <c r="G1730" s="45">
        <v>7000</v>
      </c>
      <c r="H1730" s="32">
        <v>67</v>
      </c>
      <c r="I1730" s="45">
        <v>86</v>
      </c>
      <c r="J1730" s="45">
        <f>I1730*H1730</f>
        <v>5762</v>
      </c>
      <c r="K1730" s="45">
        <f t="shared" si="58"/>
        <v>12762</v>
      </c>
      <c r="L1730" s="53">
        <v>20230831</v>
      </c>
    </row>
    <row r="1731" spans="1:12" x14ac:dyDescent="0.25">
      <c r="A1731" s="50" t="s">
        <v>2832</v>
      </c>
      <c r="B1731" s="30" t="s">
        <v>11</v>
      </c>
      <c r="C1731" s="30" t="s">
        <v>134</v>
      </c>
      <c r="D1731" s="30" t="s">
        <v>354</v>
      </c>
      <c r="E1731" s="30" t="s">
        <v>831</v>
      </c>
      <c r="F1731" s="30">
        <v>1</v>
      </c>
      <c r="G1731" s="44">
        <v>7000</v>
      </c>
      <c r="H1731" s="30"/>
      <c r="I1731" s="44"/>
      <c r="J1731" s="44"/>
      <c r="K1731" s="44">
        <f t="shared" si="58"/>
        <v>7000</v>
      </c>
      <c r="L1731" s="51">
        <v>20230831</v>
      </c>
    </row>
    <row r="1732" spans="1:12" ht="15.75" thickBot="1" x14ac:dyDescent="0.3">
      <c r="A1732" s="54" t="s">
        <v>2834</v>
      </c>
      <c r="B1732" s="36" t="s">
        <v>11</v>
      </c>
      <c r="C1732" s="36" t="s">
        <v>94</v>
      </c>
      <c r="D1732" s="36" t="s">
        <v>95</v>
      </c>
      <c r="E1732" s="36" t="s">
        <v>2404</v>
      </c>
      <c r="F1732" s="36">
        <v>1</v>
      </c>
      <c r="G1732" s="65">
        <v>7000</v>
      </c>
      <c r="H1732" s="36"/>
      <c r="I1732" s="65"/>
      <c r="J1732" s="65"/>
      <c r="K1732" s="65">
        <f t="shared" si="58"/>
        <v>7000</v>
      </c>
      <c r="L1732" s="55">
        <v>20230831</v>
      </c>
    </row>
    <row r="1733" spans="1:12" x14ac:dyDescent="0.25">
      <c r="A1733" s="73"/>
      <c r="B1733" s="74"/>
      <c r="C1733" s="74"/>
      <c r="D1733" s="74"/>
      <c r="E1733" s="74"/>
      <c r="F1733" s="74"/>
      <c r="G1733" s="75"/>
      <c r="H1733" s="74"/>
      <c r="I1733" s="75"/>
      <c r="J1733" s="75"/>
      <c r="K1733" s="75"/>
      <c r="L1733" s="76"/>
    </row>
    <row r="1734" spans="1:12" x14ac:dyDescent="0.25">
      <c r="A1734" s="50"/>
      <c r="B1734" s="30"/>
      <c r="C1734" s="30"/>
      <c r="D1734" s="30"/>
      <c r="E1734" s="30"/>
      <c r="F1734" s="30"/>
      <c r="G1734" s="44"/>
      <c r="H1734" s="30"/>
      <c r="I1734" s="44"/>
      <c r="J1734" s="44"/>
      <c r="K1734" s="44"/>
      <c r="L1734" s="51"/>
    </row>
    <row r="1735" spans="1:12" ht="15.75" thickBot="1" x14ac:dyDescent="0.3">
      <c r="A1735" s="69"/>
      <c r="B1735" s="70"/>
      <c r="C1735" s="70"/>
      <c r="D1735" s="70"/>
      <c r="E1735" s="70"/>
      <c r="F1735" s="70"/>
      <c r="G1735" s="71"/>
      <c r="H1735" s="70"/>
      <c r="I1735" s="71"/>
      <c r="J1735" s="71"/>
      <c r="K1735" s="71"/>
      <c r="L1735" s="72"/>
    </row>
    <row r="1736" spans="1:12" x14ac:dyDescent="0.25">
      <c r="A1736" s="48" t="s">
        <v>2910</v>
      </c>
      <c r="B1736" s="34" t="s">
        <v>137</v>
      </c>
      <c r="C1736" s="34" t="s">
        <v>45</v>
      </c>
      <c r="D1736" s="34" t="s">
        <v>46</v>
      </c>
      <c r="E1736" s="34" t="s">
        <v>48</v>
      </c>
      <c r="F1736" s="34">
        <v>1</v>
      </c>
      <c r="G1736" s="64">
        <v>3500</v>
      </c>
      <c r="H1736" s="34"/>
      <c r="I1736" s="64"/>
      <c r="J1736" s="64"/>
      <c r="K1736" s="64">
        <f t="shared" ref="K1736:K1767" si="59">J1736+G1736</f>
        <v>3500</v>
      </c>
      <c r="L1736" s="49">
        <v>20230811</v>
      </c>
    </row>
    <row r="1737" spans="1:12" x14ac:dyDescent="0.25">
      <c r="A1737" s="50" t="s">
        <v>2909</v>
      </c>
      <c r="B1737" s="30" t="s">
        <v>137</v>
      </c>
      <c r="C1737" s="30" t="s">
        <v>45</v>
      </c>
      <c r="D1737" s="30" t="s">
        <v>46</v>
      </c>
      <c r="E1737" s="30" t="s">
        <v>47</v>
      </c>
      <c r="F1737" s="30">
        <v>1</v>
      </c>
      <c r="G1737" s="44">
        <v>3500</v>
      </c>
      <c r="H1737" s="30"/>
      <c r="I1737" s="44"/>
      <c r="J1737" s="44"/>
      <c r="K1737" s="44">
        <f t="shared" si="59"/>
        <v>3500</v>
      </c>
      <c r="L1737" s="51">
        <v>20230811</v>
      </c>
    </row>
    <row r="1738" spans="1:12" x14ac:dyDescent="0.25">
      <c r="A1738" s="50" t="s">
        <v>2899</v>
      </c>
      <c r="B1738" s="30" t="s">
        <v>137</v>
      </c>
      <c r="C1738" s="30" t="s">
        <v>28</v>
      </c>
      <c r="D1738" s="30" t="s">
        <v>1160</v>
      </c>
      <c r="E1738" s="30" t="s">
        <v>1161</v>
      </c>
      <c r="F1738" s="30">
        <v>1</v>
      </c>
      <c r="G1738" s="44">
        <v>3500</v>
      </c>
      <c r="H1738" s="30"/>
      <c r="I1738" s="44"/>
      <c r="J1738" s="44"/>
      <c r="K1738" s="44">
        <f t="shared" si="59"/>
        <v>3500</v>
      </c>
      <c r="L1738" s="51">
        <v>20230814</v>
      </c>
    </row>
    <row r="1739" spans="1:12" x14ac:dyDescent="0.25">
      <c r="A1739" s="50" t="s">
        <v>2904</v>
      </c>
      <c r="B1739" s="30" t="s">
        <v>137</v>
      </c>
      <c r="C1739" s="30" t="s">
        <v>26</v>
      </c>
      <c r="D1739" s="30" t="s">
        <v>224</v>
      </c>
      <c r="E1739" s="30" t="s">
        <v>316</v>
      </c>
      <c r="F1739" s="30">
        <v>1</v>
      </c>
      <c r="G1739" s="44">
        <v>3500</v>
      </c>
      <c r="H1739" s="30"/>
      <c r="I1739" s="44"/>
      <c r="J1739" s="44"/>
      <c r="K1739" s="44">
        <f t="shared" si="59"/>
        <v>3500</v>
      </c>
      <c r="L1739" s="51">
        <v>20230814</v>
      </c>
    </row>
    <row r="1740" spans="1:12" x14ac:dyDescent="0.25">
      <c r="A1740" s="50" t="s">
        <v>2902</v>
      </c>
      <c r="B1740" s="30" t="s">
        <v>137</v>
      </c>
      <c r="C1740" s="30" t="s">
        <v>26</v>
      </c>
      <c r="D1740" s="30" t="s">
        <v>224</v>
      </c>
      <c r="E1740" s="30" t="s">
        <v>2903</v>
      </c>
      <c r="F1740" s="30">
        <v>1</v>
      </c>
      <c r="G1740" s="44">
        <v>3500</v>
      </c>
      <c r="H1740" s="30"/>
      <c r="I1740" s="44"/>
      <c r="J1740" s="44"/>
      <c r="K1740" s="44">
        <f t="shared" si="59"/>
        <v>3500</v>
      </c>
      <c r="L1740" s="51">
        <v>20230814</v>
      </c>
    </row>
    <row r="1741" spans="1:12" x14ac:dyDescent="0.25">
      <c r="A1741" s="50" t="s">
        <v>2901</v>
      </c>
      <c r="B1741" s="30" t="s">
        <v>137</v>
      </c>
      <c r="C1741" s="30" t="s">
        <v>172</v>
      </c>
      <c r="D1741" s="30" t="s">
        <v>195</v>
      </c>
      <c r="E1741" s="30" t="s">
        <v>196</v>
      </c>
      <c r="F1741" s="30">
        <v>1</v>
      </c>
      <c r="G1741" s="44">
        <v>3500</v>
      </c>
      <c r="H1741" s="30"/>
      <c r="I1741" s="44"/>
      <c r="J1741" s="44"/>
      <c r="K1741" s="44">
        <f t="shared" si="59"/>
        <v>3500</v>
      </c>
      <c r="L1741" s="51">
        <v>20230814</v>
      </c>
    </row>
    <row r="1742" spans="1:12" x14ac:dyDescent="0.25">
      <c r="A1742" s="50" t="s">
        <v>2900</v>
      </c>
      <c r="B1742" s="30" t="s">
        <v>137</v>
      </c>
      <c r="C1742" s="30" t="s">
        <v>29</v>
      </c>
      <c r="D1742" s="30" t="s">
        <v>148</v>
      </c>
      <c r="E1742" s="30" t="s">
        <v>1248</v>
      </c>
      <c r="F1742" s="30">
        <v>1</v>
      </c>
      <c r="G1742" s="44">
        <v>3500</v>
      </c>
      <c r="H1742" s="30"/>
      <c r="I1742" s="44"/>
      <c r="J1742" s="44"/>
      <c r="K1742" s="44">
        <f t="shared" si="59"/>
        <v>3500</v>
      </c>
      <c r="L1742" s="51">
        <v>20230814</v>
      </c>
    </row>
    <row r="1743" spans="1:12" x14ac:dyDescent="0.25">
      <c r="A1743" s="50" t="s">
        <v>2887</v>
      </c>
      <c r="B1743" s="30" t="s">
        <v>137</v>
      </c>
      <c r="C1743" s="30" t="s">
        <v>1021</v>
      </c>
      <c r="D1743" s="30" t="s">
        <v>95</v>
      </c>
      <c r="E1743" s="30" t="s">
        <v>1022</v>
      </c>
      <c r="F1743" s="30">
        <v>1</v>
      </c>
      <c r="G1743" s="44">
        <v>3500</v>
      </c>
      <c r="H1743" s="30"/>
      <c r="I1743" s="44"/>
      <c r="J1743" s="44"/>
      <c r="K1743" s="44">
        <f t="shared" si="59"/>
        <v>3500</v>
      </c>
      <c r="L1743" s="51">
        <v>20230822</v>
      </c>
    </row>
    <row r="1744" spans="1:12" x14ac:dyDescent="0.25">
      <c r="A1744" s="50" t="s">
        <v>2886</v>
      </c>
      <c r="B1744" s="30" t="s">
        <v>137</v>
      </c>
      <c r="C1744" s="30" t="s">
        <v>94</v>
      </c>
      <c r="D1744" s="30" t="s">
        <v>95</v>
      </c>
      <c r="E1744" s="30" t="s">
        <v>2583</v>
      </c>
      <c r="F1744" s="30">
        <v>1</v>
      </c>
      <c r="G1744" s="44">
        <v>3500</v>
      </c>
      <c r="H1744" s="30"/>
      <c r="I1744" s="44"/>
      <c r="J1744" s="44"/>
      <c r="K1744" s="44">
        <f t="shared" si="59"/>
        <v>3500</v>
      </c>
      <c r="L1744" s="51">
        <v>20230822</v>
      </c>
    </row>
    <row r="1745" spans="1:12" x14ac:dyDescent="0.25">
      <c r="A1745" s="50" t="s">
        <v>2885</v>
      </c>
      <c r="B1745" s="30" t="s">
        <v>137</v>
      </c>
      <c r="C1745" s="30" t="s">
        <v>94</v>
      </c>
      <c r="D1745" s="30" t="s">
        <v>95</v>
      </c>
      <c r="E1745" s="30" t="s">
        <v>2674</v>
      </c>
      <c r="F1745" s="30">
        <v>1</v>
      </c>
      <c r="G1745" s="44">
        <v>3500</v>
      </c>
      <c r="H1745" s="30"/>
      <c r="I1745" s="44"/>
      <c r="J1745" s="44"/>
      <c r="K1745" s="44">
        <f t="shared" si="59"/>
        <v>3500</v>
      </c>
      <c r="L1745" s="51">
        <v>20230822</v>
      </c>
    </row>
    <row r="1746" spans="1:12" x14ac:dyDescent="0.25">
      <c r="A1746" s="50" t="s">
        <v>2884</v>
      </c>
      <c r="B1746" s="30" t="s">
        <v>137</v>
      </c>
      <c r="C1746" s="30" t="s">
        <v>94</v>
      </c>
      <c r="D1746" s="30" t="s">
        <v>95</v>
      </c>
      <c r="E1746" s="30" t="s">
        <v>2404</v>
      </c>
      <c r="F1746" s="30">
        <v>1</v>
      </c>
      <c r="G1746" s="44">
        <v>3500</v>
      </c>
      <c r="H1746" s="30"/>
      <c r="I1746" s="44"/>
      <c r="J1746" s="44"/>
      <c r="K1746" s="44">
        <f t="shared" si="59"/>
        <v>3500</v>
      </c>
      <c r="L1746" s="51">
        <v>20230822</v>
      </c>
    </row>
    <row r="1747" spans="1:12" x14ac:dyDescent="0.25">
      <c r="A1747" s="50" t="s">
        <v>2883</v>
      </c>
      <c r="B1747" s="30" t="s">
        <v>137</v>
      </c>
      <c r="C1747" s="30" t="s">
        <v>94</v>
      </c>
      <c r="D1747" s="30" t="s">
        <v>95</v>
      </c>
      <c r="E1747" s="30" t="s">
        <v>458</v>
      </c>
      <c r="F1747" s="30">
        <v>1</v>
      </c>
      <c r="G1747" s="44">
        <v>3500</v>
      </c>
      <c r="H1747" s="30"/>
      <c r="I1747" s="44"/>
      <c r="J1747" s="44"/>
      <c r="K1747" s="44">
        <f t="shared" si="59"/>
        <v>3500</v>
      </c>
      <c r="L1747" s="51">
        <v>20230822</v>
      </c>
    </row>
    <row r="1748" spans="1:12" x14ac:dyDescent="0.25">
      <c r="A1748" s="50" t="s">
        <v>2882</v>
      </c>
      <c r="B1748" s="30" t="s">
        <v>137</v>
      </c>
      <c r="C1748" s="30" t="s">
        <v>94</v>
      </c>
      <c r="D1748" s="30" t="s">
        <v>95</v>
      </c>
      <c r="E1748" s="30" t="s">
        <v>260</v>
      </c>
      <c r="F1748" s="30">
        <v>1</v>
      </c>
      <c r="G1748" s="44">
        <v>3500</v>
      </c>
      <c r="H1748" s="30"/>
      <c r="I1748" s="44"/>
      <c r="J1748" s="44"/>
      <c r="K1748" s="44">
        <f t="shared" si="59"/>
        <v>3500</v>
      </c>
      <c r="L1748" s="51">
        <v>20230822</v>
      </c>
    </row>
    <row r="1749" spans="1:12" x14ac:dyDescent="0.25">
      <c r="A1749" s="50" t="s">
        <v>2881</v>
      </c>
      <c r="B1749" s="30" t="s">
        <v>137</v>
      </c>
      <c r="C1749" s="30" t="s">
        <v>94</v>
      </c>
      <c r="D1749" s="30" t="s">
        <v>95</v>
      </c>
      <c r="E1749" s="30" t="s">
        <v>1083</v>
      </c>
      <c r="F1749" s="30">
        <v>1</v>
      </c>
      <c r="G1749" s="44">
        <v>3500</v>
      </c>
      <c r="H1749" s="30"/>
      <c r="I1749" s="44"/>
      <c r="J1749" s="44"/>
      <c r="K1749" s="44">
        <f t="shared" si="59"/>
        <v>3500</v>
      </c>
      <c r="L1749" s="51">
        <v>20230822</v>
      </c>
    </row>
    <row r="1750" spans="1:12" x14ac:dyDescent="0.25">
      <c r="A1750" s="50" t="s">
        <v>2880</v>
      </c>
      <c r="B1750" s="30" t="s">
        <v>137</v>
      </c>
      <c r="C1750" s="30" t="s">
        <v>94</v>
      </c>
      <c r="D1750" s="30" t="s">
        <v>95</v>
      </c>
      <c r="E1750" s="30" t="s">
        <v>436</v>
      </c>
      <c r="F1750" s="30">
        <v>1</v>
      </c>
      <c r="G1750" s="44">
        <v>3500</v>
      </c>
      <c r="H1750" s="30"/>
      <c r="I1750" s="44"/>
      <c r="J1750" s="44"/>
      <c r="K1750" s="44">
        <f t="shared" si="59"/>
        <v>3500</v>
      </c>
      <c r="L1750" s="51">
        <v>20230822</v>
      </c>
    </row>
    <row r="1751" spans="1:12" x14ac:dyDescent="0.25">
      <c r="A1751" s="50" t="s">
        <v>2879</v>
      </c>
      <c r="B1751" s="30" t="s">
        <v>137</v>
      </c>
      <c r="C1751" s="30" t="s">
        <v>94</v>
      </c>
      <c r="D1751" s="30" t="s">
        <v>95</v>
      </c>
      <c r="E1751" s="30" t="s">
        <v>262</v>
      </c>
      <c r="F1751" s="30">
        <v>1</v>
      </c>
      <c r="G1751" s="44">
        <v>3500</v>
      </c>
      <c r="H1751" s="30"/>
      <c r="I1751" s="44"/>
      <c r="J1751" s="44"/>
      <c r="K1751" s="44">
        <f t="shared" si="59"/>
        <v>3500</v>
      </c>
      <c r="L1751" s="51">
        <v>20230822</v>
      </c>
    </row>
    <row r="1752" spans="1:12" x14ac:dyDescent="0.25">
      <c r="A1752" s="50" t="s">
        <v>2878</v>
      </c>
      <c r="B1752" s="30" t="s">
        <v>137</v>
      </c>
      <c r="C1752" s="30" t="s">
        <v>94</v>
      </c>
      <c r="D1752" s="30" t="s">
        <v>95</v>
      </c>
      <c r="E1752" s="30" t="s">
        <v>326</v>
      </c>
      <c r="F1752" s="30">
        <v>1</v>
      </c>
      <c r="G1752" s="44">
        <v>3500</v>
      </c>
      <c r="H1752" s="30"/>
      <c r="I1752" s="44"/>
      <c r="J1752" s="44"/>
      <c r="K1752" s="44">
        <f t="shared" si="59"/>
        <v>3500</v>
      </c>
      <c r="L1752" s="51">
        <v>20230822</v>
      </c>
    </row>
    <row r="1753" spans="1:12" x14ac:dyDescent="0.25">
      <c r="A1753" s="50" t="s">
        <v>2876</v>
      </c>
      <c r="B1753" s="30" t="s">
        <v>137</v>
      </c>
      <c r="C1753" s="30" t="s">
        <v>26</v>
      </c>
      <c r="D1753" s="30" t="s">
        <v>2874</v>
      </c>
      <c r="E1753" s="30" t="s">
        <v>2877</v>
      </c>
      <c r="F1753" s="30">
        <v>1</v>
      </c>
      <c r="G1753" s="44">
        <v>3500</v>
      </c>
      <c r="H1753" s="30"/>
      <c r="I1753" s="44"/>
      <c r="J1753" s="44"/>
      <c r="K1753" s="44">
        <f t="shared" si="59"/>
        <v>3500</v>
      </c>
      <c r="L1753" s="51">
        <v>20230823</v>
      </c>
    </row>
    <row r="1754" spans="1:12" x14ac:dyDescent="0.25">
      <c r="A1754" s="50" t="s">
        <v>2873</v>
      </c>
      <c r="B1754" s="30" t="s">
        <v>137</v>
      </c>
      <c r="C1754" s="30" t="s">
        <v>26</v>
      </c>
      <c r="D1754" s="30" t="s">
        <v>2874</v>
      </c>
      <c r="E1754" s="30" t="s">
        <v>2875</v>
      </c>
      <c r="F1754" s="30">
        <v>1</v>
      </c>
      <c r="G1754" s="44">
        <v>3500</v>
      </c>
      <c r="H1754" s="30"/>
      <c r="I1754" s="44"/>
      <c r="J1754" s="44"/>
      <c r="K1754" s="44">
        <f t="shared" si="59"/>
        <v>3500</v>
      </c>
      <c r="L1754" s="51">
        <v>20230823</v>
      </c>
    </row>
    <row r="1755" spans="1:12" x14ac:dyDescent="0.25">
      <c r="A1755" s="50" t="s">
        <v>2869</v>
      </c>
      <c r="B1755" s="30" t="s">
        <v>137</v>
      </c>
      <c r="C1755" s="30" t="s">
        <v>26</v>
      </c>
      <c r="D1755" s="30" t="s">
        <v>2867</v>
      </c>
      <c r="E1755" s="30" t="s">
        <v>2870</v>
      </c>
      <c r="F1755" s="30">
        <v>1</v>
      </c>
      <c r="G1755" s="44">
        <v>3500</v>
      </c>
      <c r="H1755" s="30"/>
      <c r="I1755" s="44"/>
      <c r="J1755" s="44"/>
      <c r="K1755" s="44">
        <f t="shared" si="59"/>
        <v>3500</v>
      </c>
      <c r="L1755" s="51">
        <v>20230823</v>
      </c>
    </row>
    <row r="1756" spans="1:12" x14ac:dyDescent="0.25">
      <c r="A1756" s="50" t="s">
        <v>2866</v>
      </c>
      <c r="B1756" s="30" t="s">
        <v>137</v>
      </c>
      <c r="C1756" s="30" t="s">
        <v>26</v>
      </c>
      <c r="D1756" s="30" t="s">
        <v>2867</v>
      </c>
      <c r="E1756" s="30" t="s">
        <v>2868</v>
      </c>
      <c r="F1756" s="30">
        <v>1</v>
      </c>
      <c r="G1756" s="44">
        <v>3500</v>
      </c>
      <c r="H1756" s="30"/>
      <c r="I1756" s="44"/>
      <c r="J1756" s="44"/>
      <c r="K1756" s="44">
        <f t="shared" si="59"/>
        <v>3500</v>
      </c>
      <c r="L1756" s="51">
        <v>20230823</v>
      </c>
    </row>
    <row r="1757" spans="1:12" x14ac:dyDescent="0.25">
      <c r="A1757" s="50" t="s">
        <v>2858</v>
      </c>
      <c r="B1757" s="30" t="s">
        <v>137</v>
      </c>
      <c r="C1757" s="30" t="s">
        <v>405</v>
      </c>
      <c r="D1757" s="30" t="s">
        <v>24</v>
      </c>
      <c r="E1757" s="30" t="s">
        <v>1447</v>
      </c>
      <c r="F1757" s="30">
        <v>1</v>
      </c>
      <c r="G1757" s="44">
        <v>3500</v>
      </c>
      <c r="H1757" s="30"/>
      <c r="I1757" s="44"/>
      <c r="J1757" s="44"/>
      <c r="K1757" s="44">
        <f t="shared" si="59"/>
        <v>3500</v>
      </c>
      <c r="L1757" s="51">
        <v>20230825</v>
      </c>
    </row>
    <row r="1758" spans="1:12" x14ac:dyDescent="0.25">
      <c r="A1758" s="50" t="s">
        <v>2857</v>
      </c>
      <c r="B1758" s="30" t="s">
        <v>137</v>
      </c>
      <c r="C1758" s="30" t="s">
        <v>405</v>
      </c>
      <c r="D1758" s="30" t="s">
        <v>24</v>
      </c>
      <c r="E1758" s="30" t="s">
        <v>1425</v>
      </c>
      <c r="F1758" s="30">
        <v>1</v>
      </c>
      <c r="G1758" s="44">
        <v>3500</v>
      </c>
      <c r="H1758" s="30"/>
      <c r="I1758" s="44"/>
      <c r="J1758" s="44"/>
      <c r="K1758" s="44">
        <f t="shared" si="59"/>
        <v>3500</v>
      </c>
      <c r="L1758" s="51">
        <v>20230825</v>
      </c>
    </row>
    <row r="1759" spans="1:12" x14ac:dyDescent="0.25">
      <c r="A1759" s="50" t="s">
        <v>2852</v>
      </c>
      <c r="B1759" s="30" t="s">
        <v>137</v>
      </c>
      <c r="C1759" s="30" t="s">
        <v>646</v>
      </c>
      <c r="D1759" s="30" t="s">
        <v>24</v>
      </c>
      <c r="E1759" s="30" t="s">
        <v>647</v>
      </c>
      <c r="F1759" s="30">
        <v>1</v>
      </c>
      <c r="G1759" s="44">
        <v>3500</v>
      </c>
      <c r="H1759" s="30"/>
      <c r="I1759" s="44"/>
      <c r="J1759" s="44"/>
      <c r="K1759" s="44">
        <f t="shared" si="59"/>
        <v>3500</v>
      </c>
      <c r="L1759" s="51">
        <v>20230828</v>
      </c>
    </row>
    <row r="1760" spans="1:12" x14ac:dyDescent="0.25">
      <c r="A1760" s="50" t="s">
        <v>2846</v>
      </c>
      <c r="B1760" s="30" t="s">
        <v>137</v>
      </c>
      <c r="C1760" s="30" t="s">
        <v>646</v>
      </c>
      <c r="D1760" s="30" t="s">
        <v>24</v>
      </c>
      <c r="E1760" s="30" t="s">
        <v>670</v>
      </c>
      <c r="F1760" s="30">
        <v>1</v>
      </c>
      <c r="G1760" s="44">
        <v>3500</v>
      </c>
      <c r="H1760" s="30"/>
      <c r="I1760" s="44"/>
      <c r="J1760" s="44"/>
      <c r="K1760" s="44">
        <f t="shared" si="59"/>
        <v>3500</v>
      </c>
      <c r="L1760" s="51">
        <v>20230828</v>
      </c>
    </row>
    <row r="1761" spans="1:12" x14ac:dyDescent="0.25">
      <c r="A1761" s="50" t="s">
        <v>2851</v>
      </c>
      <c r="B1761" s="30" t="s">
        <v>137</v>
      </c>
      <c r="C1761" s="30" t="s">
        <v>712</v>
      </c>
      <c r="D1761" s="30" t="s">
        <v>713</v>
      </c>
      <c r="E1761" s="30" t="s">
        <v>722</v>
      </c>
      <c r="F1761" s="30">
        <v>1</v>
      </c>
      <c r="G1761" s="44">
        <v>3500</v>
      </c>
      <c r="H1761" s="30"/>
      <c r="I1761" s="44"/>
      <c r="J1761" s="44"/>
      <c r="K1761" s="44">
        <f t="shared" si="59"/>
        <v>3500</v>
      </c>
      <c r="L1761" s="51">
        <v>20230828</v>
      </c>
    </row>
    <row r="1762" spans="1:12" x14ac:dyDescent="0.25">
      <c r="A1762" s="50" t="s">
        <v>2850</v>
      </c>
      <c r="B1762" s="30" t="s">
        <v>137</v>
      </c>
      <c r="C1762" s="30" t="s">
        <v>712</v>
      </c>
      <c r="D1762" s="30" t="s">
        <v>713</v>
      </c>
      <c r="E1762" s="30" t="s">
        <v>720</v>
      </c>
      <c r="F1762" s="30">
        <v>1</v>
      </c>
      <c r="G1762" s="44">
        <v>3500</v>
      </c>
      <c r="H1762" s="30"/>
      <c r="I1762" s="44"/>
      <c r="J1762" s="44"/>
      <c r="K1762" s="44">
        <f t="shared" si="59"/>
        <v>3500</v>
      </c>
      <c r="L1762" s="51">
        <v>20230828</v>
      </c>
    </row>
    <row r="1763" spans="1:12" x14ac:dyDescent="0.25">
      <c r="A1763" s="50" t="s">
        <v>2849</v>
      </c>
      <c r="B1763" s="30" t="s">
        <v>137</v>
      </c>
      <c r="C1763" s="30" t="s">
        <v>712</v>
      </c>
      <c r="D1763" s="30" t="s">
        <v>713</v>
      </c>
      <c r="E1763" s="30" t="s">
        <v>718</v>
      </c>
      <c r="F1763" s="30">
        <v>1</v>
      </c>
      <c r="G1763" s="44">
        <v>3500</v>
      </c>
      <c r="H1763" s="30"/>
      <c r="I1763" s="44"/>
      <c r="J1763" s="44"/>
      <c r="K1763" s="44">
        <f t="shared" si="59"/>
        <v>3500</v>
      </c>
      <c r="L1763" s="51">
        <v>20230828</v>
      </c>
    </row>
    <row r="1764" spans="1:12" x14ac:dyDescent="0.25">
      <c r="A1764" s="50" t="s">
        <v>2843</v>
      </c>
      <c r="B1764" s="30" t="s">
        <v>137</v>
      </c>
      <c r="C1764" s="30" t="s">
        <v>474</v>
      </c>
      <c r="D1764" s="30" t="s">
        <v>24</v>
      </c>
      <c r="E1764" s="30" t="s">
        <v>554</v>
      </c>
      <c r="F1764" s="30">
        <v>1</v>
      </c>
      <c r="G1764" s="44">
        <v>3500</v>
      </c>
      <c r="H1764" s="30"/>
      <c r="I1764" s="44"/>
      <c r="J1764" s="44"/>
      <c r="K1764" s="44">
        <f t="shared" si="59"/>
        <v>3500</v>
      </c>
      <c r="L1764" s="51">
        <v>20230828</v>
      </c>
    </row>
    <row r="1765" spans="1:12" x14ac:dyDescent="0.25">
      <c r="A1765" s="50" t="s">
        <v>2840</v>
      </c>
      <c r="B1765" s="30" t="s">
        <v>137</v>
      </c>
      <c r="C1765" s="30" t="s">
        <v>474</v>
      </c>
      <c r="D1765" s="30" t="s">
        <v>24</v>
      </c>
      <c r="E1765" s="30" t="s">
        <v>942</v>
      </c>
      <c r="F1765" s="30">
        <v>1</v>
      </c>
      <c r="G1765" s="44">
        <v>3500</v>
      </c>
      <c r="H1765" s="30"/>
      <c r="I1765" s="44"/>
      <c r="J1765" s="44"/>
      <c r="K1765" s="44">
        <f t="shared" si="59"/>
        <v>3500</v>
      </c>
      <c r="L1765" s="51">
        <v>20230828</v>
      </c>
    </row>
    <row r="1766" spans="1:12" x14ac:dyDescent="0.25">
      <c r="A1766" s="50" t="s">
        <v>2839</v>
      </c>
      <c r="B1766" s="30" t="s">
        <v>137</v>
      </c>
      <c r="C1766" s="30" t="s">
        <v>1450</v>
      </c>
      <c r="D1766" s="30" t="s">
        <v>1592</v>
      </c>
      <c r="E1766" s="30" t="s">
        <v>2438</v>
      </c>
      <c r="F1766" s="30">
        <v>1</v>
      </c>
      <c r="G1766" s="44">
        <v>3500</v>
      </c>
      <c r="H1766" s="30"/>
      <c r="I1766" s="44"/>
      <c r="J1766" s="44"/>
      <c r="K1766" s="44">
        <f t="shared" si="59"/>
        <v>3500</v>
      </c>
      <c r="L1766" s="51">
        <v>20230828</v>
      </c>
    </row>
    <row r="1767" spans="1:12" x14ac:dyDescent="0.25">
      <c r="A1767" s="50" t="s">
        <v>2838</v>
      </c>
      <c r="B1767" s="30" t="s">
        <v>137</v>
      </c>
      <c r="C1767" s="30" t="s">
        <v>1450</v>
      </c>
      <c r="D1767" s="30" t="s">
        <v>1569</v>
      </c>
      <c r="E1767" s="30" t="s">
        <v>2440</v>
      </c>
      <c r="F1767" s="30">
        <v>1</v>
      </c>
      <c r="G1767" s="44">
        <v>3500</v>
      </c>
      <c r="H1767" s="30"/>
      <c r="I1767" s="44"/>
      <c r="J1767" s="44"/>
      <c r="K1767" s="44">
        <f t="shared" si="59"/>
        <v>3500</v>
      </c>
      <c r="L1767" s="51">
        <v>20230828</v>
      </c>
    </row>
    <row r="1768" spans="1:12" x14ac:dyDescent="0.25">
      <c r="A1768" s="50" t="s">
        <v>2845</v>
      </c>
      <c r="B1768" s="30" t="s">
        <v>137</v>
      </c>
      <c r="C1768" s="30" t="s">
        <v>1234</v>
      </c>
      <c r="D1768" s="30" t="s">
        <v>24</v>
      </c>
      <c r="E1768" s="30" t="s">
        <v>2045</v>
      </c>
      <c r="F1768" s="30">
        <v>1</v>
      </c>
      <c r="G1768" s="44">
        <v>3500</v>
      </c>
      <c r="H1768" s="30"/>
      <c r="I1768" s="44"/>
      <c r="J1768" s="44"/>
      <c r="K1768" s="44">
        <f t="shared" ref="K1768:K1799" si="60">J1768+G1768</f>
        <v>3500</v>
      </c>
      <c r="L1768" s="51">
        <v>20230829</v>
      </c>
    </row>
    <row r="1769" spans="1:12" x14ac:dyDescent="0.25">
      <c r="A1769" s="50" t="s">
        <v>2844</v>
      </c>
      <c r="B1769" s="30" t="s">
        <v>137</v>
      </c>
      <c r="C1769" s="30" t="s">
        <v>1234</v>
      </c>
      <c r="D1769" s="30" t="s">
        <v>24</v>
      </c>
      <c r="E1769" s="30" t="s">
        <v>1235</v>
      </c>
      <c r="F1769" s="30">
        <v>1</v>
      </c>
      <c r="G1769" s="44">
        <v>3500</v>
      </c>
      <c r="H1769" s="30"/>
      <c r="I1769" s="44"/>
      <c r="J1769" s="44"/>
      <c r="K1769" s="44">
        <f t="shared" si="60"/>
        <v>3500</v>
      </c>
      <c r="L1769" s="51">
        <v>20230829</v>
      </c>
    </row>
    <row r="1770" spans="1:12" x14ac:dyDescent="0.25">
      <c r="A1770" s="50" t="s">
        <v>2814</v>
      </c>
      <c r="B1770" s="30" t="s">
        <v>137</v>
      </c>
      <c r="C1770" s="30" t="s">
        <v>251</v>
      </c>
      <c r="D1770" s="30" t="s">
        <v>933</v>
      </c>
      <c r="E1770" s="30" t="s">
        <v>934</v>
      </c>
      <c r="F1770" s="30">
        <v>1</v>
      </c>
      <c r="G1770" s="44">
        <v>3500</v>
      </c>
      <c r="H1770" s="30"/>
      <c r="I1770" s="44"/>
      <c r="J1770" s="44"/>
      <c r="K1770" s="44">
        <f t="shared" si="60"/>
        <v>3500</v>
      </c>
      <c r="L1770" s="51">
        <v>20230830</v>
      </c>
    </row>
    <row r="1771" spans="1:12" x14ac:dyDescent="0.25">
      <c r="A1771" s="50" t="s">
        <v>2810</v>
      </c>
      <c r="B1771" s="30" t="s">
        <v>137</v>
      </c>
      <c r="C1771" s="30" t="s">
        <v>251</v>
      </c>
      <c r="D1771" s="30" t="s">
        <v>740</v>
      </c>
      <c r="E1771" s="30" t="s">
        <v>741</v>
      </c>
      <c r="F1771" s="30">
        <v>1</v>
      </c>
      <c r="G1771" s="44">
        <v>3500</v>
      </c>
      <c r="H1771" s="30"/>
      <c r="I1771" s="44"/>
      <c r="J1771" s="44"/>
      <c r="K1771" s="44">
        <f t="shared" si="60"/>
        <v>3500</v>
      </c>
      <c r="L1771" s="51">
        <v>20230830</v>
      </c>
    </row>
    <row r="1772" spans="1:12" x14ac:dyDescent="0.25">
      <c r="A1772" s="50" t="s">
        <v>2816</v>
      </c>
      <c r="B1772" s="30" t="s">
        <v>137</v>
      </c>
      <c r="C1772" s="30" t="s">
        <v>28</v>
      </c>
      <c r="D1772" s="30" t="s">
        <v>750</v>
      </c>
      <c r="E1772" s="30" t="s">
        <v>751</v>
      </c>
      <c r="F1772" s="30">
        <v>1</v>
      </c>
      <c r="G1772" s="44">
        <v>3500</v>
      </c>
      <c r="H1772" s="30"/>
      <c r="I1772" s="44"/>
      <c r="J1772" s="44"/>
      <c r="K1772" s="44">
        <f t="shared" si="60"/>
        <v>3500</v>
      </c>
      <c r="L1772" s="51">
        <v>20230830</v>
      </c>
    </row>
    <row r="1773" spans="1:12" x14ac:dyDescent="0.25">
      <c r="A1773" s="50" t="s">
        <v>2820</v>
      </c>
      <c r="B1773" s="30" t="s">
        <v>137</v>
      </c>
      <c r="C1773" s="30" t="s">
        <v>28</v>
      </c>
      <c r="D1773" s="30" t="s">
        <v>759</v>
      </c>
      <c r="E1773" s="30" t="s">
        <v>762</v>
      </c>
      <c r="F1773" s="30">
        <v>1</v>
      </c>
      <c r="G1773" s="44">
        <v>3500</v>
      </c>
      <c r="H1773" s="30"/>
      <c r="I1773" s="44"/>
      <c r="J1773" s="44"/>
      <c r="K1773" s="44">
        <f t="shared" si="60"/>
        <v>3500</v>
      </c>
      <c r="L1773" s="51">
        <v>20230830</v>
      </c>
    </row>
    <row r="1774" spans="1:12" x14ac:dyDescent="0.25">
      <c r="A1774" s="50" t="s">
        <v>2819</v>
      </c>
      <c r="B1774" s="30" t="s">
        <v>137</v>
      </c>
      <c r="C1774" s="30" t="s">
        <v>28</v>
      </c>
      <c r="D1774" s="30" t="s">
        <v>759</v>
      </c>
      <c r="E1774" s="30" t="s">
        <v>760</v>
      </c>
      <c r="F1774" s="30">
        <v>1</v>
      </c>
      <c r="G1774" s="44">
        <v>3500</v>
      </c>
      <c r="H1774" s="30"/>
      <c r="I1774" s="44"/>
      <c r="J1774" s="44"/>
      <c r="K1774" s="44">
        <f t="shared" si="60"/>
        <v>3500</v>
      </c>
      <c r="L1774" s="51">
        <v>20230830</v>
      </c>
    </row>
    <row r="1775" spans="1:12" x14ac:dyDescent="0.25">
      <c r="A1775" s="50" t="s">
        <v>2818</v>
      </c>
      <c r="B1775" s="30" t="s">
        <v>137</v>
      </c>
      <c r="C1775" s="30" t="s">
        <v>28</v>
      </c>
      <c r="D1775" s="30" t="s">
        <v>759</v>
      </c>
      <c r="E1775" s="30" t="s">
        <v>1106</v>
      </c>
      <c r="F1775" s="30">
        <v>1</v>
      </c>
      <c r="G1775" s="44">
        <v>3500</v>
      </c>
      <c r="H1775" s="30"/>
      <c r="I1775" s="44"/>
      <c r="J1775" s="44"/>
      <c r="K1775" s="44">
        <f t="shared" si="60"/>
        <v>3500</v>
      </c>
      <c r="L1775" s="51">
        <v>20230830</v>
      </c>
    </row>
    <row r="1776" spans="1:12" x14ac:dyDescent="0.25">
      <c r="A1776" s="50" t="s">
        <v>2824</v>
      </c>
      <c r="B1776" s="30" t="s">
        <v>137</v>
      </c>
      <c r="C1776" s="30" t="s">
        <v>26</v>
      </c>
      <c r="D1776" s="30" t="s">
        <v>616</v>
      </c>
      <c r="E1776" s="30" t="s">
        <v>621</v>
      </c>
      <c r="F1776" s="30">
        <v>1</v>
      </c>
      <c r="G1776" s="44">
        <v>3500</v>
      </c>
      <c r="H1776" s="30"/>
      <c r="I1776" s="44"/>
      <c r="J1776" s="44"/>
      <c r="K1776" s="44">
        <f t="shared" si="60"/>
        <v>3500</v>
      </c>
      <c r="L1776" s="51">
        <v>20230830</v>
      </c>
    </row>
    <row r="1777" spans="1:12" x14ac:dyDescent="0.25">
      <c r="A1777" s="50" t="s">
        <v>2823</v>
      </c>
      <c r="B1777" s="30" t="s">
        <v>137</v>
      </c>
      <c r="C1777" s="30" t="s">
        <v>26</v>
      </c>
      <c r="D1777" s="30" t="s">
        <v>616</v>
      </c>
      <c r="E1777" s="30" t="s">
        <v>619</v>
      </c>
      <c r="F1777" s="30">
        <v>1</v>
      </c>
      <c r="G1777" s="44">
        <v>3500</v>
      </c>
      <c r="H1777" s="30"/>
      <c r="I1777" s="44"/>
      <c r="J1777" s="44"/>
      <c r="K1777" s="44">
        <f t="shared" si="60"/>
        <v>3500</v>
      </c>
      <c r="L1777" s="51">
        <v>20230830</v>
      </c>
    </row>
    <row r="1778" spans="1:12" x14ac:dyDescent="0.25">
      <c r="A1778" s="50" t="s">
        <v>2822</v>
      </c>
      <c r="B1778" s="30" t="s">
        <v>137</v>
      </c>
      <c r="C1778" s="30" t="s">
        <v>26</v>
      </c>
      <c r="D1778" s="30" t="s">
        <v>616</v>
      </c>
      <c r="E1778" s="30" t="s">
        <v>617</v>
      </c>
      <c r="F1778" s="30">
        <v>1</v>
      </c>
      <c r="G1778" s="44">
        <v>3500</v>
      </c>
      <c r="H1778" s="30"/>
      <c r="I1778" s="44"/>
      <c r="J1778" s="44"/>
      <c r="K1778" s="44">
        <f t="shared" si="60"/>
        <v>3500</v>
      </c>
      <c r="L1778" s="51">
        <v>20230830</v>
      </c>
    </row>
    <row r="1779" spans="1:12" x14ac:dyDescent="0.25">
      <c r="A1779" s="50" t="s">
        <v>2831</v>
      </c>
      <c r="B1779" s="30" t="s">
        <v>137</v>
      </c>
      <c r="C1779" s="30" t="s">
        <v>2111</v>
      </c>
      <c r="D1779" s="30" t="s">
        <v>2244</v>
      </c>
      <c r="E1779" s="30" t="s">
        <v>2247</v>
      </c>
      <c r="F1779" s="30">
        <v>1</v>
      </c>
      <c r="G1779" s="44">
        <v>3500</v>
      </c>
      <c r="H1779" s="30"/>
      <c r="I1779" s="44"/>
      <c r="J1779" s="44"/>
      <c r="K1779" s="44">
        <f t="shared" si="60"/>
        <v>3500</v>
      </c>
      <c r="L1779" s="51">
        <v>20230830</v>
      </c>
    </row>
    <row r="1780" spans="1:12" x14ac:dyDescent="0.25">
      <c r="A1780" s="50" t="s">
        <v>2828</v>
      </c>
      <c r="B1780" s="30" t="s">
        <v>137</v>
      </c>
      <c r="C1780" s="30" t="s">
        <v>2111</v>
      </c>
      <c r="D1780" s="30" t="s">
        <v>2244</v>
      </c>
      <c r="E1780" s="30" t="s">
        <v>2245</v>
      </c>
      <c r="F1780" s="30">
        <v>1</v>
      </c>
      <c r="G1780" s="44">
        <v>3500</v>
      </c>
      <c r="H1780" s="30"/>
      <c r="I1780" s="44"/>
      <c r="J1780" s="44"/>
      <c r="K1780" s="44">
        <f t="shared" si="60"/>
        <v>3500</v>
      </c>
      <c r="L1780" s="51">
        <v>20230830</v>
      </c>
    </row>
    <row r="1781" spans="1:12" x14ac:dyDescent="0.25">
      <c r="A1781" s="50" t="s">
        <v>2848</v>
      </c>
      <c r="B1781" s="30" t="s">
        <v>137</v>
      </c>
      <c r="C1781" s="30" t="s">
        <v>172</v>
      </c>
      <c r="D1781" s="30" t="s">
        <v>703</v>
      </c>
      <c r="E1781" s="30" t="s">
        <v>710</v>
      </c>
      <c r="F1781" s="30">
        <v>1</v>
      </c>
      <c r="G1781" s="44">
        <v>3500</v>
      </c>
      <c r="H1781" s="30"/>
      <c r="I1781" s="44"/>
      <c r="J1781" s="44"/>
      <c r="K1781" s="44">
        <f t="shared" si="60"/>
        <v>3500</v>
      </c>
      <c r="L1781" s="51">
        <v>20230830</v>
      </c>
    </row>
    <row r="1782" spans="1:12" x14ac:dyDescent="0.25">
      <c r="A1782" s="50" t="s">
        <v>2847</v>
      </c>
      <c r="B1782" s="30" t="s">
        <v>137</v>
      </c>
      <c r="C1782" s="30" t="s">
        <v>172</v>
      </c>
      <c r="D1782" s="30" t="s">
        <v>703</v>
      </c>
      <c r="E1782" s="30" t="s">
        <v>708</v>
      </c>
      <c r="F1782" s="30">
        <v>1</v>
      </c>
      <c r="G1782" s="44">
        <v>3500</v>
      </c>
      <c r="H1782" s="30"/>
      <c r="I1782" s="44"/>
      <c r="J1782" s="44"/>
      <c r="K1782" s="44">
        <f t="shared" si="60"/>
        <v>3500</v>
      </c>
      <c r="L1782" s="51">
        <v>20230830</v>
      </c>
    </row>
    <row r="1783" spans="1:12" x14ac:dyDescent="0.25">
      <c r="A1783" s="50" t="s">
        <v>2815</v>
      </c>
      <c r="B1783" s="30" t="s">
        <v>137</v>
      </c>
      <c r="C1783" s="30" t="s">
        <v>474</v>
      </c>
      <c r="D1783" s="30" t="s">
        <v>475</v>
      </c>
      <c r="E1783" s="30" t="s">
        <v>940</v>
      </c>
      <c r="F1783" s="30">
        <v>1</v>
      </c>
      <c r="G1783" s="44">
        <v>3500</v>
      </c>
      <c r="H1783" s="30"/>
      <c r="I1783" s="44"/>
      <c r="J1783" s="44"/>
      <c r="K1783" s="44">
        <f t="shared" si="60"/>
        <v>3500</v>
      </c>
      <c r="L1783" s="51">
        <v>20230830</v>
      </c>
    </row>
    <row r="1784" spans="1:12" x14ac:dyDescent="0.25">
      <c r="A1784" s="50" t="s">
        <v>2806</v>
      </c>
      <c r="B1784" s="30" t="s">
        <v>137</v>
      </c>
      <c r="C1784" s="30" t="s">
        <v>654</v>
      </c>
      <c r="D1784" s="30" t="s">
        <v>655</v>
      </c>
      <c r="E1784" s="30" t="s">
        <v>2516</v>
      </c>
      <c r="F1784" s="30">
        <v>1</v>
      </c>
      <c r="G1784" s="44">
        <v>3500</v>
      </c>
      <c r="H1784" s="30"/>
      <c r="I1784" s="44"/>
      <c r="J1784" s="44"/>
      <c r="K1784" s="44">
        <f t="shared" si="60"/>
        <v>3500</v>
      </c>
      <c r="L1784" s="51">
        <v>20230831</v>
      </c>
    </row>
    <row r="1785" spans="1:12" x14ac:dyDescent="0.25">
      <c r="A1785" s="50" t="s">
        <v>2805</v>
      </c>
      <c r="B1785" s="30" t="s">
        <v>137</v>
      </c>
      <c r="C1785" s="30" t="s">
        <v>654</v>
      </c>
      <c r="D1785" s="30" t="s">
        <v>655</v>
      </c>
      <c r="E1785" s="30" t="s">
        <v>662</v>
      </c>
      <c r="F1785" s="30">
        <v>1</v>
      </c>
      <c r="G1785" s="44">
        <v>3500</v>
      </c>
      <c r="H1785" s="30"/>
      <c r="I1785" s="44"/>
      <c r="J1785" s="44"/>
      <c r="K1785" s="44">
        <f t="shared" si="60"/>
        <v>3500</v>
      </c>
      <c r="L1785" s="51">
        <v>20230831</v>
      </c>
    </row>
    <row r="1786" spans="1:12" x14ac:dyDescent="0.25">
      <c r="A1786" s="50" t="s">
        <v>2804</v>
      </c>
      <c r="B1786" s="30" t="s">
        <v>137</v>
      </c>
      <c r="C1786" s="30" t="s">
        <v>654</v>
      </c>
      <c r="D1786" s="30" t="s">
        <v>655</v>
      </c>
      <c r="E1786" s="30" t="s">
        <v>660</v>
      </c>
      <c r="F1786" s="30">
        <v>1</v>
      </c>
      <c r="G1786" s="44">
        <v>3500</v>
      </c>
      <c r="H1786" s="30"/>
      <c r="I1786" s="44"/>
      <c r="J1786" s="44"/>
      <c r="K1786" s="44">
        <f t="shared" si="60"/>
        <v>3500</v>
      </c>
      <c r="L1786" s="51">
        <v>20230831</v>
      </c>
    </row>
    <row r="1787" spans="1:12" x14ac:dyDescent="0.25">
      <c r="A1787" s="50" t="s">
        <v>2841</v>
      </c>
      <c r="B1787" s="30" t="s">
        <v>137</v>
      </c>
      <c r="C1787" s="30" t="s">
        <v>251</v>
      </c>
      <c r="D1787" s="30" t="s">
        <v>252</v>
      </c>
      <c r="E1787" s="30" t="s">
        <v>2842</v>
      </c>
      <c r="F1787" s="30">
        <v>1</v>
      </c>
      <c r="G1787" s="44">
        <v>3500</v>
      </c>
      <c r="H1787" s="30"/>
      <c r="I1787" s="44"/>
      <c r="J1787" s="44"/>
      <c r="K1787" s="44">
        <f t="shared" si="60"/>
        <v>3500</v>
      </c>
      <c r="L1787" s="51">
        <v>20230831</v>
      </c>
    </row>
    <row r="1788" spans="1:12" x14ac:dyDescent="0.25">
      <c r="A1788" s="50" t="s">
        <v>2821</v>
      </c>
      <c r="B1788" s="30" t="s">
        <v>137</v>
      </c>
      <c r="C1788" s="30" t="s">
        <v>28</v>
      </c>
      <c r="D1788" s="30" t="s">
        <v>753</v>
      </c>
      <c r="E1788" s="30" t="s">
        <v>2637</v>
      </c>
      <c r="F1788" s="30">
        <v>1</v>
      </c>
      <c r="G1788" s="44">
        <v>3500</v>
      </c>
      <c r="H1788" s="30"/>
      <c r="I1788" s="44"/>
      <c r="J1788" s="44"/>
      <c r="K1788" s="44">
        <f t="shared" si="60"/>
        <v>3500</v>
      </c>
      <c r="L1788" s="51">
        <v>20230831</v>
      </c>
    </row>
    <row r="1789" spans="1:12" x14ac:dyDescent="0.25">
      <c r="A1789" s="50" t="s">
        <v>2817</v>
      </c>
      <c r="B1789" s="30" t="s">
        <v>137</v>
      </c>
      <c r="C1789" s="30" t="s">
        <v>28</v>
      </c>
      <c r="D1789" s="30" t="s">
        <v>753</v>
      </c>
      <c r="E1789" s="30" t="s">
        <v>754</v>
      </c>
      <c r="F1789" s="30">
        <v>1</v>
      </c>
      <c r="G1789" s="44">
        <v>3500</v>
      </c>
      <c r="H1789" s="30"/>
      <c r="I1789" s="44"/>
      <c r="J1789" s="44"/>
      <c r="K1789" s="44">
        <f t="shared" si="60"/>
        <v>3500</v>
      </c>
      <c r="L1789" s="51">
        <v>20230831</v>
      </c>
    </row>
    <row r="1790" spans="1:12" x14ac:dyDescent="0.25">
      <c r="A1790" s="50" t="s">
        <v>2807</v>
      </c>
      <c r="B1790" s="30" t="s">
        <v>137</v>
      </c>
      <c r="C1790" s="30" t="s">
        <v>28</v>
      </c>
      <c r="D1790" s="30" t="s">
        <v>1733</v>
      </c>
      <c r="E1790" s="30" t="s">
        <v>2808</v>
      </c>
      <c r="F1790" s="30">
        <v>1</v>
      </c>
      <c r="G1790" s="44">
        <v>3500</v>
      </c>
      <c r="H1790" s="30"/>
      <c r="I1790" s="44"/>
      <c r="J1790" s="44"/>
      <c r="K1790" s="44">
        <f t="shared" si="60"/>
        <v>3500</v>
      </c>
      <c r="L1790" s="51">
        <v>20230831</v>
      </c>
    </row>
    <row r="1791" spans="1:12" x14ac:dyDescent="0.25">
      <c r="A1791" s="50" t="s">
        <v>2827</v>
      </c>
      <c r="B1791" s="30" t="s">
        <v>137</v>
      </c>
      <c r="C1791" s="30" t="s">
        <v>26</v>
      </c>
      <c r="D1791" s="30" t="s">
        <v>582</v>
      </c>
      <c r="E1791" s="30" t="s">
        <v>589</v>
      </c>
      <c r="F1791" s="30">
        <v>1</v>
      </c>
      <c r="G1791" s="44">
        <v>3500</v>
      </c>
      <c r="H1791" s="30"/>
      <c r="I1791" s="44"/>
      <c r="J1791" s="44"/>
      <c r="K1791" s="44">
        <f t="shared" si="60"/>
        <v>3500</v>
      </c>
      <c r="L1791" s="51">
        <v>20230831</v>
      </c>
    </row>
    <row r="1792" spans="1:12" x14ac:dyDescent="0.25">
      <c r="A1792" s="50" t="s">
        <v>2826</v>
      </c>
      <c r="B1792" s="30" t="s">
        <v>137</v>
      </c>
      <c r="C1792" s="30" t="s">
        <v>26</v>
      </c>
      <c r="D1792" s="30" t="s">
        <v>582</v>
      </c>
      <c r="E1792" s="30" t="s">
        <v>587</v>
      </c>
      <c r="F1792" s="30">
        <v>1</v>
      </c>
      <c r="G1792" s="44">
        <v>3500</v>
      </c>
      <c r="H1792" s="30"/>
      <c r="I1792" s="44"/>
      <c r="J1792" s="44"/>
      <c r="K1792" s="44">
        <f t="shared" si="60"/>
        <v>3500</v>
      </c>
      <c r="L1792" s="51">
        <v>20230831</v>
      </c>
    </row>
    <row r="1793" spans="1:12" x14ac:dyDescent="0.25">
      <c r="A1793" s="50" t="s">
        <v>2825</v>
      </c>
      <c r="B1793" s="30" t="s">
        <v>137</v>
      </c>
      <c r="C1793" s="30" t="s">
        <v>26</v>
      </c>
      <c r="D1793" s="30" t="s">
        <v>582</v>
      </c>
      <c r="E1793" s="30" t="s">
        <v>583</v>
      </c>
      <c r="F1793" s="30">
        <v>1</v>
      </c>
      <c r="G1793" s="44">
        <v>3500</v>
      </c>
      <c r="H1793" s="30"/>
      <c r="I1793" s="44"/>
      <c r="J1793" s="44"/>
      <c r="K1793" s="44">
        <f t="shared" si="60"/>
        <v>3500</v>
      </c>
      <c r="L1793" s="51">
        <v>20230831</v>
      </c>
    </row>
    <row r="1794" spans="1:12" x14ac:dyDescent="0.25">
      <c r="A1794" s="50" t="s">
        <v>2830</v>
      </c>
      <c r="B1794" s="30" t="s">
        <v>137</v>
      </c>
      <c r="C1794" s="30" t="s">
        <v>2111</v>
      </c>
      <c r="D1794" s="30" t="s">
        <v>2112</v>
      </c>
      <c r="E1794" s="30" t="s">
        <v>2115</v>
      </c>
      <c r="F1794" s="30">
        <v>1</v>
      </c>
      <c r="G1794" s="44">
        <v>3500</v>
      </c>
      <c r="H1794" s="30"/>
      <c r="I1794" s="44"/>
      <c r="J1794" s="44"/>
      <c r="K1794" s="44">
        <f t="shared" si="60"/>
        <v>3500</v>
      </c>
      <c r="L1794" s="51">
        <v>20230831</v>
      </c>
    </row>
    <row r="1795" spans="1:12" x14ac:dyDescent="0.25">
      <c r="A1795" s="50" t="s">
        <v>2829</v>
      </c>
      <c r="B1795" s="30" t="s">
        <v>137</v>
      </c>
      <c r="C1795" s="30" t="s">
        <v>2111</v>
      </c>
      <c r="D1795" s="30" t="s">
        <v>2112</v>
      </c>
      <c r="E1795" s="30" t="s">
        <v>2113</v>
      </c>
      <c r="F1795" s="30">
        <v>1</v>
      </c>
      <c r="G1795" s="44">
        <v>3500</v>
      </c>
      <c r="H1795" s="30"/>
      <c r="I1795" s="44"/>
      <c r="J1795" s="44"/>
      <c r="K1795" s="44">
        <f t="shared" si="60"/>
        <v>3500</v>
      </c>
      <c r="L1795" s="51">
        <v>20230831</v>
      </c>
    </row>
    <row r="1796" spans="1:12" x14ac:dyDescent="0.25">
      <c r="A1796" s="50" t="s">
        <v>2812</v>
      </c>
      <c r="B1796" s="30" t="s">
        <v>137</v>
      </c>
      <c r="C1796" s="30" t="s">
        <v>1006</v>
      </c>
      <c r="D1796" s="30" t="s">
        <v>24</v>
      </c>
      <c r="E1796" s="30" t="s">
        <v>2364</v>
      </c>
      <c r="F1796" s="30">
        <v>1</v>
      </c>
      <c r="G1796" s="44">
        <v>3500</v>
      </c>
      <c r="H1796" s="30"/>
      <c r="I1796" s="44"/>
      <c r="J1796" s="44"/>
      <c r="K1796" s="44">
        <f t="shared" si="60"/>
        <v>3500</v>
      </c>
      <c r="L1796" s="51">
        <v>20230831</v>
      </c>
    </row>
    <row r="1797" spans="1:12" x14ac:dyDescent="0.25">
      <c r="A1797" s="50" t="s">
        <v>2811</v>
      </c>
      <c r="B1797" s="30" t="s">
        <v>137</v>
      </c>
      <c r="C1797" s="30" t="s">
        <v>1006</v>
      </c>
      <c r="D1797" s="30" t="s">
        <v>24</v>
      </c>
      <c r="E1797" s="30" t="s">
        <v>2362</v>
      </c>
      <c r="F1797" s="30">
        <v>1</v>
      </c>
      <c r="G1797" s="44">
        <v>3500</v>
      </c>
      <c r="H1797" s="30"/>
      <c r="I1797" s="44"/>
      <c r="J1797" s="44"/>
      <c r="K1797" s="44">
        <f t="shared" si="60"/>
        <v>3500</v>
      </c>
      <c r="L1797" s="51">
        <v>20230831</v>
      </c>
    </row>
    <row r="1798" spans="1:12" x14ac:dyDescent="0.25">
      <c r="A1798" s="50" t="s">
        <v>2813</v>
      </c>
      <c r="B1798" s="30" t="s">
        <v>137</v>
      </c>
      <c r="C1798" s="30" t="s">
        <v>29</v>
      </c>
      <c r="D1798" s="30" t="s">
        <v>2548</v>
      </c>
      <c r="E1798" s="30" t="s">
        <v>390</v>
      </c>
      <c r="F1798" s="30">
        <v>1</v>
      </c>
      <c r="G1798" s="44">
        <v>3500</v>
      </c>
      <c r="H1798" s="30"/>
      <c r="I1798" s="44"/>
      <c r="J1798" s="44"/>
      <c r="K1798" s="44">
        <f t="shared" si="60"/>
        <v>3500</v>
      </c>
      <c r="L1798" s="51">
        <v>20230831</v>
      </c>
    </row>
    <row r="1799" spans="1:12" x14ac:dyDescent="0.25">
      <c r="A1799" s="50" t="s">
        <v>2854</v>
      </c>
      <c r="B1799" s="30" t="s">
        <v>137</v>
      </c>
      <c r="C1799" s="30" t="s">
        <v>94</v>
      </c>
      <c r="D1799" s="30" t="s">
        <v>95</v>
      </c>
      <c r="E1799" s="30" t="s">
        <v>2855</v>
      </c>
      <c r="F1799" s="30">
        <v>1</v>
      </c>
      <c r="G1799" s="44">
        <v>3500</v>
      </c>
      <c r="H1799" s="30"/>
      <c r="I1799" s="44"/>
      <c r="J1799" s="44"/>
      <c r="K1799" s="44">
        <f t="shared" si="60"/>
        <v>3500</v>
      </c>
      <c r="L1799" s="51">
        <v>20230831</v>
      </c>
    </row>
    <row r="1800" spans="1:12" ht="15.75" thickBot="1" x14ac:dyDescent="0.3">
      <c r="A1800" s="54" t="s">
        <v>2856</v>
      </c>
      <c r="B1800" s="36" t="s">
        <v>137</v>
      </c>
      <c r="C1800" s="36" t="s">
        <v>94</v>
      </c>
      <c r="D1800" s="36" t="s">
        <v>95</v>
      </c>
      <c r="E1800" s="36" t="s">
        <v>1398</v>
      </c>
      <c r="F1800" s="36">
        <v>1</v>
      </c>
      <c r="G1800" s="65">
        <v>3500</v>
      </c>
      <c r="H1800" s="36"/>
      <c r="I1800" s="65"/>
      <c r="J1800" s="65"/>
      <c r="K1800" s="65">
        <f t="shared" ref="K1800" si="61">J1800+G1800</f>
        <v>3500</v>
      </c>
      <c r="L1800" s="55">
        <v>20230831</v>
      </c>
    </row>
    <row r="1804" spans="1:12" ht="15.75" thickBot="1" x14ac:dyDescent="0.3">
      <c r="A1804" s="69" t="s">
        <v>0</v>
      </c>
      <c r="B1804" s="70" t="s">
        <v>1</v>
      </c>
      <c r="C1804" s="70" t="s">
        <v>2</v>
      </c>
      <c r="D1804" s="70" t="s">
        <v>3</v>
      </c>
      <c r="E1804" s="70" t="s">
        <v>4</v>
      </c>
      <c r="F1804" s="70"/>
      <c r="G1804" s="71" t="s">
        <v>6</v>
      </c>
      <c r="H1804" s="70" t="s">
        <v>7</v>
      </c>
      <c r="I1804" s="71" t="s">
        <v>8</v>
      </c>
      <c r="J1804" s="71" t="s">
        <v>9</v>
      </c>
      <c r="K1804" s="71" t="s">
        <v>10</v>
      </c>
      <c r="L1804" s="72" t="s">
        <v>5</v>
      </c>
    </row>
    <row r="1805" spans="1:12" x14ac:dyDescent="0.25">
      <c r="A1805" s="218" t="s">
        <v>3049</v>
      </c>
      <c r="B1805" s="219" t="s">
        <v>11</v>
      </c>
      <c r="C1805" s="219" t="s">
        <v>337</v>
      </c>
      <c r="D1805" s="219" t="s">
        <v>35</v>
      </c>
      <c r="E1805" s="219" t="s">
        <v>511</v>
      </c>
      <c r="F1805" s="219">
        <v>1</v>
      </c>
      <c r="G1805" s="220">
        <v>6900</v>
      </c>
      <c r="H1805" s="219"/>
      <c r="I1805" s="220"/>
      <c r="J1805" s="220"/>
      <c r="K1805" s="220">
        <f t="shared" ref="K1805:K1840" si="62">J1805+G1805</f>
        <v>6900</v>
      </c>
      <c r="L1805" s="221">
        <v>20230803</v>
      </c>
    </row>
    <row r="1806" spans="1:12" x14ac:dyDescent="0.25">
      <c r="A1806" s="52" t="s">
        <v>3043</v>
      </c>
      <c r="B1806" s="32" t="s">
        <v>11</v>
      </c>
      <c r="C1806" s="32" t="s">
        <v>28</v>
      </c>
      <c r="D1806" s="32" t="s">
        <v>1710</v>
      </c>
      <c r="E1806" s="32" t="s">
        <v>3044</v>
      </c>
      <c r="F1806" s="32">
        <v>1</v>
      </c>
      <c r="G1806" s="45">
        <v>7000</v>
      </c>
      <c r="H1806" s="32">
        <v>177</v>
      </c>
      <c r="I1806" s="45">
        <v>86</v>
      </c>
      <c r="J1806" s="45">
        <f>I1806*H1806</f>
        <v>15222</v>
      </c>
      <c r="K1806" s="45">
        <f t="shared" si="62"/>
        <v>22222</v>
      </c>
      <c r="L1806" s="53">
        <v>20230904</v>
      </c>
    </row>
    <row r="1807" spans="1:12" x14ac:dyDescent="0.25">
      <c r="A1807" s="50" t="s">
        <v>3045</v>
      </c>
      <c r="B1807" s="30" t="s">
        <v>11</v>
      </c>
      <c r="C1807" s="30" t="s">
        <v>26</v>
      </c>
      <c r="D1807" s="30" t="s">
        <v>3037</v>
      </c>
      <c r="E1807" s="30" t="s">
        <v>3046</v>
      </c>
      <c r="F1807" s="30">
        <v>1</v>
      </c>
      <c r="G1807" s="44">
        <v>7000</v>
      </c>
      <c r="H1807" s="30"/>
      <c r="I1807" s="44"/>
      <c r="J1807" s="44"/>
      <c r="K1807" s="44">
        <f t="shared" si="62"/>
        <v>7000</v>
      </c>
      <c r="L1807" s="51">
        <v>20230905</v>
      </c>
    </row>
    <row r="1808" spans="1:12" x14ac:dyDescent="0.25">
      <c r="A1808" s="50" t="s">
        <v>3040</v>
      </c>
      <c r="B1808" s="30" t="s">
        <v>11</v>
      </c>
      <c r="C1808" s="30" t="s">
        <v>134</v>
      </c>
      <c r="D1808" s="30" t="s">
        <v>135</v>
      </c>
      <c r="E1808" s="30" t="s">
        <v>190</v>
      </c>
      <c r="F1808" s="30">
        <v>1</v>
      </c>
      <c r="G1808" s="44">
        <v>7000</v>
      </c>
      <c r="H1808" s="30"/>
      <c r="I1808" s="44"/>
      <c r="J1808" s="44"/>
      <c r="K1808" s="44">
        <f t="shared" si="62"/>
        <v>7000</v>
      </c>
      <c r="L1808" s="51">
        <v>20230905</v>
      </c>
    </row>
    <row r="1809" spans="1:12" x14ac:dyDescent="0.25">
      <c r="A1809" s="50" t="s">
        <v>3041</v>
      </c>
      <c r="B1809" s="30" t="s">
        <v>11</v>
      </c>
      <c r="C1809" s="30" t="s">
        <v>26</v>
      </c>
      <c r="D1809" s="30" t="s">
        <v>2874</v>
      </c>
      <c r="E1809" s="30" t="s">
        <v>2890</v>
      </c>
      <c r="F1809" s="30">
        <v>1</v>
      </c>
      <c r="G1809" s="44">
        <v>7000</v>
      </c>
      <c r="H1809" s="30"/>
      <c r="I1809" s="44"/>
      <c r="J1809" s="44"/>
      <c r="K1809" s="44">
        <f t="shared" si="62"/>
        <v>7000</v>
      </c>
      <c r="L1809" s="51">
        <v>20230906</v>
      </c>
    </row>
    <row r="1810" spans="1:12" x14ac:dyDescent="0.25">
      <c r="A1810" s="50" t="s">
        <v>3042</v>
      </c>
      <c r="B1810" s="30" t="s">
        <v>11</v>
      </c>
      <c r="C1810" s="30" t="s">
        <v>712</v>
      </c>
      <c r="D1810" s="30" t="s">
        <v>713</v>
      </c>
      <c r="E1810" s="30" t="s">
        <v>720</v>
      </c>
      <c r="F1810" s="30">
        <v>1</v>
      </c>
      <c r="G1810" s="44">
        <v>7000</v>
      </c>
      <c r="H1810" s="30"/>
      <c r="I1810" s="44"/>
      <c r="J1810" s="44"/>
      <c r="K1810" s="44">
        <f t="shared" si="62"/>
        <v>7000</v>
      </c>
      <c r="L1810" s="51">
        <v>20230906</v>
      </c>
    </row>
    <row r="1811" spans="1:12" x14ac:dyDescent="0.25">
      <c r="A1811" s="50" t="s">
        <v>3033</v>
      </c>
      <c r="B1811" s="30" t="s">
        <v>11</v>
      </c>
      <c r="C1811" s="30" t="s">
        <v>134</v>
      </c>
      <c r="D1811" s="30" t="s">
        <v>135</v>
      </c>
      <c r="E1811" s="30" t="s">
        <v>190</v>
      </c>
      <c r="F1811" s="30">
        <v>1</v>
      </c>
      <c r="G1811" s="44">
        <v>7000</v>
      </c>
      <c r="H1811" s="30"/>
      <c r="I1811" s="44"/>
      <c r="J1811" s="44"/>
      <c r="K1811" s="44">
        <f t="shared" si="62"/>
        <v>7000</v>
      </c>
      <c r="L1811" s="51">
        <v>20230906</v>
      </c>
    </row>
    <row r="1812" spans="1:12" x14ac:dyDescent="0.25">
      <c r="A1812" s="50" t="s">
        <v>3039</v>
      </c>
      <c r="B1812" s="30" t="s">
        <v>11</v>
      </c>
      <c r="C1812" s="30" t="s">
        <v>1450</v>
      </c>
      <c r="D1812" s="30" t="s">
        <v>1592</v>
      </c>
      <c r="E1812" s="30" t="s">
        <v>1593</v>
      </c>
      <c r="F1812" s="30">
        <v>1</v>
      </c>
      <c r="G1812" s="44">
        <v>7000</v>
      </c>
      <c r="H1812" s="30"/>
      <c r="I1812" s="44"/>
      <c r="J1812" s="44"/>
      <c r="K1812" s="44">
        <f t="shared" si="62"/>
        <v>7000</v>
      </c>
      <c r="L1812" s="51">
        <v>20230906</v>
      </c>
    </row>
    <row r="1813" spans="1:12" x14ac:dyDescent="0.25">
      <c r="A1813" s="50" t="s">
        <v>3047</v>
      </c>
      <c r="B1813" s="30" t="s">
        <v>11</v>
      </c>
      <c r="C1813" s="30" t="s">
        <v>29</v>
      </c>
      <c r="D1813" s="30" t="s">
        <v>1385</v>
      </c>
      <c r="E1813" s="30" t="s">
        <v>1290</v>
      </c>
      <c r="F1813" s="30">
        <v>1</v>
      </c>
      <c r="G1813" s="44">
        <v>7000</v>
      </c>
      <c r="H1813" s="30"/>
      <c r="I1813" s="44"/>
      <c r="J1813" s="44"/>
      <c r="K1813" s="44">
        <f t="shared" si="62"/>
        <v>7000</v>
      </c>
      <c r="L1813" s="51">
        <v>20230906</v>
      </c>
    </row>
    <row r="1814" spans="1:12" x14ac:dyDescent="0.25">
      <c r="A1814" s="52" t="s">
        <v>3035</v>
      </c>
      <c r="B1814" s="32" t="s">
        <v>11</v>
      </c>
      <c r="C1814" s="32" t="s">
        <v>270</v>
      </c>
      <c r="D1814" s="32" t="s">
        <v>494</v>
      </c>
      <c r="E1814" s="32" t="s">
        <v>495</v>
      </c>
      <c r="F1814" s="32">
        <v>1</v>
      </c>
      <c r="G1814" s="45">
        <v>7000</v>
      </c>
      <c r="H1814" s="32">
        <v>123</v>
      </c>
      <c r="I1814" s="45">
        <v>86</v>
      </c>
      <c r="J1814" s="45">
        <f>I1814*H1814</f>
        <v>10578</v>
      </c>
      <c r="K1814" s="45">
        <f t="shared" si="62"/>
        <v>17578</v>
      </c>
      <c r="L1814" s="53">
        <v>20230907</v>
      </c>
    </row>
    <row r="1815" spans="1:12" x14ac:dyDescent="0.25">
      <c r="A1815" s="50" t="s">
        <v>3029</v>
      </c>
      <c r="B1815" s="30" t="s">
        <v>11</v>
      </c>
      <c r="C1815" s="30" t="s">
        <v>163</v>
      </c>
      <c r="D1815" s="30" t="s">
        <v>164</v>
      </c>
      <c r="E1815" s="30" t="s">
        <v>3030</v>
      </c>
      <c r="F1815" s="30">
        <v>1</v>
      </c>
      <c r="G1815" s="44">
        <v>7000</v>
      </c>
      <c r="H1815" s="30"/>
      <c r="I1815" s="44"/>
      <c r="J1815" s="44"/>
      <c r="K1815" s="44">
        <f t="shared" si="62"/>
        <v>7000</v>
      </c>
      <c r="L1815" s="51">
        <v>20230907</v>
      </c>
    </row>
    <row r="1816" spans="1:12" x14ac:dyDescent="0.25">
      <c r="A1816" s="50" t="s">
        <v>3034</v>
      </c>
      <c r="B1816" s="30" t="s">
        <v>11</v>
      </c>
      <c r="C1816" s="30" t="s">
        <v>505</v>
      </c>
      <c r="D1816" s="30" t="s">
        <v>24</v>
      </c>
      <c r="E1816" s="30" t="s">
        <v>931</v>
      </c>
      <c r="F1816" s="30">
        <v>1</v>
      </c>
      <c r="G1816" s="44">
        <v>7000</v>
      </c>
      <c r="H1816" s="30"/>
      <c r="I1816" s="44"/>
      <c r="J1816" s="44"/>
      <c r="K1816" s="44">
        <f t="shared" si="62"/>
        <v>7000</v>
      </c>
      <c r="L1816" s="51">
        <v>20230911</v>
      </c>
    </row>
    <row r="1817" spans="1:12" x14ac:dyDescent="0.25">
      <c r="A1817" s="50" t="s">
        <v>3028</v>
      </c>
      <c r="B1817" s="30" t="s">
        <v>11</v>
      </c>
      <c r="C1817" s="30" t="s">
        <v>57</v>
      </c>
      <c r="D1817" s="30" t="s">
        <v>58</v>
      </c>
      <c r="E1817" s="30" t="s">
        <v>60</v>
      </c>
      <c r="F1817" s="30">
        <v>1</v>
      </c>
      <c r="G1817" s="44">
        <v>7000</v>
      </c>
      <c r="H1817" s="30"/>
      <c r="I1817" s="44"/>
      <c r="J1817" s="44"/>
      <c r="K1817" s="44">
        <f t="shared" si="62"/>
        <v>7000</v>
      </c>
      <c r="L1817" s="51">
        <v>20230911</v>
      </c>
    </row>
    <row r="1818" spans="1:12" x14ac:dyDescent="0.25">
      <c r="A1818" s="50" t="s">
        <v>3027</v>
      </c>
      <c r="B1818" s="30" t="s">
        <v>11</v>
      </c>
      <c r="C1818" s="30" t="s">
        <v>2109</v>
      </c>
      <c r="D1818" s="30" t="s">
        <v>24</v>
      </c>
      <c r="E1818" s="30" t="s">
        <v>2459</v>
      </c>
      <c r="F1818" s="30">
        <v>1</v>
      </c>
      <c r="G1818" s="44">
        <v>7000</v>
      </c>
      <c r="H1818" s="30"/>
      <c r="I1818" s="44"/>
      <c r="J1818" s="44"/>
      <c r="K1818" s="44">
        <f t="shared" si="62"/>
        <v>7000</v>
      </c>
      <c r="L1818" s="51">
        <v>20230911</v>
      </c>
    </row>
    <row r="1819" spans="1:12" x14ac:dyDescent="0.25">
      <c r="A1819" s="52" t="s">
        <v>3031</v>
      </c>
      <c r="B1819" s="32" t="s">
        <v>11</v>
      </c>
      <c r="C1819" s="32" t="s">
        <v>337</v>
      </c>
      <c r="D1819" s="32" t="s">
        <v>35</v>
      </c>
      <c r="E1819" s="32" t="s">
        <v>157</v>
      </c>
      <c r="F1819" s="32">
        <v>1</v>
      </c>
      <c r="G1819" s="45">
        <v>7000</v>
      </c>
      <c r="H1819" s="32">
        <v>72</v>
      </c>
      <c r="I1819" s="45">
        <v>86</v>
      </c>
      <c r="J1819" s="45">
        <f>I1819*H1819</f>
        <v>6192</v>
      </c>
      <c r="K1819" s="45">
        <f t="shared" si="62"/>
        <v>13192</v>
      </c>
      <c r="L1819" s="53">
        <v>20230912</v>
      </c>
    </row>
    <row r="1820" spans="1:12" x14ac:dyDescent="0.25">
      <c r="A1820" s="52" t="s">
        <v>3022</v>
      </c>
      <c r="B1820" s="32" t="s">
        <v>11</v>
      </c>
      <c r="C1820" s="32" t="s">
        <v>270</v>
      </c>
      <c r="D1820" s="32" t="s">
        <v>494</v>
      </c>
      <c r="E1820" s="32" t="s">
        <v>495</v>
      </c>
      <c r="F1820" s="32">
        <v>1</v>
      </c>
      <c r="G1820" s="45">
        <v>7000</v>
      </c>
      <c r="H1820" s="32">
        <v>123</v>
      </c>
      <c r="I1820" s="45">
        <v>86</v>
      </c>
      <c r="J1820" s="45">
        <f>I1820*H1820</f>
        <v>10578</v>
      </c>
      <c r="K1820" s="45">
        <f t="shared" si="62"/>
        <v>17578</v>
      </c>
      <c r="L1820" s="53">
        <v>20230912</v>
      </c>
    </row>
    <row r="1821" spans="1:12" x14ac:dyDescent="0.25">
      <c r="A1821" s="50" t="s">
        <v>3023</v>
      </c>
      <c r="B1821" s="30" t="s">
        <v>11</v>
      </c>
      <c r="C1821" s="30" t="s">
        <v>26</v>
      </c>
      <c r="D1821" s="30" t="s">
        <v>2874</v>
      </c>
      <c r="E1821" s="30" t="s">
        <v>2890</v>
      </c>
      <c r="F1821" s="30">
        <v>1</v>
      </c>
      <c r="G1821" s="44">
        <v>7000</v>
      </c>
      <c r="H1821" s="30"/>
      <c r="I1821" s="44"/>
      <c r="J1821" s="44"/>
      <c r="K1821" s="44">
        <f t="shared" si="62"/>
        <v>7000</v>
      </c>
      <c r="L1821" s="51">
        <v>20230912</v>
      </c>
    </row>
    <row r="1822" spans="1:12" x14ac:dyDescent="0.25">
      <c r="A1822" s="50" t="s">
        <v>3026</v>
      </c>
      <c r="B1822" s="30" t="s">
        <v>11</v>
      </c>
      <c r="C1822" s="30" t="s">
        <v>94</v>
      </c>
      <c r="D1822" s="30" t="s">
        <v>95</v>
      </c>
      <c r="E1822" s="30" t="s">
        <v>2583</v>
      </c>
      <c r="F1822" s="30">
        <v>1</v>
      </c>
      <c r="G1822" s="44">
        <v>7000</v>
      </c>
      <c r="H1822" s="30"/>
      <c r="I1822" s="44"/>
      <c r="J1822" s="44"/>
      <c r="K1822" s="44">
        <f t="shared" si="62"/>
        <v>7000</v>
      </c>
      <c r="L1822" s="51">
        <v>20230912</v>
      </c>
    </row>
    <row r="1823" spans="1:12" x14ac:dyDescent="0.25">
      <c r="A1823" s="50" t="s">
        <v>3015</v>
      </c>
      <c r="B1823" s="30" t="s">
        <v>11</v>
      </c>
      <c r="C1823" s="30" t="s">
        <v>270</v>
      </c>
      <c r="D1823" s="30" t="s">
        <v>494</v>
      </c>
      <c r="E1823" s="30" t="s">
        <v>596</v>
      </c>
      <c r="F1823" s="30">
        <v>1</v>
      </c>
      <c r="G1823" s="44">
        <v>7000</v>
      </c>
      <c r="H1823" s="30"/>
      <c r="I1823" s="44"/>
      <c r="J1823" s="44"/>
      <c r="K1823" s="44">
        <f t="shared" si="62"/>
        <v>7000</v>
      </c>
      <c r="L1823" s="51">
        <v>20230913</v>
      </c>
    </row>
    <row r="1824" spans="1:12" x14ac:dyDescent="0.25">
      <c r="A1824" s="50" t="s">
        <v>3024</v>
      </c>
      <c r="B1824" s="30" t="s">
        <v>11</v>
      </c>
      <c r="C1824" s="30" t="s">
        <v>29</v>
      </c>
      <c r="D1824" s="30" t="s">
        <v>1385</v>
      </c>
      <c r="E1824" s="30" t="s">
        <v>209</v>
      </c>
      <c r="F1824" s="30">
        <v>1</v>
      </c>
      <c r="G1824" s="44">
        <v>7000</v>
      </c>
      <c r="H1824" s="30"/>
      <c r="I1824" s="44"/>
      <c r="J1824" s="44"/>
      <c r="K1824" s="44">
        <f t="shared" si="62"/>
        <v>7000</v>
      </c>
      <c r="L1824" s="51">
        <v>20230913</v>
      </c>
    </row>
    <row r="1825" spans="1:12" x14ac:dyDescent="0.25">
      <c r="A1825" s="50" t="s">
        <v>3032</v>
      </c>
      <c r="B1825" s="30" t="s">
        <v>11</v>
      </c>
      <c r="C1825" s="30" t="s">
        <v>26</v>
      </c>
      <c r="D1825" s="30" t="s">
        <v>544</v>
      </c>
      <c r="E1825" s="30" t="s">
        <v>545</v>
      </c>
      <c r="F1825" s="30">
        <v>1</v>
      </c>
      <c r="G1825" s="44">
        <v>7000</v>
      </c>
      <c r="H1825" s="30"/>
      <c r="I1825" s="44"/>
      <c r="J1825" s="44"/>
      <c r="K1825" s="44">
        <f t="shared" si="62"/>
        <v>7000</v>
      </c>
      <c r="L1825" s="51">
        <v>20230914</v>
      </c>
    </row>
    <row r="1826" spans="1:12" x14ac:dyDescent="0.25">
      <c r="A1826" s="50" t="s">
        <v>3004</v>
      </c>
      <c r="B1826" s="30" t="s">
        <v>11</v>
      </c>
      <c r="C1826" s="30" t="s">
        <v>57</v>
      </c>
      <c r="D1826" s="30" t="s">
        <v>58</v>
      </c>
      <c r="E1826" s="30" t="s">
        <v>62</v>
      </c>
      <c r="F1826" s="30">
        <v>1</v>
      </c>
      <c r="G1826" s="44">
        <v>7000</v>
      </c>
      <c r="H1826" s="30"/>
      <c r="I1826" s="44"/>
      <c r="J1826" s="44"/>
      <c r="K1826" s="44">
        <f t="shared" si="62"/>
        <v>7000</v>
      </c>
      <c r="L1826" s="51">
        <v>20230914</v>
      </c>
    </row>
    <row r="1827" spans="1:12" x14ac:dyDescent="0.25">
      <c r="A1827" s="50" t="s">
        <v>2984</v>
      </c>
      <c r="B1827" s="30" t="s">
        <v>11</v>
      </c>
      <c r="C1827" s="30" t="s">
        <v>251</v>
      </c>
      <c r="D1827" s="30" t="s">
        <v>2985</v>
      </c>
      <c r="E1827" s="30" t="s">
        <v>2986</v>
      </c>
      <c r="F1827" s="30">
        <v>1</v>
      </c>
      <c r="G1827" s="44">
        <v>7000</v>
      </c>
      <c r="H1827" s="30"/>
      <c r="I1827" s="44"/>
      <c r="J1827" s="44"/>
      <c r="K1827" s="44">
        <f t="shared" si="62"/>
        <v>7000</v>
      </c>
      <c r="L1827" s="51">
        <v>20230920</v>
      </c>
    </row>
    <row r="1828" spans="1:12" x14ac:dyDescent="0.25">
      <c r="A1828" s="50" t="s">
        <v>2983</v>
      </c>
      <c r="B1828" s="30" t="s">
        <v>11</v>
      </c>
      <c r="C1828" s="30" t="s">
        <v>26</v>
      </c>
      <c r="D1828" s="30" t="s">
        <v>307</v>
      </c>
      <c r="E1828" s="30" t="s">
        <v>314</v>
      </c>
      <c r="F1828" s="30">
        <v>1</v>
      </c>
      <c r="G1828" s="44">
        <v>7000</v>
      </c>
      <c r="H1828" s="30"/>
      <c r="I1828" s="44"/>
      <c r="J1828" s="44"/>
      <c r="K1828" s="44">
        <f t="shared" si="62"/>
        <v>7000</v>
      </c>
      <c r="L1828" s="51">
        <v>20230920</v>
      </c>
    </row>
    <row r="1829" spans="1:12" x14ac:dyDescent="0.25">
      <c r="A1829" s="50" t="s">
        <v>2993</v>
      </c>
      <c r="B1829" s="30" t="s">
        <v>11</v>
      </c>
      <c r="C1829" s="30" t="s">
        <v>26</v>
      </c>
      <c r="D1829" s="30" t="s">
        <v>2978</v>
      </c>
      <c r="E1829" s="30" t="s">
        <v>2994</v>
      </c>
      <c r="F1829" s="30">
        <v>1</v>
      </c>
      <c r="G1829" s="44">
        <v>7000</v>
      </c>
      <c r="H1829" s="30"/>
      <c r="I1829" s="44"/>
      <c r="J1829" s="44"/>
      <c r="K1829" s="44">
        <f t="shared" si="62"/>
        <v>7000</v>
      </c>
      <c r="L1829" s="51">
        <v>20230920</v>
      </c>
    </row>
    <row r="1830" spans="1:12" x14ac:dyDescent="0.25">
      <c r="A1830" s="50" t="s">
        <v>3025</v>
      </c>
      <c r="B1830" s="30" t="s">
        <v>11</v>
      </c>
      <c r="C1830" s="30" t="s">
        <v>919</v>
      </c>
      <c r="D1830" s="30" t="s">
        <v>95</v>
      </c>
      <c r="E1830" s="30" t="s">
        <v>2496</v>
      </c>
      <c r="F1830" s="30">
        <v>1</v>
      </c>
      <c r="G1830" s="44">
        <v>7000</v>
      </c>
      <c r="H1830" s="30"/>
      <c r="I1830" s="44"/>
      <c r="J1830" s="44"/>
      <c r="K1830" s="44">
        <f t="shared" si="62"/>
        <v>7000</v>
      </c>
      <c r="L1830" s="51">
        <v>20230920</v>
      </c>
    </row>
    <row r="1831" spans="1:12" x14ac:dyDescent="0.25">
      <c r="A1831" s="50" t="s">
        <v>2992</v>
      </c>
      <c r="B1831" s="30" t="s">
        <v>892</v>
      </c>
      <c r="C1831" s="30" t="s">
        <v>251</v>
      </c>
      <c r="D1831" s="30" t="s">
        <v>933</v>
      </c>
      <c r="E1831" s="30" t="s">
        <v>934</v>
      </c>
      <c r="F1831" s="30">
        <v>1</v>
      </c>
      <c r="G1831" s="44">
        <v>7000</v>
      </c>
      <c r="H1831" s="30"/>
      <c r="I1831" s="44"/>
      <c r="J1831" s="44"/>
      <c r="K1831" s="44">
        <f t="shared" si="62"/>
        <v>7000</v>
      </c>
      <c r="L1831" s="51">
        <v>20230920</v>
      </c>
    </row>
    <row r="1832" spans="1:12" x14ac:dyDescent="0.25">
      <c r="A1832" s="50" t="s">
        <v>2982</v>
      </c>
      <c r="B1832" s="30" t="s">
        <v>11</v>
      </c>
      <c r="C1832" s="30" t="s">
        <v>364</v>
      </c>
      <c r="D1832" s="30" t="s">
        <v>24</v>
      </c>
      <c r="E1832" s="30" t="s">
        <v>532</v>
      </c>
      <c r="F1832" s="30">
        <v>1</v>
      </c>
      <c r="G1832" s="44">
        <v>7000</v>
      </c>
      <c r="H1832" s="30"/>
      <c r="I1832" s="44"/>
      <c r="J1832" s="44"/>
      <c r="K1832" s="44">
        <f t="shared" si="62"/>
        <v>7000</v>
      </c>
      <c r="L1832" s="51">
        <v>20230921</v>
      </c>
    </row>
    <row r="1833" spans="1:12" x14ac:dyDescent="0.25">
      <c r="A1833" s="50" t="s">
        <v>2956</v>
      </c>
      <c r="B1833" s="30" t="s">
        <v>11</v>
      </c>
      <c r="C1833" s="30" t="s">
        <v>29</v>
      </c>
      <c r="D1833" s="30" t="s">
        <v>1385</v>
      </c>
      <c r="E1833" s="30" t="s">
        <v>1290</v>
      </c>
      <c r="F1833" s="30">
        <v>1</v>
      </c>
      <c r="G1833" s="44">
        <v>7000</v>
      </c>
      <c r="H1833" s="30"/>
      <c r="I1833" s="44"/>
      <c r="J1833" s="44"/>
      <c r="K1833" s="44">
        <f t="shared" si="62"/>
        <v>7000</v>
      </c>
      <c r="L1833" s="51">
        <v>20230921</v>
      </c>
    </row>
    <row r="1834" spans="1:12" x14ac:dyDescent="0.25">
      <c r="A1834" s="50" t="s">
        <v>2957</v>
      </c>
      <c r="B1834" s="30" t="s">
        <v>11</v>
      </c>
      <c r="C1834" s="30" t="s">
        <v>29</v>
      </c>
      <c r="D1834" s="30" t="s">
        <v>735</v>
      </c>
      <c r="E1834" s="30" t="s">
        <v>736</v>
      </c>
      <c r="F1834" s="30">
        <v>1</v>
      </c>
      <c r="G1834" s="44">
        <v>7000</v>
      </c>
      <c r="H1834" s="30"/>
      <c r="I1834" s="44"/>
      <c r="J1834" s="44"/>
      <c r="K1834" s="44">
        <f t="shared" si="62"/>
        <v>7000</v>
      </c>
      <c r="L1834" s="51">
        <v>20230921</v>
      </c>
    </row>
    <row r="1835" spans="1:12" x14ac:dyDescent="0.25">
      <c r="A1835" s="52" t="s">
        <v>2958</v>
      </c>
      <c r="B1835" s="32" t="s">
        <v>11</v>
      </c>
      <c r="C1835" s="32" t="s">
        <v>26</v>
      </c>
      <c r="D1835" s="32" t="s">
        <v>497</v>
      </c>
      <c r="E1835" s="32" t="s">
        <v>2282</v>
      </c>
      <c r="F1835" s="32">
        <v>1</v>
      </c>
      <c r="G1835" s="45">
        <v>7000</v>
      </c>
      <c r="H1835" s="32">
        <v>152</v>
      </c>
      <c r="I1835" s="45">
        <v>86</v>
      </c>
      <c r="J1835" s="45">
        <f>I1835*H1835</f>
        <v>13072</v>
      </c>
      <c r="K1835" s="45">
        <f t="shared" si="62"/>
        <v>20072</v>
      </c>
      <c r="L1835" s="53">
        <v>20230922</v>
      </c>
    </row>
    <row r="1836" spans="1:12" x14ac:dyDescent="0.25">
      <c r="A1836" s="50" t="s">
        <v>2947</v>
      </c>
      <c r="B1836" s="30" t="s">
        <v>11</v>
      </c>
      <c r="C1836" s="30" t="s">
        <v>251</v>
      </c>
      <c r="D1836" s="30" t="s">
        <v>933</v>
      </c>
      <c r="E1836" s="30" t="s">
        <v>934</v>
      </c>
      <c r="F1836" s="30">
        <v>1</v>
      </c>
      <c r="G1836" s="44">
        <v>7000</v>
      </c>
      <c r="H1836" s="30"/>
      <c r="I1836" s="44"/>
      <c r="J1836" s="44"/>
      <c r="K1836" s="44">
        <f t="shared" si="62"/>
        <v>7000</v>
      </c>
      <c r="L1836" s="51">
        <v>20230925</v>
      </c>
    </row>
    <row r="1837" spans="1:12" x14ac:dyDescent="0.25">
      <c r="A1837" s="50" t="s">
        <v>2945</v>
      </c>
      <c r="B1837" s="30" t="s">
        <v>11</v>
      </c>
      <c r="C1837" s="30" t="s">
        <v>26</v>
      </c>
      <c r="D1837" s="30" t="s">
        <v>204</v>
      </c>
      <c r="E1837" s="30" t="s">
        <v>205</v>
      </c>
      <c r="F1837" s="30">
        <v>1</v>
      </c>
      <c r="G1837" s="44">
        <v>7000</v>
      </c>
      <c r="H1837" s="30"/>
      <c r="I1837" s="44"/>
      <c r="J1837" s="44"/>
      <c r="K1837" s="44">
        <f t="shared" si="62"/>
        <v>7000</v>
      </c>
      <c r="L1837" s="51">
        <v>20230926</v>
      </c>
    </row>
    <row r="1838" spans="1:12" x14ac:dyDescent="0.25">
      <c r="A1838" s="50" t="s">
        <v>3048</v>
      </c>
      <c r="B1838" s="30" t="s">
        <v>1209</v>
      </c>
      <c r="C1838" s="30" t="s">
        <v>895</v>
      </c>
      <c r="D1838" s="30" t="s">
        <v>896</v>
      </c>
      <c r="E1838" s="30" t="s">
        <v>1442</v>
      </c>
      <c r="F1838" s="30">
        <v>1</v>
      </c>
      <c r="G1838" s="44">
        <v>7000</v>
      </c>
      <c r="H1838" s="30"/>
      <c r="I1838" s="44"/>
      <c r="J1838" s="44"/>
      <c r="K1838" s="44">
        <f t="shared" si="62"/>
        <v>7000</v>
      </c>
      <c r="L1838" s="51">
        <v>20230926</v>
      </c>
    </row>
    <row r="1839" spans="1:12" x14ac:dyDescent="0.25">
      <c r="A1839" s="50" t="s">
        <v>2943</v>
      </c>
      <c r="B1839" s="30" t="s">
        <v>11</v>
      </c>
      <c r="C1839" s="30" t="s">
        <v>770</v>
      </c>
      <c r="D1839" s="30" t="s">
        <v>2764</v>
      </c>
      <c r="E1839" s="30" t="s">
        <v>2944</v>
      </c>
      <c r="F1839" s="30">
        <v>1</v>
      </c>
      <c r="G1839" s="44">
        <v>7000</v>
      </c>
      <c r="H1839" s="30"/>
      <c r="I1839" s="44"/>
      <c r="J1839" s="44"/>
      <c r="K1839" s="44">
        <f t="shared" si="62"/>
        <v>7000</v>
      </c>
      <c r="L1839" s="51">
        <v>20230927</v>
      </c>
    </row>
    <row r="1840" spans="1:12" ht="15.75" thickBot="1" x14ac:dyDescent="0.3">
      <c r="A1840" s="54" t="s">
        <v>2955</v>
      </c>
      <c r="B1840" s="36" t="s">
        <v>11</v>
      </c>
      <c r="C1840" s="36" t="s">
        <v>29</v>
      </c>
      <c r="D1840" s="36" t="s">
        <v>1385</v>
      </c>
      <c r="E1840" s="36" t="s">
        <v>1290</v>
      </c>
      <c r="F1840" s="36">
        <v>1</v>
      </c>
      <c r="G1840" s="65">
        <v>7000</v>
      </c>
      <c r="H1840" s="36"/>
      <c r="I1840" s="65"/>
      <c r="J1840" s="65"/>
      <c r="K1840" s="65">
        <f t="shared" si="62"/>
        <v>7000</v>
      </c>
      <c r="L1840" s="55">
        <v>20230929</v>
      </c>
    </row>
    <row r="1841" spans="1:12" x14ac:dyDescent="0.25">
      <c r="A1841" s="73"/>
      <c r="B1841" s="74"/>
      <c r="C1841" s="74"/>
      <c r="D1841" s="74"/>
      <c r="E1841" s="74"/>
      <c r="F1841" s="74"/>
      <c r="G1841" s="75"/>
      <c r="H1841" s="74"/>
      <c r="I1841" s="75"/>
      <c r="J1841" s="75"/>
      <c r="K1841" s="75"/>
      <c r="L1841" s="76"/>
    </row>
    <row r="1842" spans="1:12" ht="15.75" thickBot="1" x14ac:dyDescent="0.3">
      <c r="A1842" s="69"/>
      <c r="B1842" s="70"/>
      <c r="C1842" s="70"/>
      <c r="D1842" s="70"/>
      <c r="E1842" s="70"/>
      <c r="F1842" s="70"/>
      <c r="G1842" s="71"/>
      <c r="H1842" s="70"/>
      <c r="I1842" s="71"/>
      <c r="J1842" s="71"/>
      <c r="K1842" s="71"/>
      <c r="L1842" s="72"/>
    </row>
    <row r="1843" spans="1:12" x14ac:dyDescent="0.25">
      <c r="A1843" s="48" t="s">
        <v>3036</v>
      </c>
      <c r="B1843" s="34" t="s">
        <v>137</v>
      </c>
      <c r="C1843" s="34" t="s">
        <v>26</v>
      </c>
      <c r="D1843" s="34" t="s">
        <v>3037</v>
      </c>
      <c r="E1843" s="34" t="s">
        <v>3038</v>
      </c>
      <c r="F1843" s="34">
        <v>1</v>
      </c>
      <c r="G1843" s="64">
        <v>3500</v>
      </c>
      <c r="H1843" s="34"/>
      <c r="I1843" s="64"/>
      <c r="J1843" s="64"/>
      <c r="K1843" s="64">
        <f t="shared" ref="K1843:K1874" si="63">J1843+G1843</f>
        <v>3500</v>
      </c>
      <c r="L1843" s="49">
        <v>20230905</v>
      </c>
    </row>
    <row r="1844" spans="1:12" x14ac:dyDescent="0.25">
      <c r="A1844" s="50" t="s">
        <v>3005</v>
      </c>
      <c r="B1844" s="30" t="s">
        <v>137</v>
      </c>
      <c r="C1844" s="30" t="s">
        <v>337</v>
      </c>
      <c r="D1844" s="30" t="s">
        <v>35</v>
      </c>
      <c r="E1844" s="30" t="s">
        <v>3006</v>
      </c>
      <c r="F1844" s="30">
        <v>1</v>
      </c>
      <c r="G1844" s="44">
        <v>3500</v>
      </c>
      <c r="H1844" s="30"/>
      <c r="I1844" s="44"/>
      <c r="J1844" s="44"/>
      <c r="K1844" s="44">
        <f t="shared" si="63"/>
        <v>3500</v>
      </c>
      <c r="L1844" s="51">
        <v>20230913</v>
      </c>
    </row>
    <row r="1845" spans="1:12" x14ac:dyDescent="0.25">
      <c r="A1845" s="50" t="s">
        <v>3007</v>
      </c>
      <c r="B1845" s="30" t="s">
        <v>137</v>
      </c>
      <c r="C1845" s="30" t="s">
        <v>337</v>
      </c>
      <c r="D1845" s="30" t="s">
        <v>35</v>
      </c>
      <c r="E1845" s="30" t="s">
        <v>1481</v>
      </c>
      <c r="F1845" s="30">
        <v>1</v>
      </c>
      <c r="G1845" s="44">
        <v>3500</v>
      </c>
      <c r="H1845" s="30"/>
      <c r="I1845" s="44"/>
      <c r="J1845" s="44"/>
      <c r="K1845" s="44">
        <f t="shared" si="63"/>
        <v>3500</v>
      </c>
      <c r="L1845" s="51">
        <v>20230913</v>
      </c>
    </row>
    <row r="1846" spans="1:12" x14ac:dyDescent="0.25">
      <c r="A1846" s="50" t="s">
        <v>3008</v>
      </c>
      <c r="B1846" s="30" t="s">
        <v>137</v>
      </c>
      <c r="C1846" s="30" t="s">
        <v>337</v>
      </c>
      <c r="D1846" s="30" t="s">
        <v>35</v>
      </c>
      <c r="E1846" s="30" t="s">
        <v>1477</v>
      </c>
      <c r="F1846" s="30">
        <v>1</v>
      </c>
      <c r="G1846" s="44">
        <v>3500</v>
      </c>
      <c r="H1846" s="30"/>
      <c r="I1846" s="44"/>
      <c r="J1846" s="44"/>
      <c r="K1846" s="44">
        <f t="shared" si="63"/>
        <v>3500</v>
      </c>
      <c r="L1846" s="51">
        <v>20230913</v>
      </c>
    </row>
    <row r="1847" spans="1:12" x14ac:dyDescent="0.25">
      <c r="A1847" s="50" t="s">
        <v>3009</v>
      </c>
      <c r="B1847" s="30" t="s">
        <v>137</v>
      </c>
      <c r="C1847" s="30" t="s">
        <v>337</v>
      </c>
      <c r="D1847" s="30" t="s">
        <v>35</v>
      </c>
      <c r="E1847" s="30" t="s">
        <v>2463</v>
      </c>
      <c r="F1847" s="30">
        <v>1</v>
      </c>
      <c r="G1847" s="44">
        <v>3500</v>
      </c>
      <c r="H1847" s="30"/>
      <c r="I1847" s="44"/>
      <c r="J1847" s="44"/>
      <c r="K1847" s="44">
        <f t="shared" si="63"/>
        <v>3500</v>
      </c>
      <c r="L1847" s="51">
        <v>20230913</v>
      </c>
    </row>
    <row r="1848" spans="1:12" x14ac:dyDescent="0.25">
      <c r="A1848" s="50" t="s">
        <v>3010</v>
      </c>
      <c r="B1848" s="30" t="s">
        <v>137</v>
      </c>
      <c r="C1848" s="30" t="s">
        <v>337</v>
      </c>
      <c r="D1848" s="30" t="s">
        <v>35</v>
      </c>
      <c r="E1848" s="30" t="s">
        <v>3011</v>
      </c>
      <c r="F1848" s="30">
        <v>1</v>
      </c>
      <c r="G1848" s="44">
        <v>3500</v>
      </c>
      <c r="H1848" s="30"/>
      <c r="I1848" s="44"/>
      <c r="J1848" s="44"/>
      <c r="K1848" s="44">
        <f t="shared" si="63"/>
        <v>3500</v>
      </c>
      <c r="L1848" s="51">
        <v>20230913</v>
      </c>
    </row>
    <row r="1849" spans="1:12" x14ac:dyDescent="0.25">
      <c r="A1849" s="50" t="s">
        <v>3012</v>
      </c>
      <c r="B1849" s="30" t="s">
        <v>137</v>
      </c>
      <c r="C1849" s="30" t="s">
        <v>337</v>
      </c>
      <c r="D1849" s="30" t="s">
        <v>35</v>
      </c>
      <c r="E1849" s="30" t="s">
        <v>1479</v>
      </c>
      <c r="F1849" s="30">
        <v>1</v>
      </c>
      <c r="G1849" s="44">
        <v>3500</v>
      </c>
      <c r="H1849" s="30"/>
      <c r="I1849" s="44"/>
      <c r="J1849" s="44"/>
      <c r="K1849" s="44">
        <f t="shared" si="63"/>
        <v>3500</v>
      </c>
      <c r="L1849" s="51">
        <v>20230913</v>
      </c>
    </row>
    <row r="1850" spans="1:12" x14ac:dyDescent="0.25">
      <c r="A1850" s="50" t="s">
        <v>3013</v>
      </c>
      <c r="B1850" s="30" t="s">
        <v>137</v>
      </c>
      <c r="C1850" s="30" t="s">
        <v>337</v>
      </c>
      <c r="D1850" s="30" t="s">
        <v>35</v>
      </c>
      <c r="E1850" s="30" t="s">
        <v>511</v>
      </c>
      <c r="F1850" s="30">
        <v>1</v>
      </c>
      <c r="G1850" s="44">
        <v>3500</v>
      </c>
      <c r="H1850" s="30"/>
      <c r="I1850" s="44"/>
      <c r="J1850" s="44"/>
      <c r="K1850" s="44">
        <f t="shared" si="63"/>
        <v>3500</v>
      </c>
      <c r="L1850" s="51">
        <v>20230913</v>
      </c>
    </row>
    <row r="1851" spans="1:12" x14ac:dyDescent="0.25">
      <c r="A1851" s="50" t="s">
        <v>3014</v>
      </c>
      <c r="B1851" s="30" t="s">
        <v>137</v>
      </c>
      <c r="C1851" s="30" t="s">
        <v>337</v>
      </c>
      <c r="D1851" s="30" t="s">
        <v>35</v>
      </c>
      <c r="E1851" s="30" t="s">
        <v>38</v>
      </c>
      <c r="F1851" s="30">
        <v>1</v>
      </c>
      <c r="G1851" s="44">
        <v>3500</v>
      </c>
      <c r="H1851" s="30"/>
      <c r="I1851" s="44"/>
      <c r="J1851" s="44"/>
      <c r="K1851" s="44">
        <f t="shared" si="63"/>
        <v>3500</v>
      </c>
      <c r="L1851" s="51">
        <v>20230913</v>
      </c>
    </row>
    <row r="1852" spans="1:12" x14ac:dyDescent="0.25">
      <c r="A1852" s="50" t="s">
        <v>3002</v>
      </c>
      <c r="B1852" s="30" t="s">
        <v>137</v>
      </c>
      <c r="C1852" s="30" t="s">
        <v>654</v>
      </c>
      <c r="D1852" s="30" t="s">
        <v>1470</v>
      </c>
      <c r="E1852" s="30" t="s">
        <v>3003</v>
      </c>
      <c r="F1852" s="30">
        <v>1</v>
      </c>
      <c r="G1852" s="44">
        <v>3500</v>
      </c>
      <c r="H1852" s="30"/>
      <c r="I1852" s="44"/>
      <c r="J1852" s="44"/>
      <c r="K1852" s="44">
        <f t="shared" si="63"/>
        <v>3500</v>
      </c>
      <c r="L1852" s="51">
        <v>20230914</v>
      </c>
    </row>
    <row r="1853" spans="1:12" x14ac:dyDescent="0.25">
      <c r="A1853" s="50" t="s">
        <v>3016</v>
      </c>
      <c r="B1853" s="30" t="s">
        <v>137</v>
      </c>
      <c r="C1853" s="30" t="s">
        <v>654</v>
      </c>
      <c r="D1853" s="30" t="s">
        <v>1470</v>
      </c>
      <c r="E1853" s="30" t="s">
        <v>1471</v>
      </c>
      <c r="F1853" s="30">
        <v>1</v>
      </c>
      <c r="G1853" s="44">
        <v>3500</v>
      </c>
      <c r="H1853" s="30"/>
      <c r="I1853" s="44"/>
      <c r="J1853" s="44"/>
      <c r="K1853" s="44">
        <f t="shared" si="63"/>
        <v>3500</v>
      </c>
      <c r="L1853" s="51">
        <v>20230914</v>
      </c>
    </row>
    <row r="1854" spans="1:12" x14ac:dyDescent="0.25">
      <c r="A1854" s="50" t="s">
        <v>3017</v>
      </c>
      <c r="B1854" s="30" t="s">
        <v>137</v>
      </c>
      <c r="C1854" s="30" t="s">
        <v>654</v>
      </c>
      <c r="D1854" s="30" t="s">
        <v>1470</v>
      </c>
      <c r="E1854" s="30" t="s">
        <v>2084</v>
      </c>
      <c r="F1854" s="30">
        <v>1</v>
      </c>
      <c r="G1854" s="44">
        <v>3500</v>
      </c>
      <c r="H1854" s="30"/>
      <c r="I1854" s="44"/>
      <c r="J1854" s="44"/>
      <c r="K1854" s="44">
        <f t="shared" si="63"/>
        <v>3500</v>
      </c>
      <c r="L1854" s="51">
        <v>20230914</v>
      </c>
    </row>
    <row r="1855" spans="1:12" x14ac:dyDescent="0.25">
      <c r="A1855" s="50" t="s">
        <v>3018</v>
      </c>
      <c r="B1855" s="30" t="s">
        <v>137</v>
      </c>
      <c r="C1855" s="30" t="s">
        <v>654</v>
      </c>
      <c r="D1855" s="30" t="s">
        <v>1470</v>
      </c>
      <c r="E1855" s="30" t="s">
        <v>1558</v>
      </c>
      <c r="F1855" s="30">
        <v>1</v>
      </c>
      <c r="G1855" s="44">
        <v>3500</v>
      </c>
      <c r="H1855" s="30"/>
      <c r="I1855" s="44"/>
      <c r="J1855" s="44"/>
      <c r="K1855" s="44">
        <f t="shared" si="63"/>
        <v>3500</v>
      </c>
      <c r="L1855" s="51">
        <v>20230914</v>
      </c>
    </row>
    <row r="1856" spans="1:12" x14ac:dyDescent="0.25">
      <c r="A1856" s="50" t="s">
        <v>3019</v>
      </c>
      <c r="B1856" s="30" t="s">
        <v>137</v>
      </c>
      <c r="C1856" s="30" t="s">
        <v>654</v>
      </c>
      <c r="D1856" s="30" t="s">
        <v>1470</v>
      </c>
      <c r="E1856" s="30" t="s">
        <v>1560</v>
      </c>
      <c r="F1856" s="30">
        <v>1</v>
      </c>
      <c r="G1856" s="44">
        <v>3500</v>
      </c>
      <c r="H1856" s="30"/>
      <c r="I1856" s="44"/>
      <c r="J1856" s="44"/>
      <c r="K1856" s="44">
        <f t="shared" si="63"/>
        <v>3500</v>
      </c>
      <c r="L1856" s="51">
        <v>20230914</v>
      </c>
    </row>
    <row r="1857" spans="1:12" x14ac:dyDescent="0.25">
      <c r="A1857" s="50" t="s">
        <v>3020</v>
      </c>
      <c r="B1857" s="30" t="s">
        <v>137</v>
      </c>
      <c r="C1857" s="30" t="s">
        <v>654</v>
      </c>
      <c r="D1857" s="30" t="s">
        <v>1470</v>
      </c>
      <c r="E1857" s="30" t="s">
        <v>1562</v>
      </c>
      <c r="F1857" s="30">
        <v>1</v>
      </c>
      <c r="G1857" s="44">
        <v>3500</v>
      </c>
      <c r="H1857" s="30"/>
      <c r="I1857" s="44"/>
      <c r="J1857" s="44"/>
      <c r="K1857" s="44">
        <f t="shared" si="63"/>
        <v>3500</v>
      </c>
      <c r="L1857" s="51">
        <v>20230914</v>
      </c>
    </row>
    <row r="1858" spans="1:12" x14ac:dyDescent="0.25">
      <c r="A1858" s="50" t="s">
        <v>2995</v>
      </c>
      <c r="B1858" s="30" t="s">
        <v>137</v>
      </c>
      <c r="C1858" s="30" t="s">
        <v>270</v>
      </c>
      <c r="D1858" s="30" t="s">
        <v>66</v>
      </c>
      <c r="E1858" s="30" t="s">
        <v>2996</v>
      </c>
      <c r="F1858" s="30">
        <v>1</v>
      </c>
      <c r="G1858" s="44">
        <v>3500</v>
      </c>
      <c r="H1858" s="30"/>
      <c r="I1858" s="44"/>
      <c r="J1858" s="44"/>
      <c r="K1858" s="44">
        <f t="shared" si="63"/>
        <v>3500</v>
      </c>
      <c r="L1858" s="51">
        <v>20230918</v>
      </c>
    </row>
    <row r="1859" spans="1:12" x14ac:dyDescent="0.25">
      <c r="A1859" s="50" t="s">
        <v>2997</v>
      </c>
      <c r="B1859" s="30" t="s">
        <v>137</v>
      </c>
      <c r="C1859" s="30" t="s">
        <v>270</v>
      </c>
      <c r="D1859" s="30" t="s">
        <v>66</v>
      </c>
      <c r="E1859" s="30" t="s">
        <v>2998</v>
      </c>
      <c r="F1859" s="30">
        <v>1</v>
      </c>
      <c r="G1859" s="44">
        <v>3500</v>
      </c>
      <c r="H1859" s="30"/>
      <c r="I1859" s="44"/>
      <c r="J1859" s="44"/>
      <c r="K1859" s="44">
        <f t="shared" si="63"/>
        <v>3500</v>
      </c>
      <c r="L1859" s="51">
        <v>20230918</v>
      </c>
    </row>
    <row r="1860" spans="1:12" x14ac:dyDescent="0.25">
      <c r="A1860" s="50" t="s">
        <v>2999</v>
      </c>
      <c r="B1860" s="30" t="s">
        <v>137</v>
      </c>
      <c r="C1860" s="30" t="s">
        <v>270</v>
      </c>
      <c r="D1860" s="30" t="s">
        <v>66</v>
      </c>
      <c r="E1860" s="30" t="s">
        <v>3000</v>
      </c>
      <c r="F1860" s="30">
        <v>1</v>
      </c>
      <c r="G1860" s="44">
        <v>3500</v>
      </c>
      <c r="H1860" s="30"/>
      <c r="I1860" s="44"/>
      <c r="J1860" s="44"/>
      <c r="K1860" s="44">
        <f t="shared" si="63"/>
        <v>3500</v>
      </c>
      <c r="L1860" s="51">
        <v>20230918</v>
      </c>
    </row>
    <row r="1861" spans="1:12" x14ac:dyDescent="0.25">
      <c r="A1861" s="50" t="s">
        <v>3001</v>
      </c>
      <c r="B1861" s="30" t="s">
        <v>137</v>
      </c>
      <c r="C1861" s="30" t="s">
        <v>270</v>
      </c>
      <c r="D1861" s="30" t="s">
        <v>66</v>
      </c>
      <c r="E1861" s="30" t="s">
        <v>1614</v>
      </c>
      <c r="F1861" s="30">
        <v>1</v>
      </c>
      <c r="G1861" s="44">
        <v>3500</v>
      </c>
      <c r="H1861" s="30"/>
      <c r="I1861" s="44"/>
      <c r="J1861" s="44"/>
      <c r="K1861" s="44">
        <f t="shared" si="63"/>
        <v>3500</v>
      </c>
      <c r="L1861" s="51">
        <v>20230918</v>
      </c>
    </row>
    <row r="1862" spans="1:12" x14ac:dyDescent="0.25">
      <c r="A1862" s="50" t="s">
        <v>3021</v>
      </c>
      <c r="B1862" s="30" t="s">
        <v>137</v>
      </c>
      <c r="C1862" s="30" t="s">
        <v>1393</v>
      </c>
      <c r="D1862" s="30" t="s">
        <v>1394</v>
      </c>
      <c r="E1862" s="30" t="s">
        <v>2163</v>
      </c>
      <c r="F1862" s="30">
        <v>1</v>
      </c>
      <c r="G1862" s="44">
        <v>3500</v>
      </c>
      <c r="H1862" s="30"/>
      <c r="I1862" s="44"/>
      <c r="J1862" s="44"/>
      <c r="K1862" s="44">
        <f t="shared" si="63"/>
        <v>3500</v>
      </c>
      <c r="L1862" s="51">
        <v>20230918</v>
      </c>
    </row>
    <row r="1863" spans="1:12" x14ac:dyDescent="0.25">
      <c r="A1863" s="52" t="s">
        <v>3051</v>
      </c>
      <c r="B1863" s="32" t="s">
        <v>137</v>
      </c>
      <c r="C1863" s="32" t="s">
        <v>26</v>
      </c>
      <c r="D1863" s="32" t="s">
        <v>418</v>
      </c>
      <c r="E1863" s="32" t="s">
        <v>1610</v>
      </c>
      <c r="F1863" s="32">
        <v>1</v>
      </c>
      <c r="G1863" s="45">
        <v>3500</v>
      </c>
      <c r="H1863" s="32">
        <v>148</v>
      </c>
      <c r="I1863" s="45">
        <v>86</v>
      </c>
      <c r="J1863" s="45">
        <f>I1863*H1863</f>
        <v>12728</v>
      </c>
      <c r="K1863" s="45">
        <f t="shared" si="63"/>
        <v>16228</v>
      </c>
      <c r="L1863" s="53">
        <v>20230918</v>
      </c>
    </row>
    <row r="1864" spans="1:12" x14ac:dyDescent="0.25">
      <c r="A1864" s="50" t="s">
        <v>3052</v>
      </c>
      <c r="B1864" s="30" t="s">
        <v>137</v>
      </c>
      <c r="C1864" s="30" t="s">
        <v>26</v>
      </c>
      <c r="D1864" s="30" t="s">
        <v>418</v>
      </c>
      <c r="E1864" s="30" t="s">
        <v>419</v>
      </c>
      <c r="F1864" s="30">
        <v>1</v>
      </c>
      <c r="G1864" s="44">
        <v>3500</v>
      </c>
      <c r="H1864" s="30"/>
      <c r="I1864" s="44"/>
      <c r="J1864" s="44"/>
      <c r="K1864" s="44">
        <f t="shared" si="63"/>
        <v>3500</v>
      </c>
      <c r="L1864" s="51">
        <v>20230918</v>
      </c>
    </row>
    <row r="1865" spans="1:12" x14ac:dyDescent="0.25">
      <c r="A1865" s="50" t="s">
        <v>3053</v>
      </c>
      <c r="B1865" s="30" t="s">
        <v>137</v>
      </c>
      <c r="C1865" s="30" t="s">
        <v>26</v>
      </c>
      <c r="D1865" s="30" t="s">
        <v>418</v>
      </c>
      <c r="E1865" s="30" t="s">
        <v>421</v>
      </c>
      <c r="F1865" s="30">
        <v>1</v>
      </c>
      <c r="G1865" s="44">
        <v>3500</v>
      </c>
      <c r="H1865" s="30"/>
      <c r="I1865" s="44"/>
      <c r="J1865" s="44"/>
      <c r="K1865" s="44">
        <f t="shared" si="63"/>
        <v>3500</v>
      </c>
      <c r="L1865" s="51">
        <v>20230918</v>
      </c>
    </row>
    <row r="1866" spans="1:12" x14ac:dyDescent="0.25">
      <c r="A1866" s="50" t="s">
        <v>2987</v>
      </c>
      <c r="B1866" s="30" t="s">
        <v>137</v>
      </c>
      <c r="C1866" s="30" t="s">
        <v>505</v>
      </c>
      <c r="D1866" s="30" t="s">
        <v>24</v>
      </c>
      <c r="E1866" s="30" t="s">
        <v>929</v>
      </c>
      <c r="F1866" s="30">
        <v>1</v>
      </c>
      <c r="G1866" s="44">
        <v>3500</v>
      </c>
      <c r="H1866" s="30"/>
      <c r="I1866" s="44"/>
      <c r="J1866" s="44"/>
      <c r="K1866" s="44">
        <f t="shared" si="63"/>
        <v>3500</v>
      </c>
      <c r="L1866" s="51">
        <v>20230918</v>
      </c>
    </row>
    <row r="1867" spans="1:12" x14ac:dyDescent="0.25">
      <c r="A1867" s="50" t="s">
        <v>2988</v>
      </c>
      <c r="B1867" s="30" t="s">
        <v>137</v>
      </c>
      <c r="C1867" s="30" t="s">
        <v>505</v>
      </c>
      <c r="D1867" s="30" t="s">
        <v>24</v>
      </c>
      <c r="E1867" s="30" t="s">
        <v>931</v>
      </c>
      <c r="F1867" s="30">
        <v>1</v>
      </c>
      <c r="G1867" s="44">
        <v>3500</v>
      </c>
      <c r="H1867" s="30"/>
      <c r="I1867" s="44"/>
      <c r="J1867" s="44"/>
      <c r="K1867" s="44">
        <f t="shared" si="63"/>
        <v>3500</v>
      </c>
      <c r="L1867" s="51">
        <v>20230918</v>
      </c>
    </row>
    <row r="1868" spans="1:12" x14ac:dyDescent="0.25">
      <c r="A1868" s="50" t="s">
        <v>2991</v>
      </c>
      <c r="B1868" s="30" t="s">
        <v>137</v>
      </c>
      <c r="C1868" s="30" t="s">
        <v>505</v>
      </c>
      <c r="D1868" s="30" t="s">
        <v>24</v>
      </c>
      <c r="E1868" s="30" t="s">
        <v>925</v>
      </c>
      <c r="F1868" s="30">
        <v>1</v>
      </c>
      <c r="G1868" s="44">
        <v>3500</v>
      </c>
      <c r="H1868" s="30"/>
      <c r="I1868" s="44"/>
      <c r="J1868" s="44"/>
      <c r="K1868" s="44">
        <f t="shared" si="63"/>
        <v>3500</v>
      </c>
      <c r="L1868" s="51">
        <v>20230918</v>
      </c>
    </row>
    <row r="1869" spans="1:12" x14ac:dyDescent="0.25">
      <c r="A1869" s="50" t="s">
        <v>2989</v>
      </c>
      <c r="B1869" s="30" t="s">
        <v>137</v>
      </c>
      <c r="C1869" s="30" t="s">
        <v>899</v>
      </c>
      <c r="D1869" s="30" t="s">
        <v>24</v>
      </c>
      <c r="E1869" s="30" t="s">
        <v>900</v>
      </c>
      <c r="F1869" s="30">
        <v>1</v>
      </c>
      <c r="G1869" s="44">
        <v>3500</v>
      </c>
      <c r="H1869" s="30"/>
      <c r="I1869" s="44"/>
      <c r="J1869" s="44"/>
      <c r="K1869" s="44">
        <f t="shared" si="63"/>
        <v>3500</v>
      </c>
      <c r="L1869" s="51">
        <v>20230918</v>
      </c>
    </row>
    <row r="1870" spans="1:12" x14ac:dyDescent="0.25">
      <c r="A1870" s="50" t="s">
        <v>2990</v>
      </c>
      <c r="B1870" s="30" t="s">
        <v>137</v>
      </c>
      <c r="C1870" s="30" t="s">
        <v>899</v>
      </c>
      <c r="D1870" s="30" t="s">
        <v>24</v>
      </c>
      <c r="E1870" s="30" t="s">
        <v>902</v>
      </c>
      <c r="F1870" s="30">
        <v>1</v>
      </c>
      <c r="G1870" s="44">
        <v>3500</v>
      </c>
      <c r="H1870" s="30"/>
      <c r="I1870" s="44"/>
      <c r="J1870" s="44"/>
      <c r="K1870" s="44">
        <f t="shared" si="63"/>
        <v>3500</v>
      </c>
      <c r="L1870" s="51">
        <v>20230918</v>
      </c>
    </row>
    <row r="1871" spans="1:12" x14ac:dyDescent="0.25">
      <c r="A1871" s="50" t="s">
        <v>2966</v>
      </c>
      <c r="B1871" s="30" t="s">
        <v>137</v>
      </c>
      <c r="C1871" s="30" t="s">
        <v>251</v>
      </c>
      <c r="D1871" s="30" t="s">
        <v>1231</v>
      </c>
      <c r="E1871" s="30" t="s">
        <v>1232</v>
      </c>
      <c r="F1871" s="30">
        <v>1</v>
      </c>
      <c r="G1871" s="44">
        <v>3500</v>
      </c>
      <c r="H1871" s="30"/>
      <c r="I1871" s="44"/>
      <c r="J1871" s="44"/>
      <c r="K1871" s="44">
        <f t="shared" si="63"/>
        <v>3500</v>
      </c>
      <c r="L1871" s="51">
        <v>20230920</v>
      </c>
    </row>
    <row r="1872" spans="1:12" x14ac:dyDescent="0.25">
      <c r="A1872" s="50" t="s">
        <v>2977</v>
      </c>
      <c r="B1872" s="30" t="s">
        <v>137</v>
      </c>
      <c r="C1872" s="30" t="s">
        <v>26</v>
      </c>
      <c r="D1872" s="30" t="s">
        <v>2978</v>
      </c>
      <c r="E1872" s="30" t="s">
        <v>2979</v>
      </c>
      <c r="F1872" s="30">
        <v>1</v>
      </c>
      <c r="G1872" s="44">
        <v>3500</v>
      </c>
      <c r="H1872" s="30"/>
      <c r="I1872" s="44"/>
      <c r="J1872" s="44"/>
      <c r="K1872" s="44">
        <f t="shared" si="63"/>
        <v>3500</v>
      </c>
      <c r="L1872" s="51">
        <v>20230920</v>
      </c>
    </row>
    <row r="1873" spans="1:12" x14ac:dyDescent="0.25">
      <c r="A1873" s="50" t="s">
        <v>2980</v>
      </c>
      <c r="B1873" s="30" t="s">
        <v>137</v>
      </c>
      <c r="C1873" s="30" t="s">
        <v>26</v>
      </c>
      <c r="D1873" s="30" t="s">
        <v>2978</v>
      </c>
      <c r="E1873" s="30" t="s">
        <v>2981</v>
      </c>
      <c r="F1873" s="30">
        <v>1</v>
      </c>
      <c r="G1873" s="44">
        <v>3500</v>
      </c>
      <c r="H1873" s="30"/>
      <c r="I1873" s="44"/>
      <c r="J1873" s="44"/>
      <c r="K1873" s="44">
        <f t="shared" si="63"/>
        <v>3500</v>
      </c>
      <c r="L1873" s="51">
        <v>20230920</v>
      </c>
    </row>
    <row r="1874" spans="1:12" x14ac:dyDescent="0.25">
      <c r="A1874" s="50" t="s">
        <v>2976</v>
      </c>
      <c r="B1874" s="30" t="s">
        <v>137</v>
      </c>
      <c r="C1874" s="30" t="s">
        <v>505</v>
      </c>
      <c r="D1874" s="30" t="s">
        <v>24</v>
      </c>
      <c r="E1874" s="30" t="s">
        <v>1355</v>
      </c>
      <c r="F1874" s="30">
        <v>1</v>
      </c>
      <c r="G1874" s="44">
        <v>3500</v>
      </c>
      <c r="H1874" s="30"/>
      <c r="I1874" s="44"/>
      <c r="J1874" s="44"/>
      <c r="K1874" s="44">
        <f t="shared" si="63"/>
        <v>3500</v>
      </c>
      <c r="L1874" s="51">
        <v>20230920</v>
      </c>
    </row>
    <row r="1875" spans="1:12" x14ac:dyDescent="0.25">
      <c r="A1875" s="50" t="s">
        <v>2961</v>
      </c>
      <c r="B1875" s="30" t="s">
        <v>137</v>
      </c>
      <c r="C1875" s="30" t="s">
        <v>770</v>
      </c>
      <c r="D1875" s="30" t="s">
        <v>2962</v>
      </c>
      <c r="E1875" s="30" t="s">
        <v>2963</v>
      </c>
      <c r="F1875" s="30">
        <v>1</v>
      </c>
      <c r="G1875" s="44">
        <v>3500</v>
      </c>
      <c r="H1875" s="30"/>
      <c r="I1875" s="44"/>
      <c r="J1875" s="44"/>
      <c r="K1875" s="44">
        <f t="shared" ref="K1875:K1906" si="64">J1875+G1875</f>
        <v>3500</v>
      </c>
      <c r="L1875" s="51">
        <v>20230920</v>
      </c>
    </row>
    <row r="1876" spans="1:12" x14ac:dyDescent="0.25">
      <c r="A1876" s="50" t="s">
        <v>2964</v>
      </c>
      <c r="B1876" s="30" t="s">
        <v>137</v>
      </c>
      <c r="C1876" s="30" t="s">
        <v>770</v>
      </c>
      <c r="D1876" s="30" t="s">
        <v>2962</v>
      </c>
      <c r="E1876" s="30" t="s">
        <v>2965</v>
      </c>
      <c r="F1876" s="30">
        <v>1</v>
      </c>
      <c r="G1876" s="44">
        <v>3500</v>
      </c>
      <c r="H1876" s="30"/>
      <c r="I1876" s="44"/>
      <c r="J1876" s="44"/>
      <c r="K1876" s="44">
        <f t="shared" si="64"/>
        <v>3500</v>
      </c>
      <c r="L1876" s="51">
        <v>20230920</v>
      </c>
    </row>
    <row r="1877" spans="1:12" x14ac:dyDescent="0.25">
      <c r="A1877" s="50" t="s">
        <v>2967</v>
      </c>
      <c r="B1877" s="30" t="s">
        <v>137</v>
      </c>
      <c r="C1877" s="30" t="s">
        <v>29</v>
      </c>
      <c r="D1877" s="30" t="s">
        <v>24</v>
      </c>
      <c r="E1877" s="30" t="s">
        <v>1003</v>
      </c>
      <c r="F1877" s="30">
        <v>1</v>
      </c>
      <c r="G1877" s="44">
        <v>3500</v>
      </c>
      <c r="H1877" s="30"/>
      <c r="I1877" s="44"/>
      <c r="J1877" s="44"/>
      <c r="K1877" s="44">
        <f t="shared" si="64"/>
        <v>3500</v>
      </c>
      <c r="L1877" s="51">
        <v>20230920</v>
      </c>
    </row>
    <row r="1878" spans="1:12" x14ac:dyDescent="0.25">
      <c r="A1878" s="50" t="s">
        <v>2968</v>
      </c>
      <c r="B1878" s="30" t="s">
        <v>137</v>
      </c>
      <c r="C1878" s="30" t="s">
        <v>29</v>
      </c>
      <c r="D1878" s="30" t="s">
        <v>1385</v>
      </c>
      <c r="E1878" s="30" t="s">
        <v>628</v>
      </c>
      <c r="F1878" s="30">
        <v>1</v>
      </c>
      <c r="G1878" s="44">
        <v>3500</v>
      </c>
      <c r="H1878" s="30"/>
      <c r="I1878" s="44"/>
      <c r="J1878" s="44"/>
      <c r="K1878" s="44">
        <f t="shared" si="64"/>
        <v>3500</v>
      </c>
      <c r="L1878" s="51">
        <v>20230920</v>
      </c>
    </row>
    <row r="1879" spans="1:12" x14ac:dyDescent="0.25">
      <c r="A1879" s="50" t="s">
        <v>2969</v>
      </c>
      <c r="B1879" s="30" t="s">
        <v>137</v>
      </c>
      <c r="C1879" s="30" t="s">
        <v>29</v>
      </c>
      <c r="D1879" s="30" t="s">
        <v>1385</v>
      </c>
      <c r="E1879" s="30" t="s">
        <v>630</v>
      </c>
      <c r="F1879" s="30">
        <v>1</v>
      </c>
      <c r="G1879" s="44">
        <v>3500</v>
      </c>
      <c r="H1879" s="30"/>
      <c r="I1879" s="44"/>
      <c r="J1879" s="44"/>
      <c r="K1879" s="44">
        <f t="shared" si="64"/>
        <v>3500</v>
      </c>
      <c r="L1879" s="51">
        <v>20230920</v>
      </c>
    </row>
    <row r="1880" spans="1:12" x14ac:dyDescent="0.25">
      <c r="A1880" s="50" t="s">
        <v>2970</v>
      </c>
      <c r="B1880" s="30" t="s">
        <v>137</v>
      </c>
      <c r="C1880" s="30" t="s">
        <v>29</v>
      </c>
      <c r="D1880" s="30" t="s">
        <v>1385</v>
      </c>
      <c r="E1880" s="30" t="s">
        <v>209</v>
      </c>
      <c r="F1880" s="30">
        <v>1</v>
      </c>
      <c r="G1880" s="44">
        <v>3500</v>
      </c>
      <c r="H1880" s="30"/>
      <c r="I1880" s="44"/>
      <c r="J1880" s="44"/>
      <c r="K1880" s="44">
        <f t="shared" si="64"/>
        <v>3500</v>
      </c>
      <c r="L1880" s="51">
        <v>20230920</v>
      </c>
    </row>
    <row r="1881" spans="1:12" x14ac:dyDescent="0.25">
      <c r="A1881" s="50" t="s">
        <v>2971</v>
      </c>
      <c r="B1881" s="30" t="s">
        <v>137</v>
      </c>
      <c r="C1881" s="30" t="s">
        <v>29</v>
      </c>
      <c r="D1881" s="30" t="s">
        <v>1385</v>
      </c>
      <c r="E1881" s="30" t="s">
        <v>2101</v>
      </c>
      <c r="F1881" s="30">
        <v>1</v>
      </c>
      <c r="G1881" s="44">
        <v>3500</v>
      </c>
      <c r="H1881" s="30"/>
      <c r="I1881" s="44"/>
      <c r="J1881" s="44"/>
      <c r="K1881" s="44">
        <f t="shared" si="64"/>
        <v>3500</v>
      </c>
      <c r="L1881" s="51">
        <v>20230920</v>
      </c>
    </row>
    <row r="1882" spans="1:12" x14ac:dyDescent="0.25">
      <c r="A1882" s="50" t="s">
        <v>2972</v>
      </c>
      <c r="B1882" s="30" t="s">
        <v>137</v>
      </c>
      <c r="C1882" s="30" t="s">
        <v>29</v>
      </c>
      <c r="D1882" s="30" t="s">
        <v>1385</v>
      </c>
      <c r="E1882" s="30" t="s">
        <v>1386</v>
      </c>
      <c r="F1882" s="30">
        <v>1</v>
      </c>
      <c r="G1882" s="44">
        <v>3500</v>
      </c>
      <c r="H1882" s="30"/>
      <c r="I1882" s="44"/>
      <c r="J1882" s="44"/>
      <c r="K1882" s="44">
        <f t="shared" si="64"/>
        <v>3500</v>
      </c>
      <c r="L1882" s="51">
        <v>20230920</v>
      </c>
    </row>
    <row r="1883" spans="1:12" x14ac:dyDescent="0.25">
      <c r="A1883" s="50" t="s">
        <v>2973</v>
      </c>
      <c r="B1883" s="30" t="s">
        <v>137</v>
      </c>
      <c r="C1883" s="30" t="s">
        <v>29</v>
      </c>
      <c r="D1883" s="30" t="s">
        <v>1385</v>
      </c>
      <c r="E1883" s="30" t="s">
        <v>1290</v>
      </c>
      <c r="F1883" s="30">
        <v>1</v>
      </c>
      <c r="G1883" s="44">
        <v>3500</v>
      </c>
      <c r="H1883" s="30"/>
      <c r="I1883" s="44"/>
      <c r="J1883" s="44"/>
      <c r="K1883" s="44">
        <f t="shared" si="64"/>
        <v>3500</v>
      </c>
      <c r="L1883" s="51">
        <v>20230920</v>
      </c>
    </row>
    <row r="1884" spans="1:12" x14ac:dyDescent="0.25">
      <c r="A1884" s="50" t="s">
        <v>2974</v>
      </c>
      <c r="B1884" s="30" t="s">
        <v>137</v>
      </c>
      <c r="C1884" s="30" t="s">
        <v>29</v>
      </c>
      <c r="D1884" s="30" t="s">
        <v>1385</v>
      </c>
      <c r="E1884" s="30" t="s">
        <v>1127</v>
      </c>
      <c r="F1884" s="30">
        <v>1</v>
      </c>
      <c r="G1884" s="44">
        <v>3500</v>
      </c>
      <c r="H1884" s="30"/>
      <c r="I1884" s="44"/>
      <c r="J1884" s="44"/>
      <c r="K1884" s="44">
        <f t="shared" si="64"/>
        <v>3500</v>
      </c>
      <c r="L1884" s="51">
        <v>20230920</v>
      </c>
    </row>
    <row r="1885" spans="1:12" x14ac:dyDescent="0.25">
      <c r="A1885" s="50" t="s">
        <v>2975</v>
      </c>
      <c r="B1885" s="30" t="s">
        <v>137</v>
      </c>
      <c r="C1885" s="30" t="s">
        <v>29</v>
      </c>
      <c r="D1885" s="30" t="s">
        <v>1385</v>
      </c>
      <c r="E1885" s="30" t="s">
        <v>1320</v>
      </c>
      <c r="F1885" s="30">
        <v>1</v>
      </c>
      <c r="G1885" s="44">
        <v>3500</v>
      </c>
      <c r="H1885" s="30"/>
      <c r="I1885" s="44"/>
      <c r="J1885" s="44"/>
      <c r="K1885" s="44">
        <f t="shared" si="64"/>
        <v>3500</v>
      </c>
      <c r="L1885" s="51">
        <v>20230920</v>
      </c>
    </row>
    <row r="1886" spans="1:12" x14ac:dyDescent="0.25">
      <c r="A1886" s="50" t="s">
        <v>3050</v>
      </c>
      <c r="B1886" s="30" t="s">
        <v>137</v>
      </c>
      <c r="C1886" s="30" t="s">
        <v>29</v>
      </c>
      <c r="D1886" s="30" t="s">
        <v>1385</v>
      </c>
      <c r="E1886" s="30" t="s">
        <v>210</v>
      </c>
      <c r="F1886" s="30">
        <v>1</v>
      </c>
      <c r="G1886" s="44">
        <v>3500</v>
      </c>
      <c r="H1886" s="30"/>
      <c r="I1886" s="44"/>
      <c r="J1886" s="44"/>
      <c r="K1886" s="44">
        <f t="shared" si="64"/>
        <v>3500</v>
      </c>
      <c r="L1886" s="51">
        <v>20230920</v>
      </c>
    </row>
    <row r="1887" spans="1:12" x14ac:dyDescent="0.25">
      <c r="A1887" s="50" t="s">
        <v>2946</v>
      </c>
      <c r="B1887" s="30" t="s">
        <v>137</v>
      </c>
      <c r="C1887" s="30" t="s">
        <v>29</v>
      </c>
      <c r="D1887" s="30" t="s">
        <v>30</v>
      </c>
      <c r="E1887" s="30" t="s">
        <v>578</v>
      </c>
      <c r="F1887" s="30">
        <v>1</v>
      </c>
      <c r="G1887" s="44">
        <v>3500</v>
      </c>
      <c r="H1887" s="30"/>
      <c r="I1887" s="44"/>
      <c r="J1887" s="44"/>
      <c r="K1887" s="44">
        <f t="shared" si="64"/>
        <v>3500</v>
      </c>
      <c r="L1887" s="51">
        <v>20230922</v>
      </c>
    </row>
    <row r="1888" spans="1:12" x14ac:dyDescent="0.25">
      <c r="A1888" s="50" t="s">
        <v>2959</v>
      </c>
      <c r="B1888" s="30" t="s">
        <v>137</v>
      </c>
      <c r="C1888" s="30" t="s">
        <v>29</v>
      </c>
      <c r="D1888" s="30" t="s">
        <v>1656</v>
      </c>
      <c r="E1888" s="30" t="s">
        <v>2300</v>
      </c>
      <c r="F1888" s="30">
        <v>1</v>
      </c>
      <c r="G1888" s="44">
        <v>3500</v>
      </c>
      <c r="H1888" s="30"/>
      <c r="I1888" s="44"/>
      <c r="J1888" s="44"/>
      <c r="K1888" s="44">
        <f t="shared" si="64"/>
        <v>3500</v>
      </c>
      <c r="L1888" s="51">
        <v>20230922</v>
      </c>
    </row>
    <row r="1889" spans="1:12" x14ac:dyDescent="0.25">
      <c r="A1889" s="50" t="s">
        <v>2960</v>
      </c>
      <c r="B1889" s="30" t="s">
        <v>137</v>
      </c>
      <c r="C1889" s="30" t="s">
        <v>29</v>
      </c>
      <c r="D1889" s="30" t="s">
        <v>1656</v>
      </c>
      <c r="E1889" s="30" t="s">
        <v>2324</v>
      </c>
      <c r="F1889" s="30">
        <v>1</v>
      </c>
      <c r="G1889" s="44">
        <v>3500</v>
      </c>
      <c r="H1889" s="30"/>
      <c r="I1889" s="44"/>
      <c r="J1889" s="44"/>
      <c r="K1889" s="44">
        <f t="shared" si="64"/>
        <v>3500</v>
      </c>
      <c r="L1889" s="51">
        <v>20230922</v>
      </c>
    </row>
    <row r="1890" spans="1:12" x14ac:dyDescent="0.25">
      <c r="A1890" s="50" t="s">
        <v>2953</v>
      </c>
      <c r="B1890" s="30" t="s">
        <v>137</v>
      </c>
      <c r="C1890" s="30" t="s">
        <v>28</v>
      </c>
      <c r="D1890" s="30" t="s">
        <v>2284</v>
      </c>
      <c r="E1890" s="30" t="s">
        <v>2285</v>
      </c>
      <c r="F1890" s="30">
        <v>1</v>
      </c>
      <c r="G1890" s="44">
        <v>3500</v>
      </c>
      <c r="H1890" s="30"/>
      <c r="I1890" s="44"/>
      <c r="J1890" s="44"/>
      <c r="K1890" s="44">
        <f t="shared" si="64"/>
        <v>3500</v>
      </c>
      <c r="L1890" s="51">
        <v>20230924</v>
      </c>
    </row>
    <row r="1891" spans="1:12" x14ac:dyDescent="0.25">
      <c r="A1891" s="50" t="s">
        <v>2948</v>
      </c>
      <c r="B1891" s="30" t="s">
        <v>137</v>
      </c>
      <c r="C1891" s="30" t="s">
        <v>26</v>
      </c>
      <c r="D1891" s="30" t="s">
        <v>497</v>
      </c>
      <c r="E1891" s="30" t="s">
        <v>2279</v>
      </c>
      <c r="F1891" s="30">
        <v>1</v>
      </c>
      <c r="G1891" s="44">
        <v>3500</v>
      </c>
      <c r="H1891" s="30"/>
      <c r="I1891" s="44"/>
      <c r="J1891" s="44"/>
      <c r="K1891" s="44">
        <f t="shared" si="64"/>
        <v>3500</v>
      </c>
      <c r="L1891" s="51">
        <v>20230924</v>
      </c>
    </row>
    <row r="1892" spans="1:12" x14ac:dyDescent="0.25">
      <c r="A1892" s="50" t="s">
        <v>2954</v>
      </c>
      <c r="B1892" s="30" t="s">
        <v>137</v>
      </c>
      <c r="C1892" s="30" t="s">
        <v>26</v>
      </c>
      <c r="D1892" s="30" t="s">
        <v>497</v>
      </c>
      <c r="E1892" s="30" t="s">
        <v>498</v>
      </c>
      <c r="F1892" s="30">
        <v>1</v>
      </c>
      <c r="G1892" s="44">
        <v>3500</v>
      </c>
      <c r="H1892" s="30"/>
      <c r="I1892" s="44"/>
      <c r="J1892" s="44"/>
      <c r="K1892" s="44">
        <f t="shared" si="64"/>
        <v>3500</v>
      </c>
      <c r="L1892" s="51">
        <v>20230924</v>
      </c>
    </row>
    <row r="1893" spans="1:12" x14ac:dyDescent="0.25">
      <c r="A1893" s="50" t="s">
        <v>2949</v>
      </c>
      <c r="B1893" s="30" t="s">
        <v>137</v>
      </c>
      <c r="C1893" s="30" t="s">
        <v>172</v>
      </c>
      <c r="D1893" s="30" t="s">
        <v>173</v>
      </c>
      <c r="E1893" s="30" t="s">
        <v>2221</v>
      </c>
      <c r="F1893" s="30">
        <v>1</v>
      </c>
      <c r="G1893" s="44">
        <v>3500</v>
      </c>
      <c r="H1893" s="30"/>
      <c r="I1893" s="44"/>
      <c r="J1893" s="44"/>
      <c r="K1893" s="44">
        <f t="shared" si="64"/>
        <v>3500</v>
      </c>
      <c r="L1893" s="51">
        <v>20230924</v>
      </c>
    </row>
    <row r="1894" spans="1:12" x14ac:dyDescent="0.25">
      <c r="A1894" s="50" t="s">
        <v>2950</v>
      </c>
      <c r="B1894" s="30" t="s">
        <v>137</v>
      </c>
      <c r="C1894" s="30" t="s">
        <v>29</v>
      </c>
      <c r="D1894" s="30" t="s">
        <v>30</v>
      </c>
      <c r="E1894" s="30" t="s">
        <v>2273</v>
      </c>
      <c r="F1894" s="30">
        <v>1</v>
      </c>
      <c r="G1894" s="44">
        <v>3500</v>
      </c>
      <c r="H1894" s="30"/>
      <c r="I1894" s="44"/>
      <c r="J1894" s="44"/>
      <c r="K1894" s="44">
        <f t="shared" si="64"/>
        <v>3500</v>
      </c>
      <c r="L1894" s="51">
        <v>20230924</v>
      </c>
    </row>
    <row r="1895" spans="1:12" x14ac:dyDescent="0.25">
      <c r="A1895" s="50" t="s">
        <v>2951</v>
      </c>
      <c r="B1895" s="30" t="s">
        <v>137</v>
      </c>
      <c r="C1895" s="30" t="s">
        <v>29</v>
      </c>
      <c r="D1895" s="30" t="s">
        <v>30</v>
      </c>
      <c r="E1895" s="30" t="s">
        <v>509</v>
      </c>
      <c r="F1895" s="30">
        <v>1</v>
      </c>
      <c r="G1895" s="44">
        <v>3500</v>
      </c>
      <c r="H1895" s="30"/>
      <c r="I1895" s="44"/>
      <c r="J1895" s="44"/>
      <c r="K1895" s="44">
        <f t="shared" si="64"/>
        <v>3500</v>
      </c>
      <c r="L1895" s="51">
        <v>20230924</v>
      </c>
    </row>
    <row r="1896" spans="1:12" x14ac:dyDescent="0.25">
      <c r="A1896" s="50" t="s">
        <v>2952</v>
      </c>
      <c r="B1896" s="30" t="s">
        <v>137</v>
      </c>
      <c r="C1896" s="30" t="s">
        <v>168</v>
      </c>
      <c r="D1896" s="30" t="s">
        <v>169</v>
      </c>
      <c r="E1896" s="30" t="s">
        <v>170</v>
      </c>
      <c r="F1896" s="30">
        <v>1</v>
      </c>
      <c r="G1896" s="44">
        <v>3500</v>
      </c>
      <c r="H1896" s="30"/>
      <c r="I1896" s="44"/>
      <c r="J1896" s="44"/>
      <c r="K1896" s="44">
        <f t="shared" si="64"/>
        <v>3500</v>
      </c>
      <c r="L1896" s="51">
        <v>20230924</v>
      </c>
    </row>
    <row r="1897" spans="1:12" x14ac:dyDescent="0.25">
      <c r="A1897" s="50" t="s">
        <v>2930</v>
      </c>
      <c r="B1897" s="30" t="s">
        <v>137</v>
      </c>
      <c r="C1897" s="30" t="s">
        <v>654</v>
      </c>
      <c r="D1897" s="30" t="s">
        <v>1388</v>
      </c>
      <c r="E1897" s="30" t="s">
        <v>1389</v>
      </c>
      <c r="F1897" s="30">
        <v>1</v>
      </c>
      <c r="G1897" s="44">
        <v>3500</v>
      </c>
      <c r="H1897" s="30"/>
      <c r="I1897" s="44"/>
      <c r="J1897" s="44"/>
      <c r="K1897" s="44">
        <f t="shared" si="64"/>
        <v>3500</v>
      </c>
      <c r="L1897" s="51">
        <v>20230927</v>
      </c>
    </row>
    <row r="1898" spans="1:12" x14ac:dyDescent="0.25">
      <c r="A1898" s="50" t="s">
        <v>2931</v>
      </c>
      <c r="B1898" s="30" t="s">
        <v>137</v>
      </c>
      <c r="C1898" s="30" t="s">
        <v>129</v>
      </c>
      <c r="D1898" s="30" t="s">
        <v>24</v>
      </c>
      <c r="E1898" s="30" t="s">
        <v>130</v>
      </c>
      <c r="F1898" s="30">
        <v>1</v>
      </c>
      <c r="G1898" s="44">
        <v>3500</v>
      </c>
      <c r="H1898" s="30"/>
      <c r="I1898" s="44"/>
      <c r="J1898" s="44"/>
      <c r="K1898" s="44">
        <f t="shared" si="64"/>
        <v>3500</v>
      </c>
      <c r="L1898" s="51">
        <v>20230927</v>
      </c>
    </row>
    <row r="1899" spans="1:12" x14ac:dyDescent="0.25">
      <c r="A1899" s="50" t="s">
        <v>2940</v>
      </c>
      <c r="B1899" s="30" t="s">
        <v>137</v>
      </c>
      <c r="C1899" s="30" t="s">
        <v>919</v>
      </c>
      <c r="D1899" s="30" t="s">
        <v>24</v>
      </c>
      <c r="E1899" s="30" t="s">
        <v>920</v>
      </c>
      <c r="F1899" s="30">
        <v>1</v>
      </c>
      <c r="G1899" s="44">
        <v>3500</v>
      </c>
      <c r="H1899" s="30"/>
      <c r="I1899" s="44"/>
      <c r="J1899" s="44"/>
      <c r="K1899" s="44">
        <f t="shared" si="64"/>
        <v>3500</v>
      </c>
      <c r="L1899" s="51">
        <v>20230927</v>
      </c>
    </row>
    <row r="1900" spans="1:12" x14ac:dyDescent="0.25">
      <c r="A1900" s="50" t="s">
        <v>2936</v>
      </c>
      <c r="B1900" s="30" t="s">
        <v>137</v>
      </c>
      <c r="C1900" s="30" t="s">
        <v>29</v>
      </c>
      <c r="D1900" s="30" t="s">
        <v>24</v>
      </c>
      <c r="E1900" s="30" t="s">
        <v>2051</v>
      </c>
      <c r="F1900" s="30">
        <v>1</v>
      </c>
      <c r="G1900" s="44">
        <v>3500</v>
      </c>
      <c r="H1900" s="30"/>
      <c r="I1900" s="44"/>
      <c r="J1900" s="44"/>
      <c r="K1900" s="44">
        <f t="shared" si="64"/>
        <v>3500</v>
      </c>
      <c r="L1900" s="51">
        <v>20230927</v>
      </c>
    </row>
    <row r="1901" spans="1:12" x14ac:dyDescent="0.25">
      <c r="A1901" s="50" t="s">
        <v>2937</v>
      </c>
      <c r="B1901" s="30" t="s">
        <v>137</v>
      </c>
      <c r="C1901" s="30" t="s">
        <v>29</v>
      </c>
      <c r="D1901" s="30" t="s">
        <v>24</v>
      </c>
      <c r="E1901" s="30" t="s">
        <v>208</v>
      </c>
      <c r="F1901" s="30">
        <v>1</v>
      </c>
      <c r="G1901" s="44">
        <v>3500</v>
      </c>
      <c r="H1901" s="30"/>
      <c r="I1901" s="44"/>
      <c r="J1901" s="44"/>
      <c r="K1901" s="44">
        <f t="shared" si="64"/>
        <v>3500</v>
      </c>
      <c r="L1901" s="51">
        <v>20230927</v>
      </c>
    </row>
    <row r="1902" spans="1:12" x14ac:dyDescent="0.25">
      <c r="A1902" s="50" t="s">
        <v>2938</v>
      </c>
      <c r="B1902" s="30" t="s">
        <v>137</v>
      </c>
      <c r="C1902" s="30" t="s">
        <v>29</v>
      </c>
      <c r="D1902" s="30" t="s">
        <v>24</v>
      </c>
      <c r="E1902" s="30" t="s">
        <v>632</v>
      </c>
      <c r="F1902" s="30">
        <v>1</v>
      </c>
      <c r="G1902" s="44">
        <v>3500</v>
      </c>
      <c r="H1902" s="30"/>
      <c r="I1902" s="44"/>
      <c r="J1902" s="44"/>
      <c r="K1902" s="44">
        <f t="shared" si="64"/>
        <v>3500</v>
      </c>
      <c r="L1902" s="51">
        <v>20230927</v>
      </c>
    </row>
    <row r="1903" spans="1:12" x14ac:dyDescent="0.25">
      <c r="A1903" s="50" t="s">
        <v>2939</v>
      </c>
      <c r="B1903" s="30" t="s">
        <v>137</v>
      </c>
      <c r="C1903" s="30" t="s">
        <v>29</v>
      </c>
      <c r="D1903" s="30" t="s">
        <v>24</v>
      </c>
      <c r="E1903" s="30" t="s">
        <v>1497</v>
      </c>
      <c r="F1903" s="30">
        <v>1</v>
      </c>
      <c r="G1903" s="44">
        <v>3500</v>
      </c>
      <c r="H1903" s="30"/>
      <c r="I1903" s="44"/>
      <c r="J1903" s="44"/>
      <c r="K1903" s="44">
        <f t="shared" si="64"/>
        <v>3500</v>
      </c>
      <c r="L1903" s="51">
        <v>20230927</v>
      </c>
    </row>
    <row r="1904" spans="1:12" x14ac:dyDescent="0.25">
      <c r="A1904" s="50" t="s">
        <v>2942</v>
      </c>
      <c r="B1904" s="30" t="s">
        <v>137</v>
      </c>
      <c r="C1904" s="30" t="s">
        <v>865</v>
      </c>
      <c r="D1904" s="30" t="s">
        <v>24</v>
      </c>
      <c r="E1904" s="30" t="s">
        <v>866</v>
      </c>
      <c r="F1904" s="30">
        <v>1</v>
      </c>
      <c r="G1904" s="44">
        <v>3500</v>
      </c>
      <c r="H1904" s="30"/>
      <c r="I1904" s="44"/>
      <c r="J1904" s="44"/>
      <c r="K1904" s="44">
        <f t="shared" si="64"/>
        <v>3500</v>
      </c>
      <c r="L1904" s="51">
        <v>20230927</v>
      </c>
    </row>
    <row r="1905" spans="1:12" x14ac:dyDescent="0.25">
      <c r="A1905" s="50" t="s">
        <v>2941</v>
      </c>
      <c r="B1905" s="30" t="s">
        <v>137</v>
      </c>
      <c r="C1905" s="30" t="s">
        <v>28</v>
      </c>
      <c r="D1905" s="30" t="s">
        <v>371</v>
      </c>
      <c r="E1905" s="30" t="s">
        <v>372</v>
      </c>
      <c r="F1905" s="30">
        <v>1</v>
      </c>
      <c r="G1905" s="44">
        <v>3500</v>
      </c>
      <c r="H1905" s="30"/>
      <c r="I1905" s="44"/>
      <c r="J1905" s="44"/>
      <c r="K1905" s="44">
        <f t="shared" si="64"/>
        <v>3500</v>
      </c>
      <c r="L1905" s="51">
        <v>20230928</v>
      </c>
    </row>
    <row r="1906" spans="1:12" x14ac:dyDescent="0.25">
      <c r="A1906" s="50" t="s">
        <v>2932</v>
      </c>
      <c r="B1906" s="30" t="s">
        <v>137</v>
      </c>
      <c r="C1906" s="30" t="s">
        <v>993</v>
      </c>
      <c r="D1906" s="30" t="s">
        <v>994</v>
      </c>
      <c r="E1906" s="30" t="s">
        <v>995</v>
      </c>
      <c r="F1906" s="30">
        <v>1</v>
      </c>
      <c r="G1906" s="44">
        <v>3500</v>
      </c>
      <c r="H1906" s="30"/>
      <c r="I1906" s="44"/>
      <c r="J1906" s="44"/>
      <c r="K1906" s="44">
        <f t="shared" si="64"/>
        <v>3500</v>
      </c>
      <c r="L1906" s="51">
        <v>20230928</v>
      </c>
    </row>
    <row r="1907" spans="1:12" x14ac:dyDescent="0.25">
      <c r="A1907" s="50" t="s">
        <v>2933</v>
      </c>
      <c r="B1907" s="30" t="s">
        <v>137</v>
      </c>
      <c r="C1907" s="30" t="s">
        <v>636</v>
      </c>
      <c r="D1907" s="30" t="s">
        <v>24</v>
      </c>
      <c r="E1907" s="30" t="s">
        <v>2934</v>
      </c>
      <c r="F1907" s="30">
        <v>1</v>
      </c>
      <c r="G1907" s="44">
        <v>3500</v>
      </c>
      <c r="H1907" s="30"/>
      <c r="I1907" s="44"/>
      <c r="J1907" s="44"/>
      <c r="K1907" s="44">
        <f t="shared" ref="K1907:K1908" si="65">J1907+G1907</f>
        <v>3500</v>
      </c>
      <c r="L1907" s="51">
        <v>20230928</v>
      </c>
    </row>
    <row r="1908" spans="1:12" ht="15.75" thickBot="1" x14ac:dyDescent="0.3">
      <c r="A1908" s="54" t="s">
        <v>2935</v>
      </c>
      <c r="B1908" s="36" t="s">
        <v>137</v>
      </c>
      <c r="C1908" s="36" t="s">
        <v>636</v>
      </c>
      <c r="D1908" s="36" t="s">
        <v>24</v>
      </c>
      <c r="E1908" s="36" t="s">
        <v>637</v>
      </c>
      <c r="F1908" s="36">
        <v>1</v>
      </c>
      <c r="G1908" s="65">
        <v>3500</v>
      </c>
      <c r="H1908" s="36"/>
      <c r="I1908" s="65"/>
      <c r="J1908" s="65"/>
      <c r="K1908" s="65">
        <f t="shared" si="65"/>
        <v>3500</v>
      </c>
      <c r="L1908" s="55">
        <v>20230928</v>
      </c>
    </row>
    <row r="1910" spans="1:12" x14ac:dyDescent="0.25">
      <c r="A1910" s="50" t="s">
        <v>3055</v>
      </c>
      <c r="B1910" s="30" t="s">
        <v>779</v>
      </c>
      <c r="C1910" s="30" t="s">
        <v>29</v>
      </c>
      <c r="D1910" s="30" t="s">
        <v>1656</v>
      </c>
      <c r="E1910" s="30" t="s">
        <v>3056</v>
      </c>
      <c r="F1910" s="30">
        <v>1</v>
      </c>
      <c r="G1910" s="44">
        <v>7000</v>
      </c>
      <c r="H1910" s="30"/>
      <c r="I1910" s="44">
        <v>86</v>
      </c>
      <c r="J1910" s="44"/>
      <c r="K1910" s="44">
        <v>7000</v>
      </c>
      <c r="L1910" s="51">
        <v>20230920</v>
      </c>
    </row>
    <row r="1911" spans="1:12" x14ac:dyDescent="0.25">
      <c r="A1911" s="222" t="s">
        <v>3054</v>
      </c>
      <c r="B1911" s="223" t="s">
        <v>11</v>
      </c>
      <c r="C1911" s="223" t="s">
        <v>29</v>
      </c>
      <c r="D1911" s="223" t="s">
        <v>1656</v>
      </c>
      <c r="E1911" s="223">
        <v>7949507</v>
      </c>
      <c r="F1911" s="223">
        <v>1</v>
      </c>
      <c r="G1911" s="224">
        <v>21000</v>
      </c>
      <c r="H1911" s="223"/>
      <c r="I1911" s="224">
        <v>86</v>
      </c>
      <c r="J1911" s="224"/>
      <c r="K1911" s="224">
        <v>21000</v>
      </c>
      <c r="L1911" s="225">
        <v>20230921</v>
      </c>
    </row>
    <row r="1915" spans="1:12" ht="15.75" thickBot="1" x14ac:dyDescent="0.3">
      <c r="A1915" s="69" t="s">
        <v>0</v>
      </c>
      <c r="B1915" s="70" t="s">
        <v>1</v>
      </c>
      <c r="C1915" s="70" t="s">
        <v>2</v>
      </c>
      <c r="D1915" s="70" t="s">
        <v>3</v>
      </c>
      <c r="E1915" s="70" t="s">
        <v>4</v>
      </c>
      <c r="F1915" s="70"/>
      <c r="G1915" s="71" t="s">
        <v>6</v>
      </c>
      <c r="H1915" s="70" t="s">
        <v>7</v>
      </c>
      <c r="I1915" s="71" t="s">
        <v>8</v>
      </c>
      <c r="J1915" s="71" t="s">
        <v>9</v>
      </c>
      <c r="K1915" s="71" t="s">
        <v>10</v>
      </c>
      <c r="L1915" s="72" t="s">
        <v>5</v>
      </c>
    </row>
    <row r="1916" spans="1:12" x14ac:dyDescent="0.25">
      <c r="A1916" s="77" t="s">
        <v>3164</v>
      </c>
      <c r="B1916" s="78" t="s">
        <v>11</v>
      </c>
      <c r="C1916" s="78" t="s">
        <v>103</v>
      </c>
      <c r="D1916" s="78" t="s">
        <v>104</v>
      </c>
      <c r="E1916" s="78" t="s">
        <v>906</v>
      </c>
      <c r="F1916" s="78">
        <v>1</v>
      </c>
      <c r="G1916" s="79">
        <v>8869</v>
      </c>
      <c r="H1916" s="78">
        <v>159</v>
      </c>
      <c r="I1916" s="79">
        <v>109.9</v>
      </c>
      <c r="J1916" s="79">
        <f>I1916*H1916</f>
        <v>17474.100000000002</v>
      </c>
      <c r="K1916" s="79">
        <f t="shared" ref="K1916:K1954" si="66">J1916+G1916</f>
        <v>26343.100000000002</v>
      </c>
      <c r="L1916" s="80">
        <v>20231002</v>
      </c>
    </row>
    <row r="1917" spans="1:12" x14ac:dyDescent="0.25">
      <c r="A1917" s="52" t="s">
        <v>3155</v>
      </c>
      <c r="B1917" s="32" t="s">
        <v>11</v>
      </c>
      <c r="C1917" s="32" t="s">
        <v>103</v>
      </c>
      <c r="D1917" s="32" t="s">
        <v>104</v>
      </c>
      <c r="E1917" s="32" t="s">
        <v>904</v>
      </c>
      <c r="F1917" s="32">
        <v>1</v>
      </c>
      <c r="G1917" s="45">
        <v>8869</v>
      </c>
      <c r="H1917" s="32">
        <v>159</v>
      </c>
      <c r="I1917" s="45">
        <v>109.9</v>
      </c>
      <c r="J1917" s="45">
        <f>I1917*H1917</f>
        <v>17474.100000000002</v>
      </c>
      <c r="K1917" s="45">
        <f t="shared" si="66"/>
        <v>26343.100000000002</v>
      </c>
      <c r="L1917" s="53">
        <v>20231002</v>
      </c>
    </row>
    <row r="1918" spans="1:12" x14ac:dyDescent="0.25">
      <c r="A1918" s="50" t="s">
        <v>3161</v>
      </c>
      <c r="B1918" s="30" t="s">
        <v>11</v>
      </c>
      <c r="C1918" s="30" t="s">
        <v>29</v>
      </c>
      <c r="D1918" s="30" t="s">
        <v>30</v>
      </c>
      <c r="E1918" s="30" t="s">
        <v>509</v>
      </c>
      <c r="F1918" s="30">
        <v>1</v>
      </c>
      <c r="G1918" s="44">
        <v>8869</v>
      </c>
      <c r="H1918" s="30"/>
      <c r="I1918" s="44"/>
      <c r="J1918" s="44"/>
      <c r="K1918" s="44">
        <f t="shared" si="66"/>
        <v>8869</v>
      </c>
      <c r="L1918" s="51">
        <v>20231002</v>
      </c>
    </row>
    <row r="1919" spans="1:12" x14ac:dyDescent="0.25">
      <c r="A1919" s="50" t="s">
        <v>3156</v>
      </c>
      <c r="B1919" s="30" t="s">
        <v>11</v>
      </c>
      <c r="C1919" s="30" t="s">
        <v>28</v>
      </c>
      <c r="D1919" s="30" t="s">
        <v>1329</v>
      </c>
      <c r="E1919" s="30" t="s">
        <v>1330</v>
      </c>
      <c r="F1919" s="30">
        <v>1</v>
      </c>
      <c r="G1919" s="44">
        <v>8869</v>
      </c>
      <c r="H1919" s="30"/>
      <c r="I1919" s="44"/>
      <c r="J1919" s="44"/>
      <c r="K1919" s="44">
        <f t="shared" si="66"/>
        <v>8869</v>
      </c>
      <c r="L1919" s="51">
        <v>20231003</v>
      </c>
    </row>
    <row r="1920" spans="1:12" x14ac:dyDescent="0.25">
      <c r="A1920" s="52" t="s">
        <v>3152</v>
      </c>
      <c r="B1920" s="32" t="s">
        <v>11</v>
      </c>
      <c r="C1920" s="32" t="s">
        <v>26</v>
      </c>
      <c r="D1920" s="32" t="s">
        <v>351</v>
      </c>
      <c r="E1920" s="32" t="s">
        <v>2501</v>
      </c>
      <c r="F1920" s="32">
        <v>1</v>
      </c>
      <c r="G1920" s="45">
        <v>8869</v>
      </c>
      <c r="H1920" s="32">
        <v>67</v>
      </c>
      <c r="I1920" s="45">
        <v>109.9</v>
      </c>
      <c r="J1920" s="45">
        <f>I1920*H1920</f>
        <v>7363.3</v>
      </c>
      <c r="K1920" s="45">
        <f t="shared" si="66"/>
        <v>16232.3</v>
      </c>
      <c r="L1920" s="53">
        <v>20231004</v>
      </c>
    </row>
    <row r="1921" spans="1:12" x14ac:dyDescent="0.25">
      <c r="A1921" s="50" t="s">
        <v>3160</v>
      </c>
      <c r="B1921" s="30" t="s">
        <v>11</v>
      </c>
      <c r="C1921" s="30" t="s">
        <v>76</v>
      </c>
      <c r="D1921" s="30" t="s">
        <v>2913</v>
      </c>
      <c r="E1921" s="30" t="s">
        <v>77</v>
      </c>
      <c r="F1921" s="30">
        <v>1</v>
      </c>
      <c r="G1921" s="44">
        <v>8869</v>
      </c>
      <c r="H1921" s="30"/>
      <c r="I1921" s="44"/>
      <c r="J1921" s="44"/>
      <c r="K1921" s="44">
        <f t="shared" si="66"/>
        <v>8869</v>
      </c>
      <c r="L1921" s="51">
        <v>20231005</v>
      </c>
    </row>
    <row r="1922" spans="1:12" x14ac:dyDescent="0.25">
      <c r="A1922" s="50" t="s">
        <v>3153</v>
      </c>
      <c r="B1922" s="30" t="s">
        <v>1209</v>
      </c>
      <c r="C1922" s="30" t="s">
        <v>29</v>
      </c>
      <c r="D1922" s="30" t="s">
        <v>1656</v>
      </c>
      <c r="E1922" s="30" t="s">
        <v>3154</v>
      </c>
      <c r="F1922" s="30">
        <v>1</v>
      </c>
      <c r="G1922" s="44">
        <v>8869</v>
      </c>
      <c r="H1922" s="30"/>
      <c r="I1922" s="44"/>
      <c r="J1922" s="44"/>
      <c r="K1922" s="44">
        <f t="shared" si="66"/>
        <v>8869</v>
      </c>
      <c r="L1922" s="51">
        <v>20231005</v>
      </c>
    </row>
    <row r="1923" spans="1:12" x14ac:dyDescent="0.25">
      <c r="A1923" s="50" t="s">
        <v>3150</v>
      </c>
      <c r="B1923" s="30" t="s">
        <v>11</v>
      </c>
      <c r="C1923" s="30" t="s">
        <v>770</v>
      </c>
      <c r="D1923" s="30" t="s">
        <v>2764</v>
      </c>
      <c r="E1923" s="30" t="s">
        <v>2944</v>
      </c>
      <c r="F1923" s="30">
        <v>1</v>
      </c>
      <c r="G1923" s="44">
        <v>8869</v>
      </c>
      <c r="H1923" s="30"/>
      <c r="I1923" s="44"/>
      <c r="J1923" s="44"/>
      <c r="K1923" s="44">
        <f t="shared" si="66"/>
        <v>8869</v>
      </c>
      <c r="L1923" s="51">
        <v>20231009</v>
      </c>
    </row>
    <row r="1924" spans="1:12" x14ac:dyDescent="0.25">
      <c r="A1924" s="50" t="s">
        <v>3146</v>
      </c>
      <c r="B1924" s="30" t="s">
        <v>11</v>
      </c>
      <c r="C1924" s="30" t="s">
        <v>1450</v>
      </c>
      <c r="D1924" s="30" t="s">
        <v>1592</v>
      </c>
      <c r="E1924" s="30" t="s">
        <v>1593</v>
      </c>
      <c r="F1924" s="30">
        <v>1</v>
      </c>
      <c r="G1924" s="44">
        <v>8869</v>
      </c>
      <c r="H1924" s="30"/>
      <c r="I1924" s="44"/>
      <c r="J1924" s="44"/>
      <c r="K1924" s="44">
        <f t="shared" si="66"/>
        <v>8869</v>
      </c>
      <c r="L1924" s="51">
        <v>20231009</v>
      </c>
    </row>
    <row r="1925" spans="1:12" x14ac:dyDescent="0.25">
      <c r="A1925" s="52" t="s">
        <v>3149</v>
      </c>
      <c r="B1925" s="32" t="s">
        <v>11</v>
      </c>
      <c r="C1925" s="32" t="s">
        <v>337</v>
      </c>
      <c r="D1925" s="32" t="s">
        <v>35</v>
      </c>
      <c r="E1925" s="32" t="s">
        <v>511</v>
      </c>
      <c r="F1925" s="32">
        <v>1</v>
      </c>
      <c r="G1925" s="45">
        <v>8869</v>
      </c>
      <c r="H1925" s="32">
        <v>72</v>
      </c>
      <c r="I1925" s="45">
        <v>109.9</v>
      </c>
      <c r="J1925" s="45">
        <f>I1925*H1925</f>
        <v>7912.8</v>
      </c>
      <c r="K1925" s="45">
        <f t="shared" si="66"/>
        <v>16781.8</v>
      </c>
      <c r="L1925" s="53">
        <v>20231010</v>
      </c>
    </row>
    <row r="1926" spans="1:12" x14ac:dyDescent="0.25">
      <c r="A1926" s="52" t="s">
        <v>3148</v>
      </c>
      <c r="B1926" s="32" t="s">
        <v>11</v>
      </c>
      <c r="C1926" s="32" t="s">
        <v>337</v>
      </c>
      <c r="D1926" s="32" t="s">
        <v>35</v>
      </c>
      <c r="E1926" s="32" t="s">
        <v>157</v>
      </c>
      <c r="F1926" s="32">
        <v>1</v>
      </c>
      <c r="G1926" s="45">
        <v>8869</v>
      </c>
      <c r="H1926" s="32">
        <v>72</v>
      </c>
      <c r="I1926" s="45">
        <v>109.9</v>
      </c>
      <c r="J1926" s="45">
        <f>I1926*H1926</f>
        <v>7912.8</v>
      </c>
      <c r="K1926" s="45">
        <f t="shared" si="66"/>
        <v>16781.8</v>
      </c>
      <c r="L1926" s="53">
        <v>20231010</v>
      </c>
    </row>
    <row r="1927" spans="1:12" x14ac:dyDescent="0.25">
      <c r="A1927" s="50" t="s">
        <v>3147</v>
      </c>
      <c r="B1927" s="30" t="s">
        <v>11</v>
      </c>
      <c r="C1927" s="30" t="s">
        <v>57</v>
      </c>
      <c r="D1927" s="30" t="s">
        <v>58</v>
      </c>
      <c r="E1927" s="30" t="s">
        <v>62</v>
      </c>
      <c r="F1927" s="30">
        <v>1</v>
      </c>
      <c r="G1927" s="44">
        <v>8869</v>
      </c>
      <c r="H1927" s="30"/>
      <c r="I1927" s="44"/>
      <c r="J1927" s="44"/>
      <c r="K1927" s="44">
        <f t="shared" si="66"/>
        <v>8869</v>
      </c>
      <c r="L1927" s="51">
        <v>20231010</v>
      </c>
    </row>
    <row r="1928" spans="1:12" x14ac:dyDescent="0.25">
      <c r="A1928" s="50" t="s">
        <v>3143</v>
      </c>
      <c r="B1928" s="30" t="s">
        <v>11</v>
      </c>
      <c r="C1928" s="30" t="s">
        <v>1393</v>
      </c>
      <c r="D1928" s="30" t="s">
        <v>1394</v>
      </c>
      <c r="E1928" s="30" t="s">
        <v>2163</v>
      </c>
      <c r="F1928" s="30">
        <v>1</v>
      </c>
      <c r="G1928" s="44">
        <v>8869</v>
      </c>
      <c r="H1928" s="30"/>
      <c r="I1928" s="44"/>
      <c r="J1928" s="44"/>
      <c r="K1928" s="44">
        <f t="shared" si="66"/>
        <v>8869</v>
      </c>
      <c r="L1928" s="51">
        <v>20231011</v>
      </c>
    </row>
    <row r="1929" spans="1:12" x14ac:dyDescent="0.25">
      <c r="A1929" s="50" t="s">
        <v>3135</v>
      </c>
      <c r="B1929" s="30" t="s">
        <v>11</v>
      </c>
      <c r="C1929" s="30" t="s">
        <v>163</v>
      </c>
      <c r="D1929" s="30" t="s">
        <v>164</v>
      </c>
      <c r="E1929" s="30" t="s">
        <v>166</v>
      </c>
      <c r="F1929" s="30">
        <v>1</v>
      </c>
      <c r="G1929" s="44">
        <v>8869</v>
      </c>
      <c r="H1929" s="30"/>
      <c r="I1929" s="44"/>
      <c r="J1929" s="44"/>
      <c r="K1929" s="44">
        <f t="shared" si="66"/>
        <v>8869</v>
      </c>
      <c r="L1929" s="51">
        <v>20231011</v>
      </c>
    </row>
    <row r="1930" spans="1:12" x14ac:dyDescent="0.25">
      <c r="A1930" s="52" t="s">
        <v>3134</v>
      </c>
      <c r="B1930" s="32" t="s">
        <v>11</v>
      </c>
      <c r="C1930" s="32" t="s">
        <v>163</v>
      </c>
      <c r="D1930" s="32" t="s">
        <v>164</v>
      </c>
      <c r="E1930" s="32" t="s">
        <v>1115</v>
      </c>
      <c r="F1930" s="32">
        <v>1</v>
      </c>
      <c r="G1930" s="45">
        <v>8869</v>
      </c>
      <c r="H1930" s="32">
        <v>126</v>
      </c>
      <c r="I1930" s="45">
        <v>109.9</v>
      </c>
      <c r="J1930" s="45">
        <f>I1930*H1930</f>
        <v>13847.400000000001</v>
      </c>
      <c r="K1930" s="45">
        <f t="shared" si="66"/>
        <v>22716.400000000001</v>
      </c>
      <c r="L1930" s="53">
        <v>20231011</v>
      </c>
    </row>
    <row r="1931" spans="1:12" x14ac:dyDescent="0.25">
      <c r="A1931" s="50" t="s">
        <v>3163</v>
      </c>
      <c r="B1931" s="30" t="s">
        <v>1209</v>
      </c>
      <c r="C1931" s="30" t="s">
        <v>337</v>
      </c>
      <c r="D1931" s="30" t="s">
        <v>35</v>
      </c>
      <c r="E1931" s="30" t="s">
        <v>42</v>
      </c>
      <c r="F1931" s="30">
        <v>1</v>
      </c>
      <c r="G1931" s="44">
        <v>8869</v>
      </c>
      <c r="H1931" s="30"/>
      <c r="I1931" s="44"/>
      <c r="J1931" s="44"/>
      <c r="K1931" s="44">
        <f t="shared" si="66"/>
        <v>8869</v>
      </c>
      <c r="L1931" s="51">
        <v>20231011</v>
      </c>
    </row>
    <row r="1932" spans="1:12" x14ac:dyDescent="0.25">
      <c r="A1932" s="50" t="s">
        <v>3162</v>
      </c>
      <c r="B1932" s="30" t="s">
        <v>1209</v>
      </c>
      <c r="C1932" s="30" t="s">
        <v>337</v>
      </c>
      <c r="D1932" s="30" t="s">
        <v>35</v>
      </c>
      <c r="E1932" s="30" t="s">
        <v>340</v>
      </c>
      <c r="F1932" s="30">
        <v>1</v>
      </c>
      <c r="G1932" s="44">
        <v>8869</v>
      </c>
      <c r="H1932" s="30"/>
      <c r="I1932" s="44"/>
      <c r="J1932" s="44"/>
      <c r="K1932" s="44">
        <f t="shared" si="66"/>
        <v>8869</v>
      </c>
      <c r="L1932" s="51">
        <v>20231011</v>
      </c>
    </row>
    <row r="1933" spans="1:12" x14ac:dyDescent="0.25">
      <c r="A1933" s="50" t="s">
        <v>3151</v>
      </c>
      <c r="B1933" s="30" t="s">
        <v>11</v>
      </c>
      <c r="C1933" s="30" t="s">
        <v>3085</v>
      </c>
      <c r="D1933" s="30" t="s">
        <v>3086</v>
      </c>
      <c r="E1933" s="30" t="s">
        <v>3087</v>
      </c>
      <c r="F1933" s="30">
        <v>1</v>
      </c>
      <c r="G1933" s="44">
        <v>8869</v>
      </c>
      <c r="H1933" s="30"/>
      <c r="I1933" s="44"/>
      <c r="J1933" s="44"/>
      <c r="K1933" s="44">
        <f t="shared" si="66"/>
        <v>8869</v>
      </c>
      <c r="L1933" s="51">
        <v>20231018</v>
      </c>
    </row>
    <row r="1934" spans="1:12" x14ac:dyDescent="0.25">
      <c r="A1934" s="50" t="s">
        <v>3157</v>
      </c>
      <c r="B1934" s="30" t="s">
        <v>11</v>
      </c>
      <c r="C1934" s="30" t="s">
        <v>1234</v>
      </c>
      <c r="D1934" s="30" t="s">
        <v>3158</v>
      </c>
      <c r="E1934" s="30" t="s">
        <v>3159</v>
      </c>
      <c r="F1934" s="30">
        <v>1</v>
      </c>
      <c r="G1934" s="44">
        <v>8869</v>
      </c>
      <c r="H1934" s="30"/>
      <c r="I1934" s="44"/>
      <c r="J1934" s="44"/>
      <c r="K1934" s="44">
        <f t="shared" si="66"/>
        <v>8869</v>
      </c>
      <c r="L1934" s="51">
        <v>20231018</v>
      </c>
    </row>
    <row r="1935" spans="1:12" x14ac:dyDescent="0.25">
      <c r="A1935" s="52" t="s">
        <v>3144</v>
      </c>
      <c r="B1935" s="32" t="s">
        <v>11</v>
      </c>
      <c r="C1935" s="32" t="s">
        <v>1234</v>
      </c>
      <c r="D1935" s="32" t="s">
        <v>3140</v>
      </c>
      <c r="E1935" s="32" t="s">
        <v>3145</v>
      </c>
      <c r="F1935" s="32">
        <v>1</v>
      </c>
      <c r="G1935" s="45">
        <v>8869</v>
      </c>
      <c r="H1935" s="32">
        <v>382</v>
      </c>
      <c r="I1935" s="45">
        <v>109.9</v>
      </c>
      <c r="J1935" s="45">
        <f>I1935*H1935</f>
        <v>41981.8</v>
      </c>
      <c r="K1935" s="45">
        <f t="shared" si="66"/>
        <v>50850.8</v>
      </c>
      <c r="L1935" s="53">
        <v>20231018</v>
      </c>
    </row>
    <row r="1936" spans="1:12" x14ac:dyDescent="0.25">
      <c r="A1936" s="50" t="s">
        <v>3139</v>
      </c>
      <c r="B1936" s="30" t="s">
        <v>11</v>
      </c>
      <c r="C1936" s="30" t="s">
        <v>1234</v>
      </c>
      <c r="D1936" s="30" t="s">
        <v>3140</v>
      </c>
      <c r="E1936" s="30" t="s">
        <v>3141</v>
      </c>
      <c r="F1936" s="30">
        <v>1</v>
      </c>
      <c r="G1936" s="44">
        <v>8869</v>
      </c>
      <c r="H1936" s="30"/>
      <c r="I1936" s="44"/>
      <c r="J1936" s="44"/>
      <c r="K1936" s="44">
        <f t="shared" si="66"/>
        <v>8869</v>
      </c>
      <c r="L1936" s="51">
        <v>20231018</v>
      </c>
    </row>
    <row r="1937" spans="1:12" x14ac:dyDescent="0.25">
      <c r="A1937" s="52" t="s">
        <v>3165</v>
      </c>
      <c r="B1937" s="32" t="s">
        <v>11</v>
      </c>
      <c r="C1937" s="32" t="s">
        <v>1234</v>
      </c>
      <c r="D1937" s="32" t="s">
        <v>3140</v>
      </c>
      <c r="E1937" s="32" t="s">
        <v>3166</v>
      </c>
      <c r="F1937" s="32">
        <v>1</v>
      </c>
      <c r="G1937" s="45">
        <v>8869</v>
      </c>
      <c r="H1937" s="32">
        <v>382</v>
      </c>
      <c r="I1937" s="45">
        <v>109.9</v>
      </c>
      <c r="J1937" s="45">
        <f>I1937*H1937</f>
        <v>41981.8</v>
      </c>
      <c r="K1937" s="45">
        <f t="shared" si="66"/>
        <v>50850.8</v>
      </c>
      <c r="L1937" s="53">
        <v>20231018</v>
      </c>
    </row>
    <row r="1938" spans="1:12" x14ac:dyDescent="0.25">
      <c r="A1938" s="50" t="s">
        <v>3130</v>
      </c>
      <c r="B1938" s="30" t="s">
        <v>11</v>
      </c>
      <c r="C1938" s="30" t="s">
        <v>94</v>
      </c>
      <c r="D1938" s="30" t="s">
        <v>95</v>
      </c>
      <c r="E1938" s="30" t="s">
        <v>1085</v>
      </c>
      <c r="F1938" s="30">
        <v>1</v>
      </c>
      <c r="G1938" s="44">
        <v>8869</v>
      </c>
      <c r="H1938" s="30"/>
      <c r="I1938" s="44"/>
      <c r="J1938" s="44"/>
      <c r="K1938" s="44">
        <f t="shared" si="66"/>
        <v>8869</v>
      </c>
      <c r="L1938" s="51">
        <v>20231019</v>
      </c>
    </row>
    <row r="1939" spans="1:12" x14ac:dyDescent="0.25">
      <c r="A1939" s="50" t="s">
        <v>3133</v>
      </c>
      <c r="B1939" s="30" t="s">
        <v>11</v>
      </c>
      <c r="C1939" s="30" t="s">
        <v>94</v>
      </c>
      <c r="D1939" s="30" t="s">
        <v>95</v>
      </c>
      <c r="E1939" s="30" t="s">
        <v>1083</v>
      </c>
      <c r="F1939" s="30">
        <v>1</v>
      </c>
      <c r="G1939" s="44">
        <v>8869</v>
      </c>
      <c r="H1939" s="30"/>
      <c r="I1939" s="44"/>
      <c r="J1939" s="44"/>
      <c r="K1939" s="44">
        <f t="shared" si="66"/>
        <v>8869</v>
      </c>
      <c r="L1939" s="51">
        <v>20231019</v>
      </c>
    </row>
    <row r="1940" spans="1:12" x14ac:dyDescent="0.25">
      <c r="A1940" s="50" t="s">
        <v>3131</v>
      </c>
      <c r="B1940" s="30" t="s">
        <v>11</v>
      </c>
      <c r="C1940" s="30" t="s">
        <v>94</v>
      </c>
      <c r="D1940" s="30" t="s">
        <v>95</v>
      </c>
      <c r="E1940" s="30" t="s">
        <v>436</v>
      </c>
      <c r="F1940" s="30">
        <v>1</v>
      </c>
      <c r="G1940" s="44">
        <v>8869</v>
      </c>
      <c r="H1940" s="30"/>
      <c r="I1940" s="44"/>
      <c r="J1940" s="44"/>
      <c r="K1940" s="44">
        <f t="shared" si="66"/>
        <v>8869</v>
      </c>
      <c r="L1940" s="51">
        <v>20231019</v>
      </c>
    </row>
    <row r="1941" spans="1:12" x14ac:dyDescent="0.25">
      <c r="A1941" s="50" t="s">
        <v>3132</v>
      </c>
      <c r="B1941" s="30" t="s">
        <v>11</v>
      </c>
      <c r="C1941" s="30" t="s">
        <v>251</v>
      </c>
      <c r="D1941" s="30" t="s">
        <v>744</v>
      </c>
      <c r="E1941" s="30" t="s">
        <v>745</v>
      </c>
      <c r="F1941" s="30">
        <v>1</v>
      </c>
      <c r="G1941" s="44">
        <v>8869</v>
      </c>
      <c r="H1941" s="30"/>
      <c r="I1941" s="44"/>
      <c r="J1941" s="44"/>
      <c r="K1941" s="44">
        <f t="shared" si="66"/>
        <v>8869</v>
      </c>
      <c r="L1941" s="51">
        <v>20231020</v>
      </c>
    </row>
    <row r="1942" spans="1:12" x14ac:dyDescent="0.25">
      <c r="A1942" s="50" t="s">
        <v>3136</v>
      </c>
      <c r="B1942" s="30" t="s">
        <v>1209</v>
      </c>
      <c r="C1942" s="30" t="s">
        <v>3137</v>
      </c>
      <c r="D1942" s="30" t="s">
        <v>24</v>
      </c>
      <c r="E1942" s="30" t="s">
        <v>3138</v>
      </c>
      <c r="F1942" s="30">
        <v>1</v>
      </c>
      <c r="G1942" s="44">
        <v>8869</v>
      </c>
      <c r="H1942" s="30"/>
      <c r="I1942" s="44"/>
      <c r="J1942" s="44"/>
      <c r="K1942" s="44">
        <f t="shared" si="66"/>
        <v>8869</v>
      </c>
      <c r="L1942" s="51">
        <v>20231020</v>
      </c>
    </row>
    <row r="1943" spans="1:12" x14ac:dyDescent="0.25">
      <c r="A1943" s="50" t="s">
        <v>3142</v>
      </c>
      <c r="B1943" s="30" t="s">
        <v>11</v>
      </c>
      <c r="C1943" s="30" t="s">
        <v>364</v>
      </c>
      <c r="D1943" s="30" t="s">
        <v>24</v>
      </c>
      <c r="E1943" s="30" t="s">
        <v>1445</v>
      </c>
      <c r="F1943" s="30">
        <v>1</v>
      </c>
      <c r="G1943" s="44">
        <v>8869</v>
      </c>
      <c r="H1943" s="30"/>
      <c r="I1943" s="44"/>
      <c r="J1943" s="44"/>
      <c r="K1943" s="44">
        <f t="shared" si="66"/>
        <v>8869</v>
      </c>
      <c r="L1943" s="51">
        <v>20231025</v>
      </c>
    </row>
    <row r="1944" spans="1:12" x14ac:dyDescent="0.25">
      <c r="A1944" s="52" t="s">
        <v>3111</v>
      </c>
      <c r="B1944" s="32" t="s">
        <v>11</v>
      </c>
      <c r="C1944" s="32" t="s">
        <v>3112</v>
      </c>
      <c r="D1944" s="32" t="s">
        <v>1545</v>
      </c>
      <c r="E1944" s="32" t="s">
        <v>3113</v>
      </c>
      <c r="F1944" s="32">
        <v>1</v>
      </c>
      <c r="G1944" s="45">
        <v>8869</v>
      </c>
      <c r="H1944" s="32">
        <v>126</v>
      </c>
      <c r="I1944" s="45">
        <v>109.9</v>
      </c>
      <c r="J1944" s="45">
        <f>I1944*H1944</f>
        <v>13847.400000000001</v>
      </c>
      <c r="K1944" s="45">
        <f t="shared" si="66"/>
        <v>22716.400000000001</v>
      </c>
      <c r="L1944" s="53">
        <v>20231026</v>
      </c>
    </row>
    <row r="1945" spans="1:12" x14ac:dyDescent="0.25">
      <c r="A1945" s="50" t="s">
        <v>3109</v>
      </c>
      <c r="B1945" s="30" t="s">
        <v>11</v>
      </c>
      <c r="C1945" s="30" t="s">
        <v>168</v>
      </c>
      <c r="D1945" s="30" t="s">
        <v>169</v>
      </c>
      <c r="E1945" s="30" t="s">
        <v>2276</v>
      </c>
      <c r="F1945" s="30">
        <v>1</v>
      </c>
      <c r="G1945" s="44">
        <v>8869</v>
      </c>
      <c r="H1945" s="30"/>
      <c r="I1945" s="44"/>
      <c r="J1945" s="44"/>
      <c r="K1945" s="44">
        <f t="shared" si="66"/>
        <v>8869</v>
      </c>
      <c r="L1945" s="51">
        <v>20231026</v>
      </c>
    </row>
    <row r="1946" spans="1:12" x14ac:dyDescent="0.25">
      <c r="A1946" s="50" t="s">
        <v>3103</v>
      </c>
      <c r="B1946" s="30" t="s">
        <v>11</v>
      </c>
      <c r="C1946" s="30" t="s">
        <v>34</v>
      </c>
      <c r="D1946" s="30" t="s">
        <v>35</v>
      </c>
      <c r="E1946" s="30" t="s">
        <v>1369</v>
      </c>
      <c r="F1946" s="30">
        <v>1</v>
      </c>
      <c r="G1946" s="44">
        <v>8869</v>
      </c>
      <c r="H1946" s="30"/>
      <c r="I1946" s="44"/>
      <c r="J1946" s="44"/>
      <c r="K1946" s="44">
        <f t="shared" si="66"/>
        <v>8869</v>
      </c>
      <c r="L1946" s="51">
        <v>20231026</v>
      </c>
    </row>
    <row r="1947" spans="1:12" x14ac:dyDescent="0.25">
      <c r="A1947" s="50" t="s">
        <v>3095</v>
      </c>
      <c r="B1947" s="30" t="s">
        <v>11</v>
      </c>
      <c r="C1947" s="30" t="s">
        <v>134</v>
      </c>
      <c r="D1947" s="30" t="s">
        <v>135</v>
      </c>
      <c r="E1947" s="30" t="s">
        <v>190</v>
      </c>
      <c r="F1947" s="30">
        <v>1</v>
      </c>
      <c r="G1947" s="44">
        <v>8869</v>
      </c>
      <c r="H1947" s="30"/>
      <c r="I1947" s="44"/>
      <c r="J1947" s="44"/>
      <c r="K1947" s="44">
        <f t="shared" si="66"/>
        <v>8869</v>
      </c>
      <c r="L1947" s="51">
        <v>20231027</v>
      </c>
    </row>
    <row r="1948" spans="1:12" x14ac:dyDescent="0.25">
      <c r="A1948" s="50" t="s">
        <v>3094</v>
      </c>
      <c r="B1948" s="30" t="s">
        <v>11</v>
      </c>
      <c r="C1948" s="30" t="s">
        <v>919</v>
      </c>
      <c r="D1948" s="30" t="s">
        <v>24</v>
      </c>
      <c r="E1948" s="30" t="s">
        <v>920</v>
      </c>
      <c r="F1948" s="30">
        <v>1</v>
      </c>
      <c r="G1948" s="44">
        <v>8869</v>
      </c>
      <c r="H1948" s="30"/>
      <c r="I1948" s="44"/>
      <c r="J1948" s="44"/>
      <c r="K1948" s="44">
        <f t="shared" si="66"/>
        <v>8869</v>
      </c>
      <c r="L1948" s="51">
        <v>20231030</v>
      </c>
    </row>
    <row r="1949" spans="1:12" x14ac:dyDescent="0.25">
      <c r="A1949" s="50" t="s">
        <v>3081</v>
      </c>
      <c r="B1949" s="30" t="s">
        <v>11</v>
      </c>
      <c r="C1949" s="30" t="s">
        <v>29</v>
      </c>
      <c r="D1949" s="30" t="s">
        <v>24</v>
      </c>
      <c r="E1949" s="30" t="s">
        <v>208</v>
      </c>
      <c r="F1949" s="30">
        <v>1</v>
      </c>
      <c r="G1949" s="44">
        <v>8869</v>
      </c>
      <c r="H1949" s="30"/>
      <c r="I1949" s="44"/>
      <c r="J1949" s="44"/>
      <c r="K1949" s="44">
        <f t="shared" si="66"/>
        <v>8869</v>
      </c>
      <c r="L1949" s="51">
        <v>20231030</v>
      </c>
    </row>
    <row r="1950" spans="1:12" x14ac:dyDescent="0.25">
      <c r="A1950" s="52" t="s">
        <v>3096</v>
      </c>
      <c r="B1950" s="32" t="s">
        <v>11</v>
      </c>
      <c r="C1950" s="32" t="s">
        <v>270</v>
      </c>
      <c r="D1950" s="32" t="s">
        <v>368</v>
      </c>
      <c r="E1950" s="32" t="s">
        <v>1218</v>
      </c>
      <c r="F1950" s="32">
        <v>1</v>
      </c>
      <c r="G1950" s="45">
        <v>8869</v>
      </c>
      <c r="H1950" s="32">
        <v>137</v>
      </c>
      <c r="I1950" s="45">
        <v>109.9</v>
      </c>
      <c r="J1950" s="45">
        <f>I1950*H1950</f>
        <v>15056.300000000001</v>
      </c>
      <c r="K1950" s="45">
        <f t="shared" si="66"/>
        <v>23925.300000000003</v>
      </c>
      <c r="L1950" s="53">
        <v>20231031</v>
      </c>
    </row>
    <row r="1951" spans="1:12" x14ac:dyDescent="0.25">
      <c r="A1951" s="50" t="s">
        <v>3114</v>
      </c>
      <c r="B1951" s="30" t="s">
        <v>11</v>
      </c>
      <c r="C1951" s="30" t="s">
        <v>1393</v>
      </c>
      <c r="D1951" s="30" t="s">
        <v>3115</v>
      </c>
      <c r="E1951" s="30" t="s">
        <v>3116</v>
      </c>
      <c r="F1951" s="30">
        <v>1</v>
      </c>
      <c r="G1951" s="44">
        <v>8869</v>
      </c>
      <c r="H1951" s="30"/>
      <c r="I1951" s="44"/>
      <c r="J1951" s="44"/>
      <c r="K1951" s="44">
        <f t="shared" si="66"/>
        <v>8869</v>
      </c>
      <c r="L1951" s="51">
        <v>20231031</v>
      </c>
    </row>
    <row r="1952" spans="1:12" x14ac:dyDescent="0.25">
      <c r="A1952" s="52" t="s">
        <v>3082</v>
      </c>
      <c r="B1952" s="32" t="s">
        <v>11</v>
      </c>
      <c r="C1952" s="32" t="s">
        <v>28</v>
      </c>
      <c r="D1952" s="32" t="s">
        <v>3066</v>
      </c>
      <c r="E1952" s="32" t="s">
        <v>3083</v>
      </c>
      <c r="F1952" s="32">
        <v>1</v>
      </c>
      <c r="G1952" s="45">
        <v>8869</v>
      </c>
      <c r="H1952" s="32">
        <v>234</v>
      </c>
      <c r="I1952" s="45">
        <v>109.9</v>
      </c>
      <c r="J1952" s="45">
        <f>I1952*H1952</f>
        <v>25716.600000000002</v>
      </c>
      <c r="K1952" s="45">
        <f t="shared" si="66"/>
        <v>34585.600000000006</v>
      </c>
      <c r="L1952" s="53">
        <v>20231031</v>
      </c>
    </row>
    <row r="1953" spans="1:12" x14ac:dyDescent="0.25">
      <c r="A1953" s="52" t="s">
        <v>3065</v>
      </c>
      <c r="B1953" s="32" t="s">
        <v>11</v>
      </c>
      <c r="C1953" s="32" t="s">
        <v>28</v>
      </c>
      <c r="D1953" s="32" t="s">
        <v>3066</v>
      </c>
      <c r="E1953" s="32" t="s">
        <v>3067</v>
      </c>
      <c r="F1953" s="32">
        <v>1</v>
      </c>
      <c r="G1953" s="45">
        <v>8869</v>
      </c>
      <c r="H1953" s="32">
        <v>234</v>
      </c>
      <c r="I1953" s="45">
        <v>109.9</v>
      </c>
      <c r="J1953" s="45">
        <f>I1953*H1953</f>
        <v>25716.600000000002</v>
      </c>
      <c r="K1953" s="45">
        <f t="shared" si="66"/>
        <v>34585.600000000006</v>
      </c>
      <c r="L1953" s="53">
        <v>20231031</v>
      </c>
    </row>
    <row r="1954" spans="1:12" ht="15.75" thickBot="1" x14ac:dyDescent="0.3">
      <c r="A1954" s="54" t="s">
        <v>3071</v>
      </c>
      <c r="B1954" s="36" t="s">
        <v>11</v>
      </c>
      <c r="C1954" s="36" t="s">
        <v>94</v>
      </c>
      <c r="D1954" s="36" t="s">
        <v>95</v>
      </c>
      <c r="E1954" s="36" t="s">
        <v>2583</v>
      </c>
      <c r="F1954" s="36">
        <v>1</v>
      </c>
      <c r="G1954" s="65">
        <v>8869</v>
      </c>
      <c r="H1954" s="36"/>
      <c r="I1954" s="65"/>
      <c r="J1954" s="65"/>
      <c r="K1954" s="65">
        <f t="shared" si="66"/>
        <v>8869</v>
      </c>
      <c r="L1954" s="55">
        <v>20231031</v>
      </c>
    </row>
    <row r="1955" spans="1:12" x14ac:dyDescent="0.25">
      <c r="A1955" s="73"/>
      <c r="B1955" s="74"/>
      <c r="C1955" s="74"/>
      <c r="D1955" s="74"/>
      <c r="E1955" s="74"/>
      <c r="F1955" s="74"/>
      <c r="G1955" s="75"/>
      <c r="H1955" s="74"/>
      <c r="I1955" s="75"/>
      <c r="J1955" s="75"/>
      <c r="K1955" s="75"/>
      <c r="L1955" s="76"/>
    </row>
    <row r="1956" spans="1:12" ht="15.75" thickBot="1" x14ac:dyDescent="0.3">
      <c r="A1956" s="69"/>
      <c r="B1956" s="70"/>
      <c r="C1956" s="70"/>
      <c r="D1956" s="70"/>
      <c r="E1956" s="70"/>
      <c r="F1956" s="70"/>
      <c r="G1956" s="71"/>
      <c r="H1956" s="70"/>
      <c r="I1956" s="71"/>
      <c r="J1956" s="71"/>
      <c r="K1956" s="71"/>
      <c r="L1956" s="72"/>
    </row>
    <row r="1957" spans="1:12" x14ac:dyDescent="0.25">
      <c r="A1957" s="48" t="s">
        <v>3129</v>
      </c>
      <c r="B1957" s="34" t="s">
        <v>137</v>
      </c>
      <c r="C1957" s="34" t="s">
        <v>28</v>
      </c>
      <c r="D1957" s="34" t="s">
        <v>724</v>
      </c>
      <c r="E1957" s="34" t="s">
        <v>725</v>
      </c>
      <c r="F1957" s="34">
        <v>1</v>
      </c>
      <c r="G1957" s="64">
        <v>4435</v>
      </c>
      <c r="H1957" s="34"/>
      <c r="I1957" s="64"/>
      <c r="J1957" s="64"/>
      <c r="K1957" s="64">
        <f t="shared" ref="K1957:K1996" si="67">J1957+G1957</f>
        <v>4435</v>
      </c>
      <c r="L1957" s="49">
        <v>20231019</v>
      </c>
    </row>
    <row r="1958" spans="1:12" x14ac:dyDescent="0.25">
      <c r="A1958" s="52" t="s">
        <v>3128</v>
      </c>
      <c r="B1958" s="32" t="s">
        <v>137</v>
      </c>
      <c r="C1958" s="32" t="s">
        <v>29</v>
      </c>
      <c r="D1958" s="32" t="s">
        <v>241</v>
      </c>
      <c r="E1958" s="32" t="s">
        <v>242</v>
      </c>
      <c r="F1958" s="32">
        <v>1</v>
      </c>
      <c r="G1958" s="45">
        <v>4435</v>
      </c>
      <c r="H1958" s="32">
        <v>149</v>
      </c>
      <c r="I1958" s="45">
        <v>109.9</v>
      </c>
      <c r="J1958" s="45">
        <f>I1958*H1958</f>
        <v>16375.1</v>
      </c>
      <c r="K1958" s="45">
        <f t="shared" si="67"/>
        <v>20810.099999999999</v>
      </c>
      <c r="L1958" s="53">
        <v>20231019</v>
      </c>
    </row>
    <row r="1959" spans="1:12" x14ac:dyDescent="0.25">
      <c r="A1959" s="50" t="s">
        <v>3121</v>
      </c>
      <c r="B1959" s="30" t="s">
        <v>137</v>
      </c>
      <c r="C1959" s="30" t="s">
        <v>134</v>
      </c>
      <c r="D1959" s="30" t="s">
        <v>135</v>
      </c>
      <c r="E1959" s="30" t="s">
        <v>136</v>
      </c>
      <c r="F1959" s="30">
        <v>1</v>
      </c>
      <c r="G1959" s="44">
        <v>4435</v>
      </c>
      <c r="H1959" s="30"/>
      <c r="I1959" s="44"/>
      <c r="J1959" s="44"/>
      <c r="K1959" s="44">
        <f t="shared" si="67"/>
        <v>4435</v>
      </c>
      <c r="L1959" s="51">
        <v>20231020</v>
      </c>
    </row>
    <row r="1960" spans="1:12" x14ac:dyDescent="0.25">
      <c r="A1960" s="50" t="s">
        <v>3120</v>
      </c>
      <c r="B1960" s="30" t="s">
        <v>137</v>
      </c>
      <c r="C1960" s="30" t="s">
        <v>134</v>
      </c>
      <c r="D1960" s="30" t="s">
        <v>135</v>
      </c>
      <c r="E1960" s="30" t="s">
        <v>1178</v>
      </c>
      <c r="F1960" s="30">
        <v>1</v>
      </c>
      <c r="G1960" s="44">
        <v>4435</v>
      </c>
      <c r="H1960" s="30"/>
      <c r="I1960" s="44"/>
      <c r="J1960" s="44"/>
      <c r="K1960" s="44">
        <f t="shared" si="67"/>
        <v>4435</v>
      </c>
      <c r="L1960" s="51">
        <v>20231020</v>
      </c>
    </row>
    <row r="1961" spans="1:12" x14ac:dyDescent="0.25">
      <c r="A1961" s="50" t="s">
        <v>3119</v>
      </c>
      <c r="B1961" s="30" t="s">
        <v>137</v>
      </c>
      <c r="C1961" s="30" t="s">
        <v>134</v>
      </c>
      <c r="D1961" s="30" t="s">
        <v>135</v>
      </c>
      <c r="E1961" s="30" t="s">
        <v>264</v>
      </c>
      <c r="F1961" s="30">
        <v>1</v>
      </c>
      <c r="G1961" s="44">
        <v>4435</v>
      </c>
      <c r="H1961" s="30"/>
      <c r="I1961" s="44"/>
      <c r="J1961" s="44"/>
      <c r="K1961" s="44">
        <f t="shared" si="67"/>
        <v>4435</v>
      </c>
      <c r="L1961" s="51">
        <v>20231020</v>
      </c>
    </row>
    <row r="1962" spans="1:12" x14ac:dyDescent="0.25">
      <c r="A1962" s="50" t="s">
        <v>3118</v>
      </c>
      <c r="B1962" s="30" t="s">
        <v>137</v>
      </c>
      <c r="C1962" s="30" t="s">
        <v>134</v>
      </c>
      <c r="D1962" s="30" t="s">
        <v>135</v>
      </c>
      <c r="E1962" s="30" t="s">
        <v>190</v>
      </c>
      <c r="F1962" s="30">
        <v>1</v>
      </c>
      <c r="G1962" s="44">
        <v>4435</v>
      </c>
      <c r="H1962" s="30"/>
      <c r="I1962" s="44"/>
      <c r="J1962" s="44"/>
      <c r="K1962" s="44">
        <f t="shared" si="67"/>
        <v>4435</v>
      </c>
      <c r="L1962" s="51">
        <v>20231020</v>
      </c>
    </row>
    <row r="1963" spans="1:12" x14ac:dyDescent="0.25">
      <c r="A1963" s="50" t="s">
        <v>3117</v>
      </c>
      <c r="B1963" s="30" t="s">
        <v>137</v>
      </c>
      <c r="C1963" s="30" t="s">
        <v>134</v>
      </c>
      <c r="D1963" s="30" t="s">
        <v>135</v>
      </c>
      <c r="E1963" s="30" t="s">
        <v>183</v>
      </c>
      <c r="F1963" s="30">
        <v>1</v>
      </c>
      <c r="G1963" s="44">
        <v>4435</v>
      </c>
      <c r="H1963" s="30"/>
      <c r="I1963" s="44"/>
      <c r="J1963" s="44"/>
      <c r="K1963" s="44">
        <f t="shared" si="67"/>
        <v>4435</v>
      </c>
      <c r="L1963" s="51">
        <v>20231020</v>
      </c>
    </row>
    <row r="1964" spans="1:12" x14ac:dyDescent="0.25">
      <c r="A1964" s="50" t="s">
        <v>3110</v>
      </c>
      <c r="B1964" s="30" t="s">
        <v>137</v>
      </c>
      <c r="C1964" s="30" t="s">
        <v>134</v>
      </c>
      <c r="D1964" s="30" t="s">
        <v>354</v>
      </c>
      <c r="E1964" s="30" t="s">
        <v>2166</v>
      </c>
      <c r="F1964" s="30">
        <v>1</v>
      </c>
      <c r="G1964" s="44">
        <v>4435</v>
      </c>
      <c r="H1964" s="30"/>
      <c r="I1964" s="44"/>
      <c r="J1964" s="44"/>
      <c r="K1964" s="44">
        <f t="shared" si="67"/>
        <v>4435</v>
      </c>
      <c r="L1964" s="51">
        <v>20231020</v>
      </c>
    </row>
    <row r="1965" spans="1:12" x14ac:dyDescent="0.25">
      <c r="A1965" s="50" t="s">
        <v>3123</v>
      </c>
      <c r="B1965" s="30" t="s">
        <v>137</v>
      </c>
      <c r="C1965" s="30" t="s">
        <v>134</v>
      </c>
      <c r="D1965" s="30" t="s">
        <v>354</v>
      </c>
      <c r="E1965" s="30" t="s">
        <v>833</v>
      </c>
      <c r="F1965" s="30">
        <v>1</v>
      </c>
      <c r="G1965" s="44">
        <v>4435</v>
      </c>
      <c r="H1965" s="30"/>
      <c r="I1965" s="44"/>
      <c r="J1965" s="44"/>
      <c r="K1965" s="44">
        <f t="shared" si="67"/>
        <v>4435</v>
      </c>
      <c r="L1965" s="51">
        <v>20231020</v>
      </c>
    </row>
    <row r="1966" spans="1:12" x14ac:dyDescent="0.25">
      <c r="A1966" s="50" t="s">
        <v>3122</v>
      </c>
      <c r="B1966" s="30" t="s">
        <v>137</v>
      </c>
      <c r="C1966" s="30" t="s">
        <v>134</v>
      </c>
      <c r="D1966" s="30" t="s">
        <v>354</v>
      </c>
      <c r="E1966" s="30" t="s">
        <v>831</v>
      </c>
      <c r="F1966" s="30">
        <v>1</v>
      </c>
      <c r="G1966" s="44">
        <v>4435</v>
      </c>
      <c r="H1966" s="30"/>
      <c r="I1966" s="44"/>
      <c r="J1966" s="44"/>
      <c r="K1966" s="44">
        <f t="shared" si="67"/>
        <v>4435</v>
      </c>
      <c r="L1966" s="51">
        <v>20231020</v>
      </c>
    </row>
    <row r="1967" spans="1:12" x14ac:dyDescent="0.25">
      <c r="A1967" s="50" t="s">
        <v>3127</v>
      </c>
      <c r="B1967" s="30" t="s">
        <v>137</v>
      </c>
      <c r="C1967" s="30" t="s">
        <v>134</v>
      </c>
      <c r="D1967" s="30" t="s">
        <v>354</v>
      </c>
      <c r="E1967" s="30" t="s">
        <v>825</v>
      </c>
      <c r="F1967" s="30">
        <v>1</v>
      </c>
      <c r="G1967" s="44">
        <v>4435</v>
      </c>
      <c r="H1967" s="30"/>
      <c r="I1967" s="44"/>
      <c r="J1967" s="44"/>
      <c r="K1967" s="44">
        <f t="shared" si="67"/>
        <v>4435</v>
      </c>
      <c r="L1967" s="51">
        <v>20231020</v>
      </c>
    </row>
    <row r="1968" spans="1:12" x14ac:dyDescent="0.25">
      <c r="A1968" s="50" t="s">
        <v>3126</v>
      </c>
      <c r="B1968" s="30" t="s">
        <v>137</v>
      </c>
      <c r="C1968" s="30" t="s">
        <v>134</v>
      </c>
      <c r="D1968" s="30" t="s">
        <v>354</v>
      </c>
      <c r="E1968" s="30" t="s">
        <v>410</v>
      </c>
      <c r="F1968" s="30">
        <v>1</v>
      </c>
      <c r="G1968" s="44">
        <v>4435</v>
      </c>
      <c r="H1968" s="30"/>
      <c r="I1968" s="44"/>
      <c r="J1968" s="44"/>
      <c r="K1968" s="44">
        <f t="shared" si="67"/>
        <v>4435</v>
      </c>
      <c r="L1968" s="51">
        <v>20231020</v>
      </c>
    </row>
    <row r="1969" spans="1:12" x14ac:dyDescent="0.25">
      <c r="A1969" s="50" t="s">
        <v>3125</v>
      </c>
      <c r="B1969" s="30" t="s">
        <v>137</v>
      </c>
      <c r="C1969" s="30" t="s">
        <v>134</v>
      </c>
      <c r="D1969" s="30" t="s">
        <v>354</v>
      </c>
      <c r="E1969" s="30" t="s">
        <v>359</v>
      </c>
      <c r="F1969" s="30">
        <v>1</v>
      </c>
      <c r="G1969" s="44">
        <v>4435</v>
      </c>
      <c r="H1969" s="30"/>
      <c r="I1969" s="44"/>
      <c r="J1969" s="44"/>
      <c r="K1969" s="44">
        <f t="shared" si="67"/>
        <v>4435</v>
      </c>
      <c r="L1969" s="51">
        <v>20231020</v>
      </c>
    </row>
    <row r="1970" spans="1:12" x14ac:dyDescent="0.25">
      <c r="A1970" s="50" t="s">
        <v>3124</v>
      </c>
      <c r="B1970" s="30" t="s">
        <v>137</v>
      </c>
      <c r="C1970" s="30" t="s">
        <v>134</v>
      </c>
      <c r="D1970" s="30" t="s">
        <v>354</v>
      </c>
      <c r="E1970" s="30" t="s">
        <v>357</v>
      </c>
      <c r="F1970" s="30">
        <v>1</v>
      </c>
      <c r="G1970" s="44">
        <v>4435</v>
      </c>
      <c r="H1970" s="30"/>
      <c r="I1970" s="44"/>
      <c r="J1970" s="44"/>
      <c r="K1970" s="44">
        <f t="shared" si="67"/>
        <v>4435</v>
      </c>
      <c r="L1970" s="51">
        <v>20231020</v>
      </c>
    </row>
    <row r="1971" spans="1:12" x14ac:dyDescent="0.25">
      <c r="A1971" s="50" t="s">
        <v>3104</v>
      </c>
      <c r="B1971" s="30" t="s">
        <v>137</v>
      </c>
      <c r="C1971" s="30" t="s">
        <v>251</v>
      </c>
      <c r="D1971" s="30" t="s">
        <v>744</v>
      </c>
      <c r="E1971" s="30" t="s">
        <v>745</v>
      </c>
      <c r="F1971" s="30">
        <v>1</v>
      </c>
      <c r="G1971" s="44">
        <v>4435</v>
      </c>
      <c r="H1971" s="30"/>
      <c r="I1971" s="44"/>
      <c r="J1971" s="44"/>
      <c r="K1971" s="44">
        <f t="shared" si="67"/>
        <v>4435</v>
      </c>
      <c r="L1971" s="51">
        <v>20231023</v>
      </c>
    </row>
    <row r="1972" spans="1:12" x14ac:dyDescent="0.25">
      <c r="A1972" s="50" t="s">
        <v>3105</v>
      </c>
      <c r="B1972" s="30" t="s">
        <v>137</v>
      </c>
      <c r="C1972" s="30" t="s">
        <v>251</v>
      </c>
      <c r="D1972" s="30" t="s">
        <v>767</v>
      </c>
      <c r="E1972" s="30" t="s">
        <v>2150</v>
      </c>
      <c r="F1972" s="30">
        <v>1</v>
      </c>
      <c r="G1972" s="44">
        <v>4435</v>
      </c>
      <c r="H1972" s="30"/>
      <c r="I1972" s="44"/>
      <c r="J1972" s="44"/>
      <c r="K1972" s="44">
        <f t="shared" si="67"/>
        <v>4435</v>
      </c>
      <c r="L1972" s="51">
        <v>20231023</v>
      </c>
    </row>
    <row r="1973" spans="1:12" x14ac:dyDescent="0.25">
      <c r="A1973" s="50" t="s">
        <v>3108</v>
      </c>
      <c r="B1973" s="30" t="s">
        <v>137</v>
      </c>
      <c r="C1973" s="30" t="s">
        <v>26</v>
      </c>
      <c r="D1973" s="30" t="s">
        <v>556</v>
      </c>
      <c r="E1973" s="30" t="s">
        <v>563</v>
      </c>
      <c r="F1973" s="30">
        <v>1</v>
      </c>
      <c r="G1973" s="44">
        <v>4435</v>
      </c>
      <c r="H1973" s="30"/>
      <c r="I1973" s="44"/>
      <c r="J1973" s="44"/>
      <c r="K1973" s="44">
        <f t="shared" si="67"/>
        <v>4435</v>
      </c>
      <c r="L1973" s="51">
        <v>20231023</v>
      </c>
    </row>
    <row r="1974" spans="1:12" x14ac:dyDescent="0.25">
      <c r="A1974" s="50" t="s">
        <v>3107</v>
      </c>
      <c r="B1974" s="30" t="s">
        <v>137</v>
      </c>
      <c r="C1974" s="30" t="s">
        <v>26</v>
      </c>
      <c r="D1974" s="30" t="s">
        <v>556</v>
      </c>
      <c r="E1974" s="30" t="s">
        <v>561</v>
      </c>
      <c r="F1974" s="30">
        <v>1</v>
      </c>
      <c r="G1974" s="44">
        <v>4435</v>
      </c>
      <c r="H1974" s="30"/>
      <c r="I1974" s="44"/>
      <c r="J1974" s="44"/>
      <c r="K1974" s="44">
        <f t="shared" si="67"/>
        <v>4435</v>
      </c>
      <c r="L1974" s="51">
        <v>20231023</v>
      </c>
    </row>
    <row r="1975" spans="1:12" x14ac:dyDescent="0.25">
      <c r="A1975" s="50" t="s">
        <v>3106</v>
      </c>
      <c r="B1975" s="30" t="s">
        <v>137</v>
      </c>
      <c r="C1975" s="30" t="s">
        <v>26</v>
      </c>
      <c r="D1975" s="30" t="s">
        <v>556</v>
      </c>
      <c r="E1975" s="30" t="s">
        <v>557</v>
      </c>
      <c r="F1975" s="30">
        <v>1</v>
      </c>
      <c r="G1975" s="44">
        <v>4435</v>
      </c>
      <c r="H1975" s="30"/>
      <c r="I1975" s="44"/>
      <c r="J1975" s="44"/>
      <c r="K1975" s="44">
        <f t="shared" si="67"/>
        <v>4435</v>
      </c>
      <c r="L1975" s="51">
        <v>20231023</v>
      </c>
    </row>
    <row r="1976" spans="1:12" x14ac:dyDescent="0.25">
      <c r="A1976" s="50" t="s">
        <v>3102</v>
      </c>
      <c r="B1976" s="30" t="s">
        <v>137</v>
      </c>
      <c r="C1976" s="30" t="s">
        <v>26</v>
      </c>
      <c r="D1976" s="30" t="s">
        <v>204</v>
      </c>
      <c r="E1976" s="30" t="s">
        <v>786</v>
      </c>
      <c r="F1976" s="30">
        <v>1</v>
      </c>
      <c r="G1976" s="44">
        <v>4435</v>
      </c>
      <c r="H1976" s="30"/>
      <c r="I1976" s="44"/>
      <c r="J1976" s="44"/>
      <c r="K1976" s="44">
        <f t="shared" si="67"/>
        <v>4435</v>
      </c>
      <c r="L1976" s="51">
        <v>20231024</v>
      </c>
    </row>
    <row r="1977" spans="1:12" x14ac:dyDescent="0.25">
      <c r="A1977" s="50" t="s">
        <v>3101</v>
      </c>
      <c r="B1977" s="30" t="s">
        <v>137</v>
      </c>
      <c r="C1977" s="30" t="s">
        <v>26</v>
      </c>
      <c r="D1977" s="30" t="s">
        <v>204</v>
      </c>
      <c r="E1977" s="30" t="s">
        <v>205</v>
      </c>
      <c r="F1977" s="30">
        <v>1</v>
      </c>
      <c r="G1977" s="44">
        <v>4435</v>
      </c>
      <c r="H1977" s="30"/>
      <c r="I1977" s="44"/>
      <c r="J1977" s="44"/>
      <c r="K1977" s="44">
        <f t="shared" si="67"/>
        <v>4435</v>
      </c>
      <c r="L1977" s="51">
        <v>20231024</v>
      </c>
    </row>
    <row r="1978" spans="1:12" x14ac:dyDescent="0.25">
      <c r="A1978" s="50" t="s">
        <v>3100</v>
      </c>
      <c r="B1978" s="30" t="s">
        <v>137</v>
      </c>
      <c r="C1978" s="30" t="s">
        <v>26</v>
      </c>
      <c r="D1978" s="30" t="s">
        <v>204</v>
      </c>
      <c r="E1978" s="30" t="s">
        <v>234</v>
      </c>
      <c r="F1978" s="30">
        <v>1</v>
      </c>
      <c r="G1978" s="44">
        <v>4435</v>
      </c>
      <c r="H1978" s="30"/>
      <c r="I1978" s="44"/>
      <c r="J1978" s="44"/>
      <c r="K1978" s="44">
        <f t="shared" si="67"/>
        <v>4435</v>
      </c>
      <c r="L1978" s="51">
        <v>20231024</v>
      </c>
    </row>
    <row r="1979" spans="1:12" x14ac:dyDescent="0.25">
      <c r="A1979" s="50" t="s">
        <v>3099</v>
      </c>
      <c r="B1979" s="30" t="s">
        <v>137</v>
      </c>
      <c r="C1979" s="30" t="s">
        <v>26</v>
      </c>
      <c r="D1979" s="30" t="s">
        <v>544</v>
      </c>
      <c r="E1979" s="30" t="s">
        <v>551</v>
      </c>
      <c r="F1979" s="30">
        <v>1</v>
      </c>
      <c r="G1979" s="44">
        <v>4435</v>
      </c>
      <c r="H1979" s="30"/>
      <c r="I1979" s="44"/>
      <c r="J1979" s="44"/>
      <c r="K1979" s="44">
        <f t="shared" si="67"/>
        <v>4435</v>
      </c>
      <c r="L1979" s="51">
        <v>20231025</v>
      </c>
    </row>
    <row r="1980" spans="1:12" x14ac:dyDescent="0.25">
      <c r="A1980" s="50" t="s">
        <v>3098</v>
      </c>
      <c r="B1980" s="30" t="s">
        <v>137</v>
      </c>
      <c r="C1980" s="30" t="s">
        <v>26</v>
      </c>
      <c r="D1980" s="30" t="s">
        <v>544</v>
      </c>
      <c r="E1980" s="30" t="s">
        <v>549</v>
      </c>
      <c r="F1980" s="30">
        <v>1</v>
      </c>
      <c r="G1980" s="44">
        <v>4435</v>
      </c>
      <c r="H1980" s="30"/>
      <c r="I1980" s="44"/>
      <c r="J1980" s="44"/>
      <c r="K1980" s="44">
        <f t="shared" si="67"/>
        <v>4435</v>
      </c>
      <c r="L1980" s="51">
        <v>20231025</v>
      </c>
    </row>
    <row r="1981" spans="1:12" x14ac:dyDescent="0.25">
      <c r="A1981" s="50" t="s">
        <v>3097</v>
      </c>
      <c r="B1981" s="30" t="s">
        <v>137</v>
      </c>
      <c r="C1981" s="30" t="s">
        <v>26</v>
      </c>
      <c r="D1981" s="30" t="s">
        <v>544</v>
      </c>
      <c r="E1981" s="30" t="s">
        <v>545</v>
      </c>
      <c r="F1981" s="30">
        <v>1</v>
      </c>
      <c r="G1981" s="44">
        <v>4435</v>
      </c>
      <c r="H1981" s="30"/>
      <c r="I1981" s="44"/>
      <c r="J1981" s="44"/>
      <c r="K1981" s="44">
        <f t="shared" si="67"/>
        <v>4435</v>
      </c>
      <c r="L1981" s="51">
        <v>20231025</v>
      </c>
    </row>
    <row r="1982" spans="1:12" x14ac:dyDescent="0.25">
      <c r="A1982" s="50" t="s">
        <v>3070</v>
      </c>
      <c r="B1982" s="30" t="s">
        <v>137</v>
      </c>
      <c r="C1982" s="30" t="s">
        <v>337</v>
      </c>
      <c r="D1982" s="30" t="s">
        <v>162</v>
      </c>
      <c r="E1982" s="30" t="s">
        <v>1534</v>
      </c>
      <c r="F1982" s="30">
        <v>1</v>
      </c>
      <c r="G1982" s="44">
        <v>4435</v>
      </c>
      <c r="H1982" s="30"/>
      <c r="I1982" s="44"/>
      <c r="J1982" s="44"/>
      <c r="K1982" s="44">
        <f t="shared" si="67"/>
        <v>4435</v>
      </c>
      <c r="L1982" s="51">
        <v>20231027</v>
      </c>
    </row>
    <row r="1983" spans="1:12" x14ac:dyDescent="0.25">
      <c r="A1983" s="52" t="s">
        <v>3069</v>
      </c>
      <c r="B1983" s="32" t="s">
        <v>137</v>
      </c>
      <c r="C1983" s="32" t="s">
        <v>337</v>
      </c>
      <c r="D1983" s="32" t="s">
        <v>162</v>
      </c>
      <c r="E1983" s="32" t="s">
        <v>1530</v>
      </c>
      <c r="F1983" s="32">
        <v>1</v>
      </c>
      <c r="G1983" s="45">
        <v>4435</v>
      </c>
      <c r="H1983" s="32">
        <v>69</v>
      </c>
      <c r="I1983" s="45">
        <v>109.9</v>
      </c>
      <c r="J1983" s="45">
        <f>I1983*H1983</f>
        <v>7583.1</v>
      </c>
      <c r="K1983" s="45">
        <f t="shared" si="67"/>
        <v>12018.1</v>
      </c>
      <c r="L1983" s="53">
        <v>20231027</v>
      </c>
    </row>
    <row r="1984" spans="1:12" x14ac:dyDescent="0.25">
      <c r="A1984" s="50" t="s">
        <v>3068</v>
      </c>
      <c r="B1984" s="30" t="s">
        <v>137</v>
      </c>
      <c r="C1984" s="30" t="s">
        <v>337</v>
      </c>
      <c r="D1984" s="30" t="s">
        <v>162</v>
      </c>
      <c r="E1984" s="30" t="s">
        <v>1528</v>
      </c>
      <c r="F1984" s="30">
        <v>1</v>
      </c>
      <c r="G1984" s="44">
        <v>4435</v>
      </c>
      <c r="H1984" s="30"/>
      <c r="I1984" s="44"/>
      <c r="J1984" s="44"/>
      <c r="K1984" s="44">
        <f t="shared" si="67"/>
        <v>4435</v>
      </c>
      <c r="L1984" s="51">
        <v>20231027</v>
      </c>
    </row>
    <row r="1985" spans="1:12" x14ac:dyDescent="0.25">
      <c r="A1985" s="50" t="s">
        <v>3078</v>
      </c>
      <c r="B1985" s="30" t="s">
        <v>137</v>
      </c>
      <c r="C1985" s="30" t="s">
        <v>337</v>
      </c>
      <c r="D1985" s="30" t="s">
        <v>162</v>
      </c>
      <c r="E1985" s="30" t="s">
        <v>239</v>
      </c>
      <c r="F1985" s="30">
        <v>1</v>
      </c>
      <c r="G1985" s="44">
        <v>4435</v>
      </c>
      <c r="H1985" s="30"/>
      <c r="I1985" s="44"/>
      <c r="J1985" s="44"/>
      <c r="K1985" s="44">
        <f t="shared" si="67"/>
        <v>4435</v>
      </c>
      <c r="L1985" s="51">
        <v>20231030</v>
      </c>
    </row>
    <row r="1986" spans="1:12" x14ac:dyDescent="0.25">
      <c r="A1986" s="50" t="s">
        <v>3076</v>
      </c>
      <c r="B1986" s="30" t="s">
        <v>137</v>
      </c>
      <c r="C1986" s="30" t="s">
        <v>337</v>
      </c>
      <c r="D1986" s="30" t="s">
        <v>162</v>
      </c>
      <c r="E1986" s="30" t="s">
        <v>2314</v>
      </c>
      <c r="F1986" s="30">
        <v>1</v>
      </c>
      <c r="G1986" s="44">
        <v>4435</v>
      </c>
      <c r="H1986" s="30"/>
      <c r="I1986" s="44"/>
      <c r="J1986" s="44"/>
      <c r="K1986" s="44">
        <f t="shared" si="67"/>
        <v>4435</v>
      </c>
      <c r="L1986" s="51">
        <v>20231030</v>
      </c>
    </row>
    <row r="1987" spans="1:12" x14ac:dyDescent="0.25">
      <c r="A1987" s="50" t="s">
        <v>3077</v>
      </c>
      <c r="B1987" s="30" t="s">
        <v>137</v>
      </c>
      <c r="C1987" s="30" t="s">
        <v>337</v>
      </c>
      <c r="D1987" s="30" t="s">
        <v>162</v>
      </c>
      <c r="E1987" s="30" t="s">
        <v>2312</v>
      </c>
      <c r="F1987" s="30">
        <v>1</v>
      </c>
      <c r="G1987" s="44">
        <v>4435</v>
      </c>
      <c r="H1987" s="30"/>
      <c r="I1987" s="44"/>
      <c r="J1987" s="44"/>
      <c r="K1987" s="44">
        <f t="shared" si="67"/>
        <v>4435</v>
      </c>
      <c r="L1987" s="51">
        <v>20231030</v>
      </c>
    </row>
    <row r="1988" spans="1:12" x14ac:dyDescent="0.25">
      <c r="A1988" s="50" t="s">
        <v>3074</v>
      </c>
      <c r="B1988" s="30" t="s">
        <v>137</v>
      </c>
      <c r="C1988" s="30" t="s">
        <v>337</v>
      </c>
      <c r="D1988" s="30" t="s">
        <v>162</v>
      </c>
      <c r="E1988" s="30" t="s">
        <v>2297</v>
      </c>
      <c r="F1988" s="30">
        <v>1</v>
      </c>
      <c r="G1988" s="44">
        <v>4435</v>
      </c>
      <c r="H1988" s="30"/>
      <c r="I1988" s="44"/>
      <c r="J1988" s="44"/>
      <c r="K1988" s="44">
        <f t="shared" si="67"/>
        <v>4435</v>
      </c>
      <c r="L1988" s="51">
        <v>20231030</v>
      </c>
    </row>
    <row r="1989" spans="1:12" x14ac:dyDescent="0.25">
      <c r="A1989" s="50" t="s">
        <v>3079</v>
      </c>
      <c r="B1989" s="30" t="s">
        <v>137</v>
      </c>
      <c r="C1989" s="30" t="s">
        <v>337</v>
      </c>
      <c r="D1989" s="30" t="s">
        <v>162</v>
      </c>
      <c r="E1989" s="30" t="s">
        <v>219</v>
      </c>
      <c r="F1989" s="30">
        <v>1</v>
      </c>
      <c r="G1989" s="44">
        <v>4435</v>
      </c>
      <c r="H1989" s="30"/>
      <c r="I1989" s="44"/>
      <c r="J1989" s="44"/>
      <c r="K1989" s="44">
        <f t="shared" si="67"/>
        <v>4435</v>
      </c>
      <c r="L1989" s="51">
        <v>20231030</v>
      </c>
    </row>
    <row r="1990" spans="1:12" x14ac:dyDescent="0.25">
      <c r="A1990" s="50" t="s">
        <v>3080</v>
      </c>
      <c r="B1990" s="30" t="s">
        <v>137</v>
      </c>
      <c r="C1990" s="30" t="s">
        <v>337</v>
      </c>
      <c r="D1990" s="30" t="s">
        <v>162</v>
      </c>
      <c r="E1990" s="30" t="s">
        <v>426</v>
      </c>
      <c r="F1990" s="30">
        <v>1</v>
      </c>
      <c r="G1990" s="44">
        <v>4435</v>
      </c>
      <c r="H1990" s="30"/>
      <c r="I1990" s="44"/>
      <c r="J1990" s="44"/>
      <c r="K1990" s="44">
        <f t="shared" si="67"/>
        <v>4435</v>
      </c>
      <c r="L1990" s="51">
        <v>20231030</v>
      </c>
    </row>
    <row r="1991" spans="1:12" x14ac:dyDescent="0.25">
      <c r="A1991" s="50" t="s">
        <v>3072</v>
      </c>
      <c r="B1991" s="30" t="s">
        <v>137</v>
      </c>
      <c r="C1991" s="30" t="s">
        <v>337</v>
      </c>
      <c r="D1991" s="30" t="s">
        <v>162</v>
      </c>
      <c r="E1991" s="30" t="s">
        <v>3073</v>
      </c>
      <c r="F1991" s="30">
        <v>1</v>
      </c>
      <c r="G1991" s="44">
        <v>4435</v>
      </c>
      <c r="H1991" s="30"/>
      <c r="I1991" s="44"/>
      <c r="J1991" s="44"/>
      <c r="K1991" s="44">
        <f t="shared" si="67"/>
        <v>4435</v>
      </c>
      <c r="L1991" s="51">
        <v>20231030</v>
      </c>
    </row>
    <row r="1992" spans="1:12" x14ac:dyDescent="0.25">
      <c r="A1992" s="50" t="s">
        <v>3075</v>
      </c>
      <c r="B1992" s="30" t="s">
        <v>137</v>
      </c>
      <c r="C1992" s="30" t="s">
        <v>337</v>
      </c>
      <c r="D1992" s="30" t="s">
        <v>162</v>
      </c>
      <c r="E1992" s="30" t="s">
        <v>2303</v>
      </c>
      <c r="F1992" s="30">
        <v>1</v>
      </c>
      <c r="G1992" s="44">
        <v>4435</v>
      </c>
      <c r="H1992" s="30"/>
      <c r="I1992" s="44"/>
      <c r="J1992" s="44"/>
      <c r="K1992" s="44">
        <f t="shared" si="67"/>
        <v>4435</v>
      </c>
      <c r="L1992" s="51">
        <v>20231030</v>
      </c>
    </row>
    <row r="1993" spans="1:12" x14ac:dyDescent="0.25">
      <c r="A1993" s="50" t="s">
        <v>3092</v>
      </c>
      <c r="B1993" s="30" t="s">
        <v>137</v>
      </c>
      <c r="C1993" s="30" t="s">
        <v>3085</v>
      </c>
      <c r="D1993" s="30" t="s">
        <v>3086</v>
      </c>
      <c r="E1993" s="30" t="s">
        <v>3093</v>
      </c>
      <c r="F1993" s="30">
        <v>1</v>
      </c>
      <c r="G1993" s="44">
        <v>4435</v>
      </c>
      <c r="H1993" s="30"/>
      <c r="I1993" s="44"/>
      <c r="J1993" s="44"/>
      <c r="K1993" s="44">
        <f t="shared" si="67"/>
        <v>4435</v>
      </c>
      <c r="L1993" s="51">
        <v>20231031</v>
      </c>
    </row>
    <row r="1994" spans="1:12" x14ac:dyDescent="0.25">
      <c r="A1994" s="50" t="s">
        <v>3090</v>
      </c>
      <c r="B1994" s="30" t="s">
        <v>137</v>
      </c>
      <c r="C1994" s="30" t="s">
        <v>3085</v>
      </c>
      <c r="D1994" s="30" t="s">
        <v>3086</v>
      </c>
      <c r="E1994" s="30" t="s">
        <v>3091</v>
      </c>
      <c r="F1994" s="30">
        <v>1</v>
      </c>
      <c r="G1994" s="44">
        <v>4435</v>
      </c>
      <c r="H1994" s="30"/>
      <c r="I1994" s="44"/>
      <c r="J1994" s="44"/>
      <c r="K1994" s="44">
        <f t="shared" si="67"/>
        <v>4435</v>
      </c>
      <c r="L1994" s="51">
        <v>20231031</v>
      </c>
    </row>
    <row r="1995" spans="1:12" x14ac:dyDescent="0.25">
      <c r="A1995" s="50" t="s">
        <v>3088</v>
      </c>
      <c r="B1995" s="30" t="s">
        <v>137</v>
      </c>
      <c r="C1995" s="30" t="s">
        <v>3085</v>
      </c>
      <c r="D1995" s="30" t="s">
        <v>3086</v>
      </c>
      <c r="E1995" s="30" t="s">
        <v>3089</v>
      </c>
      <c r="F1995" s="30">
        <v>1</v>
      </c>
      <c r="G1995" s="44">
        <v>4435</v>
      </c>
      <c r="H1995" s="30"/>
      <c r="I1995" s="44"/>
      <c r="J1995" s="44"/>
      <c r="K1995" s="44">
        <f t="shared" si="67"/>
        <v>4435</v>
      </c>
      <c r="L1995" s="51">
        <v>20231031</v>
      </c>
    </row>
    <row r="1996" spans="1:12" ht="15.75" thickBot="1" x14ac:dyDescent="0.3">
      <c r="A1996" s="54" t="s">
        <v>3084</v>
      </c>
      <c r="B1996" s="36" t="s">
        <v>137</v>
      </c>
      <c r="C1996" s="36" t="s">
        <v>3085</v>
      </c>
      <c r="D1996" s="36" t="s">
        <v>3086</v>
      </c>
      <c r="E1996" s="36" t="s">
        <v>3087</v>
      </c>
      <c r="F1996" s="36">
        <v>1</v>
      </c>
      <c r="G1996" s="65">
        <v>4435</v>
      </c>
      <c r="H1996" s="36"/>
      <c r="I1996" s="65"/>
      <c r="J1996" s="65"/>
      <c r="K1996" s="65">
        <f t="shared" si="67"/>
        <v>4435</v>
      </c>
      <c r="L1996" s="55">
        <v>20231031</v>
      </c>
    </row>
    <row r="1998" spans="1:12" ht="15.75" thickBot="1" x14ac:dyDescent="0.3">
      <c r="A1998" s="69" t="s">
        <v>0</v>
      </c>
      <c r="B1998" s="70" t="s">
        <v>1</v>
      </c>
      <c r="C1998" s="70" t="s">
        <v>2</v>
      </c>
      <c r="D1998" s="70" t="s">
        <v>3</v>
      </c>
      <c r="E1998" s="70" t="s">
        <v>4</v>
      </c>
      <c r="F1998" s="70"/>
      <c r="G1998" s="71" t="s">
        <v>6</v>
      </c>
      <c r="H1998" s="70" t="s">
        <v>7</v>
      </c>
      <c r="I1998" s="71" t="s">
        <v>8</v>
      </c>
      <c r="J1998" s="71" t="s">
        <v>9</v>
      </c>
      <c r="K1998" s="71" t="s">
        <v>10</v>
      </c>
      <c r="L1998" s="72" t="s">
        <v>5</v>
      </c>
    </row>
    <row r="1999" spans="1:12" x14ac:dyDescent="0.25">
      <c r="A1999" s="77" t="s">
        <v>3233</v>
      </c>
      <c r="B1999" s="78" t="s">
        <v>11</v>
      </c>
      <c r="C1999" s="78" t="s">
        <v>28</v>
      </c>
      <c r="D1999" s="78" t="s">
        <v>1710</v>
      </c>
      <c r="E1999" s="78" t="s">
        <v>3044</v>
      </c>
      <c r="F1999" s="78">
        <v>1</v>
      </c>
      <c r="G1999" s="79">
        <v>8869</v>
      </c>
      <c r="H1999" s="78">
        <v>177</v>
      </c>
      <c r="I1999" s="79">
        <v>109.9</v>
      </c>
      <c r="J1999" s="79">
        <f>I1999*H1999</f>
        <v>19452.3</v>
      </c>
      <c r="K1999" s="79">
        <f t="shared" ref="K1999:K2037" si="68">J1999+G1999</f>
        <v>28321.3</v>
      </c>
      <c r="L1999" s="80">
        <v>20231102</v>
      </c>
    </row>
    <row r="2000" spans="1:12" x14ac:dyDescent="0.25">
      <c r="A2000" s="50" t="s">
        <v>3252</v>
      </c>
      <c r="B2000" s="30" t="s">
        <v>11</v>
      </c>
      <c r="C2000" s="30" t="s">
        <v>1450</v>
      </c>
      <c r="D2000" s="30" t="s">
        <v>1569</v>
      </c>
      <c r="E2000" s="30" t="s">
        <v>2440</v>
      </c>
      <c r="F2000" s="30">
        <v>1</v>
      </c>
      <c r="G2000" s="44">
        <v>8869</v>
      </c>
      <c r="H2000" s="30"/>
      <c r="I2000" s="44"/>
      <c r="J2000" s="44"/>
      <c r="K2000" s="44">
        <f t="shared" si="68"/>
        <v>8869</v>
      </c>
      <c r="L2000" s="51">
        <v>20231102</v>
      </c>
    </row>
    <row r="2001" spans="1:12" x14ac:dyDescent="0.25">
      <c r="A2001" s="50" t="s">
        <v>3232</v>
      </c>
      <c r="B2001" s="30" t="s">
        <v>11</v>
      </c>
      <c r="C2001" s="30" t="s">
        <v>1393</v>
      </c>
      <c r="D2001" s="30" t="s">
        <v>1394</v>
      </c>
      <c r="E2001" s="30" t="s">
        <v>2163</v>
      </c>
      <c r="F2001" s="30">
        <v>1</v>
      </c>
      <c r="G2001" s="44">
        <v>8869</v>
      </c>
      <c r="H2001" s="30"/>
      <c r="I2001" s="44"/>
      <c r="J2001" s="44"/>
      <c r="K2001" s="44">
        <f t="shared" si="68"/>
        <v>8869</v>
      </c>
      <c r="L2001" s="51">
        <v>20231103</v>
      </c>
    </row>
    <row r="2002" spans="1:12" x14ac:dyDescent="0.25">
      <c r="A2002" s="52" t="s">
        <v>3235</v>
      </c>
      <c r="B2002" s="32" t="s">
        <v>11</v>
      </c>
      <c r="C2002" s="32" t="s">
        <v>28</v>
      </c>
      <c r="D2002" s="32" t="s">
        <v>462</v>
      </c>
      <c r="E2002" s="32" t="s">
        <v>463</v>
      </c>
      <c r="F2002" s="32">
        <v>1</v>
      </c>
      <c r="G2002" s="45">
        <v>8869</v>
      </c>
      <c r="H2002" s="32">
        <v>45</v>
      </c>
      <c r="I2002" s="45">
        <v>109.9</v>
      </c>
      <c r="J2002" s="45">
        <f>I2002*H2002</f>
        <v>4945.5</v>
      </c>
      <c r="K2002" s="45">
        <f t="shared" si="68"/>
        <v>13814.5</v>
      </c>
      <c r="L2002" s="53">
        <v>20231103</v>
      </c>
    </row>
    <row r="2003" spans="1:12" x14ac:dyDescent="0.25">
      <c r="A2003" s="50" t="s">
        <v>3251</v>
      </c>
      <c r="B2003" s="30" t="s">
        <v>11</v>
      </c>
      <c r="C2003" s="30" t="s">
        <v>364</v>
      </c>
      <c r="D2003" s="30" t="s">
        <v>24</v>
      </c>
      <c r="E2003" s="30" t="s">
        <v>532</v>
      </c>
      <c r="F2003" s="30">
        <v>1</v>
      </c>
      <c r="G2003" s="44">
        <v>8869</v>
      </c>
      <c r="H2003" s="30"/>
      <c r="I2003" s="44"/>
      <c r="J2003" s="44"/>
      <c r="K2003" s="44">
        <f t="shared" si="68"/>
        <v>8869</v>
      </c>
      <c r="L2003" s="51">
        <v>20231103</v>
      </c>
    </row>
    <row r="2004" spans="1:12" x14ac:dyDescent="0.25">
      <c r="A2004" s="50" t="s">
        <v>3238</v>
      </c>
      <c r="B2004" s="30" t="s">
        <v>11</v>
      </c>
      <c r="C2004" s="30" t="s">
        <v>29</v>
      </c>
      <c r="D2004" s="30" t="s">
        <v>1385</v>
      </c>
      <c r="E2004" s="30" t="s">
        <v>630</v>
      </c>
      <c r="F2004" s="30">
        <v>1</v>
      </c>
      <c r="G2004" s="44">
        <v>8869</v>
      </c>
      <c r="H2004" s="30"/>
      <c r="I2004" s="44"/>
      <c r="J2004" s="44"/>
      <c r="K2004" s="44">
        <f t="shared" si="68"/>
        <v>8869</v>
      </c>
      <c r="L2004" s="51">
        <v>20231103</v>
      </c>
    </row>
    <row r="2005" spans="1:12" x14ac:dyDescent="0.25">
      <c r="A2005" s="50" t="s">
        <v>3237</v>
      </c>
      <c r="B2005" s="30" t="s">
        <v>11</v>
      </c>
      <c r="C2005" s="30" t="s">
        <v>29</v>
      </c>
      <c r="D2005" s="30" t="s">
        <v>1385</v>
      </c>
      <c r="E2005" s="30" t="s">
        <v>628</v>
      </c>
      <c r="F2005" s="30">
        <v>1</v>
      </c>
      <c r="G2005" s="44">
        <v>8869</v>
      </c>
      <c r="H2005" s="30"/>
      <c r="I2005" s="44"/>
      <c r="J2005" s="44"/>
      <c r="K2005" s="44">
        <f t="shared" si="68"/>
        <v>8869</v>
      </c>
      <c r="L2005" s="51">
        <v>20231103</v>
      </c>
    </row>
    <row r="2006" spans="1:12" x14ac:dyDescent="0.25">
      <c r="A2006" s="50" t="s">
        <v>3234</v>
      </c>
      <c r="B2006" s="30" t="s">
        <v>11</v>
      </c>
      <c r="C2006" s="30" t="s">
        <v>134</v>
      </c>
      <c r="D2006" s="30" t="s">
        <v>135</v>
      </c>
      <c r="E2006" s="30" t="s">
        <v>1178</v>
      </c>
      <c r="F2006" s="30">
        <v>1</v>
      </c>
      <c r="G2006" s="44">
        <v>8869</v>
      </c>
      <c r="H2006" s="30"/>
      <c r="I2006" s="44"/>
      <c r="J2006" s="44"/>
      <c r="K2006" s="44">
        <f t="shared" si="68"/>
        <v>8869</v>
      </c>
      <c r="L2006" s="51">
        <v>20231106</v>
      </c>
    </row>
    <row r="2007" spans="1:12" x14ac:dyDescent="0.25">
      <c r="A2007" s="52" t="s">
        <v>3229</v>
      </c>
      <c r="B2007" s="32" t="s">
        <v>11</v>
      </c>
      <c r="C2007" s="32" t="s">
        <v>163</v>
      </c>
      <c r="D2007" s="32" t="s">
        <v>164</v>
      </c>
      <c r="E2007" s="32" t="s">
        <v>444</v>
      </c>
      <c r="F2007" s="32">
        <v>1</v>
      </c>
      <c r="G2007" s="45">
        <v>8869</v>
      </c>
      <c r="H2007" s="32">
        <v>126</v>
      </c>
      <c r="I2007" s="45">
        <v>109.9</v>
      </c>
      <c r="J2007" s="45">
        <f>I2007*H2007</f>
        <v>13847.400000000001</v>
      </c>
      <c r="K2007" s="45">
        <f t="shared" si="68"/>
        <v>22716.400000000001</v>
      </c>
      <c r="L2007" s="53">
        <v>20231106</v>
      </c>
    </row>
    <row r="2008" spans="1:12" x14ac:dyDescent="0.25">
      <c r="A2008" s="50" t="s">
        <v>3222</v>
      </c>
      <c r="B2008" s="30" t="s">
        <v>11</v>
      </c>
      <c r="C2008" s="30" t="s">
        <v>94</v>
      </c>
      <c r="D2008" s="30" t="s">
        <v>95</v>
      </c>
      <c r="E2008" s="30" t="s">
        <v>2404</v>
      </c>
      <c r="F2008" s="30">
        <v>1</v>
      </c>
      <c r="G2008" s="44">
        <v>8869</v>
      </c>
      <c r="H2008" s="30"/>
      <c r="I2008" s="44"/>
      <c r="J2008" s="44"/>
      <c r="K2008" s="44">
        <f t="shared" si="68"/>
        <v>8869</v>
      </c>
      <c r="L2008" s="51">
        <v>20231108</v>
      </c>
    </row>
    <row r="2009" spans="1:12" x14ac:dyDescent="0.25">
      <c r="A2009" s="50" t="s">
        <v>3236</v>
      </c>
      <c r="B2009" s="30" t="s">
        <v>11</v>
      </c>
      <c r="C2009" s="30" t="s">
        <v>251</v>
      </c>
      <c r="D2009" s="30" t="s">
        <v>740</v>
      </c>
      <c r="E2009" s="30" t="s">
        <v>741</v>
      </c>
      <c r="F2009" s="30">
        <v>1</v>
      </c>
      <c r="G2009" s="44">
        <v>8869</v>
      </c>
      <c r="H2009" s="30"/>
      <c r="I2009" s="44"/>
      <c r="J2009" s="44"/>
      <c r="K2009" s="44">
        <f t="shared" si="68"/>
        <v>8869</v>
      </c>
      <c r="L2009" s="51">
        <v>20231109</v>
      </c>
    </row>
    <row r="2010" spans="1:12" x14ac:dyDescent="0.25">
      <c r="A2010" s="50" t="s">
        <v>3214</v>
      </c>
      <c r="B2010" s="30" t="s">
        <v>11</v>
      </c>
      <c r="C2010" s="30" t="s">
        <v>505</v>
      </c>
      <c r="D2010" s="30" t="s">
        <v>24</v>
      </c>
      <c r="E2010" s="30" t="s">
        <v>929</v>
      </c>
      <c r="F2010" s="30">
        <v>1</v>
      </c>
      <c r="G2010" s="44">
        <v>8869</v>
      </c>
      <c r="H2010" s="30"/>
      <c r="I2010" s="44"/>
      <c r="J2010" s="44"/>
      <c r="K2010" s="44">
        <f t="shared" si="68"/>
        <v>8869</v>
      </c>
      <c r="L2010" s="51">
        <v>20231109</v>
      </c>
    </row>
    <row r="2011" spans="1:12" x14ac:dyDescent="0.25">
      <c r="A2011" s="50" t="s">
        <v>3218</v>
      </c>
      <c r="B2011" s="30" t="s">
        <v>11</v>
      </c>
      <c r="C2011" s="30" t="s">
        <v>29</v>
      </c>
      <c r="D2011" s="30" t="s">
        <v>1385</v>
      </c>
      <c r="E2011" s="30" t="s">
        <v>1127</v>
      </c>
      <c r="F2011" s="30">
        <v>1</v>
      </c>
      <c r="G2011" s="44">
        <v>8869</v>
      </c>
      <c r="H2011" s="30"/>
      <c r="I2011" s="44"/>
      <c r="J2011" s="44"/>
      <c r="K2011" s="44">
        <f t="shared" si="68"/>
        <v>8869</v>
      </c>
      <c r="L2011" s="51">
        <v>20231109</v>
      </c>
    </row>
    <row r="2012" spans="1:12" x14ac:dyDescent="0.25">
      <c r="A2012" s="52" t="s">
        <v>3230</v>
      </c>
      <c r="B2012" s="32" t="s">
        <v>11</v>
      </c>
      <c r="C2012" s="32" t="s">
        <v>26</v>
      </c>
      <c r="D2012" s="32" t="s">
        <v>145</v>
      </c>
      <c r="E2012" s="32" t="s">
        <v>3231</v>
      </c>
      <c r="F2012" s="32">
        <v>1</v>
      </c>
      <c r="G2012" s="45">
        <v>8869</v>
      </c>
      <c r="H2012" s="32">
        <v>75</v>
      </c>
      <c r="I2012" s="45">
        <v>109.9</v>
      </c>
      <c r="J2012" s="45">
        <f>I2012*H2012</f>
        <v>8242.5</v>
      </c>
      <c r="K2012" s="45">
        <f t="shared" si="68"/>
        <v>17111.5</v>
      </c>
      <c r="L2012" s="53">
        <v>20231115</v>
      </c>
    </row>
    <row r="2013" spans="1:12" x14ac:dyDescent="0.25">
      <c r="A2013" s="50" t="s">
        <v>3212</v>
      </c>
      <c r="B2013" s="30" t="s">
        <v>11</v>
      </c>
      <c r="C2013" s="30" t="s">
        <v>364</v>
      </c>
      <c r="D2013" s="30" t="s">
        <v>24</v>
      </c>
      <c r="E2013" s="30" t="s">
        <v>1445</v>
      </c>
      <c r="F2013" s="30">
        <v>1</v>
      </c>
      <c r="G2013" s="44">
        <v>8869</v>
      </c>
      <c r="H2013" s="30"/>
      <c r="I2013" s="44"/>
      <c r="J2013" s="44"/>
      <c r="K2013" s="44">
        <f t="shared" si="68"/>
        <v>8869</v>
      </c>
      <c r="L2013" s="51">
        <v>20231115</v>
      </c>
    </row>
    <row r="2014" spans="1:12" x14ac:dyDescent="0.25">
      <c r="A2014" s="50" t="s">
        <v>3224</v>
      </c>
      <c r="B2014" s="30" t="s">
        <v>11</v>
      </c>
      <c r="C2014" s="30" t="s">
        <v>29</v>
      </c>
      <c r="D2014" s="30" t="s">
        <v>1385</v>
      </c>
      <c r="E2014" s="30" t="s">
        <v>1290</v>
      </c>
      <c r="F2014" s="30">
        <v>1</v>
      </c>
      <c r="G2014" s="44">
        <v>8869</v>
      </c>
      <c r="H2014" s="30"/>
      <c r="I2014" s="44"/>
      <c r="J2014" s="44"/>
      <c r="K2014" s="44">
        <f t="shared" si="68"/>
        <v>8869</v>
      </c>
      <c r="L2014" s="51">
        <v>20231115</v>
      </c>
    </row>
    <row r="2015" spans="1:12" x14ac:dyDescent="0.25">
      <c r="A2015" s="52" t="s">
        <v>3215</v>
      </c>
      <c r="B2015" s="32" t="s">
        <v>11</v>
      </c>
      <c r="C2015" s="32" t="s">
        <v>28</v>
      </c>
      <c r="D2015" s="32" t="s">
        <v>3216</v>
      </c>
      <c r="E2015" s="32" t="s">
        <v>3217</v>
      </c>
      <c r="F2015" s="32">
        <v>1</v>
      </c>
      <c r="G2015" s="45">
        <v>8869</v>
      </c>
      <c r="H2015" s="32">
        <v>382</v>
      </c>
      <c r="I2015" s="45">
        <v>109.9</v>
      </c>
      <c r="J2015" s="45">
        <f>I2015*H2015</f>
        <v>41981.8</v>
      </c>
      <c r="K2015" s="45">
        <f t="shared" si="68"/>
        <v>50850.8</v>
      </c>
      <c r="L2015" s="53">
        <v>20231116</v>
      </c>
    </row>
    <row r="2016" spans="1:12" x14ac:dyDescent="0.25">
      <c r="A2016" s="52" t="s">
        <v>3223</v>
      </c>
      <c r="B2016" s="32" t="s">
        <v>11</v>
      </c>
      <c r="C2016" s="32" t="s">
        <v>28</v>
      </c>
      <c r="D2016" s="32" t="s">
        <v>3066</v>
      </c>
      <c r="E2016" s="32" t="s">
        <v>3083</v>
      </c>
      <c r="F2016" s="32">
        <v>1</v>
      </c>
      <c r="G2016" s="45">
        <v>8869</v>
      </c>
      <c r="H2016" s="32">
        <v>234</v>
      </c>
      <c r="I2016" s="45">
        <v>109.9</v>
      </c>
      <c r="J2016" s="45">
        <f>I2016*H2016</f>
        <v>25716.600000000002</v>
      </c>
      <c r="K2016" s="45">
        <f t="shared" si="68"/>
        <v>34585.600000000006</v>
      </c>
      <c r="L2016" s="53">
        <v>20231117</v>
      </c>
    </row>
    <row r="2017" spans="1:12" x14ac:dyDescent="0.25">
      <c r="A2017" s="52" t="s">
        <v>3202</v>
      </c>
      <c r="B2017" s="32" t="s">
        <v>1209</v>
      </c>
      <c r="C2017" s="32" t="s">
        <v>26</v>
      </c>
      <c r="D2017" s="32" t="s">
        <v>145</v>
      </c>
      <c r="E2017" s="32" t="s">
        <v>3203</v>
      </c>
      <c r="F2017" s="32">
        <v>1</v>
      </c>
      <c r="G2017" s="45">
        <v>8869</v>
      </c>
      <c r="H2017" s="32">
        <v>75</v>
      </c>
      <c r="I2017" s="45">
        <v>109.9</v>
      </c>
      <c r="J2017" s="45">
        <f>I2017*H2017</f>
        <v>8242.5</v>
      </c>
      <c r="K2017" s="45">
        <f t="shared" si="68"/>
        <v>17111.5</v>
      </c>
      <c r="L2017" s="53">
        <v>20231121</v>
      </c>
    </row>
    <row r="2018" spans="1:12" x14ac:dyDescent="0.25">
      <c r="A2018" s="50" t="s">
        <v>3204</v>
      </c>
      <c r="B2018" s="30" t="s">
        <v>11</v>
      </c>
      <c r="C2018" s="30" t="s">
        <v>172</v>
      </c>
      <c r="D2018" s="30" t="s">
        <v>703</v>
      </c>
      <c r="E2018" s="30" t="s">
        <v>710</v>
      </c>
      <c r="F2018" s="30">
        <v>1</v>
      </c>
      <c r="G2018" s="44">
        <v>8869</v>
      </c>
      <c r="H2018" s="30"/>
      <c r="I2018" s="44"/>
      <c r="J2018" s="44"/>
      <c r="K2018" s="44">
        <f t="shared" si="68"/>
        <v>8869</v>
      </c>
      <c r="L2018" s="51">
        <v>20231122</v>
      </c>
    </row>
    <row r="2019" spans="1:12" x14ac:dyDescent="0.25">
      <c r="A2019" s="50" t="s">
        <v>3198</v>
      </c>
      <c r="B2019" s="30" t="s">
        <v>11</v>
      </c>
      <c r="C2019" s="30" t="s">
        <v>172</v>
      </c>
      <c r="D2019" s="30" t="s">
        <v>703</v>
      </c>
      <c r="E2019" s="30" t="s">
        <v>706</v>
      </c>
      <c r="F2019" s="30">
        <v>1</v>
      </c>
      <c r="G2019" s="44">
        <v>8869</v>
      </c>
      <c r="H2019" s="30"/>
      <c r="I2019" s="44"/>
      <c r="J2019" s="44"/>
      <c r="K2019" s="44">
        <f t="shared" si="68"/>
        <v>8869</v>
      </c>
      <c r="L2019" s="51">
        <v>20231122</v>
      </c>
    </row>
    <row r="2020" spans="1:12" x14ac:dyDescent="0.25">
      <c r="A2020" s="52" t="s">
        <v>3210</v>
      </c>
      <c r="B2020" s="32" t="s">
        <v>11</v>
      </c>
      <c r="C2020" s="32" t="s">
        <v>270</v>
      </c>
      <c r="D2020" s="32" t="s">
        <v>494</v>
      </c>
      <c r="E2020" s="32" t="s">
        <v>1215</v>
      </c>
      <c r="F2020" s="32">
        <v>1</v>
      </c>
      <c r="G2020" s="45">
        <v>8869</v>
      </c>
      <c r="H2020" s="32">
        <v>137</v>
      </c>
      <c r="I2020" s="45">
        <v>109.9</v>
      </c>
      <c r="J2020" s="45">
        <f>I2020*H2020</f>
        <v>15056.300000000001</v>
      </c>
      <c r="K2020" s="45">
        <f t="shared" si="68"/>
        <v>23925.300000000003</v>
      </c>
      <c r="L2020" s="53">
        <v>20231123</v>
      </c>
    </row>
    <row r="2021" spans="1:12" x14ac:dyDescent="0.25">
      <c r="A2021" s="50" t="s">
        <v>3211</v>
      </c>
      <c r="B2021" s="30" t="s">
        <v>11</v>
      </c>
      <c r="C2021" s="30" t="s">
        <v>270</v>
      </c>
      <c r="D2021" s="30" t="s">
        <v>494</v>
      </c>
      <c r="E2021" s="30" t="s">
        <v>495</v>
      </c>
      <c r="F2021" s="30">
        <v>1</v>
      </c>
      <c r="G2021" s="44">
        <v>8869</v>
      </c>
      <c r="H2021" s="30"/>
      <c r="I2021" s="44"/>
      <c r="J2021" s="44"/>
      <c r="K2021" s="44">
        <f t="shared" si="68"/>
        <v>8869</v>
      </c>
      <c r="L2021" s="51">
        <v>20231123</v>
      </c>
    </row>
    <row r="2022" spans="1:12" x14ac:dyDescent="0.25">
      <c r="A2022" s="50" t="s">
        <v>3206</v>
      </c>
      <c r="B2022" s="30" t="s">
        <v>11</v>
      </c>
      <c r="C2022" s="30" t="s">
        <v>94</v>
      </c>
      <c r="D2022" s="30" t="s">
        <v>95</v>
      </c>
      <c r="E2022" s="30" t="s">
        <v>458</v>
      </c>
      <c r="F2022" s="30">
        <v>1</v>
      </c>
      <c r="G2022" s="44">
        <v>8869</v>
      </c>
      <c r="H2022" s="30"/>
      <c r="I2022" s="44"/>
      <c r="J2022" s="44"/>
      <c r="K2022" s="44">
        <f t="shared" si="68"/>
        <v>8869</v>
      </c>
      <c r="L2022" s="51">
        <v>20231123</v>
      </c>
    </row>
    <row r="2023" spans="1:12" x14ac:dyDescent="0.25">
      <c r="A2023" s="50" t="s">
        <v>3205</v>
      </c>
      <c r="B2023" s="30" t="s">
        <v>11</v>
      </c>
      <c r="C2023" s="30" t="s">
        <v>94</v>
      </c>
      <c r="D2023" s="30" t="s">
        <v>95</v>
      </c>
      <c r="E2023" s="30" t="s">
        <v>1083</v>
      </c>
      <c r="F2023" s="30">
        <v>1</v>
      </c>
      <c r="G2023" s="44">
        <v>8869</v>
      </c>
      <c r="H2023" s="30"/>
      <c r="I2023" s="44"/>
      <c r="J2023" s="44"/>
      <c r="K2023" s="44">
        <f t="shared" si="68"/>
        <v>8869</v>
      </c>
      <c r="L2023" s="51">
        <v>20231123</v>
      </c>
    </row>
    <row r="2024" spans="1:12" x14ac:dyDescent="0.25">
      <c r="A2024" s="50" t="s">
        <v>3209</v>
      </c>
      <c r="B2024" s="30" t="s">
        <v>11</v>
      </c>
      <c r="C2024" s="30" t="s">
        <v>57</v>
      </c>
      <c r="D2024" s="30" t="s">
        <v>58</v>
      </c>
      <c r="E2024" s="30" t="s">
        <v>62</v>
      </c>
      <c r="F2024" s="30">
        <v>1</v>
      </c>
      <c r="G2024" s="44">
        <v>8869</v>
      </c>
      <c r="H2024" s="30"/>
      <c r="I2024" s="44"/>
      <c r="J2024" s="44"/>
      <c r="K2024" s="44">
        <f t="shared" si="68"/>
        <v>8869</v>
      </c>
      <c r="L2024" s="51">
        <v>20231124</v>
      </c>
    </row>
    <row r="2025" spans="1:12" x14ac:dyDescent="0.25">
      <c r="A2025" s="50" t="s">
        <v>3213</v>
      </c>
      <c r="B2025" s="30" t="s">
        <v>11</v>
      </c>
      <c r="C2025" s="30" t="s">
        <v>919</v>
      </c>
      <c r="D2025" s="30" t="s">
        <v>24</v>
      </c>
      <c r="E2025" s="30" t="s">
        <v>920</v>
      </c>
      <c r="F2025" s="30">
        <v>1</v>
      </c>
      <c r="G2025" s="44">
        <v>8869</v>
      </c>
      <c r="H2025" s="30"/>
      <c r="I2025" s="44"/>
      <c r="J2025" s="44"/>
      <c r="K2025" s="44">
        <f t="shared" si="68"/>
        <v>8869</v>
      </c>
      <c r="L2025" s="51">
        <v>20231124</v>
      </c>
    </row>
    <row r="2026" spans="1:12" x14ac:dyDescent="0.25">
      <c r="A2026" s="50" t="s">
        <v>3220</v>
      </c>
      <c r="B2026" s="30" t="s">
        <v>1209</v>
      </c>
      <c r="C2026" s="30" t="s">
        <v>2111</v>
      </c>
      <c r="D2026" s="30" t="s">
        <v>2244</v>
      </c>
      <c r="E2026" s="30" t="s">
        <v>2247</v>
      </c>
      <c r="F2026" s="30">
        <v>1</v>
      </c>
      <c r="G2026" s="44">
        <v>8869</v>
      </c>
      <c r="H2026" s="30"/>
      <c r="I2026" s="44"/>
      <c r="J2026" s="44"/>
      <c r="K2026" s="44">
        <f t="shared" si="68"/>
        <v>8869</v>
      </c>
      <c r="L2026" s="51">
        <v>20231124</v>
      </c>
    </row>
    <row r="2027" spans="1:12" x14ac:dyDescent="0.25">
      <c r="A2027" s="50" t="s">
        <v>3219</v>
      </c>
      <c r="B2027" s="30" t="s">
        <v>1209</v>
      </c>
      <c r="C2027" s="30" t="s">
        <v>2111</v>
      </c>
      <c r="D2027" s="30" t="s">
        <v>2244</v>
      </c>
      <c r="E2027" s="30" t="s">
        <v>2245</v>
      </c>
      <c r="F2027" s="30">
        <v>1</v>
      </c>
      <c r="G2027" s="44">
        <v>8869</v>
      </c>
      <c r="H2027" s="30"/>
      <c r="I2027" s="44"/>
      <c r="J2027" s="44"/>
      <c r="K2027" s="44">
        <f t="shared" si="68"/>
        <v>8869</v>
      </c>
      <c r="L2027" s="51">
        <v>20231124</v>
      </c>
    </row>
    <row r="2028" spans="1:12" x14ac:dyDescent="0.25">
      <c r="A2028" s="50" t="s">
        <v>3253</v>
      </c>
      <c r="B2028" s="30" t="s">
        <v>11</v>
      </c>
      <c r="C2028" s="30" t="s">
        <v>3254</v>
      </c>
      <c r="D2028" s="30" t="s">
        <v>3255</v>
      </c>
      <c r="E2028" s="30" t="s">
        <v>3256</v>
      </c>
      <c r="F2028" s="30">
        <v>1</v>
      </c>
      <c r="G2028" s="44">
        <v>8869</v>
      </c>
      <c r="H2028" s="30"/>
      <c r="I2028" s="44"/>
      <c r="J2028" s="44"/>
      <c r="K2028" s="44">
        <f t="shared" si="68"/>
        <v>8869</v>
      </c>
      <c r="L2028" s="51">
        <v>20231128</v>
      </c>
    </row>
    <row r="2029" spans="1:12" x14ac:dyDescent="0.25">
      <c r="A2029" s="50" t="s">
        <v>3185</v>
      </c>
      <c r="B2029" s="30" t="s">
        <v>11</v>
      </c>
      <c r="C2029" s="30" t="s">
        <v>129</v>
      </c>
      <c r="D2029" s="30" t="s">
        <v>24</v>
      </c>
      <c r="E2029" s="30" t="s">
        <v>130</v>
      </c>
      <c r="F2029" s="30">
        <v>1</v>
      </c>
      <c r="G2029" s="44">
        <v>8869</v>
      </c>
      <c r="H2029" s="30"/>
      <c r="I2029" s="44"/>
      <c r="J2029" s="44"/>
      <c r="K2029" s="44">
        <f t="shared" si="68"/>
        <v>8869</v>
      </c>
      <c r="L2029" s="51">
        <v>20231129</v>
      </c>
    </row>
    <row r="2030" spans="1:12" x14ac:dyDescent="0.25">
      <c r="A2030" s="52" t="s">
        <v>3199</v>
      </c>
      <c r="B2030" s="32" t="s">
        <v>11</v>
      </c>
      <c r="C2030" s="32" t="s">
        <v>28</v>
      </c>
      <c r="D2030" s="32" t="s">
        <v>3200</v>
      </c>
      <c r="E2030" s="32" t="s">
        <v>3201</v>
      </c>
      <c r="F2030" s="32">
        <v>1</v>
      </c>
      <c r="G2030" s="45">
        <v>8869</v>
      </c>
      <c r="H2030" s="32">
        <v>315</v>
      </c>
      <c r="I2030" s="45">
        <v>109.9</v>
      </c>
      <c r="J2030" s="45">
        <f>I2030*H2030</f>
        <v>34618.5</v>
      </c>
      <c r="K2030" s="45">
        <f t="shared" si="68"/>
        <v>43487.5</v>
      </c>
      <c r="L2030" s="53">
        <v>20231129</v>
      </c>
    </row>
    <row r="2031" spans="1:12" x14ac:dyDescent="0.25">
      <c r="A2031" s="50" t="s">
        <v>3197</v>
      </c>
      <c r="B2031" s="30" t="s">
        <v>11</v>
      </c>
      <c r="C2031" s="30" t="s">
        <v>364</v>
      </c>
      <c r="D2031" s="30" t="s">
        <v>24</v>
      </c>
      <c r="E2031" s="30" t="s">
        <v>1445</v>
      </c>
      <c r="F2031" s="30">
        <v>1</v>
      </c>
      <c r="G2031" s="44">
        <v>8869</v>
      </c>
      <c r="H2031" s="30"/>
      <c r="I2031" s="44"/>
      <c r="J2031" s="44"/>
      <c r="K2031" s="44">
        <f t="shared" si="68"/>
        <v>8869</v>
      </c>
      <c r="L2031" s="51">
        <v>20231129</v>
      </c>
    </row>
    <row r="2032" spans="1:12" x14ac:dyDescent="0.25">
      <c r="A2032" s="50" t="s">
        <v>3196</v>
      </c>
      <c r="B2032" s="30" t="s">
        <v>11</v>
      </c>
      <c r="C2032" s="30" t="s">
        <v>607</v>
      </c>
      <c r="D2032" s="30" t="s">
        <v>24</v>
      </c>
      <c r="E2032" s="30" t="s">
        <v>2118</v>
      </c>
      <c r="F2032" s="30">
        <v>1</v>
      </c>
      <c r="G2032" s="44">
        <v>8869</v>
      </c>
      <c r="H2032" s="30"/>
      <c r="I2032" s="44"/>
      <c r="J2032" s="44"/>
      <c r="K2032" s="44">
        <f t="shared" si="68"/>
        <v>8869</v>
      </c>
      <c r="L2032" s="51">
        <v>20231129</v>
      </c>
    </row>
    <row r="2033" spans="1:12" x14ac:dyDescent="0.25">
      <c r="A2033" s="50" t="s">
        <v>3175</v>
      </c>
      <c r="B2033" s="30" t="s">
        <v>11</v>
      </c>
      <c r="C2033" s="30" t="s">
        <v>172</v>
      </c>
      <c r="D2033" s="30" t="s">
        <v>703</v>
      </c>
      <c r="E2033" s="30" t="s">
        <v>706</v>
      </c>
      <c r="F2033" s="30">
        <v>1</v>
      </c>
      <c r="G2033" s="44">
        <v>8869</v>
      </c>
      <c r="H2033" s="30"/>
      <c r="I2033" s="44"/>
      <c r="J2033" s="44"/>
      <c r="K2033" s="44">
        <f t="shared" si="68"/>
        <v>8869</v>
      </c>
      <c r="L2033" s="51">
        <v>20231129</v>
      </c>
    </row>
    <row r="2034" spans="1:12" x14ac:dyDescent="0.25">
      <c r="A2034" s="50" t="s">
        <v>3207</v>
      </c>
      <c r="B2034" s="30" t="s">
        <v>1209</v>
      </c>
      <c r="C2034" s="30" t="s">
        <v>1450</v>
      </c>
      <c r="D2034" s="30" t="s">
        <v>1569</v>
      </c>
      <c r="E2034" s="30" t="s">
        <v>3208</v>
      </c>
      <c r="F2034" s="30">
        <v>1</v>
      </c>
      <c r="G2034" s="44">
        <v>8869</v>
      </c>
      <c r="H2034" s="30"/>
      <c r="I2034" s="44"/>
      <c r="J2034" s="44"/>
      <c r="K2034" s="44">
        <f t="shared" si="68"/>
        <v>8869</v>
      </c>
      <c r="L2034" s="51">
        <v>20231129</v>
      </c>
    </row>
    <row r="2035" spans="1:12" x14ac:dyDescent="0.25">
      <c r="A2035" s="50" t="s">
        <v>3194</v>
      </c>
      <c r="B2035" s="30" t="s">
        <v>11</v>
      </c>
      <c r="C2035" s="30" t="s">
        <v>251</v>
      </c>
      <c r="D2035" s="30" t="s">
        <v>2780</v>
      </c>
      <c r="E2035" s="30" t="s">
        <v>3195</v>
      </c>
      <c r="F2035" s="30">
        <v>1</v>
      </c>
      <c r="G2035" s="44">
        <v>8869</v>
      </c>
      <c r="H2035" s="30"/>
      <c r="I2035" s="44"/>
      <c r="J2035" s="44"/>
      <c r="K2035" s="44">
        <f t="shared" si="68"/>
        <v>8869</v>
      </c>
      <c r="L2035" s="51">
        <v>20231130</v>
      </c>
    </row>
    <row r="2036" spans="1:12" x14ac:dyDescent="0.25">
      <c r="A2036" s="50" t="s">
        <v>3186</v>
      </c>
      <c r="B2036" s="30" t="s">
        <v>11</v>
      </c>
      <c r="C2036" s="30" t="s">
        <v>94</v>
      </c>
      <c r="D2036" s="30" t="s">
        <v>95</v>
      </c>
      <c r="E2036" s="30" t="s">
        <v>2583</v>
      </c>
      <c r="F2036" s="30">
        <v>1</v>
      </c>
      <c r="G2036" s="44">
        <v>8869</v>
      </c>
      <c r="H2036" s="30"/>
      <c r="I2036" s="44"/>
      <c r="J2036" s="44"/>
      <c r="K2036" s="44">
        <f t="shared" si="68"/>
        <v>8869</v>
      </c>
      <c r="L2036" s="51">
        <v>20231130</v>
      </c>
    </row>
    <row r="2037" spans="1:12" ht="15.75" thickBot="1" x14ac:dyDescent="0.3">
      <c r="A2037" s="54" t="s">
        <v>3174</v>
      </c>
      <c r="B2037" s="36" t="s">
        <v>11</v>
      </c>
      <c r="C2037" s="36" t="s">
        <v>94</v>
      </c>
      <c r="D2037" s="36" t="s">
        <v>95</v>
      </c>
      <c r="E2037" s="36" t="s">
        <v>326</v>
      </c>
      <c r="F2037" s="36">
        <v>1</v>
      </c>
      <c r="G2037" s="65">
        <v>8869</v>
      </c>
      <c r="H2037" s="36"/>
      <c r="I2037" s="65"/>
      <c r="J2037" s="65"/>
      <c r="K2037" s="65">
        <f t="shared" si="68"/>
        <v>8869</v>
      </c>
      <c r="L2037" s="55">
        <v>20231130</v>
      </c>
    </row>
    <row r="2038" spans="1:12" ht="15.75" thickBot="1" x14ac:dyDescent="0.3">
      <c r="A2038" s="99"/>
      <c r="B2038" s="100"/>
      <c r="C2038" s="100"/>
      <c r="D2038" s="100"/>
      <c r="E2038" s="100"/>
      <c r="F2038" s="100"/>
      <c r="G2038" s="101"/>
      <c r="H2038" s="100"/>
      <c r="I2038" s="101"/>
      <c r="J2038" s="101"/>
      <c r="K2038" s="101"/>
      <c r="L2038" s="102"/>
    </row>
    <row r="2039" spans="1:12" x14ac:dyDescent="0.25">
      <c r="A2039" s="48" t="s">
        <v>3228</v>
      </c>
      <c r="B2039" s="34" t="s">
        <v>137</v>
      </c>
      <c r="C2039" s="34" t="s">
        <v>1450</v>
      </c>
      <c r="D2039" s="34" t="s">
        <v>1569</v>
      </c>
      <c r="E2039" s="34" t="s">
        <v>1570</v>
      </c>
      <c r="F2039" s="34">
        <v>1</v>
      </c>
      <c r="G2039" s="64">
        <v>4435</v>
      </c>
      <c r="H2039" s="34"/>
      <c r="I2039" s="64"/>
      <c r="J2039" s="64"/>
      <c r="K2039" s="64">
        <f t="shared" ref="K2039:K2072" si="69">J2039+G2039</f>
        <v>4435</v>
      </c>
      <c r="L2039" s="49">
        <v>20231102</v>
      </c>
    </row>
    <row r="2040" spans="1:12" x14ac:dyDescent="0.25">
      <c r="A2040" s="50" t="s">
        <v>3227</v>
      </c>
      <c r="B2040" s="30" t="s">
        <v>137</v>
      </c>
      <c r="C2040" s="30" t="s">
        <v>29</v>
      </c>
      <c r="D2040" s="30" t="s">
        <v>1385</v>
      </c>
      <c r="E2040" s="30" t="s">
        <v>1127</v>
      </c>
      <c r="F2040" s="30">
        <v>1</v>
      </c>
      <c r="G2040" s="44">
        <v>4435</v>
      </c>
      <c r="H2040" s="30"/>
      <c r="I2040" s="44"/>
      <c r="J2040" s="44"/>
      <c r="K2040" s="44">
        <f t="shared" si="69"/>
        <v>4435</v>
      </c>
      <c r="L2040" s="51">
        <v>20231103</v>
      </c>
    </row>
    <row r="2041" spans="1:12" x14ac:dyDescent="0.25">
      <c r="A2041" s="50" t="s">
        <v>3226</v>
      </c>
      <c r="B2041" s="30" t="s">
        <v>137</v>
      </c>
      <c r="C2041" s="30" t="s">
        <v>29</v>
      </c>
      <c r="D2041" s="30" t="s">
        <v>1385</v>
      </c>
      <c r="E2041" s="30" t="s">
        <v>1386</v>
      </c>
      <c r="F2041" s="30">
        <v>1</v>
      </c>
      <c r="G2041" s="44">
        <v>4435</v>
      </c>
      <c r="H2041" s="30"/>
      <c r="I2041" s="44"/>
      <c r="J2041" s="44"/>
      <c r="K2041" s="44">
        <f t="shared" si="69"/>
        <v>4435</v>
      </c>
      <c r="L2041" s="51">
        <v>20231103</v>
      </c>
    </row>
    <row r="2042" spans="1:12" x14ac:dyDescent="0.25">
      <c r="A2042" s="50" t="s">
        <v>3225</v>
      </c>
      <c r="B2042" s="30" t="s">
        <v>137</v>
      </c>
      <c r="C2042" s="30" t="s">
        <v>29</v>
      </c>
      <c r="D2042" s="30" t="s">
        <v>1385</v>
      </c>
      <c r="E2042" s="30" t="s">
        <v>209</v>
      </c>
      <c r="F2042" s="30">
        <v>1</v>
      </c>
      <c r="G2042" s="44">
        <v>4435</v>
      </c>
      <c r="H2042" s="30"/>
      <c r="I2042" s="44"/>
      <c r="J2042" s="44"/>
      <c r="K2042" s="44">
        <f t="shared" si="69"/>
        <v>4435</v>
      </c>
      <c r="L2042" s="51">
        <v>20231103</v>
      </c>
    </row>
    <row r="2043" spans="1:12" x14ac:dyDescent="0.25">
      <c r="A2043" s="50" t="s">
        <v>3221</v>
      </c>
      <c r="B2043" s="30" t="s">
        <v>137</v>
      </c>
      <c r="C2043" s="30" t="s">
        <v>29</v>
      </c>
      <c r="D2043" s="30" t="s">
        <v>24</v>
      </c>
      <c r="E2043" s="30" t="s">
        <v>1003</v>
      </c>
      <c r="F2043" s="30">
        <v>1</v>
      </c>
      <c r="G2043" s="44">
        <v>4435</v>
      </c>
      <c r="H2043" s="30"/>
      <c r="I2043" s="44"/>
      <c r="J2043" s="44"/>
      <c r="K2043" s="44">
        <f t="shared" si="69"/>
        <v>4435</v>
      </c>
      <c r="L2043" s="51">
        <v>20231106</v>
      </c>
    </row>
    <row r="2044" spans="1:12" x14ac:dyDescent="0.25">
      <c r="A2044" s="50" t="s">
        <v>3250</v>
      </c>
      <c r="B2044" s="30" t="s">
        <v>137</v>
      </c>
      <c r="C2044" s="30" t="s">
        <v>202</v>
      </c>
      <c r="D2044" s="30" t="s">
        <v>203</v>
      </c>
      <c r="E2044" s="30" t="s">
        <v>626</v>
      </c>
      <c r="F2044" s="30">
        <v>1</v>
      </c>
      <c r="G2044" s="44">
        <v>4435</v>
      </c>
      <c r="H2044" s="30"/>
      <c r="I2044" s="44"/>
      <c r="J2044" s="44"/>
      <c r="K2044" s="44">
        <f t="shared" si="69"/>
        <v>4435</v>
      </c>
      <c r="L2044" s="51">
        <v>20231127</v>
      </c>
    </row>
    <row r="2045" spans="1:12" x14ac:dyDescent="0.25">
      <c r="A2045" s="52" t="s">
        <v>3249</v>
      </c>
      <c r="B2045" s="32" t="s">
        <v>137</v>
      </c>
      <c r="C2045" s="32" t="s">
        <v>202</v>
      </c>
      <c r="D2045" s="32" t="s">
        <v>203</v>
      </c>
      <c r="E2045" s="32" t="s">
        <v>2214</v>
      </c>
      <c r="F2045" s="32">
        <v>1</v>
      </c>
      <c r="G2045" s="45">
        <v>4435</v>
      </c>
      <c r="H2045" s="32">
        <v>100</v>
      </c>
      <c r="I2045" s="45">
        <v>109.9</v>
      </c>
      <c r="J2045" s="45">
        <f>I2045*H2045</f>
        <v>10990</v>
      </c>
      <c r="K2045" s="45">
        <f t="shared" si="69"/>
        <v>15425</v>
      </c>
      <c r="L2045" s="53">
        <v>20231127</v>
      </c>
    </row>
    <row r="2046" spans="1:12" x14ac:dyDescent="0.25">
      <c r="A2046" s="50" t="s">
        <v>3248</v>
      </c>
      <c r="B2046" s="30" t="s">
        <v>137</v>
      </c>
      <c r="C2046" s="30" t="s">
        <v>202</v>
      </c>
      <c r="D2046" s="30" t="s">
        <v>203</v>
      </c>
      <c r="E2046" s="30" t="s">
        <v>2212</v>
      </c>
      <c r="F2046" s="30">
        <v>1</v>
      </c>
      <c r="G2046" s="44">
        <v>4435</v>
      </c>
      <c r="H2046" s="30"/>
      <c r="I2046" s="44"/>
      <c r="J2046" s="44"/>
      <c r="K2046" s="44">
        <f t="shared" si="69"/>
        <v>4435</v>
      </c>
      <c r="L2046" s="51">
        <v>20231127</v>
      </c>
    </row>
    <row r="2047" spans="1:12" x14ac:dyDescent="0.25">
      <c r="A2047" s="50" t="s">
        <v>3247</v>
      </c>
      <c r="B2047" s="30" t="s">
        <v>137</v>
      </c>
      <c r="C2047" s="30" t="s">
        <v>202</v>
      </c>
      <c r="D2047" s="30" t="s">
        <v>203</v>
      </c>
      <c r="E2047" s="30" t="s">
        <v>2210</v>
      </c>
      <c r="F2047" s="30">
        <v>1</v>
      </c>
      <c r="G2047" s="44">
        <v>4435</v>
      </c>
      <c r="H2047" s="30"/>
      <c r="I2047" s="44"/>
      <c r="J2047" s="44"/>
      <c r="K2047" s="44">
        <f t="shared" si="69"/>
        <v>4435</v>
      </c>
      <c r="L2047" s="51">
        <v>20231127</v>
      </c>
    </row>
    <row r="2048" spans="1:12" x14ac:dyDescent="0.25">
      <c r="A2048" s="50" t="s">
        <v>3246</v>
      </c>
      <c r="B2048" s="30" t="s">
        <v>137</v>
      </c>
      <c r="C2048" s="30" t="s">
        <v>202</v>
      </c>
      <c r="D2048" s="30" t="s">
        <v>203</v>
      </c>
      <c r="E2048" s="30" t="s">
        <v>2208</v>
      </c>
      <c r="F2048" s="30">
        <v>1</v>
      </c>
      <c r="G2048" s="44">
        <v>4435</v>
      </c>
      <c r="H2048" s="30"/>
      <c r="I2048" s="44"/>
      <c r="J2048" s="44"/>
      <c r="K2048" s="44">
        <f t="shared" si="69"/>
        <v>4435</v>
      </c>
      <c r="L2048" s="51">
        <v>20231127</v>
      </c>
    </row>
    <row r="2049" spans="1:12" x14ac:dyDescent="0.25">
      <c r="A2049" s="50" t="s">
        <v>3245</v>
      </c>
      <c r="B2049" s="30" t="s">
        <v>137</v>
      </c>
      <c r="C2049" s="30" t="s">
        <v>202</v>
      </c>
      <c r="D2049" s="30" t="s">
        <v>203</v>
      </c>
      <c r="E2049" s="30" t="s">
        <v>2206</v>
      </c>
      <c r="F2049" s="30">
        <v>1</v>
      </c>
      <c r="G2049" s="44">
        <v>4435</v>
      </c>
      <c r="H2049" s="30"/>
      <c r="I2049" s="44"/>
      <c r="J2049" s="44"/>
      <c r="K2049" s="44">
        <f t="shared" si="69"/>
        <v>4435</v>
      </c>
      <c r="L2049" s="51">
        <v>20231127</v>
      </c>
    </row>
    <row r="2050" spans="1:12" x14ac:dyDescent="0.25">
      <c r="A2050" s="50" t="s">
        <v>3244</v>
      </c>
      <c r="B2050" s="30" t="s">
        <v>137</v>
      </c>
      <c r="C2050" s="30" t="s">
        <v>202</v>
      </c>
      <c r="D2050" s="30" t="s">
        <v>203</v>
      </c>
      <c r="E2050" s="30" t="s">
        <v>1164</v>
      </c>
      <c r="F2050" s="30">
        <v>1</v>
      </c>
      <c r="G2050" s="44">
        <v>4435</v>
      </c>
      <c r="H2050" s="30"/>
      <c r="I2050" s="44"/>
      <c r="J2050" s="44"/>
      <c r="K2050" s="44">
        <f t="shared" si="69"/>
        <v>4435</v>
      </c>
      <c r="L2050" s="51">
        <v>20231127</v>
      </c>
    </row>
    <row r="2051" spans="1:12" x14ac:dyDescent="0.25">
      <c r="A2051" s="50" t="s">
        <v>3243</v>
      </c>
      <c r="B2051" s="30" t="s">
        <v>137</v>
      </c>
      <c r="C2051" s="30" t="s">
        <v>202</v>
      </c>
      <c r="D2051" s="30" t="s">
        <v>203</v>
      </c>
      <c r="E2051" s="30" t="s">
        <v>2203</v>
      </c>
      <c r="F2051" s="30">
        <v>1</v>
      </c>
      <c r="G2051" s="44">
        <v>4435</v>
      </c>
      <c r="H2051" s="30"/>
      <c r="I2051" s="44"/>
      <c r="J2051" s="44"/>
      <c r="K2051" s="44">
        <f t="shared" si="69"/>
        <v>4435</v>
      </c>
      <c r="L2051" s="51">
        <v>20231127</v>
      </c>
    </row>
    <row r="2052" spans="1:12" x14ac:dyDescent="0.25">
      <c r="A2052" s="50" t="s">
        <v>3242</v>
      </c>
      <c r="B2052" s="30" t="s">
        <v>137</v>
      </c>
      <c r="C2052" s="30" t="s">
        <v>202</v>
      </c>
      <c r="D2052" s="30" t="s">
        <v>203</v>
      </c>
      <c r="E2052" s="30" t="s">
        <v>214</v>
      </c>
      <c r="F2052" s="30">
        <v>1</v>
      </c>
      <c r="G2052" s="44">
        <v>4435</v>
      </c>
      <c r="H2052" s="30"/>
      <c r="I2052" s="44"/>
      <c r="J2052" s="44"/>
      <c r="K2052" s="44">
        <f t="shared" si="69"/>
        <v>4435</v>
      </c>
      <c r="L2052" s="51">
        <v>20231127</v>
      </c>
    </row>
    <row r="2053" spans="1:12" x14ac:dyDescent="0.25">
      <c r="A2053" s="50" t="s">
        <v>3241</v>
      </c>
      <c r="B2053" s="30" t="s">
        <v>137</v>
      </c>
      <c r="C2053" s="30" t="s">
        <v>202</v>
      </c>
      <c r="D2053" s="30" t="s">
        <v>203</v>
      </c>
      <c r="E2053" s="30" t="s">
        <v>2200</v>
      </c>
      <c r="F2053" s="30">
        <v>1</v>
      </c>
      <c r="G2053" s="44">
        <v>4435</v>
      </c>
      <c r="H2053" s="30"/>
      <c r="I2053" s="44"/>
      <c r="J2053" s="44"/>
      <c r="K2053" s="44">
        <f t="shared" si="69"/>
        <v>4435</v>
      </c>
      <c r="L2053" s="51">
        <v>20231127</v>
      </c>
    </row>
    <row r="2054" spans="1:12" x14ac:dyDescent="0.25">
      <c r="A2054" s="50" t="s">
        <v>3240</v>
      </c>
      <c r="B2054" s="30" t="s">
        <v>137</v>
      </c>
      <c r="C2054" s="30" t="s">
        <v>202</v>
      </c>
      <c r="D2054" s="30" t="s">
        <v>203</v>
      </c>
      <c r="E2054" s="30" t="s">
        <v>2198</v>
      </c>
      <c r="F2054" s="30">
        <v>1</v>
      </c>
      <c r="G2054" s="44">
        <v>4435</v>
      </c>
      <c r="H2054" s="30"/>
      <c r="I2054" s="44"/>
      <c r="J2054" s="44"/>
      <c r="K2054" s="44">
        <f t="shared" si="69"/>
        <v>4435</v>
      </c>
      <c r="L2054" s="51">
        <v>20231127</v>
      </c>
    </row>
    <row r="2055" spans="1:12" x14ac:dyDescent="0.25">
      <c r="A2055" s="50" t="s">
        <v>3239</v>
      </c>
      <c r="B2055" s="30" t="s">
        <v>137</v>
      </c>
      <c r="C2055" s="30" t="s">
        <v>202</v>
      </c>
      <c r="D2055" s="30" t="s">
        <v>203</v>
      </c>
      <c r="E2055" s="30" t="s">
        <v>2196</v>
      </c>
      <c r="F2055" s="30">
        <v>1</v>
      </c>
      <c r="G2055" s="44">
        <v>4435</v>
      </c>
      <c r="H2055" s="30"/>
      <c r="I2055" s="44"/>
      <c r="J2055" s="44"/>
      <c r="K2055" s="44">
        <f t="shared" si="69"/>
        <v>4435</v>
      </c>
      <c r="L2055" s="51">
        <v>20231127</v>
      </c>
    </row>
    <row r="2056" spans="1:12" x14ac:dyDescent="0.25">
      <c r="A2056" s="50" t="s">
        <v>3193</v>
      </c>
      <c r="B2056" s="30" t="s">
        <v>137</v>
      </c>
      <c r="C2056" s="30" t="s">
        <v>364</v>
      </c>
      <c r="D2056" s="30" t="s">
        <v>24</v>
      </c>
      <c r="E2056" s="30" t="s">
        <v>365</v>
      </c>
      <c r="F2056" s="30">
        <v>1</v>
      </c>
      <c r="G2056" s="44">
        <v>4435</v>
      </c>
      <c r="H2056" s="30"/>
      <c r="I2056" s="44"/>
      <c r="J2056" s="44"/>
      <c r="K2056" s="44">
        <f t="shared" si="69"/>
        <v>4435</v>
      </c>
      <c r="L2056" s="51">
        <v>20231128</v>
      </c>
    </row>
    <row r="2057" spans="1:12" x14ac:dyDescent="0.25">
      <c r="A2057" s="50" t="s">
        <v>3192</v>
      </c>
      <c r="B2057" s="30" t="s">
        <v>137</v>
      </c>
      <c r="C2057" s="30" t="s">
        <v>364</v>
      </c>
      <c r="D2057" s="30" t="s">
        <v>24</v>
      </c>
      <c r="E2057" s="30" t="s">
        <v>1136</v>
      </c>
      <c r="F2057" s="30">
        <v>1</v>
      </c>
      <c r="G2057" s="44">
        <v>4435</v>
      </c>
      <c r="H2057" s="30"/>
      <c r="I2057" s="44"/>
      <c r="J2057" s="44"/>
      <c r="K2057" s="44">
        <f t="shared" si="69"/>
        <v>4435</v>
      </c>
      <c r="L2057" s="51">
        <v>20231128</v>
      </c>
    </row>
    <row r="2058" spans="1:12" x14ac:dyDescent="0.25">
      <c r="A2058" s="50" t="s">
        <v>3190</v>
      </c>
      <c r="B2058" s="30" t="s">
        <v>137</v>
      </c>
      <c r="C2058" s="30" t="s">
        <v>364</v>
      </c>
      <c r="D2058" s="30" t="s">
        <v>24</v>
      </c>
      <c r="E2058" s="30" t="s">
        <v>532</v>
      </c>
      <c r="F2058" s="30">
        <v>1</v>
      </c>
      <c r="G2058" s="44">
        <v>4435</v>
      </c>
      <c r="H2058" s="30"/>
      <c r="I2058" s="44"/>
      <c r="J2058" s="44"/>
      <c r="K2058" s="44">
        <f t="shared" si="69"/>
        <v>4435</v>
      </c>
      <c r="L2058" s="51">
        <v>20231128</v>
      </c>
    </row>
    <row r="2059" spans="1:12" x14ac:dyDescent="0.25">
      <c r="A2059" s="50" t="s">
        <v>3183</v>
      </c>
      <c r="B2059" s="30" t="s">
        <v>137</v>
      </c>
      <c r="C2059" s="30" t="s">
        <v>364</v>
      </c>
      <c r="D2059" s="30" t="s">
        <v>24</v>
      </c>
      <c r="E2059" s="30" t="s">
        <v>392</v>
      </c>
      <c r="F2059" s="30">
        <v>1</v>
      </c>
      <c r="G2059" s="44">
        <v>4435</v>
      </c>
      <c r="H2059" s="30"/>
      <c r="I2059" s="44"/>
      <c r="J2059" s="44"/>
      <c r="K2059" s="44">
        <f t="shared" si="69"/>
        <v>4435</v>
      </c>
      <c r="L2059" s="51">
        <v>20231128</v>
      </c>
    </row>
    <row r="2060" spans="1:12" x14ac:dyDescent="0.25">
      <c r="A2060" s="50" t="s">
        <v>3191</v>
      </c>
      <c r="B2060" s="30" t="s">
        <v>137</v>
      </c>
      <c r="C2060" s="30" t="s">
        <v>364</v>
      </c>
      <c r="D2060" s="30" t="s">
        <v>24</v>
      </c>
      <c r="E2060" s="30" t="s">
        <v>2075</v>
      </c>
      <c r="F2060" s="30">
        <v>1</v>
      </c>
      <c r="G2060" s="44">
        <v>4435</v>
      </c>
      <c r="H2060" s="30"/>
      <c r="I2060" s="44"/>
      <c r="J2060" s="44"/>
      <c r="K2060" s="44">
        <f t="shared" si="69"/>
        <v>4435</v>
      </c>
      <c r="L2060" s="51">
        <v>20231128</v>
      </c>
    </row>
    <row r="2061" spans="1:12" x14ac:dyDescent="0.25">
      <c r="A2061" s="50" t="s">
        <v>3184</v>
      </c>
      <c r="B2061" s="30" t="s">
        <v>137</v>
      </c>
      <c r="C2061" s="30" t="s">
        <v>770</v>
      </c>
      <c r="D2061" s="30" t="s">
        <v>2764</v>
      </c>
      <c r="E2061" s="30" t="s">
        <v>2944</v>
      </c>
      <c r="F2061" s="30">
        <v>1</v>
      </c>
      <c r="G2061" s="44">
        <v>4435</v>
      </c>
      <c r="H2061" s="30"/>
      <c r="I2061" s="44"/>
      <c r="J2061" s="44"/>
      <c r="K2061" s="44">
        <f t="shared" si="69"/>
        <v>4435</v>
      </c>
      <c r="L2061" s="51">
        <v>20231128</v>
      </c>
    </row>
    <row r="2062" spans="1:12" x14ac:dyDescent="0.25">
      <c r="A2062" s="50" t="s">
        <v>3189</v>
      </c>
      <c r="B2062" s="30" t="s">
        <v>137</v>
      </c>
      <c r="C2062" s="30" t="s">
        <v>770</v>
      </c>
      <c r="D2062" s="30" t="s">
        <v>2764</v>
      </c>
      <c r="E2062" s="30" t="s">
        <v>775</v>
      </c>
      <c r="F2062" s="30">
        <v>1</v>
      </c>
      <c r="G2062" s="44">
        <v>4435</v>
      </c>
      <c r="H2062" s="30"/>
      <c r="I2062" s="44"/>
      <c r="J2062" s="44"/>
      <c r="K2062" s="44">
        <f t="shared" si="69"/>
        <v>4435</v>
      </c>
      <c r="L2062" s="51">
        <v>20231128</v>
      </c>
    </row>
    <row r="2063" spans="1:12" x14ac:dyDescent="0.25">
      <c r="A2063" s="50" t="s">
        <v>3188</v>
      </c>
      <c r="B2063" s="30" t="s">
        <v>137</v>
      </c>
      <c r="C2063" s="30" t="s">
        <v>770</v>
      </c>
      <c r="D2063" s="30" t="s">
        <v>2764</v>
      </c>
      <c r="E2063" s="30" t="s">
        <v>773</v>
      </c>
      <c r="F2063" s="30">
        <v>1</v>
      </c>
      <c r="G2063" s="44">
        <v>4435</v>
      </c>
      <c r="H2063" s="30"/>
      <c r="I2063" s="44"/>
      <c r="J2063" s="44"/>
      <c r="K2063" s="44">
        <f t="shared" si="69"/>
        <v>4435</v>
      </c>
      <c r="L2063" s="51">
        <v>20231128</v>
      </c>
    </row>
    <row r="2064" spans="1:12" x14ac:dyDescent="0.25">
      <c r="A2064" s="50" t="s">
        <v>3187</v>
      </c>
      <c r="B2064" s="30" t="s">
        <v>137</v>
      </c>
      <c r="C2064" s="30" t="s">
        <v>770</v>
      </c>
      <c r="D2064" s="30" t="s">
        <v>2764</v>
      </c>
      <c r="E2064" s="30" t="s">
        <v>771</v>
      </c>
      <c r="F2064" s="30">
        <v>1</v>
      </c>
      <c r="G2064" s="44">
        <v>4435</v>
      </c>
      <c r="H2064" s="30"/>
      <c r="I2064" s="44"/>
      <c r="J2064" s="44"/>
      <c r="K2064" s="44">
        <f t="shared" si="69"/>
        <v>4435</v>
      </c>
      <c r="L2064" s="51">
        <v>20231128</v>
      </c>
    </row>
    <row r="2065" spans="1:12" x14ac:dyDescent="0.25">
      <c r="A2065" s="50" t="s">
        <v>3179</v>
      </c>
      <c r="B2065" s="30" t="s">
        <v>137</v>
      </c>
      <c r="C2065" s="30" t="s">
        <v>29</v>
      </c>
      <c r="D2065" s="30" t="s">
        <v>24</v>
      </c>
      <c r="E2065" s="30" t="s">
        <v>1497</v>
      </c>
      <c r="F2065" s="30">
        <v>1</v>
      </c>
      <c r="G2065" s="44">
        <v>4435</v>
      </c>
      <c r="H2065" s="30"/>
      <c r="I2065" s="44"/>
      <c r="J2065" s="44"/>
      <c r="K2065" s="44">
        <f t="shared" si="69"/>
        <v>4435</v>
      </c>
      <c r="L2065" s="51">
        <v>20231129</v>
      </c>
    </row>
    <row r="2066" spans="1:12" x14ac:dyDescent="0.25">
      <c r="A2066" s="50" t="s">
        <v>3178</v>
      </c>
      <c r="B2066" s="30" t="s">
        <v>137</v>
      </c>
      <c r="C2066" s="30" t="s">
        <v>29</v>
      </c>
      <c r="D2066" s="30" t="s">
        <v>24</v>
      </c>
      <c r="E2066" s="30" t="s">
        <v>632</v>
      </c>
      <c r="F2066" s="30">
        <v>1</v>
      </c>
      <c r="G2066" s="44">
        <v>4435</v>
      </c>
      <c r="H2066" s="30"/>
      <c r="I2066" s="44"/>
      <c r="J2066" s="44"/>
      <c r="K2066" s="44">
        <f t="shared" si="69"/>
        <v>4435</v>
      </c>
      <c r="L2066" s="51">
        <v>20231129</v>
      </c>
    </row>
    <row r="2067" spans="1:12" x14ac:dyDescent="0.25">
      <c r="A2067" s="50" t="s">
        <v>3177</v>
      </c>
      <c r="B2067" s="30" t="s">
        <v>137</v>
      </c>
      <c r="C2067" s="30" t="s">
        <v>29</v>
      </c>
      <c r="D2067" s="30" t="s">
        <v>24</v>
      </c>
      <c r="E2067" s="30" t="s">
        <v>208</v>
      </c>
      <c r="F2067" s="30">
        <v>1</v>
      </c>
      <c r="G2067" s="44">
        <v>4435</v>
      </c>
      <c r="H2067" s="30"/>
      <c r="I2067" s="44"/>
      <c r="J2067" s="44"/>
      <c r="K2067" s="44">
        <f t="shared" si="69"/>
        <v>4435</v>
      </c>
      <c r="L2067" s="51">
        <v>20231129</v>
      </c>
    </row>
    <row r="2068" spans="1:12" x14ac:dyDescent="0.25">
      <c r="A2068" s="50" t="s">
        <v>3176</v>
      </c>
      <c r="B2068" s="30" t="s">
        <v>137</v>
      </c>
      <c r="C2068" s="30" t="s">
        <v>29</v>
      </c>
      <c r="D2068" s="30" t="s">
        <v>24</v>
      </c>
      <c r="E2068" s="30" t="s">
        <v>2051</v>
      </c>
      <c r="F2068" s="30">
        <v>1</v>
      </c>
      <c r="G2068" s="44">
        <v>4435</v>
      </c>
      <c r="H2068" s="30"/>
      <c r="I2068" s="44"/>
      <c r="J2068" s="44"/>
      <c r="K2068" s="44">
        <f t="shared" si="69"/>
        <v>4435</v>
      </c>
      <c r="L2068" s="51">
        <v>20231129</v>
      </c>
    </row>
    <row r="2069" spans="1:12" x14ac:dyDescent="0.25">
      <c r="A2069" s="50" t="s">
        <v>3182</v>
      </c>
      <c r="B2069" s="30" t="s">
        <v>137</v>
      </c>
      <c r="C2069" s="30" t="s">
        <v>53</v>
      </c>
      <c r="D2069" s="30" t="s">
        <v>24</v>
      </c>
      <c r="E2069" s="30" t="s">
        <v>2289</v>
      </c>
      <c r="F2069" s="30">
        <v>1</v>
      </c>
      <c r="G2069" s="44">
        <v>4435</v>
      </c>
      <c r="H2069" s="30"/>
      <c r="I2069" s="44"/>
      <c r="J2069" s="44"/>
      <c r="K2069" s="44">
        <f t="shared" si="69"/>
        <v>4435</v>
      </c>
      <c r="L2069" s="51">
        <v>20231129</v>
      </c>
    </row>
    <row r="2070" spans="1:12" x14ac:dyDescent="0.25">
      <c r="A2070" s="50" t="s">
        <v>3181</v>
      </c>
      <c r="B2070" s="30" t="s">
        <v>137</v>
      </c>
      <c r="C2070" s="30" t="s">
        <v>53</v>
      </c>
      <c r="D2070" s="30" t="s">
        <v>24</v>
      </c>
      <c r="E2070" s="30" t="s">
        <v>1132</v>
      </c>
      <c r="F2070" s="30">
        <v>1</v>
      </c>
      <c r="G2070" s="44">
        <v>4435</v>
      </c>
      <c r="H2070" s="30"/>
      <c r="I2070" s="44"/>
      <c r="J2070" s="44"/>
      <c r="K2070" s="44">
        <f t="shared" si="69"/>
        <v>4435</v>
      </c>
      <c r="L2070" s="51">
        <v>20231129</v>
      </c>
    </row>
    <row r="2071" spans="1:12" x14ac:dyDescent="0.25">
      <c r="A2071" s="50" t="s">
        <v>3180</v>
      </c>
      <c r="B2071" s="30" t="s">
        <v>137</v>
      </c>
      <c r="C2071" s="30" t="s">
        <v>53</v>
      </c>
      <c r="D2071" s="30" t="s">
        <v>24</v>
      </c>
      <c r="E2071" s="30" t="s">
        <v>1998</v>
      </c>
      <c r="F2071" s="30">
        <v>1</v>
      </c>
      <c r="G2071" s="44">
        <v>4435</v>
      </c>
      <c r="H2071" s="30"/>
      <c r="I2071" s="44"/>
      <c r="J2071" s="44"/>
      <c r="K2071" s="44">
        <f t="shared" si="69"/>
        <v>4435</v>
      </c>
      <c r="L2071" s="51">
        <v>20231129</v>
      </c>
    </row>
    <row r="2072" spans="1:12" ht="15.75" thickBot="1" x14ac:dyDescent="0.3">
      <c r="A2072" s="54" t="s">
        <v>3173</v>
      </c>
      <c r="B2072" s="36" t="s">
        <v>137</v>
      </c>
      <c r="C2072" s="36" t="s">
        <v>364</v>
      </c>
      <c r="D2072" s="36" t="s">
        <v>24</v>
      </c>
      <c r="E2072" s="36" t="s">
        <v>2702</v>
      </c>
      <c r="F2072" s="36">
        <v>1</v>
      </c>
      <c r="G2072" s="65">
        <v>4435</v>
      </c>
      <c r="H2072" s="36"/>
      <c r="I2072" s="65"/>
      <c r="J2072" s="65"/>
      <c r="K2072" s="65">
        <f t="shared" si="69"/>
        <v>4435</v>
      </c>
      <c r="L2072" s="55">
        <v>20231130</v>
      </c>
    </row>
    <row r="2075" spans="1:12" ht="15.75" thickBot="1" x14ac:dyDescent="0.3">
      <c r="A2075" s="69" t="s">
        <v>0</v>
      </c>
      <c r="B2075" s="70" t="s">
        <v>1</v>
      </c>
      <c r="C2075" s="70" t="s">
        <v>2</v>
      </c>
      <c r="D2075" s="70" t="s">
        <v>3</v>
      </c>
      <c r="E2075" s="70" t="s">
        <v>4</v>
      </c>
      <c r="F2075" s="70"/>
      <c r="G2075" s="71" t="s">
        <v>6</v>
      </c>
      <c r="H2075" s="70" t="s">
        <v>7</v>
      </c>
      <c r="I2075" s="71" t="s">
        <v>8</v>
      </c>
      <c r="J2075" s="71" t="s">
        <v>9</v>
      </c>
      <c r="K2075" s="71" t="s">
        <v>10</v>
      </c>
      <c r="L2075" s="72" t="s">
        <v>5</v>
      </c>
    </row>
    <row r="2076" spans="1:12" x14ac:dyDescent="0.25">
      <c r="A2076" s="48" t="s">
        <v>3293</v>
      </c>
      <c r="B2076" s="34" t="s">
        <v>11</v>
      </c>
      <c r="C2076" s="34" t="s">
        <v>28</v>
      </c>
      <c r="D2076" s="34" t="s">
        <v>759</v>
      </c>
      <c r="E2076" s="34" t="s">
        <v>760</v>
      </c>
      <c r="F2076" s="34">
        <v>1</v>
      </c>
      <c r="G2076" s="64">
        <v>8869</v>
      </c>
      <c r="H2076" s="34"/>
      <c r="I2076" s="64"/>
      <c r="J2076" s="64"/>
      <c r="K2076" s="64">
        <f t="shared" ref="K2076:K2096" si="70">J2076+G2076</f>
        <v>8869</v>
      </c>
      <c r="L2076" s="49">
        <v>20231201</v>
      </c>
    </row>
    <row r="2077" spans="1:12" x14ac:dyDescent="0.25">
      <c r="A2077" s="50" t="s">
        <v>3299</v>
      </c>
      <c r="B2077" s="30" t="s">
        <v>11</v>
      </c>
      <c r="C2077" s="30" t="s">
        <v>505</v>
      </c>
      <c r="D2077" s="30" t="s">
        <v>24</v>
      </c>
      <c r="E2077" s="30" t="s">
        <v>931</v>
      </c>
      <c r="F2077" s="30">
        <v>1</v>
      </c>
      <c r="G2077" s="44">
        <v>8869</v>
      </c>
      <c r="H2077" s="30"/>
      <c r="I2077" s="44"/>
      <c r="J2077" s="44"/>
      <c r="K2077" s="44">
        <f t="shared" si="70"/>
        <v>8869</v>
      </c>
      <c r="L2077" s="51">
        <v>20231201</v>
      </c>
    </row>
    <row r="2078" spans="1:12" x14ac:dyDescent="0.25">
      <c r="A2078" s="50" t="s">
        <v>3294</v>
      </c>
      <c r="B2078" s="30" t="s">
        <v>11</v>
      </c>
      <c r="C2078" s="30" t="s">
        <v>29</v>
      </c>
      <c r="D2078" s="30" t="s">
        <v>1385</v>
      </c>
      <c r="E2078" s="30" t="s">
        <v>630</v>
      </c>
      <c r="F2078" s="30">
        <v>1</v>
      </c>
      <c r="G2078" s="44">
        <v>8869</v>
      </c>
      <c r="H2078" s="30"/>
      <c r="I2078" s="44"/>
      <c r="J2078" s="44"/>
      <c r="K2078" s="44">
        <f t="shared" si="70"/>
        <v>8869</v>
      </c>
      <c r="L2078" s="51">
        <v>20231201</v>
      </c>
    </row>
    <row r="2079" spans="1:12" x14ac:dyDescent="0.25">
      <c r="A2079" s="50" t="s">
        <v>3295</v>
      </c>
      <c r="B2079" s="30" t="s">
        <v>11</v>
      </c>
      <c r="C2079" s="30" t="s">
        <v>607</v>
      </c>
      <c r="D2079" s="30" t="s">
        <v>24</v>
      </c>
      <c r="E2079" s="30" t="s">
        <v>2118</v>
      </c>
      <c r="F2079" s="30">
        <v>1</v>
      </c>
      <c r="G2079" s="44">
        <v>8869</v>
      </c>
      <c r="H2079" s="30"/>
      <c r="I2079" s="44"/>
      <c r="J2079" s="44"/>
      <c r="K2079" s="44">
        <f t="shared" si="70"/>
        <v>8869</v>
      </c>
      <c r="L2079" s="51">
        <v>20231204</v>
      </c>
    </row>
    <row r="2080" spans="1:12" x14ac:dyDescent="0.25">
      <c r="A2080" s="50" t="s">
        <v>3292</v>
      </c>
      <c r="B2080" s="30" t="s">
        <v>11</v>
      </c>
      <c r="C2080" s="30" t="s">
        <v>654</v>
      </c>
      <c r="D2080" s="30" t="s">
        <v>1388</v>
      </c>
      <c r="E2080" s="30" t="s">
        <v>2120</v>
      </c>
      <c r="F2080" s="30">
        <v>1</v>
      </c>
      <c r="G2080" s="44">
        <v>8869</v>
      </c>
      <c r="H2080" s="30"/>
      <c r="I2080" s="44"/>
      <c r="J2080" s="44"/>
      <c r="K2080" s="44">
        <f t="shared" si="70"/>
        <v>8869</v>
      </c>
      <c r="L2080" s="51">
        <v>20231205</v>
      </c>
    </row>
    <row r="2081" spans="1:12" x14ac:dyDescent="0.25">
      <c r="A2081" s="50" t="s">
        <v>3296</v>
      </c>
      <c r="B2081" s="30" t="s">
        <v>11</v>
      </c>
      <c r="C2081" s="30" t="s">
        <v>1053</v>
      </c>
      <c r="D2081" s="30" t="s">
        <v>1054</v>
      </c>
      <c r="E2081" s="30" t="s">
        <v>3297</v>
      </c>
      <c r="F2081" s="30">
        <v>1</v>
      </c>
      <c r="G2081" s="44">
        <v>8869</v>
      </c>
      <c r="H2081" s="30"/>
      <c r="I2081" s="44"/>
      <c r="J2081" s="44"/>
      <c r="K2081" s="44">
        <f t="shared" si="70"/>
        <v>8869</v>
      </c>
      <c r="L2081" s="51">
        <v>20231205</v>
      </c>
    </row>
    <row r="2082" spans="1:12" x14ac:dyDescent="0.25">
      <c r="A2082" s="52" t="s">
        <v>3298</v>
      </c>
      <c r="B2082" s="32" t="s">
        <v>11</v>
      </c>
      <c r="C2082" s="32" t="s">
        <v>168</v>
      </c>
      <c r="D2082" s="32" t="s">
        <v>169</v>
      </c>
      <c r="E2082" s="32" t="s">
        <v>170</v>
      </c>
      <c r="F2082" s="32">
        <v>1</v>
      </c>
      <c r="G2082" s="45">
        <v>8869</v>
      </c>
      <c r="H2082" s="32">
        <v>148</v>
      </c>
      <c r="I2082" s="45">
        <v>109.9</v>
      </c>
      <c r="J2082" s="45">
        <f>I2082*H2082</f>
        <v>16265.2</v>
      </c>
      <c r="K2082" s="45">
        <f t="shared" si="70"/>
        <v>25134.2</v>
      </c>
      <c r="L2082" s="53">
        <v>20231211</v>
      </c>
    </row>
    <row r="2083" spans="1:12" x14ac:dyDescent="0.25">
      <c r="A2083" s="50" t="s">
        <v>3290</v>
      </c>
      <c r="B2083" s="30" t="s">
        <v>11</v>
      </c>
      <c r="C2083" s="30" t="s">
        <v>1237</v>
      </c>
      <c r="D2083" s="30" t="s">
        <v>24</v>
      </c>
      <c r="E2083" s="30" t="s">
        <v>3291</v>
      </c>
      <c r="F2083" s="30">
        <v>1</v>
      </c>
      <c r="G2083" s="44">
        <v>8869</v>
      </c>
      <c r="H2083" s="30"/>
      <c r="I2083" s="44"/>
      <c r="J2083" s="44"/>
      <c r="K2083" s="44">
        <f t="shared" si="70"/>
        <v>8869</v>
      </c>
      <c r="L2083" s="51">
        <v>20231213</v>
      </c>
    </row>
    <row r="2084" spans="1:12" x14ac:dyDescent="0.25">
      <c r="A2084" s="52" t="s">
        <v>3288</v>
      </c>
      <c r="B2084" s="32" t="s">
        <v>11</v>
      </c>
      <c r="C2084" s="32" t="s">
        <v>163</v>
      </c>
      <c r="D2084" s="32" t="s">
        <v>164</v>
      </c>
      <c r="E2084" s="32" t="s">
        <v>1115</v>
      </c>
      <c r="F2084" s="32">
        <v>1</v>
      </c>
      <c r="G2084" s="45">
        <v>12046</v>
      </c>
      <c r="H2084" s="32">
        <v>126</v>
      </c>
      <c r="I2084" s="45">
        <v>179.2</v>
      </c>
      <c r="J2084" s="45">
        <f>I2084*H2084</f>
        <v>22579.199999999997</v>
      </c>
      <c r="K2084" s="45">
        <f t="shared" si="70"/>
        <v>34625.199999999997</v>
      </c>
      <c r="L2084" s="53">
        <v>20231214</v>
      </c>
    </row>
    <row r="2085" spans="1:12" x14ac:dyDescent="0.25">
      <c r="A2085" s="50" t="s">
        <v>3275</v>
      </c>
      <c r="B2085" s="30" t="s">
        <v>11</v>
      </c>
      <c r="C2085" s="30" t="s">
        <v>26</v>
      </c>
      <c r="D2085" s="30" t="s">
        <v>616</v>
      </c>
      <c r="E2085" s="30" t="s">
        <v>621</v>
      </c>
      <c r="F2085" s="30">
        <v>1</v>
      </c>
      <c r="G2085" s="44">
        <v>12046</v>
      </c>
      <c r="H2085" s="30"/>
      <c r="I2085" s="44"/>
      <c r="J2085" s="44"/>
      <c r="K2085" s="44">
        <f t="shared" si="70"/>
        <v>12046</v>
      </c>
      <c r="L2085" s="51">
        <v>20231215</v>
      </c>
    </row>
    <row r="2086" spans="1:12" x14ac:dyDescent="0.25">
      <c r="A2086" s="50" t="s">
        <v>3272</v>
      </c>
      <c r="B2086" s="30" t="s">
        <v>11</v>
      </c>
      <c r="C2086" s="30" t="s">
        <v>53</v>
      </c>
      <c r="D2086" s="30" t="s">
        <v>24</v>
      </c>
      <c r="E2086" s="30" t="s">
        <v>1281</v>
      </c>
      <c r="F2086" s="30">
        <v>1</v>
      </c>
      <c r="G2086" s="44">
        <v>12046</v>
      </c>
      <c r="H2086" s="30"/>
      <c r="I2086" s="44"/>
      <c r="J2086" s="44"/>
      <c r="K2086" s="44">
        <f t="shared" si="70"/>
        <v>12046</v>
      </c>
      <c r="L2086" s="51">
        <v>20231218</v>
      </c>
    </row>
    <row r="2087" spans="1:12" x14ac:dyDescent="0.25">
      <c r="A2087" s="50" t="s">
        <v>3270</v>
      </c>
      <c r="B2087" s="30" t="s">
        <v>11</v>
      </c>
      <c r="C2087" s="30" t="s">
        <v>654</v>
      </c>
      <c r="D2087" s="30" t="s">
        <v>1388</v>
      </c>
      <c r="E2087" s="30" t="s">
        <v>2120</v>
      </c>
      <c r="F2087" s="30">
        <v>1</v>
      </c>
      <c r="G2087" s="44">
        <v>12046</v>
      </c>
      <c r="H2087" s="30"/>
      <c r="I2087" s="44"/>
      <c r="J2087" s="44"/>
      <c r="K2087" s="44">
        <f t="shared" si="70"/>
        <v>12046</v>
      </c>
      <c r="L2087" s="51">
        <v>20231219</v>
      </c>
    </row>
    <row r="2088" spans="1:12" x14ac:dyDescent="0.25">
      <c r="A2088" s="52" t="s">
        <v>3273</v>
      </c>
      <c r="B2088" s="32" t="s">
        <v>11</v>
      </c>
      <c r="C2088" s="32" t="s">
        <v>29</v>
      </c>
      <c r="D2088" s="32" t="s">
        <v>30</v>
      </c>
      <c r="E2088" s="32" t="s">
        <v>509</v>
      </c>
      <c r="F2088" s="32">
        <v>1</v>
      </c>
      <c r="G2088" s="45">
        <v>12046</v>
      </c>
      <c r="H2088" s="32">
        <v>158</v>
      </c>
      <c r="I2088" s="45">
        <v>179.2</v>
      </c>
      <c r="J2088" s="45">
        <f>I2088*H2088</f>
        <v>28313.599999999999</v>
      </c>
      <c r="K2088" s="45">
        <f t="shared" si="70"/>
        <v>40359.599999999999</v>
      </c>
      <c r="L2088" s="53">
        <v>20231220</v>
      </c>
    </row>
    <row r="2089" spans="1:12" x14ac:dyDescent="0.25">
      <c r="A2089" s="50" t="s">
        <v>3274</v>
      </c>
      <c r="B2089" s="30" t="s">
        <v>11</v>
      </c>
      <c r="C2089" s="30" t="s">
        <v>94</v>
      </c>
      <c r="D2089" s="30" t="s">
        <v>95</v>
      </c>
      <c r="E2089" s="30" t="s">
        <v>2404</v>
      </c>
      <c r="F2089" s="30">
        <v>1</v>
      </c>
      <c r="G2089" s="44">
        <v>12046</v>
      </c>
      <c r="H2089" s="30"/>
      <c r="I2089" s="44"/>
      <c r="J2089" s="44"/>
      <c r="K2089" s="44">
        <f t="shared" si="70"/>
        <v>12046</v>
      </c>
      <c r="L2089" s="51">
        <v>20231220</v>
      </c>
    </row>
    <row r="2090" spans="1:12" x14ac:dyDescent="0.25">
      <c r="A2090" s="50" t="s">
        <v>3267</v>
      </c>
      <c r="B2090" s="30" t="s">
        <v>11</v>
      </c>
      <c r="C2090" s="30" t="s">
        <v>1450</v>
      </c>
      <c r="D2090" s="30" t="s">
        <v>1592</v>
      </c>
      <c r="E2090" s="30" t="s">
        <v>1593</v>
      </c>
      <c r="F2090" s="30">
        <v>1</v>
      </c>
      <c r="G2090" s="44">
        <v>12046</v>
      </c>
      <c r="H2090" s="30"/>
      <c r="I2090" s="44"/>
      <c r="J2090" s="44"/>
      <c r="K2090" s="44">
        <f t="shared" si="70"/>
        <v>12046</v>
      </c>
      <c r="L2090" s="51">
        <v>20231221</v>
      </c>
    </row>
    <row r="2091" spans="1:12" x14ac:dyDescent="0.25">
      <c r="A2091" s="50" t="s">
        <v>3269</v>
      </c>
      <c r="B2091" s="30" t="s">
        <v>11</v>
      </c>
      <c r="C2091" s="30" t="s">
        <v>29</v>
      </c>
      <c r="D2091" s="30" t="s">
        <v>1656</v>
      </c>
      <c r="E2091" s="30" t="s">
        <v>3154</v>
      </c>
      <c r="F2091" s="30">
        <v>1</v>
      </c>
      <c r="G2091" s="44">
        <v>12046</v>
      </c>
      <c r="H2091" s="30"/>
      <c r="I2091" s="44"/>
      <c r="J2091" s="44"/>
      <c r="K2091" s="44">
        <f t="shared" si="70"/>
        <v>12046</v>
      </c>
      <c r="L2091" s="51">
        <v>20231221</v>
      </c>
    </row>
    <row r="2092" spans="1:12" x14ac:dyDescent="0.25">
      <c r="A2092" s="50" t="s">
        <v>3266</v>
      </c>
      <c r="B2092" s="30" t="s">
        <v>11</v>
      </c>
      <c r="C2092" s="30" t="s">
        <v>28</v>
      </c>
      <c r="D2092" s="30" t="s">
        <v>759</v>
      </c>
      <c r="E2092" s="30" t="s">
        <v>760</v>
      </c>
      <c r="F2092" s="30">
        <v>1</v>
      </c>
      <c r="G2092" s="44">
        <v>12046</v>
      </c>
      <c r="H2092" s="30"/>
      <c r="I2092" s="44"/>
      <c r="J2092" s="44"/>
      <c r="K2092" s="44">
        <f t="shared" si="70"/>
        <v>12046</v>
      </c>
      <c r="L2092" s="51">
        <v>20231227</v>
      </c>
    </row>
    <row r="2093" spans="1:12" x14ac:dyDescent="0.25">
      <c r="A2093" s="50" t="s">
        <v>3289</v>
      </c>
      <c r="B2093" s="30" t="s">
        <v>11</v>
      </c>
      <c r="C2093" s="30" t="s">
        <v>364</v>
      </c>
      <c r="D2093" s="30" t="s">
        <v>24</v>
      </c>
      <c r="E2093" s="30" t="s">
        <v>1445</v>
      </c>
      <c r="F2093" s="30">
        <v>1</v>
      </c>
      <c r="G2093" s="44">
        <v>12046</v>
      </c>
      <c r="H2093" s="30"/>
      <c r="I2093" s="44"/>
      <c r="J2093" s="44"/>
      <c r="K2093" s="44">
        <f t="shared" si="70"/>
        <v>12046</v>
      </c>
      <c r="L2093" s="51">
        <v>20231227</v>
      </c>
    </row>
    <row r="2094" spans="1:12" x14ac:dyDescent="0.25">
      <c r="A2094" s="52" t="s">
        <v>3271</v>
      </c>
      <c r="B2094" s="32" t="s">
        <v>11</v>
      </c>
      <c r="C2094" s="32" t="s">
        <v>337</v>
      </c>
      <c r="D2094" s="32" t="s">
        <v>35</v>
      </c>
      <c r="E2094" s="32" t="s">
        <v>38</v>
      </c>
      <c r="F2094" s="32">
        <v>1</v>
      </c>
      <c r="G2094" s="45">
        <v>12046</v>
      </c>
      <c r="H2094" s="32">
        <v>72</v>
      </c>
      <c r="I2094" s="45">
        <v>179.2</v>
      </c>
      <c r="J2094" s="45">
        <f>I2094*H2094</f>
        <v>12902.4</v>
      </c>
      <c r="K2094" s="45">
        <f t="shared" si="70"/>
        <v>24948.400000000001</v>
      </c>
      <c r="L2094" s="53">
        <v>20231228</v>
      </c>
    </row>
    <row r="2095" spans="1:12" x14ac:dyDescent="0.25">
      <c r="A2095" s="50" t="s">
        <v>3268</v>
      </c>
      <c r="B2095" s="30" t="s">
        <v>11</v>
      </c>
      <c r="C2095" s="30" t="s">
        <v>134</v>
      </c>
      <c r="D2095" s="30" t="s">
        <v>354</v>
      </c>
      <c r="E2095" s="30" t="s">
        <v>355</v>
      </c>
      <c r="F2095" s="30">
        <v>1</v>
      </c>
      <c r="G2095" s="44">
        <v>12046</v>
      </c>
      <c r="H2095" s="30"/>
      <c r="I2095" s="44"/>
      <c r="J2095" s="44"/>
      <c r="K2095" s="44">
        <f t="shared" si="70"/>
        <v>12046</v>
      </c>
      <c r="L2095" s="51">
        <v>20231228</v>
      </c>
    </row>
    <row r="2096" spans="1:12" ht="15.75" thickBot="1" x14ac:dyDescent="0.3">
      <c r="A2096" s="54" t="s">
        <v>3265</v>
      </c>
      <c r="B2096" s="36" t="s">
        <v>11</v>
      </c>
      <c r="C2096" s="36" t="s">
        <v>29</v>
      </c>
      <c r="D2096" s="36" t="s">
        <v>1656</v>
      </c>
      <c r="E2096" s="36" t="s">
        <v>3154</v>
      </c>
      <c r="F2096" s="36">
        <v>1</v>
      </c>
      <c r="G2096" s="65">
        <v>12046</v>
      </c>
      <c r="H2096" s="36"/>
      <c r="I2096" s="65"/>
      <c r="J2096" s="65"/>
      <c r="K2096" s="65">
        <f t="shared" si="70"/>
        <v>12046</v>
      </c>
      <c r="L2096" s="55">
        <v>20231228</v>
      </c>
    </row>
    <row r="2097" spans="1:12" ht="15.75" thickBot="1" x14ac:dyDescent="0.3">
      <c r="A2097" s="99"/>
      <c r="B2097" s="100"/>
      <c r="C2097" s="100"/>
      <c r="D2097" s="100"/>
      <c r="E2097" s="100"/>
      <c r="F2097" s="100"/>
      <c r="G2097" s="101"/>
      <c r="H2097" s="100"/>
      <c r="I2097" s="101"/>
      <c r="J2097" s="101"/>
      <c r="K2097" s="101"/>
      <c r="L2097" s="102"/>
    </row>
    <row r="2098" spans="1:12" x14ac:dyDescent="0.25">
      <c r="A2098" s="48" t="s">
        <v>3287</v>
      </c>
      <c r="B2098" s="34" t="s">
        <v>137</v>
      </c>
      <c r="C2098" s="34" t="s">
        <v>163</v>
      </c>
      <c r="D2098" s="34" t="s">
        <v>164</v>
      </c>
      <c r="E2098" s="34" t="s">
        <v>454</v>
      </c>
      <c r="F2098" s="34">
        <v>1</v>
      </c>
      <c r="G2098" s="64">
        <v>6024</v>
      </c>
      <c r="H2098" s="34"/>
      <c r="I2098" s="64"/>
      <c r="J2098" s="64"/>
      <c r="K2098" s="64">
        <f t="shared" ref="K2098:K2108" si="71">J2098+G2098</f>
        <v>6024</v>
      </c>
      <c r="L2098" s="49">
        <v>20231214</v>
      </c>
    </row>
    <row r="2099" spans="1:12" x14ac:dyDescent="0.25">
      <c r="A2099" s="50" t="s">
        <v>3286</v>
      </c>
      <c r="B2099" s="30" t="s">
        <v>137</v>
      </c>
      <c r="C2099" s="30" t="s">
        <v>163</v>
      </c>
      <c r="D2099" s="30" t="s">
        <v>164</v>
      </c>
      <c r="E2099" s="30" t="s">
        <v>452</v>
      </c>
      <c r="F2099" s="30">
        <v>1</v>
      </c>
      <c r="G2099" s="44">
        <v>6024</v>
      </c>
      <c r="H2099" s="30"/>
      <c r="I2099" s="44"/>
      <c r="J2099" s="44"/>
      <c r="K2099" s="44">
        <f t="shared" si="71"/>
        <v>6024</v>
      </c>
      <c r="L2099" s="51">
        <v>20231214</v>
      </c>
    </row>
    <row r="2100" spans="1:12" x14ac:dyDescent="0.25">
      <c r="A2100" s="50" t="s">
        <v>3285</v>
      </c>
      <c r="B2100" s="30" t="s">
        <v>137</v>
      </c>
      <c r="C2100" s="30" t="s">
        <v>163</v>
      </c>
      <c r="D2100" s="30" t="s">
        <v>164</v>
      </c>
      <c r="E2100" s="30" t="s">
        <v>361</v>
      </c>
      <c r="F2100" s="30">
        <v>1</v>
      </c>
      <c r="G2100" s="44">
        <v>6024</v>
      </c>
      <c r="H2100" s="30"/>
      <c r="I2100" s="44"/>
      <c r="J2100" s="44"/>
      <c r="K2100" s="44">
        <f t="shared" si="71"/>
        <v>6024</v>
      </c>
      <c r="L2100" s="51">
        <v>20231214</v>
      </c>
    </row>
    <row r="2101" spans="1:12" x14ac:dyDescent="0.25">
      <c r="A2101" s="50" t="s">
        <v>3284</v>
      </c>
      <c r="B2101" s="30" t="s">
        <v>137</v>
      </c>
      <c r="C2101" s="30" t="s">
        <v>163</v>
      </c>
      <c r="D2101" s="30" t="s">
        <v>164</v>
      </c>
      <c r="E2101" s="30" t="s">
        <v>166</v>
      </c>
      <c r="F2101" s="30">
        <v>1</v>
      </c>
      <c r="G2101" s="44">
        <v>6024</v>
      </c>
      <c r="H2101" s="30"/>
      <c r="I2101" s="44"/>
      <c r="J2101" s="44"/>
      <c r="K2101" s="44">
        <f t="shared" si="71"/>
        <v>6024</v>
      </c>
      <c r="L2101" s="51">
        <v>20231214</v>
      </c>
    </row>
    <row r="2102" spans="1:12" x14ac:dyDescent="0.25">
      <c r="A2102" s="50" t="s">
        <v>3283</v>
      </c>
      <c r="B2102" s="30" t="s">
        <v>137</v>
      </c>
      <c r="C2102" s="30" t="s">
        <v>163</v>
      </c>
      <c r="D2102" s="30" t="s">
        <v>164</v>
      </c>
      <c r="E2102" s="30" t="s">
        <v>478</v>
      </c>
      <c r="F2102" s="30">
        <v>1</v>
      </c>
      <c r="G2102" s="44">
        <v>6024</v>
      </c>
      <c r="H2102" s="30"/>
      <c r="I2102" s="44"/>
      <c r="J2102" s="44"/>
      <c r="K2102" s="44">
        <f t="shared" si="71"/>
        <v>6024</v>
      </c>
      <c r="L2102" s="51">
        <v>20231214</v>
      </c>
    </row>
    <row r="2103" spans="1:12" x14ac:dyDescent="0.25">
      <c r="A2103" s="50" t="s">
        <v>3282</v>
      </c>
      <c r="B2103" s="30" t="s">
        <v>137</v>
      </c>
      <c r="C2103" s="30" t="s">
        <v>163</v>
      </c>
      <c r="D2103" s="30" t="s">
        <v>164</v>
      </c>
      <c r="E2103" s="30" t="s">
        <v>448</v>
      </c>
      <c r="F2103" s="30">
        <v>1</v>
      </c>
      <c r="G2103" s="44">
        <v>6024</v>
      </c>
      <c r="H2103" s="30"/>
      <c r="I2103" s="44"/>
      <c r="J2103" s="44"/>
      <c r="K2103" s="44">
        <f t="shared" si="71"/>
        <v>6024</v>
      </c>
      <c r="L2103" s="51">
        <v>20231214</v>
      </c>
    </row>
    <row r="2104" spans="1:12" x14ac:dyDescent="0.25">
      <c r="A2104" s="50" t="s">
        <v>3281</v>
      </c>
      <c r="B2104" s="30" t="s">
        <v>137</v>
      </c>
      <c r="C2104" s="30" t="s">
        <v>163</v>
      </c>
      <c r="D2104" s="30" t="s">
        <v>164</v>
      </c>
      <c r="E2104" s="30" t="s">
        <v>207</v>
      </c>
      <c r="F2104" s="30">
        <v>1</v>
      </c>
      <c r="G2104" s="44">
        <v>6024</v>
      </c>
      <c r="H2104" s="30"/>
      <c r="I2104" s="44"/>
      <c r="J2104" s="44"/>
      <c r="K2104" s="44">
        <f t="shared" si="71"/>
        <v>6024</v>
      </c>
      <c r="L2104" s="51">
        <v>20231214</v>
      </c>
    </row>
    <row r="2105" spans="1:12" x14ac:dyDescent="0.25">
      <c r="A2105" s="50" t="s">
        <v>3280</v>
      </c>
      <c r="B2105" s="30" t="s">
        <v>137</v>
      </c>
      <c r="C2105" s="30" t="s">
        <v>163</v>
      </c>
      <c r="D2105" s="30" t="s">
        <v>164</v>
      </c>
      <c r="E2105" s="30" t="s">
        <v>221</v>
      </c>
      <c r="F2105" s="30">
        <v>1</v>
      </c>
      <c r="G2105" s="44">
        <v>6024</v>
      </c>
      <c r="H2105" s="30"/>
      <c r="I2105" s="44"/>
      <c r="J2105" s="44"/>
      <c r="K2105" s="44">
        <f t="shared" si="71"/>
        <v>6024</v>
      </c>
      <c r="L2105" s="51">
        <v>20231214</v>
      </c>
    </row>
    <row r="2106" spans="1:12" x14ac:dyDescent="0.25">
      <c r="A2106" s="50" t="s">
        <v>3279</v>
      </c>
      <c r="B2106" s="30" t="s">
        <v>137</v>
      </c>
      <c r="C2106" s="30" t="s">
        <v>163</v>
      </c>
      <c r="D2106" s="30" t="s">
        <v>164</v>
      </c>
      <c r="E2106" s="30" t="s">
        <v>3030</v>
      </c>
      <c r="F2106" s="30">
        <v>1</v>
      </c>
      <c r="G2106" s="44">
        <v>6024</v>
      </c>
      <c r="H2106" s="30"/>
      <c r="I2106" s="44"/>
      <c r="J2106" s="44"/>
      <c r="K2106" s="44">
        <f t="shared" si="71"/>
        <v>6024</v>
      </c>
      <c r="L2106" s="51">
        <v>20231214</v>
      </c>
    </row>
    <row r="2107" spans="1:12" x14ac:dyDescent="0.25">
      <c r="A2107" s="50" t="s">
        <v>3278</v>
      </c>
      <c r="B2107" s="30" t="s">
        <v>137</v>
      </c>
      <c r="C2107" s="30" t="s">
        <v>163</v>
      </c>
      <c r="D2107" s="30" t="s">
        <v>164</v>
      </c>
      <c r="E2107" s="30" t="s">
        <v>187</v>
      </c>
      <c r="F2107" s="30">
        <v>1</v>
      </c>
      <c r="G2107" s="44">
        <v>6024</v>
      </c>
      <c r="H2107" s="30"/>
      <c r="I2107" s="44"/>
      <c r="J2107" s="44"/>
      <c r="K2107" s="44">
        <f t="shared" si="71"/>
        <v>6024</v>
      </c>
      <c r="L2107" s="51">
        <v>20231214</v>
      </c>
    </row>
    <row r="2108" spans="1:12" ht="15.75" thickBot="1" x14ac:dyDescent="0.3">
      <c r="A2108" s="54" t="s">
        <v>3276</v>
      </c>
      <c r="B2108" s="36" t="s">
        <v>137</v>
      </c>
      <c r="C2108" s="36" t="s">
        <v>163</v>
      </c>
      <c r="D2108" s="36" t="s">
        <v>164</v>
      </c>
      <c r="E2108" s="36" t="s">
        <v>3277</v>
      </c>
      <c r="F2108" s="36">
        <v>1</v>
      </c>
      <c r="G2108" s="65">
        <v>6024</v>
      </c>
      <c r="H2108" s="36"/>
      <c r="I2108" s="65"/>
      <c r="J2108" s="65"/>
      <c r="K2108" s="65">
        <f t="shared" si="71"/>
        <v>6024</v>
      </c>
      <c r="L2108" s="55">
        <v>20231214</v>
      </c>
    </row>
    <row r="2110" spans="1:12" ht="15.75" thickBot="1" x14ac:dyDescent="0.3">
      <c r="A2110" s="240" t="s">
        <v>0</v>
      </c>
      <c r="B2110" s="241" t="s">
        <v>1</v>
      </c>
      <c r="C2110" s="241" t="s">
        <v>2</v>
      </c>
      <c r="D2110" s="241" t="s">
        <v>3</v>
      </c>
      <c r="E2110" s="241" t="s">
        <v>4</v>
      </c>
      <c r="F2110" s="241"/>
      <c r="G2110" s="242" t="s">
        <v>6</v>
      </c>
      <c r="H2110" s="241" t="s">
        <v>7</v>
      </c>
      <c r="I2110" s="242" t="s">
        <v>8</v>
      </c>
      <c r="J2110" s="242" t="s">
        <v>9</v>
      </c>
      <c r="K2110" s="242" t="s">
        <v>10</v>
      </c>
      <c r="L2110" s="243" t="s">
        <v>5</v>
      </c>
    </row>
    <row r="2111" spans="1:12" s="27" customFormat="1" x14ac:dyDescent="0.25">
      <c r="A2111" s="48" t="s">
        <v>3352</v>
      </c>
      <c r="B2111" s="34" t="s">
        <v>11</v>
      </c>
      <c r="C2111" s="34" t="s">
        <v>94</v>
      </c>
      <c r="D2111" s="34" t="s">
        <v>95</v>
      </c>
      <c r="E2111" s="34" t="s">
        <v>1083</v>
      </c>
      <c r="F2111" s="34">
        <v>1</v>
      </c>
      <c r="G2111" s="64">
        <v>16262</v>
      </c>
      <c r="H2111" s="34"/>
      <c r="I2111" s="64"/>
      <c r="J2111" s="64"/>
      <c r="K2111" s="64">
        <f t="shared" ref="K2111:K2140" si="72">J2111+G2111</f>
        <v>16262</v>
      </c>
      <c r="L2111" s="49">
        <v>20240102</v>
      </c>
    </row>
    <row r="2112" spans="1:12" x14ac:dyDescent="0.25">
      <c r="A2112" s="50" t="s">
        <v>3353</v>
      </c>
      <c r="B2112" s="30" t="s">
        <v>11</v>
      </c>
      <c r="C2112" s="30" t="s">
        <v>1021</v>
      </c>
      <c r="D2112" s="30" t="s">
        <v>24</v>
      </c>
      <c r="E2112" s="30" t="s">
        <v>1337</v>
      </c>
      <c r="F2112" s="30">
        <v>1</v>
      </c>
      <c r="G2112" s="44">
        <v>16262</v>
      </c>
      <c r="H2112" s="30"/>
      <c r="I2112" s="44"/>
      <c r="J2112" s="44"/>
      <c r="K2112" s="44">
        <f t="shared" si="72"/>
        <v>16262</v>
      </c>
      <c r="L2112" s="51">
        <v>20240102</v>
      </c>
    </row>
    <row r="2113" spans="1:12" x14ac:dyDescent="0.25">
      <c r="A2113" s="50" t="s">
        <v>3354</v>
      </c>
      <c r="B2113" s="30" t="s">
        <v>11</v>
      </c>
      <c r="C2113" s="30" t="s">
        <v>28</v>
      </c>
      <c r="D2113" s="30" t="s">
        <v>49</v>
      </c>
      <c r="E2113" s="30" t="s">
        <v>50</v>
      </c>
      <c r="F2113" s="30">
        <v>1</v>
      </c>
      <c r="G2113" s="44">
        <v>16262</v>
      </c>
      <c r="H2113" s="30"/>
      <c r="I2113" s="44"/>
      <c r="J2113" s="44"/>
      <c r="K2113" s="44">
        <f t="shared" si="72"/>
        <v>16262</v>
      </c>
      <c r="L2113" s="51">
        <v>20240102</v>
      </c>
    </row>
    <row r="2114" spans="1:12" x14ac:dyDescent="0.25">
      <c r="A2114" s="50" t="s">
        <v>3351</v>
      </c>
      <c r="B2114" s="30" t="s">
        <v>11</v>
      </c>
      <c r="C2114" s="30" t="s">
        <v>29</v>
      </c>
      <c r="D2114" s="30" t="s">
        <v>1656</v>
      </c>
      <c r="E2114" s="30" t="s">
        <v>3154</v>
      </c>
      <c r="F2114" s="30">
        <v>1</v>
      </c>
      <c r="G2114" s="44">
        <v>16262</v>
      </c>
      <c r="H2114" s="30"/>
      <c r="I2114" s="44"/>
      <c r="J2114" s="44"/>
      <c r="K2114" s="44">
        <f t="shared" si="72"/>
        <v>16262</v>
      </c>
      <c r="L2114" s="51">
        <v>20240103</v>
      </c>
    </row>
    <row r="2115" spans="1:12" x14ac:dyDescent="0.25">
      <c r="A2115" s="52" t="s">
        <v>3355</v>
      </c>
      <c r="B2115" s="32" t="s">
        <v>11</v>
      </c>
      <c r="C2115" s="32" t="s">
        <v>29</v>
      </c>
      <c r="D2115" s="32" t="s">
        <v>3259</v>
      </c>
      <c r="E2115" s="32" t="s">
        <v>3356</v>
      </c>
      <c r="F2115" s="32">
        <v>1</v>
      </c>
      <c r="G2115" s="45">
        <v>16262</v>
      </c>
      <c r="H2115" s="32">
        <v>232</v>
      </c>
      <c r="I2115" s="45">
        <v>249.8</v>
      </c>
      <c r="J2115" s="45">
        <f>I2115*H2115</f>
        <v>57953.600000000006</v>
      </c>
      <c r="K2115" s="45">
        <f t="shared" si="72"/>
        <v>74215.600000000006</v>
      </c>
      <c r="L2115" s="53">
        <v>20240105</v>
      </c>
    </row>
    <row r="2116" spans="1:12" x14ac:dyDescent="0.25">
      <c r="A2116" s="50" t="s">
        <v>3357</v>
      </c>
      <c r="B2116" s="30" t="s">
        <v>11</v>
      </c>
      <c r="C2116" s="30" t="s">
        <v>29</v>
      </c>
      <c r="D2116" s="30" t="s">
        <v>3259</v>
      </c>
      <c r="E2116" s="30" t="s">
        <v>3358</v>
      </c>
      <c r="F2116" s="30">
        <v>1</v>
      </c>
      <c r="G2116" s="44">
        <v>16262</v>
      </c>
      <c r="H2116" s="30"/>
      <c r="I2116" s="44"/>
      <c r="J2116" s="44"/>
      <c r="K2116" s="44">
        <f t="shared" si="72"/>
        <v>16262</v>
      </c>
      <c r="L2116" s="51">
        <v>20240105</v>
      </c>
    </row>
    <row r="2117" spans="1:12" x14ac:dyDescent="0.25">
      <c r="A2117" s="50" t="s">
        <v>3340</v>
      </c>
      <c r="B2117" s="30" t="s">
        <v>11</v>
      </c>
      <c r="C2117" s="30" t="s">
        <v>251</v>
      </c>
      <c r="D2117" s="30" t="s">
        <v>2780</v>
      </c>
      <c r="E2117" s="30" t="s">
        <v>3195</v>
      </c>
      <c r="F2117" s="30">
        <v>1</v>
      </c>
      <c r="G2117" s="44">
        <v>16262</v>
      </c>
      <c r="H2117" s="30"/>
      <c r="I2117" s="44"/>
      <c r="J2117" s="44"/>
      <c r="K2117" s="44">
        <f t="shared" si="72"/>
        <v>16262</v>
      </c>
      <c r="L2117" s="51">
        <v>20240109</v>
      </c>
    </row>
    <row r="2118" spans="1:12" x14ac:dyDescent="0.25">
      <c r="A2118" s="50" t="s">
        <v>3343</v>
      </c>
      <c r="B2118" s="30" t="s">
        <v>1209</v>
      </c>
      <c r="C2118" s="30" t="s">
        <v>3137</v>
      </c>
      <c r="D2118" s="30" t="s">
        <v>24</v>
      </c>
      <c r="E2118" s="30" t="s">
        <v>3344</v>
      </c>
      <c r="F2118" s="30">
        <v>1</v>
      </c>
      <c r="G2118" s="44">
        <v>16262</v>
      </c>
      <c r="H2118" s="30"/>
      <c r="I2118" s="44"/>
      <c r="J2118" s="44"/>
      <c r="K2118" s="44">
        <f t="shared" si="72"/>
        <v>16262</v>
      </c>
      <c r="L2118" s="51">
        <v>20240110</v>
      </c>
    </row>
    <row r="2119" spans="1:12" x14ac:dyDescent="0.25">
      <c r="A2119" s="52" t="s">
        <v>3341</v>
      </c>
      <c r="B2119" s="32" t="s">
        <v>11</v>
      </c>
      <c r="C2119" s="32" t="s">
        <v>337</v>
      </c>
      <c r="D2119" s="32" t="s">
        <v>35</v>
      </c>
      <c r="E2119" s="32" t="s">
        <v>2463</v>
      </c>
      <c r="F2119" s="32">
        <v>1</v>
      </c>
      <c r="G2119" s="45">
        <v>16262</v>
      </c>
      <c r="H2119" s="32">
        <v>72</v>
      </c>
      <c r="I2119" s="45">
        <v>249.8</v>
      </c>
      <c r="J2119" s="45">
        <f>I2119*H2119</f>
        <v>17985.600000000002</v>
      </c>
      <c r="K2119" s="45">
        <f t="shared" si="72"/>
        <v>34247.600000000006</v>
      </c>
      <c r="L2119" s="53">
        <v>20240111</v>
      </c>
    </row>
    <row r="2120" spans="1:12" x14ac:dyDescent="0.25">
      <c r="A2120" s="50" t="s">
        <v>3342</v>
      </c>
      <c r="B2120" s="30" t="s">
        <v>11</v>
      </c>
      <c r="C2120" s="30" t="s">
        <v>337</v>
      </c>
      <c r="D2120" s="30" t="s">
        <v>35</v>
      </c>
      <c r="E2120" s="30" t="s">
        <v>157</v>
      </c>
      <c r="F2120" s="30">
        <v>1</v>
      </c>
      <c r="G2120" s="44">
        <v>16262</v>
      </c>
      <c r="H2120" s="30"/>
      <c r="I2120" s="44"/>
      <c r="J2120" s="44"/>
      <c r="K2120" s="44">
        <f t="shared" si="72"/>
        <v>16262</v>
      </c>
      <c r="L2120" s="51">
        <v>20240111</v>
      </c>
    </row>
    <row r="2121" spans="1:12" x14ac:dyDescent="0.25">
      <c r="A2121" s="50" t="s">
        <v>3320</v>
      </c>
      <c r="B2121" s="30" t="s">
        <v>11</v>
      </c>
      <c r="C2121" s="30" t="s">
        <v>94</v>
      </c>
      <c r="D2121" s="30" t="s">
        <v>95</v>
      </c>
      <c r="E2121" s="30" t="s">
        <v>2404</v>
      </c>
      <c r="F2121" s="30">
        <v>1</v>
      </c>
      <c r="G2121" s="44">
        <v>16262</v>
      </c>
      <c r="H2121" s="30"/>
      <c r="I2121" s="44"/>
      <c r="J2121" s="44"/>
      <c r="K2121" s="44">
        <f t="shared" si="72"/>
        <v>16262</v>
      </c>
      <c r="L2121" s="51">
        <v>20240115</v>
      </c>
    </row>
    <row r="2122" spans="1:12" x14ac:dyDescent="0.25">
      <c r="A2122" s="50" t="s">
        <v>3317</v>
      </c>
      <c r="B2122" s="30" t="s">
        <v>11</v>
      </c>
      <c r="C2122" s="30" t="s">
        <v>2861</v>
      </c>
      <c r="D2122" s="30" t="s">
        <v>2862</v>
      </c>
      <c r="E2122" s="30" t="s">
        <v>2863</v>
      </c>
      <c r="F2122" s="30">
        <v>1</v>
      </c>
      <c r="G2122" s="44">
        <v>16262</v>
      </c>
      <c r="H2122" s="30"/>
      <c r="I2122" s="44"/>
      <c r="J2122" s="44"/>
      <c r="K2122" s="44">
        <f t="shared" si="72"/>
        <v>16262</v>
      </c>
      <c r="L2122" s="51">
        <v>20240117</v>
      </c>
    </row>
    <row r="2123" spans="1:12" x14ac:dyDescent="0.25">
      <c r="A2123" s="50" t="s">
        <v>3316</v>
      </c>
      <c r="B2123" s="30" t="s">
        <v>11</v>
      </c>
      <c r="C2123" s="30" t="s">
        <v>364</v>
      </c>
      <c r="D2123" s="30" t="s">
        <v>24</v>
      </c>
      <c r="E2123" s="30" t="s">
        <v>1136</v>
      </c>
      <c r="F2123" s="30">
        <v>1</v>
      </c>
      <c r="G2123" s="44">
        <v>16262</v>
      </c>
      <c r="H2123" s="30"/>
      <c r="I2123" s="44"/>
      <c r="J2123" s="44"/>
      <c r="K2123" s="44">
        <f t="shared" si="72"/>
        <v>16262</v>
      </c>
      <c r="L2123" s="51">
        <v>20240118</v>
      </c>
    </row>
    <row r="2124" spans="1:12" x14ac:dyDescent="0.25">
      <c r="A2124" s="50" t="s">
        <v>3326</v>
      </c>
      <c r="B2124" s="30" t="s">
        <v>11</v>
      </c>
      <c r="C2124" s="30" t="s">
        <v>1021</v>
      </c>
      <c r="D2124" s="30" t="s">
        <v>24</v>
      </c>
      <c r="E2124" s="30" t="s">
        <v>1337</v>
      </c>
      <c r="F2124" s="30">
        <v>1</v>
      </c>
      <c r="G2124" s="44">
        <v>16262</v>
      </c>
      <c r="H2124" s="30"/>
      <c r="I2124" s="44"/>
      <c r="J2124" s="44"/>
      <c r="K2124" s="44">
        <f t="shared" si="72"/>
        <v>16262</v>
      </c>
      <c r="L2124" s="51">
        <v>20240118</v>
      </c>
    </row>
    <row r="2125" spans="1:12" x14ac:dyDescent="0.25">
      <c r="A2125" s="50" t="s">
        <v>3313</v>
      </c>
      <c r="B2125" s="30" t="s">
        <v>11</v>
      </c>
      <c r="C2125" s="30" t="s">
        <v>28</v>
      </c>
      <c r="D2125" s="30" t="s">
        <v>1409</v>
      </c>
      <c r="E2125" s="30" t="s">
        <v>1410</v>
      </c>
      <c r="F2125" s="30">
        <v>1</v>
      </c>
      <c r="G2125" s="44">
        <v>16262</v>
      </c>
      <c r="H2125" s="30"/>
      <c r="I2125" s="44"/>
      <c r="J2125" s="44"/>
      <c r="K2125" s="44">
        <f t="shared" si="72"/>
        <v>16262</v>
      </c>
      <c r="L2125" s="51">
        <v>20240119</v>
      </c>
    </row>
    <row r="2126" spans="1:12" x14ac:dyDescent="0.25">
      <c r="A2126" s="52" t="s">
        <v>3315</v>
      </c>
      <c r="B2126" s="32" t="s">
        <v>11</v>
      </c>
      <c r="C2126" s="32" t="s">
        <v>163</v>
      </c>
      <c r="D2126" s="32" t="s">
        <v>164</v>
      </c>
      <c r="E2126" s="32" t="s">
        <v>454</v>
      </c>
      <c r="F2126" s="32">
        <v>1</v>
      </c>
      <c r="G2126" s="45">
        <v>16262</v>
      </c>
      <c r="H2126" s="32">
        <v>126</v>
      </c>
      <c r="I2126" s="45">
        <v>249.8</v>
      </c>
      <c r="J2126" s="45">
        <f>I2126*H2126</f>
        <v>31474.800000000003</v>
      </c>
      <c r="K2126" s="45">
        <f t="shared" si="72"/>
        <v>47736.800000000003</v>
      </c>
      <c r="L2126" s="53">
        <v>20240119</v>
      </c>
    </row>
    <row r="2127" spans="1:12" x14ac:dyDescent="0.25">
      <c r="A2127" s="50" t="s">
        <v>3312</v>
      </c>
      <c r="B2127" s="30" t="s">
        <v>11</v>
      </c>
      <c r="C2127" s="30" t="s">
        <v>26</v>
      </c>
      <c r="D2127" s="30" t="s">
        <v>521</v>
      </c>
      <c r="E2127" s="30" t="s">
        <v>223</v>
      </c>
      <c r="F2127" s="30">
        <v>1</v>
      </c>
      <c r="G2127" s="44">
        <v>16262</v>
      </c>
      <c r="H2127" s="30"/>
      <c r="I2127" s="44"/>
      <c r="J2127" s="44"/>
      <c r="K2127" s="44">
        <f t="shared" si="72"/>
        <v>16262</v>
      </c>
      <c r="L2127" s="51">
        <v>20240122</v>
      </c>
    </row>
    <row r="2128" spans="1:12" x14ac:dyDescent="0.25">
      <c r="A2128" s="50" t="s">
        <v>3321</v>
      </c>
      <c r="B2128" s="30" t="s">
        <v>892</v>
      </c>
      <c r="C2128" s="30" t="s">
        <v>936</v>
      </c>
      <c r="D2128" s="30" t="s">
        <v>937</v>
      </c>
      <c r="E2128" s="30" t="s">
        <v>3322</v>
      </c>
      <c r="F2128" s="30">
        <v>1</v>
      </c>
      <c r="G2128" s="44">
        <v>16262</v>
      </c>
      <c r="H2128" s="30"/>
      <c r="I2128" s="44"/>
      <c r="J2128" s="44"/>
      <c r="K2128" s="44">
        <f t="shared" si="72"/>
        <v>16262</v>
      </c>
      <c r="L2128" s="51">
        <v>20240122</v>
      </c>
    </row>
    <row r="2129" spans="1:12" x14ac:dyDescent="0.25">
      <c r="A2129" s="50" t="s">
        <v>3310</v>
      </c>
      <c r="B2129" s="30" t="s">
        <v>11</v>
      </c>
      <c r="C2129" s="30" t="s">
        <v>94</v>
      </c>
      <c r="D2129" s="30" t="s">
        <v>95</v>
      </c>
      <c r="E2129" s="30" t="s">
        <v>2583</v>
      </c>
      <c r="F2129" s="30">
        <v>1</v>
      </c>
      <c r="G2129" s="44">
        <v>16262</v>
      </c>
      <c r="H2129" s="30"/>
      <c r="I2129" s="44"/>
      <c r="J2129" s="44"/>
      <c r="K2129" s="44">
        <f t="shared" si="72"/>
        <v>16262</v>
      </c>
      <c r="L2129" s="51">
        <v>20240124</v>
      </c>
    </row>
    <row r="2130" spans="1:12" x14ac:dyDescent="0.25">
      <c r="A2130" s="50" t="s">
        <v>3311</v>
      </c>
      <c r="B2130" s="30" t="s">
        <v>11</v>
      </c>
      <c r="C2130" s="30" t="s">
        <v>94</v>
      </c>
      <c r="D2130" s="30" t="s">
        <v>95</v>
      </c>
      <c r="E2130" s="30" t="s">
        <v>2674</v>
      </c>
      <c r="F2130" s="30">
        <v>1</v>
      </c>
      <c r="G2130" s="44">
        <v>16262</v>
      </c>
      <c r="H2130" s="30"/>
      <c r="I2130" s="44"/>
      <c r="J2130" s="44"/>
      <c r="K2130" s="44">
        <f t="shared" si="72"/>
        <v>16262</v>
      </c>
      <c r="L2130" s="51">
        <v>20240124</v>
      </c>
    </row>
    <row r="2131" spans="1:12" x14ac:dyDescent="0.25">
      <c r="A2131" s="50" t="s">
        <v>3314</v>
      </c>
      <c r="B2131" s="30" t="s">
        <v>11</v>
      </c>
      <c r="C2131" s="30" t="s">
        <v>94</v>
      </c>
      <c r="D2131" s="30" t="s">
        <v>95</v>
      </c>
      <c r="E2131" s="30" t="s">
        <v>2404</v>
      </c>
      <c r="F2131" s="30">
        <v>1</v>
      </c>
      <c r="G2131" s="44">
        <v>16262</v>
      </c>
      <c r="H2131" s="30"/>
      <c r="I2131" s="44"/>
      <c r="J2131" s="44"/>
      <c r="K2131" s="44">
        <f t="shared" si="72"/>
        <v>16262</v>
      </c>
      <c r="L2131" s="51">
        <v>20240124</v>
      </c>
    </row>
    <row r="2132" spans="1:12" x14ac:dyDescent="0.25">
      <c r="A2132" s="50" t="s">
        <v>3318</v>
      </c>
      <c r="B2132" s="30" t="s">
        <v>11</v>
      </c>
      <c r="C2132" s="30" t="s">
        <v>94</v>
      </c>
      <c r="D2132" s="30" t="s">
        <v>95</v>
      </c>
      <c r="E2132" s="30" t="s">
        <v>3319</v>
      </c>
      <c r="F2132" s="30">
        <v>1</v>
      </c>
      <c r="G2132" s="44">
        <v>16262</v>
      </c>
      <c r="H2132" s="30"/>
      <c r="I2132" s="44"/>
      <c r="J2132" s="44"/>
      <c r="K2132" s="44">
        <f t="shared" si="72"/>
        <v>16262</v>
      </c>
      <c r="L2132" s="51">
        <v>20240124</v>
      </c>
    </row>
    <row r="2133" spans="1:12" x14ac:dyDescent="0.25">
      <c r="A2133" s="50" t="s">
        <v>3306</v>
      </c>
      <c r="B2133" s="30" t="s">
        <v>11</v>
      </c>
      <c r="C2133" s="30" t="s">
        <v>172</v>
      </c>
      <c r="D2133" s="30" t="s">
        <v>703</v>
      </c>
      <c r="E2133" s="30" t="s">
        <v>706</v>
      </c>
      <c r="F2133" s="30">
        <v>1</v>
      </c>
      <c r="G2133" s="44">
        <v>16262</v>
      </c>
      <c r="H2133" s="30"/>
      <c r="I2133" s="44"/>
      <c r="J2133" s="44"/>
      <c r="K2133" s="44">
        <f t="shared" si="72"/>
        <v>16262</v>
      </c>
      <c r="L2133" s="51">
        <v>20240129</v>
      </c>
    </row>
    <row r="2134" spans="1:12" x14ac:dyDescent="0.25">
      <c r="A2134" s="50" t="s">
        <v>3307</v>
      </c>
      <c r="B2134" s="30" t="s">
        <v>11</v>
      </c>
      <c r="C2134" s="30" t="s">
        <v>28</v>
      </c>
      <c r="D2134" s="30" t="s">
        <v>1409</v>
      </c>
      <c r="E2134" s="30" t="s">
        <v>1410</v>
      </c>
      <c r="F2134" s="30">
        <v>1</v>
      </c>
      <c r="G2134" s="44">
        <v>16262</v>
      </c>
      <c r="H2134" s="30"/>
      <c r="I2134" s="44"/>
      <c r="J2134" s="44"/>
      <c r="K2134" s="44">
        <f t="shared" si="72"/>
        <v>16262</v>
      </c>
      <c r="L2134" s="51">
        <v>20240129</v>
      </c>
    </row>
    <row r="2135" spans="1:12" x14ac:dyDescent="0.25">
      <c r="A2135" s="50" t="s">
        <v>3323</v>
      </c>
      <c r="B2135" s="30" t="s">
        <v>1209</v>
      </c>
      <c r="C2135" s="30" t="s">
        <v>666</v>
      </c>
      <c r="D2135" s="30" t="s">
        <v>3324</v>
      </c>
      <c r="E2135" s="30" t="s">
        <v>3325</v>
      </c>
      <c r="F2135" s="30">
        <v>1</v>
      </c>
      <c r="G2135" s="44">
        <v>16262</v>
      </c>
      <c r="H2135" s="30"/>
      <c r="I2135" s="44"/>
      <c r="J2135" s="44"/>
      <c r="K2135" s="44">
        <f t="shared" si="72"/>
        <v>16262</v>
      </c>
      <c r="L2135" s="51">
        <v>20240130</v>
      </c>
    </row>
    <row r="2136" spans="1:12" x14ac:dyDescent="0.25">
      <c r="A2136" s="50" t="s">
        <v>3301</v>
      </c>
      <c r="B2136" s="30" t="s">
        <v>11</v>
      </c>
      <c r="C2136" s="30" t="s">
        <v>94</v>
      </c>
      <c r="D2136" s="30" t="s">
        <v>95</v>
      </c>
      <c r="E2136" s="30" t="s">
        <v>458</v>
      </c>
      <c r="F2136" s="30">
        <v>1</v>
      </c>
      <c r="G2136" s="44">
        <v>16262</v>
      </c>
      <c r="H2136" s="30"/>
      <c r="I2136" s="44"/>
      <c r="J2136" s="44"/>
      <c r="K2136" s="44">
        <f t="shared" si="72"/>
        <v>16262</v>
      </c>
      <c r="L2136" s="51">
        <v>20240131</v>
      </c>
    </row>
    <row r="2137" spans="1:12" x14ac:dyDescent="0.25">
      <c r="A2137" s="50" t="s">
        <v>3302</v>
      </c>
      <c r="B2137" s="30" t="s">
        <v>11</v>
      </c>
      <c r="C2137" s="30" t="s">
        <v>94</v>
      </c>
      <c r="D2137" s="30" t="s">
        <v>95</v>
      </c>
      <c r="E2137" s="30" t="s">
        <v>1083</v>
      </c>
      <c r="F2137" s="30">
        <v>1</v>
      </c>
      <c r="G2137" s="44">
        <v>16262</v>
      </c>
      <c r="H2137" s="30"/>
      <c r="I2137" s="44"/>
      <c r="J2137" s="44"/>
      <c r="K2137" s="44">
        <f t="shared" si="72"/>
        <v>16262</v>
      </c>
      <c r="L2137" s="51">
        <v>20240131</v>
      </c>
    </row>
    <row r="2138" spans="1:12" x14ac:dyDescent="0.25">
      <c r="A2138" s="50" t="s">
        <v>3303</v>
      </c>
      <c r="B2138" s="30" t="s">
        <v>11</v>
      </c>
      <c r="C2138" s="30" t="s">
        <v>94</v>
      </c>
      <c r="D2138" s="30" t="s">
        <v>95</v>
      </c>
      <c r="E2138" s="30" t="s">
        <v>2855</v>
      </c>
      <c r="F2138" s="30">
        <v>1</v>
      </c>
      <c r="G2138" s="44">
        <v>16262</v>
      </c>
      <c r="H2138" s="30"/>
      <c r="I2138" s="44"/>
      <c r="J2138" s="44"/>
      <c r="K2138" s="44">
        <f t="shared" si="72"/>
        <v>16262</v>
      </c>
      <c r="L2138" s="51">
        <v>20240131</v>
      </c>
    </row>
    <row r="2139" spans="1:12" x14ac:dyDescent="0.25">
      <c r="A2139" s="52" t="s">
        <v>3304</v>
      </c>
      <c r="B2139" s="32" t="s">
        <v>11</v>
      </c>
      <c r="C2139" s="32" t="s">
        <v>45</v>
      </c>
      <c r="D2139" s="32" t="s">
        <v>46</v>
      </c>
      <c r="E2139" s="32" t="s">
        <v>80</v>
      </c>
      <c r="F2139" s="32">
        <v>1</v>
      </c>
      <c r="G2139" s="45">
        <v>16262</v>
      </c>
      <c r="H2139" s="32">
        <v>71</v>
      </c>
      <c r="I2139" s="45">
        <v>249.8</v>
      </c>
      <c r="J2139" s="45">
        <f>I2139*H2139</f>
        <v>17735.8</v>
      </c>
      <c r="K2139" s="45">
        <f t="shared" si="72"/>
        <v>33997.800000000003</v>
      </c>
      <c r="L2139" s="53">
        <v>20240131</v>
      </c>
    </row>
    <row r="2140" spans="1:12" ht="15.75" thickBot="1" x14ac:dyDescent="0.3">
      <c r="A2140" s="54" t="s">
        <v>3305</v>
      </c>
      <c r="B2140" s="36" t="s">
        <v>11</v>
      </c>
      <c r="C2140" s="36" t="s">
        <v>94</v>
      </c>
      <c r="D2140" s="36" t="s">
        <v>95</v>
      </c>
      <c r="E2140" s="36" t="s">
        <v>436</v>
      </c>
      <c r="F2140" s="36">
        <v>1</v>
      </c>
      <c r="G2140" s="65">
        <v>16262</v>
      </c>
      <c r="H2140" s="36"/>
      <c r="I2140" s="65"/>
      <c r="J2140" s="65"/>
      <c r="K2140" s="65">
        <f t="shared" si="72"/>
        <v>16262</v>
      </c>
      <c r="L2140" s="55">
        <v>20240131</v>
      </c>
    </row>
    <row r="2141" spans="1:12" x14ac:dyDescent="0.25">
      <c r="A2141" s="73"/>
      <c r="B2141" s="74"/>
      <c r="C2141" s="74"/>
      <c r="D2141" s="74"/>
      <c r="E2141" s="74"/>
      <c r="F2141" s="74"/>
      <c r="G2141" s="75"/>
      <c r="H2141" s="74"/>
      <c r="I2141" s="75"/>
      <c r="J2141" s="75"/>
      <c r="K2141" s="75"/>
      <c r="L2141" s="76"/>
    </row>
    <row r="2142" spans="1:12" ht="15.75" thickBot="1" x14ac:dyDescent="0.3">
      <c r="A2142" s="69"/>
      <c r="B2142" s="70"/>
      <c r="C2142" s="70"/>
      <c r="D2142" s="70"/>
      <c r="E2142" s="70"/>
      <c r="F2142" s="70"/>
      <c r="G2142" s="71"/>
      <c r="H2142" s="70"/>
      <c r="I2142" s="71"/>
      <c r="J2142" s="71"/>
      <c r="K2142" s="71"/>
      <c r="L2142" s="72"/>
    </row>
    <row r="2143" spans="1:12" x14ac:dyDescent="0.25">
      <c r="A2143" s="48" t="s">
        <v>3345</v>
      </c>
      <c r="B2143" s="34" t="s">
        <v>137</v>
      </c>
      <c r="C2143" s="34" t="s">
        <v>57</v>
      </c>
      <c r="D2143" s="34" t="s">
        <v>58</v>
      </c>
      <c r="E2143" s="34" t="s">
        <v>60</v>
      </c>
      <c r="F2143" s="34">
        <v>1</v>
      </c>
      <c r="G2143" s="64">
        <v>8132</v>
      </c>
      <c r="H2143" s="34"/>
      <c r="I2143" s="64"/>
      <c r="J2143" s="64"/>
      <c r="K2143" s="64">
        <f t="shared" ref="K2143:K2164" si="73">J2143+G2143</f>
        <v>8132</v>
      </c>
      <c r="L2143" s="49">
        <v>20240103</v>
      </c>
    </row>
    <row r="2144" spans="1:12" x14ac:dyDescent="0.25">
      <c r="A2144" s="50" t="s">
        <v>3346</v>
      </c>
      <c r="B2144" s="30" t="s">
        <v>137</v>
      </c>
      <c r="C2144" s="30" t="s">
        <v>57</v>
      </c>
      <c r="D2144" s="30" t="s">
        <v>58</v>
      </c>
      <c r="E2144" s="30" t="s">
        <v>331</v>
      </c>
      <c r="F2144" s="30">
        <v>1</v>
      </c>
      <c r="G2144" s="44">
        <v>8132</v>
      </c>
      <c r="H2144" s="30"/>
      <c r="I2144" s="44"/>
      <c r="J2144" s="44"/>
      <c r="K2144" s="44">
        <f t="shared" si="73"/>
        <v>8132</v>
      </c>
      <c r="L2144" s="51">
        <v>20240103</v>
      </c>
    </row>
    <row r="2145" spans="1:12" x14ac:dyDescent="0.25">
      <c r="A2145" s="50" t="s">
        <v>3347</v>
      </c>
      <c r="B2145" s="30" t="s">
        <v>137</v>
      </c>
      <c r="C2145" s="30" t="s">
        <v>57</v>
      </c>
      <c r="D2145" s="30" t="s">
        <v>58</v>
      </c>
      <c r="E2145" s="30" t="s">
        <v>399</v>
      </c>
      <c r="F2145" s="30">
        <v>1</v>
      </c>
      <c r="G2145" s="44">
        <v>8132</v>
      </c>
      <c r="H2145" s="30"/>
      <c r="I2145" s="44"/>
      <c r="J2145" s="44"/>
      <c r="K2145" s="44">
        <f t="shared" si="73"/>
        <v>8132</v>
      </c>
      <c r="L2145" s="51">
        <v>20240103</v>
      </c>
    </row>
    <row r="2146" spans="1:12" x14ac:dyDescent="0.25">
      <c r="A2146" s="50" t="s">
        <v>3348</v>
      </c>
      <c r="B2146" s="30" t="s">
        <v>137</v>
      </c>
      <c r="C2146" s="30" t="s">
        <v>57</v>
      </c>
      <c r="D2146" s="30" t="s">
        <v>58</v>
      </c>
      <c r="E2146" s="30" t="s">
        <v>329</v>
      </c>
      <c r="F2146" s="30">
        <v>1</v>
      </c>
      <c r="G2146" s="44">
        <v>8132</v>
      </c>
      <c r="H2146" s="30"/>
      <c r="I2146" s="44"/>
      <c r="J2146" s="44"/>
      <c r="K2146" s="44">
        <f t="shared" si="73"/>
        <v>8132</v>
      </c>
      <c r="L2146" s="51">
        <v>20240103</v>
      </c>
    </row>
    <row r="2147" spans="1:12" x14ac:dyDescent="0.25">
      <c r="A2147" s="50" t="s">
        <v>3349</v>
      </c>
      <c r="B2147" s="30" t="s">
        <v>137</v>
      </c>
      <c r="C2147" s="30" t="s">
        <v>57</v>
      </c>
      <c r="D2147" s="30" t="s">
        <v>58</v>
      </c>
      <c r="E2147" s="30" t="s">
        <v>59</v>
      </c>
      <c r="F2147" s="30">
        <v>1</v>
      </c>
      <c r="G2147" s="44">
        <v>8132</v>
      </c>
      <c r="H2147" s="30"/>
      <c r="I2147" s="44"/>
      <c r="J2147" s="44"/>
      <c r="K2147" s="44">
        <f t="shared" si="73"/>
        <v>8132</v>
      </c>
      <c r="L2147" s="51">
        <v>20240103</v>
      </c>
    </row>
    <row r="2148" spans="1:12" x14ac:dyDescent="0.25">
      <c r="A2148" s="50" t="s">
        <v>3350</v>
      </c>
      <c r="B2148" s="30" t="s">
        <v>137</v>
      </c>
      <c r="C2148" s="30" t="s">
        <v>57</v>
      </c>
      <c r="D2148" s="30" t="s">
        <v>58</v>
      </c>
      <c r="E2148" s="30" t="s">
        <v>62</v>
      </c>
      <c r="F2148" s="30">
        <v>1</v>
      </c>
      <c r="G2148" s="44">
        <v>8132</v>
      </c>
      <c r="H2148" s="30"/>
      <c r="I2148" s="44"/>
      <c r="J2148" s="44"/>
      <c r="K2148" s="44">
        <f t="shared" si="73"/>
        <v>8132</v>
      </c>
      <c r="L2148" s="51">
        <v>20240103</v>
      </c>
    </row>
    <row r="2149" spans="1:12" x14ac:dyDescent="0.25">
      <c r="A2149" s="50" t="s">
        <v>3327</v>
      </c>
      <c r="B2149" s="30" t="s">
        <v>137</v>
      </c>
      <c r="C2149" s="30" t="s">
        <v>29</v>
      </c>
      <c r="D2149" s="30" t="s">
        <v>24</v>
      </c>
      <c r="E2149" s="30" t="s">
        <v>1003</v>
      </c>
      <c r="F2149" s="30">
        <v>1</v>
      </c>
      <c r="G2149" s="44">
        <v>8132</v>
      </c>
      <c r="H2149" s="30"/>
      <c r="I2149" s="44"/>
      <c r="J2149" s="44"/>
      <c r="K2149" s="44">
        <f t="shared" si="73"/>
        <v>8132</v>
      </c>
      <c r="L2149" s="51">
        <v>20240109</v>
      </c>
    </row>
    <row r="2150" spans="1:12" x14ac:dyDescent="0.25">
      <c r="A2150" s="50" t="s">
        <v>3328</v>
      </c>
      <c r="B2150" s="30" t="s">
        <v>137</v>
      </c>
      <c r="C2150" s="30" t="s">
        <v>29</v>
      </c>
      <c r="D2150" s="30" t="s">
        <v>1385</v>
      </c>
      <c r="E2150" s="30" t="s">
        <v>628</v>
      </c>
      <c r="F2150" s="30">
        <v>1</v>
      </c>
      <c r="G2150" s="44">
        <v>8132</v>
      </c>
      <c r="H2150" s="30"/>
      <c r="I2150" s="44"/>
      <c r="J2150" s="44"/>
      <c r="K2150" s="44">
        <f t="shared" si="73"/>
        <v>8132</v>
      </c>
      <c r="L2150" s="51">
        <v>20240109</v>
      </c>
    </row>
    <row r="2151" spans="1:12" x14ac:dyDescent="0.25">
      <c r="A2151" s="50" t="s">
        <v>3329</v>
      </c>
      <c r="B2151" s="30" t="s">
        <v>137</v>
      </c>
      <c r="C2151" s="30" t="s">
        <v>29</v>
      </c>
      <c r="D2151" s="30" t="s">
        <v>1385</v>
      </c>
      <c r="E2151" s="30" t="s">
        <v>630</v>
      </c>
      <c r="F2151" s="30">
        <v>1</v>
      </c>
      <c r="G2151" s="44">
        <v>8132</v>
      </c>
      <c r="H2151" s="30"/>
      <c r="I2151" s="44"/>
      <c r="J2151" s="44"/>
      <c r="K2151" s="44">
        <f t="shared" si="73"/>
        <v>8132</v>
      </c>
      <c r="L2151" s="51">
        <v>20240109</v>
      </c>
    </row>
    <row r="2152" spans="1:12" x14ac:dyDescent="0.25">
      <c r="A2152" s="50" t="s">
        <v>3330</v>
      </c>
      <c r="B2152" s="30" t="s">
        <v>137</v>
      </c>
      <c r="C2152" s="30" t="s">
        <v>29</v>
      </c>
      <c r="D2152" s="30" t="s">
        <v>1385</v>
      </c>
      <c r="E2152" s="30" t="s">
        <v>210</v>
      </c>
      <c r="F2152" s="30">
        <v>1</v>
      </c>
      <c r="G2152" s="44">
        <v>8132</v>
      </c>
      <c r="H2152" s="30"/>
      <c r="I2152" s="44"/>
      <c r="J2152" s="44"/>
      <c r="K2152" s="44">
        <f t="shared" si="73"/>
        <v>8132</v>
      </c>
      <c r="L2152" s="51">
        <v>20240109</v>
      </c>
    </row>
    <row r="2153" spans="1:12" x14ac:dyDescent="0.25">
      <c r="A2153" s="50" t="s">
        <v>3331</v>
      </c>
      <c r="B2153" s="30" t="s">
        <v>137</v>
      </c>
      <c r="C2153" s="30" t="s">
        <v>29</v>
      </c>
      <c r="D2153" s="30" t="s">
        <v>1385</v>
      </c>
      <c r="E2153" s="30" t="s">
        <v>209</v>
      </c>
      <c r="F2153" s="30">
        <v>1</v>
      </c>
      <c r="G2153" s="44">
        <v>8132</v>
      </c>
      <c r="H2153" s="30"/>
      <c r="I2153" s="44"/>
      <c r="J2153" s="44"/>
      <c r="K2153" s="44">
        <f t="shared" si="73"/>
        <v>8132</v>
      </c>
      <c r="L2153" s="51">
        <v>20240109</v>
      </c>
    </row>
    <row r="2154" spans="1:12" x14ac:dyDescent="0.25">
      <c r="A2154" s="50" t="s">
        <v>3332</v>
      </c>
      <c r="B2154" s="30" t="s">
        <v>137</v>
      </c>
      <c r="C2154" s="30" t="s">
        <v>29</v>
      </c>
      <c r="D2154" s="30" t="s">
        <v>1385</v>
      </c>
      <c r="E2154" s="30" t="s">
        <v>1386</v>
      </c>
      <c r="F2154" s="30">
        <v>1</v>
      </c>
      <c r="G2154" s="44">
        <v>8132</v>
      </c>
      <c r="H2154" s="30"/>
      <c r="I2154" s="44"/>
      <c r="J2154" s="44"/>
      <c r="K2154" s="44">
        <f t="shared" si="73"/>
        <v>8132</v>
      </c>
      <c r="L2154" s="51">
        <v>20240109</v>
      </c>
    </row>
    <row r="2155" spans="1:12" x14ac:dyDescent="0.25">
      <c r="A2155" s="50" t="s">
        <v>3333</v>
      </c>
      <c r="B2155" s="30" t="s">
        <v>137</v>
      </c>
      <c r="C2155" s="30" t="s">
        <v>29</v>
      </c>
      <c r="D2155" s="30" t="s">
        <v>1385</v>
      </c>
      <c r="E2155" s="30" t="s">
        <v>1127</v>
      </c>
      <c r="F2155" s="30">
        <v>1</v>
      </c>
      <c r="G2155" s="44">
        <v>8132</v>
      </c>
      <c r="H2155" s="30"/>
      <c r="I2155" s="44"/>
      <c r="J2155" s="44"/>
      <c r="K2155" s="44">
        <f t="shared" si="73"/>
        <v>8132</v>
      </c>
      <c r="L2155" s="51">
        <v>20240109</v>
      </c>
    </row>
    <row r="2156" spans="1:12" x14ac:dyDescent="0.25">
      <c r="A2156" s="50" t="s">
        <v>3334</v>
      </c>
      <c r="B2156" s="30" t="s">
        <v>137</v>
      </c>
      <c r="C2156" s="30" t="s">
        <v>29</v>
      </c>
      <c r="D2156" s="30" t="s">
        <v>1385</v>
      </c>
      <c r="E2156" s="30" t="s">
        <v>3335</v>
      </c>
      <c r="F2156" s="30">
        <v>1</v>
      </c>
      <c r="G2156" s="44">
        <v>8132</v>
      </c>
      <c r="H2156" s="30"/>
      <c r="I2156" s="44"/>
      <c r="J2156" s="44"/>
      <c r="K2156" s="44">
        <f t="shared" si="73"/>
        <v>8132</v>
      </c>
      <c r="L2156" s="51">
        <v>20240109</v>
      </c>
    </row>
    <row r="2157" spans="1:12" x14ac:dyDescent="0.25">
      <c r="A2157" s="50" t="s">
        <v>3359</v>
      </c>
      <c r="B2157" s="30" t="s">
        <v>137</v>
      </c>
      <c r="C2157" s="30" t="s">
        <v>29</v>
      </c>
      <c r="D2157" s="30" t="s">
        <v>1385</v>
      </c>
      <c r="E2157" s="30" t="s">
        <v>2101</v>
      </c>
      <c r="F2157" s="30">
        <v>1</v>
      </c>
      <c r="G2157" s="44">
        <v>8132</v>
      </c>
      <c r="H2157" s="30"/>
      <c r="I2157" s="44"/>
      <c r="J2157" s="44"/>
      <c r="K2157" s="44">
        <f t="shared" si="73"/>
        <v>8132</v>
      </c>
      <c r="L2157" s="51">
        <v>20240109</v>
      </c>
    </row>
    <row r="2158" spans="1:12" x14ac:dyDescent="0.25">
      <c r="A2158" s="50" t="s">
        <v>3360</v>
      </c>
      <c r="B2158" s="30" t="s">
        <v>137</v>
      </c>
      <c r="C2158" s="30" t="s">
        <v>29</v>
      </c>
      <c r="D2158" s="30" t="s">
        <v>1385</v>
      </c>
      <c r="E2158" s="30" t="s">
        <v>1320</v>
      </c>
      <c r="F2158" s="30">
        <v>1</v>
      </c>
      <c r="G2158" s="44">
        <v>8132</v>
      </c>
      <c r="H2158" s="30"/>
      <c r="I2158" s="44"/>
      <c r="J2158" s="44"/>
      <c r="K2158" s="44">
        <f t="shared" si="73"/>
        <v>8132</v>
      </c>
      <c r="L2158" s="51">
        <v>20240109</v>
      </c>
    </row>
    <row r="2159" spans="1:12" x14ac:dyDescent="0.25">
      <c r="A2159" s="50" t="s">
        <v>3308</v>
      </c>
      <c r="B2159" s="30" t="s">
        <v>137</v>
      </c>
      <c r="C2159" s="30" t="s">
        <v>26</v>
      </c>
      <c r="D2159" s="30" t="s">
        <v>521</v>
      </c>
      <c r="E2159" s="30" t="s">
        <v>524</v>
      </c>
      <c r="F2159" s="30">
        <v>1</v>
      </c>
      <c r="G2159" s="44">
        <v>8132</v>
      </c>
      <c r="H2159" s="30"/>
      <c r="I2159" s="44"/>
      <c r="J2159" s="44"/>
      <c r="K2159" s="44">
        <f t="shared" si="73"/>
        <v>8132</v>
      </c>
      <c r="L2159" s="51">
        <v>20240122</v>
      </c>
    </row>
    <row r="2160" spans="1:12" x14ac:dyDescent="0.25">
      <c r="A2160" s="50" t="s">
        <v>3309</v>
      </c>
      <c r="B2160" s="30" t="s">
        <v>137</v>
      </c>
      <c r="C2160" s="30" t="s">
        <v>26</v>
      </c>
      <c r="D2160" s="30" t="s">
        <v>521</v>
      </c>
      <c r="E2160" s="30" t="s">
        <v>526</v>
      </c>
      <c r="F2160" s="30">
        <v>1</v>
      </c>
      <c r="G2160" s="44">
        <v>8132</v>
      </c>
      <c r="H2160" s="30"/>
      <c r="I2160" s="44"/>
      <c r="J2160" s="44"/>
      <c r="K2160" s="44">
        <f t="shared" si="73"/>
        <v>8132</v>
      </c>
      <c r="L2160" s="51">
        <v>20240122</v>
      </c>
    </row>
    <row r="2161" spans="1:12" x14ac:dyDescent="0.25">
      <c r="A2161" s="50" t="s">
        <v>3336</v>
      </c>
      <c r="B2161" s="30" t="s">
        <v>137</v>
      </c>
      <c r="C2161" s="30" t="s">
        <v>29</v>
      </c>
      <c r="D2161" s="30" t="s">
        <v>24</v>
      </c>
      <c r="E2161" s="30" t="s">
        <v>2051</v>
      </c>
      <c r="F2161" s="30">
        <v>1</v>
      </c>
      <c r="G2161" s="44">
        <v>8132</v>
      </c>
      <c r="H2161" s="30"/>
      <c r="I2161" s="44"/>
      <c r="J2161" s="44"/>
      <c r="K2161" s="44">
        <f t="shared" si="73"/>
        <v>8132</v>
      </c>
      <c r="L2161" s="51">
        <v>20240129</v>
      </c>
    </row>
    <row r="2162" spans="1:12" x14ac:dyDescent="0.25">
      <c r="A2162" s="50" t="s">
        <v>3337</v>
      </c>
      <c r="B2162" s="30" t="s">
        <v>137</v>
      </c>
      <c r="C2162" s="30" t="s">
        <v>29</v>
      </c>
      <c r="D2162" s="30" t="s">
        <v>24</v>
      </c>
      <c r="E2162" s="30" t="s">
        <v>208</v>
      </c>
      <c r="F2162" s="30">
        <v>1</v>
      </c>
      <c r="G2162" s="44">
        <v>8132</v>
      </c>
      <c r="H2162" s="30"/>
      <c r="I2162" s="44"/>
      <c r="J2162" s="44"/>
      <c r="K2162" s="44">
        <f t="shared" si="73"/>
        <v>8132</v>
      </c>
      <c r="L2162" s="51">
        <v>20240129</v>
      </c>
    </row>
    <row r="2163" spans="1:12" x14ac:dyDescent="0.25">
      <c r="A2163" s="50" t="s">
        <v>3338</v>
      </c>
      <c r="B2163" s="30" t="s">
        <v>137</v>
      </c>
      <c r="C2163" s="30" t="s">
        <v>29</v>
      </c>
      <c r="D2163" s="30" t="s">
        <v>24</v>
      </c>
      <c r="E2163" s="30" t="s">
        <v>632</v>
      </c>
      <c r="F2163" s="30">
        <v>1</v>
      </c>
      <c r="G2163" s="44">
        <v>8132</v>
      </c>
      <c r="H2163" s="30"/>
      <c r="I2163" s="44"/>
      <c r="J2163" s="44"/>
      <c r="K2163" s="44">
        <f t="shared" si="73"/>
        <v>8132</v>
      </c>
      <c r="L2163" s="51">
        <v>20240129</v>
      </c>
    </row>
    <row r="2164" spans="1:12" ht="15.75" thickBot="1" x14ac:dyDescent="0.3">
      <c r="A2164" s="54" t="s">
        <v>3339</v>
      </c>
      <c r="B2164" s="36" t="s">
        <v>137</v>
      </c>
      <c r="C2164" s="36" t="s">
        <v>29</v>
      </c>
      <c r="D2164" s="36" t="s">
        <v>24</v>
      </c>
      <c r="E2164" s="36" t="s">
        <v>1497</v>
      </c>
      <c r="F2164" s="36">
        <v>1</v>
      </c>
      <c r="G2164" s="65">
        <v>8132</v>
      </c>
      <c r="H2164" s="36"/>
      <c r="I2164" s="65"/>
      <c r="J2164" s="65"/>
      <c r="K2164" s="65">
        <f t="shared" si="73"/>
        <v>8132</v>
      </c>
      <c r="L2164" s="55">
        <v>20240129</v>
      </c>
    </row>
    <row r="2166" spans="1:12" ht="15.75" thickBot="1" x14ac:dyDescent="0.3">
      <c r="A2166" s="69" t="s">
        <v>0</v>
      </c>
      <c r="B2166" s="70" t="s">
        <v>1</v>
      </c>
      <c r="C2166" s="70" t="s">
        <v>2</v>
      </c>
      <c r="D2166" s="70" t="s">
        <v>3</v>
      </c>
      <c r="E2166" s="70" t="s">
        <v>4</v>
      </c>
      <c r="F2166" s="70"/>
      <c r="G2166" s="71" t="s">
        <v>6</v>
      </c>
      <c r="H2166" s="70" t="s">
        <v>7</v>
      </c>
      <c r="I2166" s="71" t="s">
        <v>8</v>
      </c>
      <c r="J2166" s="71" t="s">
        <v>9</v>
      </c>
      <c r="K2166" s="71" t="s">
        <v>10</v>
      </c>
      <c r="L2166" s="72" t="s">
        <v>5</v>
      </c>
    </row>
    <row r="2167" spans="1:12" x14ac:dyDescent="0.25">
      <c r="A2167" s="48" t="s">
        <v>3388</v>
      </c>
      <c r="B2167" s="34" t="s">
        <v>11</v>
      </c>
      <c r="C2167" s="34" t="s">
        <v>770</v>
      </c>
      <c r="D2167" s="34" t="s">
        <v>2764</v>
      </c>
      <c r="E2167" s="34" t="s">
        <v>3389</v>
      </c>
      <c r="F2167" s="34">
        <v>1</v>
      </c>
      <c r="G2167" s="64">
        <v>20393</v>
      </c>
      <c r="H2167" s="34"/>
      <c r="I2167" s="64"/>
      <c r="J2167" s="64"/>
      <c r="K2167" s="64">
        <f t="shared" ref="K2167:K2184" si="74">J2167+G2167</f>
        <v>20393</v>
      </c>
      <c r="L2167" s="49">
        <v>20240201</v>
      </c>
    </row>
    <row r="2168" spans="1:12" x14ac:dyDescent="0.25">
      <c r="A2168" s="50" t="s">
        <v>3390</v>
      </c>
      <c r="B2168" s="30" t="s">
        <v>11</v>
      </c>
      <c r="C2168" s="30" t="s">
        <v>28</v>
      </c>
      <c r="D2168" s="30" t="s">
        <v>412</v>
      </c>
      <c r="E2168" s="30" t="s">
        <v>413</v>
      </c>
      <c r="F2168" s="30">
        <v>1</v>
      </c>
      <c r="G2168" s="44">
        <v>20393</v>
      </c>
      <c r="H2168" s="30"/>
      <c r="I2168" s="44"/>
      <c r="J2168" s="44"/>
      <c r="K2168" s="44">
        <f t="shared" si="74"/>
        <v>20393</v>
      </c>
      <c r="L2168" s="51">
        <v>20240201</v>
      </c>
    </row>
    <row r="2169" spans="1:12" x14ac:dyDescent="0.25">
      <c r="A2169" s="50" t="s">
        <v>3391</v>
      </c>
      <c r="B2169" s="30" t="s">
        <v>11</v>
      </c>
      <c r="C2169" s="30" t="s">
        <v>28</v>
      </c>
      <c r="D2169" s="30" t="s">
        <v>753</v>
      </c>
      <c r="E2169" s="30" t="s">
        <v>2637</v>
      </c>
      <c r="F2169" s="30">
        <v>1</v>
      </c>
      <c r="G2169" s="44">
        <v>20393</v>
      </c>
      <c r="H2169" s="30"/>
      <c r="I2169" s="44"/>
      <c r="J2169" s="44"/>
      <c r="K2169" s="44">
        <f t="shared" si="74"/>
        <v>20393</v>
      </c>
      <c r="L2169" s="51">
        <v>20240201</v>
      </c>
    </row>
    <row r="2170" spans="1:12" x14ac:dyDescent="0.25">
      <c r="A2170" s="52" t="s">
        <v>3395</v>
      </c>
      <c r="B2170" s="32" t="s">
        <v>11</v>
      </c>
      <c r="C2170" s="32" t="s">
        <v>163</v>
      </c>
      <c r="D2170" s="32" t="s">
        <v>164</v>
      </c>
      <c r="E2170" s="32" t="s">
        <v>212</v>
      </c>
      <c r="F2170" s="32">
        <v>1</v>
      </c>
      <c r="G2170" s="45">
        <v>20393</v>
      </c>
      <c r="H2170" s="32">
        <v>126</v>
      </c>
      <c r="I2170" s="45">
        <v>294.3</v>
      </c>
      <c r="J2170" s="45">
        <f>I2170*H2170</f>
        <v>37081.800000000003</v>
      </c>
      <c r="K2170" s="45">
        <f t="shared" si="74"/>
        <v>57474.8</v>
      </c>
      <c r="L2170" s="53">
        <v>20240202</v>
      </c>
    </row>
    <row r="2171" spans="1:12" x14ac:dyDescent="0.25">
      <c r="A2171" s="50" t="s">
        <v>3392</v>
      </c>
      <c r="B2171" s="30" t="s">
        <v>11</v>
      </c>
      <c r="C2171" s="30" t="s">
        <v>28</v>
      </c>
      <c r="D2171" s="30" t="s">
        <v>3393</v>
      </c>
      <c r="E2171" s="30" t="s">
        <v>3394</v>
      </c>
      <c r="F2171" s="30">
        <v>1</v>
      </c>
      <c r="G2171" s="44">
        <v>20393</v>
      </c>
      <c r="H2171" s="30"/>
      <c r="I2171" s="44"/>
      <c r="J2171" s="44"/>
      <c r="K2171" s="44">
        <f t="shared" si="74"/>
        <v>20393</v>
      </c>
      <c r="L2171" s="51">
        <v>20240204</v>
      </c>
    </row>
    <row r="2172" spans="1:12" x14ac:dyDescent="0.25">
      <c r="A2172" s="50" t="s">
        <v>3386</v>
      </c>
      <c r="B2172" s="30" t="s">
        <v>11</v>
      </c>
      <c r="C2172" s="30" t="s">
        <v>936</v>
      </c>
      <c r="D2172" s="30" t="s">
        <v>937</v>
      </c>
      <c r="E2172" s="30" t="s">
        <v>3387</v>
      </c>
      <c r="F2172" s="30">
        <v>1</v>
      </c>
      <c r="G2172" s="44">
        <v>20393</v>
      </c>
      <c r="H2172" s="30"/>
      <c r="I2172" s="44"/>
      <c r="J2172" s="44"/>
      <c r="K2172" s="44">
        <f t="shared" si="74"/>
        <v>20393</v>
      </c>
      <c r="L2172" s="51">
        <v>20240207</v>
      </c>
    </row>
    <row r="2173" spans="1:12" x14ac:dyDescent="0.25">
      <c r="A2173" s="50" t="s">
        <v>3396</v>
      </c>
      <c r="B2173" s="30" t="s">
        <v>11</v>
      </c>
      <c r="C2173" s="30" t="s">
        <v>505</v>
      </c>
      <c r="D2173" s="30" t="s">
        <v>95</v>
      </c>
      <c r="E2173" s="30" t="s">
        <v>3397</v>
      </c>
      <c r="F2173" s="30">
        <v>1</v>
      </c>
      <c r="G2173" s="44">
        <v>16262</v>
      </c>
      <c r="H2173" s="30"/>
      <c r="I2173" s="44"/>
      <c r="J2173" s="44"/>
      <c r="K2173" s="44">
        <f t="shared" si="74"/>
        <v>16262</v>
      </c>
      <c r="L2173" s="51">
        <v>20240207</v>
      </c>
    </row>
    <row r="2174" spans="1:12" x14ac:dyDescent="0.25">
      <c r="A2174" s="50" t="s">
        <v>3382</v>
      </c>
      <c r="B2174" s="30" t="s">
        <v>11</v>
      </c>
      <c r="C2174" s="30" t="s">
        <v>94</v>
      </c>
      <c r="D2174" s="30" t="s">
        <v>95</v>
      </c>
      <c r="E2174" s="30" t="s">
        <v>1083</v>
      </c>
      <c r="F2174" s="30">
        <v>1</v>
      </c>
      <c r="G2174" s="44">
        <v>20393</v>
      </c>
      <c r="H2174" s="30"/>
      <c r="I2174" s="44"/>
      <c r="J2174" s="44"/>
      <c r="K2174" s="44">
        <f t="shared" si="74"/>
        <v>20393</v>
      </c>
      <c r="L2174" s="51">
        <v>20240208</v>
      </c>
    </row>
    <row r="2175" spans="1:12" x14ac:dyDescent="0.25">
      <c r="A2175" s="50" t="s">
        <v>3383</v>
      </c>
      <c r="B2175" s="30" t="s">
        <v>11</v>
      </c>
      <c r="C2175" s="30" t="s">
        <v>45</v>
      </c>
      <c r="D2175" s="30" t="s">
        <v>3384</v>
      </c>
      <c r="E2175" s="30" t="s">
        <v>3385</v>
      </c>
      <c r="F2175" s="30">
        <v>1</v>
      </c>
      <c r="G2175" s="44">
        <v>20393</v>
      </c>
      <c r="H2175" s="30"/>
      <c r="I2175" s="44"/>
      <c r="J2175" s="44"/>
      <c r="K2175" s="44">
        <f t="shared" si="74"/>
        <v>20393</v>
      </c>
      <c r="L2175" s="51">
        <v>20240208</v>
      </c>
    </row>
    <row r="2176" spans="1:12" x14ac:dyDescent="0.25">
      <c r="A2176" s="50" t="s">
        <v>3380</v>
      </c>
      <c r="B2176" s="30" t="s">
        <v>11</v>
      </c>
      <c r="C2176" s="30" t="s">
        <v>26</v>
      </c>
      <c r="D2176" s="30" t="s">
        <v>616</v>
      </c>
      <c r="E2176" s="30" t="s">
        <v>621</v>
      </c>
      <c r="F2176" s="30">
        <v>1</v>
      </c>
      <c r="G2176" s="44">
        <v>20393</v>
      </c>
      <c r="H2176" s="30"/>
      <c r="I2176" s="44"/>
      <c r="J2176" s="44"/>
      <c r="K2176" s="44">
        <f t="shared" si="74"/>
        <v>20393</v>
      </c>
      <c r="L2176" s="51">
        <v>20240215</v>
      </c>
    </row>
    <row r="2177" spans="1:12" x14ac:dyDescent="0.25">
      <c r="A2177" s="52" t="s">
        <v>3381</v>
      </c>
      <c r="B2177" s="32" t="s">
        <v>11</v>
      </c>
      <c r="C2177" s="32" t="s">
        <v>28</v>
      </c>
      <c r="D2177" s="32" t="s">
        <v>1703</v>
      </c>
      <c r="E2177" s="32" t="s">
        <v>2436</v>
      </c>
      <c r="F2177" s="32">
        <v>1</v>
      </c>
      <c r="G2177" s="45">
        <v>20393</v>
      </c>
      <c r="H2177" s="32">
        <v>321</v>
      </c>
      <c r="I2177" s="45">
        <v>294.3</v>
      </c>
      <c r="J2177" s="45">
        <f>I2177*H2177</f>
        <v>94470.3</v>
      </c>
      <c r="K2177" s="45">
        <f t="shared" si="74"/>
        <v>114863.3</v>
      </c>
      <c r="L2177" s="53">
        <v>20240216</v>
      </c>
    </row>
    <row r="2178" spans="1:12" x14ac:dyDescent="0.25">
      <c r="A2178" s="50" t="s">
        <v>3379</v>
      </c>
      <c r="B2178" s="30" t="s">
        <v>11</v>
      </c>
      <c r="C2178" s="30" t="s">
        <v>53</v>
      </c>
      <c r="D2178" s="30" t="s">
        <v>24</v>
      </c>
      <c r="E2178" s="30" t="s">
        <v>1281</v>
      </c>
      <c r="F2178" s="30">
        <v>1</v>
      </c>
      <c r="G2178" s="44">
        <v>20393</v>
      </c>
      <c r="H2178" s="30"/>
      <c r="I2178" s="44"/>
      <c r="J2178" s="44"/>
      <c r="K2178" s="44">
        <f t="shared" si="74"/>
        <v>20393</v>
      </c>
      <c r="L2178" s="51">
        <v>20240221</v>
      </c>
    </row>
    <row r="2179" spans="1:12" x14ac:dyDescent="0.25">
      <c r="A2179" s="50" t="s">
        <v>3376</v>
      </c>
      <c r="B2179" s="30" t="s">
        <v>11</v>
      </c>
      <c r="C2179" s="30" t="s">
        <v>364</v>
      </c>
      <c r="D2179" s="30" t="s">
        <v>24</v>
      </c>
      <c r="E2179" s="30" t="s">
        <v>532</v>
      </c>
      <c r="F2179" s="30">
        <v>1</v>
      </c>
      <c r="G2179" s="44">
        <v>20393</v>
      </c>
      <c r="H2179" s="30"/>
      <c r="I2179" s="44"/>
      <c r="J2179" s="44"/>
      <c r="K2179" s="44">
        <f t="shared" si="74"/>
        <v>20393</v>
      </c>
      <c r="L2179" s="51">
        <v>20240222</v>
      </c>
    </row>
    <row r="2180" spans="1:12" x14ac:dyDescent="0.25">
      <c r="A2180" s="50" t="s">
        <v>3377</v>
      </c>
      <c r="B2180" s="30" t="s">
        <v>11</v>
      </c>
      <c r="C2180" s="30" t="s">
        <v>134</v>
      </c>
      <c r="D2180" s="30" t="s">
        <v>135</v>
      </c>
      <c r="E2180" s="30" t="s">
        <v>190</v>
      </c>
      <c r="F2180" s="30">
        <v>1</v>
      </c>
      <c r="G2180" s="44">
        <v>20393</v>
      </c>
      <c r="H2180" s="30"/>
      <c r="I2180" s="44"/>
      <c r="J2180" s="44"/>
      <c r="K2180" s="44">
        <f t="shared" si="74"/>
        <v>20393</v>
      </c>
      <c r="L2180" s="51">
        <v>20240223</v>
      </c>
    </row>
    <row r="2181" spans="1:12" x14ac:dyDescent="0.25">
      <c r="A2181" s="50" t="s">
        <v>3378</v>
      </c>
      <c r="B2181" s="30" t="s">
        <v>11</v>
      </c>
      <c r="C2181" s="30" t="s">
        <v>29</v>
      </c>
      <c r="D2181" s="30" t="s">
        <v>24</v>
      </c>
      <c r="E2181" s="30" t="s">
        <v>208</v>
      </c>
      <c r="F2181" s="30">
        <v>1</v>
      </c>
      <c r="G2181" s="44">
        <v>20393</v>
      </c>
      <c r="H2181" s="30"/>
      <c r="I2181" s="44"/>
      <c r="J2181" s="44"/>
      <c r="K2181" s="44">
        <f t="shared" si="74"/>
        <v>20393</v>
      </c>
      <c r="L2181" s="51">
        <v>20240223</v>
      </c>
    </row>
    <row r="2182" spans="1:12" x14ac:dyDescent="0.25">
      <c r="A2182" s="50" t="s">
        <v>3375</v>
      </c>
      <c r="B2182" s="30" t="s">
        <v>11</v>
      </c>
      <c r="C2182" s="30" t="s">
        <v>94</v>
      </c>
      <c r="D2182" s="30" t="s">
        <v>95</v>
      </c>
      <c r="E2182" s="30" t="s">
        <v>2404</v>
      </c>
      <c r="F2182" s="30">
        <v>1</v>
      </c>
      <c r="G2182" s="44">
        <v>20393</v>
      </c>
      <c r="H2182" s="30"/>
      <c r="I2182" s="44"/>
      <c r="J2182" s="44"/>
      <c r="K2182" s="44">
        <f t="shared" si="74"/>
        <v>20393</v>
      </c>
      <c r="L2182" s="51">
        <v>20240226</v>
      </c>
    </row>
    <row r="2183" spans="1:12" x14ac:dyDescent="0.25">
      <c r="A2183" s="50" t="s">
        <v>3374</v>
      </c>
      <c r="B2183" s="30" t="s">
        <v>11</v>
      </c>
      <c r="C2183" s="30" t="s">
        <v>364</v>
      </c>
      <c r="D2183" s="30" t="s">
        <v>24</v>
      </c>
      <c r="E2183" s="30" t="s">
        <v>1136</v>
      </c>
      <c r="F2183" s="30">
        <v>1</v>
      </c>
      <c r="G2183" s="44">
        <v>20393</v>
      </c>
      <c r="H2183" s="30"/>
      <c r="I2183" s="44"/>
      <c r="J2183" s="44"/>
      <c r="K2183" s="44">
        <f t="shared" si="74"/>
        <v>20393</v>
      </c>
      <c r="L2183" s="51">
        <v>20240227</v>
      </c>
    </row>
    <row r="2184" spans="1:12" ht="15.75" thickBot="1" x14ac:dyDescent="0.3">
      <c r="A2184" s="54" t="s">
        <v>3373</v>
      </c>
      <c r="B2184" s="36" t="s">
        <v>11</v>
      </c>
      <c r="C2184" s="36" t="s">
        <v>919</v>
      </c>
      <c r="D2184" s="36" t="s">
        <v>95</v>
      </c>
      <c r="E2184" s="36" t="s">
        <v>2496</v>
      </c>
      <c r="F2184" s="36">
        <v>1</v>
      </c>
      <c r="G2184" s="65">
        <v>20393</v>
      </c>
      <c r="H2184" s="36"/>
      <c r="I2184" s="65"/>
      <c r="J2184" s="65"/>
      <c r="K2184" s="65">
        <f t="shared" si="74"/>
        <v>20393</v>
      </c>
      <c r="L2184" s="55">
        <v>20240229</v>
      </c>
    </row>
    <row r="2185" spans="1:12" x14ac:dyDescent="0.25">
      <c r="A2185" s="73"/>
      <c r="B2185" s="74"/>
      <c r="C2185" s="74"/>
      <c r="D2185" s="74"/>
      <c r="E2185" s="74"/>
      <c r="F2185" s="74"/>
      <c r="G2185" s="75"/>
      <c r="H2185" s="74"/>
      <c r="I2185" s="75"/>
      <c r="J2185" s="75"/>
      <c r="K2185" s="75"/>
      <c r="L2185" s="76"/>
    </row>
    <row r="2186" spans="1:12" ht="15.75" thickBot="1" x14ac:dyDescent="0.3">
      <c r="A2186" s="69"/>
      <c r="B2186" s="70"/>
      <c r="C2186" s="70"/>
      <c r="D2186" s="70"/>
      <c r="E2186" s="70"/>
      <c r="F2186" s="70"/>
      <c r="G2186" s="71"/>
      <c r="H2186" s="70"/>
      <c r="I2186" s="71"/>
      <c r="J2186" s="71"/>
      <c r="K2186" s="71"/>
      <c r="L2186" s="72"/>
    </row>
    <row r="2187" spans="1:12" x14ac:dyDescent="0.25">
      <c r="A2187" s="48" t="s">
        <v>3361</v>
      </c>
      <c r="B2187" s="34" t="s">
        <v>137</v>
      </c>
      <c r="C2187" s="34" t="s">
        <v>28</v>
      </c>
      <c r="D2187" s="34" t="s">
        <v>759</v>
      </c>
      <c r="E2187" s="34" t="s">
        <v>1106</v>
      </c>
      <c r="F2187" s="34">
        <v>1</v>
      </c>
      <c r="G2187" s="64">
        <v>10198</v>
      </c>
      <c r="H2187" s="34"/>
      <c r="I2187" s="64"/>
      <c r="J2187" s="64"/>
      <c r="K2187" s="64">
        <f t="shared" ref="K2187:K2200" si="75">J2187+G2187</f>
        <v>10198</v>
      </c>
      <c r="L2187" s="49">
        <v>20240229</v>
      </c>
    </row>
    <row r="2188" spans="1:12" x14ac:dyDescent="0.25">
      <c r="A2188" s="50" t="s">
        <v>3362</v>
      </c>
      <c r="B2188" s="30" t="s">
        <v>137</v>
      </c>
      <c r="C2188" s="30" t="s">
        <v>28</v>
      </c>
      <c r="D2188" s="30" t="s">
        <v>759</v>
      </c>
      <c r="E2188" s="30" t="s">
        <v>760</v>
      </c>
      <c r="F2188" s="30">
        <v>1</v>
      </c>
      <c r="G2188" s="44">
        <v>10198</v>
      </c>
      <c r="H2188" s="30"/>
      <c r="I2188" s="44"/>
      <c r="J2188" s="44"/>
      <c r="K2188" s="44">
        <f t="shared" si="75"/>
        <v>10198</v>
      </c>
      <c r="L2188" s="51">
        <v>20240229</v>
      </c>
    </row>
    <row r="2189" spans="1:12" x14ac:dyDescent="0.25">
      <c r="A2189" s="50" t="s">
        <v>3363</v>
      </c>
      <c r="B2189" s="30" t="s">
        <v>137</v>
      </c>
      <c r="C2189" s="30" t="s">
        <v>28</v>
      </c>
      <c r="D2189" s="30" t="s">
        <v>759</v>
      </c>
      <c r="E2189" s="30" t="s">
        <v>762</v>
      </c>
      <c r="F2189" s="30">
        <v>1</v>
      </c>
      <c r="G2189" s="44">
        <v>10198</v>
      </c>
      <c r="H2189" s="30"/>
      <c r="I2189" s="44"/>
      <c r="J2189" s="44"/>
      <c r="K2189" s="44">
        <f t="shared" si="75"/>
        <v>10198</v>
      </c>
      <c r="L2189" s="51">
        <v>20240229</v>
      </c>
    </row>
    <row r="2190" spans="1:12" x14ac:dyDescent="0.25">
      <c r="A2190" s="50" t="s">
        <v>3364</v>
      </c>
      <c r="B2190" s="30" t="s">
        <v>137</v>
      </c>
      <c r="C2190" s="30" t="s">
        <v>646</v>
      </c>
      <c r="D2190" s="30" t="s">
        <v>24</v>
      </c>
      <c r="E2190" s="30" t="s">
        <v>670</v>
      </c>
      <c r="F2190" s="30">
        <v>1</v>
      </c>
      <c r="G2190" s="44">
        <v>10198</v>
      </c>
      <c r="H2190" s="30"/>
      <c r="I2190" s="44"/>
      <c r="J2190" s="44"/>
      <c r="K2190" s="44">
        <f t="shared" si="75"/>
        <v>10198</v>
      </c>
      <c r="L2190" s="51">
        <v>20240229</v>
      </c>
    </row>
    <row r="2191" spans="1:12" x14ac:dyDescent="0.25">
      <c r="A2191" s="50" t="s">
        <v>3365</v>
      </c>
      <c r="B2191" s="30" t="s">
        <v>137</v>
      </c>
      <c r="C2191" s="30" t="s">
        <v>712</v>
      </c>
      <c r="D2191" s="30" t="s">
        <v>713</v>
      </c>
      <c r="E2191" s="30" t="s">
        <v>718</v>
      </c>
      <c r="F2191" s="30">
        <v>1</v>
      </c>
      <c r="G2191" s="44">
        <v>10198</v>
      </c>
      <c r="H2191" s="30"/>
      <c r="I2191" s="44"/>
      <c r="J2191" s="44"/>
      <c r="K2191" s="44">
        <f t="shared" si="75"/>
        <v>10198</v>
      </c>
      <c r="L2191" s="51">
        <v>20240229</v>
      </c>
    </row>
    <row r="2192" spans="1:12" x14ac:dyDescent="0.25">
      <c r="A2192" s="50" t="s">
        <v>3366</v>
      </c>
      <c r="B2192" s="30" t="s">
        <v>137</v>
      </c>
      <c r="C2192" s="30" t="s">
        <v>712</v>
      </c>
      <c r="D2192" s="30" t="s">
        <v>713</v>
      </c>
      <c r="E2192" s="30" t="s">
        <v>720</v>
      </c>
      <c r="F2192" s="30">
        <v>1</v>
      </c>
      <c r="G2192" s="44">
        <v>10198</v>
      </c>
      <c r="H2192" s="30"/>
      <c r="I2192" s="44"/>
      <c r="J2192" s="44"/>
      <c r="K2192" s="44">
        <f t="shared" si="75"/>
        <v>10198</v>
      </c>
      <c r="L2192" s="51">
        <v>20240229</v>
      </c>
    </row>
    <row r="2193" spans="1:12" x14ac:dyDescent="0.25">
      <c r="A2193" s="50" t="s">
        <v>3367</v>
      </c>
      <c r="B2193" s="30" t="s">
        <v>137</v>
      </c>
      <c r="C2193" s="30" t="s">
        <v>712</v>
      </c>
      <c r="D2193" s="30" t="s">
        <v>713</v>
      </c>
      <c r="E2193" s="30" t="s">
        <v>722</v>
      </c>
      <c r="F2193" s="30">
        <v>1</v>
      </c>
      <c r="G2193" s="44">
        <v>10198</v>
      </c>
      <c r="H2193" s="30"/>
      <c r="I2193" s="44"/>
      <c r="J2193" s="44"/>
      <c r="K2193" s="44">
        <f t="shared" si="75"/>
        <v>10198</v>
      </c>
      <c r="L2193" s="51">
        <v>20240229</v>
      </c>
    </row>
    <row r="2194" spans="1:12" x14ac:dyDescent="0.25">
      <c r="A2194" s="50" t="s">
        <v>3368</v>
      </c>
      <c r="B2194" s="30" t="s">
        <v>137</v>
      </c>
      <c r="C2194" s="30" t="s">
        <v>646</v>
      </c>
      <c r="D2194" s="30" t="s">
        <v>24</v>
      </c>
      <c r="E2194" s="30" t="s">
        <v>647</v>
      </c>
      <c r="F2194" s="30">
        <v>1</v>
      </c>
      <c r="G2194" s="44">
        <v>10198</v>
      </c>
      <c r="H2194" s="30"/>
      <c r="I2194" s="44"/>
      <c r="J2194" s="44"/>
      <c r="K2194" s="44">
        <f t="shared" si="75"/>
        <v>10198</v>
      </c>
      <c r="L2194" s="51">
        <v>20240229</v>
      </c>
    </row>
    <row r="2195" spans="1:12" x14ac:dyDescent="0.25">
      <c r="A2195" s="50" t="s">
        <v>3369</v>
      </c>
      <c r="B2195" s="30" t="s">
        <v>137</v>
      </c>
      <c r="C2195" s="30" t="s">
        <v>172</v>
      </c>
      <c r="D2195" s="30" t="s">
        <v>703</v>
      </c>
      <c r="E2195" s="30" t="s">
        <v>708</v>
      </c>
      <c r="F2195" s="30">
        <v>1</v>
      </c>
      <c r="G2195" s="44">
        <v>10198</v>
      </c>
      <c r="H2195" s="30"/>
      <c r="I2195" s="44"/>
      <c r="J2195" s="44"/>
      <c r="K2195" s="44">
        <f t="shared" si="75"/>
        <v>10198</v>
      </c>
      <c r="L2195" s="51">
        <v>20240229</v>
      </c>
    </row>
    <row r="2196" spans="1:12" x14ac:dyDescent="0.25">
      <c r="A2196" s="50" t="s">
        <v>3370</v>
      </c>
      <c r="B2196" s="30" t="s">
        <v>137</v>
      </c>
      <c r="C2196" s="30" t="s">
        <v>172</v>
      </c>
      <c r="D2196" s="30" t="s">
        <v>703</v>
      </c>
      <c r="E2196" s="30" t="s">
        <v>710</v>
      </c>
      <c r="F2196" s="30">
        <v>1</v>
      </c>
      <c r="G2196" s="44">
        <v>10198</v>
      </c>
      <c r="H2196" s="30"/>
      <c r="I2196" s="44"/>
      <c r="J2196" s="44"/>
      <c r="K2196" s="44">
        <f t="shared" si="75"/>
        <v>10198</v>
      </c>
      <c r="L2196" s="51">
        <v>20240229</v>
      </c>
    </row>
    <row r="2197" spans="1:12" x14ac:dyDescent="0.25">
      <c r="A2197" s="50" t="s">
        <v>3371</v>
      </c>
      <c r="B2197" s="30" t="s">
        <v>137</v>
      </c>
      <c r="C2197" s="30" t="s">
        <v>2111</v>
      </c>
      <c r="D2197" s="30" t="s">
        <v>2244</v>
      </c>
      <c r="E2197" s="30" t="s">
        <v>2245</v>
      </c>
      <c r="F2197" s="30">
        <v>1</v>
      </c>
      <c r="G2197" s="44">
        <v>10198</v>
      </c>
      <c r="H2197" s="30"/>
      <c r="I2197" s="44"/>
      <c r="J2197" s="44"/>
      <c r="K2197" s="44">
        <f t="shared" si="75"/>
        <v>10198</v>
      </c>
      <c r="L2197" s="51">
        <v>20240229</v>
      </c>
    </row>
    <row r="2198" spans="1:12" x14ac:dyDescent="0.25">
      <c r="A2198" s="50" t="s">
        <v>3372</v>
      </c>
      <c r="B2198" s="30" t="s">
        <v>137</v>
      </c>
      <c r="C2198" s="30" t="s">
        <v>2111</v>
      </c>
      <c r="D2198" s="30" t="s">
        <v>2244</v>
      </c>
      <c r="E2198" s="30" t="s">
        <v>2247</v>
      </c>
      <c r="F2198" s="30">
        <v>1</v>
      </c>
      <c r="G2198" s="44">
        <v>10198</v>
      </c>
      <c r="H2198" s="30"/>
      <c r="I2198" s="44"/>
      <c r="J2198" s="44"/>
      <c r="K2198" s="44">
        <f t="shared" si="75"/>
        <v>10198</v>
      </c>
      <c r="L2198" s="51">
        <v>20240229</v>
      </c>
    </row>
    <row r="2199" spans="1:12" x14ac:dyDescent="0.25">
      <c r="A2199" s="50" t="s">
        <v>3398</v>
      </c>
      <c r="B2199" s="30" t="s">
        <v>137</v>
      </c>
      <c r="C2199" s="30" t="s">
        <v>654</v>
      </c>
      <c r="D2199" s="30" t="s">
        <v>1388</v>
      </c>
      <c r="E2199" s="30" t="s">
        <v>2120</v>
      </c>
      <c r="F2199" s="30">
        <v>1</v>
      </c>
      <c r="G2199" s="44">
        <v>10198</v>
      </c>
      <c r="H2199" s="30"/>
      <c r="I2199" s="44"/>
      <c r="J2199" s="44"/>
      <c r="K2199" s="44">
        <f t="shared" si="75"/>
        <v>10198</v>
      </c>
      <c r="L2199" s="51">
        <v>20240229</v>
      </c>
    </row>
    <row r="2200" spans="1:12" ht="15.75" thickBot="1" x14ac:dyDescent="0.3">
      <c r="A2200" s="54" t="s">
        <v>3399</v>
      </c>
      <c r="B2200" s="36" t="s">
        <v>137</v>
      </c>
      <c r="C2200" s="36" t="s">
        <v>654</v>
      </c>
      <c r="D2200" s="36" t="s">
        <v>1388</v>
      </c>
      <c r="E2200" s="36" t="s">
        <v>1389</v>
      </c>
      <c r="F2200" s="36">
        <v>1</v>
      </c>
      <c r="G2200" s="65">
        <v>10198</v>
      </c>
      <c r="H2200" s="36"/>
      <c r="I2200" s="65"/>
      <c r="J2200" s="65"/>
      <c r="K2200" s="65">
        <f t="shared" si="75"/>
        <v>10198</v>
      </c>
      <c r="L2200" s="55">
        <v>20240229</v>
      </c>
    </row>
    <row r="2202" spans="1:12" ht="15.75" thickBot="1" x14ac:dyDescent="0.3">
      <c r="A2202" s="69" t="s">
        <v>0</v>
      </c>
      <c r="B2202" s="70" t="s">
        <v>1</v>
      </c>
      <c r="C2202" s="70" t="s">
        <v>2</v>
      </c>
      <c r="D2202" s="70" t="s">
        <v>3</v>
      </c>
      <c r="E2202" s="70" t="s">
        <v>4</v>
      </c>
      <c r="F2202" s="70"/>
      <c r="G2202" s="71" t="s">
        <v>6</v>
      </c>
      <c r="H2202" s="70" t="s">
        <v>7</v>
      </c>
      <c r="I2202" s="71" t="s">
        <v>8</v>
      </c>
      <c r="J2202" s="71" t="s">
        <v>9</v>
      </c>
      <c r="K2202" s="71" t="s">
        <v>10</v>
      </c>
      <c r="L2202" s="72" t="s">
        <v>5</v>
      </c>
    </row>
    <row r="2203" spans="1:12" x14ac:dyDescent="0.25">
      <c r="A2203" s="48" t="s">
        <v>3460</v>
      </c>
      <c r="B2203" s="34" t="s">
        <v>11</v>
      </c>
      <c r="C2203" s="34" t="s">
        <v>94</v>
      </c>
      <c r="D2203" s="34" t="s">
        <v>95</v>
      </c>
      <c r="E2203" s="34" t="s">
        <v>2674</v>
      </c>
      <c r="F2203" s="34">
        <v>1</v>
      </c>
      <c r="G2203" s="64">
        <v>24594</v>
      </c>
      <c r="H2203" s="34"/>
      <c r="I2203" s="64"/>
      <c r="J2203" s="64"/>
      <c r="K2203" s="64">
        <f t="shared" ref="K2203:K2230" si="76">J2203+G2203</f>
        <v>24594</v>
      </c>
      <c r="L2203" s="49">
        <v>20240304</v>
      </c>
    </row>
    <row r="2204" spans="1:12" x14ac:dyDescent="0.25">
      <c r="A2204" s="50" t="s">
        <v>3463</v>
      </c>
      <c r="B2204" s="30" t="s">
        <v>11</v>
      </c>
      <c r="C2204" s="30" t="s">
        <v>1021</v>
      </c>
      <c r="D2204" s="30" t="s">
        <v>95</v>
      </c>
      <c r="E2204" s="30" t="s">
        <v>1022</v>
      </c>
      <c r="F2204" s="30">
        <v>1</v>
      </c>
      <c r="G2204" s="44">
        <v>24594</v>
      </c>
      <c r="H2204" s="30"/>
      <c r="I2204" s="44"/>
      <c r="J2204" s="44"/>
      <c r="K2204" s="44">
        <f t="shared" si="76"/>
        <v>24594</v>
      </c>
      <c r="L2204" s="51">
        <v>20240304</v>
      </c>
    </row>
    <row r="2205" spans="1:12" x14ac:dyDescent="0.25">
      <c r="A2205" s="50" t="s">
        <v>3456</v>
      </c>
      <c r="B2205" s="30" t="s">
        <v>11</v>
      </c>
      <c r="C2205" s="30" t="s">
        <v>94</v>
      </c>
      <c r="D2205" s="30" t="s">
        <v>95</v>
      </c>
      <c r="E2205" s="30" t="s">
        <v>458</v>
      </c>
      <c r="F2205" s="30">
        <v>1</v>
      </c>
      <c r="G2205" s="44">
        <v>24594</v>
      </c>
      <c r="H2205" s="30"/>
      <c r="I2205" s="44"/>
      <c r="J2205" s="44"/>
      <c r="K2205" s="44">
        <f t="shared" si="76"/>
        <v>24594</v>
      </c>
      <c r="L2205" s="51">
        <v>20240305</v>
      </c>
    </row>
    <row r="2206" spans="1:12" x14ac:dyDescent="0.25">
      <c r="A2206" s="50" t="s">
        <v>3459</v>
      </c>
      <c r="B2206" s="30" t="s">
        <v>11</v>
      </c>
      <c r="C2206" s="30" t="s">
        <v>53</v>
      </c>
      <c r="D2206" s="30" t="s">
        <v>24</v>
      </c>
      <c r="E2206" s="30" t="s">
        <v>1281</v>
      </c>
      <c r="F2206" s="30">
        <v>1</v>
      </c>
      <c r="G2206" s="44">
        <v>24594</v>
      </c>
      <c r="H2206" s="30"/>
      <c r="I2206" s="44"/>
      <c r="J2206" s="44"/>
      <c r="K2206" s="44">
        <f t="shared" si="76"/>
        <v>24594</v>
      </c>
      <c r="L2206" s="51">
        <v>20240305</v>
      </c>
    </row>
    <row r="2207" spans="1:12" x14ac:dyDescent="0.25">
      <c r="A2207" s="50" t="s">
        <v>3461</v>
      </c>
      <c r="B2207" s="30" t="s">
        <v>11</v>
      </c>
      <c r="C2207" s="30" t="s">
        <v>364</v>
      </c>
      <c r="D2207" s="30" t="s">
        <v>24</v>
      </c>
      <c r="E2207" s="30" t="s">
        <v>532</v>
      </c>
      <c r="F2207" s="30">
        <v>1</v>
      </c>
      <c r="G2207" s="44">
        <v>24594</v>
      </c>
      <c r="H2207" s="30"/>
      <c r="I2207" s="44"/>
      <c r="J2207" s="44"/>
      <c r="K2207" s="44">
        <f t="shared" si="76"/>
        <v>24594</v>
      </c>
      <c r="L2207" s="51">
        <v>20240306</v>
      </c>
    </row>
    <row r="2208" spans="1:12" x14ac:dyDescent="0.25">
      <c r="A2208" s="50" t="s">
        <v>3454</v>
      </c>
      <c r="B2208" s="30" t="s">
        <v>11</v>
      </c>
      <c r="C2208" s="30" t="s">
        <v>29</v>
      </c>
      <c r="D2208" s="30" t="s">
        <v>24</v>
      </c>
      <c r="E2208" s="30" t="s">
        <v>208</v>
      </c>
      <c r="F2208" s="30">
        <v>1</v>
      </c>
      <c r="G2208" s="44">
        <v>24594</v>
      </c>
      <c r="H2208" s="30"/>
      <c r="I2208" s="44"/>
      <c r="J2208" s="44"/>
      <c r="K2208" s="44">
        <f t="shared" si="76"/>
        <v>24594</v>
      </c>
      <c r="L2208" s="51">
        <v>20240307</v>
      </c>
    </row>
    <row r="2209" spans="1:12" x14ac:dyDescent="0.25">
      <c r="A2209" s="50" t="s">
        <v>3457</v>
      </c>
      <c r="B2209" s="30" t="s">
        <v>892</v>
      </c>
      <c r="C2209" s="30" t="s">
        <v>936</v>
      </c>
      <c r="D2209" s="30" t="s">
        <v>937</v>
      </c>
      <c r="E2209" s="30" t="s">
        <v>3458</v>
      </c>
      <c r="F2209" s="30">
        <v>1</v>
      </c>
      <c r="G2209" s="44">
        <v>24594</v>
      </c>
      <c r="H2209" s="30"/>
      <c r="I2209" s="44"/>
      <c r="J2209" s="44"/>
      <c r="K2209" s="44">
        <f t="shared" si="76"/>
        <v>24594</v>
      </c>
      <c r="L2209" s="51">
        <v>20240308</v>
      </c>
    </row>
    <row r="2210" spans="1:12" x14ac:dyDescent="0.25">
      <c r="A2210" s="50" t="s">
        <v>3453</v>
      </c>
      <c r="B2210" s="30" t="s">
        <v>11</v>
      </c>
      <c r="C2210" s="30" t="s">
        <v>3137</v>
      </c>
      <c r="D2210" s="30" t="s">
        <v>24</v>
      </c>
      <c r="E2210" s="30" t="s">
        <v>3344</v>
      </c>
      <c r="F2210" s="30">
        <v>1</v>
      </c>
      <c r="G2210" s="44">
        <v>24594</v>
      </c>
      <c r="H2210" s="30"/>
      <c r="I2210" s="44"/>
      <c r="J2210" s="44"/>
      <c r="K2210" s="44">
        <f t="shared" si="76"/>
        <v>24594</v>
      </c>
      <c r="L2210" s="51">
        <v>20240311</v>
      </c>
    </row>
    <row r="2211" spans="1:12" x14ac:dyDescent="0.25">
      <c r="A2211" s="50" t="s">
        <v>3462</v>
      </c>
      <c r="B2211" s="30" t="s">
        <v>1209</v>
      </c>
      <c r="C2211" s="30" t="s">
        <v>134</v>
      </c>
      <c r="D2211" s="30" t="s">
        <v>135</v>
      </c>
      <c r="E2211" s="30" t="s">
        <v>190</v>
      </c>
      <c r="F2211" s="30">
        <v>1</v>
      </c>
      <c r="G2211" s="44">
        <v>24594</v>
      </c>
      <c r="H2211" s="30"/>
      <c r="I2211" s="44"/>
      <c r="J2211" s="44"/>
      <c r="K2211" s="44">
        <f t="shared" si="76"/>
        <v>24594</v>
      </c>
      <c r="L2211" s="51">
        <v>20240311</v>
      </c>
    </row>
    <row r="2212" spans="1:12" x14ac:dyDescent="0.25">
      <c r="A2212" s="50" t="s">
        <v>3441</v>
      </c>
      <c r="B2212" s="30" t="s">
        <v>11</v>
      </c>
      <c r="C2212" s="30" t="s">
        <v>91</v>
      </c>
      <c r="D2212" s="30" t="s">
        <v>24</v>
      </c>
      <c r="E2212" s="30" t="s">
        <v>92</v>
      </c>
      <c r="F2212" s="30">
        <v>1</v>
      </c>
      <c r="G2212" s="44">
        <v>24594</v>
      </c>
      <c r="H2212" s="30"/>
      <c r="I2212" s="44"/>
      <c r="J2212" s="44"/>
      <c r="K2212" s="44">
        <f t="shared" si="76"/>
        <v>24594</v>
      </c>
      <c r="L2212" s="51">
        <v>20240313</v>
      </c>
    </row>
    <row r="2213" spans="1:12" x14ac:dyDescent="0.25">
      <c r="A2213" s="50" t="s">
        <v>3435</v>
      </c>
      <c r="B2213" s="30" t="s">
        <v>11</v>
      </c>
      <c r="C2213" s="30" t="s">
        <v>474</v>
      </c>
      <c r="D2213" s="30" t="s">
        <v>24</v>
      </c>
      <c r="E2213" s="30" t="s">
        <v>554</v>
      </c>
      <c r="F2213" s="30">
        <v>1</v>
      </c>
      <c r="G2213" s="44">
        <v>24594</v>
      </c>
      <c r="H2213" s="30"/>
      <c r="I2213" s="44"/>
      <c r="J2213" s="44"/>
      <c r="K2213" s="44">
        <f t="shared" si="76"/>
        <v>24594</v>
      </c>
      <c r="L2213" s="51">
        <v>20240318</v>
      </c>
    </row>
    <row r="2214" spans="1:12" x14ac:dyDescent="0.25">
      <c r="A2214" s="50" t="s">
        <v>3465</v>
      </c>
      <c r="B2214" s="30" t="s">
        <v>1209</v>
      </c>
      <c r="C2214" s="30" t="s">
        <v>3466</v>
      </c>
      <c r="D2214" s="30" t="s">
        <v>475</v>
      </c>
      <c r="E2214" s="30" t="s">
        <v>3467</v>
      </c>
      <c r="F2214" s="30">
        <v>1</v>
      </c>
      <c r="G2214" s="44">
        <v>24594</v>
      </c>
      <c r="H2214" s="30"/>
      <c r="I2214" s="44"/>
      <c r="J2214" s="44"/>
      <c r="K2214" s="44">
        <f t="shared" si="76"/>
        <v>24594</v>
      </c>
      <c r="L2214" s="51">
        <v>20240318</v>
      </c>
    </row>
    <row r="2215" spans="1:12" x14ac:dyDescent="0.25">
      <c r="A2215" s="52" t="s">
        <v>3436</v>
      </c>
      <c r="B2215" s="32" t="s">
        <v>11</v>
      </c>
      <c r="C2215" s="32" t="s">
        <v>163</v>
      </c>
      <c r="D2215" s="32" t="s">
        <v>164</v>
      </c>
      <c r="E2215" s="32" t="s">
        <v>244</v>
      </c>
      <c r="F2215" s="32">
        <v>1</v>
      </c>
      <c r="G2215" s="45">
        <v>24594</v>
      </c>
      <c r="H2215" s="32">
        <v>126</v>
      </c>
      <c r="I2215" s="45">
        <v>340.1</v>
      </c>
      <c r="J2215" s="45">
        <f>I2215*H2215</f>
        <v>42852.600000000006</v>
      </c>
      <c r="K2215" s="45">
        <f t="shared" si="76"/>
        <v>67446.600000000006</v>
      </c>
      <c r="L2215" s="53">
        <v>20240319</v>
      </c>
    </row>
    <row r="2216" spans="1:12" x14ac:dyDescent="0.25">
      <c r="A2216" s="50" t="s">
        <v>3437</v>
      </c>
      <c r="B2216" s="30" t="s">
        <v>11</v>
      </c>
      <c r="C2216" s="30" t="s">
        <v>163</v>
      </c>
      <c r="D2216" s="30" t="s">
        <v>164</v>
      </c>
      <c r="E2216" s="30" t="s">
        <v>207</v>
      </c>
      <c r="F2216" s="30">
        <v>1</v>
      </c>
      <c r="G2216" s="44">
        <v>24594</v>
      </c>
      <c r="H2216" s="30"/>
      <c r="I2216" s="44"/>
      <c r="J2216" s="44"/>
      <c r="K2216" s="44">
        <f t="shared" si="76"/>
        <v>24594</v>
      </c>
      <c r="L2216" s="51">
        <v>20240319</v>
      </c>
    </row>
    <row r="2217" spans="1:12" x14ac:dyDescent="0.25">
      <c r="A2217" s="50" t="s">
        <v>3439</v>
      </c>
      <c r="B2217" s="30" t="s">
        <v>11</v>
      </c>
      <c r="C2217" s="30" t="s">
        <v>1450</v>
      </c>
      <c r="D2217" s="30" t="s">
        <v>1592</v>
      </c>
      <c r="E2217" s="30" t="s">
        <v>1593</v>
      </c>
      <c r="F2217" s="30">
        <v>1</v>
      </c>
      <c r="G2217" s="44">
        <v>24594</v>
      </c>
      <c r="H2217" s="30"/>
      <c r="I2217" s="44"/>
      <c r="J2217" s="44"/>
      <c r="K2217" s="44">
        <f t="shared" si="76"/>
        <v>24594</v>
      </c>
      <c r="L2217" s="51">
        <v>20240319</v>
      </c>
    </row>
    <row r="2218" spans="1:12" x14ac:dyDescent="0.25">
      <c r="A2218" s="50" t="s">
        <v>3434</v>
      </c>
      <c r="B2218" s="30" t="s">
        <v>11</v>
      </c>
      <c r="C2218" s="30" t="s">
        <v>505</v>
      </c>
      <c r="D2218" s="30" t="s">
        <v>95</v>
      </c>
      <c r="E2218" s="30" t="s">
        <v>3397</v>
      </c>
      <c r="F2218" s="30">
        <v>1</v>
      </c>
      <c r="G2218" s="44">
        <v>24594</v>
      </c>
      <c r="H2218" s="30"/>
      <c r="I2218" s="44"/>
      <c r="J2218" s="44"/>
      <c r="K2218" s="44">
        <f t="shared" si="76"/>
        <v>24594</v>
      </c>
      <c r="L2218" s="51">
        <v>20240320</v>
      </c>
    </row>
    <row r="2219" spans="1:12" x14ac:dyDescent="0.25">
      <c r="A2219" s="52" t="s">
        <v>3438</v>
      </c>
      <c r="B2219" s="32" t="s">
        <v>11</v>
      </c>
      <c r="C2219" s="32" t="s">
        <v>202</v>
      </c>
      <c r="D2219" s="32" t="s">
        <v>203</v>
      </c>
      <c r="E2219" s="32" t="s">
        <v>1164</v>
      </c>
      <c r="F2219" s="32">
        <v>1</v>
      </c>
      <c r="G2219" s="45">
        <v>24594</v>
      </c>
      <c r="H2219" s="32">
        <v>100</v>
      </c>
      <c r="I2219" s="45">
        <v>340.1</v>
      </c>
      <c r="J2219" s="45">
        <f>I2219*H2219</f>
        <v>34010</v>
      </c>
      <c r="K2219" s="45">
        <f t="shared" si="76"/>
        <v>58604</v>
      </c>
      <c r="L2219" s="53">
        <v>20240320</v>
      </c>
    </row>
    <row r="2220" spans="1:12" x14ac:dyDescent="0.25">
      <c r="A2220" s="50" t="s">
        <v>3452</v>
      </c>
      <c r="B2220" s="30" t="s">
        <v>11</v>
      </c>
      <c r="C2220" s="30" t="s">
        <v>505</v>
      </c>
      <c r="D2220" s="30" t="s">
        <v>24</v>
      </c>
      <c r="E2220" s="30" t="s">
        <v>931</v>
      </c>
      <c r="F2220" s="30">
        <v>1</v>
      </c>
      <c r="G2220" s="44">
        <v>24594</v>
      </c>
      <c r="H2220" s="30"/>
      <c r="I2220" s="44"/>
      <c r="J2220" s="44"/>
      <c r="K2220" s="44">
        <f t="shared" si="76"/>
        <v>24594</v>
      </c>
      <c r="L2220" s="51">
        <v>20240321</v>
      </c>
    </row>
    <row r="2221" spans="1:12" x14ac:dyDescent="0.25">
      <c r="A2221" s="50" t="s">
        <v>3405</v>
      </c>
      <c r="B2221" s="30" t="s">
        <v>11</v>
      </c>
      <c r="C2221" s="30" t="s">
        <v>505</v>
      </c>
      <c r="D2221" s="30" t="s">
        <v>24</v>
      </c>
      <c r="E2221" s="30" t="s">
        <v>931</v>
      </c>
      <c r="F2221" s="30">
        <v>1</v>
      </c>
      <c r="G2221" s="44">
        <v>24594</v>
      </c>
      <c r="H2221" s="30"/>
      <c r="I2221" s="44"/>
      <c r="J2221" s="44"/>
      <c r="K2221" s="44">
        <f t="shared" si="76"/>
        <v>24594</v>
      </c>
      <c r="L2221" s="51">
        <v>20240322</v>
      </c>
    </row>
    <row r="2222" spans="1:12" x14ac:dyDescent="0.25">
      <c r="A2222" s="50" t="s">
        <v>3433</v>
      </c>
      <c r="B2222" s="30" t="s">
        <v>11</v>
      </c>
      <c r="C2222" s="30" t="s">
        <v>919</v>
      </c>
      <c r="D2222" s="30" t="s">
        <v>95</v>
      </c>
      <c r="E2222" s="30" t="s">
        <v>2496</v>
      </c>
      <c r="F2222" s="30">
        <v>1</v>
      </c>
      <c r="G2222" s="44">
        <v>24594</v>
      </c>
      <c r="H2222" s="30"/>
      <c r="I2222" s="44"/>
      <c r="J2222" s="44"/>
      <c r="K2222" s="44">
        <f t="shared" si="76"/>
        <v>24594</v>
      </c>
      <c r="L2222" s="51">
        <v>20240325</v>
      </c>
    </row>
    <row r="2223" spans="1:12" x14ac:dyDescent="0.25">
      <c r="A2223" s="50" t="s">
        <v>3455</v>
      </c>
      <c r="B2223" s="30" t="s">
        <v>11</v>
      </c>
      <c r="C2223" s="30" t="s">
        <v>654</v>
      </c>
      <c r="D2223" s="30" t="s">
        <v>655</v>
      </c>
      <c r="E2223" s="30" t="s">
        <v>662</v>
      </c>
      <c r="F2223" s="30">
        <v>1</v>
      </c>
      <c r="G2223" s="44">
        <v>24594</v>
      </c>
      <c r="H2223" s="30"/>
      <c r="I2223" s="44"/>
      <c r="J2223" s="44"/>
      <c r="K2223" s="44">
        <f t="shared" si="76"/>
        <v>24594</v>
      </c>
      <c r="L2223" s="51">
        <v>20240325</v>
      </c>
    </row>
    <row r="2224" spans="1:12" x14ac:dyDescent="0.25">
      <c r="A2224" s="52" t="s">
        <v>3412</v>
      </c>
      <c r="B2224" s="32" t="s">
        <v>11</v>
      </c>
      <c r="C2224" s="32" t="s">
        <v>163</v>
      </c>
      <c r="D2224" s="32" t="s">
        <v>164</v>
      </c>
      <c r="E2224" s="32" t="s">
        <v>212</v>
      </c>
      <c r="F2224" s="32">
        <v>1</v>
      </c>
      <c r="G2224" s="45">
        <v>24594</v>
      </c>
      <c r="H2224" s="32">
        <v>126</v>
      </c>
      <c r="I2224" s="45">
        <v>340.1</v>
      </c>
      <c r="J2224" s="45">
        <f>I2224*H2224</f>
        <v>42852.600000000006</v>
      </c>
      <c r="K2224" s="45">
        <f t="shared" si="76"/>
        <v>67446.600000000006</v>
      </c>
      <c r="L2224" s="53">
        <v>20240326</v>
      </c>
    </row>
    <row r="2225" spans="1:12" x14ac:dyDescent="0.25">
      <c r="A2225" s="50" t="s">
        <v>3400</v>
      </c>
      <c r="B2225" s="30" t="s">
        <v>11</v>
      </c>
      <c r="C2225" s="30" t="s">
        <v>94</v>
      </c>
      <c r="D2225" s="30" t="s">
        <v>95</v>
      </c>
      <c r="E2225" s="30" t="s">
        <v>326</v>
      </c>
      <c r="F2225" s="30">
        <v>1</v>
      </c>
      <c r="G2225" s="44">
        <v>27840</v>
      </c>
      <c r="H2225" s="30"/>
      <c r="I2225" s="44"/>
      <c r="J2225" s="44"/>
      <c r="K2225" s="44">
        <f t="shared" si="76"/>
        <v>27840</v>
      </c>
      <c r="L2225" s="51">
        <v>20240327</v>
      </c>
    </row>
    <row r="2226" spans="1:12" x14ac:dyDescent="0.25">
      <c r="A2226" s="50" t="s">
        <v>3401</v>
      </c>
      <c r="B2226" s="30" t="s">
        <v>11</v>
      </c>
      <c r="C2226" s="30" t="s">
        <v>26</v>
      </c>
      <c r="D2226" s="30" t="s">
        <v>616</v>
      </c>
      <c r="E2226" s="30" t="s">
        <v>621</v>
      </c>
      <c r="F2226" s="30">
        <v>1</v>
      </c>
      <c r="G2226" s="44">
        <v>24594</v>
      </c>
      <c r="H2226" s="30"/>
      <c r="I2226" s="44"/>
      <c r="J2226" s="44"/>
      <c r="K2226" s="44">
        <f t="shared" si="76"/>
        <v>24594</v>
      </c>
      <c r="L2226" s="51">
        <v>20240327</v>
      </c>
    </row>
    <row r="2227" spans="1:12" x14ac:dyDescent="0.25">
      <c r="A2227" s="50" t="s">
        <v>3402</v>
      </c>
      <c r="B2227" s="30" t="s">
        <v>11</v>
      </c>
      <c r="C2227" s="30" t="s">
        <v>337</v>
      </c>
      <c r="D2227" s="30" t="s">
        <v>35</v>
      </c>
      <c r="E2227" s="30" t="s">
        <v>157</v>
      </c>
      <c r="F2227" s="30">
        <v>1</v>
      </c>
      <c r="G2227" s="44">
        <v>24594</v>
      </c>
      <c r="H2227" s="30"/>
      <c r="I2227" s="44"/>
      <c r="J2227" s="44"/>
      <c r="K2227" s="44">
        <f t="shared" si="76"/>
        <v>24594</v>
      </c>
      <c r="L2227" s="51">
        <v>20240327</v>
      </c>
    </row>
    <row r="2228" spans="1:12" x14ac:dyDescent="0.25">
      <c r="A2228" s="52" t="s">
        <v>3403</v>
      </c>
      <c r="B2228" s="32" t="s">
        <v>11</v>
      </c>
      <c r="C2228" s="32" t="s">
        <v>337</v>
      </c>
      <c r="D2228" s="32" t="s">
        <v>35</v>
      </c>
      <c r="E2228" s="32" t="s">
        <v>511</v>
      </c>
      <c r="F2228" s="32">
        <v>1</v>
      </c>
      <c r="G2228" s="45">
        <v>24594</v>
      </c>
      <c r="H2228" s="32">
        <v>72</v>
      </c>
      <c r="I2228" s="45">
        <v>340.1</v>
      </c>
      <c r="J2228" s="45">
        <f>I2228*H2228</f>
        <v>24487.200000000001</v>
      </c>
      <c r="K2228" s="45">
        <f t="shared" si="76"/>
        <v>49081.2</v>
      </c>
      <c r="L2228" s="53">
        <v>20240327</v>
      </c>
    </row>
    <row r="2229" spans="1:12" x14ac:dyDescent="0.25">
      <c r="A2229" s="52" t="s">
        <v>3406</v>
      </c>
      <c r="B2229" s="32" t="s">
        <v>11</v>
      </c>
      <c r="C2229" s="32" t="s">
        <v>28</v>
      </c>
      <c r="D2229" s="32" t="s">
        <v>1099</v>
      </c>
      <c r="E2229" s="32" t="s">
        <v>1100</v>
      </c>
      <c r="F2229" s="32">
        <v>1</v>
      </c>
      <c r="G2229" s="45">
        <v>24594</v>
      </c>
      <c r="H2229" s="32">
        <v>61</v>
      </c>
      <c r="I2229" s="45">
        <v>340.1</v>
      </c>
      <c r="J2229" s="45">
        <f>I2229*H2229</f>
        <v>20746.100000000002</v>
      </c>
      <c r="K2229" s="45">
        <f t="shared" si="76"/>
        <v>45340.100000000006</v>
      </c>
      <c r="L2229" s="53">
        <v>20240327</v>
      </c>
    </row>
    <row r="2230" spans="1:12" ht="15.75" thickBot="1" x14ac:dyDescent="0.3">
      <c r="A2230" s="54" t="s">
        <v>3464</v>
      </c>
      <c r="B2230" s="36" t="s">
        <v>11</v>
      </c>
      <c r="C2230" s="36" t="s">
        <v>34</v>
      </c>
      <c r="D2230" s="36" t="s">
        <v>35</v>
      </c>
      <c r="E2230" s="36" t="s">
        <v>2925</v>
      </c>
      <c r="F2230" s="36">
        <v>1</v>
      </c>
      <c r="G2230" s="65">
        <v>24594</v>
      </c>
      <c r="H2230" s="36"/>
      <c r="I2230" s="65"/>
      <c r="J2230" s="65"/>
      <c r="K2230" s="65">
        <f t="shared" si="76"/>
        <v>24594</v>
      </c>
      <c r="L2230" s="55">
        <v>20240327</v>
      </c>
    </row>
    <row r="2231" spans="1:12" x14ac:dyDescent="0.25">
      <c r="A2231" s="73"/>
      <c r="B2231" s="74"/>
      <c r="C2231" s="74"/>
      <c r="D2231" s="74"/>
      <c r="E2231" s="74"/>
      <c r="F2231" s="74"/>
      <c r="G2231" s="75"/>
      <c r="H2231" s="74"/>
      <c r="I2231" s="75"/>
      <c r="J2231" s="75"/>
      <c r="K2231" s="75"/>
      <c r="L2231" s="76"/>
    </row>
    <row r="2232" spans="1:12" x14ac:dyDescent="0.25">
      <c r="A2232" s="50"/>
      <c r="B2232" s="30"/>
      <c r="C2232" s="30"/>
      <c r="D2232" s="30"/>
      <c r="E2232" s="30"/>
      <c r="F2232" s="30"/>
      <c r="G2232" s="44"/>
      <c r="H2232" s="30"/>
      <c r="I2232" s="44"/>
      <c r="J2232" s="44"/>
      <c r="K2232" s="44"/>
      <c r="L2232" s="51"/>
    </row>
    <row r="2233" spans="1:12" x14ac:dyDescent="0.25">
      <c r="A2233" s="50" t="s">
        <v>3440</v>
      </c>
      <c r="B2233" s="30" t="s">
        <v>137</v>
      </c>
      <c r="C2233" s="30" t="s">
        <v>337</v>
      </c>
      <c r="D2233" s="30" t="s">
        <v>35</v>
      </c>
      <c r="E2233" s="30" t="s">
        <v>1484</v>
      </c>
      <c r="F2233" s="30">
        <v>1</v>
      </c>
      <c r="G2233" s="123">
        <v>12299</v>
      </c>
      <c r="H2233" s="30"/>
      <c r="I2233" s="44"/>
      <c r="J2233" s="44"/>
      <c r="K2233" s="44">
        <f t="shared" ref="K2233:K2269" si="77">J2233+G2233</f>
        <v>12299</v>
      </c>
      <c r="L2233" s="51">
        <v>20240312</v>
      </c>
    </row>
    <row r="2234" spans="1:12" x14ac:dyDescent="0.25">
      <c r="A2234" s="50" t="s">
        <v>3442</v>
      </c>
      <c r="B2234" s="30" t="s">
        <v>137</v>
      </c>
      <c r="C2234" s="30" t="s">
        <v>337</v>
      </c>
      <c r="D2234" s="30" t="s">
        <v>35</v>
      </c>
      <c r="E2234" s="30" t="s">
        <v>1481</v>
      </c>
      <c r="F2234" s="30">
        <v>1</v>
      </c>
      <c r="G2234" s="123">
        <v>12299</v>
      </c>
      <c r="H2234" s="30"/>
      <c r="I2234" s="44"/>
      <c r="J2234" s="44"/>
      <c r="K2234" s="44">
        <f t="shared" si="77"/>
        <v>12299</v>
      </c>
      <c r="L2234" s="51">
        <v>20240312</v>
      </c>
    </row>
    <row r="2235" spans="1:12" x14ac:dyDescent="0.25">
      <c r="A2235" s="50" t="s">
        <v>3443</v>
      </c>
      <c r="B2235" s="30" t="s">
        <v>137</v>
      </c>
      <c r="C2235" s="30" t="s">
        <v>337</v>
      </c>
      <c r="D2235" s="30" t="s">
        <v>35</v>
      </c>
      <c r="E2235" s="30" t="s">
        <v>1477</v>
      </c>
      <c r="F2235" s="30">
        <v>1</v>
      </c>
      <c r="G2235" s="123">
        <v>12299</v>
      </c>
      <c r="H2235" s="30"/>
      <c r="I2235" s="44"/>
      <c r="J2235" s="44"/>
      <c r="K2235" s="44">
        <f t="shared" si="77"/>
        <v>12299</v>
      </c>
      <c r="L2235" s="51">
        <v>20240312</v>
      </c>
    </row>
    <row r="2236" spans="1:12" x14ac:dyDescent="0.25">
      <c r="A2236" s="50" t="s">
        <v>3444</v>
      </c>
      <c r="B2236" s="30" t="s">
        <v>137</v>
      </c>
      <c r="C2236" s="30" t="s">
        <v>337</v>
      </c>
      <c r="D2236" s="30" t="s">
        <v>35</v>
      </c>
      <c r="E2236" s="30" t="s">
        <v>2463</v>
      </c>
      <c r="F2236" s="30">
        <v>1</v>
      </c>
      <c r="G2236" s="123">
        <v>12299</v>
      </c>
      <c r="H2236" s="30"/>
      <c r="I2236" s="44"/>
      <c r="J2236" s="44"/>
      <c r="K2236" s="44">
        <f t="shared" si="77"/>
        <v>12299</v>
      </c>
      <c r="L2236" s="51">
        <v>20240312</v>
      </c>
    </row>
    <row r="2237" spans="1:12" x14ac:dyDescent="0.25">
      <c r="A2237" s="50" t="s">
        <v>3445</v>
      </c>
      <c r="B2237" s="30" t="s">
        <v>137</v>
      </c>
      <c r="C2237" s="30" t="s">
        <v>337</v>
      </c>
      <c r="D2237" s="30" t="s">
        <v>35</v>
      </c>
      <c r="E2237" s="30" t="s">
        <v>3011</v>
      </c>
      <c r="F2237" s="30">
        <v>1</v>
      </c>
      <c r="G2237" s="123">
        <v>12299</v>
      </c>
      <c r="H2237" s="30"/>
      <c r="I2237" s="44"/>
      <c r="J2237" s="44"/>
      <c r="K2237" s="44">
        <f t="shared" si="77"/>
        <v>12299</v>
      </c>
      <c r="L2237" s="51">
        <v>20240312</v>
      </c>
    </row>
    <row r="2238" spans="1:12" x14ac:dyDescent="0.25">
      <c r="A2238" s="50" t="s">
        <v>3446</v>
      </c>
      <c r="B2238" s="30" t="s">
        <v>137</v>
      </c>
      <c r="C2238" s="30" t="s">
        <v>337</v>
      </c>
      <c r="D2238" s="30" t="s">
        <v>35</v>
      </c>
      <c r="E2238" s="30" t="s">
        <v>1479</v>
      </c>
      <c r="F2238" s="30">
        <v>1</v>
      </c>
      <c r="G2238" s="123">
        <v>12299</v>
      </c>
      <c r="H2238" s="30"/>
      <c r="I2238" s="44"/>
      <c r="J2238" s="44"/>
      <c r="K2238" s="44">
        <f t="shared" si="77"/>
        <v>12299</v>
      </c>
      <c r="L2238" s="51">
        <v>20240312</v>
      </c>
    </row>
    <row r="2239" spans="1:12" x14ac:dyDescent="0.25">
      <c r="A2239" s="50" t="s">
        <v>3447</v>
      </c>
      <c r="B2239" s="30" t="s">
        <v>137</v>
      </c>
      <c r="C2239" s="30" t="s">
        <v>337</v>
      </c>
      <c r="D2239" s="30" t="s">
        <v>35</v>
      </c>
      <c r="E2239" s="30" t="s">
        <v>157</v>
      </c>
      <c r="F2239" s="30">
        <v>1</v>
      </c>
      <c r="G2239" s="123">
        <v>12299</v>
      </c>
      <c r="H2239" s="30"/>
      <c r="I2239" s="44"/>
      <c r="J2239" s="44"/>
      <c r="K2239" s="44">
        <f t="shared" si="77"/>
        <v>12299</v>
      </c>
      <c r="L2239" s="51">
        <v>20240312</v>
      </c>
    </row>
    <row r="2240" spans="1:12" x14ac:dyDescent="0.25">
      <c r="A2240" s="50" t="s">
        <v>3448</v>
      </c>
      <c r="B2240" s="30" t="s">
        <v>137</v>
      </c>
      <c r="C2240" s="30" t="s">
        <v>337</v>
      </c>
      <c r="D2240" s="30" t="s">
        <v>35</v>
      </c>
      <c r="E2240" s="30" t="s">
        <v>511</v>
      </c>
      <c r="F2240" s="30">
        <v>1</v>
      </c>
      <c r="G2240" s="123">
        <v>12299</v>
      </c>
      <c r="H2240" s="30"/>
      <c r="I2240" s="44"/>
      <c r="J2240" s="44"/>
      <c r="K2240" s="44">
        <f t="shared" si="77"/>
        <v>12299</v>
      </c>
      <c r="L2240" s="51">
        <v>20240312</v>
      </c>
    </row>
    <row r="2241" spans="1:12" x14ac:dyDescent="0.25">
      <c r="A2241" s="50" t="s">
        <v>3449</v>
      </c>
      <c r="B2241" s="30" t="s">
        <v>137</v>
      </c>
      <c r="C2241" s="30" t="s">
        <v>337</v>
      </c>
      <c r="D2241" s="30" t="s">
        <v>35</v>
      </c>
      <c r="E2241" s="30" t="s">
        <v>402</v>
      </c>
      <c r="F2241" s="30">
        <v>1</v>
      </c>
      <c r="G2241" s="123">
        <v>12299</v>
      </c>
      <c r="H2241" s="30"/>
      <c r="I2241" s="44"/>
      <c r="J2241" s="44"/>
      <c r="K2241" s="44">
        <f t="shared" si="77"/>
        <v>12299</v>
      </c>
      <c r="L2241" s="51">
        <v>20240312</v>
      </c>
    </row>
    <row r="2242" spans="1:12" x14ac:dyDescent="0.25">
      <c r="A2242" s="52" t="s">
        <v>3450</v>
      </c>
      <c r="B2242" s="32" t="s">
        <v>137</v>
      </c>
      <c r="C2242" s="32" t="s">
        <v>337</v>
      </c>
      <c r="D2242" s="32" t="s">
        <v>35</v>
      </c>
      <c r="E2242" s="32" t="s">
        <v>38</v>
      </c>
      <c r="F2242" s="32">
        <v>1</v>
      </c>
      <c r="G2242" s="97">
        <v>12299</v>
      </c>
      <c r="H2242" s="32">
        <v>72</v>
      </c>
      <c r="I2242" s="45">
        <v>340.1</v>
      </c>
      <c r="J2242" s="45">
        <f>I2242*H2242</f>
        <v>24487.200000000001</v>
      </c>
      <c r="K2242" s="45">
        <f t="shared" si="77"/>
        <v>36786.199999999997</v>
      </c>
      <c r="L2242" s="53">
        <v>20240312</v>
      </c>
    </row>
    <row r="2243" spans="1:12" x14ac:dyDescent="0.25">
      <c r="A2243" s="50" t="s">
        <v>3451</v>
      </c>
      <c r="B2243" s="30" t="s">
        <v>137</v>
      </c>
      <c r="C2243" s="30" t="s">
        <v>337</v>
      </c>
      <c r="D2243" s="30" t="s">
        <v>35</v>
      </c>
      <c r="E2243" s="30" t="s">
        <v>1318</v>
      </c>
      <c r="F2243" s="30">
        <v>1</v>
      </c>
      <c r="G2243" s="123">
        <v>12299</v>
      </c>
      <c r="H2243" s="30"/>
      <c r="I2243" s="44"/>
      <c r="J2243" s="44"/>
      <c r="K2243" s="44">
        <f t="shared" si="77"/>
        <v>12299</v>
      </c>
      <c r="L2243" s="51">
        <v>20240312</v>
      </c>
    </row>
    <row r="2244" spans="1:12" x14ac:dyDescent="0.25">
      <c r="A2244" s="50" t="s">
        <v>3416</v>
      </c>
      <c r="B2244" s="30" t="s">
        <v>137</v>
      </c>
      <c r="C2244" s="30" t="s">
        <v>654</v>
      </c>
      <c r="D2244" s="30" t="s">
        <v>1470</v>
      </c>
      <c r="E2244" s="30" t="s">
        <v>1560</v>
      </c>
      <c r="F2244" s="30">
        <v>1</v>
      </c>
      <c r="G2244" s="44">
        <v>13922</v>
      </c>
      <c r="H2244" s="30"/>
      <c r="I2244" s="44"/>
      <c r="J2244" s="44"/>
      <c r="K2244" s="44">
        <f t="shared" si="77"/>
        <v>13922</v>
      </c>
      <c r="L2244" s="51">
        <v>20240320</v>
      </c>
    </row>
    <row r="2245" spans="1:12" x14ac:dyDescent="0.25">
      <c r="A2245" s="50" t="s">
        <v>3404</v>
      </c>
      <c r="B2245" s="30" t="s">
        <v>137</v>
      </c>
      <c r="C2245" s="30" t="s">
        <v>654</v>
      </c>
      <c r="D2245" s="30" t="s">
        <v>1470</v>
      </c>
      <c r="E2245" s="30" t="s">
        <v>3003</v>
      </c>
      <c r="F2245" s="30">
        <v>1</v>
      </c>
      <c r="G2245" s="44">
        <v>13922</v>
      </c>
      <c r="H2245" s="30"/>
      <c r="I2245" s="44"/>
      <c r="J2245" s="44"/>
      <c r="K2245" s="44">
        <f t="shared" si="77"/>
        <v>13922</v>
      </c>
      <c r="L2245" s="51">
        <v>20240325</v>
      </c>
    </row>
    <row r="2246" spans="1:12" x14ac:dyDescent="0.25">
      <c r="A2246" s="50" t="s">
        <v>3420</v>
      </c>
      <c r="B2246" s="30" t="s">
        <v>137</v>
      </c>
      <c r="C2246" s="30" t="s">
        <v>29</v>
      </c>
      <c r="D2246" s="30" t="s">
        <v>1656</v>
      </c>
      <c r="E2246" s="30" t="s">
        <v>2348</v>
      </c>
      <c r="F2246" s="30">
        <v>1</v>
      </c>
      <c r="G2246" s="44">
        <v>13922</v>
      </c>
      <c r="H2246" s="30"/>
      <c r="I2246" s="44"/>
      <c r="J2246" s="44"/>
      <c r="K2246" s="44">
        <f t="shared" si="77"/>
        <v>13922</v>
      </c>
      <c r="L2246" s="51">
        <v>20240325</v>
      </c>
    </row>
    <row r="2247" spans="1:12" x14ac:dyDescent="0.25">
      <c r="A2247" s="50" t="s">
        <v>3421</v>
      </c>
      <c r="B2247" s="30" t="s">
        <v>137</v>
      </c>
      <c r="C2247" s="30" t="s">
        <v>29</v>
      </c>
      <c r="D2247" s="30" t="s">
        <v>1656</v>
      </c>
      <c r="E2247" s="30" t="s">
        <v>2324</v>
      </c>
      <c r="F2247" s="30">
        <v>1</v>
      </c>
      <c r="G2247" s="44">
        <v>13922</v>
      </c>
      <c r="H2247" s="30"/>
      <c r="I2247" s="44"/>
      <c r="J2247" s="44"/>
      <c r="K2247" s="44">
        <f t="shared" si="77"/>
        <v>13922</v>
      </c>
      <c r="L2247" s="51">
        <v>20240325</v>
      </c>
    </row>
    <row r="2248" spans="1:12" x14ac:dyDescent="0.25">
      <c r="A2248" s="50" t="s">
        <v>3422</v>
      </c>
      <c r="B2248" s="30" t="s">
        <v>137</v>
      </c>
      <c r="C2248" s="30" t="s">
        <v>29</v>
      </c>
      <c r="D2248" s="30" t="s">
        <v>1656</v>
      </c>
      <c r="E2248" s="30" t="s">
        <v>3154</v>
      </c>
      <c r="F2248" s="30">
        <v>1</v>
      </c>
      <c r="G2248" s="44">
        <v>13922</v>
      </c>
      <c r="H2248" s="30"/>
      <c r="I2248" s="44"/>
      <c r="J2248" s="44"/>
      <c r="K2248" s="44">
        <f t="shared" si="77"/>
        <v>13922</v>
      </c>
      <c r="L2248" s="51">
        <v>20240325</v>
      </c>
    </row>
    <row r="2249" spans="1:12" x14ac:dyDescent="0.25">
      <c r="A2249" s="50" t="s">
        <v>3407</v>
      </c>
      <c r="B2249" s="30" t="s">
        <v>137</v>
      </c>
      <c r="C2249" s="30" t="s">
        <v>26</v>
      </c>
      <c r="D2249" s="30" t="s">
        <v>2874</v>
      </c>
      <c r="E2249" s="30" t="s">
        <v>2875</v>
      </c>
      <c r="F2249" s="30">
        <v>1</v>
      </c>
      <c r="G2249" s="44">
        <v>13922</v>
      </c>
      <c r="H2249" s="30"/>
      <c r="I2249" s="44"/>
      <c r="J2249" s="44"/>
      <c r="K2249" s="44">
        <f t="shared" si="77"/>
        <v>13922</v>
      </c>
      <c r="L2249" s="51">
        <v>20240326</v>
      </c>
    </row>
    <row r="2250" spans="1:12" x14ac:dyDescent="0.25">
      <c r="A2250" s="50" t="s">
        <v>3408</v>
      </c>
      <c r="B2250" s="30" t="s">
        <v>137</v>
      </c>
      <c r="C2250" s="30" t="s">
        <v>26</v>
      </c>
      <c r="D2250" s="30" t="s">
        <v>2874</v>
      </c>
      <c r="E2250" s="30" t="s">
        <v>2890</v>
      </c>
      <c r="F2250" s="30">
        <v>1</v>
      </c>
      <c r="G2250" s="44">
        <v>13922</v>
      </c>
      <c r="H2250" s="30"/>
      <c r="I2250" s="44"/>
      <c r="J2250" s="44"/>
      <c r="K2250" s="44">
        <f t="shared" si="77"/>
        <v>13922</v>
      </c>
      <c r="L2250" s="51">
        <v>20240326</v>
      </c>
    </row>
    <row r="2251" spans="1:12" x14ac:dyDescent="0.25">
      <c r="A2251" s="50" t="s">
        <v>3409</v>
      </c>
      <c r="B2251" s="30" t="s">
        <v>137</v>
      </c>
      <c r="C2251" s="30" t="s">
        <v>26</v>
      </c>
      <c r="D2251" s="30" t="s">
        <v>2874</v>
      </c>
      <c r="E2251" s="30" t="s">
        <v>2877</v>
      </c>
      <c r="F2251" s="30">
        <v>1</v>
      </c>
      <c r="G2251" s="44">
        <v>13922</v>
      </c>
      <c r="H2251" s="30"/>
      <c r="I2251" s="44"/>
      <c r="J2251" s="44"/>
      <c r="K2251" s="44">
        <f t="shared" si="77"/>
        <v>13922</v>
      </c>
      <c r="L2251" s="51">
        <v>20240326</v>
      </c>
    </row>
    <row r="2252" spans="1:12" x14ac:dyDescent="0.25">
      <c r="A2252" s="50" t="s">
        <v>3410</v>
      </c>
      <c r="B2252" s="30" t="s">
        <v>137</v>
      </c>
      <c r="C2252" s="30" t="s">
        <v>26</v>
      </c>
      <c r="D2252" s="30" t="s">
        <v>2867</v>
      </c>
      <c r="E2252" s="30" t="s">
        <v>2868</v>
      </c>
      <c r="F2252" s="30">
        <v>1</v>
      </c>
      <c r="G2252" s="44">
        <v>13922</v>
      </c>
      <c r="H2252" s="30"/>
      <c r="I2252" s="44"/>
      <c r="J2252" s="44"/>
      <c r="K2252" s="44">
        <f t="shared" si="77"/>
        <v>13922</v>
      </c>
      <c r="L2252" s="51">
        <v>20240326</v>
      </c>
    </row>
    <row r="2253" spans="1:12" x14ac:dyDescent="0.25">
      <c r="A2253" s="50" t="s">
        <v>3411</v>
      </c>
      <c r="B2253" s="30" t="s">
        <v>137</v>
      </c>
      <c r="C2253" s="30" t="s">
        <v>26</v>
      </c>
      <c r="D2253" s="30" t="s">
        <v>2867</v>
      </c>
      <c r="E2253" s="30" t="s">
        <v>2870</v>
      </c>
      <c r="F2253" s="30">
        <v>1</v>
      </c>
      <c r="G2253" s="44">
        <v>13922</v>
      </c>
      <c r="H2253" s="30"/>
      <c r="I2253" s="44"/>
      <c r="J2253" s="44"/>
      <c r="K2253" s="44">
        <f t="shared" si="77"/>
        <v>13922</v>
      </c>
      <c r="L2253" s="51">
        <v>20240326</v>
      </c>
    </row>
    <row r="2254" spans="1:12" x14ac:dyDescent="0.25">
      <c r="A2254" s="50" t="s">
        <v>3413</v>
      </c>
      <c r="B2254" s="30" t="s">
        <v>137</v>
      </c>
      <c r="C2254" s="30" t="s">
        <v>1021</v>
      </c>
      <c r="D2254" s="30" t="s">
        <v>95</v>
      </c>
      <c r="E2254" s="30" t="s">
        <v>1022</v>
      </c>
      <c r="F2254" s="30">
        <v>1</v>
      </c>
      <c r="G2254" s="44">
        <v>13922</v>
      </c>
      <c r="H2254" s="30"/>
      <c r="I2254" s="44"/>
      <c r="J2254" s="44"/>
      <c r="K2254" s="44">
        <f t="shared" si="77"/>
        <v>13922</v>
      </c>
      <c r="L2254" s="51">
        <v>20240327</v>
      </c>
    </row>
    <row r="2255" spans="1:12" x14ac:dyDescent="0.25">
      <c r="A2255" s="50" t="s">
        <v>3414</v>
      </c>
      <c r="B2255" s="30" t="s">
        <v>137</v>
      </c>
      <c r="C2255" s="30" t="s">
        <v>654</v>
      </c>
      <c r="D2255" s="30" t="s">
        <v>1470</v>
      </c>
      <c r="E2255" s="30" t="s">
        <v>2084</v>
      </c>
      <c r="F2255" s="30">
        <v>1</v>
      </c>
      <c r="G2255" s="44">
        <v>13922</v>
      </c>
      <c r="H2255" s="30"/>
      <c r="I2255" s="44"/>
      <c r="J2255" s="44"/>
      <c r="K2255" s="44">
        <f t="shared" si="77"/>
        <v>13922</v>
      </c>
      <c r="L2255" s="51">
        <v>20240327</v>
      </c>
    </row>
    <row r="2256" spans="1:12" x14ac:dyDescent="0.25">
      <c r="A2256" s="50" t="s">
        <v>3415</v>
      </c>
      <c r="B2256" s="30" t="s">
        <v>137</v>
      </c>
      <c r="C2256" s="30" t="s">
        <v>654</v>
      </c>
      <c r="D2256" s="30" t="s">
        <v>1470</v>
      </c>
      <c r="E2256" s="30" t="s">
        <v>1558</v>
      </c>
      <c r="F2256" s="30">
        <v>1</v>
      </c>
      <c r="G2256" s="44">
        <v>13922</v>
      </c>
      <c r="H2256" s="30"/>
      <c r="I2256" s="44"/>
      <c r="J2256" s="44"/>
      <c r="K2256" s="44">
        <f t="shared" si="77"/>
        <v>13922</v>
      </c>
      <c r="L2256" s="51">
        <v>20240327</v>
      </c>
    </row>
    <row r="2257" spans="1:12" x14ac:dyDescent="0.25">
      <c r="A2257" s="50" t="s">
        <v>3417</v>
      </c>
      <c r="B2257" s="30" t="s">
        <v>137</v>
      </c>
      <c r="C2257" s="30" t="s">
        <v>654</v>
      </c>
      <c r="D2257" s="30" t="s">
        <v>1470</v>
      </c>
      <c r="E2257" s="30" t="s">
        <v>1562</v>
      </c>
      <c r="F2257" s="30">
        <v>1</v>
      </c>
      <c r="G2257" s="44">
        <v>13922</v>
      </c>
      <c r="H2257" s="30"/>
      <c r="I2257" s="44"/>
      <c r="J2257" s="44"/>
      <c r="K2257" s="44">
        <f t="shared" si="77"/>
        <v>13922</v>
      </c>
      <c r="L2257" s="51">
        <v>20240327</v>
      </c>
    </row>
    <row r="2258" spans="1:12" x14ac:dyDescent="0.25">
      <c r="A2258" s="50" t="s">
        <v>3418</v>
      </c>
      <c r="B2258" s="30" t="s">
        <v>137</v>
      </c>
      <c r="C2258" s="30" t="s">
        <v>654</v>
      </c>
      <c r="D2258" s="30" t="s">
        <v>1470</v>
      </c>
      <c r="E2258" s="30" t="s">
        <v>1471</v>
      </c>
      <c r="F2258" s="30">
        <v>1</v>
      </c>
      <c r="G2258" s="44">
        <v>12299</v>
      </c>
      <c r="H2258" s="30"/>
      <c r="I2258" s="44"/>
      <c r="J2258" s="44"/>
      <c r="K2258" s="44">
        <f t="shared" si="77"/>
        <v>12299</v>
      </c>
      <c r="L2258" s="51">
        <v>20240327</v>
      </c>
    </row>
    <row r="2259" spans="1:12" x14ac:dyDescent="0.25">
      <c r="A2259" s="50" t="s">
        <v>3423</v>
      </c>
      <c r="B2259" s="30" t="s">
        <v>137</v>
      </c>
      <c r="C2259" s="30" t="s">
        <v>94</v>
      </c>
      <c r="D2259" s="30" t="s">
        <v>95</v>
      </c>
      <c r="E2259" s="30" t="s">
        <v>262</v>
      </c>
      <c r="F2259" s="30">
        <v>1</v>
      </c>
      <c r="G2259" s="44">
        <v>13922</v>
      </c>
      <c r="H2259" s="30"/>
      <c r="I2259" s="44"/>
      <c r="J2259" s="44"/>
      <c r="K2259" s="44">
        <f t="shared" si="77"/>
        <v>13922</v>
      </c>
      <c r="L2259" s="51">
        <v>20240329</v>
      </c>
    </row>
    <row r="2260" spans="1:12" x14ac:dyDescent="0.25">
      <c r="A2260" s="50" t="s">
        <v>3424</v>
      </c>
      <c r="B2260" s="30" t="s">
        <v>137</v>
      </c>
      <c r="C2260" s="30" t="s">
        <v>94</v>
      </c>
      <c r="D2260" s="30" t="s">
        <v>95</v>
      </c>
      <c r="E2260" s="30" t="s">
        <v>1083</v>
      </c>
      <c r="F2260" s="30">
        <v>1</v>
      </c>
      <c r="G2260" s="44">
        <v>13922</v>
      </c>
      <c r="H2260" s="30"/>
      <c r="I2260" s="44"/>
      <c r="J2260" s="44"/>
      <c r="K2260" s="44">
        <f t="shared" si="77"/>
        <v>13922</v>
      </c>
      <c r="L2260" s="51">
        <v>20240329</v>
      </c>
    </row>
    <row r="2261" spans="1:12" x14ac:dyDescent="0.25">
      <c r="A2261" s="50" t="s">
        <v>3425</v>
      </c>
      <c r="B2261" s="30" t="s">
        <v>137</v>
      </c>
      <c r="C2261" s="30" t="s">
        <v>94</v>
      </c>
      <c r="D2261" s="30" t="s">
        <v>95</v>
      </c>
      <c r="E2261" s="30" t="s">
        <v>1398</v>
      </c>
      <c r="F2261" s="30">
        <v>1</v>
      </c>
      <c r="G2261" s="44">
        <v>13922</v>
      </c>
      <c r="H2261" s="30"/>
      <c r="I2261" s="44"/>
      <c r="J2261" s="44"/>
      <c r="K2261" s="44">
        <f t="shared" si="77"/>
        <v>13922</v>
      </c>
      <c r="L2261" s="51">
        <v>20240329</v>
      </c>
    </row>
    <row r="2262" spans="1:12" x14ac:dyDescent="0.25">
      <c r="A2262" s="50" t="s">
        <v>3426</v>
      </c>
      <c r="B2262" s="30" t="s">
        <v>137</v>
      </c>
      <c r="C2262" s="30" t="s">
        <v>94</v>
      </c>
      <c r="D2262" s="30" t="s">
        <v>95</v>
      </c>
      <c r="E2262" s="30" t="s">
        <v>1085</v>
      </c>
      <c r="F2262" s="30">
        <v>1</v>
      </c>
      <c r="G2262" s="44">
        <v>13922</v>
      </c>
      <c r="H2262" s="30"/>
      <c r="I2262" s="44"/>
      <c r="J2262" s="44"/>
      <c r="K2262" s="44">
        <f t="shared" si="77"/>
        <v>13922</v>
      </c>
      <c r="L2262" s="51">
        <v>20240329</v>
      </c>
    </row>
    <row r="2263" spans="1:12" x14ac:dyDescent="0.25">
      <c r="A2263" s="50" t="s">
        <v>3427</v>
      </c>
      <c r="B2263" s="30" t="s">
        <v>137</v>
      </c>
      <c r="C2263" s="30" t="s">
        <v>94</v>
      </c>
      <c r="D2263" s="30" t="s">
        <v>95</v>
      </c>
      <c r="E2263" s="30" t="s">
        <v>260</v>
      </c>
      <c r="F2263" s="30">
        <v>1</v>
      </c>
      <c r="G2263" s="44">
        <v>13922</v>
      </c>
      <c r="H2263" s="30"/>
      <c r="I2263" s="44"/>
      <c r="J2263" s="44"/>
      <c r="K2263" s="44">
        <f t="shared" si="77"/>
        <v>13922</v>
      </c>
      <c r="L2263" s="51">
        <v>20240329</v>
      </c>
    </row>
    <row r="2264" spans="1:12" x14ac:dyDescent="0.25">
      <c r="A2264" s="50" t="s">
        <v>3428</v>
      </c>
      <c r="B2264" s="30" t="s">
        <v>137</v>
      </c>
      <c r="C2264" s="30" t="s">
        <v>94</v>
      </c>
      <c r="D2264" s="30" t="s">
        <v>95</v>
      </c>
      <c r="E2264" s="30" t="s">
        <v>2855</v>
      </c>
      <c r="F2264" s="30">
        <v>1</v>
      </c>
      <c r="G2264" s="44">
        <v>13922</v>
      </c>
      <c r="H2264" s="30"/>
      <c r="I2264" s="44"/>
      <c r="J2264" s="44"/>
      <c r="K2264" s="44">
        <f t="shared" si="77"/>
        <v>13922</v>
      </c>
      <c r="L2264" s="51">
        <v>20240329</v>
      </c>
    </row>
    <row r="2265" spans="1:12" x14ac:dyDescent="0.25">
      <c r="A2265" s="50" t="s">
        <v>3429</v>
      </c>
      <c r="B2265" s="30" t="s">
        <v>137</v>
      </c>
      <c r="C2265" s="30" t="s">
        <v>94</v>
      </c>
      <c r="D2265" s="30" t="s">
        <v>95</v>
      </c>
      <c r="E2265" s="30" t="s">
        <v>458</v>
      </c>
      <c r="F2265" s="30">
        <v>1</v>
      </c>
      <c r="G2265" s="44">
        <v>13922</v>
      </c>
      <c r="H2265" s="30"/>
      <c r="I2265" s="44"/>
      <c r="J2265" s="44"/>
      <c r="K2265" s="44">
        <f t="shared" si="77"/>
        <v>13922</v>
      </c>
      <c r="L2265" s="51">
        <v>20240329</v>
      </c>
    </row>
    <row r="2266" spans="1:12" x14ac:dyDescent="0.25">
      <c r="A2266" s="50" t="s">
        <v>3430</v>
      </c>
      <c r="B2266" s="30" t="s">
        <v>137</v>
      </c>
      <c r="C2266" s="30" t="s">
        <v>94</v>
      </c>
      <c r="D2266" s="30" t="s">
        <v>95</v>
      </c>
      <c r="E2266" s="30" t="s">
        <v>2404</v>
      </c>
      <c r="F2266" s="30">
        <v>1</v>
      </c>
      <c r="G2266" s="44">
        <v>13922</v>
      </c>
      <c r="H2266" s="30"/>
      <c r="I2266" s="44"/>
      <c r="J2266" s="44"/>
      <c r="K2266" s="44">
        <f t="shared" si="77"/>
        <v>13922</v>
      </c>
      <c r="L2266" s="51">
        <v>20240329</v>
      </c>
    </row>
    <row r="2267" spans="1:12" x14ac:dyDescent="0.25">
      <c r="A2267" s="50" t="s">
        <v>3431</v>
      </c>
      <c r="B2267" s="30" t="s">
        <v>137</v>
      </c>
      <c r="C2267" s="30" t="s">
        <v>94</v>
      </c>
      <c r="D2267" s="30" t="s">
        <v>95</v>
      </c>
      <c r="E2267" s="30" t="s">
        <v>2674</v>
      </c>
      <c r="F2267" s="30">
        <v>1</v>
      </c>
      <c r="G2267" s="44">
        <v>13922</v>
      </c>
      <c r="H2267" s="30"/>
      <c r="I2267" s="44"/>
      <c r="J2267" s="44"/>
      <c r="K2267" s="44">
        <f t="shared" si="77"/>
        <v>13922</v>
      </c>
      <c r="L2267" s="51">
        <v>20240329</v>
      </c>
    </row>
    <row r="2268" spans="1:12" x14ac:dyDescent="0.25">
      <c r="A2268" s="50" t="s">
        <v>3432</v>
      </c>
      <c r="B2268" s="30" t="s">
        <v>137</v>
      </c>
      <c r="C2268" s="30" t="s">
        <v>94</v>
      </c>
      <c r="D2268" s="30" t="s">
        <v>95</v>
      </c>
      <c r="E2268" s="30" t="s">
        <v>2583</v>
      </c>
      <c r="F2268" s="30">
        <v>1</v>
      </c>
      <c r="G2268" s="44">
        <v>13922</v>
      </c>
      <c r="H2268" s="30"/>
      <c r="I2268" s="44"/>
      <c r="J2268" s="44"/>
      <c r="K2268" s="44">
        <f t="shared" si="77"/>
        <v>13922</v>
      </c>
      <c r="L2268" s="51">
        <v>20240329</v>
      </c>
    </row>
    <row r="2269" spans="1:12" x14ac:dyDescent="0.25">
      <c r="A2269" s="50" t="s">
        <v>3419</v>
      </c>
      <c r="B2269" s="30" t="s">
        <v>137</v>
      </c>
      <c r="C2269" s="30" t="s">
        <v>1393</v>
      </c>
      <c r="D2269" s="30" t="s">
        <v>1394</v>
      </c>
      <c r="E2269" s="30" t="s">
        <v>2163</v>
      </c>
      <c r="F2269" s="30">
        <v>1</v>
      </c>
      <c r="G2269" s="44">
        <v>13922</v>
      </c>
      <c r="H2269" s="30"/>
      <c r="I2269" s="44"/>
      <c r="J2269" s="44"/>
      <c r="K2269" s="44">
        <f t="shared" si="77"/>
        <v>13922</v>
      </c>
      <c r="L2269" s="51">
        <v>20240330</v>
      </c>
    </row>
    <row r="2273" spans="1:12" ht="15.75" thickBot="1" x14ac:dyDescent="0.3">
      <c r="A2273" s="69" t="s">
        <v>0</v>
      </c>
      <c r="B2273" s="70" t="s">
        <v>1</v>
      </c>
      <c r="C2273" s="70" t="s">
        <v>2</v>
      </c>
      <c r="D2273" s="70" t="s">
        <v>3</v>
      </c>
      <c r="E2273" s="70" t="s">
        <v>4</v>
      </c>
      <c r="F2273" s="70"/>
      <c r="G2273" s="71" t="s">
        <v>6</v>
      </c>
      <c r="H2273" s="70" t="s">
        <v>7</v>
      </c>
      <c r="I2273" s="71" t="s">
        <v>8</v>
      </c>
      <c r="J2273" s="71" t="s">
        <v>9</v>
      </c>
      <c r="K2273" s="71" t="s">
        <v>10</v>
      </c>
      <c r="L2273" s="72" t="s">
        <v>5</v>
      </c>
    </row>
    <row r="2274" spans="1:12" x14ac:dyDescent="0.25">
      <c r="A2274" s="77" t="s">
        <v>3522</v>
      </c>
      <c r="B2274" s="78" t="s">
        <v>11</v>
      </c>
      <c r="C2274" s="78" t="s">
        <v>270</v>
      </c>
      <c r="D2274" s="78" t="s">
        <v>3523</v>
      </c>
      <c r="E2274" s="78" t="s">
        <v>3524</v>
      </c>
      <c r="F2274" s="78">
        <v>1</v>
      </c>
      <c r="G2274" s="79">
        <v>27840</v>
      </c>
      <c r="H2274" s="78">
        <v>173</v>
      </c>
      <c r="I2274" s="79">
        <v>379.2</v>
      </c>
      <c r="J2274" s="79">
        <f>I2274*H2274</f>
        <v>65601.599999999991</v>
      </c>
      <c r="K2274" s="79">
        <f t="shared" ref="K2274:K2316" si="78">J2274+G2274</f>
        <v>93441.599999999991</v>
      </c>
      <c r="L2274" s="80">
        <v>20240403</v>
      </c>
    </row>
    <row r="2275" spans="1:12" x14ac:dyDescent="0.25">
      <c r="A2275" s="50" t="s">
        <v>3529</v>
      </c>
      <c r="B2275" s="30" t="s">
        <v>11</v>
      </c>
      <c r="C2275" s="30" t="s">
        <v>53</v>
      </c>
      <c r="D2275" s="30" t="s">
        <v>24</v>
      </c>
      <c r="E2275" s="30" t="s">
        <v>1281</v>
      </c>
      <c r="F2275" s="30">
        <v>1</v>
      </c>
      <c r="G2275" s="44">
        <v>27840</v>
      </c>
      <c r="H2275" s="30"/>
      <c r="I2275" s="44"/>
      <c r="J2275" s="44"/>
      <c r="K2275" s="44">
        <f t="shared" si="78"/>
        <v>27840</v>
      </c>
      <c r="L2275" s="51">
        <v>20240403</v>
      </c>
    </row>
    <row r="2276" spans="1:12" x14ac:dyDescent="0.25">
      <c r="A2276" s="50" t="s">
        <v>3515</v>
      </c>
      <c r="B2276" s="30" t="s">
        <v>11</v>
      </c>
      <c r="C2276" s="30" t="s">
        <v>26</v>
      </c>
      <c r="D2276" s="30" t="s">
        <v>616</v>
      </c>
      <c r="E2276" s="30" t="s">
        <v>619</v>
      </c>
      <c r="F2276" s="30">
        <v>1</v>
      </c>
      <c r="G2276" s="44">
        <v>27840</v>
      </c>
      <c r="H2276" s="30"/>
      <c r="I2276" s="44"/>
      <c r="J2276" s="44"/>
      <c r="K2276" s="44">
        <f t="shared" si="78"/>
        <v>27840</v>
      </c>
      <c r="L2276" s="51">
        <v>20240404</v>
      </c>
    </row>
    <row r="2277" spans="1:12" x14ac:dyDescent="0.25">
      <c r="A2277" s="50" t="s">
        <v>3516</v>
      </c>
      <c r="B2277" s="30" t="s">
        <v>11</v>
      </c>
      <c r="C2277" s="30" t="s">
        <v>29</v>
      </c>
      <c r="D2277" s="30" t="s">
        <v>735</v>
      </c>
      <c r="E2277" s="30" t="s">
        <v>736</v>
      </c>
      <c r="F2277" s="30">
        <v>1</v>
      </c>
      <c r="G2277" s="44">
        <v>27840</v>
      </c>
      <c r="H2277" s="30"/>
      <c r="I2277" s="44"/>
      <c r="J2277" s="44"/>
      <c r="K2277" s="44">
        <f t="shared" si="78"/>
        <v>27840</v>
      </c>
      <c r="L2277" s="51">
        <v>20240404</v>
      </c>
    </row>
    <row r="2278" spans="1:12" x14ac:dyDescent="0.25">
      <c r="A2278" s="50" t="s">
        <v>3517</v>
      </c>
      <c r="B2278" s="30" t="s">
        <v>11</v>
      </c>
      <c r="C2278" s="30" t="s">
        <v>1450</v>
      </c>
      <c r="D2278" s="30" t="s">
        <v>1592</v>
      </c>
      <c r="E2278" s="30" t="s">
        <v>1593</v>
      </c>
      <c r="F2278" s="30">
        <v>1</v>
      </c>
      <c r="G2278" s="44">
        <v>27840</v>
      </c>
      <c r="H2278" s="30"/>
      <c r="I2278" s="44"/>
      <c r="J2278" s="44"/>
      <c r="K2278" s="44">
        <f t="shared" si="78"/>
        <v>27840</v>
      </c>
      <c r="L2278" s="51">
        <v>20240404</v>
      </c>
    </row>
    <row r="2279" spans="1:12" x14ac:dyDescent="0.25">
      <c r="A2279" s="50" t="s">
        <v>3512</v>
      </c>
      <c r="B2279" s="30" t="s">
        <v>11</v>
      </c>
      <c r="C2279" s="30" t="s">
        <v>134</v>
      </c>
      <c r="D2279" s="30" t="s">
        <v>135</v>
      </c>
      <c r="E2279" s="30" t="s">
        <v>3513</v>
      </c>
      <c r="F2279" s="30">
        <v>1</v>
      </c>
      <c r="G2279" s="44">
        <v>27840</v>
      </c>
      <c r="H2279" s="30"/>
      <c r="I2279" s="44"/>
      <c r="J2279" s="44"/>
      <c r="K2279" s="44">
        <f t="shared" si="78"/>
        <v>27840</v>
      </c>
      <c r="L2279" s="51">
        <v>20240405</v>
      </c>
    </row>
    <row r="2280" spans="1:12" x14ac:dyDescent="0.25">
      <c r="A2280" s="50" t="s">
        <v>3509</v>
      </c>
      <c r="B2280" s="30" t="s">
        <v>11</v>
      </c>
      <c r="C2280" s="30" t="s">
        <v>29</v>
      </c>
      <c r="D2280" s="30" t="s">
        <v>735</v>
      </c>
      <c r="E2280" s="30" t="s">
        <v>736</v>
      </c>
      <c r="F2280" s="30">
        <v>1</v>
      </c>
      <c r="G2280" s="44">
        <v>27840</v>
      </c>
      <c r="H2280" s="30"/>
      <c r="I2280" s="44"/>
      <c r="J2280" s="44"/>
      <c r="K2280" s="44">
        <f t="shared" si="78"/>
        <v>27840</v>
      </c>
      <c r="L2280" s="51">
        <v>20240408</v>
      </c>
    </row>
    <row r="2281" spans="1:12" x14ac:dyDescent="0.25">
      <c r="A2281" s="50" t="s">
        <v>3511</v>
      </c>
      <c r="B2281" s="30" t="s">
        <v>11</v>
      </c>
      <c r="C2281" s="30" t="s">
        <v>51</v>
      </c>
      <c r="D2281" s="30" t="s">
        <v>24</v>
      </c>
      <c r="E2281" s="30" t="s">
        <v>52</v>
      </c>
      <c r="F2281" s="30">
        <v>1</v>
      </c>
      <c r="G2281" s="44">
        <v>27840</v>
      </c>
      <c r="H2281" s="30"/>
      <c r="I2281" s="44"/>
      <c r="J2281" s="44"/>
      <c r="K2281" s="44">
        <f t="shared" si="78"/>
        <v>27840</v>
      </c>
      <c r="L2281" s="51">
        <v>20240408</v>
      </c>
    </row>
    <row r="2282" spans="1:12" x14ac:dyDescent="0.25">
      <c r="A2282" s="52" t="s">
        <v>3510</v>
      </c>
      <c r="B2282" s="32" t="s">
        <v>11</v>
      </c>
      <c r="C2282" s="32" t="s">
        <v>29</v>
      </c>
      <c r="D2282" s="32" t="s">
        <v>30</v>
      </c>
      <c r="E2282" s="32" t="s">
        <v>509</v>
      </c>
      <c r="F2282" s="32">
        <v>1</v>
      </c>
      <c r="G2282" s="45">
        <v>27840</v>
      </c>
      <c r="H2282" s="32">
        <v>158</v>
      </c>
      <c r="I2282" s="45">
        <v>379.2</v>
      </c>
      <c r="J2282" s="45">
        <f>I2282*H2282</f>
        <v>59913.599999999999</v>
      </c>
      <c r="K2282" s="45">
        <f t="shared" si="78"/>
        <v>87753.600000000006</v>
      </c>
      <c r="L2282" s="53">
        <v>20240409</v>
      </c>
    </row>
    <row r="2283" spans="1:12" x14ac:dyDescent="0.25">
      <c r="A2283" s="50" t="s">
        <v>3514</v>
      </c>
      <c r="B2283" s="30" t="s">
        <v>11</v>
      </c>
      <c r="C2283" s="30" t="s">
        <v>654</v>
      </c>
      <c r="D2283" s="30" t="s">
        <v>655</v>
      </c>
      <c r="E2283" s="30" t="s">
        <v>662</v>
      </c>
      <c r="F2283" s="30">
        <v>1</v>
      </c>
      <c r="G2283" s="44">
        <v>27840</v>
      </c>
      <c r="H2283" s="30"/>
      <c r="I2283" s="44"/>
      <c r="J2283" s="44"/>
      <c r="K2283" s="44">
        <f t="shared" si="78"/>
        <v>27840</v>
      </c>
      <c r="L2283" s="51">
        <v>20240410</v>
      </c>
    </row>
    <row r="2284" spans="1:12" x14ac:dyDescent="0.25">
      <c r="A2284" s="50" t="s">
        <v>3500</v>
      </c>
      <c r="B2284" s="30" t="s">
        <v>11</v>
      </c>
      <c r="C2284" s="30" t="s">
        <v>51</v>
      </c>
      <c r="D2284" s="30" t="s">
        <v>24</v>
      </c>
      <c r="E2284" s="30" t="s">
        <v>52</v>
      </c>
      <c r="F2284" s="30">
        <v>1</v>
      </c>
      <c r="G2284" s="44">
        <v>27840</v>
      </c>
      <c r="H2284" s="30"/>
      <c r="I2284" s="44"/>
      <c r="J2284" s="44"/>
      <c r="K2284" s="44">
        <f t="shared" si="78"/>
        <v>27840</v>
      </c>
      <c r="L2284" s="51">
        <v>20240411</v>
      </c>
    </row>
    <row r="2285" spans="1:12" x14ac:dyDescent="0.25">
      <c r="A2285" s="50" t="s">
        <v>3501</v>
      </c>
      <c r="B2285" s="30" t="s">
        <v>11</v>
      </c>
      <c r="C2285" s="30" t="s">
        <v>172</v>
      </c>
      <c r="D2285" s="30" t="s">
        <v>703</v>
      </c>
      <c r="E2285" s="30" t="s">
        <v>706</v>
      </c>
      <c r="F2285" s="30">
        <v>1</v>
      </c>
      <c r="G2285" s="44">
        <v>27840</v>
      </c>
      <c r="H2285" s="30"/>
      <c r="I2285" s="44"/>
      <c r="J2285" s="44"/>
      <c r="K2285" s="44">
        <f t="shared" si="78"/>
        <v>27840</v>
      </c>
      <c r="L2285" s="51">
        <v>20240411</v>
      </c>
    </row>
    <row r="2286" spans="1:12" x14ac:dyDescent="0.25">
      <c r="A2286" s="50" t="s">
        <v>3502</v>
      </c>
      <c r="B2286" s="30" t="s">
        <v>11</v>
      </c>
      <c r="C2286" s="30" t="s">
        <v>936</v>
      </c>
      <c r="D2286" s="30" t="s">
        <v>937</v>
      </c>
      <c r="E2286" s="30" t="s">
        <v>3387</v>
      </c>
      <c r="F2286" s="30">
        <v>1</v>
      </c>
      <c r="G2286" s="44">
        <v>27840</v>
      </c>
      <c r="H2286" s="30"/>
      <c r="I2286" s="44"/>
      <c r="J2286" s="44"/>
      <c r="K2286" s="44">
        <f t="shared" si="78"/>
        <v>27840</v>
      </c>
      <c r="L2286" s="51">
        <v>20240411</v>
      </c>
    </row>
    <row r="2287" spans="1:12" x14ac:dyDescent="0.25">
      <c r="A2287" s="50" t="s">
        <v>3505</v>
      </c>
      <c r="B2287" s="30" t="s">
        <v>11</v>
      </c>
      <c r="C2287" s="30" t="s">
        <v>1450</v>
      </c>
      <c r="D2287" s="30" t="s">
        <v>1569</v>
      </c>
      <c r="E2287" s="30" t="s">
        <v>2440</v>
      </c>
      <c r="F2287" s="30">
        <v>1</v>
      </c>
      <c r="G2287" s="44">
        <v>27840</v>
      </c>
      <c r="H2287" s="30"/>
      <c r="I2287" s="44"/>
      <c r="J2287" s="44"/>
      <c r="K2287" s="44">
        <f t="shared" si="78"/>
        <v>27840</v>
      </c>
      <c r="L2287" s="51">
        <v>20240411</v>
      </c>
    </row>
    <row r="2288" spans="1:12" x14ac:dyDescent="0.25">
      <c r="A2288" s="50" t="s">
        <v>3521</v>
      </c>
      <c r="B2288" s="30" t="s">
        <v>11</v>
      </c>
      <c r="C2288" s="30" t="s">
        <v>29</v>
      </c>
      <c r="D2288" s="30" t="s">
        <v>24</v>
      </c>
      <c r="E2288" s="30" t="s">
        <v>1497</v>
      </c>
      <c r="F2288" s="30">
        <v>1</v>
      </c>
      <c r="G2288" s="44">
        <v>27840</v>
      </c>
      <c r="H2288" s="30"/>
      <c r="I2288" s="44"/>
      <c r="J2288" s="44"/>
      <c r="K2288" s="44">
        <f t="shared" si="78"/>
        <v>27840</v>
      </c>
      <c r="L2288" s="51">
        <v>20240411</v>
      </c>
    </row>
    <row r="2289" spans="1:12" x14ac:dyDescent="0.25">
      <c r="A2289" s="50" t="s">
        <v>3498</v>
      </c>
      <c r="B2289" s="30" t="s">
        <v>11</v>
      </c>
      <c r="C2289" s="30" t="s">
        <v>94</v>
      </c>
      <c r="D2289" s="30" t="s">
        <v>95</v>
      </c>
      <c r="E2289" s="30" t="s">
        <v>1085</v>
      </c>
      <c r="F2289" s="30">
        <v>1</v>
      </c>
      <c r="G2289" s="44">
        <v>27840</v>
      </c>
      <c r="H2289" s="30"/>
      <c r="I2289" s="44"/>
      <c r="J2289" s="44"/>
      <c r="K2289" s="44">
        <f t="shared" si="78"/>
        <v>27840</v>
      </c>
      <c r="L2289" s="51">
        <v>20240414</v>
      </c>
    </row>
    <row r="2290" spans="1:12" x14ac:dyDescent="0.25">
      <c r="A2290" s="50" t="s">
        <v>3508</v>
      </c>
      <c r="B2290" s="30" t="s">
        <v>11</v>
      </c>
      <c r="C2290" s="30" t="s">
        <v>94</v>
      </c>
      <c r="D2290" s="30" t="s">
        <v>95</v>
      </c>
      <c r="E2290" s="30" t="s">
        <v>326</v>
      </c>
      <c r="F2290" s="30">
        <v>1</v>
      </c>
      <c r="G2290" s="44">
        <v>27840</v>
      </c>
      <c r="H2290" s="30"/>
      <c r="I2290" s="44"/>
      <c r="J2290" s="44"/>
      <c r="K2290" s="44">
        <f t="shared" si="78"/>
        <v>27840</v>
      </c>
      <c r="L2290" s="51">
        <v>20240414</v>
      </c>
    </row>
    <row r="2291" spans="1:12" x14ac:dyDescent="0.25">
      <c r="A2291" s="50" t="s">
        <v>3497</v>
      </c>
      <c r="B2291" s="30" t="s">
        <v>11</v>
      </c>
      <c r="C2291" s="30" t="s">
        <v>29</v>
      </c>
      <c r="D2291" s="30" t="s">
        <v>1385</v>
      </c>
      <c r="E2291" s="30" t="s">
        <v>630</v>
      </c>
      <c r="F2291" s="30">
        <v>1</v>
      </c>
      <c r="G2291" s="44">
        <v>27840</v>
      </c>
      <c r="H2291" s="30"/>
      <c r="I2291" s="44"/>
      <c r="J2291" s="44"/>
      <c r="K2291" s="44">
        <f t="shared" si="78"/>
        <v>27840</v>
      </c>
      <c r="L2291" s="51">
        <v>20240415</v>
      </c>
    </row>
    <row r="2292" spans="1:12" x14ac:dyDescent="0.25">
      <c r="A2292" s="50" t="s">
        <v>3499</v>
      </c>
      <c r="B2292" s="30" t="s">
        <v>11</v>
      </c>
      <c r="C2292" s="30" t="s">
        <v>251</v>
      </c>
      <c r="D2292" s="30" t="s">
        <v>1202</v>
      </c>
      <c r="E2292" s="30" t="s">
        <v>1203</v>
      </c>
      <c r="F2292" s="30">
        <v>1</v>
      </c>
      <c r="G2292" s="44">
        <v>27840</v>
      </c>
      <c r="H2292" s="30"/>
      <c r="I2292" s="44"/>
      <c r="J2292" s="44"/>
      <c r="K2292" s="44">
        <f t="shared" si="78"/>
        <v>27840</v>
      </c>
      <c r="L2292" s="51">
        <v>20240415</v>
      </c>
    </row>
    <row r="2293" spans="1:12" x14ac:dyDescent="0.25">
      <c r="A2293" s="50" t="s">
        <v>3488</v>
      </c>
      <c r="B2293" s="30" t="s">
        <v>11</v>
      </c>
      <c r="C2293" s="30" t="s">
        <v>134</v>
      </c>
      <c r="D2293" s="30" t="s">
        <v>135</v>
      </c>
      <c r="E2293" s="30" t="s">
        <v>264</v>
      </c>
      <c r="F2293" s="30">
        <v>1</v>
      </c>
      <c r="G2293" s="44">
        <v>27840</v>
      </c>
      <c r="H2293" s="30"/>
      <c r="I2293" s="44"/>
      <c r="J2293" s="44"/>
      <c r="K2293" s="44">
        <f t="shared" si="78"/>
        <v>27840</v>
      </c>
      <c r="L2293" s="51">
        <v>20240416</v>
      </c>
    </row>
    <row r="2294" spans="1:12" x14ac:dyDescent="0.25">
      <c r="A2294" s="50" t="s">
        <v>3493</v>
      </c>
      <c r="B2294" s="30" t="s">
        <v>11</v>
      </c>
      <c r="C2294" s="30" t="s">
        <v>29</v>
      </c>
      <c r="D2294" s="30" t="s">
        <v>3494</v>
      </c>
      <c r="E2294" s="30" t="s">
        <v>3495</v>
      </c>
      <c r="F2294" s="30">
        <v>1</v>
      </c>
      <c r="G2294" s="44">
        <v>27840</v>
      </c>
      <c r="H2294" s="30"/>
      <c r="I2294" s="44"/>
      <c r="J2294" s="44"/>
      <c r="K2294" s="44">
        <f t="shared" si="78"/>
        <v>27840</v>
      </c>
      <c r="L2294" s="51">
        <v>20240416</v>
      </c>
    </row>
    <row r="2295" spans="1:12" x14ac:dyDescent="0.25">
      <c r="A2295" s="50" t="s">
        <v>3496</v>
      </c>
      <c r="B2295" s="30" t="s">
        <v>11</v>
      </c>
      <c r="C2295" s="30" t="s">
        <v>172</v>
      </c>
      <c r="D2295" s="30" t="s">
        <v>703</v>
      </c>
      <c r="E2295" s="30" t="s">
        <v>706</v>
      </c>
      <c r="F2295" s="30">
        <v>1</v>
      </c>
      <c r="G2295" s="44">
        <v>27840</v>
      </c>
      <c r="H2295" s="30"/>
      <c r="I2295" s="44"/>
      <c r="J2295" s="44"/>
      <c r="K2295" s="44">
        <f t="shared" si="78"/>
        <v>27840</v>
      </c>
      <c r="L2295" s="51">
        <v>20240416</v>
      </c>
    </row>
    <row r="2296" spans="1:12" x14ac:dyDescent="0.25">
      <c r="A2296" s="50" t="s">
        <v>3504</v>
      </c>
      <c r="B2296" s="30" t="s">
        <v>11</v>
      </c>
      <c r="C2296" s="30" t="s">
        <v>29</v>
      </c>
      <c r="D2296" s="30" t="s">
        <v>3494</v>
      </c>
      <c r="E2296" s="30" t="s">
        <v>2348</v>
      </c>
      <c r="F2296" s="30">
        <v>1</v>
      </c>
      <c r="G2296" s="44">
        <v>27840</v>
      </c>
      <c r="H2296" s="30"/>
      <c r="I2296" s="44"/>
      <c r="J2296" s="44"/>
      <c r="K2296" s="44">
        <f t="shared" si="78"/>
        <v>27840</v>
      </c>
      <c r="L2296" s="51">
        <v>20240416</v>
      </c>
    </row>
    <row r="2297" spans="1:12" x14ac:dyDescent="0.25">
      <c r="A2297" s="50" t="s">
        <v>3507</v>
      </c>
      <c r="B2297" s="30" t="s">
        <v>892</v>
      </c>
      <c r="C2297" s="30" t="s">
        <v>936</v>
      </c>
      <c r="D2297" s="30" t="s">
        <v>937</v>
      </c>
      <c r="E2297" s="30" t="s">
        <v>3458</v>
      </c>
      <c r="F2297" s="30">
        <v>1</v>
      </c>
      <c r="G2297" s="44">
        <v>27840</v>
      </c>
      <c r="H2297" s="30"/>
      <c r="I2297" s="44"/>
      <c r="J2297" s="44"/>
      <c r="K2297" s="44">
        <f t="shared" si="78"/>
        <v>27840</v>
      </c>
      <c r="L2297" s="51">
        <v>20240417</v>
      </c>
    </row>
    <row r="2298" spans="1:12" x14ac:dyDescent="0.25">
      <c r="A2298" s="50" t="s">
        <v>3530</v>
      </c>
      <c r="B2298" s="30" t="s">
        <v>1209</v>
      </c>
      <c r="C2298" s="30" t="s">
        <v>3531</v>
      </c>
      <c r="D2298" s="30" t="s">
        <v>475</v>
      </c>
      <c r="E2298" s="30" t="s">
        <v>3532</v>
      </c>
      <c r="F2298" s="30">
        <v>1</v>
      </c>
      <c r="G2298" s="44">
        <v>27840</v>
      </c>
      <c r="H2298" s="30"/>
      <c r="I2298" s="44"/>
      <c r="J2298" s="44"/>
      <c r="K2298" s="44">
        <f t="shared" si="78"/>
        <v>27840</v>
      </c>
      <c r="L2298" s="51">
        <v>20240417</v>
      </c>
    </row>
    <row r="2299" spans="1:12" x14ac:dyDescent="0.25">
      <c r="A2299" s="50" t="s">
        <v>3483</v>
      </c>
      <c r="B2299" s="30" t="s">
        <v>11</v>
      </c>
      <c r="C2299" s="30" t="s">
        <v>28</v>
      </c>
      <c r="D2299" s="30" t="s">
        <v>1099</v>
      </c>
      <c r="E2299" s="30" t="s">
        <v>1100</v>
      </c>
      <c r="F2299" s="30">
        <v>1</v>
      </c>
      <c r="G2299" s="44">
        <v>27840</v>
      </c>
      <c r="H2299" s="30"/>
      <c r="I2299" s="44"/>
      <c r="J2299" s="44"/>
      <c r="K2299" s="44">
        <f t="shared" si="78"/>
        <v>27840</v>
      </c>
      <c r="L2299" s="51">
        <v>20240419</v>
      </c>
    </row>
    <row r="2300" spans="1:12" x14ac:dyDescent="0.25">
      <c r="A2300" s="50" t="s">
        <v>3485</v>
      </c>
      <c r="B2300" s="30" t="s">
        <v>11</v>
      </c>
      <c r="C2300" s="30" t="s">
        <v>29</v>
      </c>
      <c r="D2300" s="30" t="s">
        <v>1385</v>
      </c>
      <c r="E2300" s="30" t="s">
        <v>3335</v>
      </c>
      <c r="F2300" s="30">
        <v>1</v>
      </c>
      <c r="G2300" s="44">
        <v>27840</v>
      </c>
      <c r="H2300" s="30"/>
      <c r="I2300" s="44"/>
      <c r="J2300" s="44"/>
      <c r="K2300" s="44">
        <f t="shared" si="78"/>
        <v>27840</v>
      </c>
      <c r="L2300" s="51">
        <v>20240419</v>
      </c>
    </row>
    <row r="2301" spans="1:12" x14ac:dyDescent="0.25">
      <c r="A2301" s="50" t="s">
        <v>3492</v>
      </c>
      <c r="B2301" s="30" t="s">
        <v>11</v>
      </c>
      <c r="C2301" s="30" t="s">
        <v>848</v>
      </c>
      <c r="D2301" s="30" t="s">
        <v>849</v>
      </c>
      <c r="E2301" s="30" t="s">
        <v>850</v>
      </c>
      <c r="F2301" s="30">
        <v>1</v>
      </c>
      <c r="G2301" s="44">
        <v>27840</v>
      </c>
      <c r="H2301" s="30"/>
      <c r="I2301" s="44"/>
      <c r="J2301" s="44"/>
      <c r="K2301" s="44">
        <f t="shared" si="78"/>
        <v>27840</v>
      </c>
      <c r="L2301" s="51">
        <v>20240419</v>
      </c>
    </row>
    <row r="2302" spans="1:12" x14ac:dyDescent="0.25">
      <c r="A2302" s="50" t="s">
        <v>3503</v>
      </c>
      <c r="B2302" s="30" t="s">
        <v>11</v>
      </c>
      <c r="C2302" s="30" t="s">
        <v>607</v>
      </c>
      <c r="D2302" s="30" t="s">
        <v>24</v>
      </c>
      <c r="E2302" s="30" t="s">
        <v>2118</v>
      </c>
      <c r="F2302" s="30">
        <v>1</v>
      </c>
      <c r="G2302" s="44">
        <v>27840</v>
      </c>
      <c r="H2302" s="30"/>
      <c r="I2302" s="44"/>
      <c r="J2302" s="44"/>
      <c r="K2302" s="44">
        <f t="shared" si="78"/>
        <v>27840</v>
      </c>
      <c r="L2302" s="51">
        <v>20240419</v>
      </c>
    </row>
    <row r="2303" spans="1:12" x14ac:dyDescent="0.25">
      <c r="A2303" s="50" t="s">
        <v>3486</v>
      </c>
      <c r="B2303" s="30" t="s">
        <v>11</v>
      </c>
      <c r="C2303" s="30" t="s">
        <v>26</v>
      </c>
      <c r="D2303" s="30" t="s">
        <v>3037</v>
      </c>
      <c r="E2303" s="30" t="s">
        <v>3046</v>
      </c>
      <c r="F2303" s="30">
        <v>1</v>
      </c>
      <c r="G2303" s="44">
        <v>27840</v>
      </c>
      <c r="H2303" s="30"/>
      <c r="I2303" s="44"/>
      <c r="J2303" s="44"/>
      <c r="K2303" s="44">
        <f t="shared" si="78"/>
        <v>27840</v>
      </c>
      <c r="L2303" s="51">
        <v>20240421</v>
      </c>
    </row>
    <row r="2304" spans="1:12" x14ac:dyDescent="0.25">
      <c r="A2304" s="50" t="s">
        <v>3487</v>
      </c>
      <c r="B2304" s="30" t="s">
        <v>11</v>
      </c>
      <c r="C2304" s="30" t="s">
        <v>28</v>
      </c>
      <c r="D2304" s="30" t="s">
        <v>3393</v>
      </c>
      <c r="E2304" s="30" t="s">
        <v>3394</v>
      </c>
      <c r="F2304" s="30">
        <v>1</v>
      </c>
      <c r="G2304" s="44">
        <v>27840</v>
      </c>
      <c r="H2304" s="30"/>
      <c r="I2304" s="44"/>
      <c r="J2304" s="44"/>
      <c r="K2304" s="44">
        <f t="shared" si="78"/>
        <v>27840</v>
      </c>
      <c r="L2304" s="51">
        <v>20240421</v>
      </c>
    </row>
    <row r="2305" spans="1:12" x14ac:dyDescent="0.25">
      <c r="A2305" s="50" t="s">
        <v>3506</v>
      </c>
      <c r="B2305" s="30" t="s">
        <v>11</v>
      </c>
      <c r="C2305" s="30" t="s">
        <v>29</v>
      </c>
      <c r="D2305" s="30" t="s">
        <v>1385</v>
      </c>
      <c r="E2305" s="30" t="s">
        <v>1386</v>
      </c>
      <c r="F2305" s="30">
        <v>1</v>
      </c>
      <c r="G2305" s="44">
        <v>27840</v>
      </c>
      <c r="H2305" s="30"/>
      <c r="I2305" s="44"/>
      <c r="J2305" s="44"/>
      <c r="K2305" s="44">
        <f t="shared" si="78"/>
        <v>27840</v>
      </c>
      <c r="L2305" s="51">
        <v>20240422</v>
      </c>
    </row>
    <row r="2306" spans="1:12" x14ac:dyDescent="0.25">
      <c r="A2306" s="50" t="s">
        <v>3480</v>
      </c>
      <c r="B2306" s="30" t="s">
        <v>11</v>
      </c>
      <c r="C2306" s="30" t="s">
        <v>26</v>
      </c>
      <c r="D2306" s="30" t="s">
        <v>226</v>
      </c>
      <c r="E2306" s="30" t="s">
        <v>728</v>
      </c>
      <c r="F2306" s="30">
        <v>1</v>
      </c>
      <c r="G2306" s="44">
        <v>27840</v>
      </c>
      <c r="H2306" s="30"/>
      <c r="I2306" s="44"/>
      <c r="J2306" s="44"/>
      <c r="K2306" s="44">
        <f t="shared" si="78"/>
        <v>27840</v>
      </c>
      <c r="L2306" s="51">
        <v>20240423</v>
      </c>
    </row>
    <row r="2307" spans="1:12" x14ac:dyDescent="0.25">
      <c r="A2307" s="52" t="s">
        <v>3482</v>
      </c>
      <c r="B2307" s="32" t="s">
        <v>11</v>
      </c>
      <c r="C2307" s="32" t="s">
        <v>26</v>
      </c>
      <c r="D2307" s="32" t="s">
        <v>226</v>
      </c>
      <c r="E2307" s="32" t="s">
        <v>730</v>
      </c>
      <c r="F2307" s="32">
        <v>1</v>
      </c>
      <c r="G2307" s="45">
        <v>27840</v>
      </c>
      <c r="H2307" s="32">
        <v>149</v>
      </c>
      <c r="I2307" s="45">
        <v>379.2</v>
      </c>
      <c r="J2307" s="45">
        <f>I2307*H2307</f>
        <v>56500.799999999996</v>
      </c>
      <c r="K2307" s="45">
        <f t="shared" si="78"/>
        <v>84340.799999999988</v>
      </c>
      <c r="L2307" s="53">
        <v>20240423</v>
      </c>
    </row>
    <row r="2308" spans="1:12" x14ac:dyDescent="0.25">
      <c r="A2308" s="50" t="s">
        <v>3484</v>
      </c>
      <c r="B2308" s="30" t="s">
        <v>1209</v>
      </c>
      <c r="C2308" s="30" t="s">
        <v>53</v>
      </c>
      <c r="D2308" s="30" t="s">
        <v>24</v>
      </c>
      <c r="E2308" s="30" t="s">
        <v>1281</v>
      </c>
      <c r="F2308" s="30">
        <v>1</v>
      </c>
      <c r="G2308" s="44">
        <v>27840</v>
      </c>
      <c r="H2308" s="30"/>
      <c r="I2308" s="44"/>
      <c r="J2308" s="44"/>
      <c r="K2308" s="44">
        <f t="shared" si="78"/>
        <v>27840</v>
      </c>
      <c r="L2308" s="51">
        <v>20240423</v>
      </c>
    </row>
    <row r="2309" spans="1:12" x14ac:dyDescent="0.25">
      <c r="A2309" s="50" t="s">
        <v>3489</v>
      </c>
      <c r="B2309" s="30" t="s">
        <v>11</v>
      </c>
      <c r="C2309" s="30" t="s">
        <v>28</v>
      </c>
      <c r="D2309" s="30" t="s">
        <v>3490</v>
      </c>
      <c r="E2309" s="30" t="s">
        <v>3491</v>
      </c>
      <c r="F2309" s="30">
        <v>1</v>
      </c>
      <c r="G2309" s="44">
        <v>27840</v>
      </c>
      <c r="H2309" s="30"/>
      <c r="I2309" s="44"/>
      <c r="J2309" s="44"/>
      <c r="K2309" s="44">
        <f t="shared" si="78"/>
        <v>27840</v>
      </c>
      <c r="L2309" s="51">
        <v>20240424</v>
      </c>
    </row>
    <row r="2310" spans="1:12" x14ac:dyDescent="0.25">
      <c r="A2310" s="50" t="s">
        <v>3476</v>
      </c>
      <c r="B2310" s="30" t="s">
        <v>11</v>
      </c>
      <c r="C2310" s="30" t="s">
        <v>364</v>
      </c>
      <c r="D2310" s="30" t="s">
        <v>24</v>
      </c>
      <c r="E2310" s="30" t="s">
        <v>365</v>
      </c>
      <c r="F2310" s="30">
        <v>1</v>
      </c>
      <c r="G2310" s="44">
        <v>27840</v>
      </c>
      <c r="H2310" s="30"/>
      <c r="I2310" s="44"/>
      <c r="J2310" s="44"/>
      <c r="K2310" s="44">
        <f t="shared" si="78"/>
        <v>27840</v>
      </c>
      <c r="L2310" s="51">
        <v>20240425</v>
      </c>
    </row>
    <row r="2311" spans="1:12" x14ac:dyDescent="0.25">
      <c r="A2311" s="52" t="s">
        <v>3479</v>
      </c>
      <c r="B2311" s="32" t="s">
        <v>11</v>
      </c>
      <c r="C2311" s="32" t="s">
        <v>270</v>
      </c>
      <c r="D2311" s="32" t="s">
        <v>494</v>
      </c>
      <c r="E2311" s="32" t="s">
        <v>495</v>
      </c>
      <c r="F2311" s="32">
        <v>1</v>
      </c>
      <c r="G2311" s="45">
        <v>27840</v>
      </c>
      <c r="H2311" s="32">
        <v>123</v>
      </c>
      <c r="I2311" s="45">
        <v>379.2</v>
      </c>
      <c r="J2311" s="45">
        <f>I2311*H2311</f>
        <v>46641.599999999999</v>
      </c>
      <c r="K2311" s="45">
        <f t="shared" si="78"/>
        <v>74481.600000000006</v>
      </c>
      <c r="L2311" s="53">
        <v>20240425</v>
      </c>
    </row>
    <row r="2312" spans="1:12" x14ac:dyDescent="0.25">
      <c r="A2312" s="50" t="s">
        <v>3478</v>
      </c>
      <c r="B2312" s="30" t="s">
        <v>11</v>
      </c>
      <c r="C2312" s="30" t="s">
        <v>94</v>
      </c>
      <c r="D2312" s="30" t="s">
        <v>95</v>
      </c>
      <c r="E2312" s="30" t="s">
        <v>436</v>
      </c>
      <c r="F2312" s="30">
        <v>1</v>
      </c>
      <c r="G2312" s="44">
        <v>27840</v>
      </c>
      <c r="H2312" s="30"/>
      <c r="I2312" s="44"/>
      <c r="J2312" s="44"/>
      <c r="K2312" s="44">
        <f t="shared" si="78"/>
        <v>27840</v>
      </c>
      <c r="L2312" s="51">
        <v>20240426</v>
      </c>
    </row>
    <row r="2313" spans="1:12" x14ac:dyDescent="0.25">
      <c r="A2313" s="50" t="s">
        <v>3477</v>
      </c>
      <c r="B2313" s="30" t="s">
        <v>11</v>
      </c>
      <c r="C2313" s="30" t="s">
        <v>94</v>
      </c>
      <c r="D2313" s="30" t="s">
        <v>95</v>
      </c>
      <c r="E2313" s="30" t="s">
        <v>1085</v>
      </c>
      <c r="F2313" s="30">
        <v>1</v>
      </c>
      <c r="G2313" s="44">
        <v>27840</v>
      </c>
      <c r="H2313" s="30"/>
      <c r="I2313" s="44"/>
      <c r="J2313" s="44"/>
      <c r="K2313" s="44">
        <f t="shared" si="78"/>
        <v>27840</v>
      </c>
      <c r="L2313" s="51">
        <v>20240428</v>
      </c>
    </row>
    <row r="2314" spans="1:12" x14ac:dyDescent="0.25">
      <c r="A2314" s="50" t="s">
        <v>3474</v>
      </c>
      <c r="B2314" s="30" t="s">
        <v>11</v>
      </c>
      <c r="C2314" s="30" t="s">
        <v>26</v>
      </c>
      <c r="D2314" s="30" t="s">
        <v>2867</v>
      </c>
      <c r="E2314" s="30" t="s">
        <v>2872</v>
      </c>
      <c r="F2314" s="30">
        <v>1</v>
      </c>
      <c r="G2314" s="44">
        <v>27840</v>
      </c>
      <c r="H2314" s="30"/>
      <c r="I2314" s="44"/>
      <c r="J2314" s="44"/>
      <c r="K2314" s="44">
        <f t="shared" si="78"/>
        <v>27840</v>
      </c>
      <c r="L2314" s="51">
        <v>20240429</v>
      </c>
    </row>
    <row r="2315" spans="1:12" x14ac:dyDescent="0.25">
      <c r="A2315" s="50" t="s">
        <v>3475</v>
      </c>
      <c r="B2315" s="30" t="s">
        <v>11</v>
      </c>
      <c r="C2315" s="30" t="s">
        <v>26</v>
      </c>
      <c r="D2315" s="30" t="s">
        <v>204</v>
      </c>
      <c r="E2315" s="30" t="s">
        <v>205</v>
      </c>
      <c r="F2315" s="30">
        <v>1</v>
      </c>
      <c r="G2315" s="44">
        <v>27840</v>
      </c>
      <c r="H2315" s="30"/>
      <c r="I2315" s="44"/>
      <c r="J2315" s="44"/>
      <c r="K2315" s="44">
        <f t="shared" si="78"/>
        <v>27840</v>
      </c>
      <c r="L2315" s="51">
        <v>20240429</v>
      </c>
    </row>
    <row r="2316" spans="1:12" ht="15.75" thickBot="1" x14ac:dyDescent="0.3">
      <c r="A2316" s="87" t="s">
        <v>3481</v>
      </c>
      <c r="B2316" s="88" t="s">
        <v>11</v>
      </c>
      <c r="C2316" s="88" t="s">
        <v>172</v>
      </c>
      <c r="D2316" s="88" t="s">
        <v>195</v>
      </c>
      <c r="E2316" s="88" t="s">
        <v>196</v>
      </c>
      <c r="F2316" s="88">
        <v>1</v>
      </c>
      <c r="G2316" s="89">
        <v>27840</v>
      </c>
      <c r="H2316" s="88">
        <v>56</v>
      </c>
      <c r="I2316" s="89">
        <v>379.2</v>
      </c>
      <c r="J2316" s="89">
        <f>I2316*H2316</f>
        <v>21235.200000000001</v>
      </c>
      <c r="K2316" s="89">
        <f t="shared" si="78"/>
        <v>49075.199999999997</v>
      </c>
      <c r="L2316" s="90">
        <v>20240429</v>
      </c>
    </row>
    <row r="2317" spans="1:12" ht="15.75" thickBot="1" x14ac:dyDescent="0.3">
      <c r="A2317" s="99"/>
      <c r="B2317" s="100"/>
      <c r="C2317" s="100"/>
      <c r="D2317" s="100"/>
      <c r="E2317" s="100"/>
      <c r="F2317" s="100"/>
      <c r="G2317" s="101"/>
      <c r="H2317" s="100"/>
      <c r="I2317" s="101"/>
      <c r="J2317" s="101"/>
      <c r="K2317" s="101"/>
      <c r="L2317" s="102"/>
    </row>
    <row r="2318" spans="1:12" x14ac:dyDescent="0.25">
      <c r="A2318" s="48" t="s">
        <v>3518</v>
      </c>
      <c r="B2318" s="34" t="s">
        <v>137</v>
      </c>
      <c r="C2318" s="34" t="s">
        <v>654</v>
      </c>
      <c r="D2318" s="34" t="s">
        <v>655</v>
      </c>
      <c r="E2318" s="34" t="s">
        <v>656</v>
      </c>
      <c r="F2318" s="34">
        <v>1</v>
      </c>
      <c r="G2318" s="64">
        <v>13922</v>
      </c>
      <c r="H2318" s="34"/>
      <c r="I2318" s="64"/>
      <c r="J2318" s="64"/>
      <c r="K2318" s="64">
        <f t="shared" ref="K2318:K2329" si="79">J2318+G2318</f>
        <v>13922</v>
      </c>
      <c r="L2318" s="49">
        <v>20240410</v>
      </c>
    </row>
    <row r="2319" spans="1:12" x14ac:dyDescent="0.25">
      <c r="A2319" s="50" t="s">
        <v>3519</v>
      </c>
      <c r="B2319" s="30" t="s">
        <v>137</v>
      </c>
      <c r="C2319" s="30" t="s">
        <v>654</v>
      </c>
      <c r="D2319" s="30" t="s">
        <v>655</v>
      </c>
      <c r="E2319" s="30" t="s">
        <v>658</v>
      </c>
      <c r="F2319" s="30">
        <v>1</v>
      </c>
      <c r="G2319" s="44">
        <v>13922</v>
      </c>
      <c r="H2319" s="30"/>
      <c r="I2319" s="44"/>
      <c r="J2319" s="44"/>
      <c r="K2319" s="44">
        <f t="shared" si="79"/>
        <v>13922</v>
      </c>
      <c r="L2319" s="51">
        <v>20240410</v>
      </c>
    </row>
    <row r="2320" spans="1:12" x14ac:dyDescent="0.25">
      <c r="A2320" s="50" t="s">
        <v>3520</v>
      </c>
      <c r="B2320" s="30" t="s">
        <v>137</v>
      </c>
      <c r="C2320" s="30" t="s">
        <v>654</v>
      </c>
      <c r="D2320" s="30" t="s">
        <v>655</v>
      </c>
      <c r="E2320" s="30" t="s">
        <v>2516</v>
      </c>
      <c r="F2320" s="30">
        <v>1</v>
      </c>
      <c r="G2320" s="44">
        <v>13922</v>
      </c>
      <c r="H2320" s="30"/>
      <c r="I2320" s="44"/>
      <c r="J2320" s="44"/>
      <c r="K2320" s="44">
        <f t="shared" si="79"/>
        <v>13922</v>
      </c>
      <c r="L2320" s="51">
        <v>20240410</v>
      </c>
    </row>
    <row r="2321" spans="1:12" x14ac:dyDescent="0.25">
      <c r="A2321" s="50" t="s">
        <v>3468</v>
      </c>
      <c r="B2321" s="30" t="s">
        <v>137</v>
      </c>
      <c r="C2321" s="30" t="s">
        <v>26</v>
      </c>
      <c r="D2321" s="30" t="s">
        <v>2867</v>
      </c>
      <c r="E2321" s="30" t="s">
        <v>2872</v>
      </c>
      <c r="F2321" s="30">
        <v>1</v>
      </c>
      <c r="G2321" s="44">
        <v>13922</v>
      </c>
      <c r="H2321" s="30"/>
      <c r="I2321" s="44"/>
      <c r="J2321" s="44"/>
      <c r="K2321" s="44">
        <f t="shared" si="79"/>
        <v>13922</v>
      </c>
      <c r="L2321" s="51">
        <v>20240430</v>
      </c>
    </row>
    <row r="2322" spans="1:12" x14ac:dyDescent="0.25">
      <c r="A2322" s="50" t="s">
        <v>3469</v>
      </c>
      <c r="B2322" s="30" t="s">
        <v>137</v>
      </c>
      <c r="C2322" s="30" t="s">
        <v>29</v>
      </c>
      <c r="D2322" s="30" t="s">
        <v>1656</v>
      </c>
      <c r="E2322" s="30" t="s">
        <v>2300</v>
      </c>
      <c r="F2322" s="30">
        <v>1</v>
      </c>
      <c r="G2322" s="44">
        <v>13922</v>
      </c>
      <c r="H2322" s="30"/>
      <c r="I2322" s="44"/>
      <c r="J2322" s="44"/>
      <c r="K2322" s="44">
        <f t="shared" si="79"/>
        <v>13922</v>
      </c>
      <c r="L2322" s="51">
        <v>20240430</v>
      </c>
    </row>
    <row r="2323" spans="1:12" x14ac:dyDescent="0.25">
      <c r="A2323" s="50" t="s">
        <v>3470</v>
      </c>
      <c r="B2323" s="30" t="s">
        <v>137</v>
      </c>
      <c r="C2323" s="30" t="s">
        <v>94</v>
      </c>
      <c r="D2323" s="30" t="s">
        <v>95</v>
      </c>
      <c r="E2323" s="30" t="s">
        <v>326</v>
      </c>
      <c r="F2323" s="30">
        <v>1</v>
      </c>
      <c r="G2323" s="44">
        <v>13922</v>
      </c>
      <c r="H2323" s="30"/>
      <c r="I2323" s="44"/>
      <c r="J2323" s="44"/>
      <c r="K2323" s="44">
        <f t="shared" si="79"/>
        <v>13922</v>
      </c>
      <c r="L2323" s="51">
        <v>20240430</v>
      </c>
    </row>
    <row r="2324" spans="1:12" x14ac:dyDescent="0.25">
      <c r="A2324" s="50" t="s">
        <v>3471</v>
      </c>
      <c r="B2324" s="30" t="s">
        <v>137</v>
      </c>
      <c r="C2324" s="30" t="s">
        <v>94</v>
      </c>
      <c r="D2324" s="30" t="s">
        <v>95</v>
      </c>
      <c r="E2324" s="30" t="s">
        <v>436</v>
      </c>
      <c r="F2324" s="30">
        <v>1</v>
      </c>
      <c r="G2324" s="44">
        <v>13922</v>
      </c>
      <c r="H2324" s="30"/>
      <c r="I2324" s="44"/>
      <c r="J2324" s="44"/>
      <c r="K2324" s="44">
        <f t="shared" si="79"/>
        <v>13922</v>
      </c>
      <c r="L2324" s="51">
        <v>20240430</v>
      </c>
    </row>
    <row r="2325" spans="1:12" x14ac:dyDescent="0.25">
      <c r="A2325" s="50" t="s">
        <v>3472</v>
      </c>
      <c r="B2325" s="30" t="s">
        <v>137</v>
      </c>
      <c r="C2325" s="30" t="s">
        <v>94</v>
      </c>
      <c r="D2325" s="30" t="s">
        <v>95</v>
      </c>
      <c r="E2325" s="30" t="s">
        <v>3473</v>
      </c>
      <c r="F2325" s="30">
        <v>1</v>
      </c>
      <c r="G2325" s="44">
        <v>13922</v>
      </c>
      <c r="H2325" s="30"/>
      <c r="I2325" s="44"/>
      <c r="J2325" s="44"/>
      <c r="K2325" s="44">
        <f t="shared" si="79"/>
        <v>13922</v>
      </c>
      <c r="L2325" s="51">
        <v>20240430</v>
      </c>
    </row>
    <row r="2326" spans="1:12" x14ac:dyDescent="0.25">
      <c r="A2326" s="50" t="s">
        <v>3525</v>
      </c>
      <c r="B2326" s="30" t="s">
        <v>137</v>
      </c>
      <c r="C2326" s="30" t="s">
        <v>2861</v>
      </c>
      <c r="D2326" s="30" t="s">
        <v>2892</v>
      </c>
      <c r="E2326" s="30" t="s">
        <v>2893</v>
      </c>
      <c r="F2326" s="30">
        <v>1</v>
      </c>
      <c r="G2326" s="44">
        <v>13922</v>
      </c>
      <c r="H2326" s="30"/>
      <c r="I2326" s="44"/>
      <c r="J2326" s="44"/>
      <c r="K2326" s="44">
        <f t="shared" si="79"/>
        <v>13922</v>
      </c>
      <c r="L2326" s="51">
        <v>20240430</v>
      </c>
    </row>
    <row r="2327" spans="1:12" x14ac:dyDescent="0.25">
      <c r="A2327" s="50" t="s">
        <v>3526</v>
      </c>
      <c r="B2327" s="30" t="s">
        <v>137</v>
      </c>
      <c r="C2327" s="30" t="s">
        <v>2111</v>
      </c>
      <c r="D2327" s="30" t="s">
        <v>2112</v>
      </c>
      <c r="E2327" s="30" t="s">
        <v>2113</v>
      </c>
      <c r="F2327" s="30">
        <v>1</v>
      </c>
      <c r="G2327" s="44">
        <v>13922</v>
      </c>
      <c r="H2327" s="30"/>
      <c r="I2327" s="44"/>
      <c r="J2327" s="44"/>
      <c r="K2327" s="44">
        <f t="shared" si="79"/>
        <v>13922</v>
      </c>
      <c r="L2327" s="51">
        <v>20240430</v>
      </c>
    </row>
    <row r="2328" spans="1:12" x14ac:dyDescent="0.25">
      <c r="A2328" s="50" t="s">
        <v>3527</v>
      </c>
      <c r="B2328" s="30" t="s">
        <v>137</v>
      </c>
      <c r="C2328" s="30" t="s">
        <v>2111</v>
      </c>
      <c r="D2328" s="30" t="s">
        <v>2112</v>
      </c>
      <c r="E2328" s="30" t="s">
        <v>2115</v>
      </c>
      <c r="F2328" s="30">
        <v>1</v>
      </c>
      <c r="G2328" s="44">
        <v>13922</v>
      </c>
      <c r="H2328" s="30"/>
      <c r="I2328" s="44"/>
      <c r="J2328" s="44"/>
      <c r="K2328" s="44">
        <f t="shared" si="79"/>
        <v>13922</v>
      </c>
      <c r="L2328" s="51">
        <v>20240430</v>
      </c>
    </row>
    <row r="2329" spans="1:12" ht="15.75" thickBot="1" x14ac:dyDescent="0.3">
      <c r="A2329" s="54" t="s">
        <v>3528</v>
      </c>
      <c r="B2329" s="36" t="s">
        <v>137</v>
      </c>
      <c r="C2329" s="36" t="s">
        <v>251</v>
      </c>
      <c r="D2329" s="36" t="s">
        <v>2780</v>
      </c>
      <c r="E2329" s="36" t="s">
        <v>3195</v>
      </c>
      <c r="F2329" s="36">
        <v>1</v>
      </c>
      <c r="G2329" s="65">
        <v>13922</v>
      </c>
      <c r="H2329" s="36"/>
      <c r="I2329" s="65"/>
      <c r="J2329" s="65"/>
      <c r="K2329" s="65">
        <f t="shared" si="79"/>
        <v>13922</v>
      </c>
      <c r="L2329" s="55">
        <v>20240430</v>
      </c>
    </row>
    <row r="2333" spans="1:12" ht="15.75" thickBot="1" x14ac:dyDescent="0.3">
      <c r="A2333" s="69" t="s">
        <v>0</v>
      </c>
      <c r="B2333" s="70" t="s">
        <v>1</v>
      </c>
      <c r="C2333" s="70" t="s">
        <v>2</v>
      </c>
      <c r="D2333" s="70" t="s">
        <v>3</v>
      </c>
      <c r="E2333" s="70" t="s">
        <v>4</v>
      </c>
      <c r="F2333" s="70"/>
      <c r="G2333" s="71" t="s">
        <v>6</v>
      </c>
      <c r="H2333" s="70" t="s">
        <v>7</v>
      </c>
      <c r="I2333" s="71" t="s">
        <v>8</v>
      </c>
      <c r="J2333" s="71" t="s">
        <v>9</v>
      </c>
      <c r="K2333" s="71" t="s">
        <v>10</v>
      </c>
      <c r="L2333" s="72" t="s">
        <v>5</v>
      </c>
    </row>
    <row r="2334" spans="1:12" x14ac:dyDescent="0.25">
      <c r="A2334" s="48" t="s">
        <v>3567</v>
      </c>
      <c r="B2334" s="34" t="s">
        <v>11</v>
      </c>
      <c r="C2334" s="34" t="s">
        <v>94</v>
      </c>
      <c r="D2334" s="34" t="s">
        <v>95</v>
      </c>
      <c r="E2334" s="34" t="s">
        <v>1083</v>
      </c>
      <c r="F2334" s="34">
        <v>1</v>
      </c>
      <c r="G2334" s="64">
        <v>30902</v>
      </c>
      <c r="H2334" s="34"/>
      <c r="I2334" s="64"/>
      <c r="J2334" s="64"/>
      <c r="K2334" s="64">
        <f t="shared" ref="K2334:K2368" si="80">J2334+G2334</f>
        <v>30902</v>
      </c>
      <c r="L2334" s="49">
        <v>20240502</v>
      </c>
    </row>
    <row r="2335" spans="1:12" x14ac:dyDescent="0.25">
      <c r="A2335" s="50" t="s">
        <v>3568</v>
      </c>
      <c r="B2335" s="30" t="s">
        <v>1209</v>
      </c>
      <c r="C2335" s="30" t="s">
        <v>654</v>
      </c>
      <c r="D2335" s="30" t="s">
        <v>655</v>
      </c>
      <c r="E2335" s="30" t="s">
        <v>3569</v>
      </c>
      <c r="F2335" s="30">
        <v>1</v>
      </c>
      <c r="G2335" s="44">
        <v>30902</v>
      </c>
      <c r="H2335" s="30"/>
      <c r="I2335" s="44"/>
      <c r="J2335" s="44"/>
      <c r="K2335" s="44">
        <f t="shared" si="80"/>
        <v>30902</v>
      </c>
      <c r="L2335" s="51">
        <v>20240502</v>
      </c>
    </row>
    <row r="2336" spans="1:12" x14ac:dyDescent="0.25">
      <c r="A2336" s="50" t="s">
        <v>3570</v>
      </c>
      <c r="B2336" s="30" t="s">
        <v>1209</v>
      </c>
      <c r="C2336" s="30" t="s">
        <v>654</v>
      </c>
      <c r="D2336" s="30" t="s">
        <v>655</v>
      </c>
      <c r="E2336" s="30" t="s">
        <v>3571</v>
      </c>
      <c r="F2336" s="30">
        <v>1</v>
      </c>
      <c r="G2336" s="44">
        <v>30902</v>
      </c>
      <c r="H2336" s="30"/>
      <c r="I2336" s="44"/>
      <c r="J2336" s="44"/>
      <c r="K2336" s="44">
        <f t="shared" si="80"/>
        <v>30902</v>
      </c>
      <c r="L2336" s="51">
        <v>20240502</v>
      </c>
    </row>
    <row r="2337" spans="1:12" x14ac:dyDescent="0.25">
      <c r="A2337" s="50" t="s">
        <v>3572</v>
      </c>
      <c r="B2337" s="30" t="s">
        <v>1209</v>
      </c>
      <c r="C2337" s="30" t="s">
        <v>654</v>
      </c>
      <c r="D2337" s="30" t="s">
        <v>655</v>
      </c>
      <c r="E2337" s="30" t="s">
        <v>3573</v>
      </c>
      <c r="F2337" s="30">
        <v>1</v>
      </c>
      <c r="G2337" s="44">
        <v>30902</v>
      </c>
      <c r="H2337" s="30"/>
      <c r="I2337" s="44"/>
      <c r="J2337" s="44"/>
      <c r="K2337" s="44">
        <f t="shared" si="80"/>
        <v>30902</v>
      </c>
      <c r="L2337" s="51">
        <v>20240502</v>
      </c>
    </row>
    <row r="2338" spans="1:12" x14ac:dyDescent="0.25">
      <c r="A2338" s="50" t="s">
        <v>3574</v>
      </c>
      <c r="B2338" s="30" t="s">
        <v>1209</v>
      </c>
      <c r="C2338" s="30" t="s">
        <v>654</v>
      </c>
      <c r="D2338" s="30" t="s">
        <v>655</v>
      </c>
      <c r="E2338" s="30" t="s">
        <v>3575</v>
      </c>
      <c r="F2338" s="30">
        <v>1</v>
      </c>
      <c r="G2338" s="44">
        <v>30902</v>
      </c>
      <c r="H2338" s="30"/>
      <c r="I2338" s="44"/>
      <c r="J2338" s="44"/>
      <c r="K2338" s="44">
        <f t="shared" si="80"/>
        <v>30902</v>
      </c>
      <c r="L2338" s="51">
        <v>20240502</v>
      </c>
    </row>
    <row r="2339" spans="1:12" x14ac:dyDescent="0.25">
      <c r="A2339" s="50" t="s">
        <v>3565</v>
      </c>
      <c r="B2339" s="30" t="s">
        <v>11</v>
      </c>
      <c r="C2339" s="30" t="s">
        <v>364</v>
      </c>
      <c r="D2339" s="30" t="s">
        <v>24</v>
      </c>
      <c r="E2339" s="30" t="s">
        <v>1134</v>
      </c>
      <c r="F2339" s="30">
        <v>1</v>
      </c>
      <c r="G2339" s="44">
        <v>30902</v>
      </c>
      <c r="H2339" s="30"/>
      <c r="I2339" s="44"/>
      <c r="J2339" s="44"/>
      <c r="K2339" s="44">
        <f t="shared" si="80"/>
        <v>30902</v>
      </c>
      <c r="L2339" s="51">
        <v>20240503</v>
      </c>
    </row>
    <row r="2340" spans="1:12" x14ac:dyDescent="0.25">
      <c r="A2340" s="50" t="s">
        <v>3576</v>
      </c>
      <c r="B2340" s="30" t="s">
        <v>11</v>
      </c>
      <c r="C2340" s="30" t="s">
        <v>57</v>
      </c>
      <c r="D2340" s="30" t="s">
        <v>58</v>
      </c>
      <c r="E2340" s="30" t="s">
        <v>62</v>
      </c>
      <c r="F2340" s="30">
        <v>1</v>
      </c>
      <c r="G2340" s="44">
        <v>30902</v>
      </c>
      <c r="H2340" s="30"/>
      <c r="I2340" s="44"/>
      <c r="J2340" s="44"/>
      <c r="K2340" s="44">
        <f t="shared" si="80"/>
        <v>30902</v>
      </c>
      <c r="L2340" s="51">
        <v>20240507</v>
      </c>
    </row>
    <row r="2341" spans="1:12" x14ac:dyDescent="0.25">
      <c r="A2341" s="52" t="s">
        <v>3580</v>
      </c>
      <c r="B2341" s="32" t="s">
        <v>11</v>
      </c>
      <c r="C2341" s="32" t="s">
        <v>103</v>
      </c>
      <c r="D2341" s="32" t="s">
        <v>104</v>
      </c>
      <c r="E2341" s="32" t="s">
        <v>908</v>
      </c>
      <c r="F2341" s="32">
        <v>1</v>
      </c>
      <c r="G2341" s="45">
        <v>30902</v>
      </c>
      <c r="H2341" s="32">
        <v>159</v>
      </c>
      <c r="I2341" s="45">
        <v>398.2</v>
      </c>
      <c r="J2341" s="45">
        <f>I2341*H2341</f>
        <v>63313.799999999996</v>
      </c>
      <c r="K2341" s="45">
        <f t="shared" si="80"/>
        <v>94215.799999999988</v>
      </c>
      <c r="L2341" s="53">
        <v>20240507</v>
      </c>
    </row>
    <row r="2342" spans="1:12" x14ac:dyDescent="0.25">
      <c r="A2342" s="50" t="s">
        <v>3564</v>
      </c>
      <c r="B2342" s="30" t="s">
        <v>11</v>
      </c>
      <c r="C2342" s="30" t="s">
        <v>26</v>
      </c>
      <c r="D2342" s="30" t="s">
        <v>204</v>
      </c>
      <c r="E2342" s="30" t="s">
        <v>205</v>
      </c>
      <c r="F2342" s="30">
        <v>1</v>
      </c>
      <c r="G2342" s="44">
        <v>30902</v>
      </c>
      <c r="H2342" s="30"/>
      <c r="I2342" s="44"/>
      <c r="J2342" s="44"/>
      <c r="K2342" s="44">
        <f t="shared" si="80"/>
        <v>30902</v>
      </c>
      <c r="L2342" s="51">
        <v>20240508</v>
      </c>
    </row>
    <row r="2343" spans="1:12" x14ac:dyDescent="0.25">
      <c r="A2343" s="50" t="s">
        <v>3566</v>
      </c>
      <c r="B2343" s="30" t="s">
        <v>11</v>
      </c>
      <c r="C2343" s="30" t="s">
        <v>364</v>
      </c>
      <c r="D2343" s="30" t="s">
        <v>24</v>
      </c>
      <c r="E2343" s="30" t="s">
        <v>1445</v>
      </c>
      <c r="F2343" s="30">
        <v>1</v>
      </c>
      <c r="G2343" s="44">
        <v>30902</v>
      </c>
      <c r="H2343" s="30"/>
      <c r="I2343" s="44"/>
      <c r="J2343" s="44"/>
      <c r="K2343" s="44">
        <f t="shared" si="80"/>
        <v>30902</v>
      </c>
      <c r="L2343" s="51">
        <v>20240508</v>
      </c>
    </row>
    <row r="2344" spans="1:12" x14ac:dyDescent="0.25">
      <c r="A2344" s="50" t="s">
        <v>3561</v>
      </c>
      <c r="B2344" s="30" t="s">
        <v>11</v>
      </c>
      <c r="C2344" s="30" t="s">
        <v>26</v>
      </c>
      <c r="D2344" s="30" t="s">
        <v>616</v>
      </c>
      <c r="E2344" s="30" t="s">
        <v>621</v>
      </c>
      <c r="F2344" s="30">
        <v>1</v>
      </c>
      <c r="G2344" s="44">
        <v>30902</v>
      </c>
      <c r="H2344" s="30"/>
      <c r="I2344" s="44"/>
      <c r="J2344" s="44"/>
      <c r="K2344" s="44">
        <f t="shared" si="80"/>
        <v>30902</v>
      </c>
      <c r="L2344" s="51">
        <v>20240510</v>
      </c>
    </row>
    <row r="2345" spans="1:12" x14ac:dyDescent="0.25">
      <c r="A2345" s="50" t="s">
        <v>3577</v>
      </c>
      <c r="B2345" s="30" t="s">
        <v>1209</v>
      </c>
      <c r="C2345" s="30" t="s">
        <v>654</v>
      </c>
      <c r="D2345" s="30" t="s">
        <v>1388</v>
      </c>
      <c r="E2345" s="30" t="s">
        <v>3578</v>
      </c>
      <c r="F2345" s="30">
        <v>1</v>
      </c>
      <c r="G2345" s="44">
        <v>30902</v>
      </c>
      <c r="H2345" s="30"/>
      <c r="I2345" s="44"/>
      <c r="J2345" s="44"/>
      <c r="K2345" s="44">
        <f t="shared" si="80"/>
        <v>30902</v>
      </c>
      <c r="L2345" s="51">
        <v>20240510</v>
      </c>
    </row>
    <row r="2346" spans="1:12" x14ac:dyDescent="0.25">
      <c r="A2346" s="50" t="s">
        <v>3579</v>
      </c>
      <c r="B2346" s="30" t="s">
        <v>1209</v>
      </c>
      <c r="C2346" s="30" t="s">
        <v>654</v>
      </c>
      <c r="D2346" s="30" t="s">
        <v>1388</v>
      </c>
      <c r="E2346" s="30" t="s">
        <v>3557</v>
      </c>
      <c r="F2346" s="30">
        <v>1</v>
      </c>
      <c r="G2346" s="44">
        <v>30902</v>
      </c>
      <c r="H2346" s="30"/>
      <c r="I2346" s="44"/>
      <c r="J2346" s="44"/>
      <c r="K2346" s="44">
        <f t="shared" si="80"/>
        <v>30902</v>
      </c>
      <c r="L2346" s="51">
        <v>20240510</v>
      </c>
    </row>
    <row r="2347" spans="1:12" x14ac:dyDescent="0.25">
      <c r="A2347" s="50" t="s">
        <v>3560</v>
      </c>
      <c r="B2347" s="30" t="s">
        <v>11</v>
      </c>
      <c r="C2347" s="30" t="s">
        <v>94</v>
      </c>
      <c r="D2347" s="30" t="s">
        <v>95</v>
      </c>
      <c r="E2347" s="30" t="s">
        <v>2674</v>
      </c>
      <c r="F2347" s="30">
        <v>1</v>
      </c>
      <c r="G2347" s="44">
        <v>30902</v>
      </c>
      <c r="H2347" s="30"/>
      <c r="I2347" s="44"/>
      <c r="J2347" s="44"/>
      <c r="K2347" s="44">
        <f t="shared" si="80"/>
        <v>30902</v>
      </c>
      <c r="L2347" s="51">
        <v>20240513</v>
      </c>
    </row>
    <row r="2348" spans="1:12" x14ac:dyDescent="0.25">
      <c r="A2348" s="50" t="s">
        <v>3556</v>
      </c>
      <c r="B2348" s="30" t="s">
        <v>11</v>
      </c>
      <c r="C2348" s="30" t="s">
        <v>654</v>
      </c>
      <c r="D2348" s="30" t="s">
        <v>1388</v>
      </c>
      <c r="E2348" s="30" t="s">
        <v>3557</v>
      </c>
      <c r="F2348" s="30">
        <v>1</v>
      </c>
      <c r="G2348" s="44">
        <v>30902</v>
      </c>
      <c r="H2348" s="30"/>
      <c r="I2348" s="44"/>
      <c r="J2348" s="44"/>
      <c r="K2348" s="44">
        <f t="shared" si="80"/>
        <v>30902</v>
      </c>
      <c r="L2348" s="51">
        <v>20240514</v>
      </c>
    </row>
    <row r="2349" spans="1:12" x14ac:dyDescent="0.25">
      <c r="A2349" s="50" t="s">
        <v>3555</v>
      </c>
      <c r="B2349" s="30" t="s">
        <v>11</v>
      </c>
      <c r="C2349" s="30" t="s">
        <v>29</v>
      </c>
      <c r="D2349" s="30" t="s">
        <v>1656</v>
      </c>
      <c r="E2349" s="30" t="s">
        <v>3154</v>
      </c>
      <c r="F2349" s="30">
        <v>1</v>
      </c>
      <c r="G2349" s="44">
        <v>30902</v>
      </c>
      <c r="H2349" s="30"/>
      <c r="I2349" s="44"/>
      <c r="J2349" s="44"/>
      <c r="K2349" s="44">
        <f t="shared" si="80"/>
        <v>30902</v>
      </c>
      <c r="L2349" s="51">
        <v>20240516</v>
      </c>
    </row>
    <row r="2350" spans="1:12" x14ac:dyDescent="0.25">
      <c r="A2350" s="52" t="s">
        <v>3581</v>
      </c>
      <c r="B2350" s="32" t="s">
        <v>11</v>
      </c>
      <c r="C2350" s="32" t="s">
        <v>103</v>
      </c>
      <c r="D2350" s="32" t="s">
        <v>104</v>
      </c>
      <c r="E2350" s="32" t="s">
        <v>105</v>
      </c>
      <c r="F2350" s="32">
        <v>1</v>
      </c>
      <c r="G2350" s="45">
        <v>30902</v>
      </c>
      <c r="H2350" s="32">
        <v>159</v>
      </c>
      <c r="I2350" s="45">
        <v>398.2</v>
      </c>
      <c r="J2350" s="45">
        <f>I2350*H2350</f>
        <v>63313.799999999996</v>
      </c>
      <c r="K2350" s="45">
        <f t="shared" si="80"/>
        <v>94215.799999999988</v>
      </c>
      <c r="L2350" s="53">
        <v>20240516</v>
      </c>
    </row>
    <row r="2351" spans="1:12" x14ac:dyDescent="0.25">
      <c r="A2351" s="50" t="s">
        <v>3559</v>
      </c>
      <c r="B2351" s="30" t="s">
        <v>11</v>
      </c>
      <c r="C2351" s="30" t="s">
        <v>1968</v>
      </c>
      <c r="D2351" s="30" t="s">
        <v>655</v>
      </c>
      <c r="E2351" s="30" t="s">
        <v>2190</v>
      </c>
      <c r="F2351" s="30">
        <v>1</v>
      </c>
      <c r="G2351" s="44">
        <v>30902</v>
      </c>
      <c r="H2351" s="30"/>
      <c r="I2351" s="44"/>
      <c r="J2351" s="44"/>
      <c r="K2351" s="44">
        <f t="shared" si="80"/>
        <v>30902</v>
      </c>
      <c r="L2351" s="51">
        <v>20240517</v>
      </c>
    </row>
    <row r="2352" spans="1:12" x14ac:dyDescent="0.25">
      <c r="A2352" s="52" t="s">
        <v>3562</v>
      </c>
      <c r="B2352" s="32" t="s">
        <v>11</v>
      </c>
      <c r="C2352" s="32" t="s">
        <v>337</v>
      </c>
      <c r="D2352" s="32" t="s">
        <v>162</v>
      </c>
      <c r="E2352" s="32" t="s">
        <v>3563</v>
      </c>
      <c r="F2352" s="32">
        <v>1</v>
      </c>
      <c r="G2352" s="45">
        <v>30902</v>
      </c>
      <c r="H2352" s="32">
        <v>69</v>
      </c>
      <c r="I2352" s="45">
        <v>398.2</v>
      </c>
      <c r="J2352" s="45">
        <f>I2352*H2352</f>
        <v>27475.8</v>
      </c>
      <c r="K2352" s="45">
        <f t="shared" si="80"/>
        <v>58377.8</v>
      </c>
      <c r="L2352" s="53">
        <v>20240517</v>
      </c>
    </row>
    <row r="2353" spans="1:12" x14ac:dyDescent="0.25">
      <c r="A2353" s="50" t="s">
        <v>3553</v>
      </c>
      <c r="B2353" s="30" t="s">
        <v>11</v>
      </c>
      <c r="C2353" s="30" t="s">
        <v>364</v>
      </c>
      <c r="D2353" s="30" t="s">
        <v>24</v>
      </c>
      <c r="E2353" s="30" t="s">
        <v>3554</v>
      </c>
      <c r="F2353" s="30">
        <v>1</v>
      </c>
      <c r="G2353" s="44">
        <v>30902</v>
      </c>
      <c r="H2353" s="30"/>
      <c r="I2353" s="44"/>
      <c r="J2353" s="44"/>
      <c r="K2353" s="44">
        <f t="shared" si="80"/>
        <v>30902</v>
      </c>
      <c r="L2353" s="51">
        <v>20240521</v>
      </c>
    </row>
    <row r="2354" spans="1:12" x14ac:dyDescent="0.25">
      <c r="A2354" s="50" t="s">
        <v>3552</v>
      </c>
      <c r="B2354" s="30" t="s">
        <v>11</v>
      </c>
      <c r="C2354" s="30" t="s">
        <v>251</v>
      </c>
      <c r="D2354" s="30" t="s">
        <v>767</v>
      </c>
      <c r="E2354" s="30" t="s">
        <v>2150</v>
      </c>
      <c r="F2354" s="30">
        <v>1</v>
      </c>
      <c r="G2354" s="44">
        <v>30902</v>
      </c>
      <c r="H2354" s="30"/>
      <c r="I2354" s="44"/>
      <c r="J2354" s="44"/>
      <c r="K2354" s="44">
        <f t="shared" si="80"/>
        <v>30902</v>
      </c>
      <c r="L2354" s="51">
        <v>20240522</v>
      </c>
    </row>
    <row r="2355" spans="1:12" x14ac:dyDescent="0.25">
      <c r="A2355" s="50" t="s">
        <v>3558</v>
      </c>
      <c r="B2355" s="30" t="s">
        <v>11</v>
      </c>
      <c r="C2355" s="30" t="s">
        <v>1968</v>
      </c>
      <c r="D2355" s="30" t="s">
        <v>655</v>
      </c>
      <c r="E2355" s="30" t="s">
        <v>2184</v>
      </c>
      <c r="F2355" s="30">
        <v>1</v>
      </c>
      <c r="G2355" s="44">
        <v>30902</v>
      </c>
      <c r="H2355" s="30"/>
      <c r="I2355" s="44"/>
      <c r="J2355" s="44"/>
      <c r="K2355" s="44">
        <f t="shared" si="80"/>
        <v>30902</v>
      </c>
      <c r="L2355" s="51">
        <v>20240522</v>
      </c>
    </row>
    <row r="2356" spans="1:12" x14ac:dyDescent="0.25">
      <c r="A2356" s="50" t="s">
        <v>3544</v>
      </c>
      <c r="B2356" s="30" t="s">
        <v>11</v>
      </c>
      <c r="C2356" s="30" t="s">
        <v>57</v>
      </c>
      <c r="D2356" s="30" t="s">
        <v>58</v>
      </c>
      <c r="E2356" s="30" t="s">
        <v>62</v>
      </c>
      <c r="F2356" s="30">
        <v>1</v>
      </c>
      <c r="G2356" s="44">
        <v>30902</v>
      </c>
      <c r="H2356" s="30"/>
      <c r="I2356" s="44"/>
      <c r="J2356" s="44"/>
      <c r="K2356" s="44">
        <f t="shared" si="80"/>
        <v>30902</v>
      </c>
      <c r="L2356" s="51">
        <v>20240523</v>
      </c>
    </row>
    <row r="2357" spans="1:12" x14ac:dyDescent="0.25">
      <c r="A2357" s="50" t="s">
        <v>3545</v>
      </c>
      <c r="B2357" s="30" t="s">
        <v>11</v>
      </c>
      <c r="C2357" s="30" t="s">
        <v>29</v>
      </c>
      <c r="D2357" s="30" t="s">
        <v>24</v>
      </c>
      <c r="E2357" s="30" t="s">
        <v>208</v>
      </c>
      <c r="F2357" s="30">
        <v>1</v>
      </c>
      <c r="G2357" s="44">
        <v>30902</v>
      </c>
      <c r="H2357" s="30"/>
      <c r="I2357" s="44"/>
      <c r="J2357" s="44"/>
      <c r="K2357" s="44">
        <f t="shared" si="80"/>
        <v>30902</v>
      </c>
      <c r="L2357" s="51">
        <v>20240523</v>
      </c>
    </row>
    <row r="2358" spans="1:12" x14ac:dyDescent="0.25">
      <c r="A2358" s="52" t="s">
        <v>3548</v>
      </c>
      <c r="B2358" s="32" t="s">
        <v>11</v>
      </c>
      <c r="C2358" s="32" t="s">
        <v>28</v>
      </c>
      <c r="D2358" s="32" t="s">
        <v>462</v>
      </c>
      <c r="E2358" s="32" t="s">
        <v>463</v>
      </c>
      <c r="F2358" s="32">
        <v>1</v>
      </c>
      <c r="G2358" s="45">
        <v>30902</v>
      </c>
      <c r="H2358" s="32">
        <v>45</v>
      </c>
      <c r="I2358" s="45">
        <v>398.2</v>
      </c>
      <c r="J2358" s="45">
        <f>I2358*H2358</f>
        <v>17919</v>
      </c>
      <c r="K2358" s="45">
        <f t="shared" si="80"/>
        <v>48821</v>
      </c>
      <c r="L2358" s="53">
        <v>20240523</v>
      </c>
    </row>
    <row r="2359" spans="1:12" x14ac:dyDescent="0.25">
      <c r="A2359" s="50" t="s">
        <v>3551</v>
      </c>
      <c r="B2359" s="30" t="s">
        <v>11</v>
      </c>
      <c r="C2359" s="30" t="s">
        <v>29</v>
      </c>
      <c r="D2359" s="30" t="s">
        <v>735</v>
      </c>
      <c r="E2359" s="30" t="s">
        <v>736</v>
      </c>
      <c r="F2359" s="30">
        <v>1</v>
      </c>
      <c r="G2359" s="44">
        <v>30902</v>
      </c>
      <c r="H2359" s="30"/>
      <c r="I2359" s="44"/>
      <c r="J2359" s="44"/>
      <c r="K2359" s="44">
        <f t="shared" si="80"/>
        <v>30902</v>
      </c>
      <c r="L2359" s="51">
        <v>20240523</v>
      </c>
    </row>
    <row r="2360" spans="1:12" x14ac:dyDescent="0.25">
      <c r="A2360" s="50" t="s">
        <v>3549</v>
      </c>
      <c r="B2360" s="30" t="s">
        <v>11</v>
      </c>
      <c r="C2360" s="30" t="s">
        <v>364</v>
      </c>
      <c r="D2360" s="30" t="s">
        <v>24</v>
      </c>
      <c r="E2360" s="30" t="s">
        <v>1136</v>
      </c>
      <c r="F2360" s="30">
        <v>1</v>
      </c>
      <c r="G2360" s="44">
        <v>30902</v>
      </c>
      <c r="H2360" s="30"/>
      <c r="I2360" s="44"/>
      <c r="J2360" s="44"/>
      <c r="K2360" s="44">
        <f t="shared" si="80"/>
        <v>30902</v>
      </c>
      <c r="L2360" s="51">
        <v>20240524</v>
      </c>
    </row>
    <row r="2361" spans="1:12" x14ac:dyDescent="0.25">
      <c r="A2361" s="50" t="s">
        <v>3550</v>
      </c>
      <c r="B2361" s="30" t="s">
        <v>11</v>
      </c>
      <c r="C2361" s="30" t="s">
        <v>364</v>
      </c>
      <c r="D2361" s="30" t="s">
        <v>24</v>
      </c>
      <c r="E2361" s="30" t="s">
        <v>532</v>
      </c>
      <c r="F2361" s="30">
        <v>1</v>
      </c>
      <c r="G2361" s="44">
        <v>30902</v>
      </c>
      <c r="H2361" s="30"/>
      <c r="I2361" s="44"/>
      <c r="J2361" s="44"/>
      <c r="K2361" s="44">
        <f t="shared" si="80"/>
        <v>30902</v>
      </c>
      <c r="L2361" s="51">
        <v>20240524</v>
      </c>
    </row>
    <row r="2362" spans="1:12" x14ac:dyDescent="0.25">
      <c r="A2362" s="52" t="s">
        <v>3546</v>
      </c>
      <c r="B2362" s="32" t="s">
        <v>11</v>
      </c>
      <c r="C2362" s="32" t="s">
        <v>270</v>
      </c>
      <c r="D2362" s="32" t="s">
        <v>1639</v>
      </c>
      <c r="E2362" s="32" t="s">
        <v>3547</v>
      </c>
      <c r="F2362" s="32">
        <v>1</v>
      </c>
      <c r="G2362" s="45">
        <v>30902</v>
      </c>
      <c r="H2362" s="32">
        <v>86</v>
      </c>
      <c r="I2362" s="45">
        <v>398.2</v>
      </c>
      <c r="J2362" s="45">
        <f>I2362*H2362</f>
        <v>34245.199999999997</v>
      </c>
      <c r="K2362" s="45">
        <f t="shared" si="80"/>
        <v>65147.199999999997</v>
      </c>
      <c r="L2362" s="53">
        <v>20240527</v>
      </c>
    </row>
    <row r="2363" spans="1:12" x14ac:dyDescent="0.25">
      <c r="A2363" s="52" t="s">
        <v>3538</v>
      </c>
      <c r="B2363" s="32" t="s">
        <v>11</v>
      </c>
      <c r="C2363" s="32" t="s">
        <v>26</v>
      </c>
      <c r="D2363" s="32" t="s">
        <v>497</v>
      </c>
      <c r="E2363" s="32" t="s">
        <v>2282</v>
      </c>
      <c r="F2363" s="32">
        <v>1</v>
      </c>
      <c r="G2363" s="45">
        <v>30902</v>
      </c>
      <c r="H2363" s="32">
        <v>152</v>
      </c>
      <c r="I2363" s="45">
        <v>398.2</v>
      </c>
      <c r="J2363" s="45">
        <f>I2363*H2363</f>
        <v>60526.400000000001</v>
      </c>
      <c r="K2363" s="45">
        <f t="shared" si="80"/>
        <v>91428.4</v>
      </c>
      <c r="L2363" s="53">
        <v>20240531</v>
      </c>
    </row>
    <row r="2364" spans="1:12" x14ac:dyDescent="0.25">
      <c r="A2364" s="50" t="s">
        <v>3539</v>
      </c>
      <c r="B2364" s="30" t="s">
        <v>11</v>
      </c>
      <c r="C2364" s="30" t="s">
        <v>29</v>
      </c>
      <c r="D2364" s="30" t="s">
        <v>3494</v>
      </c>
      <c r="E2364" s="30" t="s">
        <v>3495</v>
      </c>
      <c r="F2364" s="30">
        <v>1</v>
      </c>
      <c r="G2364" s="44">
        <v>30902</v>
      </c>
      <c r="H2364" s="30"/>
      <c r="I2364" s="44"/>
      <c r="J2364" s="44"/>
      <c r="K2364" s="44">
        <f t="shared" si="80"/>
        <v>30902</v>
      </c>
      <c r="L2364" s="51">
        <v>20240531</v>
      </c>
    </row>
    <row r="2365" spans="1:12" x14ac:dyDescent="0.25">
      <c r="A2365" s="50" t="s">
        <v>3540</v>
      </c>
      <c r="B2365" s="30" t="s">
        <v>11</v>
      </c>
      <c r="C2365" s="30" t="s">
        <v>53</v>
      </c>
      <c r="D2365" s="30" t="s">
        <v>24</v>
      </c>
      <c r="E2365" s="30" t="s">
        <v>1132</v>
      </c>
      <c r="F2365" s="30">
        <v>1</v>
      </c>
      <c r="G2365" s="44">
        <v>30902</v>
      </c>
      <c r="H2365" s="30"/>
      <c r="I2365" s="44"/>
      <c r="J2365" s="44"/>
      <c r="K2365" s="44">
        <f t="shared" si="80"/>
        <v>30902</v>
      </c>
      <c r="L2365" s="51">
        <v>20240531</v>
      </c>
    </row>
    <row r="2366" spans="1:12" x14ac:dyDescent="0.25">
      <c r="A2366" s="50" t="s">
        <v>3541</v>
      </c>
      <c r="B2366" s="30" t="s">
        <v>11</v>
      </c>
      <c r="C2366" s="30" t="s">
        <v>29</v>
      </c>
      <c r="D2366" s="30" t="s">
        <v>1385</v>
      </c>
      <c r="E2366" s="30" t="s">
        <v>3335</v>
      </c>
      <c r="F2366" s="30">
        <v>1</v>
      </c>
      <c r="G2366" s="44">
        <v>30902</v>
      </c>
      <c r="H2366" s="30"/>
      <c r="I2366" s="44"/>
      <c r="J2366" s="44"/>
      <c r="K2366" s="44">
        <f t="shared" si="80"/>
        <v>30902</v>
      </c>
      <c r="L2366" s="51">
        <v>20240531</v>
      </c>
    </row>
    <row r="2367" spans="1:12" x14ac:dyDescent="0.25">
      <c r="A2367" s="50" t="s">
        <v>3542</v>
      </c>
      <c r="B2367" s="30" t="s">
        <v>11</v>
      </c>
      <c r="C2367" s="30" t="s">
        <v>29</v>
      </c>
      <c r="D2367" s="30" t="s">
        <v>3494</v>
      </c>
      <c r="E2367" s="30" t="s">
        <v>2348</v>
      </c>
      <c r="F2367" s="30">
        <v>1</v>
      </c>
      <c r="G2367" s="44">
        <v>30902</v>
      </c>
      <c r="H2367" s="30"/>
      <c r="I2367" s="44"/>
      <c r="J2367" s="44"/>
      <c r="K2367" s="44">
        <f t="shared" si="80"/>
        <v>30902</v>
      </c>
      <c r="L2367" s="51">
        <v>20240531</v>
      </c>
    </row>
    <row r="2368" spans="1:12" ht="15.75" thickBot="1" x14ac:dyDescent="0.3">
      <c r="A2368" s="54" t="s">
        <v>3543</v>
      </c>
      <c r="B2368" s="36" t="s">
        <v>11</v>
      </c>
      <c r="C2368" s="36" t="s">
        <v>1021</v>
      </c>
      <c r="D2368" s="36" t="s">
        <v>24</v>
      </c>
      <c r="E2368" s="36" t="s">
        <v>1337</v>
      </c>
      <c r="F2368" s="36">
        <v>1</v>
      </c>
      <c r="G2368" s="65">
        <v>30902</v>
      </c>
      <c r="H2368" s="36"/>
      <c r="I2368" s="65"/>
      <c r="J2368" s="65"/>
      <c r="K2368" s="65">
        <f t="shared" si="80"/>
        <v>30902</v>
      </c>
      <c r="L2368" s="55">
        <v>20240531</v>
      </c>
    </row>
    <row r="2372" spans="1:12" ht="15.75" thickBot="1" x14ac:dyDescent="0.3">
      <c r="A2372" s="69" t="s">
        <v>0</v>
      </c>
      <c r="B2372" s="70" t="s">
        <v>1</v>
      </c>
      <c r="C2372" s="70" t="s">
        <v>2</v>
      </c>
      <c r="D2372" s="70" t="s">
        <v>3</v>
      </c>
      <c r="E2372" s="70" t="s">
        <v>4</v>
      </c>
      <c r="F2372" s="70"/>
      <c r="G2372" s="71" t="s">
        <v>6</v>
      </c>
      <c r="H2372" s="70" t="s">
        <v>7</v>
      </c>
      <c r="I2372" s="71" t="s">
        <v>8</v>
      </c>
      <c r="J2372" s="71" t="s">
        <v>9</v>
      </c>
      <c r="K2372" s="71" t="s">
        <v>10</v>
      </c>
      <c r="L2372" s="72" t="s">
        <v>5</v>
      </c>
    </row>
    <row r="2373" spans="1:12" x14ac:dyDescent="0.25">
      <c r="A2373" s="48" t="s">
        <v>3621</v>
      </c>
      <c r="B2373" s="34" t="s">
        <v>11</v>
      </c>
      <c r="C2373" s="34" t="s">
        <v>163</v>
      </c>
      <c r="D2373" s="34" t="s">
        <v>164</v>
      </c>
      <c r="E2373" s="34" t="s">
        <v>478</v>
      </c>
      <c r="F2373" s="34">
        <v>1</v>
      </c>
      <c r="G2373" s="64">
        <v>33621</v>
      </c>
      <c r="H2373" s="34"/>
      <c r="I2373" s="64"/>
      <c r="J2373" s="64"/>
      <c r="K2373" s="64">
        <f t="shared" ref="K2373:K2404" si="81">J2373+G2373</f>
        <v>33621</v>
      </c>
      <c r="L2373" s="49">
        <v>20240603</v>
      </c>
    </row>
    <row r="2374" spans="1:12" x14ac:dyDescent="0.25">
      <c r="A2374" s="50" t="s">
        <v>3622</v>
      </c>
      <c r="B2374" s="30" t="s">
        <v>11</v>
      </c>
      <c r="C2374" s="30" t="s">
        <v>26</v>
      </c>
      <c r="D2374" s="30" t="s">
        <v>2874</v>
      </c>
      <c r="E2374" s="30" t="s">
        <v>2890</v>
      </c>
      <c r="F2374" s="30">
        <v>1</v>
      </c>
      <c r="G2374" s="44">
        <v>33621</v>
      </c>
      <c r="H2374" s="30"/>
      <c r="I2374" s="44"/>
      <c r="J2374" s="44"/>
      <c r="K2374" s="44">
        <f t="shared" si="81"/>
        <v>33621</v>
      </c>
      <c r="L2374" s="51">
        <v>20240603</v>
      </c>
    </row>
    <row r="2375" spans="1:12" x14ac:dyDescent="0.25">
      <c r="A2375" s="50" t="s">
        <v>3623</v>
      </c>
      <c r="B2375" s="30" t="s">
        <v>11</v>
      </c>
      <c r="C2375" s="30" t="s">
        <v>1234</v>
      </c>
      <c r="D2375" s="30" t="s">
        <v>24</v>
      </c>
      <c r="E2375" s="30" t="s">
        <v>2045</v>
      </c>
      <c r="F2375" s="30">
        <v>1</v>
      </c>
      <c r="G2375" s="44">
        <v>33621</v>
      </c>
      <c r="H2375" s="30"/>
      <c r="I2375" s="44"/>
      <c r="J2375" s="44"/>
      <c r="K2375" s="44">
        <f t="shared" si="81"/>
        <v>33621</v>
      </c>
      <c r="L2375" s="51">
        <v>20240603</v>
      </c>
    </row>
    <row r="2376" spans="1:12" x14ac:dyDescent="0.25">
      <c r="A2376" s="52" t="s">
        <v>3624</v>
      </c>
      <c r="B2376" s="32" t="s">
        <v>11</v>
      </c>
      <c r="C2376" s="32" t="s">
        <v>163</v>
      </c>
      <c r="D2376" s="32" t="s">
        <v>164</v>
      </c>
      <c r="E2376" s="32" t="s">
        <v>212</v>
      </c>
      <c r="F2376" s="32">
        <v>1</v>
      </c>
      <c r="G2376" s="45">
        <v>33621</v>
      </c>
      <c r="H2376" s="32">
        <v>126</v>
      </c>
      <c r="I2376" s="45">
        <v>428.5</v>
      </c>
      <c r="J2376" s="45">
        <f>I2376*H2376</f>
        <v>53991</v>
      </c>
      <c r="K2376" s="45">
        <f t="shared" si="81"/>
        <v>87612</v>
      </c>
      <c r="L2376" s="53">
        <v>20240603</v>
      </c>
    </row>
    <row r="2377" spans="1:12" x14ac:dyDescent="0.25">
      <c r="A2377" s="52" t="s">
        <v>3620</v>
      </c>
      <c r="B2377" s="32" t="s">
        <v>11</v>
      </c>
      <c r="C2377" s="32" t="s">
        <v>28</v>
      </c>
      <c r="D2377" s="32" t="s">
        <v>1103</v>
      </c>
      <c r="E2377" s="32" t="s">
        <v>1104</v>
      </c>
      <c r="F2377" s="32">
        <v>1</v>
      </c>
      <c r="G2377" s="45">
        <v>33621</v>
      </c>
      <c r="H2377" s="32">
        <v>75</v>
      </c>
      <c r="I2377" s="45">
        <v>428.5</v>
      </c>
      <c r="J2377" s="45">
        <f>I2377*H2377</f>
        <v>32137.5</v>
      </c>
      <c r="K2377" s="45">
        <f t="shared" si="81"/>
        <v>65758.5</v>
      </c>
      <c r="L2377" s="53">
        <v>20240604</v>
      </c>
    </row>
    <row r="2378" spans="1:12" x14ac:dyDescent="0.25">
      <c r="A2378" s="50" t="s">
        <v>3610</v>
      </c>
      <c r="B2378" s="30" t="s">
        <v>11</v>
      </c>
      <c r="C2378" s="30" t="s">
        <v>251</v>
      </c>
      <c r="D2378" s="30" t="s">
        <v>1231</v>
      </c>
      <c r="E2378" s="30" t="s">
        <v>1232</v>
      </c>
      <c r="F2378" s="30">
        <v>1</v>
      </c>
      <c r="G2378" s="44">
        <v>33621</v>
      </c>
      <c r="H2378" s="30"/>
      <c r="I2378" s="44"/>
      <c r="J2378" s="44"/>
      <c r="K2378" s="44">
        <f t="shared" si="81"/>
        <v>33621</v>
      </c>
      <c r="L2378" s="51">
        <v>20240605</v>
      </c>
    </row>
    <row r="2379" spans="1:12" x14ac:dyDescent="0.25">
      <c r="A2379" s="52" t="s">
        <v>3616</v>
      </c>
      <c r="B2379" s="32" t="s">
        <v>11</v>
      </c>
      <c r="C2379" s="32" t="s">
        <v>3617</v>
      </c>
      <c r="D2379" s="32" t="s">
        <v>1634</v>
      </c>
      <c r="E2379" s="32" t="s">
        <v>3618</v>
      </c>
      <c r="F2379" s="32">
        <v>1</v>
      </c>
      <c r="G2379" s="45">
        <v>33621</v>
      </c>
      <c r="H2379" s="32">
        <v>72</v>
      </c>
      <c r="I2379" s="45">
        <v>428.5</v>
      </c>
      <c r="J2379" s="45">
        <f>I2379*H2379</f>
        <v>30852</v>
      </c>
      <c r="K2379" s="45">
        <f t="shared" si="81"/>
        <v>64473</v>
      </c>
      <c r="L2379" s="53">
        <v>20240605</v>
      </c>
    </row>
    <row r="2380" spans="1:12" x14ac:dyDescent="0.25">
      <c r="A2380" s="52" t="s">
        <v>3606</v>
      </c>
      <c r="B2380" s="32" t="s">
        <v>11</v>
      </c>
      <c r="C2380" s="32" t="s">
        <v>26</v>
      </c>
      <c r="D2380" s="32" t="s">
        <v>226</v>
      </c>
      <c r="E2380" s="32" t="s">
        <v>730</v>
      </c>
      <c r="F2380" s="32">
        <v>1</v>
      </c>
      <c r="G2380" s="45">
        <v>33621</v>
      </c>
      <c r="H2380" s="32">
        <v>149</v>
      </c>
      <c r="I2380" s="45">
        <v>428.5</v>
      </c>
      <c r="J2380" s="45">
        <f>I2380*H2380</f>
        <v>63846.5</v>
      </c>
      <c r="K2380" s="45">
        <f t="shared" si="81"/>
        <v>97467.5</v>
      </c>
      <c r="L2380" s="53">
        <v>20240607</v>
      </c>
    </row>
    <row r="2381" spans="1:12" x14ac:dyDescent="0.25">
      <c r="A2381" s="50" t="s">
        <v>3614</v>
      </c>
      <c r="B2381" s="30" t="s">
        <v>11</v>
      </c>
      <c r="C2381" s="30" t="s">
        <v>91</v>
      </c>
      <c r="D2381" s="30" t="s">
        <v>24</v>
      </c>
      <c r="E2381" s="30" t="s">
        <v>92</v>
      </c>
      <c r="F2381" s="30">
        <v>1</v>
      </c>
      <c r="G2381" s="44">
        <v>33621</v>
      </c>
      <c r="H2381" s="30"/>
      <c r="I2381" s="44"/>
      <c r="J2381" s="44"/>
      <c r="K2381" s="44">
        <f t="shared" si="81"/>
        <v>33621</v>
      </c>
      <c r="L2381" s="51">
        <v>20240607</v>
      </c>
    </row>
    <row r="2382" spans="1:12" x14ac:dyDescent="0.25">
      <c r="A2382" s="50" t="s">
        <v>3611</v>
      </c>
      <c r="B2382" s="30" t="s">
        <v>11</v>
      </c>
      <c r="C2382" s="30" t="s">
        <v>364</v>
      </c>
      <c r="D2382" s="30" t="s">
        <v>24</v>
      </c>
      <c r="E2382" s="30" t="s">
        <v>1134</v>
      </c>
      <c r="F2382" s="30">
        <v>1</v>
      </c>
      <c r="G2382" s="44">
        <v>33621</v>
      </c>
      <c r="H2382" s="30"/>
      <c r="I2382" s="44"/>
      <c r="J2382" s="44"/>
      <c r="K2382" s="44">
        <f t="shared" si="81"/>
        <v>33621</v>
      </c>
      <c r="L2382" s="51">
        <v>20240610</v>
      </c>
    </row>
    <row r="2383" spans="1:12" x14ac:dyDescent="0.25">
      <c r="A2383" s="52" t="s">
        <v>3612</v>
      </c>
      <c r="B2383" s="32" t="s">
        <v>11</v>
      </c>
      <c r="C2383" s="32" t="s">
        <v>28</v>
      </c>
      <c r="D2383" s="32" t="s">
        <v>1756</v>
      </c>
      <c r="E2383" s="32" t="s">
        <v>3613</v>
      </c>
      <c r="F2383" s="32">
        <v>1</v>
      </c>
      <c r="G2383" s="45">
        <v>33621</v>
      </c>
      <c r="H2383" s="32">
        <v>118</v>
      </c>
      <c r="I2383" s="45">
        <v>428.5</v>
      </c>
      <c r="J2383" s="45">
        <f>I2383*H2383</f>
        <v>50563</v>
      </c>
      <c r="K2383" s="45">
        <f t="shared" si="81"/>
        <v>84184</v>
      </c>
      <c r="L2383" s="53">
        <v>20240610</v>
      </c>
    </row>
    <row r="2384" spans="1:12" x14ac:dyDescent="0.25">
      <c r="A2384" s="50" t="s">
        <v>3615</v>
      </c>
      <c r="B2384" s="30" t="s">
        <v>11</v>
      </c>
      <c r="C2384" s="30" t="s">
        <v>45</v>
      </c>
      <c r="D2384" s="30" t="s">
        <v>3384</v>
      </c>
      <c r="E2384" s="30" t="s">
        <v>3385</v>
      </c>
      <c r="F2384" s="30">
        <v>1</v>
      </c>
      <c r="G2384" s="44">
        <v>33621</v>
      </c>
      <c r="H2384" s="30"/>
      <c r="I2384" s="44"/>
      <c r="J2384" s="44"/>
      <c r="K2384" s="44">
        <f t="shared" si="81"/>
        <v>33621</v>
      </c>
      <c r="L2384" s="51">
        <v>20240610</v>
      </c>
    </row>
    <row r="2385" spans="1:12" x14ac:dyDescent="0.25">
      <c r="A2385" s="52" t="s">
        <v>3595</v>
      </c>
      <c r="B2385" s="32" t="s">
        <v>11</v>
      </c>
      <c r="C2385" s="32" t="s">
        <v>103</v>
      </c>
      <c r="D2385" s="32" t="s">
        <v>104</v>
      </c>
      <c r="E2385" s="32" t="s">
        <v>3596</v>
      </c>
      <c r="F2385" s="32">
        <v>1</v>
      </c>
      <c r="G2385" s="45">
        <v>33621</v>
      </c>
      <c r="H2385" s="32">
        <v>159</v>
      </c>
      <c r="I2385" s="45">
        <v>428.5</v>
      </c>
      <c r="J2385" s="45">
        <f>I2385*H2385</f>
        <v>68131.5</v>
      </c>
      <c r="K2385" s="45">
        <f t="shared" si="81"/>
        <v>101752.5</v>
      </c>
      <c r="L2385" s="53">
        <v>20240611</v>
      </c>
    </row>
    <row r="2386" spans="1:12" x14ac:dyDescent="0.25">
      <c r="A2386" s="50" t="s">
        <v>3597</v>
      </c>
      <c r="B2386" s="30" t="s">
        <v>11</v>
      </c>
      <c r="C2386" s="30" t="s">
        <v>103</v>
      </c>
      <c r="D2386" s="30" t="s">
        <v>104</v>
      </c>
      <c r="E2386" s="30" t="s">
        <v>105</v>
      </c>
      <c r="F2386" s="30">
        <v>1</v>
      </c>
      <c r="G2386" s="44">
        <v>33621</v>
      </c>
      <c r="H2386" s="30"/>
      <c r="I2386" s="44"/>
      <c r="J2386" s="44"/>
      <c r="K2386" s="44">
        <f t="shared" si="81"/>
        <v>33621</v>
      </c>
      <c r="L2386" s="51">
        <v>20240611</v>
      </c>
    </row>
    <row r="2387" spans="1:12" x14ac:dyDescent="0.25">
      <c r="A2387" s="50" t="s">
        <v>3605</v>
      </c>
      <c r="B2387" s="30" t="s">
        <v>11</v>
      </c>
      <c r="C2387" s="30" t="s">
        <v>103</v>
      </c>
      <c r="D2387" s="30" t="s">
        <v>104</v>
      </c>
      <c r="E2387" s="30" t="s">
        <v>908</v>
      </c>
      <c r="F2387" s="30">
        <v>1</v>
      </c>
      <c r="G2387" s="44">
        <v>33621</v>
      </c>
      <c r="H2387" s="30"/>
      <c r="I2387" s="44"/>
      <c r="J2387" s="44"/>
      <c r="K2387" s="44">
        <f t="shared" si="81"/>
        <v>33621</v>
      </c>
      <c r="L2387" s="51">
        <v>20240611</v>
      </c>
    </row>
    <row r="2388" spans="1:12" x14ac:dyDescent="0.25">
      <c r="A2388" s="50" t="s">
        <v>3607</v>
      </c>
      <c r="B2388" s="30" t="s">
        <v>11</v>
      </c>
      <c r="C2388" s="30" t="s">
        <v>29</v>
      </c>
      <c r="D2388" s="30" t="s">
        <v>30</v>
      </c>
      <c r="E2388" s="30" t="s">
        <v>3608</v>
      </c>
      <c r="F2388" s="30">
        <v>1</v>
      </c>
      <c r="G2388" s="44">
        <v>33621</v>
      </c>
      <c r="H2388" s="30"/>
      <c r="I2388" s="44"/>
      <c r="J2388" s="44"/>
      <c r="K2388" s="44">
        <f t="shared" si="81"/>
        <v>33621</v>
      </c>
      <c r="L2388" s="51">
        <v>20240611</v>
      </c>
    </row>
    <row r="2389" spans="1:12" x14ac:dyDescent="0.25">
      <c r="A2389" s="52" t="s">
        <v>3604</v>
      </c>
      <c r="B2389" s="32" t="s">
        <v>11</v>
      </c>
      <c r="C2389" s="32" t="s">
        <v>337</v>
      </c>
      <c r="D2389" s="32" t="s">
        <v>35</v>
      </c>
      <c r="E2389" s="32" t="s">
        <v>1318</v>
      </c>
      <c r="F2389" s="32">
        <v>1</v>
      </c>
      <c r="G2389" s="45">
        <v>33621</v>
      </c>
      <c r="H2389" s="32">
        <v>72</v>
      </c>
      <c r="I2389" s="45">
        <v>428.5</v>
      </c>
      <c r="J2389" s="45">
        <f>I2389*H2389</f>
        <v>30852</v>
      </c>
      <c r="K2389" s="45">
        <f t="shared" si="81"/>
        <v>64473</v>
      </c>
      <c r="L2389" s="53">
        <v>20240612</v>
      </c>
    </row>
    <row r="2390" spans="1:12" x14ac:dyDescent="0.25">
      <c r="A2390" s="50" t="s">
        <v>3603</v>
      </c>
      <c r="B2390" s="30" t="s">
        <v>11</v>
      </c>
      <c r="C2390" s="30" t="s">
        <v>607</v>
      </c>
      <c r="D2390" s="30" t="s">
        <v>24</v>
      </c>
      <c r="E2390" s="30" t="s">
        <v>2118</v>
      </c>
      <c r="F2390" s="30">
        <v>1</v>
      </c>
      <c r="G2390" s="44">
        <v>33621</v>
      </c>
      <c r="H2390" s="30"/>
      <c r="I2390" s="44"/>
      <c r="J2390" s="44"/>
      <c r="K2390" s="44">
        <f t="shared" si="81"/>
        <v>33621</v>
      </c>
      <c r="L2390" s="51">
        <v>20240613</v>
      </c>
    </row>
    <row r="2391" spans="1:12" x14ac:dyDescent="0.25">
      <c r="A2391" s="52" t="s">
        <v>3589</v>
      </c>
      <c r="B2391" s="32" t="s">
        <v>11</v>
      </c>
      <c r="C2391" s="32" t="s">
        <v>26</v>
      </c>
      <c r="D2391" s="32" t="s">
        <v>226</v>
      </c>
      <c r="E2391" s="32" t="s">
        <v>730</v>
      </c>
      <c r="F2391" s="32">
        <v>1</v>
      </c>
      <c r="G2391" s="45">
        <v>33621</v>
      </c>
      <c r="H2391" s="32">
        <v>149</v>
      </c>
      <c r="I2391" s="45">
        <v>428.5</v>
      </c>
      <c r="J2391" s="45">
        <f>I2391*H2391</f>
        <v>63846.5</v>
      </c>
      <c r="K2391" s="45">
        <f t="shared" si="81"/>
        <v>97467.5</v>
      </c>
      <c r="L2391" s="53">
        <v>20240614</v>
      </c>
    </row>
    <row r="2392" spans="1:12" x14ac:dyDescent="0.25">
      <c r="A2392" s="50" t="s">
        <v>3590</v>
      </c>
      <c r="B2392" s="30" t="s">
        <v>11</v>
      </c>
      <c r="C2392" s="30" t="s">
        <v>163</v>
      </c>
      <c r="D2392" s="30" t="s">
        <v>164</v>
      </c>
      <c r="E2392" s="30" t="s">
        <v>207</v>
      </c>
      <c r="F2392" s="30">
        <v>1</v>
      </c>
      <c r="G2392" s="44">
        <v>33621</v>
      </c>
      <c r="H2392" s="30"/>
      <c r="I2392" s="44"/>
      <c r="J2392" s="44"/>
      <c r="K2392" s="44">
        <f t="shared" si="81"/>
        <v>33621</v>
      </c>
      <c r="L2392" s="51">
        <v>20240614</v>
      </c>
    </row>
    <row r="2393" spans="1:12" x14ac:dyDescent="0.25">
      <c r="A2393" s="52" t="s">
        <v>3591</v>
      </c>
      <c r="B2393" s="32" t="s">
        <v>11</v>
      </c>
      <c r="C2393" s="32" t="s">
        <v>163</v>
      </c>
      <c r="D2393" s="32" t="s">
        <v>164</v>
      </c>
      <c r="E2393" s="32" t="s">
        <v>185</v>
      </c>
      <c r="F2393" s="32">
        <v>1</v>
      </c>
      <c r="G2393" s="45">
        <v>33621</v>
      </c>
      <c r="H2393" s="32">
        <v>126</v>
      </c>
      <c r="I2393" s="45">
        <v>428.5</v>
      </c>
      <c r="J2393" s="45">
        <f>I2393*H2393</f>
        <v>53991</v>
      </c>
      <c r="K2393" s="45">
        <f t="shared" si="81"/>
        <v>87612</v>
      </c>
      <c r="L2393" s="53">
        <v>20240614</v>
      </c>
    </row>
    <row r="2394" spans="1:12" x14ac:dyDescent="0.25">
      <c r="A2394" s="50" t="s">
        <v>3609</v>
      </c>
      <c r="B2394" s="30" t="s">
        <v>11</v>
      </c>
      <c r="C2394" s="30" t="s">
        <v>163</v>
      </c>
      <c r="D2394" s="30" t="s">
        <v>164</v>
      </c>
      <c r="E2394" s="30" t="s">
        <v>444</v>
      </c>
      <c r="F2394" s="30">
        <v>1</v>
      </c>
      <c r="G2394" s="44">
        <v>33621</v>
      </c>
      <c r="H2394" s="30"/>
      <c r="I2394" s="44"/>
      <c r="J2394" s="44"/>
      <c r="K2394" s="44">
        <f t="shared" si="81"/>
        <v>33621</v>
      </c>
      <c r="L2394" s="51">
        <v>20240614</v>
      </c>
    </row>
    <row r="2395" spans="1:12" x14ac:dyDescent="0.25">
      <c r="A2395" s="50" t="s">
        <v>3587</v>
      </c>
      <c r="B2395" s="30" t="s">
        <v>11</v>
      </c>
      <c r="C2395" s="30" t="s">
        <v>94</v>
      </c>
      <c r="D2395" s="30" t="s">
        <v>95</v>
      </c>
      <c r="E2395" s="30" t="s">
        <v>1085</v>
      </c>
      <c r="F2395" s="30">
        <v>1</v>
      </c>
      <c r="G2395" s="44">
        <v>33621</v>
      </c>
      <c r="H2395" s="30"/>
      <c r="I2395" s="44"/>
      <c r="J2395" s="44"/>
      <c r="K2395" s="44">
        <f t="shared" si="81"/>
        <v>33621</v>
      </c>
      <c r="L2395" s="51">
        <v>20240618</v>
      </c>
    </row>
    <row r="2396" spans="1:12" x14ac:dyDescent="0.25">
      <c r="A2396" s="50" t="s">
        <v>3588</v>
      </c>
      <c r="B2396" s="30" t="s">
        <v>11</v>
      </c>
      <c r="C2396" s="30" t="s">
        <v>1006</v>
      </c>
      <c r="D2396" s="30" t="s">
        <v>24</v>
      </c>
      <c r="E2396" s="30" t="s">
        <v>2362</v>
      </c>
      <c r="F2396" s="30">
        <v>1</v>
      </c>
      <c r="G2396" s="44">
        <v>33621</v>
      </c>
      <c r="H2396" s="30"/>
      <c r="I2396" s="44"/>
      <c r="J2396" s="44"/>
      <c r="K2396" s="44">
        <f t="shared" si="81"/>
        <v>33621</v>
      </c>
      <c r="L2396" s="51">
        <v>20240624</v>
      </c>
    </row>
    <row r="2397" spans="1:12" x14ac:dyDescent="0.25">
      <c r="A2397" s="50" t="s">
        <v>3594</v>
      </c>
      <c r="B2397" s="30" t="s">
        <v>11</v>
      </c>
      <c r="C2397" s="30" t="s">
        <v>57</v>
      </c>
      <c r="D2397" s="30" t="s">
        <v>58</v>
      </c>
      <c r="E2397" s="30" t="s">
        <v>62</v>
      </c>
      <c r="F2397" s="30">
        <v>1</v>
      </c>
      <c r="G2397" s="44">
        <v>33621</v>
      </c>
      <c r="H2397" s="30"/>
      <c r="I2397" s="44"/>
      <c r="J2397" s="44"/>
      <c r="K2397" s="44">
        <f t="shared" si="81"/>
        <v>33621</v>
      </c>
      <c r="L2397" s="51">
        <v>20240624</v>
      </c>
    </row>
    <row r="2398" spans="1:12" x14ac:dyDescent="0.25">
      <c r="A2398" s="50" t="s">
        <v>3582</v>
      </c>
      <c r="B2398" s="30" t="s">
        <v>11</v>
      </c>
      <c r="C2398" s="30" t="s">
        <v>163</v>
      </c>
      <c r="D2398" s="30" t="s">
        <v>164</v>
      </c>
      <c r="E2398" s="30" t="s">
        <v>3277</v>
      </c>
      <c r="F2398" s="30">
        <v>1</v>
      </c>
      <c r="G2398" s="44">
        <v>33621</v>
      </c>
      <c r="H2398" s="30"/>
      <c r="I2398" s="44"/>
      <c r="J2398" s="44"/>
      <c r="K2398" s="44">
        <f t="shared" si="81"/>
        <v>33621</v>
      </c>
      <c r="L2398" s="51">
        <v>20240625</v>
      </c>
    </row>
    <row r="2399" spans="1:12" x14ac:dyDescent="0.25">
      <c r="A2399" s="50" t="s">
        <v>3584</v>
      </c>
      <c r="B2399" s="30" t="s">
        <v>11</v>
      </c>
      <c r="C2399" s="30" t="s">
        <v>26</v>
      </c>
      <c r="D2399" s="30" t="s">
        <v>544</v>
      </c>
      <c r="E2399" s="30" t="s">
        <v>549</v>
      </c>
      <c r="F2399" s="30">
        <v>1</v>
      </c>
      <c r="G2399" s="44">
        <v>33621</v>
      </c>
      <c r="H2399" s="30"/>
      <c r="I2399" s="44"/>
      <c r="J2399" s="44"/>
      <c r="K2399" s="44">
        <f t="shared" si="81"/>
        <v>33621</v>
      </c>
      <c r="L2399" s="51">
        <v>20240625</v>
      </c>
    </row>
    <row r="2400" spans="1:12" x14ac:dyDescent="0.25">
      <c r="A2400" s="52" t="s">
        <v>3586</v>
      </c>
      <c r="B2400" s="32" t="s">
        <v>11</v>
      </c>
      <c r="C2400" s="32" t="s">
        <v>163</v>
      </c>
      <c r="D2400" s="32" t="s">
        <v>164</v>
      </c>
      <c r="E2400" s="32" t="s">
        <v>3030</v>
      </c>
      <c r="F2400" s="32">
        <v>1</v>
      </c>
      <c r="G2400" s="45">
        <v>33621</v>
      </c>
      <c r="H2400" s="32">
        <v>59</v>
      </c>
      <c r="I2400" s="45">
        <v>428.5</v>
      </c>
      <c r="J2400" s="45">
        <f>I2400*H2400</f>
        <v>25281.5</v>
      </c>
      <c r="K2400" s="45">
        <f t="shared" si="81"/>
        <v>58902.5</v>
      </c>
      <c r="L2400" s="53">
        <v>20240625</v>
      </c>
    </row>
    <row r="2401" spans="1:12" x14ac:dyDescent="0.25">
      <c r="A2401" s="50" t="s">
        <v>3583</v>
      </c>
      <c r="B2401" s="30" t="s">
        <v>11</v>
      </c>
      <c r="C2401" s="30" t="s">
        <v>29</v>
      </c>
      <c r="D2401" s="30" t="s">
        <v>3494</v>
      </c>
      <c r="E2401" s="30" t="s">
        <v>3495</v>
      </c>
      <c r="F2401" s="30">
        <v>1</v>
      </c>
      <c r="G2401" s="44">
        <v>33621</v>
      </c>
      <c r="H2401" s="30"/>
      <c r="I2401" s="44"/>
      <c r="J2401" s="44"/>
      <c r="K2401" s="44">
        <f t="shared" si="81"/>
        <v>33621</v>
      </c>
      <c r="L2401" s="51">
        <v>20240626</v>
      </c>
    </row>
    <row r="2402" spans="1:12" x14ac:dyDescent="0.25">
      <c r="A2402" s="50" t="s">
        <v>3585</v>
      </c>
      <c r="B2402" s="30" t="s">
        <v>11</v>
      </c>
      <c r="C2402" s="30" t="s">
        <v>53</v>
      </c>
      <c r="D2402" s="30" t="s">
        <v>24</v>
      </c>
      <c r="E2402" s="30" t="s">
        <v>2289</v>
      </c>
      <c r="F2402" s="30">
        <v>1</v>
      </c>
      <c r="G2402" s="44">
        <v>33621</v>
      </c>
      <c r="H2402" s="30"/>
      <c r="I2402" s="44"/>
      <c r="J2402" s="44"/>
      <c r="K2402" s="44">
        <f t="shared" si="81"/>
        <v>33621</v>
      </c>
      <c r="L2402" s="51">
        <v>20240626</v>
      </c>
    </row>
    <row r="2403" spans="1:12" x14ac:dyDescent="0.25">
      <c r="A2403" s="50" t="s">
        <v>3619</v>
      </c>
      <c r="B2403" s="30" t="s">
        <v>11</v>
      </c>
      <c r="C2403" s="30" t="s">
        <v>646</v>
      </c>
      <c r="D2403" s="30" t="s">
        <v>24</v>
      </c>
      <c r="E2403" s="30" t="s">
        <v>647</v>
      </c>
      <c r="F2403" s="30">
        <v>1</v>
      </c>
      <c r="G2403" s="44">
        <v>33621</v>
      </c>
      <c r="H2403" s="30"/>
      <c r="I2403" s="44"/>
      <c r="J2403" s="44"/>
      <c r="K2403" s="44">
        <f t="shared" si="81"/>
        <v>33621</v>
      </c>
      <c r="L2403" s="51">
        <v>20240626</v>
      </c>
    </row>
    <row r="2404" spans="1:12" ht="15.75" thickBot="1" x14ac:dyDescent="0.3">
      <c r="A2404" s="87" t="s">
        <v>3592</v>
      </c>
      <c r="B2404" s="88" t="s">
        <v>11</v>
      </c>
      <c r="C2404" s="88" t="s">
        <v>28</v>
      </c>
      <c r="D2404" s="88" t="s">
        <v>1729</v>
      </c>
      <c r="E2404" s="88" t="s">
        <v>3593</v>
      </c>
      <c r="F2404" s="88">
        <v>1</v>
      </c>
      <c r="G2404" s="89">
        <v>33621</v>
      </c>
      <c r="H2404" s="88">
        <v>290</v>
      </c>
      <c r="I2404" s="89">
        <v>428.5</v>
      </c>
      <c r="J2404" s="89">
        <f>I2404*H2404</f>
        <v>124265</v>
      </c>
      <c r="K2404" s="89">
        <f t="shared" si="81"/>
        <v>157886</v>
      </c>
      <c r="L2404" s="90">
        <v>20240628</v>
      </c>
    </row>
    <row r="2405" spans="1:12" ht="15.75" thickBot="1" x14ac:dyDescent="0.3"/>
    <row r="2406" spans="1:12" x14ac:dyDescent="0.25">
      <c r="A2406" s="48" t="s">
        <v>3598</v>
      </c>
      <c r="B2406" s="34" t="s">
        <v>137</v>
      </c>
      <c r="C2406" s="34" t="s">
        <v>103</v>
      </c>
      <c r="D2406" s="34" t="s">
        <v>104</v>
      </c>
      <c r="E2406" s="34" t="s">
        <v>948</v>
      </c>
      <c r="F2406" s="34">
        <v>1</v>
      </c>
      <c r="G2406" s="64">
        <v>16813</v>
      </c>
      <c r="H2406" s="34"/>
      <c r="I2406" s="64"/>
      <c r="J2406" s="64"/>
      <c r="K2406" s="64">
        <f>J2406+G2406</f>
        <v>16813</v>
      </c>
      <c r="L2406" s="49">
        <v>20240611</v>
      </c>
    </row>
    <row r="2407" spans="1:12" x14ac:dyDescent="0.25">
      <c r="A2407" s="50" t="s">
        <v>3599</v>
      </c>
      <c r="B2407" s="30" t="s">
        <v>137</v>
      </c>
      <c r="C2407" s="30" t="s">
        <v>103</v>
      </c>
      <c r="D2407" s="30" t="s">
        <v>104</v>
      </c>
      <c r="E2407" s="30" t="s">
        <v>904</v>
      </c>
      <c r="F2407" s="30">
        <v>1</v>
      </c>
      <c r="G2407" s="44">
        <v>16813</v>
      </c>
      <c r="H2407" s="30"/>
      <c r="I2407" s="44"/>
      <c r="J2407" s="44"/>
      <c r="K2407" s="44">
        <f>J2407+G2407</f>
        <v>16813</v>
      </c>
      <c r="L2407" s="51">
        <v>20240611</v>
      </c>
    </row>
    <row r="2408" spans="1:12" x14ac:dyDescent="0.25">
      <c r="A2408" s="50" t="s">
        <v>3600</v>
      </c>
      <c r="B2408" s="30" t="s">
        <v>137</v>
      </c>
      <c r="C2408" s="30" t="s">
        <v>103</v>
      </c>
      <c r="D2408" s="30" t="s">
        <v>104</v>
      </c>
      <c r="E2408" s="30" t="s">
        <v>2928</v>
      </c>
      <c r="F2408" s="30">
        <v>1</v>
      </c>
      <c r="G2408" s="44">
        <v>16813</v>
      </c>
      <c r="H2408" s="30"/>
      <c r="I2408" s="44"/>
      <c r="J2408" s="44"/>
      <c r="K2408" s="44">
        <f>J2408+G2408</f>
        <v>16813</v>
      </c>
      <c r="L2408" s="51">
        <v>20240611</v>
      </c>
    </row>
    <row r="2409" spans="1:12" ht="15.75" thickBot="1" x14ac:dyDescent="0.3">
      <c r="A2409" s="54" t="s">
        <v>3601</v>
      </c>
      <c r="B2409" s="36" t="s">
        <v>137</v>
      </c>
      <c r="C2409" s="36" t="s">
        <v>103</v>
      </c>
      <c r="D2409" s="36" t="s">
        <v>104</v>
      </c>
      <c r="E2409" s="36" t="s">
        <v>3602</v>
      </c>
      <c r="F2409" s="36">
        <v>1</v>
      </c>
      <c r="G2409" s="65">
        <v>16813</v>
      </c>
      <c r="H2409" s="36"/>
      <c r="I2409" s="65"/>
      <c r="J2409" s="65"/>
      <c r="K2409" s="65">
        <f>J2409+G2409</f>
        <v>16813</v>
      </c>
      <c r="L2409" s="55">
        <v>20240611</v>
      </c>
    </row>
    <row r="2411" spans="1:12" ht="15.75" thickBot="1" x14ac:dyDescent="0.3">
      <c r="A2411" s="69" t="s">
        <v>0</v>
      </c>
      <c r="B2411" s="70" t="s">
        <v>1</v>
      </c>
      <c r="C2411" s="70" t="s">
        <v>2</v>
      </c>
      <c r="D2411" s="70" t="s">
        <v>3</v>
      </c>
      <c r="E2411" s="70" t="s">
        <v>4</v>
      </c>
      <c r="F2411" s="70"/>
      <c r="G2411" s="71" t="s">
        <v>6</v>
      </c>
      <c r="H2411" s="70" t="s">
        <v>7</v>
      </c>
      <c r="I2411" s="71" t="s">
        <v>8</v>
      </c>
      <c r="J2411" s="71" t="s">
        <v>9</v>
      </c>
      <c r="K2411" s="71" t="s">
        <v>10</v>
      </c>
      <c r="L2411" s="72" t="s">
        <v>5</v>
      </c>
    </row>
    <row r="2412" spans="1:12" x14ac:dyDescent="0.25">
      <c r="A2412" s="77" t="s">
        <v>3685</v>
      </c>
      <c r="B2412" s="78" t="s">
        <v>11</v>
      </c>
      <c r="C2412" s="78" t="s">
        <v>28</v>
      </c>
      <c r="D2412" s="78" t="s">
        <v>1160</v>
      </c>
      <c r="E2412" s="78" t="s">
        <v>1161</v>
      </c>
      <c r="F2412" s="78">
        <v>1</v>
      </c>
      <c r="G2412" s="79">
        <v>35033</v>
      </c>
      <c r="H2412" s="78">
        <v>57</v>
      </c>
      <c r="I2412" s="79">
        <v>446.1</v>
      </c>
      <c r="J2412" s="79">
        <f>I2412*H2412</f>
        <v>25427.7</v>
      </c>
      <c r="K2412" s="79">
        <f t="shared" ref="K2412:K2443" si="82">J2412+G2412</f>
        <v>60460.7</v>
      </c>
      <c r="L2412" s="80">
        <v>20240701</v>
      </c>
    </row>
    <row r="2413" spans="1:12" x14ac:dyDescent="0.25">
      <c r="A2413" s="50" t="s">
        <v>3678</v>
      </c>
      <c r="B2413" s="30" t="s">
        <v>11</v>
      </c>
      <c r="C2413" s="30" t="s">
        <v>1021</v>
      </c>
      <c r="D2413" s="30" t="s">
        <v>24</v>
      </c>
      <c r="E2413" s="30" t="s">
        <v>1337</v>
      </c>
      <c r="F2413" s="30">
        <v>1</v>
      </c>
      <c r="G2413" s="44">
        <v>35033</v>
      </c>
      <c r="H2413" s="30"/>
      <c r="I2413" s="44"/>
      <c r="J2413" s="44"/>
      <c r="K2413" s="44">
        <f t="shared" si="82"/>
        <v>35033</v>
      </c>
      <c r="L2413" s="51">
        <v>20240702</v>
      </c>
    </row>
    <row r="2414" spans="1:12" x14ac:dyDescent="0.25">
      <c r="A2414" s="50" t="s">
        <v>3681</v>
      </c>
      <c r="B2414" s="30" t="s">
        <v>11</v>
      </c>
      <c r="C2414" s="30" t="s">
        <v>29</v>
      </c>
      <c r="D2414" s="30" t="s">
        <v>24</v>
      </c>
      <c r="E2414" s="30" t="s">
        <v>632</v>
      </c>
      <c r="F2414" s="30">
        <v>1</v>
      </c>
      <c r="G2414" s="44">
        <v>35033</v>
      </c>
      <c r="H2414" s="30"/>
      <c r="I2414" s="44"/>
      <c r="J2414" s="44"/>
      <c r="K2414" s="44">
        <f t="shared" si="82"/>
        <v>35033</v>
      </c>
      <c r="L2414" s="51">
        <v>20240702</v>
      </c>
    </row>
    <row r="2415" spans="1:12" x14ac:dyDescent="0.25">
      <c r="A2415" s="50" t="s">
        <v>3682</v>
      </c>
      <c r="B2415" s="30" t="s">
        <v>11</v>
      </c>
      <c r="C2415" s="30" t="s">
        <v>29</v>
      </c>
      <c r="D2415" s="30" t="s">
        <v>24</v>
      </c>
      <c r="E2415" s="30" t="s">
        <v>208</v>
      </c>
      <c r="F2415" s="30">
        <v>1</v>
      </c>
      <c r="G2415" s="44">
        <v>35033</v>
      </c>
      <c r="H2415" s="30"/>
      <c r="I2415" s="44"/>
      <c r="J2415" s="44"/>
      <c r="K2415" s="44">
        <f t="shared" si="82"/>
        <v>35033</v>
      </c>
      <c r="L2415" s="51">
        <v>20240702</v>
      </c>
    </row>
    <row r="2416" spans="1:12" x14ac:dyDescent="0.25">
      <c r="A2416" s="52" t="s">
        <v>3674</v>
      </c>
      <c r="B2416" s="32" t="s">
        <v>11</v>
      </c>
      <c r="C2416" s="32" t="s">
        <v>28</v>
      </c>
      <c r="D2416" s="32" t="s">
        <v>1160</v>
      </c>
      <c r="E2416" s="32" t="s">
        <v>1161</v>
      </c>
      <c r="F2416" s="32">
        <v>1</v>
      </c>
      <c r="G2416" s="45">
        <v>35033</v>
      </c>
      <c r="H2416" s="32">
        <v>57</v>
      </c>
      <c r="I2416" s="45">
        <v>446.1</v>
      </c>
      <c r="J2416" s="45">
        <f>I2416*H2416</f>
        <v>25427.7</v>
      </c>
      <c r="K2416" s="45">
        <f t="shared" si="82"/>
        <v>60460.7</v>
      </c>
      <c r="L2416" s="53">
        <v>20240703</v>
      </c>
    </row>
    <row r="2417" spans="1:12" x14ac:dyDescent="0.25">
      <c r="A2417" s="50" t="s">
        <v>3683</v>
      </c>
      <c r="B2417" s="30" t="s">
        <v>11</v>
      </c>
      <c r="C2417" s="30" t="s">
        <v>45</v>
      </c>
      <c r="D2417" s="30" t="s">
        <v>3384</v>
      </c>
      <c r="E2417" s="30" t="s">
        <v>3684</v>
      </c>
      <c r="F2417" s="30">
        <v>1</v>
      </c>
      <c r="G2417" s="44">
        <v>35033</v>
      </c>
      <c r="H2417" s="30"/>
      <c r="I2417" s="44"/>
      <c r="J2417" s="44"/>
      <c r="K2417" s="44">
        <f t="shared" si="82"/>
        <v>35033</v>
      </c>
      <c r="L2417" s="51">
        <v>20240703</v>
      </c>
    </row>
    <row r="2418" spans="1:12" x14ac:dyDescent="0.25">
      <c r="A2418" s="50" t="s">
        <v>3672</v>
      </c>
      <c r="B2418" s="30" t="s">
        <v>11</v>
      </c>
      <c r="C2418" s="30" t="s">
        <v>28</v>
      </c>
      <c r="D2418" s="30" t="s">
        <v>3490</v>
      </c>
      <c r="E2418" s="30" t="s">
        <v>3491</v>
      </c>
      <c r="F2418" s="30">
        <v>1</v>
      </c>
      <c r="G2418" s="44">
        <v>35033</v>
      </c>
      <c r="H2418" s="30"/>
      <c r="I2418" s="44"/>
      <c r="J2418" s="44"/>
      <c r="K2418" s="44">
        <f t="shared" si="82"/>
        <v>35033</v>
      </c>
      <c r="L2418" s="51">
        <v>20240704</v>
      </c>
    </row>
    <row r="2419" spans="1:12" x14ac:dyDescent="0.25">
      <c r="A2419" s="52" t="s">
        <v>3671</v>
      </c>
      <c r="B2419" s="32" t="s">
        <v>11</v>
      </c>
      <c r="C2419" s="32" t="s">
        <v>28</v>
      </c>
      <c r="D2419" s="32" t="s">
        <v>1160</v>
      </c>
      <c r="E2419" s="32" t="s">
        <v>1161</v>
      </c>
      <c r="F2419" s="32">
        <v>1</v>
      </c>
      <c r="G2419" s="45">
        <v>35033</v>
      </c>
      <c r="H2419" s="32">
        <v>57</v>
      </c>
      <c r="I2419" s="45">
        <v>446.1</v>
      </c>
      <c r="J2419" s="45">
        <f>I2419*H2419</f>
        <v>25427.7</v>
      </c>
      <c r="K2419" s="45">
        <f t="shared" si="82"/>
        <v>60460.7</v>
      </c>
      <c r="L2419" s="53">
        <v>20240708</v>
      </c>
    </row>
    <row r="2420" spans="1:12" x14ac:dyDescent="0.25">
      <c r="A2420" s="50" t="s">
        <v>3667</v>
      </c>
      <c r="B2420" s="30" t="s">
        <v>11</v>
      </c>
      <c r="C2420" s="30" t="s">
        <v>364</v>
      </c>
      <c r="D2420" s="30" t="s">
        <v>24</v>
      </c>
      <c r="E2420" s="30" t="s">
        <v>3554</v>
      </c>
      <c r="F2420" s="30">
        <v>1</v>
      </c>
      <c r="G2420" s="44">
        <v>35033</v>
      </c>
      <c r="H2420" s="30"/>
      <c r="I2420" s="44"/>
      <c r="J2420" s="44"/>
      <c r="K2420" s="44">
        <f t="shared" si="82"/>
        <v>35033</v>
      </c>
      <c r="L2420" s="51">
        <v>20240710</v>
      </c>
    </row>
    <row r="2421" spans="1:12" x14ac:dyDescent="0.25">
      <c r="A2421" s="52" t="s">
        <v>3673</v>
      </c>
      <c r="B2421" s="32" t="s">
        <v>11</v>
      </c>
      <c r="C2421" s="32" t="s">
        <v>163</v>
      </c>
      <c r="D2421" s="32" t="s">
        <v>164</v>
      </c>
      <c r="E2421" s="32" t="s">
        <v>478</v>
      </c>
      <c r="F2421" s="32">
        <v>1</v>
      </c>
      <c r="G2421" s="45">
        <v>35033</v>
      </c>
      <c r="H2421" s="32">
        <v>126</v>
      </c>
      <c r="I2421" s="45">
        <v>446.1</v>
      </c>
      <c r="J2421" s="45">
        <f>I2421*H2421</f>
        <v>56208.600000000006</v>
      </c>
      <c r="K2421" s="45">
        <f t="shared" si="82"/>
        <v>91241.600000000006</v>
      </c>
      <c r="L2421" s="53">
        <v>20240710</v>
      </c>
    </row>
    <row r="2422" spans="1:12" x14ac:dyDescent="0.25">
      <c r="A2422" s="50" t="s">
        <v>3675</v>
      </c>
      <c r="B2422" s="30" t="s">
        <v>11</v>
      </c>
      <c r="C2422" s="30" t="s">
        <v>163</v>
      </c>
      <c r="D2422" s="30" t="s">
        <v>164</v>
      </c>
      <c r="E2422" s="30" t="s">
        <v>3277</v>
      </c>
      <c r="F2422" s="30">
        <v>1</v>
      </c>
      <c r="G2422" s="44">
        <v>35033</v>
      </c>
      <c r="H2422" s="30"/>
      <c r="I2422" s="44"/>
      <c r="J2422" s="44"/>
      <c r="K2422" s="44">
        <f t="shared" si="82"/>
        <v>35033</v>
      </c>
      <c r="L2422" s="51">
        <v>20240710</v>
      </c>
    </row>
    <row r="2423" spans="1:12" x14ac:dyDescent="0.25">
      <c r="A2423" s="52" t="s">
        <v>3669</v>
      </c>
      <c r="B2423" s="32" t="s">
        <v>11</v>
      </c>
      <c r="C2423" s="32" t="s">
        <v>28</v>
      </c>
      <c r="D2423" s="32" t="s">
        <v>1729</v>
      </c>
      <c r="E2423" s="32" t="s">
        <v>3593</v>
      </c>
      <c r="F2423" s="32">
        <v>1</v>
      </c>
      <c r="G2423" s="45">
        <v>35033</v>
      </c>
      <c r="H2423" s="32">
        <v>290</v>
      </c>
      <c r="I2423" s="45">
        <v>446.1</v>
      </c>
      <c r="J2423" s="45">
        <f>I2423*H2423</f>
        <v>129369</v>
      </c>
      <c r="K2423" s="45">
        <f t="shared" si="82"/>
        <v>164402</v>
      </c>
      <c r="L2423" s="53">
        <v>20240712</v>
      </c>
    </row>
    <row r="2424" spans="1:12" x14ac:dyDescent="0.25">
      <c r="A2424" s="50" t="s">
        <v>3655</v>
      </c>
      <c r="B2424" s="30" t="s">
        <v>11</v>
      </c>
      <c r="C2424" s="30" t="s">
        <v>251</v>
      </c>
      <c r="D2424" s="30" t="s">
        <v>1231</v>
      </c>
      <c r="E2424" s="30" t="s">
        <v>1232</v>
      </c>
      <c r="F2424" s="30">
        <v>1</v>
      </c>
      <c r="G2424" s="44">
        <v>35033</v>
      </c>
      <c r="H2424" s="30"/>
      <c r="I2424" s="44"/>
      <c r="J2424" s="44"/>
      <c r="K2424" s="44">
        <f t="shared" si="82"/>
        <v>35033</v>
      </c>
      <c r="L2424" s="51">
        <v>20240715</v>
      </c>
    </row>
    <row r="2425" spans="1:12" x14ac:dyDescent="0.25">
      <c r="A2425" s="50" t="s">
        <v>3657</v>
      </c>
      <c r="B2425" s="30" t="s">
        <v>11</v>
      </c>
      <c r="C2425" s="30" t="s">
        <v>29</v>
      </c>
      <c r="D2425" s="30" t="s">
        <v>24</v>
      </c>
      <c r="E2425" s="30" t="s">
        <v>2051</v>
      </c>
      <c r="F2425" s="30">
        <v>1</v>
      </c>
      <c r="G2425" s="44">
        <v>35033</v>
      </c>
      <c r="H2425" s="30"/>
      <c r="I2425" s="44"/>
      <c r="J2425" s="44"/>
      <c r="K2425" s="44">
        <f t="shared" si="82"/>
        <v>35033</v>
      </c>
      <c r="L2425" s="51">
        <v>20240715</v>
      </c>
    </row>
    <row r="2426" spans="1:12" x14ac:dyDescent="0.25">
      <c r="A2426" s="50" t="s">
        <v>3658</v>
      </c>
      <c r="B2426" s="30" t="s">
        <v>11</v>
      </c>
      <c r="C2426" s="30" t="s">
        <v>251</v>
      </c>
      <c r="D2426" s="30" t="s">
        <v>375</v>
      </c>
      <c r="E2426" s="30" t="s">
        <v>376</v>
      </c>
      <c r="F2426" s="30">
        <v>1</v>
      </c>
      <c r="G2426" s="44">
        <v>35033</v>
      </c>
      <c r="H2426" s="30"/>
      <c r="I2426" s="44"/>
      <c r="J2426" s="44"/>
      <c r="K2426" s="44">
        <f t="shared" si="82"/>
        <v>35033</v>
      </c>
      <c r="L2426" s="51">
        <v>20240715</v>
      </c>
    </row>
    <row r="2427" spans="1:12" x14ac:dyDescent="0.25">
      <c r="A2427" s="50" t="s">
        <v>3659</v>
      </c>
      <c r="B2427" s="30" t="s">
        <v>1209</v>
      </c>
      <c r="C2427" s="30" t="s">
        <v>2109</v>
      </c>
      <c r="D2427" s="30" t="s">
        <v>24</v>
      </c>
      <c r="E2427" s="30" t="s">
        <v>3660</v>
      </c>
      <c r="F2427" s="30">
        <v>1</v>
      </c>
      <c r="G2427" s="44">
        <v>35033</v>
      </c>
      <c r="H2427" s="30"/>
      <c r="I2427" s="44"/>
      <c r="J2427" s="44"/>
      <c r="K2427" s="44">
        <f t="shared" si="82"/>
        <v>35033</v>
      </c>
      <c r="L2427" s="51">
        <v>20240715</v>
      </c>
    </row>
    <row r="2428" spans="1:12" x14ac:dyDescent="0.25">
      <c r="A2428" s="50" t="s">
        <v>3662</v>
      </c>
      <c r="B2428" s="30" t="s">
        <v>11</v>
      </c>
      <c r="C2428" s="30" t="s">
        <v>2109</v>
      </c>
      <c r="D2428" s="30" t="s">
        <v>24</v>
      </c>
      <c r="E2428" s="30" t="s">
        <v>2459</v>
      </c>
      <c r="F2428" s="30">
        <v>1</v>
      </c>
      <c r="G2428" s="44">
        <v>35033</v>
      </c>
      <c r="H2428" s="30"/>
      <c r="I2428" s="44"/>
      <c r="J2428" s="44"/>
      <c r="K2428" s="44">
        <f t="shared" si="82"/>
        <v>35033</v>
      </c>
      <c r="L2428" s="51">
        <v>20240715</v>
      </c>
    </row>
    <row r="2429" spans="1:12" x14ac:dyDescent="0.25">
      <c r="A2429" s="50" t="s">
        <v>3663</v>
      </c>
      <c r="B2429" s="30" t="s">
        <v>11</v>
      </c>
      <c r="C2429" s="30" t="s">
        <v>26</v>
      </c>
      <c r="D2429" s="30" t="s">
        <v>204</v>
      </c>
      <c r="E2429" s="30" t="s">
        <v>786</v>
      </c>
      <c r="F2429" s="30">
        <v>1</v>
      </c>
      <c r="G2429" s="44">
        <v>35033</v>
      </c>
      <c r="H2429" s="30"/>
      <c r="I2429" s="44"/>
      <c r="J2429" s="44"/>
      <c r="K2429" s="44">
        <f t="shared" si="82"/>
        <v>35033</v>
      </c>
      <c r="L2429" s="51">
        <v>20240715</v>
      </c>
    </row>
    <row r="2430" spans="1:12" x14ac:dyDescent="0.25">
      <c r="A2430" s="50" t="s">
        <v>3664</v>
      </c>
      <c r="B2430" s="30" t="s">
        <v>11</v>
      </c>
      <c r="C2430" s="30" t="s">
        <v>29</v>
      </c>
      <c r="D2430" s="30" t="s">
        <v>24</v>
      </c>
      <c r="E2430" s="30" t="s">
        <v>208</v>
      </c>
      <c r="F2430" s="30">
        <v>1</v>
      </c>
      <c r="G2430" s="44">
        <v>35033</v>
      </c>
      <c r="H2430" s="30"/>
      <c r="I2430" s="44"/>
      <c r="J2430" s="44"/>
      <c r="K2430" s="44">
        <f t="shared" si="82"/>
        <v>35033</v>
      </c>
      <c r="L2430" s="51">
        <v>20240715</v>
      </c>
    </row>
    <row r="2431" spans="1:12" x14ac:dyDescent="0.25">
      <c r="A2431" s="50" t="s">
        <v>3666</v>
      </c>
      <c r="B2431" s="30" t="s">
        <v>11</v>
      </c>
      <c r="C2431" s="30" t="s">
        <v>251</v>
      </c>
      <c r="D2431" s="30" t="s">
        <v>740</v>
      </c>
      <c r="E2431" s="30" t="s">
        <v>741</v>
      </c>
      <c r="F2431" s="30">
        <v>1</v>
      </c>
      <c r="G2431" s="44">
        <v>35033</v>
      </c>
      <c r="H2431" s="30"/>
      <c r="I2431" s="44"/>
      <c r="J2431" s="44"/>
      <c r="K2431" s="44">
        <f t="shared" si="82"/>
        <v>35033</v>
      </c>
      <c r="L2431" s="51">
        <v>20240715</v>
      </c>
    </row>
    <row r="2432" spans="1:12" x14ac:dyDescent="0.25">
      <c r="A2432" s="50" t="s">
        <v>3668</v>
      </c>
      <c r="B2432" s="30" t="s">
        <v>11</v>
      </c>
      <c r="C2432" s="30" t="s">
        <v>29</v>
      </c>
      <c r="D2432" s="30" t="s">
        <v>1385</v>
      </c>
      <c r="E2432" s="30" t="s">
        <v>3335</v>
      </c>
      <c r="F2432" s="30">
        <v>1</v>
      </c>
      <c r="G2432" s="44">
        <v>35033</v>
      </c>
      <c r="H2432" s="30"/>
      <c r="I2432" s="44"/>
      <c r="J2432" s="44"/>
      <c r="K2432" s="44">
        <f t="shared" si="82"/>
        <v>35033</v>
      </c>
      <c r="L2432" s="51">
        <v>20240715</v>
      </c>
    </row>
    <row r="2433" spans="1:12" x14ac:dyDescent="0.25">
      <c r="A2433" s="50" t="s">
        <v>3652</v>
      </c>
      <c r="B2433" s="30" t="s">
        <v>11</v>
      </c>
      <c r="C2433" s="30" t="s">
        <v>26</v>
      </c>
      <c r="D2433" s="30" t="s">
        <v>3037</v>
      </c>
      <c r="E2433" s="30" t="s">
        <v>3046</v>
      </c>
      <c r="F2433" s="30">
        <v>1</v>
      </c>
      <c r="G2433" s="44">
        <v>35033</v>
      </c>
      <c r="H2433" s="30"/>
      <c r="I2433" s="44"/>
      <c r="J2433" s="44"/>
      <c r="K2433" s="44">
        <f t="shared" si="82"/>
        <v>35033</v>
      </c>
      <c r="L2433" s="51">
        <v>20240716</v>
      </c>
    </row>
    <row r="2434" spans="1:12" x14ac:dyDescent="0.25">
      <c r="A2434" s="52" t="s">
        <v>3656</v>
      </c>
      <c r="B2434" s="32" t="s">
        <v>1209</v>
      </c>
      <c r="C2434" s="32" t="s">
        <v>28</v>
      </c>
      <c r="D2434" s="32" t="s">
        <v>1160</v>
      </c>
      <c r="E2434" s="32" t="s">
        <v>3643</v>
      </c>
      <c r="F2434" s="32">
        <v>1</v>
      </c>
      <c r="G2434" s="45">
        <v>35033</v>
      </c>
      <c r="H2434" s="32">
        <v>57</v>
      </c>
      <c r="I2434" s="45">
        <v>446.1</v>
      </c>
      <c r="J2434" s="45">
        <f>I2434*H2434</f>
        <v>25427.7</v>
      </c>
      <c r="K2434" s="45">
        <f t="shared" si="82"/>
        <v>60460.7</v>
      </c>
      <c r="L2434" s="53">
        <v>20240717</v>
      </c>
    </row>
    <row r="2435" spans="1:12" x14ac:dyDescent="0.25">
      <c r="A2435" s="50" t="s">
        <v>3641</v>
      </c>
      <c r="B2435" s="30" t="s">
        <v>11</v>
      </c>
      <c r="C2435" s="30" t="s">
        <v>134</v>
      </c>
      <c r="D2435" s="30" t="s">
        <v>135</v>
      </c>
      <c r="E2435" s="30" t="s">
        <v>3513</v>
      </c>
      <c r="F2435" s="30">
        <v>1</v>
      </c>
      <c r="G2435" s="44">
        <v>35033</v>
      </c>
      <c r="H2435" s="30"/>
      <c r="I2435" s="44"/>
      <c r="J2435" s="44"/>
      <c r="K2435" s="44">
        <f t="shared" si="82"/>
        <v>35033</v>
      </c>
      <c r="L2435" s="51">
        <v>20240719</v>
      </c>
    </row>
    <row r="2436" spans="1:12" x14ac:dyDescent="0.25">
      <c r="A2436" s="52" t="s">
        <v>3642</v>
      </c>
      <c r="B2436" s="32" t="s">
        <v>11</v>
      </c>
      <c r="C2436" s="32" t="s">
        <v>28</v>
      </c>
      <c r="D2436" s="32" t="s">
        <v>1160</v>
      </c>
      <c r="E2436" s="32" t="s">
        <v>3643</v>
      </c>
      <c r="F2436" s="32">
        <v>1</v>
      </c>
      <c r="G2436" s="45">
        <v>35033</v>
      </c>
      <c r="H2436" s="32">
        <v>57</v>
      </c>
      <c r="I2436" s="45">
        <v>446.1</v>
      </c>
      <c r="J2436" s="45">
        <f>I2436*H2436</f>
        <v>25427.7</v>
      </c>
      <c r="K2436" s="45">
        <f t="shared" si="82"/>
        <v>60460.7</v>
      </c>
      <c r="L2436" s="53">
        <v>20240719</v>
      </c>
    </row>
    <row r="2437" spans="1:12" x14ac:dyDescent="0.25">
      <c r="A2437" s="50" t="s">
        <v>3651</v>
      </c>
      <c r="B2437" s="30" t="s">
        <v>11</v>
      </c>
      <c r="C2437" s="30" t="s">
        <v>134</v>
      </c>
      <c r="D2437" s="30" t="s">
        <v>135</v>
      </c>
      <c r="E2437" s="30" t="s">
        <v>264</v>
      </c>
      <c r="F2437" s="30">
        <v>1</v>
      </c>
      <c r="G2437" s="44">
        <v>35033</v>
      </c>
      <c r="H2437" s="30"/>
      <c r="I2437" s="44"/>
      <c r="J2437" s="44"/>
      <c r="K2437" s="44">
        <f t="shared" si="82"/>
        <v>35033</v>
      </c>
      <c r="L2437" s="51">
        <v>20240719</v>
      </c>
    </row>
    <row r="2438" spans="1:12" x14ac:dyDescent="0.25">
      <c r="A2438" s="50" t="s">
        <v>3646</v>
      </c>
      <c r="B2438" s="30" t="s">
        <v>11</v>
      </c>
      <c r="C2438" s="30" t="s">
        <v>2109</v>
      </c>
      <c r="D2438" s="30" t="s">
        <v>24</v>
      </c>
      <c r="E2438" s="30" t="s">
        <v>2459</v>
      </c>
      <c r="F2438" s="30">
        <v>1</v>
      </c>
      <c r="G2438" s="44">
        <v>35033</v>
      </c>
      <c r="H2438" s="30"/>
      <c r="I2438" s="44"/>
      <c r="J2438" s="44"/>
      <c r="K2438" s="44">
        <f t="shared" si="82"/>
        <v>35033</v>
      </c>
      <c r="L2438" s="51">
        <v>20240722</v>
      </c>
    </row>
    <row r="2439" spans="1:12" x14ac:dyDescent="0.25">
      <c r="A2439" s="50" t="s">
        <v>3654</v>
      </c>
      <c r="B2439" s="30" t="s">
        <v>11</v>
      </c>
      <c r="C2439" s="30" t="s">
        <v>29</v>
      </c>
      <c r="D2439" s="30" t="s">
        <v>735</v>
      </c>
      <c r="E2439" s="30" t="s">
        <v>736</v>
      </c>
      <c r="F2439" s="30">
        <v>1</v>
      </c>
      <c r="G2439" s="44">
        <v>35033</v>
      </c>
      <c r="H2439" s="30"/>
      <c r="I2439" s="44"/>
      <c r="J2439" s="44"/>
      <c r="K2439" s="44">
        <f t="shared" si="82"/>
        <v>35033</v>
      </c>
      <c r="L2439" s="51">
        <v>20240722</v>
      </c>
    </row>
    <row r="2440" spans="1:12" x14ac:dyDescent="0.25">
      <c r="A2440" s="50" t="s">
        <v>3679</v>
      </c>
      <c r="B2440" s="30" t="s">
        <v>1209</v>
      </c>
      <c r="C2440" s="30" t="s">
        <v>45</v>
      </c>
      <c r="D2440" s="30" t="s">
        <v>3384</v>
      </c>
      <c r="E2440" s="30" t="s">
        <v>3680</v>
      </c>
      <c r="F2440" s="30">
        <v>1</v>
      </c>
      <c r="G2440" s="44">
        <v>35033</v>
      </c>
      <c r="H2440" s="30"/>
      <c r="I2440" s="44"/>
      <c r="J2440" s="44"/>
      <c r="K2440" s="44">
        <f t="shared" si="82"/>
        <v>35033</v>
      </c>
      <c r="L2440" s="51">
        <v>20240723</v>
      </c>
    </row>
    <row r="2441" spans="1:12" x14ac:dyDescent="0.25">
      <c r="A2441" s="50" t="s">
        <v>3634</v>
      </c>
      <c r="B2441" s="30" t="s">
        <v>11</v>
      </c>
      <c r="C2441" s="30" t="s">
        <v>28</v>
      </c>
      <c r="D2441" s="30" t="s">
        <v>3490</v>
      </c>
      <c r="E2441" s="30" t="s">
        <v>3491</v>
      </c>
      <c r="F2441" s="30">
        <v>1</v>
      </c>
      <c r="G2441" s="44">
        <v>35033</v>
      </c>
      <c r="H2441" s="30"/>
      <c r="I2441" s="44"/>
      <c r="J2441" s="44"/>
      <c r="K2441" s="44">
        <f t="shared" si="82"/>
        <v>35033</v>
      </c>
      <c r="L2441" s="51">
        <v>20240724</v>
      </c>
    </row>
    <row r="2442" spans="1:12" x14ac:dyDescent="0.25">
      <c r="A2442" s="50" t="s">
        <v>3640</v>
      </c>
      <c r="B2442" s="30" t="s">
        <v>11</v>
      </c>
      <c r="C2442" s="30" t="s">
        <v>94</v>
      </c>
      <c r="D2442" s="30" t="s">
        <v>95</v>
      </c>
      <c r="E2442" s="30" t="s">
        <v>2404</v>
      </c>
      <c r="F2442" s="30">
        <v>1</v>
      </c>
      <c r="G2442" s="44">
        <v>35033</v>
      </c>
      <c r="H2442" s="30"/>
      <c r="I2442" s="44"/>
      <c r="J2442" s="44"/>
      <c r="K2442" s="44">
        <f t="shared" si="82"/>
        <v>35033</v>
      </c>
      <c r="L2442" s="51">
        <v>20240724</v>
      </c>
    </row>
    <row r="2443" spans="1:12" x14ac:dyDescent="0.25">
      <c r="A2443" s="50" t="s">
        <v>3630</v>
      </c>
      <c r="B2443" s="30" t="s">
        <v>11</v>
      </c>
      <c r="C2443" s="30" t="s">
        <v>29</v>
      </c>
      <c r="D2443" s="30" t="s">
        <v>3494</v>
      </c>
      <c r="E2443" s="30" t="s">
        <v>3631</v>
      </c>
      <c r="F2443" s="30">
        <v>1</v>
      </c>
      <c r="G2443" s="44">
        <v>35033</v>
      </c>
      <c r="H2443" s="30"/>
      <c r="I2443" s="44"/>
      <c r="J2443" s="44"/>
      <c r="K2443" s="44">
        <f t="shared" si="82"/>
        <v>35033</v>
      </c>
      <c r="L2443" s="51">
        <v>20240725</v>
      </c>
    </row>
    <row r="2444" spans="1:12" x14ac:dyDescent="0.25">
      <c r="A2444" s="50" t="s">
        <v>3632</v>
      </c>
      <c r="B2444" s="30" t="s">
        <v>11</v>
      </c>
      <c r="C2444" s="30" t="s">
        <v>94</v>
      </c>
      <c r="D2444" s="30" t="s">
        <v>95</v>
      </c>
      <c r="E2444" s="30" t="s">
        <v>436</v>
      </c>
      <c r="F2444" s="30">
        <v>1</v>
      </c>
      <c r="G2444" s="44">
        <v>35033</v>
      </c>
      <c r="H2444" s="30"/>
      <c r="I2444" s="44"/>
      <c r="J2444" s="44"/>
      <c r="K2444" s="44">
        <f t="shared" ref="K2444:K2466" si="83">J2444+G2444</f>
        <v>35033</v>
      </c>
      <c r="L2444" s="51">
        <v>20240725</v>
      </c>
    </row>
    <row r="2445" spans="1:12" x14ac:dyDescent="0.25">
      <c r="A2445" s="50" t="s">
        <v>3635</v>
      </c>
      <c r="B2445" s="30" t="s">
        <v>11</v>
      </c>
      <c r="C2445" s="30" t="s">
        <v>607</v>
      </c>
      <c r="D2445" s="30" t="s">
        <v>24</v>
      </c>
      <c r="E2445" s="30" t="s">
        <v>2118</v>
      </c>
      <c r="F2445" s="30">
        <v>1</v>
      </c>
      <c r="G2445" s="44">
        <v>35033</v>
      </c>
      <c r="H2445" s="30"/>
      <c r="I2445" s="44"/>
      <c r="J2445" s="44"/>
      <c r="K2445" s="44">
        <f t="shared" si="83"/>
        <v>35033</v>
      </c>
      <c r="L2445" s="51">
        <v>20240725</v>
      </c>
    </row>
    <row r="2446" spans="1:12" x14ac:dyDescent="0.25">
      <c r="A2446" s="50" t="s">
        <v>3644</v>
      </c>
      <c r="B2446" s="30" t="s">
        <v>11</v>
      </c>
      <c r="C2446" s="30" t="s">
        <v>91</v>
      </c>
      <c r="D2446" s="30" t="s">
        <v>24</v>
      </c>
      <c r="E2446" s="30" t="s">
        <v>92</v>
      </c>
      <c r="F2446" s="30">
        <v>1</v>
      </c>
      <c r="G2446" s="44">
        <v>35033</v>
      </c>
      <c r="H2446" s="30"/>
      <c r="I2446" s="44"/>
      <c r="J2446" s="44"/>
      <c r="K2446" s="44">
        <f t="shared" si="83"/>
        <v>35033</v>
      </c>
      <c r="L2446" s="51">
        <v>20240725</v>
      </c>
    </row>
    <row r="2447" spans="1:12" x14ac:dyDescent="0.25">
      <c r="A2447" s="50" t="s">
        <v>3648</v>
      </c>
      <c r="B2447" s="30" t="s">
        <v>11</v>
      </c>
      <c r="C2447" s="30" t="s">
        <v>337</v>
      </c>
      <c r="D2447" s="30" t="s">
        <v>35</v>
      </c>
      <c r="E2447" s="30" t="s">
        <v>2463</v>
      </c>
      <c r="F2447" s="30">
        <v>1</v>
      </c>
      <c r="G2447" s="44">
        <v>35033</v>
      </c>
      <c r="H2447" s="30"/>
      <c r="I2447" s="44"/>
      <c r="J2447" s="44"/>
      <c r="K2447" s="44">
        <f t="shared" si="83"/>
        <v>35033</v>
      </c>
      <c r="L2447" s="51">
        <v>20240725</v>
      </c>
    </row>
    <row r="2448" spans="1:12" x14ac:dyDescent="0.25">
      <c r="A2448" s="50" t="s">
        <v>3649</v>
      </c>
      <c r="B2448" s="30" t="s">
        <v>11</v>
      </c>
      <c r="C2448" s="30" t="s">
        <v>337</v>
      </c>
      <c r="D2448" s="30" t="s">
        <v>35</v>
      </c>
      <c r="E2448" s="30" t="s">
        <v>157</v>
      </c>
      <c r="F2448" s="30">
        <v>1</v>
      </c>
      <c r="G2448" s="44">
        <v>35033</v>
      </c>
      <c r="H2448" s="30"/>
      <c r="I2448" s="44"/>
      <c r="J2448" s="44"/>
      <c r="K2448" s="44">
        <f t="shared" si="83"/>
        <v>35033</v>
      </c>
      <c r="L2448" s="51">
        <v>20240725</v>
      </c>
    </row>
    <row r="2449" spans="1:12" x14ac:dyDescent="0.25">
      <c r="A2449" s="50" t="s">
        <v>3650</v>
      </c>
      <c r="B2449" s="30" t="s">
        <v>11</v>
      </c>
      <c r="C2449" s="30" t="s">
        <v>337</v>
      </c>
      <c r="D2449" s="30" t="s">
        <v>35</v>
      </c>
      <c r="E2449" s="30" t="s">
        <v>511</v>
      </c>
      <c r="F2449" s="30">
        <v>1</v>
      </c>
      <c r="G2449" s="44">
        <v>35033</v>
      </c>
      <c r="H2449" s="30"/>
      <c r="I2449" s="44"/>
      <c r="J2449" s="44"/>
      <c r="K2449" s="44">
        <f t="shared" si="83"/>
        <v>35033</v>
      </c>
      <c r="L2449" s="51">
        <v>20240725</v>
      </c>
    </row>
    <row r="2450" spans="1:12" x14ac:dyDescent="0.25">
      <c r="A2450" s="50" t="s">
        <v>3661</v>
      </c>
      <c r="B2450" s="30" t="s">
        <v>11</v>
      </c>
      <c r="C2450" s="30" t="s">
        <v>34</v>
      </c>
      <c r="D2450" s="30" t="s">
        <v>35</v>
      </c>
      <c r="E2450" s="30" t="s">
        <v>2925</v>
      </c>
      <c r="F2450" s="30">
        <v>1</v>
      </c>
      <c r="G2450" s="44">
        <v>35033</v>
      </c>
      <c r="H2450" s="30"/>
      <c r="I2450" s="44"/>
      <c r="J2450" s="44"/>
      <c r="K2450" s="44">
        <f t="shared" si="83"/>
        <v>35033</v>
      </c>
      <c r="L2450" s="51">
        <v>20240725</v>
      </c>
    </row>
    <row r="2451" spans="1:12" x14ac:dyDescent="0.25">
      <c r="A2451" s="50" t="s">
        <v>3665</v>
      </c>
      <c r="B2451" s="30" t="s">
        <v>11</v>
      </c>
      <c r="C2451" s="30" t="s">
        <v>29</v>
      </c>
      <c r="D2451" s="30" t="s">
        <v>30</v>
      </c>
      <c r="E2451" s="30" t="s">
        <v>578</v>
      </c>
      <c r="F2451" s="30">
        <v>1</v>
      </c>
      <c r="G2451" s="44">
        <v>35033</v>
      </c>
      <c r="H2451" s="30"/>
      <c r="I2451" s="44"/>
      <c r="J2451" s="44"/>
      <c r="K2451" s="44">
        <f t="shared" si="83"/>
        <v>35033</v>
      </c>
      <c r="L2451" s="51">
        <v>20240725</v>
      </c>
    </row>
    <row r="2452" spans="1:12" x14ac:dyDescent="0.25">
      <c r="A2452" s="52" t="s">
        <v>3670</v>
      </c>
      <c r="B2452" s="32" t="s">
        <v>11</v>
      </c>
      <c r="C2452" s="32" t="s">
        <v>103</v>
      </c>
      <c r="D2452" s="32" t="s">
        <v>104</v>
      </c>
      <c r="E2452" s="32" t="s">
        <v>105</v>
      </c>
      <c r="F2452" s="32">
        <v>1</v>
      </c>
      <c r="G2452" s="45">
        <v>35033</v>
      </c>
      <c r="H2452" s="32">
        <v>159</v>
      </c>
      <c r="I2452" s="45">
        <v>446.1</v>
      </c>
      <c r="J2452" s="45">
        <f>I2452*H2452</f>
        <v>70929.900000000009</v>
      </c>
      <c r="K2452" s="45">
        <f t="shared" si="83"/>
        <v>105962.90000000001</v>
      </c>
      <c r="L2452" s="53">
        <v>20240725</v>
      </c>
    </row>
    <row r="2453" spans="1:12" x14ac:dyDescent="0.25">
      <c r="A2453" s="50" t="s">
        <v>3636</v>
      </c>
      <c r="B2453" s="30" t="s">
        <v>11</v>
      </c>
      <c r="C2453" s="30" t="s">
        <v>251</v>
      </c>
      <c r="D2453" s="30" t="s">
        <v>375</v>
      </c>
      <c r="E2453" s="30" t="s">
        <v>376</v>
      </c>
      <c r="F2453" s="30">
        <v>1</v>
      </c>
      <c r="G2453" s="44">
        <v>35033</v>
      </c>
      <c r="H2453" s="30"/>
      <c r="I2453" s="44"/>
      <c r="J2453" s="44"/>
      <c r="K2453" s="44">
        <f t="shared" si="83"/>
        <v>35033</v>
      </c>
      <c r="L2453" s="51">
        <v>20240726</v>
      </c>
    </row>
    <row r="2454" spans="1:12" x14ac:dyDescent="0.25">
      <c r="A2454" s="50" t="s">
        <v>3638</v>
      </c>
      <c r="B2454" s="30" t="s">
        <v>11</v>
      </c>
      <c r="C2454" s="30" t="s">
        <v>29</v>
      </c>
      <c r="D2454" s="30" t="s">
        <v>1385</v>
      </c>
      <c r="E2454" s="30" t="s">
        <v>210</v>
      </c>
      <c r="F2454" s="30">
        <v>1</v>
      </c>
      <c r="G2454" s="44">
        <v>35033</v>
      </c>
      <c r="H2454" s="30"/>
      <c r="I2454" s="44"/>
      <c r="J2454" s="44"/>
      <c r="K2454" s="44">
        <f t="shared" si="83"/>
        <v>35033</v>
      </c>
      <c r="L2454" s="51">
        <v>20240726</v>
      </c>
    </row>
    <row r="2455" spans="1:12" x14ac:dyDescent="0.25">
      <c r="A2455" s="50" t="s">
        <v>3639</v>
      </c>
      <c r="B2455" s="30" t="s">
        <v>11</v>
      </c>
      <c r="C2455" s="30" t="s">
        <v>134</v>
      </c>
      <c r="D2455" s="30" t="s">
        <v>135</v>
      </c>
      <c r="E2455" s="30" t="s">
        <v>136</v>
      </c>
      <c r="F2455" s="30">
        <v>1</v>
      </c>
      <c r="G2455" s="44">
        <v>35033</v>
      </c>
      <c r="H2455" s="30"/>
      <c r="I2455" s="44"/>
      <c r="J2455" s="44"/>
      <c r="K2455" s="44">
        <f t="shared" si="83"/>
        <v>35033</v>
      </c>
      <c r="L2455" s="51">
        <v>20240726</v>
      </c>
    </row>
    <row r="2456" spans="1:12" x14ac:dyDescent="0.25">
      <c r="A2456" s="50" t="s">
        <v>3645</v>
      </c>
      <c r="B2456" s="30" t="s">
        <v>11</v>
      </c>
      <c r="C2456" s="30" t="s">
        <v>29</v>
      </c>
      <c r="D2456" s="30" t="s">
        <v>1385</v>
      </c>
      <c r="E2456" s="30" t="s">
        <v>3335</v>
      </c>
      <c r="F2456" s="30">
        <v>1</v>
      </c>
      <c r="G2456" s="44">
        <v>35033</v>
      </c>
      <c r="H2456" s="30"/>
      <c r="I2456" s="44"/>
      <c r="J2456" s="44"/>
      <c r="K2456" s="44">
        <f t="shared" si="83"/>
        <v>35033</v>
      </c>
      <c r="L2456" s="51">
        <v>20240726</v>
      </c>
    </row>
    <row r="2457" spans="1:12" x14ac:dyDescent="0.25">
      <c r="A2457" s="50" t="s">
        <v>3626</v>
      </c>
      <c r="B2457" s="30" t="s">
        <v>11</v>
      </c>
      <c r="C2457" s="30" t="s">
        <v>251</v>
      </c>
      <c r="D2457" s="30" t="s">
        <v>764</v>
      </c>
      <c r="E2457" s="30" t="s">
        <v>1210</v>
      </c>
      <c r="F2457" s="30">
        <v>1</v>
      </c>
      <c r="G2457" s="44">
        <v>35033</v>
      </c>
      <c r="H2457" s="30"/>
      <c r="I2457" s="44"/>
      <c r="J2457" s="44"/>
      <c r="K2457" s="44">
        <f t="shared" si="83"/>
        <v>35033</v>
      </c>
      <c r="L2457" s="51">
        <v>20240729</v>
      </c>
    </row>
    <row r="2458" spans="1:12" x14ac:dyDescent="0.25">
      <c r="A2458" s="50" t="s">
        <v>3633</v>
      </c>
      <c r="B2458" s="30" t="s">
        <v>11</v>
      </c>
      <c r="C2458" s="30" t="s">
        <v>26</v>
      </c>
      <c r="D2458" s="30" t="s">
        <v>802</v>
      </c>
      <c r="E2458" s="30" t="s">
        <v>809</v>
      </c>
      <c r="F2458" s="30">
        <v>1</v>
      </c>
      <c r="G2458" s="44">
        <v>35033</v>
      </c>
      <c r="H2458" s="30"/>
      <c r="I2458" s="44"/>
      <c r="J2458" s="44"/>
      <c r="K2458" s="44">
        <f t="shared" si="83"/>
        <v>35033</v>
      </c>
      <c r="L2458" s="51">
        <v>20240729</v>
      </c>
    </row>
    <row r="2459" spans="1:12" x14ac:dyDescent="0.25">
      <c r="A2459" s="52" t="s">
        <v>3647</v>
      </c>
      <c r="B2459" s="32" t="s">
        <v>11</v>
      </c>
      <c r="C2459" s="32" t="s">
        <v>163</v>
      </c>
      <c r="D2459" s="32" t="s">
        <v>164</v>
      </c>
      <c r="E2459" s="32" t="s">
        <v>478</v>
      </c>
      <c r="F2459" s="32">
        <v>1</v>
      </c>
      <c r="G2459" s="45">
        <v>35033</v>
      </c>
      <c r="H2459" s="32">
        <v>126</v>
      </c>
      <c r="I2459" s="45">
        <v>446.1</v>
      </c>
      <c r="J2459" s="45">
        <f>I2459*H2459</f>
        <v>56208.600000000006</v>
      </c>
      <c r="K2459" s="45">
        <f t="shared" si="83"/>
        <v>91241.600000000006</v>
      </c>
      <c r="L2459" s="53">
        <v>20240729</v>
      </c>
    </row>
    <row r="2460" spans="1:12" x14ac:dyDescent="0.25">
      <c r="A2460" s="50" t="s">
        <v>3653</v>
      </c>
      <c r="B2460" s="30" t="s">
        <v>11</v>
      </c>
      <c r="C2460" s="30" t="s">
        <v>270</v>
      </c>
      <c r="D2460" s="30" t="s">
        <v>368</v>
      </c>
      <c r="E2460" s="30" t="s">
        <v>369</v>
      </c>
      <c r="F2460" s="30">
        <v>1</v>
      </c>
      <c r="G2460" s="44">
        <v>35033</v>
      </c>
      <c r="H2460" s="30"/>
      <c r="I2460" s="44"/>
      <c r="J2460" s="44"/>
      <c r="K2460" s="44">
        <f t="shared" si="83"/>
        <v>35033</v>
      </c>
      <c r="L2460" s="51">
        <v>20240729</v>
      </c>
    </row>
    <row r="2461" spans="1:12" x14ac:dyDescent="0.25">
      <c r="A2461" s="50" t="s">
        <v>3625</v>
      </c>
      <c r="B2461" s="30" t="s">
        <v>11</v>
      </c>
      <c r="C2461" s="30" t="s">
        <v>29</v>
      </c>
      <c r="D2461" s="30" t="s">
        <v>3494</v>
      </c>
      <c r="E2461" s="30" t="s">
        <v>3495</v>
      </c>
      <c r="F2461" s="30">
        <v>1</v>
      </c>
      <c r="G2461" s="44">
        <v>35033</v>
      </c>
      <c r="H2461" s="30"/>
      <c r="I2461" s="44"/>
      <c r="J2461" s="44"/>
      <c r="K2461" s="44">
        <f t="shared" si="83"/>
        <v>35033</v>
      </c>
      <c r="L2461" s="51">
        <v>20240730</v>
      </c>
    </row>
    <row r="2462" spans="1:12" x14ac:dyDescent="0.25">
      <c r="A2462" s="50" t="s">
        <v>3628</v>
      </c>
      <c r="B2462" s="30" t="s">
        <v>11</v>
      </c>
      <c r="C2462" s="30" t="s">
        <v>28</v>
      </c>
      <c r="D2462" s="30" t="s">
        <v>750</v>
      </c>
      <c r="E2462" s="30" t="s">
        <v>751</v>
      </c>
      <c r="F2462" s="30">
        <v>1</v>
      </c>
      <c r="G2462" s="44">
        <v>35033</v>
      </c>
      <c r="H2462" s="30"/>
      <c r="I2462" s="44"/>
      <c r="J2462" s="44"/>
      <c r="K2462" s="44">
        <f t="shared" si="83"/>
        <v>35033</v>
      </c>
      <c r="L2462" s="51">
        <v>20240730</v>
      </c>
    </row>
    <row r="2463" spans="1:12" x14ac:dyDescent="0.25">
      <c r="A2463" s="50" t="s">
        <v>3629</v>
      </c>
      <c r="B2463" s="30" t="s">
        <v>11</v>
      </c>
      <c r="C2463" s="30" t="s">
        <v>29</v>
      </c>
      <c r="D2463" s="30" t="s">
        <v>24</v>
      </c>
      <c r="E2463" s="30" t="s">
        <v>208</v>
      </c>
      <c r="F2463" s="30">
        <v>1</v>
      </c>
      <c r="G2463" s="44">
        <v>35033</v>
      </c>
      <c r="H2463" s="30"/>
      <c r="I2463" s="44"/>
      <c r="J2463" s="44"/>
      <c r="K2463" s="44">
        <f t="shared" si="83"/>
        <v>35033</v>
      </c>
      <c r="L2463" s="51">
        <v>20240730</v>
      </c>
    </row>
    <row r="2464" spans="1:12" x14ac:dyDescent="0.25">
      <c r="A2464" s="50" t="s">
        <v>3676</v>
      </c>
      <c r="B2464" s="30" t="s">
        <v>1209</v>
      </c>
      <c r="C2464" s="30" t="s">
        <v>646</v>
      </c>
      <c r="D2464" s="30" t="s">
        <v>24</v>
      </c>
      <c r="E2464" s="30" t="s">
        <v>3677</v>
      </c>
      <c r="F2464" s="30">
        <v>1</v>
      </c>
      <c r="G2464" s="44">
        <v>35033</v>
      </c>
      <c r="H2464" s="30"/>
      <c r="I2464" s="44"/>
      <c r="J2464" s="44"/>
      <c r="K2464" s="44">
        <f t="shared" si="83"/>
        <v>35033</v>
      </c>
      <c r="L2464" s="51">
        <v>20240730</v>
      </c>
    </row>
    <row r="2465" spans="1:12" x14ac:dyDescent="0.25">
      <c r="A2465" s="50" t="s">
        <v>3627</v>
      </c>
      <c r="B2465" s="30" t="s">
        <v>11</v>
      </c>
      <c r="C2465" s="30" t="s">
        <v>28</v>
      </c>
      <c r="D2465" s="30" t="s">
        <v>3490</v>
      </c>
      <c r="E2465" s="30" t="s">
        <v>3491</v>
      </c>
      <c r="F2465" s="30">
        <v>1</v>
      </c>
      <c r="G2465" s="44">
        <v>35033</v>
      </c>
      <c r="H2465" s="30"/>
      <c r="I2465" s="44"/>
      <c r="J2465" s="44"/>
      <c r="K2465" s="44">
        <f t="shared" si="83"/>
        <v>35033</v>
      </c>
      <c r="L2465" s="51">
        <v>20240731</v>
      </c>
    </row>
    <row r="2466" spans="1:12" ht="15.75" thickBot="1" x14ac:dyDescent="0.3">
      <c r="A2466" s="54" t="s">
        <v>3637</v>
      </c>
      <c r="B2466" s="36" t="s">
        <v>11</v>
      </c>
      <c r="C2466" s="36" t="s">
        <v>26</v>
      </c>
      <c r="D2466" s="36" t="s">
        <v>544</v>
      </c>
      <c r="E2466" s="36" t="s">
        <v>549</v>
      </c>
      <c r="F2466" s="36">
        <v>1</v>
      </c>
      <c r="G2466" s="65">
        <v>35033</v>
      </c>
      <c r="H2466" s="36"/>
      <c r="I2466" s="65"/>
      <c r="J2466" s="65"/>
      <c r="K2466" s="65">
        <f t="shared" si="83"/>
        <v>35033</v>
      </c>
      <c r="L2466" s="55">
        <v>20240731</v>
      </c>
    </row>
    <row r="2471" spans="1:12" ht="15.75" thickBot="1" x14ac:dyDescent="0.3">
      <c r="A2471" s="69" t="s">
        <v>0</v>
      </c>
      <c r="B2471" s="70" t="s">
        <v>1</v>
      </c>
      <c r="C2471" s="70" t="s">
        <v>2</v>
      </c>
      <c r="D2471" s="70" t="s">
        <v>3</v>
      </c>
      <c r="E2471" s="70" t="s">
        <v>4</v>
      </c>
      <c r="F2471" s="70"/>
      <c r="G2471" s="71" t="s">
        <v>6</v>
      </c>
      <c r="H2471" s="70" t="s">
        <v>7</v>
      </c>
      <c r="I2471" s="71" t="s">
        <v>8</v>
      </c>
      <c r="J2471" s="71" t="s">
        <v>9</v>
      </c>
      <c r="K2471" s="71" t="s">
        <v>10</v>
      </c>
      <c r="L2471" s="72" t="s">
        <v>5</v>
      </c>
    </row>
    <row r="2472" spans="1:12" x14ac:dyDescent="0.25">
      <c r="A2472" s="77" t="s">
        <v>3740</v>
      </c>
      <c r="B2472" s="78" t="s">
        <v>11</v>
      </c>
      <c r="C2472" s="78" t="s">
        <v>337</v>
      </c>
      <c r="D2472" s="78" t="s">
        <v>162</v>
      </c>
      <c r="E2472" s="78" t="s">
        <v>3741</v>
      </c>
      <c r="F2472" s="78">
        <v>1</v>
      </c>
      <c r="G2472" s="79">
        <v>35033</v>
      </c>
      <c r="H2472" s="78">
        <v>69</v>
      </c>
      <c r="I2472" s="79">
        <v>446.1</v>
      </c>
      <c r="J2472" s="79">
        <f>I2472*H2472</f>
        <v>30780.9</v>
      </c>
      <c r="K2472" s="79">
        <f t="shared" ref="K2472:K2511" si="84">J2472+G2472</f>
        <v>65813.899999999994</v>
      </c>
      <c r="L2472" s="80">
        <v>20240801</v>
      </c>
    </row>
    <row r="2473" spans="1:12" x14ac:dyDescent="0.25">
      <c r="A2473" s="50" t="s">
        <v>3743</v>
      </c>
      <c r="B2473" s="30" t="s">
        <v>11</v>
      </c>
      <c r="C2473" s="30" t="s">
        <v>134</v>
      </c>
      <c r="D2473" s="30" t="s">
        <v>135</v>
      </c>
      <c r="E2473" s="30" t="s">
        <v>1178</v>
      </c>
      <c r="F2473" s="30">
        <v>1</v>
      </c>
      <c r="G2473" s="44">
        <v>35033</v>
      </c>
      <c r="H2473" s="30"/>
      <c r="I2473" s="44"/>
      <c r="J2473" s="44"/>
      <c r="K2473" s="44">
        <f t="shared" si="84"/>
        <v>35033</v>
      </c>
      <c r="L2473" s="51">
        <v>20240801</v>
      </c>
    </row>
    <row r="2474" spans="1:12" x14ac:dyDescent="0.25">
      <c r="A2474" s="52" t="s">
        <v>3737</v>
      </c>
      <c r="B2474" s="32" t="s">
        <v>11</v>
      </c>
      <c r="C2474" s="32" t="s">
        <v>163</v>
      </c>
      <c r="D2474" s="32" t="s">
        <v>164</v>
      </c>
      <c r="E2474" s="32" t="s">
        <v>212</v>
      </c>
      <c r="F2474" s="32">
        <v>1</v>
      </c>
      <c r="G2474" s="45">
        <v>35033</v>
      </c>
      <c r="H2474" s="32">
        <v>126</v>
      </c>
      <c r="I2474" s="45">
        <v>441.8</v>
      </c>
      <c r="J2474" s="45">
        <f>I2474*H2474</f>
        <v>55666.8</v>
      </c>
      <c r="K2474" s="45">
        <f t="shared" si="84"/>
        <v>90699.8</v>
      </c>
      <c r="L2474" s="53">
        <v>20240802</v>
      </c>
    </row>
    <row r="2475" spans="1:12" x14ac:dyDescent="0.25">
      <c r="A2475" s="52" t="s">
        <v>3739</v>
      </c>
      <c r="B2475" s="32" t="s">
        <v>11</v>
      </c>
      <c r="C2475" s="32" t="s">
        <v>45</v>
      </c>
      <c r="D2475" s="32" t="s">
        <v>3384</v>
      </c>
      <c r="E2475" s="32" t="s">
        <v>3385</v>
      </c>
      <c r="F2475" s="32">
        <v>1</v>
      </c>
      <c r="G2475" s="45">
        <v>35033</v>
      </c>
      <c r="H2475" s="32">
        <v>37</v>
      </c>
      <c r="I2475" s="45">
        <v>441.8</v>
      </c>
      <c r="J2475" s="45">
        <f>I2475*H2475</f>
        <v>16346.6</v>
      </c>
      <c r="K2475" s="45">
        <f t="shared" si="84"/>
        <v>51379.6</v>
      </c>
      <c r="L2475" s="53">
        <v>20240805</v>
      </c>
    </row>
    <row r="2476" spans="1:12" x14ac:dyDescent="0.25">
      <c r="A2476" s="50" t="s">
        <v>3728</v>
      </c>
      <c r="B2476" s="30" t="s">
        <v>11</v>
      </c>
      <c r="C2476" s="30" t="s">
        <v>28</v>
      </c>
      <c r="D2476" s="30" t="s">
        <v>3490</v>
      </c>
      <c r="E2476" s="30" t="s">
        <v>3491</v>
      </c>
      <c r="F2476" s="30">
        <v>1</v>
      </c>
      <c r="G2476" s="44">
        <v>35033</v>
      </c>
      <c r="H2476" s="30"/>
      <c r="I2476" s="44"/>
      <c r="J2476" s="44"/>
      <c r="K2476" s="44">
        <f t="shared" si="84"/>
        <v>35033</v>
      </c>
      <c r="L2476" s="51">
        <v>20240806</v>
      </c>
    </row>
    <row r="2477" spans="1:12" x14ac:dyDescent="0.25">
      <c r="A2477" s="50" t="s">
        <v>3731</v>
      </c>
      <c r="B2477" s="30" t="s">
        <v>11</v>
      </c>
      <c r="C2477" s="30" t="s">
        <v>29</v>
      </c>
      <c r="D2477" s="30" t="s">
        <v>1385</v>
      </c>
      <c r="E2477" s="30" t="s">
        <v>210</v>
      </c>
      <c r="F2477" s="30">
        <v>1</v>
      </c>
      <c r="G2477" s="44">
        <v>35033</v>
      </c>
      <c r="H2477" s="30"/>
      <c r="I2477" s="44"/>
      <c r="J2477" s="44"/>
      <c r="K2477" s="44">
        <f t="shared" si="84"/>
        <v>35033</v>
      </c>
      <c r="L2477" s="51">
        <v>20240806</v>
      </c>
    </row>
    <row r="2478" spans="1:12" x14ac:dyDescent="0.25">
      <c r="A2478" s="52" t="s">
        <v>3735</v>
      </c>
      <c r="B2478" s="32" t="s">
        <v>11</v>
      </c>
      <c r="C2478" s="32" t="s">
        <v>103</v>
      </c>
      <c r="D2478" s="32" t="s">
        <v>104</v>
      </c>
      <c r="E2478" s="32" t="s">
        <v>105</v>
      </c>
      <c r="F2478" s="32">
        <v>1</v>
      </c>
      <c r="G2478" s="45">
        <v>35033</v>
      </c>
      <c r="H2478" s="32">
        <v>159</v>
      </c>
      <c r="I2478" s="45">
        <v>441.8</v>
      </c>
      <c r="J2478" s="45">
        <f>I2478*H2478</f>
        <v>70246.2</v>
      </c>
      <c r="K2478" s="45">
        <f t="shared" si="84"/>
        <v>105279.2</v>
      </c>
      <c r="L2478" s="53">
        <v>20240806</v>
      </c>
    </row>
    <row r="2479" spans="1:12" x14ac:dyDescent="0.25">
      <c r="A2479" s="50" t="s">
        <v>3738</v>
      </c>
      <c r="B2479" s="30" t="s">
        <v>11</v>
      </c>
      <c r="C2479" s="30" t="s">
        <v>29</v>
      </c>
      <c r="D2479" s="30" t="s">
        <v>1385</v>
      </c>
      <c r="E2479" s="30" t="s">
        <v>1320</v>
      </c>
      <c r="F2479" s="30">
        <v>1</v>
      </c>
      <c r="G2479" s="44">
        <v>35033</v>
      </c>
      <c r="H2479" s="30"/>
      <c r="I2479" s="44"/>
      <c r="J2479" s="44"/>
      <c r="K2479" s="44">
        <f t="shared" si="84"/>
        <v>35033</v>
      </c>
      <c r="L2479" s="51">
        <v>20240806</v>
      </c>
    </row>
    <row r="2480" spans="1:12" x14ac:dyDescent="0.25">
      <c r="A2480" s="50" t="s">
        <v>3742</v>
      </c>
      <c r="B2480" s="30" t="s">
        <v>11</v>
      </c>
      <c r="C2480" s="30" t="s">
        <v>91</v>
      </c>
      <c r="D2480" s="30" t="s">
        <v>24</v>
      </c>
      <c r="E2480" s="30" t="s">
        <v>92</v>
      </c>
      <c r="F2480" s="30">
        <v>1</v>
      </c>
      <c r="G2480" s="44">
        <v>35033</v>
      </c>
      <c r="H2480" s="30"/>
      <c r="I2480" s="44"/>
      <c r="J2480" s="44"/>
      <c r="K2480" s="44">
        <f t="shared" si="84"/>
        <v>35033</v>
      </c>
      <c r="L2480" s="51">
        <v>20240806</v>
      </c>
    </row>
    <row r="2481" spans="1:12" x14ac:dyDescent="0.25">
      <c r="A2481" s="52" t="s">
        <v>3729</v>
      </c>
      <c r="B2481" s="32" t="s">
        <v>11</v>
      </c>
      <c r="C2481" s="32" t="s">
        <v>28</v>
      </c>
      <c r="D2481" s="32" t="s">
        <v>1183</v>
      </c>
      <c r="E2481" s="32" t="s">
        <v>1184</v>
      </c>
      <c r="F2481" s="32">
        <v>1</v>
      </c>
      <c r="G2481" s="45">
        <v>35033</v>
      </c>
      <c r="H2481" s="32">
        <v>138</v>
      </c>
      <c r="I2481" s="45">
        <v>441.8</v>
      </c>
      <c r="J2481" s="45">
        <f>I2481*H2481</f>
        <v>60968.4</v>
      </c>
      <c r="K2481" s="45">
        <f t="shared" si="84"/>
        <v>96001.4</v>
      </c>
      <c r="L2481" s="53">
        <v>20240807</v>
      </c>
    </row>
    <row r="2482" spans="1:12" x14ac:dyDescent="0.25">
      <c r="A2482" s="52" t="s">
        <v>3730</v>
      </c>
      <c r="B2482" s="32" t="s">
        <v>11</v>
      </c>
      <c r="C2482" s="32" t="s">
        <v>26</v>
      </c>
      <c r="D2482" s="32" t="s">
        <v>3037</v>
      </c>
      <c r="E2482" s="32" t="s">
        <v>3046</v>
      </c>
      <c r="F2482" s="32">
        <v>1</v>
      </c>
      <c r="G2482" s="45">
        <v>35033</v>
      </c>
      <c r="H2482" s="32">
        <v>76</v>
      </c>
      <c r="I2482" s="45">
        <v>441.8</v>
      </c>
      <c r="J2482" s="45">
        <f>I2482*H2482</f>
        <v>33576.800000000003</v>
      </c>
      <c r="K2482" s="45">
        <f t="shared" si="84"/>
        <v>68609.8</v>
      </c>
      <c r="L2482" s="53">
        <v>20240807</v>
      </c>
    </row>
    <row r="2483" spans="1:12" x14ac:dyDescent="0.25">
      <c r="A2483" s="50" t="s">
        <v>3732</v>
      </c>
      <c r="B2483" s="30" t="s">
        <v>11</v>
      </c>
      <c r="C2483" s="30" t="s">
        <v>129</v>
      </c>
      <c r="D2483" s="30" t="s">
        <v>24</v>
      </c>
      <c r="E2483" s="30" t="s">
        <v>130</v>
      </c>
      <c r="F2483" s="30">
        <v>1</v>
      </c>
      <c r="G2483" s="44">
        <v>35033</v>
      </c>
      <c r="H2483" s="30"/>
      <c r="I2483" s="44"/>
      <c r="J2483" s="44"/>
      <c r="K2483" s="44">
        <f t="shared" si="84"/>
        <v>35033</v>
      </c>
      <c r="L2483" s="51">
        <v>20240807</v>
      </c>
    </row>
    <row r="2484" spans="1:12" x14ac:dyDescent="0.25">
      <c r="A2484" s="50" t="s">
        <v>3726</v>
      </c>
      <c r="B2484" s="30" t="s">
        <v>11</v>
      </c>
      <c r="C2484" s="30" t="s">
        <v>29</v>
      </c>
      <c r="D2484" s="30" t="s">
        <v>1656</v>
      </c>
      <c r="E2484" s="30" t="s">
        <v>2324</v>
      </c>
      <c r="F2484" s="30">
        <v>1</v>
      </c>
      <c r="G2484" s="44">
        <v>35033</v>
      </c>
      <c r="H2484" s="30"/>
      <c r="I2484" s="44"/>
      <c r="J2484" s="44"/>
      <c r="K2484" s="44">
        <f t="shared" si="84"/>
        <v>35033</v>
      </c>
      <c r="L2484" s="51">
        <v>20240808</v>
      </c>
    </row>
    <row r="2485" spans="1:12" x14ac:dyDescent="0.25">
      <c r="A2485" s="50" t="s">
        <v>3733</v>
      </c>
      <c r="B2485" s="30" t="s">
        <v>11</v>
      </c>
      <c r="C2485" s="30" t="s">
        <v>94</v>
      </c>
      <c r="D2485" s="30" t="s">
        <v>95</v>
      </c>
      <c r="E2485" s="30" t="s">
        <v>2404</v>
      </c>
      <c r="F2485" s="30">
        <v>1</v>
      </c>
      <c r="G2485" s="44">
        <v>35033</v>
      </c>
      <c r="H2485" s="30"/>
      <c r="I2485" s="44"/>
      <c r="J2485" s="44"/>
      <c r="K2485" s="44">
        <f t="shared" si="84"/>
        <v>35033</v>
      </c>
      <c r="L2485" s="51">
        <v>20240808</v>
      </c>
    </row>
    <row r="2486" spans="1:12" x14ac:dyDescent="0.25">
      <c r="A2486" s="50" t="s">
        <v>3734</v>
      </c>
      <c r="B2486" s="30" t="s">
        <v>11</v>
      </c>
      <c r="C2486" s="30" t="s">
        <v>364</v>
      </c>
      <c r="D2486" s="30" t="s">
        <v>24</v>
      </c>
      <c r="E2486" s="30" t="s">
        <v>532</v>
      </c>
      <c r="F2486" s="30">
        <v>1</v>
      </c>
      <c r="G2486" s="44">
        <v>35033</v>
      </c>
      <c r="H2486" s="30"/>
      <c r="I2486" s="44"/>
      <c r="J2486" s="44"/>
      <c r="K2486" s="44">
        <f t="shared" si="84"/>
        <v>35033</v>
      </c>
      <c r="L2486" s="51">
        <v>20240808</v>
      </c>
    </row>
    <row r="2487" spans="1:12" x14ac:dyDescent="0.25">
      <c r="A2487" s="50" t="s">
        <v>3727</v>
      </c>
      <c r="B2487" s="30" t="s">
        <v>11</v>
      </c>
      <c r="C2487" s="30" t="s">
        <v>134</v>
      </c>
      <c r="D2487" s="30" t="s">
        <v>354</v>
      </c>
      <c r="E2487" s="30" t="s">
        <v>410</v>
      </c>
      <c r="F2487" s="30">
        <v>1</v>
      </c>
      <c r="G2487" s="44">
        <v>35033</v>
      </c>
      <c r="H2487" s="30"/>
      <c r="I2487" s="44"/>
      <c r="J2487" s="44"/>
      <c r="K2487" s="44">
        <f t="shared" si="84"/>
        <v>35033</v>
      </c>
      <c r="L2487" s="51">
        <v>20240809</v>
      </c>
    </row>
    <row r="2488" spans="1:12" x14ac:dyDescent="0.25">
      <c r="A2488" s="50" t="s">
        <v>3736</v>
      </c>
      <c r="B2488" s="30" t="s">
        <v>11</v>
      </c>
      <c r="C2488" s="30" t="s">
        <v>251</v>
      </c>
      <c r="D2488" s="30" t="s">
        <v>740</v>
      </c>
      <c r="E2488" s="30" t="s">
        <v>741</v>
      </c>
      <c r="F2488" s="30">
        <v>1</v>
      </c>
      <c r="G2488" s="44">
        <v>35033</v>
      </c>
      <c r="H2488" s="30"/>
      <c r="I2488" s="44"/>
      <c r="J2488" s="44"/>
      <c r="K2488" s="44">
        <f t="shared" si="84"/>
        <v>35033</v>
      </c>
      <c r="L2488" s="51">
        <v>20240809</v>
      </c>
    </row>
    <row r="2489" spans="1:12" x14ac:dyDescent="0.25">
      <c r="A2489" s="50" t="s">
        <v>3717</v>
      </c>
      <c r="B2489" s="30" t="s">
        <v>11</v>
      </c>
      <c r="C2489" s="30" t="s">
        <v>134</v>
      </c>
      <c r="D2489" s="30" t="s">
        <v>135</v>
      </c>
      <c r="E2489" s="30" t="s">
        <v>3513</v>
      </c>
      <c r="F2489" s="30">
        <v>1</v>
      </c>
      <c r="G2489" s="44">
        <v>35033</v>
      </c>
      <c r="H2489" s="30"/>
      <c r="I2489" s="44"/>
      <c r="J2489" s="44"/>
      <c r="K2489" s="44">
        <f t="shared" si="84"/>
        <v>35033</v>
      </c>
      <c r="L2489" s="51">
        <v>20240812</v>
      </c>
    </row>
    <row r="2490" spans="1:12" x14ac:dyDescent="0.25">
      <c r="A2490" s="52" t="s">
        <v>3718</v>
      </c>
      <c r="B2490" s="32" t="s">
        <v>11</v>
      </c>
      <c r="C2490" s="32" t="s">
        <v>28</v>
      </c>
      <c r="D2490" s="32" t="s">
        <v>1183</v>
      </c>
      <c r="E2490" s="32" t="s">
        <v>1184</v>
      </c>
      <c r="F2490" s="32">
        <v>1</v>
      </c>
      <c r="G2490" s="45">
        <v>35033</v>
      </c>
      <c r="H2490" s="32">
        <v>138</v>
      </c>
      <c r="I2490" s="45">
        <v>441.8</v>
      </c>
      <c r="J2490" s="45">
        <f>I2490*H2490</f>
        <v>60968.4</v>
      </c>
      <c r="K2490" s="45">
        <f t="shared" si="84"/>
        <v>96001.4</v>
      </c>
      <c r="L2490" s="53">
        <v>20240813</v>
      </c>
    </row>
    <row r="2491" spans="1:12" x14ac:dyDescent="0.25">
      <c r="A2491" s="50" t="s">
        <v>3725</v>
      </c>
      <c r="B2491" s="30" t="s">
        <v>11</v>
      </c>
      <c r="C2491" s="30" t="s">
        <v>94</v>
      </c>
      <c r="D2491" s="30" t="s">
        <v>95</v>
      </c>
      <c r="E2491" s="30" t="s">
        <v>1085</v>
      </c>
      <c r="F2491" s="30">
        <v>1</v>
      </c>
      <c r="G2491" s="44">
        <v>35033</v>
      </c>
      <c r="H2491" s="30"/>
      <c r="I2491" s="44"/>
      <c r="J2491" s="44"/>
      <c r="K2491" s="44">
        <f t="shared" si="84"/>
        <v>35033</v>
      </c>
      <c r="L2491" s="51">
        <v>20240813</v>
      </c>
    </row>
    <row r="2492" spans="1:12" x14ac:dyDescent="0.25">
      <c r="A2492" s="50" t="s">
        <v>3715</v>
      </c>
      <c r="B2492" s="30" t="s">
        <v>11</v>
      </c>
      <c r="C2492" s="30" t="s">
        <v>251</v>
      </c>
      <c r="D2492" s="30" t="s">
        <v>375</v>
      </c>
      <c r="E2492" s="30" t="s">
        <v>376</v>
      </c>
      <c r="F2492" s="30">
        <v>1</v>
      </c>
      <c r="G2492" s="44">
        <v>35033</v>
      </c>
      <c r="H2492" s="30"/>
      <c r="I2492" s="44"/>
      <c r="J2492" s="44"/>
      <c r="K2492" s="44">
        <f t="shared" si="84"/>
        <v>35033</v>
      </c>
      <c r="L2492" s="51">
        <v>20240814</v>
      </c>
    </row>
    <row r="2493" spans="1:12" x14ac:dyDescent="0.25">
      <c r="A2493" s="50" t="s">
        <v>3705</v>
      </c>
      <c r="B2493" s="30" t="s">
        <v>11</v>
      </c>
      <c r="C2493" s="30" t="s">
        <v>29</v>
      </c>
      <c r="D2493" s="30" t="s">
        <v>1385</v>
      </c>
      <c r="E2493" s="30" t="s">
        <v>3335</v>
      </c>
      <c r="F2493" s="30">
        <v>1</v>
      </c>
      <c r="G2493" s="44">
        <v>35033</v>
      </c>
      <c r="H2493" s="30"/>
      <c r="I2493" s="44"/>
      <c r="J2493" s="44"/>
      <c r="K2493" s="44">
        <f t="shared" si="84"/>
        <v>35033</v>
      </c>
      <c r="L2493" s="51">
        <v>20240815</v>
      </c>
    </row>
    <row r="2494" spans="1:12" x14ac:dyDescent="0.25">
      <c r="A2494" s="50" t="s">
        <v>3719</v>
      </c>
      <c r="B2494" s="30" t="s">
        <v>11</v>
      </c>
      <c r="C2494" s="30" t="s">
        <v>29</v>
      </c>
      <c r="D2494" s="30" t="s">
        <v>1385</v>
      </c>
      <c r="E2494" s="30" t="s">
        <v>210</v>
      </c>
      <c r="F2494" s="30">
        <v>1</v>
      </c>
      <c r="G2494" s="44">
        <v>35033</v>
      </c>
      <c r="H2494" s="30"/>
      <c r="I2494" s="44"/>
      <c r="J2494" s="44"/>
      <c r="K2494" s="44">
        <f t="shared" si="84"/>
        <v>35033</v>
      </c>
      <c r="L2494" s="51">
        <v>20240815</v>
      </c>
    </row>
    <row r="2495" spans="1:12" x14ac:dyDescent="0.25">
      <c r="A2495" s="50" t="s">
        <v>3716</v>
      </c>
      <c r="B2495" s="30" t="s">
        <v>1209</v>
      </c>
      <c r="C2495" s="30" t="s">
        <v>94</v>
      </c>
      <c r="D2495" s="30" t="s">
        <v>95</v>
      </c>
      <c r="E2495" s="30" t="s">
        <v>2404</v>
      </c>
      <c r="F2495" s="30">
        <v>1</v>
      </c>
      <c r="G2495" s="44">
        <v>35033</v>
      </c>
      <c r="H2495" s="30"/>
      <c r="I2495" s="44"/>
      <c r="J2495" s="44"/>
      <c r="K2495" s="44">
        <f t="shared" si="84"/>
        <v>35033</v>
      </c>
      <c r="L2495" s="51">
        <v>20240816</v>
      </c>
    </row>
    <row r="2496" spans="1:12" x14ac:dyDescent="0.25">
      <c r="A2496" s="50" t="s">
        <v>3710</v>
      </c>
      <c r="B2496" s="30" t="s">
        <v>11</v>
      </c>
      <c r="C2496" s="30" t="s">
        <v>57</v>
      </c>
      <c r="D2496" s="30" t="s">
        <v>58</v>
      </c>
      <c r="E2496" s="30" t="s">
        <v>62</v>
      </c>
      <c r="F2496" s="30">
        <v>1</v>
      </c>
      <c r="G2496" s="44">
        <v>35033</v>
      </c>
      <c r="H2496" s="30"/>
      <c r="I2496" s="44"/>
      <c r="J2496" s="44"/>
      <c r="K2496" s="44">
        <f t="shared" si="84"/>
        <v>35033</v>
      </c>
      <c r="L2496" s="51">
        <v>20240820</v>
      </c>
    </row>
    <row r="2497" spans="1:12" x14ac:dyDescent="0.25">
      <c r="A2497" s="50" t="s">
        <v>3711</v>
      </c>
      <c r="B2497" s="30" t="s">
        <v>11</v>
      </c>
      <c r="C2497" s="30" t="s">
        <v>29</v>
      </c>
      <c r="D2497" s="30" t="s">
        <v>1385</v>
      </c>
      <c r="E2497" s="30" t="s">
        <v>209</v>
      </c>
      <c r="F2497" s="30">
        <v>1</v>
      </c>
      <c r="G2497" s="44">
        <v>35033</v>
      </c>
      <c r="H2497" s="30"/>
      <c r="I2497" s="44"/>
      <c r="J2497" s="44"/>
      <c r="K2497" s="44">
        <f t="shared" si="84"/>
        <v>35033</v>
      </c>
      <c r="L2497" s="51">
        <v>20240820</v>
      </c>
    </row>
    <row r="2498" spans="1:12" x14ac:dyDescent="0.25">
      <c r="A2498" s="50" t="s">
        <v>3714</v>
      </c>
      <c r="B2498" s="30" t="s">
        <v>11</v>
      </c>
      <c r="C2498" s="30" t="s">
        <v>1393</v>
      </c>
      <c r="D2498" s="30" t="s">
        <v>1394</v>
      </c>
      <c r="E2498" s="30" t="s">
        <v>2163</v>
      </c>
      <c r="F2498" s="30">
        <v>1</v>
      </c>
      <c r="G2498" s="44">
        <v>35033</v>
      </c>
      <c r="H2498" s="30"/>
      <c r="I2498" s="44"/>
      <c r="J2498" s="44"/>
      <c r="K2498" s="44">
        <f t="shared" si="84"/>
        <v>35033</v>
      </c>
      <c r="L2498" s="51">
        <v>20240820</v>
      </c>
    </row>
    <row r="2499" spans="1:12" x14ac:dyDescent="0.25">
      <c r="A2499" s="52" t="s">
        <v>3702</v>
      </c>
      <c r="B2499" s="32" t="s">
        <v>11</v>
      </c>
      <c r="C2499" s="32" t="s">
        <v>29</v>
      </c>
      <c r="D2499" s="32" t="s">
        <v>3494</v>
      </c>
      <c r="E2499" s="32" t="s">
        <v>3495</v>
      </c>
      <c r="F2499" s="32">
        <v>1</v>
      </c>
      <c r="G2499" s="45">
        <v>35033</v>
      </c>
      <c r="H2499" s="32">
        <v>52</v>
      </c>
      <c r="I2499" s="45">
        <v>441.8</v>
      </c>
      <c r="J2499" s="45">
        <f>I2499*H2499</f>
        <v>22973.600000000002</v>
      </c>
      <c r="K2499" s="45">
        <f t="shared" si="84"/>
        <v>58006.600000000006</v>
      </c>
      <c r="L2499" s="53">
        <v>20240821</v>
      </c>
    </row>
    <row r="2500" spans="1:12" x14ac:dyDescent="0.25">
      <c r="A2500" s="50" t="s">
        <v>3704</v>
      </c>
      <c r="B2500" s="30" t="s">
        <v>11</v>
      </c>
      <c r="C2500" s="30" t="s">
        <v>134</v>
      </c>
      <c r="D2500" s="30" t="s">
        <v>135</v>
      </c>
      <c r="E2500" s="30" t="s">
        <v>183</v>
      </c>
      <c r="F2500" s="30">
        <v>1</v>
      </c>
      <c r="G2500" s="44">
        <v>35033</v>
      </c>
      <c r="H2500" s="30"/>
      <c r="I2500" s="44"/>
      <c r="J2500" s="44"/>
      <c r="K2500" s="44">
        <f t="shared" si="84"/>
        <v>35033</v>
      </c>
      <c r="L2500" s="51">
        <v>20240821</v>
      </c>
    </row>
    <row r="2501" spans="1:12" x14ac:dyDescent="0.25">
      <c r="A2501" s="52" t="s">
        <v>3712</v>
      </c>
      <c r="B2501" s="32" t="s">
        <v>11</v>
      </c>
      <c r="C2501" s="32" t="s">
        <v>103</v>
      </c>
      <c r="D2501" s="32" t="s">
        <v>104</v>
      </c>
      <c r="E2501" s="32" t="s">
        <v>3596</v>
      </c>
      <c r="F2501" s="32">
        <v>1</v>
      </c>
      <c r="G2501" s="45">
        <v>35033</v>
      </c>
      <c r="H2501" s="32">
        <v>159</v>
      </c>
      <c r="I2501" s="45">
        <v>441.8</v>
      </c>
      <c r="J2501" s="45">
        <f>I2501*H2501</f>
        <v>70246.2</v>
      </c>
      <c r="K2501" s="45">
        <f t="shared" si="84"/>
        <v>105279.2</v>
      </c>
      <c r="L2501" s="53">
        <v>20240821</v>
      </c>
    </row>
    <row r="2502" spans="1:12" x14ac:dyDescent="0.25">
      <c r="A2502" s="50" t="s">
        <v>3713</v>
      </c>
      <c r="B2502" s="30" t="s">
        <v>11</v>
      </c>
      <c r="C2502" s="30" t="s">
        <v>94</v>
      </c>
      <c r="D2502" s="30" t="s">
        <v>95</v>
      </c>
      <c r="E2502" s="30" t="s">
        <v>326</v>
      </c>
      <c r="F2502" s="30">
        <v>1</v>
      </c>
      <c r="G2502" s="44">
        <v>35033</v>
      </c>
      <c r="H2502" s="30"/>
      <c r="I2502" s="44"/>
      <c r="J2502" s="44"/>
      <c r="K2502" s="44">
        <f t="shared" si="84"/>
        <v>35033</v>
      </c>
      <c r="L2502" s="51">
        <v>20240821</v>
      </c>
    </row>
    <row r="2503" spans="1:12" x14ac:dyDescent="0.25">
      <c r="A2503" s="50" t="s">
        <v>3701</v>
      </c>
      <c r="B2503" s="30" t="s">
        <v>11</v>
      </c>
      <c r="C2503" s="30" t="s">
        <v>28</v>
      </c>
      <c r="D2503" s="30" t="s">
        <v>3490</v>
      </c>
      <c r="E2503" s="30" t="s">
        <v>3491</v>
      </c>
      <c r="F2503" s="30">
        <v>1</v>
      </c>
      <c r="G2503" s="44">
        <v>35033</v>
      </c>
      <c r="H2503" s="30"/>
      <c r="I2503" s="44"/>
      <c r="J2503" s="44"/>
      <c r="K2503" s="44">
        <f t="shared" si="84"/>
        <v>35033</v>
      </c>
      <c r="L2503" s="51">
        <v>20240826</v>
      </c>
    </row>
    <row r="2504" spans="1:12" x14ac:dyDescent="0.25">
      <c r="A2504" s="50" t="s">
        <v>3706</v>
      </c>
      <c r="B2504" s="30" t="s">
        <v>1209</v>
      </c>
      <c r="C2504" s="30" t="s">
        <v>3707</v>
      </c>
      <c r="D2504" s="30" t="s">
        <v>3708</v>
      </c>
      <c r="E2504" s="30" t="s">
        <v>3709</v>
      </c>
      <c r="F2504" s="30">
        <v>1</v>
      </c>
      <c r="G2504" s="44">
        <v>35033</v>
      </c>
      <c r="H2504" s="30"/>
      <c r="I2504" s="44"/>
      <c r="J2504" s="44"/>
      <c r="K2504" s="44">
        <f t="shared" si="84"/>
        <v>35033</v>
      </c>
      <c r="L2504" s="51">
        <v>20240826</v>
      </c>
    </row>
    <row r="2505" spans="1:12" x14ac:dyDescent="0.25">
      <c r="A2505" s="52" t="s">
        <v>3703</v>
      </c>
      <c r="B2505" s="32" t="s">
        <v>11</v>
      </c>
      <c r="C2505" s="32" t="s">
        <v>337</v>
      </c>
      <c r="D2505" s="32" t="s">
        <v>35</v>
      </c>
      <c r="E2505" s="32" t="s">
        <v>402</v>
      </c>
      <c r="F2505" s="32">
        <v>1</v>
      </c>
      <c r="G2505" s="45">
        <v>35033</v>
      </c>
      <c r="H2505" s="32">
        <v>72</v>
      </c>
      <c r="I2505" s="45">
        <v>441.8</v>
      </c>
      <c r="J2505" s="45">
        <f>I2505*H2505</f>
        <v>31809.600000000002</v>
      </c>
      <c r="K2505" s="45">
        <f t="shared" si="84"/>
        <v>66842.600000000006</v>
      </c>
      <c r="L2505" s="53">
        <v>20240827</v>
      </c>
    </row>
    <row r="2506" spans="1:12" x14ac:dyDescent="0.25">
      <c r="A2506" s="50" t="s">
        <v>3696</v>
      </c>
      <c r="B2506" s="30" t="s">
        <v>11</v>
      </c>
      <c r="C2506" s="30" t="s">
        <v>607</v>
      </c>
      <c r="D2506" s="30" t="s">
        <v>24</v>
      </c>
      <c r="E2506" s="30" t="s">
        <v>2118</v>
      </c>
      <c r="F2506" s="30">
        <v>1</v>
      </c>
      <c r="G2506" s="44">
        <v>35033</v>
      </c>
      <c r="H2506" s="30"/>
      <c r="I2506" s="44"/>
      <c r="J2506" s="44"/>
      <c r="K2506" s="44">
        <f t="shared" si="84"/>
        <v>35033</v>
      </c>
      <c r="L2506" s="51">
        <v>20240828</v>
      </c>
    </row>
    <row r="2507" spans="1:12" x14ac:dyDescent="0.25">
      <c r="A2507" s="50" t="s">
        <v>3697</v>
      </c>
      <c r="B2507" s="30" t="s">
        <v>11</v>
      </c>
      <c r="C2507" s="30" t="s">
        <v>26</v>
      </c>
      <c r="D2507" s="30" t="s">
        <v>2867</v>
      </c>
      <c r="E2507" s="30" t="s">
        <v>2872</v>
      </c>
      <c r="F2507" s="30">
        <v>1</v>
      </c>
      <c r="G2507" s="44">
        <v>35033</v>
      </c>
      <c r="H2507" s="30"/>
      <c r="I2507" s="44"/>
      <c r="J2507" s="44"/>
      <c r="K2507" s="44">
        <f t="shared" si="84"/>
        <v>35033</v>
      </c>
      <c r="L2507" s="51">
        <v>20240828</v>
      </c>
    </row>
    <row r="2508" spans="1:12" x14ac:dyDescent="0.25">
      <c r="A2508" s="50" t="s">
        <v>3700</v>
      </c>
      <c r="B2508" s="30" t="s">
        <v>11</v>
      </c>
      <c r="C2508" s="30" t="s">
        <v>29</v>
      </c>
      <c r="D2508" s="30" t="s">
        <v>1385</v>
      </c>
      <c r="E2508" s="30" t="s">
        <v>210</v>
      </c>
      <c r="F2508" s="30">
        <v>1</v>
      </c>
      <c r="G2508" s="44">
        <v>35033</v>
      </c>
      <c r="H2508" s="30"/>
      <c r="I2508" s="44"/>
      <c r="J2508" s="44"/>
      <c r="K2508" s="44">
        <f t="shared" si="84"/>
        <v>35033</v>
      </c>
      <c r="L2508" s="51">
        <v>20240828</v>
      </c>
    </row>
    <row r="2509" spans="1:12" x14ac:dyDescent="0.25">
      <c r="A2509" s="50" t="s">
        <v>3698</v>
      </c>
      <c r="B2509" s="30" t="s">
        <v>1209</v>
      </c>
      <c r="C2509" s="30" t="s">
        <v>94</v>
      </c>
      <c r="D2509" s="30" t="s">
        <v>95</v>
      </c>
      <c r="E2509" s="30" t="s">
        <v>3699</v>
      </c>
      <c r="F2509" s="30">
        <v>1</v>
      </c>
      <c r="G2509" s="44">
        <v>35033</v>
      </c>
      <c r="H2509" s="30"/>
      <c r="I2509" s="44"/>
      <c r="J2509" s="44"/>
      <c r="K2509" s="44">
        <f t="shared" si="84"/>
        <v>35033</v>
      </c>
      <c r="L2509" s="51">
        <v>20240828</v>
      </c>
    </row>
    <row r="2510" spans="1:12" x14ac:dyDescent="0.25">
      <c r="A2510" s="50" t="s">
        <v>3686</v>
      </c>
      <c r="B2510" s="30" t="s">
        <v>11</v>
      </c>
      <c r="C2510" s="30" t="s">
        <v>29</v>
      </c>
      <c r="D2510" s="30" t="s">
        <v>2548</v>
      </c>
      <c r="E2510" s="30" t="s">
        <v>390</v>
      </c>
      <c r="F2510" s="30">
        <v>1</v>
      </c>
      <c r="G2510" s="44">
        <v>35033</v>
      </c>
      <c r="H2510" s="30"/>
      <c r="I2510" s="44"/>
      <c r="J2510" s="44"/>
      <c r="K2510" s="44">
        <f t="shared" si="84"/>
        <v>35033</v>
      </c>
      <c r="L2510" s="51">
        <v>20240829</v>
      </c>
    </row>
    <row r="2511" spans="1:12" ht="15.75" thickBot="1" x14ac:dyDescent="0.3">
      <c r="A2511" s="54" t="s">
        <v>3687</v>
      </c>
      <c r="B2511" s="36" t="s">
        <v>11</v>
      </c>
      <c r="C2511" s="36" t="s">
        <v>29</v>
      </c>
      <c r="D2511" s="36" t="s">
        <v>3494</v>
      </c>
      <c r="E2511" s="36" t="s">
        <v>3631</v>
      </c>
      <c r="F2511" s="36">
        <v>1</v>
      </c>
      <c r="G2511" s="65">
        <v>35033</v>
      </c>
      <c r="H2511" s="36"/>
      <c r="I2511" s="65"/>
      <c r="J2511" s="65"/>
      <c r="K2511" s="65">
        <f t="shared" si="84"/>
        <v>35033</v>
      </c>
      <c r="L2511" s="55">
        <v>20240831</v>
      </c>
    </row>
    <row r="2512" spans="1:12" x14ac:dyDescent="0.25">
      <c r="A2512" s="73"/>
      <c r="B2512" s="74"/>
      <c r="C2512" s="74"/>
      <c r="D2512" s="74"/>
      <c r="E2512" s="74"/>
      <c r="F2512" s="74"/>
      <c r="G2512" s="75"/>
      <c r="H2512" s="74"/>
      <c r="I2512" s="75"/>
      <c r="J2512" s="75"/>
      <c r="K2512" s="75"/>
      <c r="L2512" s="76"/>
    </row>
    <row r="2513" spans="1:12" ht="15.75" thickBot="1" x14ac:dyDescent="0.3">
      <c r="A2513" s="69"/>
      <c r="B2513" s="70"/>
      <c r="C2513" s="70"/>
      <c r="D2513" s="70"/>
      <c r="E2513" s="70"/>
      <c r="F2513" s="70"/>
      <c r="G2513" s="71"/>
      <c r="H2513" s="70"/>
      <c r="I2513" s="71"/>
      <c r="J2513" s="71"/>
      <c r="K2513" s="71"/>
      <c r="L2513" s="72"/>
    </row>
    <row r="2514" spans="1:12" x14ac:dyDescent="0.25">
      <c r="A2514" s="48" t="s">
        <v>3720</v>
      </c>
      <c r="B2514" s="34" t="s">
        <v>137</v>
      </c>
      <c r="C2514" s="34" t="s">
        <v>34</v>
      </c>
      <c r="D2514" s="34" t="s">
        <v>35</v>
      </c>
      <c r="E2514" s="34" t="s">
        <v>1369</v>
      </c>
      <c r="F2514" s="34">
        <v>1</v>
      </c>
      <c r="G2514" s="64">
        <v>17519</v>
      </c>
      <c r="H2514" s="34"/>
      <c r="I2514" s="64"/>
      <c r="J2514" s="64"/>
      <c r="K2514" s="64">
        <f t="shared" ref="K2514:K2528" si="85">J2514+G2514</f>
        <v>17519</v>
      </c>
      <c r="L2514" s="49">
        <v>20240815</v>
      </c>
    </row>
    <row r="2515" spans="1:12" x14ac:dyDescent="0.25">
      <c r="A2515" s="52" t="s">
        <v>3721</v>
      </c>
      <c r="B2515" s="32" t="s">
        <v>137</v>
      </c>
      <c r="C2515" s="32" t="s">
        <v>34</v>
      </c>
      <c r="D2515" s="32" t="s">
        <v>35</v>
      </c>
      <c r="E2515" s="32" t="s">
        <v>3722</v>
      </c>
      <c r="F2515" s="32">
        <v>1</v>
      </c>
      <c r="G2515" s="45">
        <v>17519</v>
      </c>
      <c r="H2515" s="32">
        <v>78</v>
      </c>
      <c r="I2515" s="45">
        <v>441.8</v>
      </c>
      <c r="J2515" s="45">
        <f>I2515*H2515</f>
        <v>34460.400000000001</v>
      </c>
      <c r="K2515" s="45">
        <f t="shared" si="85"/>
        <v>51979.4</v>
      </c>
      <c r="L2515" s="53">
        <v>20240815</v>
      </c>
    </row>
    <row r="2516" spans="1:12" x14ac:dyDescent="0.25">
      <c r="A2516" s="50" t="s">
        <v>3723</v>
      </c>
      <c r="B2516" s="30" t="s">
        <v>137</v>
      </c>
      <c r="C2516" s="30" t="s">
        <v>34</v>
      </c>
      <c r="D2516" s="30" t="s">
        <v>35</v>
      </c>
      <c r="E2516" s="30" t="s">
        <v>2925</v>
      </c>
      <c r="F2516" s="30">
        <v>1</v>
      </c>
      <c r="G2516" s="44">
        <v>17519</v>
      </c>
      <c r="H2516" s="30"/>
      <c r="I2516" s="44"/>
      <c r="J2516" s="44"/>
      <c r="K2516" s="44">
        <f t="shared" si="85"/>
        <v>17519</v>
      </c>
      <c r="L2516" s="51">
        <v>20240815</v>
      </c>
    </row>
    <row r="2517" spans="1:12" x14ac:dyDescent="0.25">
      <c r="A2517" s="50" t="s">
        <v>3724</v>
      </c>
      <c r="B2517" s="30" t="s">
        <v>137</v>
      </c>
      <c r="C2517" s="30" t="s">
        <v>34</v>
      </c>
      <c r="D2517" s="30" t="s">
        <v>35</v>
      </c>
      <c r="E2517" s="30" t="s">
        <v>2681</v>
      </c>
      <c r="F2517" s="30">
        <v>1</v>
      </c>
      <c r="G2517" s="44">
        <v>17519</v>
      </c>
      <c r="H2517" s="30"/>
      <c r="I2517" s="44"/>
      <c r="J2517" s="44"/>
      <c r="K2517" s="44">
        <f t="shared" si="85"/>
        <v>17519</v>
      </c>
      <c r="L2517" s="51">
        <v>20240815</v>
      </c>
    </row>
    <row r="2518" spans="1:12" x14ac:dyDescent="0.25">
      <c r="A2518" s="50" t="s">
        <v>3744</v>
      </c>
      <c r="B2518" s="30" t="s">
        <v>137</v>
      </c>
      <c r="C2518" s="30" t="s">
        <v>34</v>
      </c>
      <c r="D2518" s="30" t="s">
        <v>35</v>
      </c>
      <c r="E2518" s="30" t="s">
        <v>1367</v>
      </c>
      <c r="F2518" s="30">
        <v>1</v>
      </c>
      <c r="G2518" s="44">
        <v>17519</v>
      </c>
      <c r="H2518" s="30"/>
      <c r="I2518" s="44"/>
      <c r="J2518" s="44"/>
      <c r="K2518" s="44">
        <f t="shared" si="85"/>
        <v>17519</v>
      </c>
      <c r="L2518" s="51">
        <v>20240819</v>
      </c>
    </row>
    <row r="2519" spans="1:12" x14ac:dyDescent="0.25">
      <c r="A2519" s="50" t="s">
        <v>3745</v>
      </c>
      <c r="B2519" s="30" t="s">
        <v>137</v>
      </c>
      <c r="C2519" s="30" t="s">
        <v>34</v>
      </c>
      <c r="D2519" s="30" t="s">
        <v>35</v>
      </c>
      <c r="E2519" s="30" t="s">
        <v>1373</v>
      </c>
      <c r="F2519" s="30">
        <v>1</v>
      </c>
      <c r="G2519" s="44">
        <v>17519</v>
      </c>
      <c r="H2519" s="30"/>
      <c r="I2519" s="44"/>
      <c r="J2519" s="44"/>
      <c r="K2519" s="44">
        <f t="shared" si="85"/>
        <v>17519</v>
      </c>
      <c r="L2519" s="51">
        <v>20240819</v>
      </c>
    </row>
    <row r="2520" spans="1:12" x14ac:dyDescent="0.25">
      <c r="A2520" s="50" t="s">
        <v>3746</v>
      </c>
      <c r="B2520" s="30" t="s">
        <v>137</v>
      </c>
      <c r="C2520" s="30" t="s">
        <v>34</v>
      </c>
      <c r="D2520" s="30" t="s">
        <v>35</v>
      </c>
      <c r="E2520" s="30" t="s">
        <v>3747</v>
      </c>
      <c r="F2520" s="30">
        <v>1</v>
      </c>
      <c r="G2520" s="44">
        <v>17519</v>
      </c>
      <c r="H2520" s="30"/>
      <c r="I2520" s="44"/>
      <c r="J2520" s="44"/>
      <c r="K2520" s="44">
        <f t="shared" si="85"/>
        <v>17519</v>
      </c>
      <c r="L2520" s="51">
        <v>20240819</v>
      </c>
    </row>
    <row r="2521" spans="1:12" x14ac:dyDescent="0.25">
      <c r="A2521" s="50" t="s">
        <v>3688</v>
      </c>
      <c r="B2521" s="30" t="s">
        <v>137</v>
      </c>
      <c r="C2521" s="30" t="s">
        <v>29</v>
      </c>
      <c r="D2521" s="30" t="s">
        <v>1385</v>
      </c>
      <c r="E2521" s="30" t="s">
        <v>628</v>
      </c>
      <c r="F2521" s="30">
        <v>1</v>
      </c>
      <c r="G2521" s="44">
        <v>17519</v>
      </c>
      <c r="H2521" s="30"/>
      <c r="I2521" s="44"/>
      <c r="J2521" s="44"/>
      <c r="K2521" s="44">
        <f t="shared" si="85"/>
        <v>17519</v>
      </c>
      <c r="L2521" s="51">
        <v>20240828</v>
      </c>
    </row>
    <row r="2522" spans="1:12" x14ac:dyDescent="0.25">
      <c r="A2522" s="50" t="s">
        <v>3689</v>
      </c>
      <c r="B2522" s="30" t="s">
        <v>137</v>
      </c>
      <c r="C2522" s="30" t="s">
        <v>29</v>
      </c>
      <c r="D2522" s="30" t="s">
        <v>1385</v>
      </c>
      <c r="E2522" s="30" t="s">
        <v>630</v>
      </c>
      <c r="F2522" s="30">
        <v>1</v>
      </c>
      <c r="G2522" s="44">
        <v>17519</v>
      </c>
      <c r="H2522" s="30"/>
      <c r="I2522" s="44"/>
      <c r="J2522" s="44"/>
      <c r="K2522" s="44">
        <f t="shared" si="85"/>
        <v>17519</v>
      </c>
      <c r="L2522" s="51">
        <v>20240828</v>
      </c>
    </row>
    <row r="2523" spans="1:12" x14ac:dyDescent="0.25">
      <c r="A2523" s="50" t="s">
        <v>3690</v>
      </c>
      <c r="B2523" s="30" t="s">
        <v>137</v>
      </c>
      <c r="C2523" s="30" t="s">
        <v>29</v>
      </c>
      <c r="D2523" s="30" t="s">
        <v>1385</v>
      </c>
      <c r="E2523" s="30" t="s">
        <v>209</v>
      </c>
      <c r="F2523" s="30">
        <v>1</v>
      </c>
      <c r="G2523" s="44">
        <v>17519</v>
      </c>
      <c r="H2523" s="30"/>
      <c r="I2523" s="44"/>
      <c r="J2523" s="44"/>
      <c r="K2523" s="44">
        <f t="shared" si="85"/>
        <v>17519</v>
      </c>
      <c r="L2523" s="51">
        <v>20240828</v>
      </c>
    </row>
    <row r="2524" spans="1:12" x14ac:dyDescent="0.25">
      <c r="A2524" s="50" t="s">
        <v>3691</v>
      </c>
      <c r="B2524" s="30" t="s">
        <v>137</v>
      </c>
      <c r="C2524" s="30" t="s">
        <v>29</v>
      </c>
      <c r="D2524" s="30" t="s">
        <v>1385</v>
      </c>
      <c r="E2524" s="30" t="s">
        <v>2101</v>
      </c>
      <c r="F2524" s="30">
        <v>1</v>
      </c>
      <c r="G2524" s="44">
        <v>17519</v>
      </c>
      <c r="H2524" s="30"/>
      <c r="I2524" s="44"/>
      <c r="J2524" s="44"/>
      <c r="K2524" s="44">
        <f t="shared" si="85"/>
        <v>17519</v>
      </c>
      <c r="L2524" s="51">
        <v>20240828</v>
      </c>
    </row>
    <row r="2525" spans="1:12" x14ac:dyDescent="0.25">
      <c r="A2525" s="50" t="s">
        <v>3692</v>
      </c>
      <c r="B2525" s="30" t="s">
        <v>137</v>
      </c>
      <c r="C2525" s="30" t="s">
        <v>29</v>
      </c>
      <c r="D2525" s="30" t="s">
        <v>1385</v>
      </c>
      <c r="E2525" s="30" t="s">
        <v>1386</v>
      </c>
      <c r="F2525" s="30">
        <v>1</v>
      </c>
      <c r="G2525" s="44">
        <v>17519</v>
      </c>
      <c r="H2525" s="30"/>
      <c r="I2525" s="44"/>
      <c r="J2525" s="44"/>
      <c r="K2525" s="44">
        <f t="shared" si="85"/>
        <v>17519</v>
      </c>
      <c r="L2525" s="51">
        <v>20240828</v>
      </c>
    </row>
    <row r="2526" spans="1:12" x14ac:dyDescent="0.25">
      <c r="A2526" s="50" t="s">
        <v>3693</v>
      </c>
      <c r="B2526" s="30" t="s">
        <v>137</v>
      </c>
      <c r="C2526" s="30" t="s">
        <v>29</v>
      </c>
      <c r="D2526" s="30" t="s">
        <v>1385</v>
      </c>
      <c r="E2526" s="30" t="s">
        <v>3335</v>
      </c>
      <c r="F2526" s="30">
        <v>1</v>
      </c>
      <c r="G2526" s="44">
        <v>17519</v>
      </c>
      <c r="H2526" s="30"/>
      <c r="I2526" s="44"/>
      <c r="J2526" s="44"/>
      <c r="K2526" s="44">
        <f t="shared" si="85"/>
        <v>17519</v>
      </c>
      <c r="L2526" s="51">
        <v>20240828</v>
      </c>
    </row>
    <row r="2527" spans="1:12" x14ac:dyDescent="0.25">
      <c r="A2527" s="50" t="s">
        <v>3694</v>
      </c>
      <c r="B2527" s="30" t="s">
        <v>137</v>
      </c>
      <c r="C2527" s="30" t="s">
        <v>29</v>
      </c>
      <c r="D2527" s="30" t="s">
        <v>1385</v>
      </c>
      <c r="E2527" s="30" t="s">
        <v>1127</v>
      </c>
      <c r="F2527" s="30">
        <v>1</v>
      </c>
      <c r="G2527" s="44">
        <v>17519</v>
      </c>
      <c r="H2527" s="30"/>
      <c r="I2527" s="44"/>
      <c r="J2527" s="44"/>
      <c r="K2527" s="44">
        <f t="shared" si="85"/>
        <v>17519</v>
      </c>
      <c r="L2527" s="51">
        <v>20240828</v>
      </c>
    </row>
    <row r="2528" spans="1:12" ht="15.75" thickBot="1" x14ac:dyDescent="0.3">
      <c r="A2528" s="54" t="s">
        <v>3695</v>
      </c>
      <c r="B2528" s="36" t="s">
        <v>137</v>
      </c>
      <c r="C2528" s="36" t="s">
        <v>29</v>
      </c>
      <c r="D2528" s="36" t="s">
        <v>1385</v>
      </c>
      <c r="E2528" s="36" t="s">
        <v>1320</v>
      </c>
      <c r="F2528" s="36">
        <v>1</v>
      </c>
      <c r="G2528" s="65">
        <v>17519</v>
      </c>
      <c r="H2528" s="36"/>
      <c r="I2528" s="65"/>
      <c r="J2528" s="65"/>
      <c r="K2528" s="65">
        <f t="shared" si="85"/>
        <v>17519</v>
      </c>
      <c r="L2528" s="55">
        <v>20240828</v>
      </c>
    </row>
    <row r="2533" spans="1:12" ht="15.75" thickBot="1" x14ac:dyDescent="0.3">
      <c r="A2533" s="69" t="s">
        <v>0</v>
      </c>
      <c r="B2533" s="70" t="s">
        <v>1</v>
      </c>
      <c r="C2533" s="70" t="s">
        <v>2</v>
      </c>
      <c r="D2533" s="70" t="s">
        <v>3</v>
      </c>
      <c r="E2533" s="70" t="s">
        <v>4</v>
      </c>
      <c r="F2533" s="70"/>
      <c r="G2533" s="71" t="s">
        <v>6</v>
      </c>
      <c r="H2533" s="70" t="s">
        <v>7</v>
      </c>
      <c r="I2533" s="71" t="s">
        <v>8</v>
      </c>
      <c r="J2533" s="71" t="s">
        <v>9</v>
      </c>
      <c r="K2533" s="71" t="s">
        <v>10</v>
      </c>
      <c r="L2533" s="72" t="s">
        <v>5</v>
      </c>
    </row>
    <row r="2534" spans="1:12" x14ac:dyDescent="0.25">
      <c r="A2534" s="48" t="s">
        <v>3798</v>
      </c>
      <c r="B2534" s="34" t="s">
        <v>11</v>
      </c>
      <c r="C2534" s="34" t="s">
        <v>607</v>
      </c>
      <c r="D2534" s="34" t="s">
        <v>24</v>
      </c>
      <c r="E2534" s="34" t="s">
        <v>2118</v>
      </c>
      <c r="F2534" s="34">
        <v>1</v>
      </c>
      <c r="G2534" s="64">
        <v>35033</v>
      </c>
      <c r="H2534" s="34"/>
      <c r="I2534" s="64"/>
      <c r="J2534" s="64"/>
      <c r="K2534" s="64">
        <f t="shared" ref="K2534:K2569" si="86">J2534+G2534</f>
        <v>35033</v>
      </c>
      <c r="L2534" s="49">
        <v>20240903</v>
      </c>
    </row>
    <row r="2535" spans="1:12" x14ac:dyDescent="0.25">
      <c r="A2535" s="50" t="s">
        <v>3801</v>
      </c>
      <c r="B2535" s="30" t="s">
        <v>11</v>
      </c>
      <c r="C2535" s="30" t="s">
        <v>29</v>
      </c>
      <c r="D2535" s="30" t="s">
        <v>24</v>
      </c>
      <c r="E2535" s="30" t="s">
        <v>208</v>
      </c>
      <c r="F2535" s="30">
        <v>1</v>
      </c>
      <c r="G2535" s="44">
        <v>35033</v>
      </c>
      <c r="H2535" s="30"/>
      <c r="I2535" s="44"/>
      <c r="J2535" s="44"/>
      <c r="K2535" s="44">
        <f t="shared" si="86"/>
        <v>35033</v>
      </c>
      <c r="L2535" s="51">
        <v>20240903</v>
      </c>
    </row>
    <row r="2536" spans="1:12" x14ac:dyDescent="0.25">
      <c r="A2536" s="50" t="s">
        <v>3797</v>
      </c>
      <c r="B2536" s="30" t="s">
        <v>11</v>
      </c>
      <c r="C2536" s="30" t="s">
        <v>134</v>
      </c>
      <c r="D2536" s="30" t="s">
        <v>135</v>
      </c>
      <c r="E2536" s="30" t="s">
        <v>136</v>
      </c>
      <c r="F2536" s="30">
        <v>1</v>
      </c>
      <c r="G2536" s="44">
        <v>35033</v>
      </c>
      <c r="H2536" s="30"/>
      <c r="I2536" s="44"/>
      <c r="J2536" s="44"/>
      <c r="K2536" s="44">
        <f t="shared" si="86"/>
        <v>35033</v>
      </c>
      <c r="L2536" s="51">
        <v>20240904</v>
      </c>
    </row>
    <row r="2537" spans="1:12" x14ac:dyDescent="0.25">
      <c r="A2537" s="50" t="s">
        <v>3802</v>
      </c>
      <c r="B2537" s="30" t="s">
        <v>11</v>
      </c>
      <c r="C2537" s="30" t="s">
        <v>134</v>
      </c>
      <c r="D2537" s="30" t="s">
        <v>135</v>
      </c>
      <c r="E2537" s="30" t="s">
        <v>264</v>
      </c>
      <c r="F2537" s="30">
        <v>1</v>
      </c>
      <c r="G2537" s="44">
        <v>35033</v>
      </c>
      <c r="H2537" s="30"/>
      <c r="I2537" s="44"/>
      <c r="J2537" s="44"/>
      <c r="K2537" s="44">
        <f t="shared" si="86"/>
        <v>35033</v>
      </c>
      <c r="L2537" s="51">
        <v>20240904</v>
      </c>
    </row>
    <row r="2538" spans="1:12" x14ac:dyDescent="0.25">
      <c r="A2538" s="50" t="s">
        <v>3799</v>
      </c>
      <c r="B2538" s="30" t="s">
        <v>1209</v>
      </c>
      <c r="C2538" s="30" t="s">
        <v>646</v>
      </c>
      <c r="D2538" s="30" t="s">
        <v>24</v>
      </c>
      <c r="E2538" s="30" t="s">
        <v>3800</v>
      </c>
      <c r="F2538" s="30">
        <v>1</v>
      </c>
      <c r="G2538" s="44">
        <v>35033</v>
      </c>
      <c r="H2538" s="30"/>
      <c r="I2538" s="44"/>
      <c r="J2538" s="44"/>
      <c r="K2538" s="44">
        <f t="shared" si="86"/>
        <v>35033</v>
      </c>
      <c r="L2538" s="51">
        <v>20240905</v>
      </c>
    </row>
    <row r="2539" spans="1:12" x14ac:dyDescent="0.25">
      <c r="A2539" s="50" t="s">
        <v>3794</v>
      </c>
      <c r="B2539" s="30" t="s">
        <v>11</v>
      </c>
      <c r="C2539" s="30" t="s">
        <v>26</v>
      </c>
      <c r="D2539" s="30" t="s">
        <v>802</v>
      </c>
      <c r="E2539" s="30" t="s">
        <v>809</v>
      </c>
      <c r="F2539" s="30">
        <v>1</v>
      </c>
      <c r="G2539" s="44">
        <v>35033</v>
      </c>
      <c r="H2539" s="30"/>
      <c r="I2539" s="44"/>
      <c r="J2539" s="44"/>
      <c r="K2539" s="44">
        <f t="shared" si="86"/>
        <v>35033</v>
      </c>
      <c r="L2539" s="51">
        <v>20240906</v>
      </c>
    </row>
    <row r="2540" spans="1:12" x14ac:dyDescent="0.25">
      <c r="A2540" s="50" t="s">
        <v>3795</v>
      </c>
      <c r="B2540" s="30" t="s">
        <v>11</v>
      </c>
      <c r="C2540" s="30" t="s">
        <v>28</v>
      </c>
      <c r="D2540" s="30" t="s">
        <v>759</v>
      </c>
      <c r="E2540" s="30" t="s">
        <v>1106</v>
      </c>
      <c r="F2540" s="30">
        <v>1</v>
      </c>
      <c r="G2540" s="44">
        <v>35033</v>
      </c>
      <c r="H2540" s="30"/>
      <c r="I2540" s="44"/>
      <c r="J2540" s="44"/>
      <c r="K2540" s="44">
        <f t="shared" si="86"/>
        <v>35033</v>
      </c>
      <c r="L2540" s="51">
        <v>20240906</v>
      </c>
    </row>
    <row r="2541" spans="1:12" x14ac:dyDescent="0.25">
      <c r="A2541" s="50" t="s">
        <v>3804</v>
      </c>
      <c r="B2541" s="30" t="s">
        <v>1209</v>
      </c>
      <c r="C2541" s="30" t="s">
        <v>666</v>
      </c>
      <c r="D2541" s="30" t="s">
        <v>3805</v>
      </c>
      <c r="E2541" s="30" t="s">
        <v>3806</v>
      </c>
      <c r="F2541" s="30">
        <v>1</v>
      </c>
      <c r="G2541" s="44">
        <v>35033</v>
      </c>
      <c r="H2541" s="30"/>
      <c r="I2541" s="44"/>
      <c r="J2541" s="44"/>
      <c r="K2541" s="44">
        <f t="shared" si="86"/>
        <v>35033</v>
      </c>
      <c r="L2541" s="51">
        <v>20240906</v>
      </c>
    </row>
    <row r="2542" spans="1:12" x14ac:dyDescent="0.25">
      <c r="A2542" s="52" t="s">
        <v>3793</v>
      </c>
      <c r="B2542" s="32" t="s">
        <v>11</v>
      </c>
      <c r="C2542" s="32" t="s">
        <v>26</v>
      </c>
      <c r="D2542" s="32" t="s">
        <v>141</v>
      </c>
      <c r="E2542" s="32" t="s">
        <v>605</v>
      </c>
      <c r="F2542" s="32">
        <v>1</v>
      </c>
      <c r="G2542" s="45">
        <v>35033</v>
      </c>
      <c r="H2542" s="32">
        <v>138</v>
      </c>
      <c r="I2542" s="45">
        <v>441.8</v>
      </c>
      <c r="J2542" s="45">
        <f>I2542*H2542</f>
        <v>60968.4</v>
      </c>
      <c r="K2542" s="45">
        <f t="shared" si="86"/>
        <v>96001.4</v>
      </c>
      <c r="L2542" s="53">
        <v>20240910</v>
      </c>
    </row>
    <row r="2543" spans="1:12" x14ac:dyDescent="0.25">
      <c r="A2543" s="50" t="s">
        <v>3787</v>
      </c>
      <c r="B2543" s="30" t="s">
        <v>11</v>
      </c>
      <c r="C2543" s="30" t="s">
        <v>26</v>
      </c>
      <c r="D2543" s="30" t="s">
        <v>556</v>
      </c>
      <c r="E2543" s="30" t="s">
        <v>561</v>
      </c>
      <c r="F2543" s="30">
        <v>1</v>
      </c>
      <c r="G2543" s="44">
        <v>35033</v>
      </c>
      <c r="H2543" s="30"/>
      <c r="I2543" s="44"/>
      <c r="J2543" s="44"/>
      <c r="K2543" s="44">
        <f t="shared" si="86"/>
        <v>35033</v>
      </c>
      <c r="L2543" s="51">
        <v>20240911</v>
      </c>
    </row>
    <row r="2544" spans="1:12" x14ac:dyDescent="0.25">
      <c r="A2544" s="50" t="s">
        <v>3788</v>
      </c>
      <c r="B2544" s="30" t="s">
        <v>11</v>
      </c>
      <c r="C2544" s="30" t="s">
        <v>94</v>
      </c>
      <c r="D2544" s="30" t="s">
        <v>95</v>
      </c>
      <c r="E2544" s="30" t="s">
        <v>458</v>
      </c>
      <c r="F2544" s="30">
        <v>1</v>
      </c>
      <c r="G2544" s="44">
        <v>35033</v>
      </c>
      <c r="H2544" s="30"/>
      <c r="I2544" s="44"/>
      <c r="J2544" s="44"/>
      <c r="K2544" s="44">
        <f t="shared" si="86"/>
        <v>35033</v>
      </c>
      <c r="L2544" s="51">
        <v>20240911</v>
      </c>
    </row>
    <row r="2545" spans="1:12" x14ac:dyDescent="0.25">
      <c r="A2545" s="50" t="s">
        <v>3789</v>
      </c>
      <c r="B2545" s="30" t="s">
        <v>11</v>
      </c>
      <c r="C2545" s="30" t="s">
        <v>94</v>
      </c>
      <c r="D2545" s="30" t="s">
        <v>95</v>
      </c>
      <c r="E2545" s="30" t="s">
        <v>1083</v>
      </c>
      <c r="F2545" s="30">
        <v>1</v>
      </c>
      <c r="G2545" s="44">
        <v>35033</v>
      </c>
      <c r="H2545" s="30"/>
      <c r="I2545" s="44"/>
      <c r="J2545" s="44"/>
      <c r="K2545" s="44">
        <f t="shared" si="86"/>
        <v>35033</v>
      </c>
      <c r="L2545" s="51">
        <v>20240911</v>
      </c>
    </row>
    <row r="2546" spans="1:12" x14ac:dyDescent="0.25">
      <c r="A2546" s="50" t="s">
        <v>3790</v>
      </c>
      <c r="B2546" s="30" t="s">
        <v>11</v>
      </c>
      <c r="C2546" s="30" t="s">
        <v>94</v>
      </c>
      <c r="D2546" s="30" t="s">
        <v>95</v>
      </c>
      <c r="E2546" s="30" t="s">
        <v>2583</v>
      </c>
      <c r="F2546" s="30">
        <v>1</v>
      </c>
      <c r="G2546" s="44">
        <v>35033</v>
      </c>
      <c r="H2546" s="30"/>
      <c r="I2546" s="44"/>
      <c r="J2546" s="44"/>
      <c r="K2546" s="44">
        <f t="shared" si="86"/>
        <v>35033</v>
      </c>
      <c r="L2546" s="51">
        <v>20240911</v>
      </c>
    </row>
    <row r="2547" spans="1:12" x14ac:dyDescent="0.25">
      <c r="A2547" s="50" t="s">
        <v>3803</v>
      </c>
      <c r="B2547" s="30" t="s">
        <v>11</v>
      </c>
      <c r="C2547" s="30" t="s">
        <v>129</v>
      </c>
      <c r="D2547" s="30" t="s">
        <v>24</v>
      </c>
      <c r="E2547" s="30" t="s">
        <v>130</v>
      </c>
      <c r="F2547" s="30">
        <v>1</v>
      </c>
      <c r="G2547" s="44">
        <v>35033</v>
      </c>
      <c r="H2547" s="30"/>
      <c r="I2547" s="44"/>
      <c r="J2547" s="44"/>
      <c r="K2547" s="44">
        <f t="shared" si="86"/>
        <v>35033</v>
      </c>
      <c r="L2547" s="51">
        <v>20240911</v>
      </c>
    </row>
    <row r="2548" spans="1:12" x14ac:dyDescent="0.25">
      <c r="A2548" s="50" t="s">
        <v>3782</v>
      </c>
      <c r="B2548" s="30" t="s">
        <v>11</v>
      </c>
      <c r="C2548" s="30" t="s">
        <v>29</v>
      </c>
      <c r="D2548" s="30" t="s">
        <v>3494</v>
      </c>
      <c r="E2548" s="30" t="s">
        <v>3495</v>
      </c>
      <c r="F2548" s="30">
        <v>1</v>
      </c>
      <c r="G2548" s="44">
        <v>35033</v>
      </c>
      <c r="H2548" s="30"/>
      <c r="I2548" s="44"/>
      <c r="J2548" s="44"/>
      <c r="K2548" s="44">
        <f t="shared" si="86"/>
        <v>35033</v>
      </c>
      <c r="L2548" s="51">
        <v>20240912</v>
      </c>
    </row>
    <row r="2549" spans="1:12" x14ac:dyDescent="0.25">
      <c r="A2549" s="52" t="s">
        <v>3783</v>
      </c>
      <c r="B2549" s="32" t="s">
        <v>11</v>
      </c>
      <c r="C2549" s="32" t="s">
        <v>29</v>
      </c>
      <c r="D2549" s="32" t="s">
        <v>3494</v>
      </c>
      <c r="E2549" s="32" t="s">
        <v>3631</v>
      </c>
      <c r="F2549" s="32">
        <v>1</v>
      </c>
      <c r="G2549" s="45">
        <v>35033</v>
      </c>
      <c r="H2549" s="32">
        <v>27</v>
      </c>
      <c r="I2549" s="45">
        <v>441.8</v>
      </c>
      <c r="J2549" s="45">
        <f>I2549*H2549</f>
        <v>11928.6</v>
      </c>
      <c r="K2549" s="45">
        <f t="shared" si="86"/>
        <v>46961.599999999999</v>
      </c>
      <c r="L2549" s="53">
        <v>20240912</v>
      </c>
    </row>
    <row r="2550" spans="1:12" x14ac:dyDescent="0.25">
      <c r="A2550" s="50" t="s">
        <v>3786</v>
      </c>
      <c r="B2550" s="30" t="s">
        <v>11</v>
      </c>
      <c r="C2550" s="30" t="s">
        <v>29</v>
      </c>
      <c r="D2550" s="30" t="s">
        <v>1385</v>
      </c>
      <c r="E2550" s="30" t="s">
        <v>210</v>
      </c>
      <c r="F2550" s="30">
        <v>1</v>
      </c>
      <c r="G2550" s="44">
        <v>35033</v>
      </c>
      <c r="H2550" s="30"/>
      <c r="I2550" s="44"/>
      <c r="J2550" s="44"/>
      <c r="K2550" s="44">
        <f t="shared" si="86"/>
        <v>35033</v>
      </c>
      <c r="L2550" s="51">
        <v>20240912</v>
      </c>
    </row>
    <row r="2551" spans="1:12" x14ac:dyDescent="0.25">
      <c r="A2551" s="50" t="s">
        <v>3791</v>
      </c>
      <c r="B2551" s="30" t="s">
        <v>1209</v>
      </c>
      <c r="C2551" s="30" t="s">
        <v>607</v>
      </c>
      <c r="D2551" s="30" t="s">
        <v>24</v>
      </c>
      <c r="E2551" s="30" t="s">
        <v>3792</v>
      </c>
      <c r="F2551" s="30">
        <v>1</v>
      </c>
      <c r="G2551" s="44">
        <v>35033</v>
      </c>
      <c r="H2551" s="30"/>
      <c r="I2551" s="44"/>
      <c r="J2551" s="44"/>
      <c r="K2551" s="44">
        <f t="shared" si="86"/>
        <v>35033</v>
      </c>
      <c r="L2551" s="51">
        <v>20240912</v>
      </c>
    </row>
    <row r="2552" spans="1:12" x14ac:dyDescent="0.25">
      <c r="A2552" s="50" t="s">
        <v>3796</v>
      </c>
      <c r="B2552" s="30" t="s">
        <v>11</v>
      </c>
      <c r="C2552" s="30" t="s">
        <v>57</v>
      </c>
      <c r="D2552" s="30" t="s">
        <v>58</v>
      </c>
      <c r="E2552" s="30" t="s">
        <v>59</v>
      </c>
      <c r="F2552" s="30">
        <v>1</v>
      </c>
      <c r="G2552" s="44">
        <v>35033</v>
      </c>
      <c r="H2552" s="30"/>
      <c r="I2552" s="44"/>
      <c r="J2552" s="44"/>
      <c r="K2552" s="44">
        <f t="shared" si="86"/>
        <v>35033</v>
      </c>
      <c r="L2552" s="51">
        <v>20240912</v>
      </c>
    </row>
    <row r="2553" spans="1:12" x14ac:dyDescent="0.25">
      <c r="A2553" s="50" t="s">
        <v>3779</v>
      </c>
      <c r="B2553" s="30" t="s">
        <v>11</v>
      </c>
      <c r="C2553" s="30" t="s">
        <v>26</v>
      </c>
      <c r="D2553" s="30" t="s">
        <v>556</v>
      </c>
      <c r="E2553" s="30" t="s">
        <v>561</v>
      </c>
      <c r="F2553" s="30">
        <v>1</v>
      </c>
      <c r="G2553" s="44">
        <v>35033</v>
      </c>
      <c r="H2553" s="30"/>
      <c r="I2553" s="44"/>
      <c r="J2553" s="44"/>
      <c r="K2553" s="44">
        <f t="shared" si="86"/>
        <v>35033</v>
      </c>
      <c r="L2553" s="51">
        <v>20240916</v>
      </c>
    </row>
    <row r="2554" spans="1:12" x14ac:dyDescent="0.25">
      <c r="A2554" s="50" t="s">
        <v>3775</v>
      </c>
      <c r="B2554" s="30" t="s">
        <v>1209</v>
      </c>
      <c r="C2554" s="30" t="s">
        <v>3772</v>
      </c>
      <c r="D2554" s="30" t="s">
        <v>95</v>
      </c>
      <c r="E2554" s="30" t="s">
        <v>3776</v>
      </c>
      <c r="F2554" s="30">
        <v>1</v>
      </c>
      <c r="G2554" s="44">
        <v>35033</v>
      </c>
      <c r="H2554" s="30"/>
      <c r="I2554" s="44"/>
      <c r="J2554" s="44"/>
      <c r="K2554" s="44">
        <f t="shared" si="86"/>
        <v>35033</v>
      </c>
      <c r="L2554" s="51">
        <v>20240917</v>
      </c>
    </row>
    <row r="2555" spans="1:12" x14ac:dyDescent="0.25">
      <c r="A2555" s="50" t="s">
        <v>3777</v>
      </c>
      <c r="B2555" s="30" t="s">
        <v>1209</v>
      </c>
      <c r="C2555" s="30" t="s">
        <v>3772</v>
      </c>
      <c r="D2555" s="30" t="s">
        <v>95</v>
      </c>
      <c r="E2555" s="30" t="s">
        <v>3773</v>
      </c>
      <c r="F2555" s="30">
        <v>1</v>
      </c>
      <c r="G2555" s="44">
        <v>35033</v>
      </c>
      <c r="H2555" s="30"/>
      <c r="I2555" s="44"/>
      <c r="J2555" s="44"/>
      <c r="K2555" s="44">
        <f t="shared" si="86"/>
        <v>35033</v>
      </c>
      <c r="L2555" s="51">
        <v>20240917</v>
      </c>
    </row>
    <row r="2556" spans="1:12" x14ac:dyDescent="0.25">
      <c r="A2556" s="52" t="s">
        <v>3780</v>
      </c>
      <c r="B2556" s="32" t="s">
        <v>1209</v>
      </c>
      <c r="C2556" s="32" t="s">
        <v>45</v>
      </c>
      <c r="D2556" s="32" t="s">
        <v>46</v>
      </c>
      <c r="E2556" s="32" t="s">
        <v>3781</v>
      </c>
      <c r="F2556" s="32">
        <v>1</v>
      </c>
      <c r="G2556" s="45">
        <v>35033</v>
      </c>
      <c r="H2556" s="32">
        <v>71</v>
      </c>
      <c r="I2556" s="45">
        <v>441.8</v>
      </c>
      <c r="J2556" s="45">
        <f>I2556*H2556</f>
        <v>31367.8</v>
      </c>
      <c r="K2556" s="45">
        <f t="shared" si="86"/>
        <v>66400.800000000003</v>
      </c>
      <c r="L2556" s="53">
        <v>20240917</v>
      </c>
    </row>
    <row r="2557" spans="1:12" x14ac:dyDescent="0.25">
      <c r="A2557" s="50" t="s">
        <v>3771</v>
      </c>
      <c r="B2557" s="30" t="s">
        <v>11</v>
      </c>
      <c r="C2557" s="30" t="s">
        <v>3772</v>
      </c>
      <c r="D2557" s="30" t="s">
        <v>95</v>
      </c>
      <c r="E2557" s="30" t="s">
        <v>3773</v>
      </c>
      <c r="F2557" s="30">
        <v>1</v>
      </c>
      <c r="G2557" s="44">
        <v>35033</v>
      </c>
      <c r="H2557" s="30"/>
      <c r="I2557" s="44"/>
      <c r="J2557" s="44"/>
      <c r="K2557" s="44">
        <f t="shared" si="86"/>
        <v>35033</v>
      </c>
      <c r="L2557" s="51">
        <v>20240918</v>
      </c>
    </row>
    <row r="2558" spans="1:12" x14ac:dyDescent="0.25">
      <c r="A2558" s="50" t="s">
        <v>3785</v>
      </c>
      <c r="B2558" s="30" t="s">
        <v>11</v>
      </c>
      <c r="C2558" s="30" t="s">
        <v>29</v>
      </c>
      <c r="D2558" s="30" t="s">
        <v>1385</v>
      </c>
      <c r="E2558" s="30" t="s">
        <v>1386</v>
      </c>
      <c r="F2558" s="30">
        <v>1</v>
      </c>
      <c r="G2558" s="44">
        <v>35033</v>
      </c>
      <c r="H2558" s="30"/>
      <c r="I2558" s="44"/>
      <c r="J2558" s="44"/>
      <c r="K2558" s="44">
        <f t="shared" si="86"/>
        <v>35033</v>
      </c>
      <c r="L2558" s="51">
        <v>20240918</v>
      </c>
    </row>
    <row r="2559" spans="1:12" x14ac:dyDescent="0.25">
      <c r="A2559" s="50" t="s">
        <v>3769</v>
      </c>
      <c r="B2559" s="30" t="s">
        <v>11</v>
      </c>
      <c r="C2559" s="30" t="s">
        <v>364</v>
      </c>
      <c r="D2559" s="30" t="s">
        <v>24</v>
      </c>
      <c r="E2559" s="30" t="s">
        <v>532</v>
      </c>
      <c r="F2559" s="30">
        <v>1</v>
      </c>
      <c r="G2559" s="44">
        <v>35033</v>
      </c>
      <c r="H2559" s="30"/>
      <c r="I2559" s="44"/>
      <c r="J2559" s="44"/>
      <c r="K2559" s="44">
        <f t="shared" si="86"/>
        <v>35033</v>
      </c>
      <c r="L2559" s="51">
        <v>20240920</v>
      </c>
    </row>
    <row r="2560" spans="1:12" x14ac:dyDescent="0.25">
      <c r="A2560" s="50" t="s">
        <v>3774</v>
      </c>
      <c r="B2560" s="30" t="s">
        <v>11</v>
      </c>
      <c r="C2560" s="30" t="s">
        <v>251</v>
      </c>
      <c r="D2560" s="30" t="s">
        <v>740</v>
      </c>
      <c r="E2560" s="30" t="s">
        <v>741</v>
      </c>
      <c r="F2560" s="30">
        <v>1</v>
      </c>
      <c r="G2560" s="44">
        <v>35033</v>
      </c>
      <c r="H2560" s="30"/>
      <c r="I2560" s="44"/>
      <c r="J2560" s="44"/>
      <c r="K2560" s="44">
        <f t="shared" si="86"/>
        <v>35033</v>
      </c>
      <c r="L2560" s="51">
        <v>20240920</v>
      </c>
    </row>
    <row r="2561" spans="1:12" x14ac:dyDescent="0.25">
      <c r="A2561" s="52" t="s">
        <v>3784</v>
      </c>
      <c r="B2561" s="32" t="s">
        <v>11</v>
      </c>
      <c r="C2561" s="32" t="s">
        <v>270</v>
      </c>
      <c r="D2561" s="32" t="s">
        <v>494</v>
      </c>
      <c r="E2561" s="32" t="s">
        <v>1212</v>
      </c>
      <c r="F2561" s="32">
        <v>1</v>
      </c>
      <c r="G2561" s="45">
        <v>35033</v>
      </c>
      <c r="H2561" s="32">
        <v>123</v>
      </c>
      <c r="I2561" s="45">
        <v>441.8</v>
      </c>
      <c r="J2561" s="45">
        <f>I2561*H2561</f>
        <v>54341.4</v>
      </c>
      <c r="K2561" s="45">
        <f t="shared" si="86"/>
        <v>89374.399999999994</v>
      </c>
      <c r="L2561" s="53">
        <v>20240920</v>
      </c>
    </row>
    <row r="2562" spans="1:12" x14ac:dyDescent="0.25">
      <c r="A2562" s="52" t="s">
        <v>3768</v>
      </c>
      <c r="B2562" s="32" t="s">
        <v>11</v>
      </c>
      <c r="C2562" s="32" t="s">
        <v>28</v>
      </c>
      <c r="D2562" s="32" t="s">
        <v>1160</v>
      </c>
      <c r="E2562" s="32" t="s">
        <v>3643</v>
      </c>
      <c r="F2562" s="32">
        <v>1</v>
      </c>
      <c r="G2562" s="45">
        <v>35033</v>
      </c>
      <c r="H2562" s="32">
        <v>57</v>
      </c>
      <c r="I2562" s="45">
        <v>441.8</v>
      </c>
      <c r="J2562" s="45">
        <f>I2562*H2562</f>
        <v>25182.600000000002</v>
      </c>
      <c r="K2562" s="45">
        <f t="shared" si="86"/>
        <v>60215.600000000006</v>
      </c>
      <c r="L2562" s="53">
        <v>20240923</v>
      </c>
    </row>
    <row r="2563" spans="1:12" x14ac:dyDescent="0.25">
      <c r="A2563" s="50" t="s">
        <v>3770</v>
      </c>
      <c r="B2563" s="30" t="s">
        <v>11</v>
      </c>
      <c r="C2563" s="30" t="s">
        <v>134</v>
      </c>
      <c r="D2563" s="30" t="s">
        <v>354</v>
      </c>
      <c r="E2563" s="30" t="s">
        <v>831</v>
      </c>
      <c r="F2563" s="30">
        <v>1</v>
      </c>
      <c r="G2563" s="44">
        <v>35033</v>
      </c>
      <c r="H2563" s="30"/>
      <c r="I2563" s="44"/>
      <c r="J2563" s="44"/>
      <c r="K2563" s="44">
        <f t="shared" si="86"/>
        <v>35033</v>
      </c>
      <c r="L2563" s="51">
        <v>20240924</v>
      </c>
    </row>
    <row r="2564" spans="1:12" x14ac:dyDescent="0.25">
      <c r="A2564" s="50" t="s">
        <v>3763</v>
      </c>
      <c r="B2564" s="30" t="s">
        <v>11</v>
      </c>
      <c r="C2564" s="30" t="s">
        <v>251</v>
      </c>
      <c r="D2564" s="30" t="s">
        <v>252</v>
      </c>
      <c r="E2564" s="30" t="s">
        <v>2842</v>
      </c>
      <c r="F2564" s="30">
        <v>1</v>
      </c>
      <c r="G2564" s="44">
        <v>35033</v>
      </c>
      <c r="H2564" s="30"/>
      <c r="I2564" s="44"/>
      <c r="J2564" s="44"/>
      <c r="K2564" s="44">
        <f t="shared" si="86"/>
        <v>35033</v>
      </c>
      <c r="L2564" s="51">
        <v>20240925</v>
      </c>
    </row>
    <row r="2565" spans="1:12" x14ac:dyDescent="0.25">
      <c r="A2565" s="52" t="s">
        <v>3765</v>
      </c>
      <c r="B2565" s="32" t="s">
        <v>11</v>
      </c>
      <c r="C2565" s="32" t="s">
        <v>337</v>
      </c>
      <c r="D2565" s="32" t="s">
        <v>35</v>
      </c>
      <c r="E2565" s="32" t="s">
        <v>157</v>
      </c>
      <c r="F2565" s="32">
        <v>1</v>
      </c>
      <c r="G2565" s="45">
        <v>35033</v>
      </c>
      <c r="H2565" s="32">
        <v>72</v>
      </c>
      <c r="I2565" s="45">
        <v>441.8</v>
      </c>
      <c r="J2565" s="45">
        <f>I2565*H2565</f>
        <v>31809.600000000002</v>
      </c>
      <c r="K2565" s="45">
        <f t="shared" si="86"/>
        <v>66842.600000000006</v>
      </c>
      <c r="L2565" s="53">
        <v>20240925</v>
      </c>
    </row>
    <row r="2566" spans="1:12" x14ac:dyDescent="0.25">
      <c r="A2566" s="50" t="s">
        <v>3766</v>
      </c>
      <c r="B2566" s="30" t="s">
        <v>11</v>
      </c>
      <c r="C2566" s="30" t="s">
        <v>29</v>
      </c>
      <c r="D2566" s="30" t="s">
        <v>24</v>
      </c>
      <c r="E2566" s="30" t="s">
        <v>208</v>
      </c>
      <c r="F2566" s="30">
        <v>1</v>
      </c>
      <c r="G2566" s="44">
        <v>35033</v>
      </c>
      <c r="H2566" s="30"/>
      <c r="I2566" s="44"/>
      <c r="J2566" s="44"/>
      <c r="K2566" s="44">
        <f t="shared" si="86"/>
        <v>35033</v>
      </c>
      <c r="L2566" s="51">
        <v>20240925</v>
      </c>
    </row>
    <row r="2567" spans="1:12" x14ac:dyDescent="0.25">
      <c r="A2567" s="50" t="s">
        <v>3778</v>
      </c>
      <c r="B2567" s="30" t="s">
        <v>11</v>
      </c>
      <c r="C2567" s="30" t="s">
        <v>337</v>
      </c>
      <c r="D2567" s="30" t="s">
        <v>35</v>
      </c>
      <c r="E2567" s="30" t="s">
        <v>402</v>
      </c>
      <c r="F2567" s="30">
        <v>1</v>
      </c>
      <c r="G2567" s="44">
        <v>35033</v>
      </c>
      <c r="H2567" s="30"/>
      <c r="I2567" s="44"/>
      <c r="J2567" s="44"/>
      <c r="K2567" s="44">
        <f t="shared" si="86"/>
        <v>35033</v>
      </c>
      <c r="L2567" s="51">
        <v>20240925</v>
      </c>
    </row>
    <row r="2568" spans="1:12" x14ac:dyDescent="0.25">
      <c r="A2568" s="50" t="s">
        <v>3764</v>
      </c>
      <c r="B2568" s="30" t="s">
        <v>11</v>
      </c>
      <c r="C2568" s="30" t="s">
        <v>251</v>
      </c>
      <c r="D2568" s="30" t="s">
        <v>740</v>
      </c>
      <c r="E2568" s="30" t="s">
        <v>741</v>
      </c>
      <c r="F2568" s="30">
        <v>1</v>
      </c>
      <c r="G2568" s="44">
        <v>35033</v>
      </c>
      <c r="H2568" s="30"/>
      <c r="I2568" s="44"/>
      <c r="J2568" s="44"/>
      <c r="K2568" s="44">
        <f t="shared" si="86"/>
        <v>35033</v>
      </c>
      <c r="L2568" s="51">
        <v>20240926</v>
      </c>
    </row>
    <row r="2569" spans="1:12" ht="15.75" thickBot="1" x14ac:dyDescent="0.3">
      <c r="A2569" s="54" t="s">
        <v>3767</v>
      </c>
      <c r="B2569" s="36" t="s">
        <v>11</v>
      </c>
      <c r="C2569" s="36" t="s">
        <v>251</v>
      </c>
      <c r="D2569" s="36" t="s">
        <v>764</v>
      </c>
      <c r="E2569" s="36" t="s">
        <v>1210</v>
      </c>
      <c r="F2569" s="36">
        <v>1</v>
      </c>
      <c r="G2569" s="65">
        <v>35033</v>
      </c>
      <c r="H2569" s="36"/>
      <c r="I2569" s="65"/>
      <c r="J2569" s="65"/>
      <c r="K2569" s="65">
        <f t="shared" si="86"/>
        <v>35033</v>
      </c>
      <c r="L2569" s="55">
        <v>20240930</v>
      </c>
    </row>
    <row r="2574" spans="1:12" ht="15.75" thickBot="1" x14ac:dyDescent="0.3">
      <c r="A2574" s="69" t="s">
        <v>0</v>
      </c>
      <c r="B2574" s="70" t="s">
        <v>1</v>
      </c>
      <c r="C2574" s="70" t="s">
        <v>2</v>
      </c>
      <c r="D2574" s="70" t="s">
        <v>3</v>
      </c>
      <c r="E2574" s="70" t="s">
        <v>4</v>
      </c>
      <c r="F2574" s="70"/>
      <c r="G2574" s="71" t="s">
        <v>6</v>
      </c>
      <c r="H2574" s="70" t="s">
        <v>7</v>
      </c>
      <c r="I2574" s="71" t="s">
        <v>8</v>
      </c>
      <c r="J2574" s="71" t="s">
        <v>9</v>
      </c>
      <c r="K2574" s="71" t="s">
        <v>10</v>
      </c>
      <c r="L2574" s="72" t="s">
        <v>5</v>
      </c>
    </row>
    <row r="2575" spans="1:12" x14ac:dyDescent="0.25">
      <c r="A2575" s="48" t="s">
        <v>3923</v>
      </c>
      <c r="B2575" s="34" t="s">
        <v>11</v>
      </c>
      <c r="C2575" s="34" t="s">
        <v>505</v>
      </c>
      <c r="D2575" s="34" t="s">
        <v>24</v>
      </c>
      <c r="E2575" s="34" t="s">
        <v>931</v>
      </c>
      <c r="F2575" s="34">
        <v>1</v>
      </c>
      <c r="G2575" s="64">
        <v>39692</v>
      </c>
      <c r="H2575" s="34"/>
      <c r="I2575" s="64"/>
      <c r="J2575" s="64"/>
      <c r="K2575" s="64">
        <f t="shared" ref="K2575:K2615" si="87">J2575+G2575</f>
        <v>39692</v>
      </c>
      <c r="L2575" s="49">
        <v>20241001</v>
      </c>
    </row>
    <row r="2576" spans="1:12" x14ac:dyDescent="0.25">
      <c r="A2576" s="50" t="s">
        <v>3921</v>
      </c>
      <c r="B2576" s="30" t="s">
        <v>11</v>
      </c>
      <c r="C2576" s="30" t="s">
        <v>94</v>
      </c>
      <c r="D2576" s="30" t="s">
        <v>95</v>
      </c>
      <c r="E2576" s="30" t="s">
        <v>326</v>
      </c>
      <c r="F2576" s="30">
        <v>1</v>
      </c>
      <c r="G2576" s="44">
        <v>39692</v>
      </c>
      <c r="H2576" s="30"/>
      <c r="I2576" s="44"/>
      <c r="J2576" s="44"/>
      <c r="K2576" s="44">
        <f t="shared" si="87"/>
        <v>39692</v>
      </c>
      <c r="L2576" s="51">
        <v>20241002</v>
      </c>
    </row>
    <row r="2577" spans="1:12" x14ac:dyDescent="0.25">
      <c r="A2577" s="50" t="s">
        <v>3924</v>
      </c>
      <c r="B2577" s="30" t="s">
        <v>11</v>
      </c>
      <c r="C2577" s="30" t="s">
        <v>29</v>
      </c>
      <c r="D2577" s="30" t="s">
        <v>1385</v>
      </c>
      <c r="E2577" s="30" t="s">
        <v>210</v>
      </c>
      <c r="F2577" s="30">
        <v>1</v>
      </c>
      <c r="G2577" s="44">
        <v>39692</v>
      </c>
      <c r="H2577" s="30"/>
      <c r="I2577" s="44"/>
      <c r="J2577" s="44"/>
      <c r="K2577" s="44">
        <f t="shared" si="87"/>
        <v>39692</v>
      </c>
      <c r="L2577" s="51">
        <v>20241002</v>
      </c>
    </row>
    <row r="2578" spans="1:12" x14ac:dyDescent="0.25">
      <c r="A2578" s="50" t="s">
        <v>3926</v>
      </c>
      <c r="B2578" s="30" t="s">
        <v>11</v>
      </c>
      <c r="C2578" s="30" t="s">
        <v>1450</v>
      </c>
      <c r="D2578" s="30" t="s">
        <v>1569</v>
      </c>
      <c r="E2578" s="30" t="s">
        <v>1570</v>
      </c>
      <c r="F2578" s="30">
        <v>1</v>
      </c>
      <c r="G2578" s="44">
        <v>39692</v>
      </c>
      <c r="H2578" s="30"/>
      <c r="I2578" s="44"/>
      <c r="J2578" s="44"/>
      <c r="K2578" s="44">
        <f t="shared" si="87"/>
        <v>39692</v>
      </c>
      <c r="L2578" s="51">
        <v>20241002</v>
      </c>
    </row>
    <row r="2579" spans="1:12" x14ac:dyDescent="0.25">
      <c r="A2579" s="52" t="s">
        <v>3927</v>
      </c>
      <c r="B2579" s="32" t="s">
        <v>11</v>
      </c>
      <c r="C2579" s="32" t="s">
        <v>3112</v>
      </c>
      <c r="D2579" s="32" t="s">
        <v>3928</v>
      </c>
      <c r="E2579" s="32" t="s">
        <v>3929</v>
      </c>
      <c r="F2579" s="32">
        <v>1</v>
      </c>
      <c r="G2579" s="45">
        <v>39692</v>
      </c>
      <c r="H2579" s="32">
        <v>163</v>
      </c>
      <c r="I2579" s="45">
        <v>495.3</v>
      </c>
      <c r="J2579" s="45">
        <f>I2579*H2579</f>
        <v>80733.900000000009</v>
      </c>
      <c r="K2579" s="45">
        <f t="shared" si="87"/>
        <v>120425.90000000001</v>
      </c>
      <c r="L2579" s="53">
        <v>20241002</v>
      </c>
    </row>
    <row r="2580" spans="1:12" x14ac:dyDescent="0.25">
      <c r="A2580" s="50" t="s">
        <v>3918</v>
      </c>
      <c r="B2580" s="30" t="s">
        <v>11</v>
      </c>
      <c r="C2580" s="30" t="s">
        <v>29</v>
      </c>
      <c r="D2580" s="30" t="s">
        <v>3494</v>
      </c>
      <c r="E2580" s="30" t="s">
        <v>3631</v>
      </c>
      <c r="F2580" s="30">
        <v>1</v>
      </c>
      <c r="G2580" s="44">
        <v>39692</v>
      </c>
      <c r="H2580" s="30"/>
      <c r="I2580" s="44"/>
      <c r="J2580" s="44"/>
      <c r="K2580" s="44">
        <f t="shared" si="87"/>
        <v>39692</v>
      </c>
      <c r="L2580" s="51">
        <v>20241003</v>
      </c>
    </row>
    <row r="2581" spans="1:12" x14ac:dyDescent="0.25">
      <c r="A2581" s="52" t="s">
        <v>3919</v>
      </c>
      <c r="B2581" s="32" t="s">
        <v>11</v>
      </c>
      <c r="C2581" s="32" t="s">
        <v>29</v>
      </c>
      <c r="D2581" s="32" t="s">
        <v>3494</v>
      </c>
      <c r="E2581" s="32" t="s">
        <v>3495</v>
      </c>
      <c r="F2581" s="32">
        <v>1</v>
      </c>
      <c r="G2581" s="45">
        <v>39692</v>
      </c>
      <c r="H2581" s="32">
        <v>27</v>
      </c>
      <c r="I2581" s="45">
        <v>495.3</v>
      </c>
      <c r="J2581" s="45">
        <f>I2581*H2581</f>
        <v>13373.1</v>
      </c>
      <c r="K2581" s="45">
        <f t="shared" si="87"/>
        <v>53065.1</v>
      </c>
      <c r="L2581" s="53">
        <v>20241003</v>
      </c>
    </row>
    <row r="2582" spans="1:12" x14ac:dyDescent="0.25">
      <c r="A2582" s="52" t="s">
        <v>3920</v>
      </c>
      <c r="B2582" s="32" t="s">
        <v>11</v>
      </c>
      <c r="C2582" s="32" t="s">
        <v>163</v>
      </c>
      <c r="D2582" s="32" t="s">
        <v>164</v>
      </c>
      <c r="E2582" s="32" t="s">
        <v>3030</v>
      </c>
      <c r="F2582" s="32">
        <v>1</v>
      </c>
      <c r="G2582" s="45">
        <v>39692</v>
      </c>
      <c r="H2582" s="32">
        <v>126</v>
      </c>
      <c r="I2582" s="45">
        <v>495.3</v>
      </c>
      <c r="J2582" s="45">
        <f>I2582*H2582</f>
        <v>62407.8</v>
      </c>
      <c r="K2582" s="45">
        <f t="shared" si="87"/>
        <v>102099.8</v>
      </c>
      <c r="L2582" s="53">
        <v>20241004</v>
      </c>
    </row>
    <row r="2583" spans="1:12" x14ac:dyDescent="0.25">
      <c r="A2583" s="50" t="s">
        <v>3906</v>
      </c>
      <c r="B2583" s="30" t="s">
        <v>1209</v>
      </c>
      <c r="C2583" s="30" t="s">
        <v>654</v>
      </c>
      <c r="D2583" s="30" t="s">
        <v>1470</v>
      </c>
      <c r="E2583" s="30" t="s">
        <v>3907</v>
      </c>
      <c r="F2583" s="30">
        <v>1</v>
      </c>
      <c r="G2583" s="44">
        <v>39692</v>
      </c>
      <c r="H2583" s="30"/>
      <c r="I2583" s="44"/>
      <c r="J2583" s="44"/>
      <c r="K2583" s="44">
        <f t="shared" si="87"/>
        <v>39692</v>
      </c>
      <c r="L2583" s="51">
        <v>20241004</v>
      </c>
    </row>
    <row r="2584" spans="1:12" x14ac:dyDescent="0.25">
      <c r="A2584" s="50" t="s">
        <v>3908</v>
      </c>
      <c r="B2584" s="30" t="s">
        <v>1209</v>
      </c>
      <c r="C2584" s="30" t="s">
        <v>654</v>
      </c>
      <c r="D2584" s="30" t="s">
        <v>1470</v>
      </c>
      <c r="E2584" s="30" t="s">
        <v>3909</v>
      </c>
      <c r="F2584" s="30">
        <v>1</v>
      </c>
      <c r="G2584" s="44">
        <v>39692</v>
      </c>
      <c r="H2584" s="30"/>
      <c r="I2584" s="44"/>
      <c r="J2584" s="44"/>
      <c r="K2584" s="44">
        <f t="shared" si="87"/>
        <v>39692</v>
      </c>
      <c r="L2584" s="51">
        <v>20241004</v>
      </c>
    </row>
    <row r="2585" spans="1:12" x14ac:dyDescent="0.25">
      <c r="A2585" s="50" t="s">
        <v>3910</v>
      </c>
      <c r="B2585" s="30" t="s">
        <v>1209</v>
      </c>
      <c r="C2585" s="30" t="s">
        <v>654</v>
      </c>
      <c r="D2585" s="30" t="s">
        <v>1470</v>
      </c>
      <c r="E2585" s="30" t="s">
        <v>3911</v>
      </c>
      <c r="F2585" s="30">
        <v>1</v>
      </c>
      <c r="G2585" s="44">
        <v>39692</v>
      </c>
      <c r="H2585" s="30"/>
      <c r="I2585" s="44"/>
      <c r="J2585" s="44"/>
      <c r="K2585" s="44">
        <f t="shared" si="87"/>
        <v>39692</v>
      </c>
      <c r="L2585" s="51">
        <v>20241004</v>
      </c>
    </row>
    <row r="2586" spans="1:12" x14ac:dyDescent="0.25">
      <c r="A2586" s="50" t="s">
        <v>3912</v>
      </c>
      <c r="B2586" s="30" t="s">
        <v>1209</v>
      </c>
      <c r="C2586" s="30" t="s">
        <v>654</v>
      </c>
      <c r="D2586" s="30" t="s">
        <v>1470</v>
      </c>
      <c r="E2586" s="30" t="s">
        <v>3913</v>
      </c>
      <c r="F2586" s="30">
        <v>1</v>
      </c>
      <c r="G2586" s="44">
        <v>39692</v>
      </c>
      <c r="H2586" s="30"/>
      <c r="I2586" s="44"/>
      <c r="J2586" s="44"/>
      <c r="K2586" s="44">
        <f t="shared" si="87"/>
        <v>39692</v>
      </c>
      <c r="L2586" s="51">
        <v>20241004</v>
      </c>
    </row>
    <row r="2587" spans="1:12" x14ac:dyDescent="0.25">
      <c r="A2587" s="50" t="s">
        <v>3914</v>
      </c>
      <c r="B2587" s="30" t="s">
        <v>1209</v>
      </c>
      <c r="C2587" s="30" t="s">
        <v>654</v>
      </c>
      <c r="D2587" s="30" t="s">
        <v>1470</v>
      </c>
      <c r="E2587" s="30" t="s">
        <v>3915</v>
      </c>
      <c r="F2587" s="30">
        <v>1</v>
      </c>
      <c r="G2587" s="44">
        <v>39692</v>
      </c>
      <c r="H2587" s="30"/>
      <c r="I2587" s="44"/>
      <c r="J2587" s="44"/>
      <c r="K2587" s="44">
        <f t="shared" si="87"/>
        <v>39692</v>
      </c>
      <c r="L2587" s="51">
        <v>20241004</v>
      </c>
    </row>
    <row r="2588" spans="1:12" x14ac:dyDescent="0.25">
      <c r="A2588" s="52" t="s">
        <v>3916</v>
      </c>
      <c r="B2588" s="32" t="s">
        <v>1209</v>
      </c>
      <c r="C2588" s="32" t="s">
        <v>654</v>
      </c>
      <c r="D2588" s="32" t="s">
        <v>1470</v>
      </c>
      <c r="E2588" s="32" t="s">
        <v>3917</v>
      </c>
      <c r="F2588" s="32">
        <v>1</v>
      </c>
      <c r="G2588" s="45">
        <v>39692</v>
      </c>
      <c r="H2588" s="32">
        <v>39</v>
      </c>
      <c r="I2588" s="45">
        <v>495.3</v>
      </c>
      <c r="J2588" s="45">
        <f>I2588*H2588</f>
        <v>19316.7</v>
      </c>
      <c r="K2588" s="45">
        <f t="shared" si="87"/>
        <v>59008.7</v>
      </c>
      <c r="L2588" s="53">
        <v>20241004</v>
      </c>
    </row>
    <row r="2589" spans="1:12" x14ac:dyDescent="0.25">
      <c r="A2589" s="50" t="s">
        <v>3898</v>
      </c>
      <c r="B2589" s="30" t="s">
        <v>11</v>
      </c>
      <c r="C2589" s="30" t="s">
        <v>251</v>
      </c>
      <c r="D2589" s="30" t="s">
        <v>764</v>
      </c>
      <c r="E2589" s="30" t="s">
        <v>1210</v>
      </c>
      <c r="F2589" s="30">
        <v>1</v>
      </c>
      <c r="G2589" s="44">
        <v>39692</v>
      </c>
      <c r="H2589" s="30"/>
      <c r="I2589" s="44"/>
      <c r="J2589" s="44"/>
      <c r="K2589" s="44">
        <f t="shared" si="87"/>
        <v>39692</v>
      </c>
      <c r="L2589" s="51">
        <v>20241007</v>
      </c>
    </row>
    <row r="2590" spans="1:12" x14ac:dyDescent="0.25">
      <c r="A2590" s="50" t="s">
        <v>3905</v>
      </c>
      <c r="B2590" s="30" t="s">
        <v>11</v>
      </c>
      <c r="C2590" s="30" t="s">
        <v>29</v>
      </c>
      <c r="D2590" s="30" t="s">
        <v>2548</v>
      </c>
      <c r="E2590" s="30" t="s">
        <v>390</v>
      </c>
      <c r="F2590" s="30">
        <v>1</v>
      </c>
      <c r="G2590" s="44">
        <v>39692</v>
      </c>
      <c r="H2590" s="30"/>
      <c r="I2590" s="44"/>
      <c r="J2590" s="44"/>
      <c r="K2590" s="44">
        <f t="shared" si="87"/>
        <v>39692</v>
      </c>
      <c r="L2590" s="51">
        <v>20241008</v>
      </c>
    </row>
    <row r="2591" spans="1:12" x14ac:dyDescent="0.25">
      <c r="A2591" s="50" t="s">
        <v>3899</v>
      </c>
      <c r="B2591" s="30" t="s">
        <v>11</v>
      </c>
      <c r="C2591" s="30" t="s">
        <v>29</v>
      </c>
      <c r="D2591" s="30" t="s">
        <v>1385</v>
      </c>
      <c r="E2591" s="30" t="s">
        <v>1386</v>
      </c>
      <c r="F2591" s="30">
        <v>1</v>
      </c>
      <c r="G2591" s="44">
        <v>39692</v>
      </c>
      <c r="H2591" s="30"/>
      <c r="I2591" s="44"/>
      <c r="J2591" s="44"/>
      <c r="K2591" s="44">
        <f t="shared" si="87"/>
        <v>39692</v>
      </c>
      <c r="L2591" s="51">
        <v>20241009</v>
      </c>
    </row>
    <row r="2592" spans="1:12" x14ac:dyDescent="0.25">
      <c r="A2592" s="50" t="s">
        <v>3897</v>
      </c>
      <c r="B2592" s="30" t="s">
        <v>11</v>
      </c>
      <c r="C2592" s="30" t="s">
        <v>91</v>
      </c>
      <c r="D2592" s="30" t="s">
        <v>24</v>
      </c>
      <c r="E2592" s="30" t="s">
        <v>92</v>
      </c>
      <c r="F2592" s="30">
        <v>1</v>
      </c>
      <c r="G2592" s="44">
        <v>39692</v>
      </c>
      <c r="H2592" s="30"/>
      <c r="I2592" s="44"/>
      <c r="J2592" s="44"/>
      <c r="K2592" s="44">
        <f t="shared" si="87"/>
        <v>39692</v>
      </c>
      <c r="L2592" s="51">
        <v>20241014</v>
      </c>
    </row>
    <row r="2593" spans="1:12" x14ac:dyDescent="0.25">
      <c r="A2593" s="50" t="s">
        <v>3896</v>
      </c>
      <c r="B2593" s="30" t="s">
        <v>11</v>
      </c>
      <c r="C2593" s="30" t="s">
        <v>251</v>
      </c>
      <c r="D2593" s="30" t="s">
        <v>375</v>
      </c>
      <c r="E2593" s="30" t="s">
        <v>376</v>
      </c>
      <c r="F2593" s="30">
        <v>1</v>
      </c>
      <c r="G2593" s="44">
        <v>39692</v>
      </c>
      <c r="H2593" s="30"/>
      <c r="I2593" s="44"/>
      <c r="J2593" s="44"/>
      <c r="K2593" s="44">
        <f t="shared" si="87"/>
        <v>39692</v>
      </c>
      <c r="L2593" s="51">
        <v>20241015</v>
      </c>
    </row>
    <row r="2594" spans="1:12" x14ac:dyDescent="0.25">
      <c r="A2594" s="52" t="s">
        <v>3922</v>
      </c>
      <c r="B2594" s="32" t="s">
        <v>11</v>
      </c>
      <c r="C2594" s="32" t="s">
        <v>337</v>
      </c>
      <c r="D2594" s="32" t="s">
        <v>162</v>
      </c>
      <c r="E2594" s="32" t="s">
        <v>219</v>
      </c>
      <c r="F2594" s="32">
        <v>1</v>
      </c>
      <c r="G2594" s="45">
        <v>39692</v>
      </c>
      <c r="H2594" s="32">
        <v>69</v>
      </c>
      <c r="I2594" s="45">
        <v>495.3</v>
      </c>
      <c r="J2594" s="45">
        <f>I2594*H2594</f>
        <v>34175.700000000004</v>
      </c>
      <c r="K2594" s="45">
        <f t="shared" si="87"/>
        <v>73867.700000000012</v>
      </c>
      <c r="L2594" s="53">
        <v>20241015</v>
      </c>
    </row>
    <row r="2595" spans="1:12" x14ac:dyDescent="0.25">
      <c r="A2595" s="52" t="s">
        <v>3892</v>
      </c>
      <c r="B2595" s="32" t="s">
        <v>11</v>
      </c>
      <c r="C2595" s="32" t="s">
        <v>270</v>
      </c>
      <c r="D2595" s="32" t="s">
        <v>368</v>
      </c>
      <c r="E2595" s="32" t="s">
        <v>369</v>
      </c>
      <c r="F2595" s="32">
        <v>1</v>
      </c>
      <c r="G2595" s="45">
        <v>39692</v>
      </c>
      <c r="H2595" s="32">
        <v>137</v>
      </c>
      <c r="I2595" s="45">
        <v>495.3</v>
      </c>
      <c r="J2595" s="45">
        <f>I2595*H2595</f>
        <v>67856.100000000006</v>
      </c>
      <c r="K2595" s="45">
        <f t="shared" si="87"/>
        <v>107548.1</v>
      </c>
      <c r="L2595" s="53">
        <v>20241016</v>
      </c>
    </row>
    <row r="2596" spans="1:12" x14ac:dyDescent="0.25">
      <c r="A2596" s="50" t="s">
        <v>3894</v>
      </c>
      <c r="B2596" s="30" t="s">
        <v>11</v>
      </c>
      <c r="C2596" s="30" t="s">
        <v>26</v>
      </c>
      <c r="D2596" s="30" t="s">
        <v>2874</v>
      </c>
      <c r="E2596" s="30" t="s">
        <v>2877</v>
      </c>
      <c r="F2596" s="30">
        <v>1</v>
      </c>
      <c r="G2596" s="44">
        <v>39692</v>
      </c>
      <c r="H2596" s="30"/>
      <c r="I2596" s="44"/>
      <c r="J2596" s="44"/>
      <c r="K2596" s="44">
        <f t="shared" si="87"/>
        <v>39692</v>
      </c>
      <c r="L2596" s="51">
        <v>20241016</v>
      </c>
    </row>
    <row r="2597" spans="1:12" x14ac:dyDescent="0.25">
      <c r="A2597" s="50" t="s">
        <v>3895</v>
      </c>
      <c r="B2597" s="30" t="s">
        <v>11</v>
      </c>
      <c r="C2597" s="30" t="s">
        <v>26</v>
      </c>
      <c r="D2597" s="30" t="s">
        <v>556</v>
      </c>
      <c r="E2597" s="30" t="s">
        <v>563</v>
      </c>
      <c r="F2597" s="30">
        <v>1</v>
      </c>
      <c r="G2597" s="44">
        <v>39692</v>
      </c>
      <c r="H2597" s="30"/>
      <c r="I2597" s="44"/>
      <c r="J2597" s="44"/>
      <c r="K2597" s="44">
        <f t="shared" si="87"/>
        <v>39692</v>
      </c>
      <c r="L2597" s="51">
        <v>20241016</v>
      </c>
    </row>
    <row r="2598" spans="1:12" x14ac:dyDescent="0.25">
      <c r="A2598" s="50" t="s">
        <v>3893</v>
      </c>
      <c r="B2598" s="30" t="s">
        <v>11</v>
      </c>
      <c r="C2598" s="30" t="s">
        <v>29</v>
      </c>
      <c r="D2598" s="30" t="s">
        <v>1385</v>
      </c>
      <c r="E2598" s="30" t="s">
        <v>1386</v>
      </c>
      <c r="F2598" s="30">
        <v>1</v>
      </c>
      <c r="G2598" s="44">
        <v>39692</v>
      </c>
      <c r="H2598" s="30"/>
      <c r="I2598" s="44"/>
      <c r="J2598" s="44"/>
      <c r="K2598" s="44">
        <f t="shared" si="87"/>
        <v>39692</v>
      </c>
      <c r="L2598" s="51">
        <v>20241017</v>
      </c>
    </row>
    <row r="2599" spans="1:12" x14ac:dyDescent="0.25">
      <c r="A2599" s="50" t="s">
        <v>3888</v>
      </c>
      <c r="B2599" s="30" t="s">
        <v>1209</v>
      </c>
      <c r="C2599" s="30" t="s">
        <v>29</v>
      </c>
      <c r="D2599" s="30" t="s">
        <v>1385</v>
      </c>
      <c r="E2599" s="30" t="s">
        <v>3889</v>
      </c>
      <c r="F2599" s="30">
        <v>1</v>
      </c>
      <c r="G2599" s="44">
        <v>39692</v>
      </c>
      <c r="H2599" s="30"/>
      <c r="I2599" s="44"/>
      <c r="J2599" s="44"/>
      <c r="K2599" s="44">
        <f t="shared" si="87"/>
        <v>39692</v>
      </c>
      <c r="L2599" s="51">
        <v>20241017</v>
      </c>
    </row>
    <row r="2600" spans="1:12" x14ac:dyDescent="0.25">
      <c r="A2600" s="50" t="s">
        <v>3878</v>
      </c>
      <c r="B2600" s="30" t="s">
        <v>11</v>
      </c>
      <c r="C2600" s="30" t="s">
        <v>202</v>
      </c>
      <c r="D2600" s="30" t="s">
        <v>203</v>
      </c>
      <c r="E2600" s="30" t="s">
        <v>1164</v>
      </c>
      <c r="F2600" s="30">
        <v>1</v>
      </c>
      <c r="G2600" s="44">
        <v>39692</v>
      </c>
      <c r="H2600" s="30"/>
      <c r="I2600" s="44"/>
      <c r="J2600" s="44"/>
      <c r="K2600" s="44">
        <f t="shared" si="87"/>
        <v>39692</v>
      </c>
      <c r="L2600" s="51">
        <v>20241021</v>
      </c>
    </row>
    <row r="2601" spans="1:12" x14ac:dyDescent="0.25">
      <c r="A2601" s="50" t="s">
        <v>3903</v>
      </c>
      <c r="B2601" s="30" t="s">
        <v>1209</v>
      </c>
      <c r="C2601" s="30" t="s">
        <v>3901</v>
      </c>
      <c r="D2601" s="30" t="s">
        <v>1959</v>
      </c>
      <c r="E2601" s="30" t="s">
        <v>3904</v>
      </c>
      <c r="F2601" s="30">
        <v>1</v>
      </c>
      <c r="G2601" s="44">
        <v>39692</v>
      </c>
      <c r="H2601" s="30"/>
      <c r="I2601" s="44"/>
      <c r="J2601" s="44"/>
      <c r="K2601" s="44">
        <f t="shared" si="87"/>
        <v>39692</v>
      </c>
      <c r="L2601" s="51">
        <v>20241021</v>
      </c>
    </row>
    <row r="2602" spans="1:12" x14ac:dyDescent="0.25">
      <c r="A2602" s="50" t="s">
        <v>3879</v>
      </c>
      <c r="B2602" s="30" t="s">
        <v>11</v>
      </c>
      <c r="C2602" s="30" t="s">
        <v>505</v>
      </c>
      <c r="D2602" s="30" t="s">
        <v>24</v>
      </c>
      <c r="E2602" s="30" t="s">
        <v>931</v>
      </c>
      <c r="F2602" s="30">
        <v>1</v>
      </c>
      <c r="G2602" s="44">
        <v>39692</v>
      </c>
      <c r="H2602" s="30"/>
      <c r="I2602" s="44"/>
      <c r="J2602" s="44"/>
      <c r="K2602" s="44">
        <f t="shared" si="87"/>
        <v>39692</v>
      </c>
      <c r="L2602" s="51">
        <v>20241022</v>
      </c>
    </row>
    <row r="2603" spans="1:12" x14ac:dyDescent="0.25">
      <c r="A2603" s="50" t="s">
        <v>3849</v>
      </c>
      <c r="B2603" s="30" t="s">
        <v>11</v>
      </c>
      <c r="C2603" s="30" t="s">
        <v>94</v>
      </c>
      <c r="D2603" s="30" t="s">
        <v>95</v>
      </c>
      <c r="E2603" s="30" t="s">
        <v>3699</v>
      </c>
      <c r="F2603" s="30">
        <v>1</v>
      </c>
      <c r="G2603" s="44">
        <v>39692</v>
      </c>
      <c r="H2603" s="30"/>
      <c r="I2603" s="44"/>
      <c r="J2603" s="44"/>
      <c r="K2603" s="44">
        <f t="shared" si="87"/>
        <v>39692</v>
      </c>
      <c r="L2603" s="51">
        <v>20241024</v>
      </c>
    </row>
    <row r="2604" spans="1:12" x14ac:dyDescent="0.25">
      <c r="A2604" s="50" t="s">
        <v>3850</v>
      </c>
      <c r="B2604" s="30" t="s">
        <v>11</v>
      </c>
      <c r="C2604" s="30" t="s">
        <v>94</v>
      </c>
      <c r="D2604" s="30" t="s">
        <v>95</v>
      </c>
      <c r="E2604" s="30" t="s">
        <v>2674</v>
      </c>
      <c r="F2604" s="30">
        <v>1</v>
      </c>
      <c r="G2604" s="44">
        <v>39692</v>
      </c>
      <c r="H2604" s="30"/>
      <c r="I2604" s="44"/>
      <c r="J2604" s="44"/>
      <c r="K2604" s="44">
        <f t="shared" si="87"/>
        <v>39692</v>
      </c>
      <c r="L2604" s="51">
        <v>20241024</v>
      </c>
    </row>
    <row r="2605" spans="1:12" x14ac:dyDescent="0.25">
      <c r="A2605" s="50" t="s">
        <v>3875</v>
      </c>
      <c r="B2605" s="30" t="s">
        <v>11</v>
      </c>
      <c r="C2605" s="30" t="s">
        <v>29</v>
      </c>
      <c r="D2605" s="30" t="s">
        <v>1385</v>
      </c>
      <c r="E2605" s="30" t="s">
        <v>3335</v>
      </c>
      <c r="F2605" s="30">
        <v>1</v>
      </c>
      <c r="G2605" s="44">
        <v>39692</v>
      </c>
      <c r="H2605" s="30"/>
      <c r="I2605" s="44"/>
      <c r="J2605" s="44"/>
      <c r="K2605" s="44">
        <f t="shared" si="87"/>
        <v>39692</v>
      </c>
      <c r="L2605" s="51">
        <v>20241024</v>
      </c>
    </row>
    <row r="2606" spans="1:12" x14ac:dyDescent="0.25">
      <c r="A2606" s="52" t="s">
        <v>3876</v>
      </c>
      <c r="B2606" s="32" t="s">
        <v>11</v>
      </c>
      <c r="C2606" s="32" t="s">
        <v>3877</v>
      </c>
      <c r="D2606" s="32" t="s">
        <v>1634</v>
      </c>
      <c r="E2606" s="32" t="s">
        <v>3618</v>
      </c>
      <c r="F2606" s="32">
        <v>1</v>
      </c>
      <c r="G2606" s="45">
        <v>39692</v>
      </c>
      <c r="H2606" s="32">
        <v>72</v>
      </c>
      <c r="I2606" s="45">
        <v>495.3</v>
      </c>
      <c r="J2606" s="45">
        <f>I2606*H2606</f>
        <v>35661.599999999999</v>
      </c>
      <c r="K2606" s="45">
        <f t="shared" si="87"/>
        <v>75353.600000000006</v>
      </c>
      <c r="L2606" s="53">
        <v>20241024</v>
      </c>
    </row>
    <row r="2607" spans="1:12" x14ac:dyDescent="0.25">
      <c r="A2607" s="50" t="s">
        <v>3890</v>
      </c>
      <c r="B2607" s="30" t="s">
        <v>11</v>
      </c>
      <c r="C2607" s="30" t="s">
        <v>364</v>
      </c>
      <c r="D2607" s="30" t="s">
        <v>24</v>
      </c>
      <c r="E2607" s="30" t="s">
        <v>3554</v>
      </c>
      <c r="F2607" s="30">
        <v>1</v>
      </c>
      <c r="G2607" s="44">
        <v>39692</v>
      </c>
      <c r="H2607" s="30"/>
      <c r="I2607" s="44"/>
      <c r="J2607" s="44"/>
      <c r="K2607" s="44">
        <f t="shared" si="87"/>
        <v>39692</v>
      </c>
      <c r="L2607" s="51">
        <v>20241024</v>
      </c>
    </row>
    <row r="2608" spans="1:12" x14ac:dyDescent="0.25">
      <c r="A2608" s="52" t="s">
        <v>3900</v>
      </c>
      <c r="B2608" s="32" t="s">
        <v>1209</v>
      </c>
      <c r="C2608" s="32" t="s">
        <v>3901</v>
      </c>
      <c r="D2608" s="32" t="s">
        <v>1959</v>
      </c>
      <c r="E2608" s="32" t="s">
        <v>3902</v>
      </c>
      <c r="F2608" s="32">
        <v>1</v>
      </c>
      <c r="G2608" s="45">
        <v>39692</v>
      </c>
      <c r="H2608" s="32">
        <v>99</v>
      </c>
      <c r="I2608" s="45">
        <v>495.3</v>
      </c>
      <c r="J2608" s="45">
        <f>I2608*H2608</f>
        <v>49034.700000000004</v>
      </c>
      <c r="K2608" s="45">
        <f t="shared" si="87"/>
        <v>88726.700000000012</v>
      </c>
      <c r="L2608" s="53">
        <v>20241024</v>
      </c>
    </row>
    <row r="2609" spans="1:12" x14ac:dyDescent="0.25">
      <c r="A2609" s="50" t="s">
        <v>3848</v>
      </c>
      <c r="B2609" s="30" t="s">
        <v>11</v>
      </c>
      <c r="C2609" s="30" t="s">
        <v>251</v>
      </c>
      <c r="D2609" s="30" t="s">
        <v>740</v>
      </c>
      <c r="E2609" s="30" t="s">
        <v>741</v>
      </c>
      <c r="F2609" s="30">
        <v>1</v>
      </c>
      <c r="G2609" s="44">
        <v>39692</v>
      </c>
      <c r="H2609" s="30"/>
      <c r="I2609" s="44"/>
      <c r="J2609" s="44"/>
      <c r="K2609" s="44">
        <f t="shared" si="87"/>
        <v>39692</v>
      </c>
      <c r="L2609" s="51">
        <v>20241025</v>
      </c>
    </row>
    <row r="2610" spans="1:12" x14ac:dyDescent="0.25">
      <c r="A2610" s="50" t="s">
        <v>3846</v>
      </c>
      <c r="B2610" s="30" t="s">
        <v>11</v>
      </c>
      <c r="C2610" s="30" t="s">
        <v>505</v>
      </c>
      <c r="D2610" s="30" t="s">
        <v>24</v>
      </c>
      <c r="E2610" s="30" t="s">
        <v>931</v>
      </c>
      <c r="F2610" s="30">
        <v>1</v>
      </c>
      <c r="G2610" s="44">
        <v>39692</v>
      </c>
      <c r="H2610" s="30"/>
      <c r="I2610" s="44"/>
      <c r="J2610" s="44"/>
      <c r="K2610" s="44">
        <f t="shared" si="87"/>
        <v>39692</v>
      </c>
      <c r="L2610" s="51">
        <v>20241028</v>
      </c>
    </row>
    <row r="2611" spans="1:12" x14ac:dyDescent="0.25">
      <c r="A2611" s="50" t="s">
        <v>3847</v>
      </c>
      <c r="B2611" s="30" t="s">
        <v>11</v>
      </c>
      <c r="C2611" s="30" t="s">
        <v>505</v>
      </c>
      <c r="D2611" s="30" t="s">
        <v>24</v>
      </c>
      <c r="E2611" s="30" t="s">
        <v>929</v>
      </c>
      <c r="F2611" s="30">
        <v>1</v>
      </c>
      <c r="G2611" s="44">
        <v>39692</v>
      </c>
      <c r="H2611" s="30"/>
      <c r="I2611" s="44"/>
      <c r="J2611" s="44"/>
      <c r="K2611" s="44">
        <f t="shared" si="87"/>
        <v>39692</v>
      </c>
      <c r="L2611" s="51">
        <v>20241028</v>
      </c>
    </row>
    <row r="2612" spans="1:12" x14ac:dyDescent="0.25">
      <c r="A2612" s="50" t="s">
        <v>3891</v>
      </c>
      <c r="B2612" s="30" t="s">
        <v>11</v>
      </c>
      <c r="C2612" s="30" t="s">
        <v>848</v>
      </c>
      <c r="D2612" s="30" t="s">
        <v>849</v>
      </c>
      <c r="E2612" s="30" t="s">
        <v>850</v>
      </c>
      <c r="F2612" s="30">
        <v>1</v>
      </c>
      <c r="G2612" s="44">
        <v>39692</v>
      </c>
      <c r="H2612" s="30"/>
      <c r="I2612" s="44"/>
      <c r="J2612" s="44"/>
      <c r="K2612" s="44">
        <f t="shared" si="87"/>
        <v>39692</v>
      </c>
      <c r="L2612" s="51">
        <v>20241028</v>
      </c>
    </row>
    <row r="2613" spans="1:12" x14ac:dyDescent="0.25">
      <c r="A2613" s="52" t="s">
        <v>3925</v>
      </c>
      <c r="B2613" s="32" t="s">
        <v>1209</v>
      </c>
      <c r="C2613" s="32" t="s">
        <v>45</v>
      </c>
      <c r="D2613" s="32" t="s">
        <v>3384</v>
      </c>
      <c r="E2613" s="32" t="s">
        <v>3385</v>
      </c>
      <c r="F2613" s="32">
        <v>1</v>
      </c>
      <c r="G2613" s="45">
        <v>39692</v>
      </c>
      <c r="H2613" s="32">
        <v>37</v>
      </c>
      <c r="I2613" s="45">
        <v>495.3</v>
      </c>
      <c r="J2613" s="45">
        <f>I2613*H2613</f>
        <v>18326.100000000002</v>
      </c>
      <c r="K2613" s="45">
        <f t="shared" si="87"/>
        <v>58018.100000000006</v>
      </c>
      <c r="L2613" s="53">
        <v>20241030</v>
      </c>
    </row>
    <row r="2614" spans="1:12" x14ac:dyDescent="0.25">
      <c r="A2614" s="50" t="s">
        <v>3813</v>
      </c>
      <c r="B2614" s="30" t="s">
        <v>11</v>
      </c>
      <c r="C2614" s="30" t="s">
        <v>94</v>
      </c>
      <c r="D2614" s="30" t="s">
        <v>95</v>
      </c>
      <c r="E2614" s="30" t="s">
        <v>326</v>
      </c>
      <c r="F2614" s="30">
        <v>1</v>
      </c>
      <c r="G2614" s="44">
        <v>39692</v>
      </c>
      <c r="H2614" s="30"/>
      <c r="I2614" s="44"/>
      <c r="J2614" s="44"/>
      <c r="K2614" s="44">
        <f t="shared" si="87"/>
        <v>39692</v>
      </c>
      <c r="L2614" s="51">
        <v>20241031</v>
      </c>
    </row>
    <row r="2615" spans="1:12" ht="15.75" thickBot="1" x14ac:dyDescent="0.3">
      <c r="A2615" s="54" t="s">
        <v>3814</v>
      </c>
      <c r="B2615" s="36" t="s">
        <v>11</v>
      </c>
      <c r="C2615" s="36" t="s">
        <v>94</v>
      </c>
      <c r="D2615" s="36" t="s">
        <v>95</v>
      </c>
      <c r="E2615" s="36" t="s">
        <v>3699</v>
      </c>
      <c r="F2615" s="36">
        <v>1</v>
      </c>
      <c r="G2615" s="65">
        <v>39692</v>
      </c>
      <c r="H2615" s="36"/>
      <c r="I2615" s="65"/>
      <c r="J2615" s="65"/>
      <c r="K2615" s="65">
        <f t="shared" si="87"/>
        <v>39692</v>
      </c>
      <c r="L2615" s="55">
        <v>20241031</v>
      </c>
    </row>
    <row r="2616" spans="1:12" x14ac:dyDescent="0.25">
      <c r="A2616" s="73"/>
      <c r="B2616" s="74"/>
      <c r="C2616" s="74"/>
      <c r="D2616" s="74"/>
      <c r="E2616" s="74"/>
      <c r="F2616" s="74"/>
      <c r="G2616" s="75"/>
      <c r="H2616" s="74"/>
      <c r="I2616" s="75"/>
      <c r="J2616" s="75"/>
      <c r="K2616" s="75"/>
      <c r="L2616" s="76"/>
    </row>
    <row r="2617" spans="1:12" ht="15.75" thickBot="1" x14ac:dyDescent="0.3">
      <c r="A2617" s="69"/>
      <c r="B2617" s="70"/>
      <c r="C2617" s="70"/>
      <c r="D2617" s="70"/>
      <c r="E2617" s="70"/>
      <c r="F2617" s="70"/>
      <c r="G2617" s="71"/>
      <c r="H2617" s="70"/>
      <c r="I2617" s="71"/>
      <c r="J2617" s="71"/>
      <c r="K2617" s="71"/>
      <c r="L2617" s="72"/>
    </row>
    <row r="2618" spans="1:12" x14ac:dyDescent="0.25">
      <c r="A2618" s="48" t="s">
        <v>3880</v>
      </c>
      <c r="B2618" s="34" t="s">
        <v>137</v>
      </c>
      <c r="C2618" s="34" t="s">
        <v>134</v>
      </c>
      <c r="D2618" s="34" t="s">
        <v>354</v>
      </c>
      <c r="E2618" s="34" t="s">
        <v>357</v>
      </c>
      <c r="F2618" s="34">
        <v>1</v>
      </c>
      <c r="G2618" s="64">
        <v>19849</v>
      </c>
      <c r="H2618" s="34"/>
      <c r="I2618" s="64"/>
      <c r="J2618" s="64"/>
      <c r="K2618" s="64">
        <f t="shared" ref="K2618:K2649" si="88">J2618+G2618</f>
        <v>19849</v>
      </c>
      <c r="L2618" s="49">
        <v>20241023</v>
      </c>
    </row>
    <row r="2619" spans="1:12" x14ac:dyDescent="0.25">
      <c r="A2619" s="50" t="s">
        <v>3881</v>
      </c>
      <c r="B2619" s="30" t="s">
        <v>137</v>
      </c>
      <c r="C2619" s="30" t="s">
        <v>134</v>
      </c>
      <c r="D2619" s="30" t="s">
        <v>354</v>
      </c>
      <c r="E2619" s="30" t="s">
        <v>359</v>
      </c>
      <c r="F2619" s="30">
        <v>1</v>
      </c>
      <c r="G2619" s="44">
        <v>19849</v>
      </c>
      <c r="H2619" s="30"/>
      <c r="I2619" s="44"/>
      <c r="J2619" s="44"/>
      <c r="K2619" s="44">
        <f t="shared" si="88"/>
        <v>19849</v>
      </c>
      <c r="L2619" s="51">
        <v>20241023</v>
      </c>
    </row>
    <row r="2620" spans="1:12" x14ac:dyDescent="0.25">
      <c r="A2620" s="50" t="s">
        <v>3882</v>
      </c>
      <c r="B2620" s="30" t="s">
        <v>137</v>
      </c>
      <c r="C2620" s="30" t="s">
        <v>134</v>
      </c>
      <c r="D2620" s="30" t="s">
        <v>354</v>
      </c>
      <c r="E2620" s="30" t="s">
        <v>410</v>
      </c>
      <c r="F2620" s="30">
        <v>1</v>
      </c>
      <c r="G2620" s="44">
        <v>19849</v>
      </c>
      <c r="H2620" s="30"/>
      <c r="I2620" s="44"/>
      <c r="J2620" s="44"/>
      <c r="K2620" s="44">
        <f t="shared" si="88"/>
        <v>19849</v>
      </c>
      <c r="L2620" s="51">
        <v>20241023</v>
      </c>
    </row>
    <row r="2621" spans="1:12" x14ac:dyDescent="0.25">
      <c r="A2621" s="50" t="s">
        <v>3883</v>
      </c>
      <c r="B2621" s="30" t="s">
        <v>137</v>
      </c>
      <c r="C2621" s="30" t="s">
        <v>134</v>
      </c>
      <c r="D2621" s="30" t="s">
        <v>354</v>
      </c>
      <c r="E2621" s="30" t="s">
        <v>829</v>
      </c>
      <c r="F2621" s="30">
        <v>1</v>
      </c>
      <c r="G2621" s="44">
        <v>19849</v>
      </c>
      <c r="H2621" s="30"/>
      <c r="I2621" s="44"/>
      <c r="J2621" s="44"/>
      <c r="K2621" s="44">
        <f t="shared" si="88"/>
        <v>19849</v>
      </c>
      <c r="L2621" s="51">
        <v>20241023</v>
      </c>
    </row>
    <row r="2622" spans="1:12" x14ac:dyDescent="0.25">
      <c r="A2622" s="50" t="s">
        <v>3884</v>
      </c>
      <c r="B2622" s="30" t="s">
        <v>137</v>
      </c>
      <c r="C2622" s="30" t="s">
        <v>134</v>
      </c>
      <c r="D2622" s="30" t="s">
        <v>354</v>
      </c>
      <c r="E2622" s="30" t="s">
        <v>831</v>
      </c>
      <c r="F2622" s="30">
        <v>1</v>
      </c>
      <c r="G2622" s="44">
        <v>19849</v>
      </c>
      <c r="H2622" s="30"/>
      <c r="I2622" s="44"/>
      <c r="J2622" s="44"/>
      <c r="K2622" s="44">
        <f t="shared" si="88"/>
        <v>19849</v>
      </c>
      <c r="L2622" s="51">
        <v>20241023</v>
      </c>
    </row>
    <row r="2623" spans="1:12" x14ac:dyDescent="0.25">
      <c r="A2623" s="50" t="s">
        <v>3885</v>
      </c>
      <c r="B2623" s="30" t="s">
        <v>137</v>
      </c>
      <c r="C2623" s="30" t="s">
        <v>134</v>
      </c>
      <c r="D2623" s="30" t="s">
        <v>354</v>
      </c>
      <c r="E2623" s="30" t="s">
        <v>833</v>
      </c>
      <c r="F2623" s="30">
        <v>1</v>
      </c>
      <c r="G2623" s="44">
        <v>19849</v>
      </c>
      <c r="H2623" s="30"/>
      <c r="I2623" s="44"/>
      <c r="J2623" s="44"/>
      <c r="K2623" s="44">
        <f t="shared" si="88"/>
        <v>19849</v>
      </c>
      <c r="L2623" s="51">
        <v>20241023</v>
      </c>
    </row>
    <row r="2624" spans="1:12" x14ac:dyDescent="0.25">
      <c r="A2624" s="50" t="s">
        <v>3886</v>
      </c>
      <c r="B2624" s="30" t="s">
        <v>137</v>
      </c>
      <c r="C2624" s="30" t="s">
        <v>134</v>
      </c>
      <c r="D2624" s="30" t="s">
        <v>354</v>
      </c>
      <c r="E2624" s="30" t="s">
        <v>355</v>
      </c>
      <c r="F2624" s="30">
        <v>1</v>
      </c>
      <c r="G2624" s="44">
        <v>19849</v>
      </c>
      <c r="H2624" s="30"/>
      <c r="I2624" s="44"/>
      <c r="J2624" s="44"/>
      <c r="K2624" s="44">
        <f t="shared" si="88"/>
        <v>19849</v>
      </c>
      <c r="L2624" s="51">
        <v>20241023</v>
      </c>
    </row>
    <row r="2625" spans="1:12" x14ac:dyDescent="0.25">
      <c r="A2625" s="50" t="s">
        <v>3887</v>
      </c>
      <c r="B2625" s="30" t="s">
        <v>137</v>
      </c>
      <c r="C2625" s="30" t="s">
        <v>134</v>
      </c>
      <c r="D2625" s="30" t="s">
        <v>354</v>
      </c>
      <c r="E2625" s="30" t="s">
        <v>2166</v>
      </c>
      <c r="F2625" s="30">
        <v>1</v>
      </c>
      <c r="G2625" s="44">
        <v>19849</v>
      </c>
      <c r="H2625" s="30"/>
      <c r="I2625" s="44"/>
      <c r="J2625" s="44"/>
      <c r="K2625" s="44">
        <f t="shared" si="88"/>
        <v>19849</v>
      </c>
      <c r="L2625" s="51">
        <v>20241023</v>
      </c>
    </row>
    <row r="2626" spans="1:12" x14ac:dyDescent="0.25">
      <c r="A2626" s="50" t="s">
        <v>3851</v>
      </c>
      <c r="B2626" s="30" t="s">
        <v>137</v>
      </c>
      <c r="C2626" s="30" t="s">
        <v>29</v>
      </c>
      <c r="D2626" s="30" t="s">
        <v>1656</v>
      </c>
      <c r="E2626" s="30" t="s">
        <v>2300</v>
      </c>
      <c r="F2626" s="30">
        <v>1</v>
      </c>
      <c r="G2626" s="44">
        <v>19849</v>
      </c>
      <c r="H2626" s="30"/>
      <c r="I2626" s="44"/>
      <c r="J2626" s="44"/>
      <c r="K2626" s="44">
        <f t="shared" si="88"/>
        <v>19849</v>
      </c>
      <c r="L2626" s="51">
        <v>20241024</v>
      </c>
    </row>
    <row r="2627" spans="1:12" x14ac:dyDescent="0.25">
      <c r="A2627" s="50" t="s">
        <v>3852</v>
      </c>
      <c r="B2627" s="30" t="s">
        <v>137</v>
      </c>
      <c r="C2627" s="30" t="s">
        <v>29</v>
      </c>
      <c r="D2627" s="30" t="s">
        <v>1656</v>
      </c>
      <c r="E2627" s="30" t="s">
        <v>2324</v>
      </c>
      <c r="F2627" s="30">
        <v>1</v>
      </c>
      <c r="G2627" s="44">
        <v>19849</v>
      </c>
      <c r="H2627" s="30"/>
      <c r="I2627" s="44"/>
      <c r="J2627" s="44"/>
      <c r="K2627" s="44">
        <f t="shared" si="88"/>
        <v>19849</v>
      </c>
      <c r="L2627" s="51">
        <v>20241024</v>
      </c>
    </row>
    <row r="2628" spans="1:12" x14ac:dyDescent="0.25">
      <c r="A2628" s="50" t="s">
        <v>3853</v>
      </c>
      <c r="B2628" s="30" t="s">
        <v>137</v>
      </c>
      <c r="C2628" s="30" t="s">
        <v>29</v>
      </c>
      <c r="D2628" s="30" t="s">
        <v>1656</v>
      </c>
      <c r="E2628" s="30" t="s">
        <v>3154</v>
      </c>
      <c r="F2628" s="30">
        <v>1</v>
      </c>
      <c r="G2628" s="44">
        <v>19849</v>
      </c>
      <c r="H2628" s="30"/>
      <c r="I2628" s="44"/>
      <c r="J2628" s="44"/>
      <c r="K2628" s="44">
        <f t="shared" si="88"/>
        <v>19849</v>
      </c>
      <c r="L2628" s="51">
        <v>20241024</v>
      </c>
    </row>
    <row r="2629" spans="1:12" x14ac:dyDescent="0.25">
      <c r="A2629" s="50" t="s">
        <v>3854</v>
      </c>
      <c r="B2629" s="30" t="s">
        <v>137</v>
      </c>
      <c r="C2629" s="30" t="s">
        <v>919</v>
      </c>
      <c r="D2629" s="30" t="s">
        <v>95</v>
      </c>
      <c r="E2629" s="30" t="s">
        <v>2496</v>
      </c>
      <c r="F2629" s="30">
        <v>1</v>
      </c>
      <c r="G2629" s="44">
        <v>19849</v>
      </c>
      <c r="H2629" s="30"/>
      <c r="I2629" s="44"/>
      <c r="J2629" s="44"/>
      <c r="K2629" s="44">
        <f t="shared" si="88"/>
        <v>19849</v>
      </c>
      <c r="L2629" s="51">
        <v>20241024</v>
      </c>
    </row>
    <row r="2630" spans="1:12" x14ac:dyDescent="0.25">
      <c r="A2630" s="50" t="s">
        <v>3856</v>
      </c>
      <c r="B2630" s="30" t="s">
        <v>137</v>
      </c>
      <c r="C2630" s="30" t="s">
        <v>1021</v>
      </c>
      <c r="D2630" s="30" t="s">
        <v>95</v>
      </c>
      <c r="E2630" s="30" t="s">
        <v>1022</v>
      </c>
      <c r="F2630" s="30">
        <v>1</v>
      </c>
      <c r="G2630" s="44">
        <v>19849</v>
      </c>
      <c r="H2630" s="30"/>
      <c r="I2630" s="44"/>
      <c r="J2630" s="44"/>
      <c r="K2630" s="44">
        <f t="shared" si="88"/>
        <v>19849</v>
      </c>
      <c r="L2630" s="51">
        <v>20241024</v>
      </c>
    </row>
    <row r="2631" spans="1:12" x14ac:dyDescent="0.25">
      <c r="A2631" s="50" t="s">
        <v>3866</v>
      </c>
      <c r="B2631" s="30" t="s">
        <v>137</v>
      </c>
      <c r="C2631" s="30" t="s">
        <v>94</v>
      </c>
      <c r="D2631" s="30" t="s">
        <v>95</v>
      </c>
      <c r="E2631" s="30" t="s">
        <v>262</v>
      </c>
      <c r="F2631" s="30">
        <v>1</v>
      </c>
      <c r="G2631" s="44">
        <v>19849</v>
      </c>
      <c r="H2631" s="30"/>
      <c r="I2631" s="44"/>
      <c r="J2631" s="44"/>
      <c r="K2631" s="44">
        <f t="shared" si="88"/>
        <v>19849</v>
      </c>
      <c r="L2631" s="51">
        <v>20241024</v>
      </c>
    </row>
    <row r="2632" spans="1:12" x14ac:dyDescent="0.25">
      <c r="A2632" s="50" t="s">
        <v>3867</v>
      </c>
      <c r="B2632" s="30" t="s">
        <v>137</v>
      </c>
      <c r="C2632" s="30" t="s">
        <v>94</v>
      </c>
      <c r="D2632" s="30" t="s">
        <v>95</v>
      </c>
      <c r="E2632" s="30" t="s">
        <v>436</v>
      </c>
      <c r="F2632" s="30">
        <v>1</v>
      </c>
      <c r="G2632" s="44">
        <v>19849</v>
      </c>
      <c r="H2632" s="30"/>
      <c r="I2632" s="44"/>
      <c r="J2632" s="44"/>
      <c r="K2632" s="44">
        <f t="shared" si="88"/>
        <v>19849</v>
      </c>
      <c r="L2632" s="51">
        <v>20241024</v>
      </c>
    </row>
    <row r="2633" spans="1:12" x14ac:dyDescent="0.25">
      <c r="A2633" s="50" t="s">
        <v>3868</v>
      </c>
      <c r="B2633" s="30" t="s">
        <v>137</v>
      </c>
      <c r="C2633" s="30" t="s">
        <v>94</v>
      </c>
      <c r="D2633" s="30" t="s">
        <v>95</v>
      </c>
      <c r="E2633" s="30" t="s">
        <v>1083</v>
      </c>
      <c r="F2633" s="30">
        <v>1</v>
      </c>
      <c r="G2633" s="44">
        <v>19849</v>
      </c>
      <c r="H2633" s="30"/>
      <c r="I2633" s="44"/>
      <c r="J2633" s="44"/>
      <c r="K2633" s="44">
        <f t="shared" si="88"/>
        <v>19849</v>
      </c>
      <c r="L2633" s="51">
        <v>20241024</v>
      </c>
    </row>
    <row r="2634" spans="1:12" x14ac:dyDescent="0.25">
      <c r="A2634" s="50" t="s">
        <v>3869</v>
      </c>
      <c r="B2634" s="30" t="s">
        <v>137</v>
      </c>
      <c r="C2634" s="30" t="s">
        <v>94</v>
      </c>
      <c r="D2634" s="30" t="s">
        <v>95</v>
      </c>
      <c r="E2634" s="30" t="s">
        <v>1398</v>
      </c>
      <c r="F2634" s="30">
        <v>1</v>
      </c>
      <c r="G2634" s="44">
        <v>19849</v>
      </c>
      <c r="H2634" s="30"/>
      <c r="I2634" s="44"/>
      <c r="J2634" s="44"/>
      <c r="K2634" s="44">
        <f t="shared" si="88"/>
        <v>19849</v>
      </c>
      <c r="L2634" s="51">
        <v>20241024</v>
      </c>
    </row>
    <row r="2635" spans="1:12" x14ac:dyDescent="0.25">
      <c r="A2635" s="50" t="s">
        <v>3870</v>
      </c>
      <c r="B2635" s="30" t="s">
        <v>137</v>
      </c>
      <c r="C2635" s="30" t="s">
        <v>94</v>
      </c>
      <c r="D2635" s="30" t="s">
        <v>95</v>
      </c>
      <c r="E2635" s="30" t="s">
        <v>1085</v>
      </c>
      <c r="F2635" s="30">
        <v>1</v>
      </c>
      <c r="G2635" s="44">
        <v>19849</v>
      </c>
      <c r="H2635" s="30"/>
      <c r="I2635" s="44"/>
      <c r="J2635" s="44"/>
      <c r="K2635" s="44">
        <f t="shared" si="88"/>
        <v>19849</v>
      </c>
      <c r="L2635" s="51">
        <v>20241024</v>
      </c>
    </row>
    <row r="2636" spans="1:12" x14ac:dyDescent="0.25">
      <c r="A2636" s="50" t="s">
        <v>3871</v>
      </c>
      <c r="B2636" s="30" t="s">
        <v>137</v>
      </c>
      <c r="C2636" s="30" t="s">
        <v>94</v>
      </c>
      <c r="D2636" s="30" t="s">
        <v>95</v>
      </c>
      <c r="E2636" s="30" t="s">
        <v>260</v>
      </c>
      <c r="F2636" s="30">
        <v>1</v>
      </c>
      <c r="G2636" s="44">
        <v>19849</v>
      </c>
      <c r="H2636" s="30"/>
      <c r="I2636" s="44"/>
      <c r="J2636" s="44"/>
      <c r="K2636" s="44">
        <f t="shared" si="88"/>
        <v>19849</v>
      </c>
      <c r="L2636" s="51">
        <v>20241024</v>
      </c>
    </row>
    <row r="2637" spans="1:12" x14ac:dyDescent="0.25">
      <c r="A2637" s="50" t="s">
        <v>3872</v>
      </c>
      <c r="B2637" s="30" t="s">
        <v>137</v>
      </c>
      <c r="C2637" s="30" t="s">
        <v>94</v>
      </c>
      <c r="D2637" s="30" t="s">
        <v>95</v>
      </c>
      <c r="E2637" s="30" t="s">
        <v>2855</v>
      </c>
      <c r="F2637" s="30">
        <v>1</v>
      </c>
      <c r="G2637" s="44">
        <v>19849</v>
      </c>
      <c r="H2637" s="30"/>
      <c r="I2637" s="44"/>
      <c r="J2637" s="44"/>
      <c r="K2637" s="44">
        <f t="shared" si="88"/>
        <v>19849</v>
      </c>
      <c r="L2637" s="51">
        <v>20241024</v>
      </c>
    </row>
    <row r="2638" spans="1:12" x14ac:dyDescent="0.25">
      <c r="A2638" s="50" t="s">
        <v>3873</v>
      </c>
      <c r="B2638" s="30" t="s">
        <v>137</v>
      </c>
      <c r="C2638" s="30" t="s">
        <v>94</v>
      </c>
      <c r="D2638" s="30" t="s">
        <v>95</v>
      </c>
      <c r="E2638" s="30" t="s">
        <v>458</v>
      </c>
      <c r="F2638" s="30">
        <v>1</v>
      </c>
      <c r="G2638" s="44">
        <v>19849</v>
      </c>
      <c r="H2638" s="30"/>
      <c r="I2638" s="44"/>
      <c r="J2638" s="44"/>
      <c r="K2638" s="44">
        <f t="shared" si="88"/>
        <v>19849</v>
      </c>
      <c r="L2638" s="51">
        <v>20241024</v>
      </c>
    </row>
    <row r="2639" spans="1:12" x14ac:dyDescent="0.25">
      <c r="A2639" s="50" t="s">
        <v>3874</v>
      </c>
      <c r="B2639" s="30" t="s">
        <v>137</v>
      </c>
      <c r="C2639" s="30" t="s">
        <v>94</v>
      </c>
      <c r="D2639" s="30" t="s">
        <v>95</v>
      </c>
      <c r="E2639" s="30" t="s">
        <v>2583</v>
      </c>
      <c r="F2639" s="30">
        <v>1</v>
      </c>
      <c r="G2639" s="44">
        <v>19849</v>
      </c>
      <c r="H2639" s="30"/>
      <c r="I2639" s="44"/>
      <c r="J2639" s="44"/>
      <c r="K2639" s="44">
        <f t="shared" si="88"/>
        <v>19849</v>
      </c>
      <c r="L2639" s="51">
        <v>20241024</v>
      </c>
    </row>
    <row r="2640" spans="1:12" x14ac:dyDescent="0.25">
      <c r="A2640" s="50" t="s">
        <v>3836</v>
      </c>
      <c r="B2640" s="30" t="s">
        <v>137</v>
      </c>
      <c r="C2640" s="30" t="s">
        <v>364</v>
      </c>
      <c r="D2640" s="30" t="s">
        <v>24</v>
      </c>
      <c r="E2640" s="30" t="s">
        <v>2702</v>
      </c>
      <c r="F2640" s="30">
        <v>1</v>
      </c>
      <c r="G2640" s="44">
        <v>19849</v>
      </c>
      <c r="H2640" s="30"/>
      <c r="I2640" s="44"/>
      <c r="J2640" s="44"/>
      <c r="K2640" s="44">
        <f t="shared" si="88"/>
        <v>19849</v>
      </c>
      <c r="L2640" s="51">
        <v>20241025</v>
      </c>
    </row>
    <row r="2641" spans="1:12" x14ac:dyDescent="0.25">
      <c r="A2641" s="50" t="s">
        <v>3837</v>
      </c>
      <c r="B2641" s="30" t="s">
        <v>137</v>
      </c>
      <c r="C2641" s="30" t="s">
        <v>364</v>
      </c>
      <c r="D2641" s="30" t="s">
        <v>24</v>
      </c>
      <c r="E2641" s="30" t="s">
        <v>2075</v>
      </c>
      <c r="F2641" s="30">
        <v>1</v>
      </c>
      <c r="G2641" s="44">
        <v>19849</v>
      </c>
      <c r="H2641" s="30"/>
      <c r="I2641" s="44"/>
      <c r="J2641" s="44"/>
      <c r="K2641" s="44">
        <f t="shared" si="88"/>
        <v>19849</v>
      </c>
      <c r="L2641" s="51">
        <v>20241025</v>
      </c>
    </row>
    <row r="2642" spans="1:12" x14ac:dyDescent="0.25">
      <c r="A2642" s="50" t="s">
        <v>3838</v>
      </c>
      <c r="B2642" s="30" t="s">
        <v>137</v>
      </c>
      <c r="C2642" s="30" t="s">
        <v>364</v>
      </c>
      <c r="D2642" s="30" t="s">
        <v>24</v>
      </c>
      <c r="E2642" s="30" t="s">
        <v>1445</v>
      </c>
      <c r="F2642" s="30">
        <v>1</v>
      </c>
      <c r="G2642" s="44">
        <v>19849</v>
      </c>
      <c r="H2642" s="30"/>
      <c r="I2642" s="44"/>
      <c r="J2642" s="44"/>
      <c r="K2642" s="44">
        <f t="shared" si="88"/>
        <v>19849</v>
      </c>
      <c r="L2642" s="51">
        <v>20241025</v>
      </c>
    </row>
    <row r="2643" spans="1:12" x14ac:dyDescent="0.25">
      <c r="A2643" s="50" t="s">
        <v>3839</v>
      </c>
      <c r="B2643" s="30" t="s">
        <v>137</v>
      </c>
      <c r="C2643" s="30" t="s">
        <v>364</v>
      </c>
      <c r="D2643" s="30" t="s">
        <v>24</v>
      </c>
      <c r="E2643" s="30" t="s">
        <v>532</v>
      </c>
      <c r="F2643" s="30">
        <v>1</v>
      </c>
      <c r="G2643" s="44">
        <v>19849</v>
      </c>
      <c r="H2643" s="30"/>
      <c r="I2643" s="44"/>
      <c r="J2643" s="44"/>
      <c r="K2643" s="44">
        <f t="shared" si="88"/>
        <v>19849</v>
      </c>
      <c r="L2643" s="51">
        <v>20241025</v>
      </c>
    </row>
    <row r="2644" spans="1:12" x14ac:dyDescent="0.25">
      <c r="A2644" s="50" t="s">
        <v>3840</v>
      </c>
      <c r="B2644" s="30" t="s">
        <v>137</v>
      </c>
      <c r="C2644" s="30" t="s">
        <v>364</v>
      </c>
      <c r="D2644" s="30" t="s">
        <v>24</v>
      </c>
      <c r="E2644" s="30" t="s">
        <v>1134</v>
      </c>
      <c r="F2644" s="30">
        <v>1</v>
      </c>
      <c r="G2644" s="44">
        <v>19849</v>
      </c>
      <c r="H2644" s="30"/>
      <c r="I2644" s="44"/>
      <c r="J2644" s="44"/>
      <c r="K2644" s="44">
        <f t="shared" si="88"/>
        <v>19849</v>
      </c>
      <c r="L2644" s="51">
        <v>20241025</v>
      </c>
    </row>
    <row r="2645" spans="1:12" x14ac:dyDescent="0.25">
      <c r="A2645" s="50" t="s">
        <v>3841</v>
      </c>
      <c r="B2645" s="30" t="s">
        <v>137</v>
      </c>
      <c r="C2645" s="30" t="s">
        <v>364</v>
      </c>
      <c r="D2645" s="30" t="s">
        <v>24</v>
      </c>
      <c r="E2645" s="30" t="s">
        <v>1136</v>
      </c>
      <c r="F2645" s="30">
        <v>1</v>
      </c>
      <c r="G2645" s="44">
        <v>19849</v>
      </c>
      <c r="H2645" s="30"/>
      <c r="I2645" s="44"/>
      <c r="J2645" s="44"/>
      <c r="K2645" s="44">
        <f t="shared" si="88"/>
        <v>19849</v>
      </c>
      <c r="L2645" s="51">
        <v>20241025</v>
      </c>
    </row>
    <row r="2646" spans="1:12" x14ac:dyDescent="0.25">
      <c r="A2646" s="50" t="s">
        <v>3842</v>
      </c>
      <c r="B2646" s="30" t="s">
        <v>137</v>
      </c>
      <c r="C2646" s="30" t="s">
        <v>364</v>
      </c>
      <c r="D2646" s="30" t="s">
        <v>24</v>
      </c>
      <c r="E2646" s="30" t="s">
        <v>3554</v>
      </c>
      <c r="F2646" s="30">
        <v>1</v>
      </c>
      <c r="G2646" s="44">
        <v>19849</v>
      </c>
      <c r="H2646" s="30"/>
      <c r="I2646" s="44"/>
      <c r="J2646" s="44"/>
      <c r="K2646" s="44">
        <f t="shared" si="88"/>
        <v>19849</v>
      </c>
      <c r="L2646" s="51">
        <v>20241025</v>
      </c>
    </row>
    <row r="2647" spans="1:12" x14ac:dyDescent="0.25">
      <c r="A2647" s="50" t="s">
        <v>3843</v>
      </c>
      <c r="B2647" s="30" t="s">
        <v>137</v>
      </c>
      <c r="C2647" s="30" t="s">
        <v>364</v>
      </c>
      <c r="D2647" s="30" t="s">
        <v>24</v>
      </c>
      <c r="E2647" s="30" t="s">
        <v>365</v>
      </c>
      <c r="F2647" s="30">
        <v>1</v>
      </c>
      <c r="G2647" s="44">
        <v>19849</v>
      </c>
      <c r="H2647" s="30"/>
      <c r="I2647" s="44"/>
      <c r="J2647" s="44"/>
      <c r="K2647" s="44">
        <f t="shared" si="88"/>
        <v>19849</v>
      </c>
      <c r="L2647" s="51">
        <v>20241025</v>
      </c>
    </row>
    <row r="2648" spans="1:12" x14ac:dyDescent="0.25">
      <c r="A2648" s="50" t="s">
        <v>3844</v>
      </c>
      <c r="B2648" s="30" t="s">
        <v>137</v>
      </c>
      <c r="C2648" s="30" t="s">
        <v>76</v>
      </c>
      <c r="D2648" s="30" t="s">
        <v>2913</v>
      </c>
      <c r="E2648" s="30" t="s">
        <v>77</v>
      </c>
      <c r="F2648" s="30">
        <v>1</v>
      </c>
      <c r="G2648" s="44">
        <v>19849</v>
      </c>
      <c r="H2648" s="30"/>
      <c r="I2648" s="44"/>
      <c r="J2648" s="44"/>
      <c r="K2648" s="44">
        <f t="shared" si="88"/>
        <v>19849</v>
      </c>
      <c r="L2648" s="51">
        <v>20241025</v>
      </c>
    </row>
    <row r="2649" spans="1:12" x14ac:dyDescent="0.25">
      <c r="A2649" s="50" t="s">
        <v>3845</v>
      </c>
      <c r="B2649" s="30" t="s">
        <v>137</v>
      </c>
      <c r="C2649" s="30" t="s">
        <v>76</v>
      </c>
      <c r="D2649" s="30" t="s">
        <v>2913</v>
      </c>
      <c r="E2649" s="30" t="s">
        <v>1156</v>
      </c>
      <c r="F2649" s="30">
        <v>1</v>
      </c>
      <c r="G2649" s="44">
        <v>19849</v>
      </c>
      <c r="H2649" s="30"/>
      <c r="I2649" s="44"/>
      <c r="J2649" s="44"/>
      <c r="K2649" s="44">
        <f t="shared" si="88"/>
        <v>19849</v>
      </c>
      <c r="L2649" s="51">
        <v>20241025</v>
      </c>
    </row>
    <row r="2650" spans="1:12" x14ac:dyDescent="0.25">
      <c r="A2650" s="50" t="s">
        <v>3835</v>
      </c>
      <c r="B2650" s="30" t="s">
        <v>137</v>
      </c>
      <c r="C2650" s="30" t="s">
        <v>505</v>
      </c>
      <c r="D2650" s="30" t="s">
        <v>95</v>
      </c>
      <c r="E2650" s="30" t="s">
        <v>3397</v>
      </c>
      <c r="F2650" s="30">
        <v>1</v>
      </c>
      <c r="G2650" s="44">
        <v>19849</v>
      </c>
      <c r="H2650" s="30"/>
      <c r="I2650" s="44"/>
      <c r="J2650" s="44"/>
      <c r="K2650" s="44">
        <f t="shared" ref="K2650:K2681" si="89">J2650+G2650</f>
        <v>19849</v>
      </c>
      <c r="L2650" s="51">
        <v>20241026</v>
      </c>
    </row>
    <row r="2651" spans="1:12" x14ac:dyDescent="0.25">
      <c r="A2651" s="50" t="s">
        <v>3855</v>
      </c>
      <c r="B2651" s="30" t="s">
        <v>137</v>
      </c>
      <c r="C2651" s="30" t="s">
        <v>2861</v>
      </c>
      <c r="D2651" s="30" t="s">
        <v>2892</v>
      </c>
      <c r="E2651" s="30" t="s">
        <v>2893</v>
      </c>
      <c r="F2651" s="30">
        <v>1</v>
      </c>
      <c r="G2651" s="44">
        <v>19849</v>
      </c>
      <c r="H2651" s="30"/>
      <c r="I2651" s="44"/>
      <c r="J2651" s="44"/>
      <c r="K2651" s="44">
        <f t="shared" si="89"/>
        <v>19849</v>
      </c>
      <c r="L2651" s="51">
        <v>20241026</v>
      </c>
    </row>
    <row r="2652" spans="1:12" x14ac:dyDescent="0.25">
      <c r="A2652" s="50" t="s">
        <v>3857</v>
      </c>
      <c r="B2652" s="30" t="s">
        <v>137</v>
      </c>
      <c r="C2652" s="30" t="s">
        <v>2111</v>
      </c>
      <c r="D2652" s="30" t="s">
        <v>2112</v>
      </c>
      <c r="E2652" s="30" t="s">
        <v>2113</v>
      </c>
      <c r="F2652" s="30">
        <v>1</v>
      </c>
      <c r="G2652" s="44">
        <v>19849</v>
      </c>
      <c r="H2652" s="30"/>
      <c r="I2652" s="44"/>
      <c r="J2652" s="44"/>
      <c r="K2652" s="44">
        <f t="shared" si="89"/>
        <v>19849</v>
      </c>
      <c r="L2652" s="51">
        <v>20241026</v>
      </c>
    </row>
    <row r="2653" spans="1:12" x14ac:dyDescent="0.25">
      <c r="A2653" s="50" t="s">
        <v>3858</v>
      </c>
      <c r="B2653" s="30" t="s">
        <v>137</v>
      </c>
      <c r="C2653" s="30" t="s">
        <v>2111</v>
      </c>
      <c r="D2653" s="30" t="s">
        <v>2112</v>
      </c>
      <c r="E2653" s="30" t="s">
        <v>2115</v>
      </c>
      <c r="F2653" s="30">
        <v>1</v>
      </c>
      <c r="G2653" s="44">
        <v>19849</v>
      </c>
      <c r="H2653" s="30"/>
      <c r="I2653" s="44"/>
      <c r="J2653" s="44"/>
      <c r="K2653" s="44">
        <f t="shared" si="89"/>
        <v>19849</v>
      </c>
      <c r="L2653" s="51">
        <v>20241026</v>
      </c>
    </row>
    <row r="2654" spans="1:12" x14ac:dyDescent="0.25">
      <c r="A2654" s="50" t="s">
        <v>3859</v>
      </c>
      <c r="B2654" s="30" t="s">
        <v>137</v>
      </c>
      <c r="C2654" s="30" t="s">
        <v>505</v>
      </c>
      <c r="D2654" s="30" t="s">
        <v>95</v>
      </c>
      <c r="E2654" s="30" t="s">
        <v>3860</v>
      </c>
      <c r="F2654" s="30">
        <v>1</v>
      </c>
      <c r="G2654" s="44">
        <v>19849</v>
      </c>
      <c r="H2654" s="30"/>
      <c r="I2654" s="44"/>
      <c r="J2654" s="44"/>
      <c r="K2654" s="44">
        <f t="shared" si="89"/>
        <v>19849</v>
      </c>
      <c r="L2654" s="51">
        <v>20241026</v>
      </c>
    </row>
    <row r="2655" spans="1:12" x14ac:dyDescent="0.25">
      <c r="A2655" s="50" t="s">
        <v>3861</v>
      </c>
      <c r="B2655" s="30" t="s">
        <v>137</v>
      </c>
      <c r="C2655" s="30" t="s">
        <v>505</v>
      </c>
      <c r="D2655" s="30" t="s">
        <v>95</v>
      </c>
      <c r="E2655" s="30" t="s">
        <v>3862</v>
      </c>
      <c r="F2655" s="30">
        <v>1</v>
      </c>
      <c r="G2655" s="44">
        <v>19849</v>
      </c>
      <c r="H2655" s="30"/>
      <c r="I2655" s="44"/>
      <c r="J2655" s="44"/>
      <c r="K2655" s="44">
        <f t="shared" si="89"/>
        <v>19849</v>
      </c>
      <c r="L2655" s="51">
        <v>20241026</v>
      </c>
    </row>
    <row r="2656" spans="1:12" x14ac:dyDescent="0.25">
      <c r="A2656" s="50" t="s">
        <v>3863</v>
      </c>
      <c r="B2656" s="30" t="s">
        <v>137</v>
      </c>
      <c r="C2656" s="30" t="s">
        <v>28</v>
      </c>
      <c r="D2656" s="30" t="s">
        <v>3490</v>
      </c>
      <c r="E2656" s="30" t="s">
        <v>3491</v>
      </c>
      <c r="F2656" s="30">
        <v>1</v>
      </c>
      <c r="G2656" s="44">
        <v>19849</v>
      </c>
      <c r="H2656" s="30"/>
      <c r="I2656" s="44"/>
      <c r="J2656" s="44"/>
      <c r="K2656" s="44">
        <f t="shared" si="89"/>
        <v>19849</v>
      </c>
      <c r="L2656" s="51">
        <v>20241026</v>
      </c>
    </row>
    <row r="2657" spans="1:12" x14ac:dyDescent="0.25">
      <c r="A2657" s="50" t="s">
        <v>3864</v>
      </c>
      <c r="B2657" s="30" t="s">
        <v>137</v>
      </c>
      <c r="C2657" s="30" t="s">
        <v>251</v>
      </c>
      <c r="D2657" s="30" t="s">
        <v>2780</v>
      </c>
      <c r="E2657" s="30" t="s">
        <v>3195</v>
      </c>
      <c r="F2657" s="30">
        <v>1</v>
      </c>
      <c r="G2657" s="44">
        <v>19849</v>
      </c>
      <c r="H2657" s="30"/>
      <c r="I2657" s="44"/>
      <c r="J2657" s="44"/>
      <c r="K2657" s="44">
        <f t="shared" si="89"/>
        <v>19849</v>
      </c>
      <c r="L2657" s="51">
        <v>20241026</v>
      </c>
    </row>
    <row r="2658" spans="1:12" x14ac:dyDescent="0.25">
      <c r="A2658" s="50" t="s">
        <v>3865</v>
      </c>
      <c r="B2658" s="30" t="s">
        <v>137</v>
      </c>
      <c r="C2658" s="30" t="s">
        <v>1393</v>
      </c>
      <c r="D2658" s="30" t="s">
        <v>1394</v>
      </c>
      <c r="E2658" s="30" t="s">
        <v>2163</v>
      </c>
      <c r="F2658" s="30">
        <v>1</v>
      </c>
      <c r="G2658" s="44">
        <v>19849</v>
      </c>
      <c r="H2658" s="30"/>
      <c r="I2658" s="44"/>
      <c r="J2658" s="44"/>
      <c r="K2658" s="44">
        <f t="shared" si="89"/>
        <v>19849</v>
      </c>
      <c r="L2658" s="51">
        <v>20241026</v>
      </c>
    </row>
    <row r="2659" spans="1:12" x14ac:dyDescent="0.25">
      <c r="A2659" s="50" t="s">
        <v>3829</v>
      </c>
      <c r="B2659" s="30" t="s">
        <v>137</v>
      </c>
      <c r="C2659" s="30" t="s">
        <v>57</v>
      </c>
      <c r="D2659" s="30" t="s">
        <v>58</v>
      </c>
      <c r="E2659" s="30" t="s">
        <v>60</v>
      </c>
      <c r="F2659" s="30">
        <v>1</v>
      </c>
      <c r="G2659" s="44">
        <v>19849</v>
      </c>
      <c r="H2659" s="30"/>
      <c r="I2659" s="44"/>
      <c r="J2659" s="44"/>
      <c r="K2659" s="44">
        <f t="shared" si="89"/>
        <v>19849</v>
      </c>
      <c r="L2659" s="51">
        <v>20241028</v>
      </c>
    </row>
    <row r="2660" spans="1:12" x14ac:dyDescent="0.25">
      <c r="A2660" s="50" t="s">
        <v>3831</v>
      </c>
      <c r="B2660" s="30" t="s">
        <v>137</v>
      </c>
      <c r="C2660" s="30" t="s">
        <v>57</v>
      </c>
      <c r="D2660" s="30" t="s">
        <v>58</v>
      </c>
      <c r="E2660" s="30" t="s">
        <v>399</v>
      </c>
      <c r="F2660" s="30">
        <v>1</v>
      </c>
      <c r="G2660" s="44">
        <v>19849</v>
      </c>
      <c r="H2660" s="30"/>
      <c r="I2660" s="44"/>
      <c r="J2660" s="44"/>
      <c r="K2660" s="44">
        <f t="shared" si="89"/>
        <v>19849</v>
      </c>
      <c r="L2660" s="51">
        <v>20241028</v>
      </c>
    </row>
    <row r="2661" spans="1:12" x14ac:dyDescent="0.25">
      <c r="A2661" s="50" t="s">
        <v>3832</v>
      </c>
      <c r="B2661" s="30" t="s">
        <v>137</v>
      </c>
      <c r="C2661" s="30" t="s">
        <v>57</v>
      </c>
      <c r="D2661" s="30" t="s">
        <v>58</v>
      </c>
      <c r="E2661" s="30" t="s">
        <v>329</v>
      </c>
      <c r="F2661" s="30">
        <v>1</v>
      </c>
      <c r="G2661" s="44">
        <v>19849</v>
      </c>
      <c r="H2661" s="30"/>
      <c r="I2661" s="44"/>
      <c r="J2661" s="44"/>
      <c r="K2661" s="44">
        <f t="shared" si="89"/>
        <v>19849</v>
      </c>
      <c r="L2661" s="51">
        <v>20241028</v>
      </c>
    </row>
    <row r="2662" spans="1:12" x14ac:dyDescent="0.25">
      <c r="A2662" s="50" t="s">
        <v>3833</v>
      </c>
      <c r="B2662" s="30" t="s">
        <v>137</v>
      </c>
      <c r="C2662" s="30" t="s">
        <v>57</v>
      </c>
      <c r="D2662" s="30" t="s">
        <v>58</v>
      </c>
      <c r="E2662" s="30" t="s">
        <v>59</v>
      </c>
      <c r="F2662" s="30">
        <v>1</v>
      </c>
      <c r="G2662" s="44">
        <v>19849</v>
      </c>
      <c r="H2662" s="30"/>
      <c r="I2662" s="44"/>
      <c r="J2662" s="44"/>
      <c r="K2662" s="44">
        <f t="shared" si="89"/>
        <v>19849</v>
      </c>
      <c r="L2662" s="51">
        <v>20241028</v>
      </c>
    </row>
    <row r="2663" spans="1:12" x14ac:dyDescent="0.25">
      <c r="A2663" s="52" t="s">
        <v>3834</v>
      </c>
      <c r="B2663" s="32" t="s">
        <v>137</v>
      </c>
      <c r="C2663" s="32" t="s">
        <v>57</v>
      </c>
      <c r="D2663" s="32" t="s">
        <v>58</v>
      </c>
      <c r="E2663" s="32" t="s">
        <v>62</v>
      </c>
      <c r="F2663" s="32">
        <v>1</v>
      </c>
      <c r="G2663" s="45">
        <v>19849</v>
      </c>
      <c r="H2663" s="32">
        <v>34</v>
      </c>
      <c r="I2663" s="45">
        <v>495.3</v>
      </c>
      <c r="J2663" s="45">
        <f>I2663*H2663</f>
        <v>16840.2</v>
      </c>
      <c r="K2663" s="45">
        <f t="shared" si="89"/>
        <v>36689.199999999997</v>
      </c>
      <c r="L2663" s="53">
        <v>20241028</v>
      </c>
    </row>
    <row r="2664" spans="1:12" x14ac:dyDescent="0.25">
      <c r="A2664" s="50" t="s">
        <v>3820</v>
      </c>
      <c r="B2664" s="30" t="s">
        <v>137</v>
      </c>
      <c r="C2664" s="30" t="s">
        <v>936</v>
      </c>
      <c r="D2664" s="30" t="s">
        <v>937</v>
      </c>
      <c r="E2664" s="30" t="s">
        <v>3821</v>
      </c>
      <c r="F2664" s="30">
        <v>1</v>
      </c>
      <c r="G2664" s="44">
        <v>19849</v>
      </c>
      <c r="H2664" s="30"/>
      <c r="I2664" s="44"/>
      <c r="J2664" s="44"/>
      <c r="K2664" s="44">
        <f t="shared" si="89"/>
        <v>19849</v>
      </c>
      <c r="L2664" s="51">
        <v>20241029</v>
      </c>
    </row>
    <row r="2665" spans="1:12" x14ac:dyDescent="0.25">
      <c r="A2665" s="50" t="s">
        <v>3822</v>
      </c>
      <c r="B2665" s="30" t="s">
        <v>137</v>
      </c>
      <c r="C2665" s="30" t="s">
        <v>474</v>
      </c>
      <c r="D2665" s="30" t="s">
        <v>475</v>
      </c>
      <c r="E2665" s="30" t="s">
        <v>940</v>
      </c>
      <c r="F2665" s="30">
        <v>1</v>
      </c>
      <c r="G2665" s="44">
        <v>19849</v>
      </c>
      <c r="H2665" s="30"/>
      <c r="I2665" s="44"/>
      <c r="J2665" s="44"/>
      <c r="K2665" s="44">
        <f t="shared" si="89"/>
        <v>19849</v>
      </c>
      <c r="L2665" s="51">
        <v>20241029</v>
      </c>
    </row>
    <row r="2666" spans="1:12" x14ac:dyDescent="0.25">
      <c r="A2666" s="50" t="s">
        <v>3823</v>
      </c>
      <c r="B2666" s="30" t="s">
        <v>137</v>
      </c>
      <c r="C2666" s="30" t="s">
        <v>251</v>
      </c>
      <c r="D2666" s="30" t="s">
        <v>933</v>
      </c>
      <c r="E2666" s="30" t="s">
        <v>934</v>
      </c>
      <c r="F2666" s="30">
        <v>1</v>
      </c>
      <c r="G2666" s="44">
        <v>19849</v>
      </c>
      <c r="H2666" s="30"/>
      <c r="I2666" s="44"/>
      <c r="J2666" s="44"/>
      <c r="K2666" s="44">
        <f t="shared" si="89"/>
        <v>19849</v>
      </c>
      <c r="L2666" s="51">
        <v>20241029</v>
      </c>
    </row>
    <row r="2667" spans="1:12" x14ac:dyDescent="0.25">
      <c r="A2667" s="50" t="s">
        <v>3824</v>
      </c>
      <c r="B2667" s="30" t="s">
        <v>137</v>
      </c>
      <c r="C2667" s="30" t="s">
        <v>474</v>
      </c>
      <c r="D2667" s="30" t="s">
        <v>475</v>
      </c>
      <c r="E2667" s="30" t="s">
        <v>476</v>
      </c>
      <c r="F2667" s="30">
        <v>1</v>
      </c>
      <c r="G2667" s="44">
        <v>19849</v>
      </c>
      <c r="H2667" s="30"/>
      <c r="I2667" s="44"/>
      <c r="J2667" s="44"/>
      <c r="K2667" s="44">
        <f t="shared" si="89"/>
        <v>19849</v>
      </c>
      <c r="L2667" s="51">
        <v>20241029</v>
      </c>
    </row>
    <row r="2668" spans="1:12" x14ac:dyDescent="0.25">
      <c r="A2668" s="50" t="s">
        <v>3825</v>
      </c>
      <c r="B2668" s="30" t="s">
        <v>137</v>
      </c>
      <c r="C2668" s="30" t="s">
        <v>474</v>
      </c>
      <c r="D2668" s="30" t="s">
        <v>475</v>
      </c>
      <c r="E2668" s="30" t="s">
        <v>3826</v>
      </c>
      <c r="F2668" s="30">
        <v>1</v>
      </c>
      <c r="G2668" s="44">
        <v>19849</v>
      </c>
      <c r="H2668" s="30"/>
      <c r="I2668" s="44"/>
      <c r="J2668" s="44"/>
      <c r="K2668" s="44">
        <f t="shared" si="89"/>
        <v>19849</v>
      </c>
      <c r="L2668" s="51">
        <v>20241029</v>
      </c>
    </row>
    <row r="2669" spans="1:12" x14ac:dyDescent="0.25">
      <c r="A2669" s="50" t="s">
        <v>3827</v>
      </c>
      <c r="B2669" s="30" t="s">
        <v>137</v>
      </c>
      <c r="C2669" s="30" t="s">
        <v>57</v>
      </c>
      <c r="D2669" s="30" t="s">
        <v>58</v>
      </c>
      <c r="E2669" s="30" t="s">
        <v>3828</v>
      </c>
      <c r="F2669" s="30">
        <v>1</v>
      </c>
      <c r="G2669" s="44">
        <v>19849</v>
      </c>
      <c r="H2669" s="30"/>
      <c r="I2669" s="44"/>
      <c r="J2669" s="44"/>
      <c r="K2669" s="44">
        <f t="shared" si="89"/>
        <v>19849</v>
      </c>
      <c r="L2669" s="51">
        <v>20241029</v>
      </c>
    </row>
    <row r="2670" spans="1:12" x14ac:dyDescent="0.25">
      <c r="A2670" s="50" t="s">
        <v>3830</v>
      </c>
      <c r="B2670" s="30" t="s">
        <v>137</v>
      </c>
      <c r="C2670" s="30" t="s">
        <v>57</v>
      </c>
      <c r="D2670" s="30" t="s">
        <v>58</v>
      </c>
      <c r="E2670" s="30" t="s">
        <v>331</v>
      </c>
      <c r="F2670" s="30">
        <v>1</v>
      </c>
      <c r="G2670" s="44">
        <v>19849</v>
      </c>
      <c r="H2670" s="30"/>
      <c r="I2670" s="44"/>
      <c r="J2670" s="44"/>
      <c r="K2670" s="44">
        <f t="shared" si="89"/>
        <v>19849</v>
      </c>
      <c r="L2670" s="51">
        <v>20241029</v>
      </c>
    </row>
    <row r="2671" spans="1:12" x14ac:dyDescent="0.25">
      <c r="A2671" s="50" t="s">
        <v>3815</v>
      </c>
      <c r="B2671" s="30" t="s">
        <v>137</v>
      </c>
      <c r="C2671" s="30" t="s">
        <v>251</v>
      </c>
      <c r="D2671" s="30" t="s">
        <v>252</v>
      </c>
      <c r="E2671" s="30" t="s">
        <v>2842</v>
      </c>
      <c r="F2671" s="30">
        <v>1</v>
      </c>
      <c r="G2671" s="44">
        <v>19849</v>
      </c>
      <c r="H2671" s="30"/>
      <c r="I2671" s="44"/>
      <c r="J2671" s="44"/>
      <c r="K2671" s="44">
        <f t="shared" si="89"/>
        <v>19849</v>
      </c>
      <c r="L2671" s="51">
        <v>20241030</v>
      </c>
    </row>
    <row r="2672" spans="1:12" x14ac:dyDescent="0.25">
      <c r="A2672" s="50" t="s">
        <v>3807</v>
      </c>
      <c r="B2672" s="30" t="s">
        <v>137</v>
      </c>
      <c r="C2672" s="30" t="s">
        <v>134</v>
      </c>
      <c r="D2672" s="30" t="s">
        <v>135</v>
      </c>
      <c r="E2672" s="30" t="s">
        <v>3513</v>
      </c>
      <c r="F2672" s="30">
        <v>1</v>
      </c>
      <c r="G2672" s="44">
        <v>19849</v>
      </c>
      <c r="H2672" s="30"/>
      <c r="I2672" s="44"/>
      <c r="J2672" s="44"/>
      <c r="K2672" s="44">
        <f t="shared" si="89"/>
        <v>19849</v>
      </c>
      <c r="L2672" s="51">
        <v>20241031</v>
      </c>
    </row>
    <row r="2673" spans="1:12" x14ac:dyDescent="0.25">
      <c r="A2673" s="50" t="s">
        <v>3808</v>
      </c>
      <c r="B2673" s="30" t="s">
        <v>137</v>
      </c>
      <c r="C2673" s="30" t="s">
        <v>134</v>
      </c>
      <c r="D2673" s="30" t="s">
        <v>135</v>
      </c>
      <c r="E2673" s="30" t="s">
        <v>183</v>
      </c>
      <c r="F2673" s="30">
        <v>1</v>
      </c>
      <c r="G2673" s="44">
        <v>19849</v>
      </c>
      <c r="H2673" s="30"/>
      <c r="I2673" s="44"/>
      <c r="J2673" s="44"/>
      <c r="K2673" s="44">
        <f t="shared" si="89"/>
        <v>19849</v>
      </c>
      <c r="L2673" s="51">
        <v>20241031</v>
      </c>
    </row>
    <row r="2674" spans="1:12" x14ac:dyDescent="0.25">
      <c r="A2674" s="50" t="s">
        <v>3809</v>
      </c>
      <c r="B2674" s="30" t="s">
        <v>137</v>
      </c>
      <c r="C2674" s="30" t="s">
        <v>134</v>
      </c>
      <c r="D2674" s="30" t="s">
        <v>135</v>
      </c>
      <c r="E2674" s="30" t="s">
        <v>264</v>
      </c>
      <c r="F2674" s="30">
        <v>1</v>
      </c>
      <c r="G2674" s="44">
        <v>19849</v>
      </c>
      <c r="H2674" s="30"/>
      <c r="I2674" s="44"/>
      <c r="J2674" s="44"/>
      <c r="K2674" s="44">
        <f t="shared" si="89"/>
        <v>19849</v>
      </c>
      <c r="L2674" s="51">
        <v>20241031</v>
      </c>
    </row>
    <row r="2675" spans="1:12" x14ac:dyDescent="0.25">
      <c r="A2675" s="50" t="s">
        <v>3810</v>
      </c>
      <c r="B2675" s="30" t="s">
        <v>137</v>
      </c>
      <c r="C2675" s="30" t="s">
        <v>134</v>
      </c>
      <c r="D2675" s="30" t="s">
        <v>135</v>
      </c>
      <c r="E2675" s="30" t="s">
        <v>1178</v>
      </c>
      <c r="F2675" s="30">
        <v>1</v>
      </c>
      <c r="G2675" s="44">
        <v>19849</v>
      </c>
      <c r="H2675" s="30"/>
      <c r="I2675" s="44"/>
      <c r="J2675" s="44"/>
      <c r="K2675" s="44">
        <f t="shared" si="89"/>
        <v>19849</v>
      </c>
      <c r="L2675" s="51">
        <v>20241031</v>
      </c>
    </row>
    <row r="2676" spans="1:12" x14ac:dyDescent="0.25">
      <c r="A2676" s="50" t="s">
        <v>3811</v>
      </c>
      <c r="B2676" s="30" t="s">
        <v>137</v>
      </c>
      <c r="C2676" s="30" t="s">
        <v>134</v>
      </c>
      <c r="D2676" s="30" t="s">
        <v>135</v>
      </c>
      <c r="E2676" s="30" t="s">
        <v>136</v>
      </c>
      <c r="F2676" s="30">
        <v>1</v>
      </c>
      <c r="G2676" s="44">
        <v>19849</v>
      </c>
      <c r="H2676" s="30"/>
      <c r="I2676" s="44"/>
      <c r="J2676" s="44"/>
      <c r="K2676" s="44">
        <f t="shared" si="89"/>
        <v>19849</v>
      </c>
      <c r="L2676" s="51">
        <v>20241031</v>
      </c>
    </row>
    <row r="2677" spans="1:12" x14ac:dyDescent="0.25">
      <c r="A2677" s="52" t="s">
        <v>3812</v>
      </c>
      <c r="B2677" s="32" t="s">
        <v>137</v>
      </c>
      <c r="C2677" s="32" t="s">
        <v>29</v>
      </c>
      <c r="D2677" s="32" t="s">
        <v>148</v>
      </c>
      <c r="E2677" s="32" t="s">
        <v>1248</v>
      </c>
      <c r="F2677" s="32">
        <v>1</v>
      </c>
      <c r="G2677" s="45">
        <v>19849</v>
      </c>
      <c r="H2677" s="32">
        <v>56</v>
      </c>
      <c r="I2677" s="45">
        <v>495.3</v>
      </c>
      <c r="J2677" s="45">
        <f>I2677*H2677</f>
        <v>27736.799999999999</v>
      </c>
      <c r="K2677" s="45">
        <f t="shared" si="89"/>
        <v>47585.8</v>
      </c>
      <c r="L2677" s="53">
        <v>20241031</v>
      </c>
    </row>
    <row r="2678" spans="1:12" x14ac:dyDescent="0.25">
      <c r="A2678" s="50" t="s">
        <v>3816</v>
      </c>
      <c r="B2678" s="30" t="s">
        <v>137</v>
      </c>
      <c r="C2678" s="30" t="s">
        <v>29</v>
      </c>
      <c r="D2678" s="30" t="s">
        <v>24</v>
      </c>
      <c r="E2678" s="30" t="s">
        <v>2051</v>
      </c>
      <c r="F2678" s="30">
        <v>1</v>
      </c>
      <c r="G2678" s="44">
        <v>19849</v>
      </c>
      <c r="H2678" s="30"/>
      <c r="I2678" s="44"/>
      <c r="J2678" s="44"/>
      <c r="K2678" s="44">
        <f t="shared" si="89"/>
        <v>19849</v>
      </c>
      <c r="L2678" s="51">
        <v>20241031</v>
      </c>
    </row>
    <row r="2679" spans="1:12" x14ac:dyDescent="0.25">
      <c r="A2679" s="50" t="s">
        <v>3817</v>
      </c>
      <c r="B2679" s="30" t="s">
        <v>137</v>
      </c>
      <c r="C2679" s="30" t="s">
        <v>29</v>
      </c>
      <c r="D2679" s="30" t="s">
        <v>24</v>
      </c>
      <c r="E2679" s="30" t="s">
        <v>208</v>
      </c>
      <c r="F2679" s="30">
        <v>1</v>
      </c>
      <c r="G2679" s="44">
        <v>19849</v>
      </c>
      <c r="H2679" s="30"/>
      <c r="I2679" s="44"/>
      <c r="J2679" s="44"/>
      <c r="K2679" s="44">
        <f t="shared" si="89"/>
        <v>19849</v>
      </c>
      <c r="L2679" s="51">
        <v>20241031</v>
      </c>
    </row>
    <row r="2680" spans="1:12" x14ac:dyDescent="0.25">
      <c r="A2680" s="50" t="s">
        <v>3818</v>
      </c>
      <c r="B2680" s="30" t="s">
        <v>137</v>
      </c>
      <c r="C2680" s="30" t="s">
        <v>29</v>
      </c>
      <c r="D2680" s="30" t="s">
        <v>24</v>
      </c>
      <c r="E2680" s="30" t="s">
        <v>632</v>
      </c>
      <c r="F2680" s="30">
        <v>1</v>
      </c>
      <c r="G2680" s="44">
        <v>19849</v>
      </c>
      <c r="H2680" s="30"/>
      <c r="I2680" s="44"/>
      <c r="J2680" s="44"/>
      <c r="K2680" s="44">
        <f t="shared" si="89"/>
        <v>19849</v>
      </c>
      <c r="L2680" s="51">
        <v>20241031</v>
      </c>
    </row>
    <row r="2681" spans="1:12" ht="15.75" thickBot="1" x14ac:dyDescent="0.3">
      <c r="A2681" s="54" t="s">
        <v>3819</v>
      </c>
      <c r="B2681" s="36" t="s">
        <v>137</v>
      </c>
      <c r="C2681" s="36" t="s">
        <v>29</v>
      </c>
      <c r="D2681" s="36" t="s">
        <v>24</v>
      </c>
      <c r="E2681" s="36" t="s">
        <v>1497</v>
      </c>
      <c r="F2681" s="36">
        <v>1</v>
      </c>
      <c r="G2681" s="65">
        <v>19849</v>
      </c>
      <c r="H2681" s="36"/>
      <c r="I2681" s="65"/>
      <c r="J2681" s="65"/>
      <c r="K2681" s="65">
        <f t="shared" si="89"/>
        <v>19849</v>
      </c>
      <c r="L2681" s="55">
        <v>20241031</v>
      </c>
    </row>
    <row r="2685" spans="1:12" ht="15.75" thickBot="1" x14ac:dyDescent="0.3">
      <c r="A2685" s="69" t="s">
        <v>0</v>
      </c>
      <c r="B2685" s="70" t="s">
        <v>1</v>
      </c>
      <c r="C2685" s="70" t="s">
        <v>2</v>
      </c>
      <c r="D2685" s="70" t="s">
        <v>3</v>
      </c>
      <c r="E2685" s="70" t="s">
        <v>4</v>
      </c>
      <c r="F2685" s="70"/>
      <c r="G2685" s="71" t="s">
        <v>6</v>
      </c>
      <c r="H2685" s="70" t="s">
        <v>7</v>
      </c>
      <c r="I2685" s="71" t="s">
        <v>8</v>
      </c>
      <c r="J2685" s="71" t="s">
        <v>9</v>
      </c>
      <c r="K2685" s="71" t="s">
        <v>10</v>
      </c>
      <c r="L2685" s="72" t="s">
        <v>5</v>
      </c>
    </row>
    <row r="2686" spans="1:12" x14ac:dyDescent="0.25">
      <c r="A2686" s="48" t="s">
        <v>4040</v>
      </c>
      <c r="B2686" s="34" t="s">
        <v>1209</v>
      </c>
      <c r="C2686" s="34" t="s">
        <v>3877</v>
      </c>
      <c r="D2686" s="34" t="s">
        <v>1634</v>
      </c>
      <c r="E2686" s="34" t="s">
        <v>4041</v>
      </c>
      <c r="F2686" s="34">
        <v>1</v>
      </c>
      <c r="G2686" s="64">
        <v>39692</v>
      </c>
      <c r="H2686" s="34"/>
      <c r="I2686" s="64"/>
      <c r="J2686" s="64"/>
      <c r="K2686" s="64">
        <f t="shared" ref="K2686:K2711" si="90">J2686+G2686</f>
        <v>39692</v>
      </c>
      <c r="L2686" s="49">
        <v>20241021</v>
      </c>
    </row>
    <row r="2687" spans="1:12" x14ac:dyDescent="0.25">
      <c r="A2687" s="52" t="s">
        <v>4035</v>
      </c>
      <c r="B2687" s="32" t="s">
        <v>11</v>
      </c>
      <c r="C2687" s="32" t="s">
        <v>26</v>
      </c>
      <c r="D2687" s="32" t="s">
        <v>141</v>
      </c>
      <c r="E2687" s="32" t="s">
        <v>603</v>
      </c>
      <c r="F2687" s="32">
        <v>1</v>
      </c>
      <c r="G2687" s="45">
        <v>39692</v>
      </c>
      <c r="H2687" s="32">
        <v>138</v>
      </c>
      <c r="I2687" s="45">
        <v>495.3</v>
      </c>
      <c r="J2687" s="45">
        <f>I2687*H2687</f>
        <v>68351.400000000009</v>
      </c>
      <c r="K2687" s="45">
        <f t="shared" si="90"/>
        <v>108043.40000000001</v>
      </c>
      <c r="L2687" s="53">
        <v>20241101</v>
      </c>
    </row>
    <row r="2688" spans="1:12" x14ac:dyDescent="0.25">
      <c r="A2688" s="50" t="s">
        <v>4025</v>
      </c>
      <c r="B2688" s="30" t="s">
        <v>11</v>
      </c>
      <c r="C2688" s="30" t="s">
        <v>94</v>
      </c>
      <c r="D2688" s="30" t="s">
        <v>95</v>
      </c>
      <c r="E2688" s="30" t="s">
        <v>326</v>
      </c>
      <c r="F2688" s="30">
        <v>1</v>
      </c>
      <c r="G2688" s="44">
        <v>39692</v>
      </c>
      <c r="H2688" s="30"/>
      <c r="I2688" s="44"/>
      <c r="J2688" s="44"/>
      <c r="K2688" s="44">
        <f t="shared" si="90"/>
        <v>39692</v>
      </c>
      <c r="L2688" s="51">
        <v>20241105</v>
      </c>
    </row>
    <row r="2689" spans="1:12" x14ac:dyDescent="0.25">
      <c r="A2689" s="50" t="s">
        <v>4036</v>
      </c>
      <c r="B2689" s="30" t="s">
        <v>11</v>
      </c>
      <c r="C2689" s="30" t="s">
        <v>251</v>
      </c>
      <c r="D2689" s="30" t="s">
        <v>933</v>
      </c>
      <c r="E2689" s="30" t="s">
        <v>934</v>
      </c>
      <c r="F2689" s="30">
        <v>1</v>
      </c>
      <c r="G2689" s="44">
        <v>39692</v>
      </c>
      <c r="H2689" s="30"/>
      <c r="I2689" s="44"/>
      <c r="J2689" s="44"/>
      <c r="K2689" s="44">
        <f t="shared" si="90"/>
        <v>39692</v>
      </c>
      <c r="L2689" s="51">
        <v>20241105</v>
      </c>
    </row>
    <row r="2690" spans="1:12" x14ac:dyDescent="0.25">
      <c r="A2690" s="50" t="s">
        <v>4027</v>
      </c>
      <c r="B2690" s="30" t="s">
        <v>11</v>
      </c>
      <c r="C2690" s="30" t="s">
        <v>51</v>
      </c>
      <c r="D2690" s="30" t="s">
        <v>24</v>
      </c>
      <c r="E2690" s="30" t="s">
        <v>52</v>
      </c>
      <c r="F2690" s="30">
        <v>1</v>
      </c>
      <c r="G2690" s="44">
        <v>39692</v>
      </c>
      <c r="H2690" s="30"/>
      <c r="I2690" s="44"/>
      <c r="J2690" s="44"/>
      <c r="K2690" s="44">
        <f t="shared" si="90"/>
        <v>39692</v>
      </c>
      <c r="L2690" s="51">
        <v>20241106</v>
      </c>
    </row>
    <row r="2691" spans="1:12" x14ac:dyDescent="0.25">
      <c r="A2691" s="50" t="s">
        <v>4028</v>
      </c>
      <c r="B2691" s="30" t="s">
        <v>11</v>
      </c>
      <c r="C2691" s="30" t="s">
        <v>364</v>
      </c>
      <c r="D2691" s="30" t="s">
        <v>24</v>
      </c>
      <c r="E2691" s="30" t="s">
        <v>1445</v>
      </c>
      <c r="F2691" s="30">
        <v>1</v>
      </c>
      <c r="G2691" s="44">
        <v>39692</v>
      </c>
      <c r="H2691" s="30"/>
      <c r="I2691" s="44"/>
      <c r="J2691" s="44"/>
      <c r="K2691" s="44">
        <f t="shared" si="90"/>
        <v>39692</v>
      </c>
      <c r="L2691" s="51">
        <v>20241106</v>
      </c>
    </row>
    <row r="2692" spans="1:12" x14ac:dyDescent="0.25">
      <c r="A2692" s="50" t="s">
        <v>4029</v>
      </c>
      <c r="B2692" s="30" t="s">
        <v>11</v>
      </c>
      <c r="C2692" s="30" t="s">
        <v>45</v>
      </c>
      <c r="D2692" s="30" t="s">
        <v>46</v>
      </c>
      <c r="E2692" s="30" t="s">
        <v>3781</v>
      </c>
      <c r="F2692" s="30">
        <v>1</v>
      </c>
      <c r="G2692" s="44">
        <v>39692</v>
      </c>
      <c r="H2692" s="30"/>
      <c r="I2692" s="44"/>
      <c r="J2692" s="44"/>
      <c r="K2692" s="44">
        <f t="shared" si="90"/>
        <v>39692</v>
      </c>
      <c r="L2692" s="51">
        <v>20241107</v>
      </c>
    </row>
    <row r="2693" spans="1:12" x14ac:dyDescent="0.25">
      <c r="A2693" s="50" t="s">
        <v>4038</v>
      </c>
      <c r="B2693" s="30" t="s">
        <v>11</v>
      </c>
      <c r="C2693" s="30" t="s">
        <v>337</v>
      </c>
      <c r="D2693" s="30" t="s">
        <v>162</v>
      </c>
      <c r="E2693" s="30" t="s">
        <v>1528</v>
      </c>
      <c r="F2693" s="30">
        <v>1</v>
      </c>
      <c r="G2693" s="44">
        <v>39692</v>
      </c>
      <c r="H2693" s="30"/>
      <c r="I2693" s="44"/>
      <c r="J2693" s="44"/>
      <c r="K2693" s="44">
        <f t="shared" si="90"/>
        <v>39692</v>
      </c>
      <c r="L2693" s="51">
        <v>20241107</v>
      </c>
    </row>
    <row r="2694" spans="1:12" x14ac:dyDescent="0.25">
      <c r="A2694" s="52" t="s">
        <v>4023</v>
      </c>
      <c r="B2694" s="32" t="s">
        <v>11</v>
      </c>
      <c r="C2694" s="32" t="s">
        <v>270</v>
      </c>
      <c r="D2694" s="32" t="s">
        <v>1341</v>
      </c>
      <c r="E2694" s="32" t="s">
        <v>4024</v>
      </c>
      <c r="F2694" s="32">
        <v>1</v>
      </c>
      <c r="G2694" s="45">
        <v>39692</v>
      </c>
      <c r="H2694" s="32">
        <v>159</v>
      </c>
      <c r="I2694" s="45">
        <v>495.3</v>
      </c>
      <c r="J2694" s="45">
        <f>I2694*H2694</f>
        <v>78752.7</v>
      </c>
      <c r="K2694" s="45">
        <f t="shared" si="90"/>
        <v>118444.7</v>
      </c>
      <c r="L2694" s="53">
        <v>20241108</v>
      </c>
    </row>
    <row r="2695" spans="1:12" x14ac:dyDescent="0.25">
      <c r="A2695" s="50" t="s">
        <v>4026</v>
      </c>
      <c r="B2695" s="30" t="s">
        <v>11</v>
      </c>
      <c r="C2695" s="30" t="s">
        <v>1450</v>
      </c>
      <c r="D2695" s="30" t="s">
        <v>1592</v>
      </c>
      <c r="E2695" s="30" t="s">
        <v>1593</v>
      </c>
      <c r="F2695" s="30">
        <v>1</v>
      </c>
      <c r="G2695" s="44">
        <v>39692</v>
      </c>
      <c r="H2695" s="30"/>
      <c r="I2695" s="44"/>
      <c r="J2695" s="44"/>
      <c r="K2695" s="44">
        <f t="shared" si="90"/>
        <v>39692</v>
      </c>
      <c r="L2695" s="51">
        <v>20241112</v>
      </c>
    </row>
    <row r="2696" spans="1:12" x14ac:dyDescent="0.25">
      <c r="A2696" s="50" t="s">
        <v>4017</v>
      </c>
      <c r="B2696" s="30" t="s">
        <v>11</v>
      </c>
      <c r="C2696" s="30" t="s">
        <v>29</v>
      </c>
      <c r="D2696" s="30" t="s">
        <v>3494</v>
      </c>
      <c r="E2696" s="30" t="s">
        <v>3631</v>
      </c>
      <c r="F2696" s="30">
        <v>1</v>
      </c>
      <c r="G2696" s="44">
        <v>39692</v>
      </c>
      <c r="H2696" s="30"/>
      <c r="I2696" s="44"/>
      <c r="J2696" s="44"/>
      <c r="K2696" s="44">
        <f t="shared" si="90"/>
        <v>39692</v>
      </c>
      <c r="L2696" s="51">
        <v>20241113</v>
      </c>
    </row>
    <row r="2697" spans="1:12" x14ac:dyDescent="0.25">
      <c r="A2697" s="52" t="s">
        <v>4018</v>
      </c>
      <c r="B2697" s="32" t="s">
        <v>11</v>
      </c>
      <c r="C2697" s="32" t="s">
        <v>29</v>
      </c>
      <c r="D2697" s="32" t="s">
        <v>3494</v>
      </c>
      <c r="E2697" s="32" t="s">
        <v>3495</v>
      </c>
      <c r="F2697" s="32">
        <v>1</v>
      </c>
      <c r="G2697" s="45">
        <v>39692</v>
      </c>
      <c r="H2697" s="32">
        <v>27</v>
      </c>
      <c r="I2697" s="45">
        <v>495.3</v>
      </c>
      <c r="J2697" s="45">
        <f>I2697*H2697</f>
        <v>13373.1</v>
      </c>
      <c r="K2697" s="45">
        <f t="shared" si="90"/>
        <v>53065.1</v>
      </c>
      <c r="L2697" s="53">
        <v>20241113</v>
      </c>
    </row>
    <row r="2698" spans="1:12" x14ac:dyDescent="0.25">
      <c r="A2698" s="50" t="s">
        <v>4015</v>
      </c>
      <c r="B2698" s="30" t="s">
        <v>11</v>
      </c>
      <c r="C2698" s="30" t="s">
        <v>607</v>
      </c>
      <c r="D2698" s="30" t="s">
        <v>24</v>
      </c>
      <c r="E2698" s="30" t="s">
        <v>3792</v>
      </c>
      <c r="F2698" s="30">
        <v>1</v>
      </c>
      <c r="G2698" s="44">
        <v>39692</v>
      </c>
      <c r="H2698" s="30"/>
      <c r="I2698" s="44"/>
      <c r="J2698" s="44"/>
      <c r="K2698" s="44">
        <f t="shared" si="90"/>
        <v>39692</v>
      </c>
      <c r="L2698" s="51">
        <v>20241115</v>
      </c>
    </row>
    <row r="2699" spans="1:12" x14ac:dyDescent="0.25">
      <c r="A2699" s="50" t="s">
        <v>4005</v>
      </c>
      <c r="B2699" s="30" t="s">
        <v>11</v>
      </c>
      <c r="C2699" s="30" t="s">
        <v>26</v>
      </c>
      <c r="D2699" s="30" t="s">
        <v>497</v>
      </c>
      <c r="E2699" s="30" t="s">
        <v>498</v>
      </c>
      <c r="F2699" s="30">
        <v>1</v>
      </c>
      <c r="G2699" s="44">
        <v>39692</v>
      </c>
      <c r="H2699" s="30"/>
      <c r="I2699" s="44"/>
      <c r="J2699" s="44"/>
      <c r="K2699" s="44">
        <f t="shared" si="90"/>
        <v>39692</v>
      </c>
      <c r="L2699" s="51">
        <v>20241119</v>
      </c>
    </row>
    <row r="2700" spans="1:12" x14ac:dyDescent="0.25">
      <c r="A2700" s="52" t="s">
        <v>4006</v>
      </c>
      <c r="B2700" s="32" t="s">
        <v>11</v>
      </c>
      <c r="C2700" s="32" t="s">
        <v>26</v>
      </c>
      <c r="D2700" s="32" t="s">
        <v>497</v>
      </c>
      <c r="E2700" s="32" t="s">
        <v>2282</v>
      </c>
      <c r="F2700" s="32">
        <v>1</v>
      </c>
      <c r="G2700" s="45">
        <v>39692</v>
      </c>
      <c r="H2700" s="32">
        <v>152</v>
      </c>
      <c r="I2700" s="45">
        <v>495.3</v>
      </c>
      <c r="J2700" s="45">
        <f>I2700*H2700</f>
        <v>75285.600000000006</v>
      </c>
      <c r="K2700" s="45">
        <f t="shared" si="90"/>
        <v>114977.60000000001</v>
      </c>
      <c r="L2700" s="53">
        <v>20241119</v>
      </c>
    </row>
    <row r="2701" spans="1:12" x14ac:dyDescent="0.25">
      <c r="A2701" s="50" t="s">
        <v>4037</v>
      </c>
      <c r="B2701" s="30" t="s">
        <v>11</v>
      </c>
      <c r="C2701" s="30" t="s">
        <v>34</v>
      </c>
      <c r="D2701" s="30" t="s">
        <v>35</v>
      </c>
      <c r="E2701" s="30" t="s">
        <v>2925</v>
      </c>
      <c r="F2701" s="30">
        <v>1</v>
      </c>
      <c r="G2701" s="44">
        <v>39692</v>
      </c>
      <c r="H2701" s="30"/>
      <c r="I2701" s="44"/>
      <c r="J2701" s="44"/>
      <c r="K2701" s="44">
        <f t="shared" si="90"/>
        <v>39692</v>
      </c>
      <c r="L2701" s="51">
        <v>20241119</v>
      </c>
    </row>
    <row r="2702" spans="1:12" x14ac:dyDescent="0.25">
      <c r="A2702" s="50" t="s">
        <v>4004</v>
      </c>
      <c r="B2702" s="30" t="s">
        <v>11</v>
      </c>
      <c r="C2702" s="30" t="s">
        <v>505</v>
      </c>
      <c r="D2702" s="30" t="s">
        <v>24</v>
      </c>
      <c r="E2702" s="30" t="s">
        <v>929</v>
      </c>
      <c r="F2702" s="30">
        <v>1</v>
      </c>
      <c r="G2702" s="44">
        <v>39692</v>
      </c>
      <c r="H2702" s="30"/>
      <c r="I2702" s="44"/>
      <c r="J2702" s="44"/>
      <c r="K2702" s="44">
        <f t="shared" si="90"/>
        <v>39692</v>
      </c>
      <c r="L2702" s="51">
        <v>20241122</v>
      </c>
    </row>
    <row r="2703" spans="1:12" x14ac:dyDescent="0.25">
      <c r="A2703" s="50" t="s">
        <v>4007</v>
      </c>
      <c r="B2703" s="30" t="s">
        <v>11</v>
      </c>
      <c r="C2703" s="30" t="s">
        <v>251</v>
      </c>
      <c r="D2703" s="30" t="s">
        <v>375</v>
      </c>
      <c r="E2703" s="30" t="s">
        <v>376</v>
      </c>
      <c r="F2703" s="30">
        <v>1</v>
      </c>
      <c r="G2703" s="44">
        <v>39692</v>
      </c>
      <c r="H2703" s="30"/>
      <c r="I2703" s="44"/>
      <c r="J2703" s="44"/>
      <c r="K2703" s="44">
        <f t="shared" si="90"/>
        <v>39692</v>
      </c>
      <c r="L2703" s="51">
        <v>20241122</v>
      </c>
    </row>
    <row r="2704" spans="1:12" x14ac:dyDescent="0.25">
      <c r="A2704" s="50" t="s">
        <v>3980</v>
      </c>
      <c r="B2704" s="30" t="s">
        <v>11</v>
      </c>
      <c r="C2704" s="30" t="s">
        <v>1450</v>
      </c>
      <c r="D2704" s="30" t="s">
        <v>1569</v>
      </c>
      <c r="E2704" s="30" t="s">
        <v>2440</v>
      </c>
      <c r="F2704" s="30">
        <v>1</v>
      </c>
      <c r="G2704" s="44">
        <v>39692</v>
      </c>
      <c r="H2704" s="30"/>
      <c r="I2704" s="44"/>
      <c r="J2704" s="44"/>
      <c r="K2704" s="44">
        <f t="shared" si="90"/>
        <v>39692</v>
      </c>
      <c r="L2704" s="51">
        <v>20241127</v>
      </c>
    </row>
    <row r="2705" spans="1:12" x14ac:dyDescent="0.25">
      <c r="A2705" s="50" t="s">
        <v>3981</v>
      </c>
      <c r="B2705" s="30" t="s">
        <v>11</v>
      </c>
      <c r="C2705" s="30" t="s">
        <v>1450</v>
      </c>
      <c r="D2705" s="30" t="s">
        <v>1569</v>
      </c>
      <c r="E2705" s="30" t="s">
        <v>1570</v>
      </c>
      <c r="F2705" s="30">
        <v>1</v>
      </c>
      <c r="G2705" s="44">
        <v>39692</v>
      </c>
      <c r="H2705" s="30"/>
      <c r="I2705" s="44"/>
      <c r="J2705" s="44"/>
      <c r="K2705" s="44">
        <f t="shared" si="90"/>
        <v>39692</v>
      </c>
      <c r="L2705" s="51">
        <v>20241127</v>
      </c>
    </row>
    <row r="2706" spans="1:12" x14ac:dyDescent="0.25">
      <c r="A2706" s="50" t="s">
        <v>3993</v>
      </c>
      <c r="B2706" s="30" t="s">
        <v>11</v>
      </c>
      <c r="C2706" s="30" t="s">
        <v>94</v>
      </c>
      <c r="D2706" s="30" t="s">
        <v>95</v>
      </c>
      <c r="E2706" s="30" t="s">
        <v>1083</v>
      </c>
      <c r="F2706" s="30">
        <v>1</v>
      </c>
      <c r="G2706" s="44">
        <v>39692</v>
      </c>
      <c r="H2706" s="30"/>
      <c r="I2706" s="44"/>
      <c r="J2706" s="44"/>
      <c r="K2706" s="44">
        <f t="shared" si="90"/>
        <v>39692</v>
      </c>
      <c r="L2706" s="51">
        <v>20241127</v>
      </c>
    </row>
    <row r="2707" spans="1:12" x14ac:dyDescent="0.25">
      <c r="A2707" s="50" t="s">
        <v>3979</v>
      </c>
      <c r="B2707" s="30" t="s">
        <v>1209</v>
      </c>
      <c r="C2707" s="30" t="s">
        <v>3707</v>
      </c>
      <c r="D2707" s="30" t="s">
        <v>3708</v>
      </c>
      <c r="E2707" s="30" t="s">
        <v>3709</v>
      </c>
      <c r="F2707" s="30">
        <v>1</v>
      </c>
      <c r="G2707" s="44">
        <v>39692</v>
      </c>
      <c r="H2707" s="30"/>
      <c r="I2707" s="44"/>
      <c r="J2707" s="44"/>
      <c r="K2707" s="44">
        <f t="shared" si="90"/>
        <v>39692</v>
      </c>
      <c r="L2707" s="51">
        <v>20241127</v>
      </c>
    </row>
    <row r="2708" spans="1:12" x14ac:dyDescent="0.25">
      <c r="A2708" s="50" t="s">
        <v>3977</v>
      </c>
      <c r="B2708" s="30" t="s">
        <v>11</v>
      </c>
      <c r="C2708" s="30" t="s">
        <v>26</v>
      </c>
      <c r="D2708" s="30" t="s">
        <v>204</v>
      </c>
      <c r="E2708" s="30" t="s">
        <v>205</v>
      </c>
      <c r="F2708" s="30">
        <v>1</v>
      </c>
      <c r="G2708" s="44">
        <v>39692</v>
      </c>
      <c r="H2708" s="30"/>
      <c r="I2708" s="44"/>
      <c r="J2708" s="44"/>
      <c r="K2708" s="44">
        <f t="shared" si="90"/>
        <v>39692</v>
      </c>
      <c r="L2708" s="51">
        <v>20241128</v>
      </c>
    </row>
    <row r="2709" spans="1:12" x14ac:dyDescent="0.25">
      <c r="A2709" s="50" t="s">
        <v>3978</v>
      </c>
      <c r="B2709" s="30" t="s">
        <v>11</v>
      </c>
      <c r="C2709" s="30" t="s">
        <v>29</v>
      </c>
      <c r="D2709" s="30" t="s">
        <v>1656</v>
      </c>
      <c r="E2709" s="30" t="s">
        <v>2324</v>
      </c>
      <c r="F2709" s="30">
        <v>1</v>
      </c>
      <c r="G2709" s="44">
        <v>39692</v>
      </c>
      <c r="H2709" s="30"/>
      <c r="I2709" s="44"/>
      <c r="J2709" s="44"/>
      <c r="K2709" s="44">
        <f t="shared" si="90"/>
        <v>39692</v>
      </c>
      <c r="L2709" s="51">
        <v>20241128</v>
      </c>
    </row>
    <row r="2710" spans="1:12" x14ac:dyDescent="0.25">
      <c r="A2710" s="50" t="s">
        <v>3982</v>
      </c>
      <c r="B2710" s="30" t="s">
        <v>11</v>
      </c>
      <c r="C2710" s="30" t="s">
        <v>26</v>
      </c>
      <c r="D2710" s="30" t="s">
        <v>556</v>
      </c>
      <c r="E2710" s="30" t="s">
        <v>563</v>
      </c>
      <c r="F2710" s="30">
        <v>1</v>
      </c>
      <c r="G2710" s="44">
        <v>39692</v>
      </c>
      <c r="H2710" s="30"/>
      <c r="I2710" s="44"/>
      <c r="J2710" s="44"/>
      <c r="K2710" s="44">
        <f t="shared" si="90"/>
        <v>39692</v>
      </c>
      <c r="L2710" s="51">
        <v>20241128</v>
      </c>
    </row>
    <row r="2711" spans="1:12" ht="15.75" thickBot="1" x14ac:dyDescent="0.3">
      <c r="A2711" s="54" t="s">
        <v>3976</v>
      </c>
      <c r="B2711" s="36" t="s">
        <v>11</v>
      </c>
      <c r="C2711" s="36" t="s">
        <v>919</v>
      </c>
      <c r="D2711" s="36" t="s">
        <v>95</v>
      </c>
      <c r="E2711" s="36" t="s">
        <v>2496</v>
      </c>
      <c r="F2711" s="36">
        <v>1</v>
      </c>
      <c r="G2711" s="65">
        <v>39692</v>
      </c>
      <c r="H2711" s="36"/>
      <c r="I2711" s="65"/>
      <c r="J2711" s="65"/>
      <c r="K2711" s="65">
        <f t="shared" si="90"/>
        <v>39692</v>
      </c>
      <c r="L2711" s="55">
        <v>20241129</v>
      </c>
    </row>
    <row r="2712" spans="1:12" x14ac:dyDescent="0.25">
      <c r="A2712" s="73"/>
      <c r="B2712" s="74"/>
      <c r="C2712" s="74"/>
      <c r="D2712" s="74"/>
      <c r="E2712" s="74"/>
      <c r="F2712" s="74"/>
      <c r="G2712" s="75"/>
      <c r="H2712" s="74"/>
      <c r="I2712" s="75"/>
      <c r="J2712" s="75"/>
      <c r="K2712" s="75"/>
      <c r="L2712" s="76"/>
    </row>
    <row r="2713" spans="1:12" ht="15.75" thickBot="1" x14ac:dyDescent="0.3">
      <c r="A2713" s="69"/>
      <c r="B2713" s="70"/>
      <c r="C2713" s="70"/>
      <c r="D2713" s="70"/>
      <c r="E2713" s="70"/>
      <c r="F2713" s="70"/>
      <c r="G2713" s="71"/>
      <c r="H2713" s="70"/>
      <c r="I2713" s="71"/>
      <c r="J2713" s="71"/>
      <c r="K2713" s="71"/>
      <c r="L2713" s="72"/>
    </row>
    <row r="2714" spans="1:12" x14ac:dyDescent="0.25">
      <c r="A2714" s="48" t="s">
        <v>4039</v>
      </c>
      <c r="B2714" s="34" t="s">
        <v>137</v>
      </c>
      <c r="C2714" s="34" t="s">
        <v>94</v>
      </c>
      <c r="D2714" s="34" t="s">
        <v>95</v>
      </c>
      <c r="E2714" s="34" t="s">
        <v>3473</v>
      </c>
      <c r="F2714" s="34">
        <v>1</v>
      </c>
      <c r="G2714" s="64">
        <v>19849</v>
      </c>
      <c r="H2714" s="34"/>
      <c r="I2714" s="64"/>
      <c r="J2714" s="64"/>
      <c r="K2714" s="64">
        <f t="shared" ref="K2714:K2745" si="91">J2714+G2714</f>
        <v>19849</v>
      </c>
      <c r="L2714" s="49">
        <v>20241105</v>
      </c>
    </row>
    <row r="2715" spans="1:12" x14ac:dyDescent="0.25">
      <c r="A2715" s="52" t="s">
        <v>4019</v>
      </c>
      <c r="B2715" s="32" t="s">
        <v>137</v>
      </c>
      <c r="C2715" s="32" t="s">
        <v>29</v>
      </c>
      <c r="D2715" s="32" t="s">
        <v>30</v>
      </c>
      <c r="E2715" s="32" t="s">
        <v>578</v>
      </c>
      <c r="F2715" s="32">
        <v>1</v>
      </c>
      <c r="G2715" s="45">
        <v>19849</v>
      </c>
      <c r="H2715" s="32">
        <v>158</v>
      </c>
      <c r="I2715" s="45">
        <v>495.3</v>
      </c>
      <c r="J2715" s="45">
        <f>I2715*H2715</f>
        <v>78257.400000000009</v>
      </c>
      <c r="K2715" s="45">
        <f t="shared" si="91"/>
        <v>98106.400000000009</v>
      </c>
      <c r="L2715" s="53">
        <v>20241108</v>
      </c>
    </row>
    <row r="2716" spans="1:12" x14ac:dyDescent="0.25">
      <c r="A2716" s="50" t="s">
        <v>4020</v>
      </c>
      <c r="B2716" s="30" t="s">
        <v>137</v>
      </c>
      <c r="C2716" s="30" t="s">
        <v>29</v>
      </c>
      <c r="D2716" s="30" t="s">
        <v>30</v>
      </c>
      <c r="E2716" s="30" t="s">
        <v>4021</v>
      </c>
      <c r="F2716" s="30">
        <v>1</v>
      </c>
      <c r="G2716" s="44">
        <v>19849</v>
      </c>
      <c r="H2716" s="30"/>
      <c r="I2716" s="44"/>
      <c r="J2716" s="44"/>
      <c r="K2716" s="44">
        <f t="shared" si="91"/>
        <v>19849</v>
      </c>
      <c r="L2716" s="51">
        <v>20241108</v>
      </c>
    </row>
    <row r="2717" spans="1:12" x14ac:dyDescent="0.25">
      <c r="A2717" s="50" t="s">
        <v>4022</v>
      </c>
      <c r="B2717" s="30" t="s">
        <v>137</v>
      </c>
      <c r="C2717" s="30" t="s">
        <v>29</v>
      </c>
      <c r="D2717" s="30" t="s">
        <v>30</v>
      </c>
      <c r="E2717" s="30" t="s">
        <v>3608</v>
      </c>
      <c r="F2717" s="30">
        <v>1</v>
      </c>
      <c r="G2717" s="44">
        <v>19849</v>
      </c>
      <c r="H2717" s="30"/>
      <c r="I2717" s="44"/>
      <c r="J2717" s="44"/>
      <c r="K2717" s="44">
        <f t="shared" si="91"/>
        <v>19849</v>
      </c>
      <c r="L2717" s="51">
        <v>20241108</v>
      </c>
    </row>
    <row r="2718" spans="1:12" x14ac:dyDescent="0.25">
      <c r="A2718" s="50" t="s">
        <v>4030</v>
      </c>
      <c r="B2718" s="30" t="s">
        <v>137</v>
      </c>
      <c r="C2718" s="30" t="s">
        <v>29</v>
      </c>
      <c r="D2718" s="30" t="s">
        <v>1385</v>
      </c>
      <c r="E2718" s="30" t="s">
        <v>628</v>
      </c>
      <c r="F2718" s="30">
        <v>1</v>
      </c>
      <c r="G2718" s="44">
        <v>19849</v>
      </c>
      <c r="H2718" s="30"/>
      <c r="I2718" s="44"/>
      <c r="J2718" s="44"/>
      <c r="K2718" s="44">
        <f t="shared" si="91"/>
        <v>19849</v>
      </c>
      <c r="L2718" s="51">
        <v>20241108</v>
      </c>
    </row>
    <row r="2719" spans="1:12" x14ac:dyDescent="0.25">
      <c r="A2719" s="50" t="s">
        <v>4031</v>
      </c>
      <c r="B2719" s="30" t="s">
        <v>137</v>
      </c>
      <c r="C2719" s="30" t="s">
        <v>29</v>
      </c>
      <c r="D2719" s="30" t="s">
        <v>1385</v>
      </c>
      <c r="E2719" s="30" t="s">
        <v>209</v>
      </c>
      <c r="F2719" s="30">
        <v>1</v>
      </c>
      <c r="G2719" s="44">
        <v>19849</v>
      </c>
      <c r="H2719" s="30"/>
      <c r="I2719" s="44"/>
      <c r="J2719" s="44"/>
      <c r="K2719" s="44">
        <f t="shared" si="91"/>
        <v>19849</v>
      </c>
      <c r="L2719" s="51">
        <v>20241108</v>
      </c>
    </row>
    <row r="2720" spans="1:12" x14ac:dyDescent="0.25">
      <c r="A2720" s="50" t="s">
        <v>4032</v>
      </c>
      <c r="B2720" s="30" t="s">
        <v>137</v>
      </c>
      <c r="C2720" s="30" t="s">
        <v>29</v>
      </c>
      <c r="D2720" s="30" t="s">
        <v>1385</v>
      </c>
      <c r="E2720" s="30" t="s">
        <v>2101</v>
      </c>
      <c r="F2720" s="30">
        <v>1</v>
      </c>
      <c r="G2720" s="44">
        <v>19849</v>
      </c>
      <c r="H2720" s="30"/>
      <c r="I2720" s="44"/>
      <c r="J2720" s="44"/>
      <c r="K2720" s="44">
        <f t="shared" si="91"/>
        <v>19849</v>
      </c>
      <c r="L2720" s="51">
        <v>20241108</v>
      </c>
    </row>
    <row r="2721" spans="1:12" x14ac:dyDescent="0.25">
      <c r="A2721" s="50" t="s">
        <v>4033</v>
      </c>
      <c r="B2721" s="30" t="s">
        <v>137</v>
      </c>
      <c r="C2721" s="30" t="s">
        <v>29</v>
      </c>
      <c r="D2721" s="30" t="s">
        <v>1385</v>
      </c>
      <c r="E2721" s="30" t="s">
        <v>1386</v>
      </c>
      <c r="F2721" s="30">
        <v>1</v>
      </c>
      <c r="G2721" s="44">
        <v>19849</v>
      </c>
      <c r="H2721" s="30"/>
      <c r="I2721" s="44"/>
      <c r="J2721" s="44"/>
      <c r="K2721" s="44">
        <f t="shared" si="91"/>
        <v>19849</v>
      </c>
      <c r="L2721" s="51">
        <v>20241108</v>
      </c>
    </row>
    <row r="2722" spans="1:12" x14ac:dyDescent="0.25">
      <c r="A2722" s="50" t="s">
        <v>4034</v>
      </c>
      <c r="B2722" s="30" t="s">
        <v>137</v>
      </c>
      <c r="C2722" s="30" t="s">
        <v>29</v>
      </c>
      <c r="D2722" s="30" t="s">
        <v>1385</v>
      </c>
      <c r="E2722" s="30" t="s">
        <v>1320</v>
      </c>
      <c r="F2722" s="30">
        <v>1</v>
      </c>
      <c r="G2722" s="44">
        <v>19849</v>
      </c>
      <c r="H2722" s="30"/>
      <c r="I2722" s="44"/>
      <c r="J2722" s="44"/>
      <c r="K2722" s="44">
        <f t="shared" si="91"/>
        <v>19849</v>
      </c>
      <c r="L2722" s="51">
        <v>20241108</v>
      </c>
    </row>
    <row r="2723" spans="1:12" x14ac:dyDescent="0.25">
      <c r="A2723" s="50" t="s">
        <v>4016</v>
      </c>
      <c r="B2723" s="30" t="s">
        <v>137</v>
      </c>
      <c r="C2723" s="30" t="s">
        <v>29</v>
      </c>
      <c r="D2723" s="30" t="s">
        <v>24</v>
      </c>
      <c r="E2723" s="30" t="s">
        <v>1003</v>
      </c>
      <c r="F2723" s="30">
        <v>1</v>
      </c>
      <c r="G2723" s="44">
        <v>19849</v>
      </c>
      <c r="H2723" s="30"/>
      <c r="I2723" s="44"/>
      <c r="J2723" s="44"/>
      <c r="K2723" s="44">
        <f t="shared" si="91"/>
        <v>19849</v>
      </c>
      <c r="L2723" s="51">
        <v>20241111</v>
      </c>
    </row>
    <row r="2724" spans="1:12" x14ac:dyDescent="0.25">
      <c r="A2724" s="50" t="s">
        <v>4008</v>
      </c>
      <c r="B2724" s="30" t="s">
        <v>137</v>
      </c>
      <c r="C2724" s="30" t="s">
        <v>337</v>
      </c>
      <c r="D2724" s="30" t="s">
        <v>162</v>
      </c>
      <c r="E2724" s="30" t="s">
        <v>3073</v>
      </c>
      <c r="F2724" s="30">
        <v>1</v>
      </c>
      <c r="G2724" s="44">
        <v>19849</v>
      </c>
      <c r="H2724" s="30"/>
      <c r="I2724" s="44"/>
      <c r="J2724" s="44"/>
      <c r="K2724" s="44">
        <f t="shared" si="91"/>
        <v>19849</v>
      </c>
      <c r="L2724" s="51">
        <v>20241114</v>
      </c>
    </row>
    <row r="2725" spans="1:12" x14ac:dyDescent="0.25">
      <c r="A2725" s="50" t="s">
        <v>4009</v>
      </c>
      <c r="B2725" s="30" t="s">
        <v>137</v>
      </c>
      <c r="C2725" s="30" t="s">
        <v>337</v>
      </c>
      <c r="D2725" s="30" t="s">
        <v>162</v>
      </c>
      <c r="E2725" s="30" t="s">
        <v>237</v>
      </c>
      <c r="F2725" s="30">
        <v>1</v>
      </c>
      <c r="G2725" s="44">
        <v>19849</v>
      </c>
      <c r="H2725" s="30"/>
      <c r="I2725" s="44"/>
      <c r="J2725" s="44"/>
      <c r="K2725" s="44">
        <f t="shared" si="91"/>
        <v>19849</v>
      </c>
      <c r="L2725" s="51">
        <v>20241114</v>
      </c>
    </row>
    <row r="2726" spans="1:12" x14ac:dyDescent="0.25">
      <c r="A2726" s="50" t="s">
        <v>4010</v>
      </c>
      <c r="B2726" s="30" t="s">
        <v>137</v>
      </c>
      <c r="C2726" s="30" t="s">
        <v>337</v>
      </c>
      <c r="D2726" s="30" t="s">
        <v>162</v>
      </c>
      <c r="E2726" s="30" t="s">
        <v>1528</v>
      </c>
      <c r="F2726" s="30">
        <v>1</v>
      </c>
      <c r="G2726" s="44">
        <v>19849</v>
      </c>
      <c r="H2726" s="30"/>
      <c r="I2726" s="44"/>
      <c r="J2726" s="44"/>
      <c r="K2726" s="44">
        <f t="shared" si="91"/>
        <v>19849</v>
      </c>
      <c r="L2726" s="51">
        <v>20241114</v>
      </c>
    </row>
    <row r="2727" spans="1:12" x14ac:dyDescent="0.25">
      <c r="A2727" s="50" t="s">
        <v>4011</v>
      </c>
      <c r="B2727" s="30" t="s">
        <v>137</v>
      </c>
      <c r="C2727" s="30" t="s">
        <v>337</v>
      </c>
      <c r="D2727" s="30" t="s">
        <v>162</v>
      </c>
      <c r="E2727" s="30" t="s">
        <v>1530</v>
      </c>
      <c r="F2727" s="30">
        <v>1</v>
      </c>
      <c r="G2727" s="44">
        <v>19849</v>
      </c>
      <c r="H2727" s="30"/>
      <c r="I2727" s="44"/>
      <c r="J2727" s="44"/>
      <c r="K2727" s="44">
        <f t="shared" si="91"/>
        <v>19849</v>
      </c>
      <c r="L2727" s="51">
        <v>20241114</v>
      </c>
    </row>
    <row r="2728" spans="1:12" x14ac:dyDescent="0.25">
      <c r="A2728" s="50" t="s">
        <v>4012</v>
      </c>
      <c r="B2728" s="30" t="s">
        <v>137</v>
      </c>
      <c r="C2728" s="30" t="s">
        <v>337</v>
      </c>
      <c r="D2728" s="30" t="s">
        <v>162</v>
      </c>
      <c r="E2728" s="30" t="s">
        <v>1534</v>
      </c>
      <c r="F2728" s="30">
        <v>1</v>
      </c>
      <c r="G2728" s="44">
        <v>19849</v>
      </c>
      <c r="H2728" s="30"/>
      <c r="I2728" s="44"/>
      <c r="J2728" s="44"/>
      <c r="K2728" s="44">
        <f t="shared" si="91"/>
        <v>19849</v>
      </c>
      <c r="L2728" s="51">
        <v>20241114</v>
      </c>
    </row>
    <row r="2729" spans="1:12" x14ac:dyDescent="0.25">
      <c r="A2729" s="52" t="s">
        <v>4013</v>
      </c>
      <c r="B2729" s="32" t="s">
        <v>137</v>
      </c>
      <c r="C2729" s="32" t="s">
        <v>337</v>
      </c>
      <c r="D2729" s="32" t="s">
        <v>162</v>
      </c>
      <c r="E2729" s="32" t="s">
        <v>239</v>
      </c>
      <c r="F2729" s="32">
        <v>1</v>
      </c>
      <c r="G2729" s="45">
        <v>19849</v>
      </c>
      <c r="H2729" s="32">
        <v>69</v>
      </c>
      <c r="I2729" s="45">
        <v>495.3</v>
      </c>
      <c r="J2729" s="45">
        <f>I2729*H2729</f>
        <v>34175.700000000004</v>
      </c>
      <c r="K2729" s="45">
        <f t="shared" si="91"/>
        <v>54024.700000000004</v>
      </c>
      <c r="L2729" s="53">
        <v>20241114</v>
      </c>
    </row>
    <row r="2730" spans="1:12" x14ac:dyDescent="0.25">
      <c r="A2730" s="50" t="s">
        <v>4014</v>
      </c>
      <c r="B2730" s="30" t="s">
        <v>137</v>
      </c>
      <c r="C2730" s="30" t="s">
        <v>337</v>
      </c>
      <c r="D2730" s="30" t="s">
        <v>162</v>
      </c>
      <c r="E2730" s="30" t="s">
        <v>1532</v>
      </c>
      <c r="F2730" s="30">
        <v>1</v>
      </c>
      <c r="G2730" s="44">
        <v>19849</v>
      </c>
      <c r="H2730" s="30"/>
      <c r="I2730" s="44"/>
      <c r="J2730" s="44"/>
      <c r="K2730" s="44">
        <f t="shared" si="91"/>
        <v>19849</v>
      </c>
      <c r="L2730" s="51">
        <v>20241114</v>
      </c>
    </row>
    <row r="2731" spans="1:12" x14ac:dyDescent="0.25">
      <c r="A2731" s="50" t="s">
        <v>3996</v>
      </c>
      <c r="B2731" s="30" t="s">
        <v>137</v>
      </c>
      <c r="C2731" s="30" t="s">
        <v>899</v>
      </c>
      <c r="D2731" s="30" t="s">
        <v>24</v>
      </c>
      <c r="E2731" s="30" t="s">
        <v>900</v>
      </c>
      <c r="F2731" s="30">
        <v>1</v>
      </c>
      <c r="G2731" s="44">
        <v>19849</v>
      </c>
      <c r="H2731" s="30"/>
      <c r="I2731" s="44"/>
      <c r="J2731" s="44"/>
      <c r="K2731" s="44">
        <f t="shared" si="91"/>
        <v>19849</v>
      </c>
      <c r="L2731" s="51">
        <v>20241122</v>
      </c>
    </row>
    <row r="2732" spans="1:12" x14ac:dyDescent="0.25">
      <c r="A2732" s="50" t="s">
        <v>3997</v>
      </c>
      <c r="B2732" s="30" t="s">
        <v>137</v>
      </c>
      <c r="C2732" s="30" t="s">
        <v>899</v>
      </c>
      <c r="D2732" s="30" t="s">
        <v>24</v>
      </c>
      <c r="E2732" s="30" t="s">
        <v>902</v>
      </c>
      <c r="F2732" s="30">
        <v>1</v>
      </c>
      <c r="G2732" s="44">
        <v>19849</v>
      </c>
      <c r="H2732" s="30"/>
      <c r="I2732" s="44"/>
      <c r="J2732" s="44"/>
      <c r="K2732" s="44">
        <f t="shared" si="91"/>
        <v>19849</v>
      </c>
      <c r="L2732" s="51">
        <v>20241122</v>
      </c>
    </row>
    <row r="2733" spans="1:12" x14ac:dyDescent="0.25">
      <c r="A2733" s="50" t="s">
        <v>3998</v>
      </c>
      <c r="B2733" s="30" t="s">
        <v>137</v>
      </c>
      <c r="C2733" s="30" t="s">
        <v>505</v>
      </c>
      <c r="D2733" s="30" t="s">
        <v>24</v>
      </c>
      <c r="E2733" s="30" t="s">
        <v>1355</v>
      </c>
      <c r="F2733" s="30">
        <v>1</v>
      </c>
      <c r="G2733" s="44">
        <v>19849</v>
      </c>
      <c r="H2733" s="30"/>
      <c r="I2733" s="44"/>
      <c r="J2733" s="44"/>
      <c r="K2733" s="44">
        <f t="shared" si="91"/>
        <v>19849</v>
      </c>
      <c r="L2733" s="51">
        <v>20241122</v>
      </c>
    </row>
    <row r="2734" spans="1:12" x14ac:dyDescent="0.25">
      <c r="A2734" s="50" t="s">
        <v>3999</v>
      </c>
      <c r="B2734" s="30" t="s">
        <v>137</v>
      </c>
      <c r="C2734" s="30" t="s">
        <v>505</v>
      </c>
      <c r="D2734" s="30" t="s">
        <v>24</v>
      </c>
      <c r="E2734" s="30" t="s">
        <v>927</v>
      </c>
      <c r="F2734" s="30">
        <v>1</v>
      </c>
      <c r="G2734" s="44">
        <v>19849</v>
      </c>
      <c r="H2734" s="30"/>
      <c r="I2734" s="44"/>
      <c r="J2734" s="44"/>
      <c r="K2734" s="44">
        <f t="shared" si="91"/>
        <v>19849</v>
      </c>
      <c r="L2734" s="51">
        <v>20241122</v>
      </c>
    </row>
    <row r="2735" spans="1:12" x14ac:dyDescent="0.25">
      <c r="A2735" s="50" t="s">
        <v>4000</v>
      </c>
      <c r="B2735" s="30" t="s">
        <v>137</v>
      </c>
      <c r="C2735" s="30" t="s">
        <v>505</v>
      </c>
      <c r="D2735" s="30" t="s">
        <v>24</v>
      </c>
      <c r="E2735" s="30" t="s">
        <v>931</v>
      </c>
      <c r="F2735" s="30">
        <v>1</v>
      </c>
      <c r="G2735" s="44">
        <v>19849</v>
      </c>
      <c r="H2735" s="30"/>
      <c r="I2735" s="44"/>
      <c r="J2735" s="44"/>
      <c r="K2735" s="44">
        <f t="shared" si="91"/>
        <v>19849</v>
      </c>
      <c r="L2735" s="51">
        <v>20241122</v>
      </c>
    </row>
    <row r="2736" spans="1:12" x14ac:dyDescent="0.25">
      <c r="A2736" s="50" t="s">
        <v>3983</v>
      </c>
      <c r="B2736" s="30" t="s">
        <v>137</v>
      </c>
      <c r="C2736" s="30" t="s">
        <v>3984</v>
      </c>
      <c r="D2736" s="30" t="s">
        <v>713</v>
      </c>
      <c r="E2736" s="30" t="s">
        <v>714</v>
      </c>
      <c r="F2736" s="30">
        <v>1</v>
      </c>
      <c r="G2736" s="44">
        <v>19849</v>
      </c>
      <c r="H2736" s="30"/>
      <c r="I2736" s="44"/>
      <c r="J2736" s="44"/>
      <c r="K2736" s="44">
        <f t="shared" si="91"/>
        <v>19849</v>
      </c>
      <c r="L2736" s="51">
        <v>20241125</v>
      </c>
    </row>
    <row r="2737" spans="1:12" x14ac:dyDescent="0.25">
      <c r="A2737" s="50" t="s">
        <v>3985</v>
      </c>
      <c r="B2737" s="30" t="s">
        <v>137</v>
      </c>
      <c r="C2737" s="30" t="s">
        <v>3984</v>
      </c>
      <c r="D2737" s="30" t="s">
        <v>713</v>
      </c>
      <c r="E2737" s="30" t="s">
        <v>716</v>
      </c>
      <c r="F2737" s="30">
        <v>1</v>
      </c>
      <c r="G2737" s="44">
        <v>19849</v>
      </c>
      <c r="H2737" s="30"/>
      <c r="I2737" s="44"/>
      <c r="J2737" s="44"/>
      <c r="K2737" s="44">
        <f t="shared" si="91"/>
        <v>19849</v>
      </c>
      <c r="L2737" s="51">
        <v>20241125</v>
      </c>
    </row>
    <row r="2738" spans="1:12" x14ac:dyDescent="0.25">
      <c r="A2738" s="50" t="s">
        <v>3986</v>
      </c>
      <c r="B2738" s="30" t="s">
        <v>137</v>
      </c>
      <c r="C2738" s="30" t="s">
        <v>3984</v>
      </c>
      <c r="D2738" s="30" t="s">
        <v>713</v>
      </c>
      <c r="E2738" s="30" t="s">
        <v>718</v>
      </c>
      <c r="F2738" s="30">
        <v>1</v>
      </c>
      <c r="G2738" s="44">
        <v>19849</v>
      </c>
      <c r="H2738" s="30"/>
      <c r="I2738" s="44"/>
      <c r="J2738" s="44"/>
      <c r="K2738" s="44">
        <f t="shared" si="91"/>
        <v>19849</v>
      </c>
      <c r="L2738" s="51">
        <v>20241125</v>
      </c>
    </row>
    <row r="2739" spans="1:12" x14ac:dyDescent="0.25">
      <c r="A2739" s="50" t="s">
        <v>3987</v>
      </c>
      <c r="B2739" s="30" t="s">
        <v>137</v>
      </c>
      <c r="C2739" s="30" t="s">
        <v>3984</v>
      </c>
      <c r="D2739" s="30" t="s">
        <v>713</v>
      </c>
      <c r="E2739" s="30" t="s">
        <v>720</v>
      </c>
      <c r="F2739" s="30">
        <v>1</v>
      </c>
      <c r="G2739" s="44">
        <v>19849</v>
      </c>
      <c r="H2739" s="30"/>
      <c r="I2739" s="44"/>
      <c r="J2739" s="44"/>
      <c r="K2739" s="44">
        <f t="shared" si="91"/>
        <v>19849</v>
      </c>
      <c r="L2739" s="51">
        <v>20241125</v>
      </c>
    </row>
    <row r="2740" spans="1:12" x14ac:dyDescent="0.25">
      <c r="A2740" s="50" t="s">
        <v>3988</v>
      </c>
      <c r="B2740" s="30" t="s">
        <v>137</v>
      </c>
      <c r="C2740" s="30" t="s">
        <v>3984</v>
      </c>
      <c r="D2740" s="30" t="s">
        <v>713</v>
      </c>
      <c r="E2740" s="30" t="s">
        <v>722</v>
      </c>
      <c r="F2740" s="30">
        <v>1</v>
      </c>
      <c r="G2740" s="44">
        <v>19849</v>
      </c>
      <c r="H2740" s="30"/>
      <c r="I2740" s="44"/>
      <c r="J2740" s="44"/>
      <c r="K2740" s="44">
        <f t="shared" si="91"/>
        <v>19849</v>
      </c>
      <c r="L2740" s="51">
        <v>20241125</v>
      </c>
    </row>
    <row r="2741" spans="1:12" x14ac:dyDescent="0.25">
      <c r="A2741" s="50" t="s">
        <v>3989</v>
      </c>
      <c r="B2741" s="30" t="s">
        <v>137</v>
      </c>
      <c r="C2741" s="30" t="s">
        <v>172</v>
      </c>
      <c r="D2741" s="30" t="s">
        <v>703</v>
      </c>
      <c r="E2741" s="30" t="s">
        <v>704</v>
      </c>
      <c r="F2741" s="30">
        <v>1</v>
      </c>
      <c r="G2741" s="44">
        <v>19849</v>
      </c>
      <c r="H2741" s="30"/>
      <c r="I2741" s="44"/>
      <c r="J2741" s="44"/>
      <c r="K2741" s="44">
        <f t="shared" si="91"/>
        <v>19849</v>
      </c>
      <c r="L2741" s="51">
        <v>20241125</v>
      </c>
    </row>
    <row r="2742" spans="1:12" x14ac:dyDescent="0.25">
      <c r="A2742" s="50" t="s">
        <v>3990</v>
      </c>
      <c r="B2742" s="30" t="s">
        <v>137</v>
      </c>
      <c r="C2742" s="30" t="s">
        <v>172</v>
      </c>
      <c r="D2742" s="30" t="s">
        <v>703</v>
      </c>
      <c r="E2742" s="30" t="s">
        <v>706</v>
      </c>
      <c r="F2742" s="30">
        <v>1</v>
      </c>
      <c r="G2742" s="44">
        <v>19849</v>
      </c>
      <c r="H2742" s="30"/>
      <c r="I2742" s="44"/>
      <c r="J2742" s="44"/>
      <c r="K2742" s="44">
        <f t="shared" si="91"/>
        <v>19849</v>
      </c>
      <c r="L2742" s="51">
        <v>20241125</v>
      </c>
    </row>
    <row r="2743" spans="1:12" x14ac:dyDescent="0.25">
      <c r="A2743" s="50" t="s">
        <v>3991</v>
      </c>
      <c r="B2743" s="30" t="s">
        <v>137</v>
      </c>
      <c r="C2743" s="30" t="s">
        <v>172</v>
      </c>
      <c r="D2743" s="30" t="s">
        <v>703</v>
      </c>
      <c r="E2743" s="30" t="s">
        <v>708</v>
      </c>
      <c r="F2743" s="30">
        <v>1</v>
      </c>
      <c r="G2743" s="44">
        <v>19849</v>
      </c>
      <c r="H2743" s="30"/>
      <c r="I2743" s="44"/>
      <c r="J2743" s="44"/>
      <c r="K2743" s="44">
        <f t="shared" si="91"/>
        <v>19849</v>
      </c>
      <c r="L2743" s="51">
        <v>20241125</v>
      </c>
    </row>
    <row r="2744" spans="1:12" x14ac:dyDescent="0.25">
      <c r="A2744" s="50" t="s">
        <v>3992</v>
      </c>
      <c r="B2744" s="30" t="s">
        <v>137</v>
      </c>
      <c r="C2744" s="30" t="s">
        <v>172</v>
      </c>
      <c r="D2744" s="30" t="s">
        <v>703</v>
      </c>
      <c r="E2744" s="30" t="s">
        <v>710</v>
      </c>
      <c r="F2744" s="30">
        <v>1</v>
      </c>
      <c r="G2744" s="44">
        <v>19849</v>
      </c>
      <c r="H2744" s="30"/>
      <c r="I2744" s="44"/>
      <c r="J2744" s="44"/>
      <c r="K2744" s="44">
        <f t="shared" si="91"/>
        <v>19849</v>
      </c>
      <c r="L2744" s="51">
        <v>20241125</v>
      </c>
    </row>
    <row r="2745" spans="1:12" x14ac:dyDescent="0.25">
      <c r="A2745" s="50" t="s">
        <v>3994</v>
      </c>
      <c r="B2745" s="30" t="s">
        <v>137</v>
      </c>
      <c r="C2745" s="30" t="s">
        <v>636</v>
      </c>
      <c r="D2745" s="30" t="s">
        <v>24</v>
      </c>
      <c r="E2745" s="30" t="s">
        <v>2934</v>
      </c>
      <c r="F2745" s="30">
        <v>1</v>
      </c>
      <c r="G2745" s="44">
        <v>19849</v>
      </c>
      <c r="H2745" s="30"/>
      <c r="I2745" s="44"/>
      <c r="J2745" s="44"/>
      <c r="K2745" s="44">
        <f t="shared" si="91"/>
        <v>19849</v>
      </c>
      <c r="L2745" s="51">
        <v>20241125</v>
      </c>
    </row>
    <row r="2746" spans="1:12" x14ac:dyDescent="0.25">
      <c r="A2746" s="50" t="s">
        <v>3995</v>
      </c>
      <c r="B2746" s="30" t="s">
        <v>137</v>
      </c>
      <c r="C2746" s="30" t="s">
        <v>636</v>
      </c>
      <c r="D2746" s="30" t="s">
        <v>24</v>
      </c>
      <c r="E2746" s="30" t="s">
        <v>637</v>
      </c>
      <c r="F2746" s="30">
        <v>1</v>
      </c>
      <c r="G2746" s="44">
        <v>19849</v>
      </c>
      <c r="H2746" s="30"/>
      <c r="I2746" s="44"/>
      <c r="J2746" s="44"/>
      <c r="K2746" s="44">
        <f t="shared" ref="K2746:K2770" si="92">J2746+G2746</f>
        <v>19849</v>
      </c>
      <c r="L2746" s="51">
        <v>20241125</v>
      </c>
    </row>
    <row r="2747" spans="1:12" x14ac:dyDescent="0.25">
      <c r="A2747" s="50" t="s">
        <v>4001</v>
      </c>
      <c r="B2747" s="30" t="s">
        <v>137</v>
      </c>
      <c r="C2747" s="30" t="s">
        <v>29</v>
      </c>
      <c r="D2747" s="30" t="s">
        <v>1656</v>
      </c>
      <c r="E2747" s="30" t="s">
        <v>2300</v>
      </c>
      <c r="F2747" s="30">
        <v>1</v>
      </c>
      <c r="G2747" s="44">
        <v>19849</v>
      </c>
      <c r="H2747" s="30"/>
      <c r="I2747" s="44"/>
      <c r="J2747" s="44"/>
      <c r="K2747" s="44">
        <f t="shared" si="92"/>
        <v>19849</v>
      </c>
      <c r="L2747" s="51">
        <v>20241125</v>
      </c>
    </row>
    <row r="2748" spans="1:12" x14ac:dyDescent="0.25">
      <c r="A2748" s="50" t="s">
        <v>4002</v>
      </c>
      <c r="B2748" s="30" t="s">
        <v>137</v>
      </c>
      <c r="C2748" s="30" t="s">
        <v>29</v>
      </c>
      <c r="D2748" s="30" t="s">
        <v>1656</v>
      </c>
      <c r="E2748" s="30" t="s">
        <v>2324</v>
      </c>
      <c r="F2748" s="30">
        <v>1</v>
      </c>
      <c r="G2748" s="44">
        <v>19849</v>
      </c>
      <c r="H2748" s="30"/>
      <c r="I2748" s="44"/>
      <c r="J2748" s="44"/>
      <c r="K2748" s="44">
        <f t="shared" si="92"/>
        <v>19849</v>
      </c>
      <c r="L2748" s="51">
        <v>20241125</v>
      </c>
    </row>
    <row r="2749" spans="1:12" x14ac:dyDescent="0.25">
      <c r="A2749" s="50" t="s">
        <v>4003</v>
      </c>
      <c r="B2749" s="30" t="s">
        <v>137</v>
      </c>
      <c r="C2749" s="30" t="s">
        <v>29</v>
      </c>
      <c r="D2749" s="30" t="s">
        <v>1656</v>
      </c>
      <c r="E2749" s="30" t="s">
        <v>3154</v>
      </c>
      <c r="F2749" s="30">
        <v>1</v>
      </c>
      <c r="G2749" s="44">
        <v>19849</v>
      </c>
      <c r="H2749" s="30"/>
      <c r="I2749" s="44"/>
      <c r="J2749" s="44"/>
      <c r="K2749" s="44">
        <f t="shared" si="92"/>
        <v>19849</v>
      </c>
      <c r="L2749" s="51">
        <v>20241125</v>
      </c>
    </row>
    <row r="2750" spans="1:12" x14ac:dyDescent="0.25">
      <c r="A2750" s="50" t="s">
        <v>3953</v>
      </c>
      <c r="B2750" s="30" t="s">
        <v>137</v>
      </c>
      <c r="C2750" s="30" t="s">
        <v>270</v>
      </c>
      <c r="D2750" s="30" t="s">
        <v>368</v>
      </c>
      <c r="E2750" s="30" t="s">
        <v>369</v>
      </c>
      <c r="F2750" s="30">
        <v>1</v>
      </c>
      <c r="G2750" s="44">
        <v>19849</v>
      </c>
      <c r="H2750" s="30"/>
      <c r="I2750" s="44"/>
      <c r="J2750" s="44"/>
      <c r="K2750" s="44">
        <f t="shared" si="92"/>
        <v>19849</v>
      </c>
      <c r="L2750" s="51">
        <v>20241129</v>
      </c>
    </row>
    <row r="2751" spans="1:12" x14ac:dyDescent="0.25">
      <c r="A2751" s="52" t="s">
        <v>3954</v>
      </c>
      <c r="B2751" s="32" t="s">
        <v>137</v>
      </c>
      <c r="C2751" s="32" t="s">
        <v>270</v>
      </c>
      <c r="D2751" s="32" t="s">
        <v>368</v>
      </c>
      <c r="E2751" s="32" t="s">
        <v>3955</v>
      </c>
      <c r="F2751" s="32">
        <v>1</v>
      </c>
      <c r="G2751" s="45">
        <v>19849</v>
      </c>
      <c r="H2751" s="32">
        <v>123</v>
      </c>
      <c r="I2751" s="45">
        <v>495.3</v>
      </c>
      <c r="J2751" s="45">
        <f>I2751*H2751</f>
        <v>60921.9</v>
      </c>
      <c r="K2751" s="45">
        <f t="shared" si="92"/>
        <v>80770.899999999994</v>
      </c>
      <c r="L2751" s="53">
        <v>20241129</v>
      </c>
    </row>
    <row r="2752" spans="1:12" x14ac:dyDescent="0.25">
      <c r="A2752" s="50" t="s">
        <v>3956</v>
      </c>
      <c r="B2752" s="30" t="s">
        <v>137</v>
      </c>
      <c r="C2752" s="30" t="s">
        <v>270</v>
      </c>
      <c r="D2752" s="30" t="s">
        <v>494</v>
      </c>
      <c r="E2752" s="30" t="s">
        <v>1212</v>
      </c>
      <c r="F2752" s="30">
        <v>1</v>
      </c>
      <c r="G2752" s="44">
        <v>19849</v>
      </c>
      <c r="H2752" s="30"/>
      <c r="I2752" s="44"/>
      <c r="J2752" s="44"/>
      <c r="K2752" s="44">
        <f t="shared" si="92"/>
        <v>19849</v>
      </c>
      <c r="L2752" s="51">
        <v>20241129</v>
      </c>
    </row>
    <row r="2753" spans="1:12" x14ac:dyDescent="0.25">
      <c r="A2753" s="50" t="s">
        <v>3957</v>
      </c>
      <c r="B2753" s="30" t="s">
        <v>137</v>
      </c>
      <c r="C2753" s="30" t="s">
        <v>270</v>
      </c>
      <c r="D2753" s="30" t="s">
        <v>494</v>
      </c>
      <c r="E2753" s="30" t="s">
        <v>495</v>
      </c>
      <c r="F2753" s="30">
        <v>1</v>
      </c>
      <c r="G2753" s="44">
        <v>19849</v>
      </c>
      <c r="H2753" s="30"/>
      <c r="I2753" s="44"/>
      <c r="J2753" s="44"/>
      <c r="K2753" s="44">
        <f t="shared" si="92"/>
        <v>19849</v>
      </c>
      <c r="L2753" s="51">
        <v>20241129</v>
      </c>
    </row>
    <row r="2754" spans="1:12" x14ac:dyDescent="0.25">
      <c r="A2754" s="50" t="s">
        <v>3958</v>
      </c>
      <c r="B2754" s="30" t="s">
        <v>137</v>
      </c>
      <c r="C2754" s="30" t="s">
        <v>270</v>
      </c>
      <c r="D2754" s="30" t="s">
        <v>494</v>
      </c>
      <c r="E2754" s="30" t="s">
        <v>1215</v>
      </c>
      <c r="F2754" s="30">
        <v>1</v>
      </c>
      <c r="G2754" s="44">
        <v>19849</v>
      </c>
      <c r="H2754" s="30"/>
      <c r="I2754" s="44"/>
      <c r="J2754" s="44"/>
      <c r="K2754" s="44">
        <f t="shared" si="92"/>
        <v>19849</v>
      </c>
      <c r="L2754" s="51">
        <v>20241129</v>
      </c>
    </row>
    <row r="2755" spans="1:12" x14ac:dyDescent="0.25">
      <c r="A2755" s="50" t="s">
        <v>3959</v>
      </c>
      <c r="B2755" s="30" t="s">
        <v>137</v>
      </c>
      <c r="C2755" s="30" t="s">
        <v>270</v>
      </c>
      <c r="D2755" s="30" t="s">
        <v>494</v>
      </c>
      <c r="E2755" s="30" t="s">
        <v>596</v>
      </c>
      <c r="F2755" s="30">
        <v>1</v>
      </c>
      <c r="G2755" s="44">
        <v>19849</v>
      </c>
      <c r="H2755" s="30"/>
      <c r="I2755" s="44"/>
      <c r="J2755" s="44"/>
      <c r="K2755" s="44">
        <f t="shared" si="92"/>
        <v>19849</v>
      </c>
      <c r="L2755" s="51">
        <v>20241129</v>
      </c>
    </row>
    <row r="2756" spans="1:12" x14ac:dyDescent="0.25">
      <c r="A2756" s="50" t="s">
        <v>3960</v>
      </c>
      <c r="B2756" s="30" t="s">
        <v>137</v>
      </c>
      <c r="C2756" s="30" t="s">
        <v>270</v>
      </c>
      <c r="D2756" s="30" t="s">
        <v>368</v>
      </c>
      <c r="E2756" s="30" t="s">
        <v>1218</v>
      </c>
      <c r="F2756" s="30">
        <v>1</v>
      </c>
      <c r="G2756" s="44">
        <v>19849</v>
      </c>
      <c r="H2756" s="30"/>
      <c r="I2756" s="44"/>
      <c r="J2756" s="44"/>
      <c r="K2756" s="44">
        <f t="shared" si="92"/>
        <v>19849</v>
      </c>
      <c r="L2756" s="51">
        <v>20241129</v>
      </c>
    </row>
    <row r="2757" spans="1:12" x14ac:dyDescent="0.25">
      <c r="A2757" s="50" t="s">
        <v>3961</v>
      </c>
      <c r="B2757" s="30" t="s">
        <v>137</v>
      </c>
      <c r="C2757" s="30" t="s">
        <v>163</v>
      </c>
      <c r="D2757" s="30" t="s">
        <v>164</v>
      </c>
      <c r="E2757" s="30" t="s">
        <v>3962</v>
      </c>
      <c r="F2757" s="30">
        <v>1</v>
      </c>
      <c r="G2757" s="44">
        <v>19849</v>
      </c>
      <c r="H2757" s="30"/>
      <c r="I2757" s="44"/>
      <c r="J2757" s="44"/>
      <c r="K2757" s="44">
        <f t="shared" si="92"/>
        <v>19849</v>
      </c>
      <c r="L2757" s="51">
        <v>20241129</v>
      </c>
    </row>
    <row r="2758" spans="1:12" x14ac:dyDescent="0.25">
      <c r="A2758" s="50" t="s">
        <v>3963</v>
      </c>
      <c r="B2758" s="30" t="s">
        <v>137</v>
      </c>
      <c r="C2758" s="30" t="s">
        <v>163</v>
      </c>
      <c r="D2758" s="30" t="s">
        <v>164</v>
      </c>
      <c r="E2758" s="30" t="s">
        <v>3277</v>
      </c>
      <c r="F2758" s="30">
        <v>1</v>
      </c>
      <c r="G2758" s="44">
        <v>19849</v>
      </c>
      <c r="H2758" s="30"/>
      <c r="I2758" s="44"/>
      <c r="J2758" s="44"/>
      <c r="K2758" s="44">
        <f t="shared" si="92"/>
        <v>19849</v>
      </c>
      <c r="L2758" s="51">
        <v>20241129</v>
      </c>
    </row>
    <row r="2759" spans="1:12" x14ac:dyDescent="0.25">
      <c r="A2759" s="50" t="s">
        <v>3964</v>
      </c>
      <c r="B2759" s="30" t="s">
        <v>137</v>
      </c>
      <c r="C2759" s="30" t="s">
        <v>163</v>
      </c>
      <c r="D2759" s="30" t="s">
        <v>164</v>
      </c>
      <c r="E2759" s="30" t="s">
        <v>187</v>
      </c>
      <c r="F2759" s="30">
        <v>1</v>
      </c>
      <c r="G2759" s="44">
        <v>19849</v>
      </c>
      <c r="H2759" s="30"/>
      <c r="I2759" s="44"/>
      <c r="J2759" s="44"/>
      <c r="K2759" s="44">
        <f t="shared" si="92"/>
        <v>19849</v>
      </c>
      <c r="L2759" s="51">
        <v>20241129</v>
      </c>
    </row>
    <row r="2760" spans="1:12" x14ac:dyDescent="0.25">
      <c r="A2760" s="50" t="s">
        <v>3965</v>
      </c>
      <c r="B2760" s="30" t="s">
        <v>137</v>
      </c>
      <c r="C2760" s="30" t="s">
        <v>163</v>
      </c>
      <c r="D2760" s="30" t="s">
        <v>164</v>
      </c>
      <c r="E2760" s="30" t="s">
        <v>3030</v>
      </c>
      <c r="F2760" s="30">
        <v>1</v>
      </c>
      <c r="G2760" s="44">
        <v>19849</v>
      </c>
      <c r="H2760" s="30"/>
      <c r="I2760" s="44"/>
      <c r="J2760" s="44"/>
      <c r="K2760" s="44">
        <f t="shared" si="92"/>
        <v>19849</v>
      </c>
      <c r="L2760" s="51">
        <v>20241129</v>
      </c>
    </row>
    <row r="2761" spans="1:12" x14ac:dyDescent="0.25">
      <c r="A2761" s="50" t="s">
        <v>3966</v>
      </c>
      <c r="B2761" s="30" t="s">
        <v>137</v>
      </c>
      <c r="C2761" s="30" t="s">
        <v>163</v>
      </c>
      <c r="D2761" s="30" t="s">
        <v>164</v>
      </c>
      <c r="E2761" s="30" t="s">
        <v>221</v>
      </c>
      <c r="F2761" s="30">
        <v>1</v>
      </c>
      <c r="G2761" s="44">
        <v>19849</v>
      </c>
      <c r="H2761" s="30"/>
      <c r="I2761" s="44"/>
      <c r="J2761" s="44"/>
      <c r="K2761" s="44">
        <f t="shared" si="92"/>
        <v>19849</v>
      </c>
      <c r="L2761" s="51">
        <v>20241129</v>
      </c>
    </row>
    <row r="2762" spans="1:12" x14ac:dyDescent="0.25">
      <c r="A2762" s="50" t="s">
        <v>3967</v>
      </c>
      <c r="B2762" s="30" t="s">
        <v>137</v>
      </c>
      <c r="C2762" s="30" t="s">
        <v>163</v>
      </c>
      <c r="D2762" s="30" t="s">
        <v>164</v>
      </c>
      <c r="E2762" s="30" t="s">
        <v>1115</v>
      </c>
      <c r="F2762" s="30">
        <v>1</v>
      </c>
      <c r="G2762" s="44">
        <v>19849</v>
      </c>
      <c r="H2762" s="30"/>
      <c r="I2762" s="44"/>
      <c r="J2762" s="44"/>
      <c r="K2762" s="44">
        <f t="shared" si="92"/>
        <v>19849</v>
      </c>
      <c r="L2762" s="51">
        <v>20241129</v>
      </c>
    </row>
    <row r="2763" spans="1:12" x14ac:dyDescent="0.25">
      <c r="A2763" s="50" t="s">
        <v>3968</v>
      </c>
      <c r="B2763" s="30" t="s">
        <v>137</v>
      </c>
      <c r="C2763" s="30" t="s">
        <v>163</v>
      </c>
      <c r="D2763" s="30" t="s">
        <v>164</v>
      </c>
      <c r="E2763" s="30" t="s">
        <v>212</v>
      </c>
      <c r="F2763" s="30">
        <v>1</v>
      </c>
      <c r="G2763" s="44">
        <v>19849</v>
      </c>
      <c r="H2763" s="30"/>
      <c r="I2763" s="44"/>
      <c r="J2763" s="44"/>
      <c r="K2763" s="44">
        <f t="shared" si="92"/>
        <v>19849</v>
      </c>
      <c r="L2763" s="51">
        <v>20241129</v>
      </c>
    </row>
    <row r="2764" spans="1:12" x14ac:dyDescent="0.25">
      <c r="A2764" s="50" t="s">
        <v>3969</v>
      </c>
      <c r="B2764" s="30" t="s">
        <v>137</v>
      </c>
      <c r="C2764" s="30" t="s">
        <v>163</v>
      </c>
      <c r="D2764" s="30" t="s">
        <v>164</v>
      </c>
      <c r="E2764" s="30" t="s">
        <v>448</v>
      </c>
      <c r="F2764" s="30">
        <v>1</v>
      </c>
      <c r="G2764" s="44">
        <v>19849</v>
      </c>
      <c r="H2764" s="30"/>
      <c r="I2764" s="44"/>
      <c r="J2764" s="44"/>
      <c r="K2764" s="44">
        <f t="shared" si="92"/>
        <v>19849</v>
      </c>
      <c r="L2764" s="51">
        <v>20241129</v>
      </c>
    </row>
    <row r="2765" spans="1:12" x14ac:dyDescent="0.25">
      <c r="A2765" s="50" t="s">
        <v>3970</v>
      </c>
      <c r="B2765" s="30" t="s">
        <v>137</v>
      </c>
      <c r="C2765" s="30" t="s">
        <v>163</v>
      </c>
      <c r="D2765" s="30" t="s">
        <v>164</v>
      </c>
      <c r="E2765" s="30" t="s">
        <v>478</v>
      </c>
      <c r="F2765" s="30">
        <v>1</v>
      </c>
      <c r="G2765" s="44">
        <v>19849</v>
      </c>
      <c r="H2765" s="30"/>
      <c r="I2765" s="44"/>
      <c r="J2765" s="44"/>
      <c r="K2765" s="44">
        <f t="shared" si="92"/>
        <v>19849</v>
      </c>
      <c r="L2765" s="51">
        <v>20241129</v>
      </c>
    </row>
    <row r="2766" spans="1:12" x14ac:dyDescent="0.25">
      <c r="A2766" s="50" t="s">
        <v>3971</v>
      </c>
      <c r="B2766" s="30" t="s">
        <v>137</v>
      </c>
      <c r="C2766" s="30" t="s">
        <v>163</v>
      </c>
      <c r="D2766" s="30" t="s">
        <v>164</v>
      </c>
      <c r="E2766" s="30" t="s">
        <v>166</v>
      </c>
      <c r="F2766" s="30">
        <v>1</v>
      </c>
      <c r="G2766" s="44">
        <v>19849</v>
      </c>
      <c r="H2766" s="30"/>
      <c r="I2766" s="44"/>
      <c r="J2766" s="44"/>
      <c r="K2766" s="44">
        <f t="shared" si="92"/>
        <v>19849</v>
      </c>
      <c r="L2766" s="51">
        <v>20241129</v>
      </c>
    </row>
    <row r="2767" spans="1:12" x14ac:dyDescent="0.25">
      <c r="A2767" s="50" t="s">
        <v>3972</v>
      </c>
      <c r="B2767" s="30" t="s">
        <v>137</v>
      </c>
      <c r="C2767" s="30" t="s">
        <v>163</v>
      </c>
      <c r="D2767" s="30" t="s">
        <v>164</v>
      </c>
      <c r="E2767" s="30" t="s">
        <v>361</v>
      </c>
      <c r="F2767" s="30">
        <v>1</v>
      </c>
      <c r="G2767" s="44">
        <v>19849</v>
      </c>
      <c r="H2767" s="30"/>
      <c r="I2767" s="44"/>
      <c r="J2767" s="44"/>
      <c r="K2767" s="44">
        <f t="shared" si="92"/>
        <v>19849</v>
      </c>
      <c r="L2767" s="51">
        <v>20241129</v>
      </c>
    </row>
    <row r="2768" spans="1:12" x14ac:dyDescent="0.25">
      <c r="A2768" s="50" t="s">
        <v>3973</v>
      </c>
      <c r="B2768" s="30" t="s">
        <v>137</v>
      </c>
      <c r="C2768" s="30" t="s">
        <v>163</v>
      </c>
      <c r="D2768" s="30" t="s">
        <v>164</v>
      </c>
      <c r="E2768" s="30" t="s">
        <v>244</v>
      </c>
      <c r="F2768" s="30">
        <v>1</v>
      </c>
      <c r="G2768" s="44">
        <v>19849</v>
      </c>
      <c r="H2768" s="30"/>
      <c r="I2768" s="44"/>
      <c r="J2768" s="44"/>
      <c r="K2768" s="44">
        <f t="shared" si="92"/>
        <v>19849</v>
      </c>
      <c r="L2768" s="51">
        <v>20241129</v>
      </c>
    </row>
    <row r="2769" spans="1:12" x14ac:dyDescent="0.25">
      <c r="A2769" s="50" t="s">
        <v>3974</v>
      </c>
      <c r="B2769" s="30" t="s">
        <v>137</v>
      </c>
      <c r="C2769" s="30" t="s">
        <v>163</v>
      </c>
      <c r="D2769" s="30" t="s">
        <v>164</v>
      </c>
      <c r="E2769" s="30" t="s">
        <v>452</v>
      </c>
      <c r="F2769" s="30">
        <v>1</v>
      </c>
      <c r="G2769" s="44">
        <v>19849</v>
      </c>
      <c r="H2769" s="30"/>
      <c r="I2769" s="44"/>
      <c r="J2769" s="44"/>
      <c r="K2769" s="44">
        <f t="shared" si="92"/>
        <v>19849</v>
      </c>
      <c r="L2769" s="51">
        <v>20241129</v>
      </c>
    </row>
    <row r="2770" spans="1:12" ht="15.75" thickBot="1" x14ac:dyDescent="0.3">
      <c r="A2770" s="54" t="s">
        <v>3975</v>
      </c>
      <c r="B2770" s="36" t="s">
        <v>137</v>
      </c>
      <c r="C2770" s="36" t="s">
        <v>163</v>
      </c>
      <c r="D2770" s="36" t="s">
        <v>164</v>
      </c>
      <c r="E2770" s="36" t="s">
        <v>454</v>
      </c>
      <c r="F2770" s="36">
        <v>1</v>
      </c>
      <c r="G2770" s="65">
        <v>19849</v>
      </c>
      <c r="H2770" s="36"/>
      <c r="I2770" s="65"/>
      <c r="J2770" s="65"/>
      <c r="K2770" s="65">
        <f t="shared" si="92"/>
        <v>19849</v>
      </c>
      <c r="L2770" s="55">
        <v>20241129</v>
      </c>
    </row>
    <row r="2774" spans="1:12" ht="15.75" thickBot="1" x14ac:dyDescent="0.3">
      <c r="A2774" s="69" t="s">
        <v>0</v>
      </c>
      <c r="B2774" s="70" t="s">
        <v>1</v>
      </c>
      <c r="C2774" s="70" t="s">
        <v>2</v>
      </c>
      <c r="D2774" s="70" t="s">
        <v>3</v>
      </c>
      <c r="E2774" s="70" t="s">
        <v>4</v>
      </c>
      <c r="F2774" s="70"/>
      <c r="G2774" s="71" t="s">
        <v>6</v>
      </c>
      <c r="H2774" s="70" t="s">
        <v>7</v>
      </c>
      <c r="I2774" s="71" t="s">
        <v>8</v>
      </c>
      <c r="J2774" s="71" t="s">
        <v>9</v>
      </c>
      <c r="K2774" s="71" t="s">
        <v>10</v>
      </c>
      <c r="L2774" s="72" t="s">
        <v>5</v>
      </c>
    </row>
    <row r="2775" spans="1:12" x14ac:dyDescent="0.25">
      <c r="A2775" s="48" t="s">
        <v>4109</v>
      </c>
      <c r="B2775" s="34" t="s">
        <v>11</v>
      </c>
      <c r="C2775" s="34" t="s">
        <v>1450</v>
      </c>
      <c r="D2775" s="34" t="s">
        <v>1592</v>
      </c>
      <c r="E2775" s="34" t="s">
        <v>2438</v>
      </c>
      <c r="F2775" s="34">
        <v>1</v>
      </c>
      <c r="G2775" s="64">
        <v>39692</v>
      </c>
      <c r="H2775" s="34"/>
      <c r="I2775" s="64"/>
      <c r="J2775" s="64"/>
      <c r="K2775" s="64">
        <f t="shared" ref="K2775:K2802" si="93">J2775+G2775</f>
        <v>39692</v>
      </c>
      <c r="L2775" s="49">
        <v>20241202</v>
      </c>
    </row>
    <row r="2776" spans="1:12" x14ac:dyDescent="0.25">
      <c r="A2776" s="50" t="s">
        <v>4100</v>
      </c>
      <c r="B2776" s="30" t="s">
        <v>11</v>
      </c>
      <c r="C2776" s="30" t="s">
        <v>364</v>
      </c>
      <c r="D2776" s="30" t="s">
        <v>24</v>
      </c>
      <c r="E2776" s="30" t="s">
        <v>1445</v>
      </c>
      <c r="F2776" s="30">
        <v>1</v>
      </c>
      <c r="G2776" s="44">
        <v>39692</v>
      </c>
      <c r="H2776" s="30"/>
      <c r="I2776" s="44"/>
      <c r="J2776" s="44"/>
      <c r="K2776" s="44">
        <f t="shared" si="93"/>
        <v>39692</v>
      </c>
      <c r="L2776" s="51">
        <v>20241203</v>
      </c>
    </row>
    <row r="2777" spans="1:12" x14ac:dyDescent="0.25">
      <c r="A2777" s="50" t="s">
        <v>4105</v>
      </c>
      <c r="B2777" s="30" t="s">
        <v>11</v>
      </c>
      <c r="C2777" s="30" t="s">
        <v>45</v>
      </c>
      <c r="D2777" s="30" t="s">
        <v>3384</v>
      </c>
      <c r="E2777" s="30" t="s">
        <v>4106</v>
      </c>
      <c r="F2777" s="30">
        <v>1</v>
      </c>
      <c r="G2777" s="44">
        <v>39692</v>
      </c>
      <c r="H2777" s="30"/>
      <c r="I2777" s="44"/>
      <c r="J2777" s="44"/>
      <c r="K2777" s="44">
        <f t="shared" si="93"/>
        <v>39692</v>
      </c>
      <c r="L2777" s="51">
        <v>20241203</v>
      </c>
    </row>
    <row r="2778" spans="1:12" x14ac:dyDescent="0.25">
      <c r="A2778" s="50" t="s">
        <v>4107</v>
      </c>
      <c r="B2778" s="30" t="s">
        <v>11</v>
      </c>
      <c r="C2778" s="30" t="s">
        <v>53</v>
      </c>
      <c r="D2778" s="30" t="s">
        <v>24</v>
      </c>
      <c r="E2778" s="30" t="s">
        <v>1998</v>
      </c>
      <c r="F2778" s="30">
        <v>1</v>
      </c>
      <c r="G2778" s="44">
        <v>39692</v>
      </c>
      <c r="H2778" s="30"/>
      <c r="I2778" s="44"/>
      <c r="J2778" s="44"/>
      <c r="K2778" s="44">
        <f t="shared" si="93"/>
        <v>39692</v>
      </c>
      <c r="L2778" s="51">
        <v>20241203</v>
      </c>
    </row>
    <row r="2779" spans="1:12" x14ac:dyDescent="0.25">
      <c r="A2779" s="50" t="s">
        <v>4108</v>
      </c>
      <c r="B2779" s="30" t="s">
        <v>11</v>
      </c>
      <c r="C2779" s="30" t="s">
        <v>29</v>
      </c>
      <c r="D2779" s="30" t="s">
        <v>1385</v>
      </c>
      <c r="E2779" s="30" t="s">
        <v>1320</v>
      </c>
      <c r="F2779" s="30">
        <v>1</v>
      </c>
      <c r="G2779" s="44">
        <v>39692</v>
      </c>
      <c r="H2779" s="30"/>
      <c r="I2779" s="44"/>
      <c r="J2779" s="44"/>
      <c r="K2779" s="44">
        <f t="shared" si="93"/>
        <v>39692</v>
      </c>
      <c r="L2779" s="51">
        <v>20241203</v>
      </c>
    </row>
    <row r="2780" spans="1:12" x14ac:dyDescent="0.25">
      <c r="A2780" s="50" t="s">
        <v>4097</v>
      </c>
      <c r="B2780" s="30" t="s">
        <v>11</v>
      </c>
      <c r="C2780" s="30" t="s">
        <v>29</v>
      </c>
      <c r="D2780" s="30" t="s">
        <v>3494</v>
      </c>
      <c r="E2780" s="30" t="s">
        <v>3631</v>
      </c>
      <c r="F2780" s="30">
        <v>1</v>
      </c>
      <c r="G2780" s="44">
        <v>39692</v>
      </c>
      <c r="H2780" s="30"/>
      <c r="I2780" s="44"/>
      <c r="J2780" s="44"/>
      <c r="K2780" s="44">
        <f t="shared" si="93"/>
        <v>39692</v>
      </c>
      <c r="L2780" s="51">
        <v>20241204</v>
      </c>
    </row>
    <row r="2781" spans="1:12" x14ac:dyDescent="0.25">
      <c r="A2781" s="50" t="s">
        <v>4077</v>
      </c>
      <c r="B2781" s="30" t="s">
        <v>11</v>
      </c>
      <c r="C2781" s="30" t="s">
        <v>26</v>
      </c>
      <c r="D2781" s="30" t="s">
        <v>2874</v>
      </c>
      <c r="E2781" s="30" t="s">
        <v>2877</v>
      </c>
      <c r="F2781" s="30">
        <v>1</v>
      </c>
      <c r="G2781" s="44">
        <v>39692</v>
      </c>
      <c r="H2781" s="30"/>
      <c r="I2781" s="44"/>
      <c r="J2781" s="44"/>
      <c r="K2781" s="44">
        <f t="shared" si="93"/>
        <v>39692</v>
      </c>
      <c r="L2781" s="51">
        <v>20241206</v>
      </c>
    </row>
    <row r="2782" spans="1:12" x14ac:dyDescent="0.25">
      <c r="A2782" s="52" t="s">
        <v>4076</v>
      </c>
      <c r="B2782" s="32" t="s">
        <v>11</v>
      </c>
      <c r="C2782" s="32" t="s">
        <v>28</v>
      </c>
      <c r="D2782" s="32" t="s">
        <v>1756</v>
      </c>
      <c r="E2782" s="32" t="s">
        <v>3613</v>
      </c>
      <c r="F2782" s="32">
        <v>1</v>
      </c>
      <c r="G2782" s="45">
        <v>39692</v>
      </c>
      <c r="H2782" s="32">
        <v>118</v>
      </c>
      <c r="I2782" s="45">
        <v>495.3</v>
      </c>
      <c r="J2782" s="45">
        <f>I2782*H2782</f>
        <v>58445.4</v>
      </c>
      <c r="K2782" s="45">
        <f t="shared" si="93"/>
        <v>98137.4</v>
      </c>
      <c r="L2782" s="53">
        <v>20241210</v>
      </c>
    </row>
    <row r="2783" spans="1:12" x14ac:dyDescent="0.25">
      <c r="A2783" s="52" t="s">
        <v>4074</v>
      </c>
      <c r="B2783" s="32" t="s">
        <v>11</v>
      </c>
      <c r="C2783" s="32" t="s">
        <v>172</v>
      </c>
      <c r="D2783" s="32" t="s">
        <v>195</v>
      </c>
      <c r="E2783" s="32" t="s">
        <v>196</v>
      </c>
      <c r="F2783" s="32">
        <v>1</v>
      </c>
      <c r="G2783" s="45">
        <v>39692</v>
      </c>
      <c r="H2783" s="32">
        <v>56</v>
      </c>
      <c r="I2783" s="45">
        <v>495.3</v>
      </c>
      <c r="J2783" s="45">
        <f>I2783*H2783</f>
        <v>27736.799999999999</v>
      </c>
      <c r="K2783" s="45">
        <f t="shared" si="93"/>
        <v>67428.800000000003</v>
      </c>
      <c r="L2783" s="53">
        <v>20241211</v>
      </c>
    </row>
    <row r="2784" spans="1:12" x14ac:dyDescent="0.25">
      <c r="A2784" s="50" t="s">
        <v>4072</v>
      </c>
      <c r="B2784" s="30" t="s">
        <v>11</v>
      </c>
      <c r="C2784" s="30" t="s">
        <v>29</v>
      </c>
      <c r="D2784" s="30" t="s">
        <v>1385</v>
      </c>
      <c r="E2784" s="30" t="s">
        <v>630</v>
      </c>
      <c r="F2784" s="30">
        <v>1</v>
      </c>
      <c r="G2784" s="44">
        <v>39692</v>
      </c>
      <c r="H2784" s="30"/>
      <c r="I2784" s="44"/>
      <c r="J2784" s="44"/>
      <c r="K2784" s="44">
        <f t="shared" si="93"/>
        <v>39692</v>
      </c>
      <c r="L2784" s="51">
        <v>20241212</v>
      </c>
    </row>
    <row r="2785" spans="1:12" x14ac:dyDescent="0.25">
      <c r="A2785" s="50" t="s">
        <v>4075</v>
      </c>
      <c r="B2785" s="30" t="s">
        <v>11</v>
      </c>
      <c r="C2785" s="30" t="s">
        <v>29</v>
      </c>
      <c r="D2785" s="30" t="s">
        <v>1385</v>
      </c>
      <c r="E2785" s="30" t="s">
        <v>1386</v>
      </c>
      <c r="F2785" s="30">
        <v>1</v>
      </c>
      <c r="G2785" s="44">
        <v>39692</v>
      </c>
      <c r="H2785" s="30"/>
      <c r="I2785" s="44"/>
      <c r="J2785" s="44"/>
      <c r="K2785" s="44">
        <f t="shared" si="93"/>
        <v>39692</v>
      </c>
      <c r="L2785" s="51">
        <v>20241212</v>
      </c>
    </row>
    <row r="2786" spans="1:12" x14ac:dyDescent="0.25">
      <c r="A2786" s="50" t="s">
        <v>4069</v>
      </c>
      <c r="B2786" s="30" t="s">
        <v>11</v>
      </c>
      <c r="C2786" s="30" t="s">
        <v>76</v>
      </c>
      <c r="D2786" s="30" t="s">
        <v>2913</v>
      </c>
      <c r="E2786" s="30" t="s">
        <v>1156</v>
      </c>
      <c r="F2786" s="30">
        <v>1</v>
      </c>
      <c r="G2786" s="44">
        <v>39692</v>
      </c>
      <c r="H2786" s="30"/>
      <c r="I2786" s="44"/>
      <c r="J2786" s="44"/>
      <c r="K2786" s="44">
        <f t="shared" si="93"/>
        <v>39692</v>
      </c>
      <c r="L2786" s="51">
        <v>20241213</v>
      </c>
    </row>
    <row r="2787" spans="1:12" x14ac:dyDescent="0.25">
      <c r="A2787" s="50" t="s">
        <v>4070</v>
      </c>
      <c r="B2787" s="30" t="s">
        <v>11</v>
      </c>
      <c r="C2787" s="30" t="s">
        <v>76</v>
      </c>
      <c r="D2787" s="30" t="s">
        <v>2913</v>
      </c>
      <c r="E2787" s="30" t="s">
        <v>77</v>
      </c>
      <c r="F2787" s="30">
        <v>1</v>
      </c>
      <c r="G2787" s="44">
        <v>39692</v>
      </c>
      <c r="H2787" s="30"/>
      <c r="I2787" s="44"/>
      <c r="J2787" s="44"/>
      <c r="K2787" s="44">
        <f t="shared" si="93"/>
        <v>39692</v>
      </c>
      <c r="L2787" s="51">
        <v>20241213</v>
      </c>
    </row>
    <row r="2788" spans="1:12" x14ac:dyDescent="0.25">
      <c r="A2788" s="50" t="s">
        <v>4071</v>
      </c>
      <c r="B2788" s="30" t="s">
        <v>11</v>
      </c>
      <c r="C2788" s="30" t="s">
        <v>94</v>
      </c>
      <c r="D2788" s="30" t="s">
        <v>95</v>
      </c>
      <c r="E2788" s="30" t="s">
        <v>436</v>
      </c>
      <c r="F2788" s="30">
        <v>1</v>
      </c>
      <c r="G2788" s="44">
        <v>39692</v>
      </c>
      <c r="H2788" s="30"/>
      <c r="I2788" s="44"/>
      <c r="J2788" s="44"/>
      <c r="K2788" s="44">
        <f t="shared" si="93"/>
        <v>39692</v>
      </c>
      <c r="L2788" s="51">
        <v>20241213</v>
      </c>
    </row>
    <row r="2789" spans="1:12" x14ac:dyDescent="0.25">
      <c r="A2789" s="50" t="s">
        <v>4073</v>
      </c>
      <c r="B2789" s="30" t="s">
        <v>11</v>
      </c>
      <c r="C2789" s="30" t="s">
        <v>405</v>
      </c>
      <c r="D2789" s="30" t="s">
        <v>24</v>
      </c>
      <c r="E2789" s="30" t="s">
        <v>1425</v>
      </c>
      <c r="F2789" s="30">
        <v>1</v>
      </c>
      <c r="G2789" s="44">
        <v>39692</v>
      </c>
      <c r="H2789" s="30"/>
      <c r="I2789" s="44"/>
      <c r="J2789" s="44"/>
      <c r="K2789" s="44">
        <f t="shared" si="93"/>
        <v>39692</v>
      </c>
      <c r="L2789" s="51">
        <v>20241213</v>
      </c>
    </row>
    <row r="2790" spans="1:12" x14ac:dyDescent="0.25">
      <c r="A2790" s="52" t="s">
        <v>4067</v>
      </c>
      <c r="B2790" s="32" t="s">
        <v>11</v>
      </c>
      <c r="C2790" s="32" t="s">
        <v>26</v>
      </c>
      <c r="D2790" s="32" t="s">
        <v>1800</v>
      </c>
      <c r="E2790" s="32" t="s">
        <v>4068</v>
      </c>
      <c r="F2790" s="32">
        <v>1</v>
      </c>
      <c r="G2790" s="45">
        <v>39692</v>
      </c>
      <c r="H2790" s="32">
        <v>321</v>
      </c>
      <c r="I2790" s="45">
        <v>495.3</v>
      </c>
      <c r="J2790" s="45">
        <f>I2790*H2790</f>
        <v>158991.30000000002</v>
      </c>
      <c r="K2790" s="45">
        <f t="shared" si="93"/>
        <v>198683.30000000002</v>
      </c>
      <c r="L2790" s="53">
        <v>20241217</v>
      </c>
    </row>
    <row r="2791" spans="1:12" x14ac:dyDescent="0.25">
      <c r="A2791" s="50" t="s">
        <v>4064</v>
      </c>
      <c r="B2791" s="30" t="s">
        <v>11</v>
      </c>
      <c r="C2791" s="30" t="s">
        <v>29</v>
      </c>
      <c r="D2791" s="30" t="s">
        <v>1385</v>
      </c>
      <c r="E2791" s="30" t="s">
        <v>3335</v>
      </c>
      <c r="F2791" s="30">
        <v>1</v>
      </c>
      <c r="G2791" s="44">
        <v>39692</v>
      </c>
      <c r="H2791" s="30"/>
      <c r="I2791" s="44"/>
      <c r="J2791" s="44"/>
      <c r="K2791" s="44">
        <f t="shared" si="93"/>
        <v>39692</v>
      </c>
      <c r="L2791" s="51">
        <v>20241218</v>
      </c>
    </row>
    <row r="2792" spans="1:12" x14ac:dyDescent="0.25">
      <c r="A2792" s="52" t="s">
        <v>4066</v>
      </c>
      <c r="B2792" s="32" t="s">
        <v>11</v>
      </c>
      <c r="C2792" s="32" t="s">
        <v>57</v>
      </c>
      <c r="D2792" s="32" t="s">
        <v>58</v>
      </c>
      <c r="E2792" s="32" t="s">
        <v>59</v>
      </c>
      <c r="F2792" s="32">
        <v>1</v>
      </c>
      <c r="G2792" s="45">
        <v>39692</v>
      </c>
      <c r="H2792" s="32">
        <v>34</v>
      </c>
      <c r="I2792" s="45">
        <v>495.3</v>
      </c>
      <c r="J2792" s="45">
        <f>I2792*H2792</f>
        <v>16840.2</v>
      </c>
      <c r="K2792" s="45">
        <f t="shared" si="93"/>
        <v>56532.2</v>
      </c>
      <c r="L2792" s="53">
        <v>20241218</v>
      </c>
    </row>
    <row r="2793" spans="1:12" x14ac:dyDescent="0.25">
      <c r="A2793" s="50" t="s">
        <v>4063</v>
      </c>
      <c r="B2793" s="30" t="s">
        <v>11</v>
      </c>
      <c r="C2793" s="30" t="s">
        <v>1021</v>
      </c>
      <c r="D2793" s="30" t="s">
        <v>24</v>
      </c>
      <c r="E2793" s="30" t="s">
        <v>1337</v>
      </c>
      <c r="F2793" s="30">
        <v>1</v>
      </c>
      <c r="G2793" s="44">
        <v>39692</v>
      </c>
      <c r="H2793" s="30"/>
      <c r="I2793" s="44"/>
      <c r="J2793" s="44"/>
      <c r="K2793" s="44">
        <f t="shared" si="93"/>
        <v>39692</v>
      </c>
      <c r="L2793" s="51">
        <v>20241220</v>
      </c>
    </row>
    <row r="2794" spans="1:12" x14ac:dyDescent="0.25">
      <c r="A2794" s="50" t="s">
        <v>4062</v>
      </c>
      <c r="B2794" s="30" t="s">
        <v>11</v>
      </c>
      <c r="C2794" s="30" t="s">
        <v>29</v>
      </c>
      <c r="D2794" s="30" t="s">
        <v>1385</v>
      </c>
      <c r="E2794" s="30" t="s">
        <v>630</v>
      </c>
      <c r="F2794" s="30">
        <v>1</v>
      </c>
      <c r="G2794" s="44">
        <v>39692</v>
      </c>
      <c r="H2794" s="30"/>
      <c r="I2794" s="44"/>
      <c r="J2794" s="44"/>
      <c r="K2794" s="44">
        <f t="shared" si="93"/>
        <v>39692</v>
      </c>
      <c r="L2794" s="51">
        <v>20241223</v>
      </c>
    </row>
    <row r="2795" spans="1:12" x14ac:dyDescent="0.25">
      <c r="A2795" s="52" t="s">
        <v>4065</v>
      </c>
      <c r="B2795" s="32" t="s">
        <v>11</v>
      </c>
      <c r="C2795" s="32" t="s">
        <v>337</v>
      </c>
      <c r="D2795" s="32" t="s">
        <v>162</v>
      </c>
      <c r="E2795" s="32" t="s">
        <v>1530</v>
      </c>
      <c r="F2795" s="32">
        <v>1</v>
      </c>
      <c r="G2795" s="45">
        <v>39692</v>
      </c>
      <c r="H2795" s="32">
        <v>69</v>
      </c>
      <c r="I2795" s="45">
        <v>495.3</v>
      </c>
      <c r="J2795" s="45">
        <f>I2795*H2795</f>
        <v>34175.700000000004</v>
      </c>
      <c r="K2795" s="45">
        <f t="shared" si="93"/>
        <v>73867.700000000012</v>
      </c>
      <c r="L2795" s="53">
        <v>20241223</v>
      </c>
    </row>
    <row r="2796" spans="1:12" x14ac:dyDescent="0.25">
      <c r="A2796" s="50" t="s">
        <v>4056</v>
      </c>
      <c r="B2796" s="30" t="s">
        <v>1209</v>
      </c>
      <c r="C2796" s="30" t="s">
        <v>936</v>
      </c>
      <c r="D2796" s="30" t="s">
        <v>4054</v>
      </c>
      <c r="E2796" s="30" t="s">
        <v>4057</v>
      </c>
      <c r="F2796" s="30">
        <v>1</v>
      </c>
      <c r="G2796" s="123">
        <v>180000</v>
      </c>
      <c r="H2796" s="30"/>
      <c r="I2796" s="44"/>
      <c r="J2796" s="44"/>
      <c r="K2796" s="44">
        <f t="shared" si="93"/>
        <v>180000</v>
      </c>
      <c r="L2796" s="51">
        <v>20241223</v>
      </c>
    </row>
    <row r="2797" spans="1:12" x14ac:dyDescent="0.25">
      <c r="A2797" s="50" t="s">
        <v>4053</v>
      </c>
      <c r="B2797" s="30" t="s">
        <v>1209</v>
      </c>
      <c r="C2797" s="30" t="s">
        <v>936</v>
      </c>
      <c r="D2797" s="30" t="s">
        <v>4054</v>
      </c>
      <c r="E2797" s="30" t="s">
        <v>4055</v>
      </c>
      <c r="F2797" s="30">
        <v>1</v>
      </c>
      <c r="G2797" s="123">
        <v>90000</v>
      </c>
      <c r="H2797" s="30"/>
      <c r="I2797" s="44"/>
      <c r="J2797" s="44"/>
      <c r="K2797" s="44">
        <f t="shared" si="93"/>
        <v>90000</v>
      </c>
      <c r="L2797" s="51">
        <v>20241223</v>
      </c>
    </row>
    <row r="2798" spans="1:12" x14ac:dyDescent="0.25">
      <c r="A2798" s="50" t="s">
        <v>4058</v>
      </c>
      <c r="B2798" s="30" t="s">
        <v>1209</v>
      </c>
      <c r="C2798" s="30" t="s">
        <v>936</v>
      </c>
      <c r="D2798" s="30" t="s">
        <v>4054</v>
      </c>
      <c r="E2798" s="30" t="s">
        <v>4059</v>
      </c>
      <c r="F2798" s="30">
        <v>1</v>
      </c>
      <c r="G2798" s="123">
        <v>90000</v>
      </c>
      <c r="H2798" s="30"/>
      <c r="I2798" s="44"/>
      <c r="J2798" s="44"/>
      <c r="K2798" s="44">
        <f t="shared" si="93"/>
        <v>90000</v>
      </c>
      <c r="L2798" s="51">
        <v>20241223</v>
      </c>
    </row>
    <row r="2799" spans="1:12" x14ac:dyDescent="0.25">
      <c r="A2799" s="50" t="s">
        <v>4060</v>
      </c>
      <c r="B2799" s="30" t="s">
        <v>1209</v>
      </c>
      <c r="C2799" s="30" t="s">
        <v>936</v>
      </c>
      <c r="D2799" s="30" t="s">
        <v>4054</v>
      </c>
      <c r="E2799" s="30" t="s">
        <v>4061</v>
      </c>
      <c r="F2799" s="30">
        <v>1</v>
      </c>
      <c r="G2799" s="123">
        <v>90000</v>
      </c>
      <c r="H2799" s="30"/>
      <c r="I2799" s="44"/>
      <c r="J2799" s="44"/>
      <c r="K2799" s="44">
        <f t="shared" si="93"/>
        <v>90000</v>
      </c>
      <c r="L2799" s="51">
        <v>20241223</v>
      </c>
    </row>
    <row r="2800" spans="1:12" x14ac:dyDescent="0.25">
      <c r="A2800" s="50" t="s">
        <v>4052</v>
      </c>
      <c r="B2800" s="30" t="s">
        <v>11</v>
      </c>
      <c r="C2800" s="30" t="s">
        <v>251</v>
      </c>
      <c r="D2800" s="30" t="s">
        <v>1202</v>
      </c>
      <c r="E2800" s="30" t="s">
        <v>1203</v>
      </c>
      <c r="F2800" s="30">
        <v>1</v>
      </c>
      <c r="G2800" s="44">
        <v>39692</v>
      </c>
      <c r="H2800" s="30"/>
      <c r="I2800" s="44"/>
      <c r="J2800" s="44"/>
      <c r="K2800" s="44">
        <f t="shared" si="93"/>
        <v>39692</v>
      </c>
      <c r="L2800" s="51">
        <v>20241227</v>
      </c>
    </row>
    <row r="2801" spans="1:12" x14ac:dyDescent="0.25">
      <c r="A2801" s="50" t="s">
        <v>4050</v>
      </c>
      <c r="B2801" s="30" t="s">
        <v>1209</v>
      </c>
      <c r="C2801" s="30" t="s">
        <v>94</v>
      </c>
      <c r="D2801" s="30" t="s">
        <v>95</v>
      </c>
      <c r="E2801" s="30" t="s">
        <v>4051</v>
      </c>
      <c r="F2801" s="30">
        <v>1</v>
      </c>
      <c r="G2801" s="44">
        <v>39692</v>
      </c>
      <c r="H2801" s="30"/>
      <c r="I2801" s="44"/>
      <c r="J2801" s="44"/>
      <c r="K2801" s="44">
        <f t="shared" si="93"/>
        <v>39692</v>
      </c>
      <c r="L2801" s="51">
        <v>20241230</v>
      </c>
    </row>
    <row r="2802" spans="1:12" ht="15.75" thickBot="1" x14ac:dyDescent="0.3">
      <c r="A2802" s="54" t="s">
        <v>4110</v>
      </c>
      <c r="B2802" s="36" t="s">
        <v>1209</v>
      </c>
      <c r="C2802" s="36" t="s">
        <v>94</v>
      </c>
      <c r="D2802" s="36" t="s">
        <v>95</v>
      </c>
      <c r="E2802" s="36" t="s">
        <v>2583</v>
      </c>
      <c r="F2802" s="36">
        <v>1</v>
      </c>
      <c r="G2802" s="65">
        <v>39692</v>
      </c>
      <c r="H2802" s="36"/>
      <c r="I2802" s="65"/>
      <c r="J2802" s="65"/>
      <c r="K2802" s="65">
        <f t="shared" si="93"/>
        <v>39692</v>
      </c>
      <c r="L2802" s="55">
        <v>20241230</v>
      </c>
    </row>
    <row r="2803" spans="1:12" x14ac:dyDescent="0.25">
      <c r="A2803" s="73"/>
      <c r="B2803" s="74"/>
      <c r="C2803" s="74"/>
      <c r="D2803" s="74"/>
      <c r="E2803" s="74"/>
      <c r="F2803" s="74"/>
      <c r="G2803" s="75"/>
      <c r="H2803" s="74"/>
      <c r="I2803" s="75"/>
      <c r="J2803" s="75"/>
      <c r="K2803" s="75"/>
      <c r="L2803" s="76"/>
    </row>
    <row r="2804" spans="1:12" ht="15.75" thickBot="1" x14ac:dyDescent="0.3">
      <c r="A2804" s="69"/>
      <c r="B2804" s="70"/>
      <c r="C2804" s="70"/>
      <c r="D2804" s="70"/>
      <c r="E2804" s="70"/>
      <c r="F2804" s="70"/>
      <c r="G2804" s="71"/>
      <c r="H2804" s="70"/>
      <c r="I2804" s="71"/>
      <c r="J2804" s="71"/>
      <c r="K2804" s="71"/>
      <c r="L2804" s="72"/>
    </row>
    <row r="2805" spans="1:12" x14ac:dyDescent="0.25">
      <c r="A2805" s="48" t="s">
        <v>4101</v>
      </c>
      <c r="B2805" s="34" t="s">
        <v>137</v>
      </c>
      <c r="C2805" s="34" t="s">
        <v>163</v>
      </c>
      <c r="D2805" s="34" t="s">
        <v>164</v>
      </c>
      <c r="E2805" s="34" t="s">
        <v>185</v>
      </c>
      <c r="F2805" s="34">
        <v>1</v>
      </c>
      <c r="G2805" s="64">
        <v>19849</v>
      </c>
      <c r="H2805" s="34"/>
      <c r="I2805" s="64"/>
      <c r="J2805" s="64"/>
      <c r="K2805" s="64">
        <f t="shared" ref="K2805:K2832" si="94">J2805+G2805</f>
        <v>19849</v>
      </c>
      <c r="L2805" s="49">
        <v>20241202</v>
      </c>
    </row>
    <row r="2806" spans="1:12" x14ac:dyDescent="0.25">
      <c r="A2806" s="50" t="s">
        <v>4098</v>
      </c>
      <c r="B2806" s="30" t="s">
        <v>137</v>
      </c>
      <c r="C2806" s="30" t="s">
        <v>405</v>
      </c>
      <c r="D2806" s="30" t="s">
        <v>24</v>
      </c>
      <c r="E2806" s="30" t="s">
        <v>1425</v>
      </c>
      <c r="F2806" s="30">
        <v>1</v>
      </c>
      <c r="G2806" s="44">
        <v>19849</v>
      </c>
      <c r="H2806" s="30"/>
      <c r="I2806" s="44"/>
      <c r="J2806" s="44"/>
      <c r="K2806" s="44">
        <f t="shared" si="94"/>
        <v>19849</v>
      </c>
      <c r="L2806" s="51">
        <v>20241203</v>
      </c>
    </row>
    <row r="2807" spans="1:12" x14ac:dyDescent="0.25">
      <c r="A2807" s="50" t="s">
        <v>4099</v>
      </c>
      <c r="B2807" s="30" t="s">
        <v>137</v>
      </c>
      <c r="C2807" s="30" t="s">
        <v>29</v>
      </c>
      <c r="D2807" s="30" t="s">
        <v>2548</v>
      </c>
      <c r="E2807" s="30" t="s">
        <v>390</v>
      </c>
      <c r="F2807" s="30">
        <v>1</v>
      </c>
      <c r="G2807" s="44">
        <v>19849</v>
      </c>
      <c r="H2807" s="30"/>
      <c r="I2807" s="44"/>
      <c r="J2807" s="44"/>
      <c r="K2807" s="44">
        <f t="shared" si="94"/>
        <v>19849</v>
      </c>
      <c r="L2807" s="51">
        <v>20241203</v>
      </c>
    </row>
    <row r="2808" spans="1:12" x14ac:dyDescent="0.25">
      <c r="A2808" s="50" t="s">
        <v>4102</v>
      </c>
      <c r="B2808" s="30" t="s">
        <v>137</v>
      </c>
      <c r="C2808" s="30" t="s">
        <v>53</v>
      </c>
      <c r="D2808" s="30" t="s">
        <v>24</v>
      </c>
      <c r="E2808" s="30" t="s">
        <v>1132</v>
      </c>
      <c r="F2808" s="30">
        <v>1</v>
      </c>
      <c r="G2808" s="44">
        <v>19849</v>
      </c>
      <c r="H2808" s="30"/>
      <c r="I2808" s="44"/>
      <c r="J2808" s="44"/>
      <c r="K2808" s="44">
        <f t="shared" si="94"/>
        <v>19849</v>
      </c>
      <c r="L2808" s="51">
        <v>20241203</v>
      </c>
    </row>
    <row r="2809" spans="1:12" x14ac:dyDescent="0.25">
      <c r="A2809" s="50" t="s">
        <v>4103</v>
      </c>
      <c r="B2809" s="30" t="s">
        <v>137</v>
      </c>
      <c r="C2809" s="30" t="s">
        <v>53</v>
      </c>
      <c r="D2809" s="30" t="s">
        <v>24</v>
      </c>
      <c r="E2809" s="30" t="s">
        <v>2289</v>
      </c>
      <c r="F2809" s="30">
        <v>1</v>
      </c>
      <c r="G2809" s="44">
        <v>19849</v>
      </c>
      <c r="H2809" s="30"/>
      <c r="I2809" s="44"/>
      <c r="J2809" s="44"/>
      <c r="K2809" s="44">
        <f t="shared" si="94"/>
        <v>19849</v>
      </c>
      <c r="L2809" s="51">
        <v>20241203</v>
      </c>
    </row>
    <row r="2810" spans="1:12" x14ac:dyDescent="0.25">
      <c r="A2810" s="50" t="s">
        <v>4078</v>
      </c>
      <c r="B2810" s="30" t="s">
        <v>137</v>
      </c>
      <c r="C2810" s="30" t="s">
        <v>1234</v>
      </c>
      <c r="D2810" s="30" t="s">
        <v>24</v>
      </c>
      <c r="E2810" s="30" t="s">
        <v>1235</v>
      </c>
      <c r="F2810" s="30">
        <v>1</v>
      </c>
      <c r="G2810" s="44">
        <v>19849</v>
      </c>
      <c r="H2810" s="30"/>
      <c r="I2810" s="44"/>
      <c r="J2810" s="44"/>
      <c r="K2810" s="44">
        <f t="shared" si="94"/>
        <v>19849</v>
      </c>
      <c r="L2810" s="51">
        <v>20241204</v>
      </c>
    </row>
    <row r="2811" spans="1:12" x14ac:dyDescent="0.25">
      <c r="A2811" s="50" t="s">
        <v>4079</v>
      </c>
      <c r="B2811" s="30" t="s">
        <v>137</v>
      </c>
      <c r="C2811" s="30" t="s">
        <v>1234</v>
      </c>
      <c r="D2811" s="30" t="s">
        <v>24</v>
      </c>
      <c r="E2811" s="30" t="s">
        <v>2045</v>
      </c>
      <c r="F2811" s="30">
        <v>1</v>
      </c>
      <c r="G2811" s="44">
        <v>19849</v>
      </c>
      <c r="H2811" s="30"/>
      <c r="I2811" s="44"/>
      <c r="J2811" s="44"/>
      <c r="K2811" s="44">
        <f t="shared" si="94"/>
        <v>19849</v>
      </c>
      <c r="L2811" s="51">
        <v>20241204</v>
      </c>
    </row>
    <row r="2812" spans="1:12" x14ac:dyDescent="0.25">
      <c r="A2812" s="50" t="s">
        <v>4083</v>
      </c>
      <c r="B2812" s="30" t="s">
        <v>137</v>
      </c>
      <c r="C2812" s="30" t="s">
        <v>202</v>
      </c>
      <c r="D2812" s="30" t="s">
        <v>203</v>
      </c>
      <c r="E2812" s="30" t="s">
        <v>4084</v>
      </c>
      <c r="F2812" s="30">
        <v>1</v>
      </c>
      <c r="G2812" s="44">
        <v>19849</v>
      </c>
      <c r="H2812" s="30"/>
      <c r="I2812" s="44"/>
      <c r="J2812" s="44"/>
      <c r="K2812" s="44">
        <f t="shared" si="94"/>
        <v>19849</v>
      </c>
      <c r="L2812" s="51">
        <v>20241204</v>
      </c>
    </row>
    <row r="2813" spans="1:12" x14ac:dyDescent="0.25">
      <c r="A2813" s="50" t="s">
        <v>4085</v>
      </c>
      <c r="B2813" s="30" t="s">
        <v>137</v>
      </c>
      <c r="C2813" s="30" t="s">
        <v>202</v>
      </c>
      <c r="D2813" s="30" t="s">
        <v>203</v>
      </c>
      <c r="E2813" s="30" t="s">
        <v>2196</v>
      </c>
      <c r="F2813" s="30">
        <v>1</v>
      </c>
      <c r="G2813" s="44">
        <v>19849</v>
      </c>
      <c r="H2813" s="30"/>
      <c r="I2813" s="44"/>
      <c r="J2813" s="44"/>
      <c r="K2813" s="44">
        <f t="shared" si="94"/>
        <v>19849</v>
      </c>
      <c r="L2813" s="51">
        <v>20241204</v>
      </c>
    </row>
    <row r="2814" spans="1:12" x14ac:dyDescent="0.25">
      <c r="A2814" s="50" t="s">
        <v>4086</v>
      </c>
      <c r="B2814" s="30" t="s">
        <v>137</v>
      </c>
      <c r="C2814" s="30" t="s">
        <v>202</v>
      </c>
      <c r="D2814" s="30" t="s">
        <v>203</v>
      </c>
      <c r="E2814" s="30" t="s">
        <v>2198</v>
      </c>
      <c r="F2814" s="30">
        <v>1</v>
      </c>
      <c r="G2814" s="44">
        <v>19849</v>
      </c>
      <c r="H2814" s="30"/>
      <c r="I2814" s="44"/>
      <c r="J2814" s="44"/>
      <c r="K2814" s="44">
        <f t="shared" si="94"/>
        <v>19849</v>
      </c>
      <c r="L2814" s="51">
        <v>20241204</v>
      </c>
    </row>
    <row r="2815" spans="1:12" x14ac:dyDescent="0.25">
      <c r="A2815" s="50" t="s">
        <v>4087</v>
      </c>
      <c r="B2815" s="30" t="s">
        <v>137</v>
      </c>
      <c r="C2815" s="30" t="s">
        <v>202</v>
      </c>
      <c r="D2815" s="30" t="s">
        <v>203</v>
      </c>
      <c r="E2815" s="30" t="s">
        <v>2200</v>
      </c>
      <c r="F2815" s="30">
        <v>1</v>
      </c>
      <c r="G2815" s="44">
        <v>19849</v>
      </c>
      <c r="H2815" s="30"/>
      <c r="I2815" s="44"/>
      <c r="J2815" s="44"/>
      <c r="K2815" s="44">
        <f t="shared" si="94"/>
        <v>19849</v>
      </c>
      <c r="L2815" s="51">
        <v>20241204</v>
      </c>
    </row>
    <row r="2816" spans="1:12" x14ac:dyDescent="0.25">
      <c r="A2816" s="50" t="s">
        <v>4088</v>
      </c>
      <c r="B2816" s="30" t="s">
        <v>137</v>
      </c>
      <c r="C2816" s="30" t="s">
        <v>202</v>
      </c>
      <c r="D2816" s="30" t="s">
        <v>203</v>
      </c>
      <c r="E2816" s="30" t="s">
        <v>214</v>
      </c>
      <c r="F2816" s="30">
        <v>1</v>
      </c>
      <c r="G2816" s="44">
        <v>19849</v>
      </c>
      <c r="H2816" s="30"/>
      <c r="I2816" s="44"/>
      <c r="J2816" s="44"/>
      <c r="K2816" s="44">
        <f t="shared" si="94"/>
        <v>19849</v>
      </c>
      <c r="L2816" s="51">
        <v>20241204</v>
      </c>
    </row>
    <row r="2817" spans="1:12" x14ac:dyDescent="0.25">
      <c r="A2817" s="50" t="s">
        <v>4089</v>
      </c>
      <c r="B2817" s="30" t="s">
        <v>137</v>
      </c>
      <c r="C2817" s="30" t="s">
        <v>202</v>
      </c>
      <c r="D2817" s="30" t="s">
        <v>203</v>
      </c>
      <c r="E2817" s="30" t="s">
        <v>2203</v>
      </c>
      <c r="F2817" s="30">
        <v>1</v>
      </c>
      <c r="G2817" s="44">
        <v>19849</v>
      </c>
      <c r="H2817" s="30"/>
      <c r="I2817" s="44"/>
      <c r="J2817" s="44"/>
      <c r="K2817" s="44">
        <f t="shared" si="94"/>
        <v>19849</v>
      </c>
      <c r="L2817" s="51">
        <v>20241204</v>
      </c>
    </row>
    <row r="2818" spans="1:12" x14ac:dyDescent="0.25">
      <c r="A2818" s="50" t="s">
        <v>4090</v>
      </c>
      <c r="B2818" s="30" t="s">
        <v>137</v>
      </c>
      <c r="C2818" s="30" t="s">
        <v>202</v>
      </c>
      <c r="D2818" s="30" t="s">
        <v>203</v>
      </c>
      <c r="E2818" s="30" t="s">
        <v>1164</v>
      </c>
      <c r="F2818" s="30">
        <v>1</v>
      </c>
      <c r="G2818" s="44">
        <v>19849</v>
      </c>
      <c r="H2818" s="30"/>
      <c r="I2818" s="44"/>
      <c r="J2818" s="44"/>
      <c r="K2818" s="44">
        <f t="shared" si="94"/>
        <v>19849</v>
      </c>
      <c r="L2818" s="51">
        <v>20241204</v>
      </c>
    </row>
    <row r="2819" spans="1:12" x14ac:dyDescent="0.25">
      <c r="A2819" s="50" t="s">
        <v>4091</v>
      </c>
      <c r="B2819" s="30" t="s">
        <v>137</v>
      </c>
      <c r="C2819" s="30" t="s">
        <v>202</v>
      </c>
      <c r="D2819" s="30" t="s">
        <v>203</v>
      </c>
      <c r="E2819" s="30" t="s">
        <v>2206</v>
      </c>
      <c r="F2819" s="30">
        <v>1</v>
      </c>
      <c r="G2819" s="44">
        <v>19849</v>
      </c>
      <c r="H2819" s="30"/>
      <c r="I2819" s="44"/>
      <c r="J2819" s="44"/>
      <c r="K2819" s="44">
        <f t="shared" si="94"/>
        <v>19849</v>
      </c>
      <c r="L2819" s="51">
        <v>20241204</v>
      </c>
    </row>
    <row r="2820" spans="1:12" x14ac:dyDescent="0.25">
      <c r="A2820" s="52" t="s">
        <v>4092</v>
      </c>
      <c r="B2820" s="32" t="s">
        <v>137</v>
      </c>
      <c r="C2820" s="32" t="s">
        <v>202</v>
      </c>
      <c r="D2820" s="32" t="s">
        <v>203</v>
      </c>
      <c r="E2820" s="32" t="s">
        <v>2210</v>
      </c>
      <c r="F2820" s="32">
        <v>1</v>
      </c>
      <c r="G2820" s="45">
        <v>19849</v>
      </c>
      <c r="H2820" s="32">
        <v>100</v>
      </c>
      <c r="I2820" s="45">
        <v>495.3</v>
      </c>
      <c r="J2820" s="45">
        <f>I2820*H2820</f>
        <v>49530</v>
      </c>
      <c r="K2820" s="45">
        <f t="shared" si="94"/>
        <v>69379</v>
      </c>
      <c r="L2820" s="53">
        <v>20241204</v>
      </c>
    </row>
    <row r="2821" spans="1:12" x14ac:dyDescent="0.25">
      <c r="A2821" s="50" t="s">
        <v>4093</v>
      </c>
      <c r="B2821" s="30" t="s">
        <v>137</v>
      </c>
      <c r="C2821" s="30" t="s">
        <v>202</v>
      </c>
      <c r="D2821" s="30" t="s">
        <v>203</v>
      </c>
      <c r="E2821" s="30" t="s">
        <v>2212</v>
      </c>
      <c r="F2821" s="30">
        <v>1</v>
      </c>
      <c r="G2821" s="44">
        <v>19849</v>
      </c>
      <c r="H2821" s="30"/>
      <c r="I2821" s="44"/>
      <c r="J2821" s="44"/>
      <c r="K2821" s="44">
        <f t="shared" si="94"/>
        <v>19849</v>
      </c>
      <c r="L2821" s="51">
        <v>20241204</v>
      </c>
    </row>
    <row r="2822" spans="1:12" x14ac:dyDescent="0.25">
      <c r="A2822" s="50" t="s">
        <v>4094</v>
      </c>
      <c r="B2822" s="30" t="s">
        <v>137</v>
      </c>
      <c r="C2822" s="30" t="s">
        <v>202</v>
      </c>
      <c r="D2822" s="30" t="s">
        <v>203</v>
      </c>
      <c r="E2822" s="30" t="s">
        <v>2214</v>
      </c>
      <c r="F2822" s="30">
        <v>1</v>
      </c>
      <c r="G2822" s="44">
        <v>19849</v>
      </c>
      <c r="H2822" s="30"/>
      <c r="I2822" s="44"/>
      <c r="J2822" s="44"/>
      <c r="K2822" s="44">
        <f t="shared" si="94"/>
        <v>19849</v>
      </c>
      <c r="L2822" s="51">
        <v>20241204</v>
      </c>
    </row>
    <row r="2823" spans="1:12" x14ac:dyDescent="0.25">
      <c r="A2823" s="50" t="s">
        <v>4095</v>
      </c>
      <c r="B2823" s="30" t="s">
        <v>137</v>
      </c>
      <c r="C2823" s="30" t="s">
        <v>202</v>
      </c>
      <c r="D2823" s="30" t="s">
        <v>203</v>
      </c>
      <c r="E2823" s="30" t="s">
        <v>626</v>
      </c>
      <c r="F2823" s="30">
        <v>1</v>
      </c>
      <c r="G2823" s="44">
        <v>19849</v>
      </c>
      <c r="H2823" s="30"/>
      <c r="I2823" s="44"/>
      <c r="J2823" s="44"/>
      <c r="K2823" s="44">
        <f t="shared" si="94"/>
        <v>19849</v>
      </c>
      <c r="L2823" s="51">
        <v>20241204</v>
      </c>
    </row>
    <row r="2824" spans="1:12" x14ac:dyDescent="0.25">
      <c r="A2824" s="52" t="s">
        <v>4096</v>
      </c>
      <c r="B2824" s="32" t="s">
        <v>137</v>
      </c>
      <c r="C2824" s="32" t="s">
        <v>29</v>
      </c>
      <c r="D2824" s="32" t="s">
        <v>3494</v>
      </c>
      <c r="E2824" s="32" t="s">
        <v>2348</v>
      </c>
      <c r="F2824" s="32">
        <v>1</v>
      </c>
      <c r="G2824" s="45">
        <v>19849</v>
      </c>
      <c r="H2824" s="32">
        <v>27</v>
      </c>
      <c r="I2824" s="45">
        <v>495.3</v>
      </c>
      <c r="J2824" s="45">
        <f>I2824*H2824</f>
        <v>13373.1</v>
      </c>
      <c r="K2824" s="45">
        <f t="shared" si="94"/>
        <v>33222.1</v>
      </c>
      <c r="L2824" s="53">
        <v>20241204</v>
      </c>
    </row>
    <row r="2825" spans="1:12" x14ac:dyDescent="0.25">
      <c r="A2825" s="50" t="s">
        <v>4080</v>
      </c>
      <c r="B2825" s="30" t="s">
        <v>137</v>
      </c>
      <c r="C2825" s="30" t="s">
        <v>4081</v>
      </c>
      <c r="D2825" s="30" t="s">
        <v>24</v>
      </c>
      <c r="E2825" s="30" t="s">
        <v>4082</v>
      </c>
      <c r="F2825" s="30">
        <v>1</v>
      </c>
      <c r="G2825" s="44">
        <v>19849</v>
      </c>
      <c r="H2825" s="30"/>
      <c r="I2825" s="44"/>
      <c r="J2825" s="44"/>
      <c r="K2825" s="44">
        <f t="shared" si="94"/>
        <v>19849</v>
      </c>
      <c r="L2825" s="51">
        <v>20241205</v>
      </c>
    </row>
    <row r="2826" spans="1:12" x14ac:dyDescent="0.25">
      <c r="A2826" s="50" t="s">
        <v>4104</v>
      </c>
      <c r="B2826" s="30" t="s">
        <v>137</v>
      </c>
      <c r="C2826" s="30" t="s">
        <v>53</v>
      </c>
      <c r="D2826" s="30" t="s">
        <v>24</v>
      </c>
      <c r="E2826" s="30" t="s">
        <v>1281</v>
      </c>
      <c r="F2826" s="30">
        <v>1</v>
      </c>
      <c r="G2826" s="44">
        <v>19849</v>
      </c>
      <c r="H2826" s="30"/>
      <c r="I2826" s="44"/>
      <c r="J2826" s="44"/>
      <c r="K2826" s="44">
        <f t="shared" si="94"/>
        <v>19849</v>
      </c>
      <c r="L2826" s="51">
        <v>20241205</v>
      </c>
    </row>
    <row r="2827" spans="1:12" x14ac:dyDescent="0.25">
      <c r="A2827" s="50" t="s">
        <v>4111</v>
      </c>
      <c r="B2827" s="30" t="s">
        <v>137</v>
      </c>
      <c r="C2827" s="30" t="s">
        <v>29</v>
      </c>
      <c r="D2827" s="30" t="s">
        <v>1385</v>
      </c>
      <c r="E2827" s="30" t="s">
        <v>733</v>
      </c>
      <c r="F2827" s="30">
        <v>1</v>
      </c>
      <c r="G2827" s="44">
        <v>19849</v>
      </c>
      <c r="H2827" s="30"/>
      <c r="I2827" s="44"/>
      <c r="J2827" s="44"/>
      <c r="K2827" s="44">
        <f t="shared" si="94"/>
        <v>19849</v>
      </c>
      <c r="L2827" s="51">
        <v>20241209</v>
      </c>
    </row>
    <row r="2828" spans="1:12" x14ac:dyDescent="0.25">
      <c r="A2828" s="50" t="s">
        <v>4045</v>
      </c>
      <c r="B2828" s="30" t="s">
        <v>137</v>
      </c>
      <c r="C2828" s="30" t="s">
        <v>28</v>
      </c>
      <c r="D2828" s="30" t="s">
        <v>759</v>
      </c>
      <c r="E2828" s="30" t="s">
        <v>1106</v>
      </c>
      <c r="F2828" s="30">
        <v>1</v>
      </c>
      <c r="G2828" s="44">
        <v>19849</v>
      </c>
      <c r="H2828" s="30"/>
      <c r="I2828" s="44"/>
      <c r="J2828" s="44"/>
      <c r="K2828" s="44">
        <f t="shared" si="94"/>
        <v>19849</v>
      </c>
      <c r="L2828" s="51">
        <v>20241230</v>
      </c>
    </row>
    <row r="2829" spans="1:12" x14ac:dyDescent="0.25">
      <c r="A2829" s="50" t="s">
        <v>4046</v>
      </c>
      <c r="B2829" s="30" t="s">
        <v>137</v>
      </c>
      <c r="C2829" s="30" t="s">
        <v>28</v>
      </c>
      <c r="D2829" s="30" t="s">
        <v>759</v>
      </c>
      <c r="E2829" s="30" t="s">
        <v>760</v>
      </c>
      <c r="F2829" s="30">
        <v>1</v>
      </c>
      <c r="G2829" s="44">
        <v>19849</v>
      </c>
      <c r="H2829" s="30"/>
      <c r="I2829" s="44"/>
      <c r="J2829" s="44"/>
      <c r="K2829" s="44">
        <f t="shared" si="94"/>
        <v>19849</v>
      </c>
      <c r="L2829" s="51">
        <v>20241230</v>
      </c>
    </row>
    <row r="2830" spans="1:12" x14ac:dyDescent="0.25">
      <c r="A2830" s="50" t="s">
        <v>4047</v>
      </c>
      <c r="B2830" s="30" t="s">
        <v>137</v>
      </c>
      <c r="C2830" s="30" t="s">
        <v>28</v>
      </c>
      <c r="D2830" s="30" t="s">
        <v>759</v>
      </c>
      <c r="E2830" s="30" t="s">
        <v>762</v>
      </c>
      <c r="F2830" s="30">
        <v>1</v>
      </c>
      <c r="G2830" s="44">
        <v>19849</v>
      </c>
      <c r="H2830" s="30"/>
      <c r="I2830" s="44"/>
      <c r="J2830" s="44"/>
      <c r="K2830" s="44">
        <f t="shared" si="94"/>
        <v>19849</v>
      </c>
      <c r="L2830" s="51">
        <v>20241230</v>
      </c>
    </row>
    <row r="2831" spans="1:12" x14ac:dyDescent="0.25">
      <c r="A2831" s="50" t="s">
        <v>4048</v>
      </c>
      <c r="B2831" s="30" t="s">
        <v>137</v>
      </c>
      <c r="C2831" s="30" t="s">
        <v>29</v>
      </c>
      <c r="D2831" s="30" t="s">
        <v>1656</v>
      </c>
      <c r="E2831" s="30" t="s">
        <v>2300</v>
      </c>
      <c r="F2831" s="30">
        <v>1</v>
      </c>
      <c r="G2831" s="44">
        <v>19849</v>
      </c>
      <c r="H2831" s="30"/>
      <c r="I2831" s="44"/>
      <c r="J2831" s="44"/>
      <c r="K2831" s="44">
        <f t="shared" si="94"/>
        <v>19849</v>
      </c>
      <c r="L2831" s="51">
        <v>20241231</v>
      </c>
    </row>
    <row r="2832" spans="1:12" ht="15.75" thickBot="1" x14ac:dyDescent="0.3">
      <c r="A2832" s="54" t="s">
        <v>4049</v>
      </c>
      <c r="B2832" s="36" t="s">
        <v>137</v>
      </c>
      <c r="C2832" s="36" t="s">
        <v>29</v>
      </c>
      <c r="D2832" s="36" t="s">
        <v>1656</v>
      </c>
      <c r="E2832" s="36" t="s">
        <v>2324</v>
      </c>
      <c r="F2832" s="36">
        <v>1</v>
      </c>
      <c r="G2832" s="65">
        <v>19849</v>
      </c>
      <c r="H2832" s="36"/>
      <c r="I2832" s="65"/>
      <c r="J2832" s="65"/>
      <c r="K2832" s="65">
        <f t="shared" si="94"/>
        <v>19849</v>
      </c>
      <c r="L2832" s="55">
        <v>20241231</v>
      </c>
    </row>
    <row r="2835" spans="1:12" ht="15.75" thickBot="1" x14ac:dyDescent="0.3">
      <c r="A2835" s="69" t="s">
        <v>0</v>
      </c>
      <c r="B2835" s="70" t="s">
        <v>1</v>
      </c>
      <c r="C2835" s="70" t="s">
        <v>2</v>
      </c>
      <c r="D2835" s="70" t="s">
        <v>3</v>
      </c>
      <c r="E2835" s="70" t="s">
        <v>4</v>
      </c>
      <c r="F2835" s="70"/>
      <c r="G2835" s="71" t="s">
        <v>6</v>
      </c>
      <c r="H2835" s="70" t="s">
        <v>7</v>
      </c>
      <c r="I2835" s="71" t="s">
        <v>8</v>
      </c>
      <c r="J2835" s="71" t="s">
        <v>9</v>
      </c>
      <c r="K2835" s="71" t="s">
        <v>10</v>
      </c>
      <c r="L2835" s="72" t="s">
        <v>5</v>
      </c>
    </row>
    <row r="2836" spans="1:12" x14ac:dyDescent="0.25">
      <c r="A2836" s="48" t="s">
        <v>4172</v>
      </c>
      <c r="B2836" s="34" t="s">
        <v>1209</v>
      </c>
      <c r="C2836" s="34" t="s">
        <v>936</v>
      </c>
      <c r="D2836" s="34" t="s">
        <v>4054</v>
      </c>
      <c r="E2836" s="34" t="s">
        <v>4173</v>
      </c>
      <c r="F2836" s="34">
        <v>1</v>
      </c>
      <c r="G2836" s="64">
        <v>43063</v>
      </c>
      <c r="H2836" s="34"/>
      <c r="I2836" s="64"/>
      <c r="J2836" s="64"/>
      <c r="K2836" s="64">
        <f t="shared" ref="K2836:K2873" si="95">J2836+G2836</f>
        <v>43063</v>
      </c>
      <c r="L2836" s="49">
        <v>20250103</v>
      </c>
    </row>
    <row r="2837" spans="1:12" x14ac:dyDescent="0.25">
      <c r="A2837" s="50" t="s">
        <v>4170</v>
      </c>
      <c r="B2837" s="30" t="s">
        <v>11</v>
      </c>
      <c r="C2837" s="30" t="s">
        <v>94</v>
      </c>
      <c r="D2837" s="30" t="s">
        <v>95</v>
      </c>
      <c r="E2837" s="30" t="s">
        <v>2674</v>
      </c>
      <c r="F2837" s="30">
        <v>1</v>
      </c>
      <c r="G2837" s="44">
        <v>43063</v>
      </c>
      <c r="H2837" s="30"/>
      <c r="I2837" s="44"/>
      <c r="J2837" s="44"/>
      <c r="K2837" s="44">
        <f t="shared" si="95"/>
        <v>43063</v>
      </c>
      <c r="L2837" s="51">
        <v>20250103</v>
      </c>
    </row>
    <row r="2838" spans="1:12" x14ac:dyDescent="0.25">
      <c r="A2838" s="50" t="s">
        <v>4161</v>
      </c>
      <c r="B2838" s="30" t="s">
        <v>11</v>
      </c>
      <c r="C2838" s="30" t="s">
        <v>29</v>
      </c>
      <c r="D2838" s="30" t="s">
        <v>1385</v>
      </c>
      <c r="E2838" s="30" t="s">
        <v>628</v>
      </c>
      <c r="F2838" s="30">
        <v>1</v>
      </c>
      <c r="G2838" s="44">
        <v>43063</v>
      </c>
      <c r="H2838" s="30"/>
      <c r="I2838" s="44"/>
      <c r="J2838" s="44"/>
      <c r="K2838" s="44">
        <f t="shared" si="95"/>
        <v>43063</v>
      </c>
      <c r="L2838" s="51">
        <v>20250106</v>
      </c>
    </row>
    <row r="2839" spans="1:12" x14ac:dyDescent="0.25">
      <c r="A2839" s="50" t="s">
        <v>4166</v>
      </c>
      <c r="B2839" s="30" t="s">
        <v>11</v>
      </c>
      <c r="C2839" s="30" t="s">
        <v>29</v>
      </c>
      <c r="D2839" s="30" t="s">
        <v>1385</v>
      </c>
      <c r="E2839" s="30" t="s">
        <v>630</v>
      </c>
      <c r="F2839" s="30">
        <v>1</v>
      </c>
      <c r="G2839" s="44">
        <v>43063</v>
      </c>
      <c r="H2839" s="30"/>
      <c r="I2839" s="44"/>
      <c r="J2839" s="44"/>
      <c r="K2839" s="44">
        <f t="shared" si="95"/>
        <v>43063</v>
      </c>
      <c r="L2839" s="51">
        <v>20250106</v>
      </c>
    </row>
    <row r="2840" spans="1:12" x14ac:dyDescent="0.25">
      <c r="A2840" s="50" t="s">
        <v>4163</v>
      </c>
      <c r="B2840" s="30" t="s">
        <v>11</v>
      </c>
      <c r="C2840" s="30" t="s">
        <v>94</v>
      </c>
      <c r="D2840" s="30" t="s">
        <v>95</v>
      </c>
      <c r="E2840" s="30" t="s">
        <v>436</v>
      </c>
      <c r="F2840" s="30">
        <v>1</v>
      </c>
      <c r="G2840" s="44">
        <v>43063</v>
      </c>
      <c r="H2840" s="30"/>
      <c r="I2840" s="44"/>
      <c r="J2840" s="44"/>
      <c r="K2840" s="44">
        <f t="shared" si="95"/>
        <v>43063</v>
      </c>
      <c r="L2840" s="51">
        <v>20250106</v>
      </c>
    </row>
    <row r="2841" spans="1:12" x14ac:dyDescent="0.25">
      <c r="A2841" s="50" t="s">
        <v>4158</v>
      </c>
      <c r="B2841" s="30" t="s">
        <v>11</v>
      </c>
      <c r="C2841" s="30" t="s">
        <v>29</v>
      </c>
      <c r="D2841" s="30" t="s">
        <v>1385</v>
      </c>
      <c r="E2841" s="30" t="s">
        <v>630</v>
      </c>
      <c r="F2841" s="30">
        <v>1</v>
      </c>
      <c r="G2841" s="44">
        <v>43063</v>
      </c>
      <c r="H2841" s="30"/>
      <c r="I2841" s="44"/>
      <c r="J2841" s="44"/>
      <c r="K2841" s="44">
        <f t="shared" si="95"/>
        <v>43063</v>
      </c>
      <c r="L2841" s="51">
        <v>20250108</v>
      </c>
    </row>
    <row r="2842" spans="1:12" x14ac:dyDescent="0.25">
      <c r="A2842" s="50" t="s">
        <v>4169</v>
      </c>
      <c r="B2842" s="30" t="s">
        <v>11</v>
      </c>
      <c r="C2842" s="30" t="s">
        <v>29</v>
      </c>
      <c r="D2842" s="30" t="s">
        <v>1385</v>
      </c>
      <c r="E2842" s="30" t="s">
        <v>3335</v>
      </c>
      <c r="F2842" s="30">
        <v>1</v>
      </c>
      <c r="G2842" s="44">
        <v>43063</v>
      </c>
      <c r="H2842" s="30"/>
      <c r="I2842" s="44"/>
      <c r="J2842" s="44"/>
      <c r="K2842" s="44">
        <f t="shared" si="95"/>
        <v>43063</v>
      </c>
      <c r="L2842" s="51">
        <v>20250108</v>
      </c>
    </row>
    <row r="2843" spans="1:12" x14ac:dyDescent="0.25">
      <c r="A2843" s="50" t="s">
        <v>4164</v>
      </c>
      <c r="B2843" s="30" t="s">
        <v>11</v>
      </c>
      <c r="C2843" s="30" t="s">
        <v>364</v>
      </c>
      <c r="D2843" s="30" t="s">
        <v>24</v>
      </c>
      <c r="E2843" s="30" t="s">
        <v>4165</v>
      </c>
      <c r="F2843" s="30">
        <v>1</v>
      </c>
      <c r="G2843" s="44">
        <v>43063</v>
      </c>
      <c r="H2843" s="30"/>
      <c r="I2843" s="44"/>
      <c r="J2843" s="44"/>
      <c r="K2843" s="44">
        <f t="shared" si="95"/>
        <v>43063</v>
      </c>
      <c r="L2843" s="51">
        <v>20250109</v>
      </c>
    </row>
    <row r="2844" spans="1:12" x14ac:dyDescent="0.25">
      <c r="A2844" s="50" t="s">
        <v>4157</v>
      </c>
      <c r="B2844" s="30" t="s">
        <v>11</v>
      </c>
      <c r="C2844" s="30" t="s">
        <v>29</v>
      </c>
      <c r="D2844" s="30" t="s">
        <v>24</v>
      </c>
      <c r="E2844" s="30" t="s">
        <v>632</v>
      </c>
      <c r="F2844" s="30">
        <v>1</v>
      </c>
      <c r="G2844" s="44">
        <v>43063</v>
      </c>
      <c r="H2844" s="30"/>
      <c r="I2844" s="44"/>
      <c r="J2844" s="44"/>
      <c r="K2844" s="44">
        <f t="shared" si="95"/>
        <v>43063</v>
      </c>
      <c r="L2844" s="51">
        <v>20250109</v>
      </c>
    </row>
    <row r="2845" spans="1:12" x14ac:dyDescent="0.25">
      <c r="A2845" s="50" t="s">
        <v>4167</v>
      </c>
      <c r="B2845" s="30" t="s">
        <v>11</v>
      </c>
      <c r="C2845" s="30" t="s">
        <v>29</v>
      </c>
      <c r="D2845" s="30" t="s">
        <v>735</v>
      </c>
      <c r="E2845" s="30" t="s">
        <v>736</v>
      </c>
      <c r="F2845" s="30">
        <v>1</v>
      </c>
      <c r="G2845" s="44">
        <v>43063</v>
      </c>
      <c r="H2845" s="30"/>
      <c r="I2845" s="44"/>
      <c r="J2845" s="44"/>
      <c r="K2845" s="44">
        <f t="shared" si="95"/>
        <v>43063</v>
      </c>
      <c r="L2845" s="51">
        <v>20250109</v>
      </c>
    </row>
    <row r="2846" spans="1:12" x14ac:dyDescent="0.25">
      <c r="A2846" s="50" t="s">
        <v>4155</v>
      </c>
      <c r="B2846" s="30" t="s">
        <v>11</v>
      </c>
      <c r="C2846" s="30" t="s">
        <v>94</v>
      </c>
      <c r="D2846" s="30" t="s">
        <v>95</v>
      </c>
      <c r="E2846" s="30" t="s">
        <v>4051</v>
      </c>
      <c r="F2846" s="30">
        <v>1</v>
      </c>
      <c r="G2846" s="44">
        <v>43063</v>
      </c>
      <c r="H2846" s="30"/>
      <c r="I2846" s="44"/>
      <c r="J2846" s="44"/>
      <c r="K2846" s="44">
        <f t="shared" si="95"/>
        <v>43063</v>
      </c>
      <c r="L2846" s="51">
        <v>20250109</v>
      </c>
    </row>
    <row r="2847" spans="1:12" x14ac:dyDescent="0.25">
      <c r="A2847" s="52" t="s">
        <v>4162</v>
      </c>
      <c r="B2847" s="32" t="s">
        <v>11</v>
      </c>
      <c r="C2847" s="32" t="s">
        <v>26</v>
      </c>
      <c r="D2847" s="32" t="s">
        <v>1800</v>
      </c>
      <c r="E2847" s="32" t="s">
        <v>4068</v>
      </c>
      <c r="F2847" s="32">
        <v>1</v>
      </c>
      <c r="G2847" s="45">
        <v>43063</v>
      </c>
      <c r="H2847" s="32">
        <v>321</v>
      </c>
      <c r="I2847" s="45">
        <v>527.5</v>
      </c>
      <c r="J2847" s="45">
        <f>I2847*H2847</f>
        <v>169327.5</v>
      </c>
      <c r="K2847" s="45">
        <f t="shared" si="95"/>
        <v>212390.5</v>
      </c>
      <c r="L2847" s="53">
        <v>20250113</v>
      </c>
    </row>
    <row r="2848" spans="1:12" x14ac:dyDescent="0.25">
      <c r="A2848" s="50" t="s">
        <v>4143</v>
      </c>
      <c r="B2848" s="30" t="s">
        <v>11</v>
      </c>
      <c r="C2848" s="30" t="s">
        <v>28</v>
      </c>
      <c r="D2848" s="30" t="s">
        <v>3393</v>
      </c>
      <c r="E2848" s="30" t="s">
        <v>3394</v>
      </c>
      <c r="F2848" s="30">
        <v>1</v>
      </c>
      <c r="G2848" s="44">
        <v>43063</v>
      </c>
      <c r="H2848" s="30"/>
      <c r="I2848" s="44"/>
      <c r="J2848" s="44"/>
      <c r="K2848" s="44">
        <f t="shared" si="95"/>
        <v>43063</v>
      </c>
      <c r="L2848" s="51">
        <v>20250114</v>
      </c>
    </row>
    <row r="2849" spans="1:12" x14ac:dyDescent="0.25">
      <c r="A2849" s="50" t="s">
        <v>4168</v>
      </c>
      <c r="B2849" s="30" t="s">
        <v>11</v>
      </c>
      <c r="C2849" s="30" t="s">
        <v>26</v>
      </c>
      <c r="D2849" s="30" t="s">
        <v>2867</v>
      </c>
      <c r="E2849" s="30" t="s">
        <v>2872</v>
      </c>
      <c r="F2849" s="30">
        <v>1</v>
      </c>
      <c r="G2849" s="44">
        <v>43063</v>
      </c>
      <c r="H2849" s="30"/>
      <c r="I2849" s="44"/>
      <c r="J2849" s="44"/>
      <c r="K2849" s="44">
        <f t="shared" si="95"/>
        <v>43063</v>
      </c>
      <c r="L2849" s="51">
        <v>20250114</v>
      </c>
    </row>
    <row r="2850" spans="1:12" x14ac:dyDescent="0.25">
      <c r="A2850" s="50" t="s">
        <v>4154</v>
      </c>
      <c r="B2850" s="30" t="s">
        <v>11</v>
      </c>
      <c r="C2850" s="30" t="s">
        <v>29</v>
      </c>
      <c r="D2850" s="30" t="s">
        <v>1385</v>
      </c>
      <c r="E2850" s="30" t="s">
        <v>3335</v>
      </c>
      <c r="F2850" s="30">
        <v>1</v>
      </c>
      <c r="G2850" s="44">
        <v>43063</v>
      </c>
      <c r="H2850" s="30"/>
      <c r="I2850" s="44"/>
      <c r="J2850" s="44"/>
      <c r="K2850" s="44">
        <f t="shared" si="95"/>
        <v>43063</v>
      </c>
      <c r="L2850" s="51">
        <v>20250114</v>
      </c>
    </row>
    <row r="2851" spans="1:12" x14ac:dyDescent="0.25">
      <c r="A2851" s="52" t="s">
        <v>4160</v>
      </c>
      <c r="B2851" s="32" t="s">
        <v>11</v>
      </c>
      <c r="C2851" s="32" t="s">
        <v>202</v>
      </c>
      <c r="D2851" s="32" t="s">
        <v>203</v>
      </c>
      <c r="E2851" s="32" t="s">
        <v>1164</v>
      </c>
      <c r="F2851" s="32">
        <v>1</v>
      </c>
      <c r="G2851" s="45">
        <v>43063</v>
      </c>
      <c r="H2851" s="32">
        <v>100</v>
      </c>
      <c r="I2851" s="45">
        <v>527.5</v>
      </c>
      <c r="J2851" s="45">
        <f>I2851*H2851</f>
        <v>52750</v>
      </c>
      <c r="K2851" s="45">
        <f t="shared" si="95"/>
        <v>95813</v>
      </c>
      <c r="L2851" s="53">
        <v>20250114</v>
      </c>
    </row>
    <row r="2852" spans="1:12" x14ac:dyDescent="0.25">
      <c r="A2852" s="50" t="s">
        <v>4146</v>
      </c>
      <c r="B2852" s="30" t="s">
        <v>11</v>
      </c>
      <c r="C2852" s="30" t="s">
        <v>94</v>
      </c>
      <c r="D2852" s="30" t="s">
        <v>95</v>
      </c>
      <c r="E2852" s="30" t="s">
        <v>458</v>
      </c>
      <c r="F2852" s="30">
        <v>1</v>
      </c>
      <c r="G2852" s="44">
        <v>43063</v>
      </c>
      <c r="H2852" s="30"/>
      <c r="I2852" s="44"/>
      <c r="J2852" s="44"/>
      <c r="K2852" s="44">
        <f t="shared" si="95"/>
        <v>43063</v>
      </c>
      <c r="L2852" s="51">
        <v>20250114</v>
      </c>
    </row>
    <row r="2853" spans="1:12" x14ac:dyDescent="0.25">
      <c r="A2853" s="50" t="s">
        <v>4156</v>
      </c>
      <c r="B2853" s="30" t="s">
        <v>11</v>
      </c>
      <c r="C2853" s="30" t="s">
        <v>251</v>
      </c>
      <c r="D2853" s="30" t="s">
        <v>375</v>
      </c>
      <c r="E2853" s="30" t="s">
        <v>376</v>
      </c>
      <c r="F2853" s="30">
        <v>1</v>
      </c>
      <c r="G2853" s="44">
        <v>43063</v>
      </c>
      <c r="H2853" s="30"/>
      <c r="I2853" s="44"/>
      <c r="J2853" s="44"/>
      <c r="K2853" s="44">
        <f t="shared" si="95"/>
        <v>43063</v>
      </c>
      <c r="L2853" s="51">
        <v>20250115</v>
      </c>
    </row>
    <row r="2854" spans="1:12" x14ac:dyDescent="0.25">
      <c r="A2854" s="50" t="s">
        <v>4139</v>
      </c>
      <c r="B2854" s="30" t="s">
        <v>11</v>
      </c>
      <c r="C2854" s="30" t="s">
        <v>337</v>
      </c>
      <c r="D2854" s="30" t="s">
        <v>162</v>
      </c>
      <c r="E2854" s="30" t="s">
        <v>1528</v>
      </c>
      <c r="F2854" s="30">
        <v>1</v>
      </c>
      <c r="G2854" s="44">
        <v>43063</v>
      </c>
      <c r="H2854" s="30"/>
      <c r="I2854" s="44"/>
      <c r="J2854" s="44"/>
      <c r="K2854" s="44">
        <f t="shared" si="95"/>
        <v>43063</v>
      </c>
      <c r="L2854" s="51">
        <v>20250116</v>
      </c>
    </row>
    <row r="2855" spans="1:12" x14ac:dyDescent="0.25">
      <c r="A2855" s="52" t="s">
        <v>4140</v>
      </c>
      <c r="B2855" s="32" t="s">
        <v>11</v>
      </c>
      <c r="C2855" s="32" t="s">
        <v>337</v>
      </c>
      <c r="D2855" s="32" t="s">
        <v>162</v>
      </c>
      <c r="E2855" s="32" t="s">
        <v>1530</v>
      </c>
      <c r="F2855" s="32">
        <v>1</v>
      </c>
      <c r="G2855" s="45">
        <v>43063</v>
      </c>
      <c r="H2855" s="32">
        <v>159</v>
      </c>
      <c r="I2855" s="45">
        <v>527.5</v>
      </c>
      <c r="J2855" s="45">
        <f>I2855*H2855</f>
        <v>83872.5</v>
      </c>
      <c r="K2855" s="45">
        <f t="shared" si="95"/>
        <v>126935.5</v>
      </c>
      <c r="L2855" s="53">
        <v>20250116</v>
      </c>
    </row>
    <row r="2856" spans="1:12" x14ac:dyDescent="0.25">
      <c r="A2856" s="50" t="s">
        <v>4159</v>
      </c>
      <c r="B2856" s="30" t="s">
        <v>11</v>
      </c>
      <c r="C2856" s="30" t="s">
        <v>337</v>
      </c>
      <c r="D2856" s="30" t="s">
        <v>162</v>
      </c>
      <c r="E2856" s="30" t="s">
        <v>1534</v>
      </c>
      <c r="F2856" s="30">
        <v>1</v>
      </c>
      <c r="G2856" s="44">
        <v>43063</v>
      </c>
      <c r="H2856" s="30"/>
      <c r="I2856" s="44"/>
      <c r="J2856" s="44"/>
      <c r="K2856" s="44">
        <f t="shared" si="95"/>
        <v>43063</v>
      </c>
      <c r="L2856" s="51">
        <v>20250116</v>
      </c>
    </row>
    <row r="2857" spans="1:12" x14ac:dyDescent="0.25">
      <c r="A2857" s="50" t="s">
        <v>4144</v>
      </c>
      <c r="B2857" s="30" t="s">
        <v>11</v>
      </c>
      <c r="C2857" s="30" t="s">
        <v>29</v>
      </c>
      <c r="D2857" s="30" t="s">
        <v>148</v>
      </c>
      <c r="E2857" s="30" t="s">
        <v>1248</v>
      </c>
      <c r="F2857" s="30">
        <v>1</v>
      </c>
      <c r="G2857" s="44">
        <v>43063</v>
      </c>
      <c r="H2857" s="30"/>
      <c r="I2857" s="44"/>
      <c r="J2857" s="44"/>
      <c r="K2857" s="44">
        <f t="shared" si="95"/>
        <v>43063</v>
      </c>
      <c r="L2857" s="51">
        <v>20250116</v>
      </c>
    </row>
    <row r="2858" spans="1:12" x14ac:dyDescent="0.25">
      <c r="A2858" s="50" t="s">
        <v>4141</v>
      </c>
      <c r="B2858" s="30" t="s">
        <v>11</v>
      </c>
      <c r="C2858" s="30" t="s">
        <v>29</v>
      </c>
      <c r="D2858" s="30" t="s">
        <v>735</v>
      </c>
      <c r="E2858" s="30" t="s">
        <v>736</v>
      </c>
      <c r="F2858" s="30">
        <v>1</v>
      </c>
      <c r="G2858" s="44">
        <v>43063</v>
      </c>
      <c r="H2858" s="30"/>
      <c r="I2858" s="44"/>
      <c r="J2858" s="44"/>
      <c r="K2858" s="44">
        <f t="shared" si="95"/>
        <v>43063</v>
      </c>
      <c r="L2858" s="51">
        <v>20250116</v>
      </c>
    </row>
    <row r="2859" spans="1:12" x14ac:dyDescent="0.25">
      <c r="A2859" s="50" t="s">
        <v>4145</v>
      </c>
      <c r="B2859" s="30" t="s">
        <v>11</v>
      </c>
      <c r="C2859" s="30" t="s">
        <v>94</v>
      </c>
      <c r="D2859" s="30" t="s">
        <v>95</v>
      </c>
      <c r="E2859" s="30" t="s">
        <v>4051</v>
      </c>
      <c r="F2859" s="30">
        <v>1</v>
      </c>
      <c r="G2859" s="44">
        <v>43063</v>
      </c>
      <c r="H2859" s="30"/>
      <c r="I2859" s="44"/>
      <c r="J2859" s="44"/>
      <c r="K2859" s="44">
        <f t="shared" si="95"/>
        <v>43063</v>
      </c>
      <c r="L2859" s="51">
        <v>20250116</v>
      </c>
    </row>
    <row r="2860" spans="1:12" x14ac:dyDescent="0.25">
      <c r="A2860" s="52" t="s">
        <v>4147</v>
      </c>
      <c r="B2860" s="32" t="s">
        <v>11</v>
      </c>
      <c r="C2860" s="32" t="s">
        <v>163</v>
      </c>
      <c r="D2860" s="32" t="s">
        <v>164</v>
      </c>
      <c r="E2860" s="32" t="s">
        <v>244</v>
      </c>
      <c r="F2860" s="32">
        <v>1</v>
      </c>
      <c r="G2860" s="45">
        <v>43063</v>
      </c>
      <c r="H2860" s="32">
        <v>126</v>
      </c>
      <c r="I2860" s="45">
        <v>527.5</v>
      </c>
      <c r="J2860" s="45">
        <f>I2860*H2860</f>
        <v>66465</v>
      </c>
      <c r="K2860" s="45">
        <f t="shared" si="95"/>
        <v>109528</v>
      </c>
      <c r="L2860" s="53">
        <v>20250117</v>
      </c>
    </row>
    <row r="2861" spans="1:12" x14ac:dyDescent="0.25">
      <c r="A2861" s="52" t="s">
        <v>4148</v>
      </c>
      <c r="B2861" s="32" t="s">
        <v>11</v>
      </c>
      <c r="C2861" s="32" t="s">
        <v>4149</v>
      </c>
      <c r="D2861" s="32" t="s">
        <v>4150</v>
      </c>
      <c r="E2861" s="32" t="s">
        <v>4151</v>
      </c>
      <c r="F2861" s="32">
        <v>1</v>
      </c>
      <c r="G2861" s="45">
        <v>43063</v>
      </c>
      <c r="H2861" s="32">
        <v>39</v>
      </c>
      <c r="I2861" s="45">
        <v>527.5</v>
      </c>
      <c r="J2861" s="45">
        <f>I2861*H2861</f>
        <v>20572.5</v>
      </c>
      <c r="K2861" s="45">
        <f t="shared" si="95"/>
        <v>63635.5</v>
      </c>
      <c r="L2861" s="53">
        <v>20250120</v>
      </c>
    </row>
    <row r="2862" spans="1:12" x14ac:dyDescent="0.25">
      <c r="A2862" s="50" t="s">
        <v>4138</v>
      </c>
      <c r="B2862" s="30" t="s">
        <v>11</v>
      </c>
      <c r="C2862" s="30" t="s">
        <v>76</v>
      </c>
      <c r="D2862" s="30" t="s">
        <v>2913</v>
      </c>
      <c r="E2862" s="30" t="s">
        <v>77</v>
      </c>
      <c r="F2862" s="30">
        <v>1</v>
      </c>
      <c r="G2862" s="44">
        <v>43063</v>
      </c>
      <c r="H2862" s="30"/>
      <c r="I2862" s="44"/>
      <c r="J2862" s="44"/>
      <c r="K2862" s="44">
        <f t="shared" si="95"/>
        <v>43063</v>
      </c>
      <c r="L2862" s="51">
        <v>20250120</v>
      </c>
    </row>
    <row r="2863" spans="1:12" x14ac:dyDescent="0.25">
      <c r="A2863" s="50" t="s">
        <v>4171</v>
      </c>
      <c r="B2863" s="30" t="s">
        <v>11</v>
      </c>
      <c r="C2863" s="30" t="s">
        <v>129</v>
      </c>
      <c r="D2863" s="30" t="s">
        <v>24</v>
      </c>
      <c r="E2863" s="30" t="s">
        <v>130</v>
      </c>
      <c r="F2863" s="30">
        <v>1</v>
      </c>
      <c r="G2863" s="44">
        <v>43063</v>
      </c>
      <c r="H2863" s="30"/>
      <c r="I2863" s="44"/>
      <c r="J2863" s="44"/>
      <c r="K2863" s="44">
        <f t="shared" si="95"/>
        <v>43063</v>
      </c>
      <c r="L2863" s="51">
        <v>20250121</v>
      </c>
    </row>
    <row r="2864" spans="1:12" x14ac:dyDescent="0.25">
      <c r="A2864" s="52" t="s">
        <v>4134</v>
      </c>
      <c r="B2864" s="32" t="s">
        <v>11</v>
      </c>
      <c r="C2864" s="32" t="s">
        <v>337</v>
      </c>
      <c r="D2864" s="32" t="s">
        <v>35</v>
      </c>
      <c r="E2864" s="32" t="s">
        <v>511</v>
      </c>
      <c r="F2864" s="32">
        <v>1</v>
      </c>
      <c r="G2864" s="45">
        <v>43063</v>
      </c>
      <c r="H2864" s="32">
        <v>72</v>
      </c>
      <c r="I2864" s="45">
        <v>527.5</v>
      </c>
      <c r="J2864" s="45">
        <f>I2864*H2864</f>
        <v>37980</v>
      </c>
      <c r="K2864" s="45">
        <f t="shared" si="95"/>
        <v>81043</v>
      </c>
      <c r="L2864" s="53">
        <v>20250122</v>
      </c>
    </row>
    <row r="2865" spans="1:12" x14ac:dyDescent="0.25">
      <c r="A2865" s="50" t="s">
        <v>4135</v>
      </c>
      <c r="B2865" s="30" t="s">
        <v>11</v>
      </c>
      <c r="C2865" s="30" t="s">
        <v>337</v>
      </c>
      <c r="D2865" s="30" t="s">
        <v>35</v>
      </c>
      <c r="E2865" s="30" t="s">
        <v>2463</v>
      </c>
      <c r="F2865" s="30">
        <v>1</v>
      </c>
      <c r="G2865" s="44">
        <v>43063</v>
      </c>
      <c r="H2865" s="30"/>
      <c r="I2865" s="44"/>
      <c r="J2865" s="44"/>
      <c r="K2865" s="44">
        <f t="shared" si="95"/>
        <v>43063</v>
      </c>
      <c r="L2865" s="51">
        <v>20250122</v>
      </c>
    </row>
    <row r="2866" spans="1:12" x14ac:dyDescent="0.25">
      <c r="A2866" s="50" t="s">
        <v>4136</v>
      </c>
      <c r="B2866" s="30" t="s">
        <v>11</v>
      </c>
      <c r="C2866" s="30" t="s">
        <v>337</v>
      </c>
      <c r="D2866" s="30" t="s">
        <v>35</v>
      </c>
      <c r="E2866" s="30" t="s">
        <v>157</v>
      </c>
      <c r="F2866" s="30">
        <v>1</v>
      </c>
      <c r="G2866" s="44">
        <v>43063</v>
      </c>
      <c r="H2866" s="30"/>
      <c r="I2866" s="44"/>
      <c r="J2866" s="44"/>
      <c r="K2866" s="44">
        <f t="shared" si="95"/>
        <v>43063</v>
      </c>
      <c r="L2866" s="51">
        <v>20250122</v>
      </c>
    </row>
    <row r="2867" spans="1:12" x14ac:dyDescent="0.25">
      <c r="A2867" s="52" t="s">
        <v>4137</v>
      </c>
      <c r="B2867" s="32" t="s">
        <v>11</v>
      </c>
      <c r="C2867" s="32" t="s">
        <v>163</v>
      </c>
      <c r="D2867" s="32" t="s">
        <v>164</v>
      </c>
      <c r="E2867" s="32" t="s">
        <v>244</v>
      </c>
      <c r="F2867" s="32">
        <v>1</v>
      </c>
      <c r="G2867" s="45">
        <v>43063</v>
      </c>
      <c r="H2867" s="32">
        <v>126</v>
      </c>
      <c r="I2867" s="45">
        <v>527.5</v>
      </c>
      <c r="J2867" s="45">
        <f>I2867*H2867</f>
        <v>66465</v>
      </c>
      <c r="K2867" s="45">
        <f t="shared" si="95"/>
        <v>109528</v>
      </c>
      <c r="L2867" s="53">
        <v>20250124</v>
      </c>
    </row>
    <row r="2868" spans="1:12" x14ac:dyDescent="0.25">
      <c r="A2868" s="50" t="s">
        <v>4132</v>
      </c>
      <c r="B2868" s="30" t="s">
        <v>1209</v>
      </c>
      <c r="C2868" s="30" t="s">
        <v>654</v>
      </c>
      <c r="D2868" s="30" t="s">
        <v>1388</v>
      </c>
      <c r="E2868" s="30" t="s">
        <v>3578</v>
      </c>
      <c r="F2868" s="30">
        <v>1</v>
      </c>
      <c r="G2868" s="44">
        <v>43063</v>
      </c>
      <c r="H2868" s="30"/>
      <c r="I2868" s="44"/>
      <c r="J2868" s="44"/>
      <c r="K2868" s="44">
        <f t="shared" si="95"/>
        <v>43063</v>
      </c>
      <c r="L2868" s="51">
        <v>20250127</v>
      </c>
    </row>
    <row r="2869" spans="1:12" x14ac:dyDescent="0.25">
      <c r="A2869" s="50" t="s">
        <v>4133</v>
      </c>
      <c r="B2869" s="30" t="s">
        <v>1209</v>
      </c>
      <c r="C2869" s="30" t="s">
        <v>654</v>
      </c>
      <c r="D2869" s="30" t="s">
        <v>1388</v>
      </c>
      <c r="E2869" s="30" t="s">
        <v>3557</v>
      </c>
      <c r="F2869" s="30">
        <v>1</v>
      </c>
      <c r="G2869" s="44">
        <v>43063</v>
      </c>
      <c r="H2869" s="30"/>
      <c r="I2869" s="44"/>
      <c r="J2869" s="44"/>
      <c r="K2869" s="44">
        <f t="shared" si="95"/>
        <v>43063</v>
      </c>
      <c r="L2869" s="51">
        <v>20250127</v>
      </c>
    </row>
    <row r="2870" spans="1:12" x14ac:dyDescent="0.25">
      <c r="A2870" s="50" t="s">
        <v>4142</v>
      </c>
      <c r="B2870" s="30" t="s">
        <v>11</v>
      </c>
      <c r="C2870" s="30" t="s">
        <v>1444</v>
      </c>
      <c r="D2870" s="30" t="s">
        <v>1388</v>
      </c>
      <c r="E2870" s="30" t="s">
        <v>2419</v>
      </c>
      <c r="F2870" s="30">
        <v>1</v>
      </c>
      <c r="G2870" s="44">
        <v>43063</v>
      </c>
      <c r="H2870" s="30"/>
      <c r="I2870" s="44"/>
      <c r="J2870" s="44"/>
      <c r="K2870" s="44">
        <f t="shared" si="95"/>
        <v>43063</v>
      </c>
      <c r="L2870" s="51">
        <v>20250127</v>
      </c>
    </row>
    <row r="2871" spans="1:12" x14ac:dyDescent="0.25">
      <c r="A2871" s="50" t="s">
        <v>4131</v>
      </c>
      <c r="B2871" s="30" t="s">
        <v>11</v>
      </c>
      <c r="C2871" s="30" t="s">
        <v>1450</v>
      </c>
      <c r="D2871" s="30" t="s">
        <v>1592</v>
      </c>
      <c r="E2871" s="30" t="s">
        <v>1593</v>
      </c>
      <c r="F2871" s="30">
        <v>1</v>
      </c>
      <c r="G2871" s="44">
        <v>43063</v>
      </c>
      <c r="H2871" s="30"/>
      <c r="I2871" s="44"/>
      <c r="J2871" s="44"/>
      <c r="K2871" s="44">
        <f t="shared" si="95"/>
        <v>43063</v>
      </c>
      <c r="L2871" s="51">
        <v>20250128</v>
      </c>
    </row>
    <row r="2872" spans="1:12" x14ac:dyDescent="0.25">
      <c r="A2872" s="50" t="s">
        <v>4113</v>
      </c>
      <c r="B2872" s="30" t="s">
        <v>11</v>
      </c>
      <c r="C2872" s="30" t="s">
        <v>26</v>
      </c>
      <c r="D2872" s="30" t="s">
        <v>556</v>
      </c>
      <c r="E2872" s="30" t="s">
        <v>563</v>
      </c>
      <c r="F2872" s="30">
        <v>1</v>
      </c>
      <c r="G2872" s="44">
        <v>43063</v>
      </c>
      <c r="H2872" s="30"/>
      <c r="I2872" s="44"/>
      <c r="J2872" s="44"/>
      <c r="K2872" s="44">
        <f t="shared" si="95"/>
        <v>43063</v>
      </c>
      <c r="L2872" s="51">
        <v>20250130</v>
      </c>
    </row>
    <row r="2873" spans="1:12" ht="15.75" thickBot="1" x14ac:dyDescent="0.3">
      <c r="A2873" s="87" t="s">
        <v>4112</v>
      </c>
      <c r="B2873" s="88" t="s">
        <v>11</v>
      </c>
      <c r="C2873" s="88" t="s">
        <v>26</v>
      </c>
      <c r="D2873" s="88" t="s">
        <v>153</v>
      </c>
      <c r="E2873" s="88" t="s">
        <v>155</v>
      </c>
      <c r="F2873" s="88">
        <v>1</v>
      </c>
      <c r="G2873" s="89">
        <v>43063</v>
      </c>
      <c r="H2873" s="88">
        <v>32</v>
      </c>
      <c r="I2873" s="89">
        <v>527.5</v>
      </c>
      <c r="J2873" s="89">
        <f>I2873*H2873</f>
        <v>16880</v>
      </c>
      <c r="K2873" s="89">
        <f t="shared" si="95"/>
        <v>59943</v>
      </c>
      <c r="L2873" s="90">
        <v>20250130</v>
      </c>
    </row>
    <row r="2874" spans="1:12" ht="15.75" thickBot="1" x14ac:dyDescent="0.3"/>
    <row r="2875" spans="1:12" x14ac:dyDescent="0.25">
      <c r="A2875" s="48" t="s">
        <v>4152</v>
      </c>
      <c r="B2875" s="34" t="s">
        <v>137</v>
      </c>
      <c r="C2875" s="34" t="s">
        <v>3707</v>
      </c>
      <c r="D2875" s="34" t="s">
        <v>24</v>
      </c>
      <c r="E2875" s="34" t="s">
        <v>4153</v>
      </c>
      <c r="F2875" s="34">
        <v>1</v>
      </c>
      <c r="G2875" s="64">
        <v>21524</v>
      </c>
      <c r="H2875" s="34"/>
      <c r="I2875" s="64"/>
      <c r="J2875" s="64"/>
      <c r="K2875" s="64">
        <f t="shared" ref="K2875:K2891" si="96">J2875+G2875</f>
        <v>21524</v>
      </c>
      <c r="L2875" s="49">
        <v>20250128</v>
      </c>
    </row>
    <row r="2876" spans="1:12" x14ac:dyDescent="0.25">
      <c r="A2876" s="50" t="s">
        <v>4117</v>
      </c>
      <c r="B2876" s="30" t="s">
        <v>137</v>
      </c>
      <c r="C2876" s="30" t="s">
        <v>29</v>
      </c>
      <c r="D2876" s="30" t="s">
        <v>24</v>
      </c>
      <c r="E2876" s="30" t="s">
        <v>1003</v>
      </c>
      <c r="F2876" s="30">
        <v>1</v>
      </c>
      <c r="G2876" s="44">
        <v>21524</v>
      </c>
      <c r="H2876" s="30"/>
      <c r="I2876" s="44"/>
      <c r="J2876" s="44"/>
      <c r="K2876" s="44">
        <f t="shared" si="96"/>
        <v>21524</v>
      </c>
      <c r="L2876" s="51">
        <v>20250128</v>
      </c>
    </row>
    <row r="2877" spans="1:12" x14ac:dyDescent="0.25">
      <c r="A2877" s="50" t="s">
        <v>4118</v>
      </c>
      <c r="B2877" s="30" t="s">
        <v>137</v>
      </c>
      <c r="C2877" s="30" t="s">
        <v>29</v>
      </c>
      <c r="D2877" s="30" t="s">
        <v>24</v>
      </c>
      <c r="E2877" s="30" t="s">
        <v>2051</v>
      </c>
      <c r="F2877" s="30">
        <v>1</v>
      </c>
      <c r="G2877" s="44">
        <v>21524</v>
      </c>
      <c r="H2877" s="30"/>
      <c r="I2877" s="44"/>
      <c r="J2877" s="44"/>
      <c r="K2877" s="44">
        <f t="shared" si="96"/>
        <v>21524</v>
      </c>
      <c r="L2877" s="51">
        <v>20250128</v>
      </c>
    </row>
    <row r="2878" spans="1:12" x14ac:dyDescent="0.25">
      <c r="A2878" s="50" t="s">
        <v>4119</v>
      </c>
      <c r="B2878" s="30" t="s">
        <v>137</v>
      </c>
      <c r="C2878" s="30" t="s">
        <v>29</v>
      </c>
      <c r="D2878" s="30" t="s">
        <v>24</v>
      </c>
      <c r="E2878" s="30" t="s">
        <v>208</v>
      </c>
      <c r="F2878" s="30">
        <v>1</v>
      </c>
      <c r="G2878" s="44">
        <v>21524</v>
      </c>
      <c r="H2878" s="30"/>
      <c r="I2878" s="44"/>
      <c r="J2878" s="44"/>
      <c r="K2878" s="44">
        <f t="shared" si="96"/>
        <v>21524</v>
      </c>
      <c r="L2878" s="51">
        <v>20250128</v>
      </c>
    </row>
    <row r="2879" spans="1:12" x14ac:dyDescent="0.25">
      <c r="A2879" s="50" t="s">
        <v>4120</v>
      </c>
      <c r="B2879" s="30" t="s">
        <v>137</v>
      </c>
      <c r="C2879" s="30" t="s">
        <v>29</v>
      </c>
      <c r="D2879" s="30" t="s">
        <v>24</v>
      </c>
      <c r="E2879" s="30" t="s">
        <v>632</v>
      </c>
      <c r="F2879" s="30">
        <v>1</v>
      </c>
      <c r="G2879" s="44">
        <v>21524</v>
      </c>
      <c r="H2879" s="30"/>
      <c r="I2879" s="44"/>
      <c r="J2879" s="44"/>
      <c r="K2879" s="44">
        <f t="shared" si="96"/>
        <v>21524</v>
      </c>
      <c r="L2879" s="51">
        <v>20250128</v>
      </c>
    </row>
    <row r="2880" spans="1:12" x14ac:dyDescent="0.25">
      <c r="A2880" s="50" t="s">
        <v>4121</v>
      </c>
      <c r="B2880" s="30" t="s">
        <v>137</v>
      </c>
      <c r="C2880" s="30" t="s">
        <v>29</v>
      </c>
      <c r="D2880" s="30" t="s">
        <v>24</v>
      </c>
      <c r="E2880" s="30" t="s">
        <v>1497</v>
      </c>
      <c r="F2880" s="30">
        <v>1</v>
      </c>
      <c r="G2880" s="44">
        <v>21524</v>
      </c>
      <c r="H2880" s="30"/>
      <c r="I2880" s="44"/>
      <c r="J2880" s="44"/>
      <c r="K2880" s="44">
        <f t="shared" si="96"/>
        <v>21524</v>
      </c>
      <c r="L2880" s="51">
        <v>20250128</v>
      </c>
    </row>
    <row r="2881" spans="1:14" x14ac:dyDescent="0.25">
      <c r="A2881" s="50" t="s">
        <v>4122</v>
      </c>
      <c r="B2881" s="30" t="s">
        <v>137</v>
      </c>
      <c r="C2881" s="30" t="s">
        <v>29</v>
      </c>
      <c r="D2881" s="30" t="s">
        <v>1385</v>
      </c>
      <c r="E2881" s="30" t="s">
        <v>628</v>
      </c>
      <c r="F2881" s="30">
        <v>1</v>
      </c>
      <c r="G2881" s="44">
        <v>21524</v>
      </c>
      <c r="H2881" s="30"/>
      <c r="I2881" s="44"/>
      <c r="J2881" s="44"/>
      <c r="K2881" s="44">
        <f t="shared" si="96"/>
        <v>21524</v>
      </c>
      <c r="L2881" s="51">
        <v>20250128</v>
      </c>
    </row>
    <row r="2882" spans="1:14" x14ac:dyDescent="0.25">
      <c r="A2882" s="50" t="s">
        <v>4123</v>
      </c>
      <c r="B2882" s="30" t="s">
        <v>137</v>
      </c>
      <c r="C2882" s="30" t="s">
        <v>29</v>
      </c>
      <c r="D2882" s="30" t="s">
        <v>1385</v>
      </c>
      <c r="E2882" s="30" t="s">
        <v>209</v>
      </c>
      <c r="F2882" s="30">
        <v>1</v>
      </c>
      <c r="G2882" s="44">
        <v>21524</v>
      </c>
      <c r="H2882" s="30"/>
      <c r="I2882" s="44"/>
      <c r="J2882" s="44"/>
      <c r="K2882" s="44">
        <f t="shared" si="96"/>
        <v>21524</v>
      </c>
      <c r="L2882" s="51">
        <v>20250128</v>
      </c>
    </row>
    <row r="2883" spans="1:14" x14ac:dyDescent="0.25">
      <c r="A2883" s="50" t="s">
        <v>4124</v>
      </c>
      <c r="B2883" s="30" t="s">
        <v>137</v>
      </c>
      <c r="C2883" s="30" t="s">
        <v>29</v>
      </c>
      <c r="D2883" s="30" t="s">
        <v>1385</v>
      </c>
      <c r="E2883" s="30" t="s">
        <v>4125</v>
      </c>
      <c r="F2883" s="30">
        <v>1</v>
      </c>
      <c r="G2883" s="44">
        <v>21524</v>
      </c>
      <c r="H2883" s="30"/>
      <c r="I2883" s="44"/>
      <c r="J2883" s="44"/>
      <c r="K2883" s="44">
        <f t="shared" si="96"/>
        <v>21524</v>
      </c>
      <c r="L2883" s="51">
        <v>20250128</v>
      </c>
    </row>
    <row r="2884" spans="1:14" x14ac:dyDescent="0.25">
      <c r="A2884" s="50" t="s">
        <v>4126</v>
      </c>
      <c r="B2884" s="30" t="s">
        <v>137</v>
      </c>
      <c r="C2884" s="30" t="s">
        <v>29</v>
      </c>
      <c r="D2884" s="30" t="s">
        <v>1385</v>
      </c>
      <c r="E2884" s="30" t="s">
        <v>2101</v>
      </c>
      <c r="F2884" s="30">
        <v>1</v>
      </c>
      <c r="G2884" s="44">
        <v>21524</v>
      </c>
      <c r="H2884" s="30"/>
      <c r="I2884" s="44"/>
      <c r="J2884" s="44"/>
      <c r="K2884" s="44">
        <f t="shared" si="96"/>
        <v>21524</v>
      </c>
      <c r="L2884" s="51">
        <v>20250128</v>
      </c>
    </row>
    <row r="2885" spans="1:14" x14ac:dyDescent="0.25">
      <c r="A2885" s="50" t="s">
        <v>4127</v>
      </c>
      <c r="B2885" s="30" t="s">
        <v>137</v>
      </c>
      <c r="C2885" s="30" t="s">
        <v>29</v>
      </c>
      <c r="D2885" s="30" t="s">
        <v>1385</v>
      </c>
      <c r="E2885" s="30" t="s">
        <v>1386</v>
      </c>
      <c r="F2885" s="30">
        <v>1</v>
      </c>
      <c r="G2885" s="44">
        <v>21524</v>
      </c>
      <c r="H2885" s="30"/>
      <c r="I2885" s="44"/>
      <c r="J2885" s="44"/>
      <c r="K2885" s="44">
        <f t="shared" si="96"/>
        <v>21524</v>
      </c>
      <c r="L2885" s="51">
        <v>20250128</v>
      </c>
    </row>
    <row r="2886" spans="1:14" x14ac:dyDescent="0.25">
      <c r="A2886" s="50" t="s">
        <v>4128</v>
      </c>
      <c r="B2886" s="30" t="s">
        <v>137</v>
      </c>
      <c r="C2886" s="30" t="s">
        <v>29</v>
      </c>
      <c r="D2886" s="30" t="s">
        <v>1385</v>
      </c>
      <c r="E2886" s="30" t="s">
        <v>3889</v>
      </c>
      <c r="F2886" s="30">
        <v>1</v>
      </c>
      <c r="G2886" s="44">
        <v>21524</v>
      </c>
      <c r="H2886" s="30"/>
      <c r="I2886" s="44"/>
      <c r="J2886" s="44"/>
      <c r="K2886" s="44">
        <f t="shared" si="96"/>
        <v>21524</v>
      </c>
      <c r="L2886" s="51">
        <v>20250128</v>
      </c>
    </row>
    <row r="2887" spans="1:14" x14ac:dyDescent="0.25">
      <c r="A2887" s="50" t="s">
        <v>4129</v>
      </c>
      <c r="B2887" s="30" t="s">
        <v>137</v>
      </c>
      <c r="C2887" s="30" t="s">
        <v>29</v>
      </c>
      <c r="D2887" s="30" t="s">
        <v>1385</v>
      </c>
      <c r="E2887" s="30" t="s">
        <v>3335</v>
      </c>
      <c r="F2887" s="30">
        <v>1</v>
      </c>
      <c r="G2887" s="44">
        <v>21524</v>
      </c>
      <c r="H2887" s="30"/>
      <c r="I2887" s="44"/>
      <c r="J2887" s="44"/>
      <c r="K2887" s="44">
        <f t="shared" si="96"/>
        <v>21524</v>
      </c>
      <c r="L2887" s="51">
        <v>20250128</v>
      </c>
    </row>
    <row r="2888" spans="1:14" x14ac:dyDescent="0.25">
      <c r="A2888" s="50" t="s">
        <v>4130</v>
      </c>
      <c r="B2888" s="30" t="s">
        <v>137</v>
      </c>
      <c r="C2888" s="30" t="s">
        <v>29</v>
      </c>
      <c r="D2888" s="30" t="s">
        <v>1385</v>
      </c>
      <c r="E2888" s="30" t="s">
        <v>1320</v>
      </c>
      <c r="F2888" s="30">
        <v>1</v>
      </c>
      <c r="G2888" s="44">
        <v>21524</v>
      </c>
      <c r="H2888" s="30"/>
      <c r="I2888" s="44"/>
      <c r="J2888" s="44"/>
      <c r="K2888" s="44">
        <f t="shared" si="96"/>
        <v>21524</v>
      </c>
      <c r="L2888" s="51">
        <v>20250128</v>
      </c>
    </row>
    <row r="2889" spans="1:14" x14ac:dyDescent="0.25">
      <c r="A2889" s="50" t="s">
        <v>4114</v>
      </c>
      <c r="B2889" s="30" t="s">
        <v>137</v>
      </c>
      <c r="C2889" s="30" t="s">
        <v>29</v>
      </c>
      <c r="D2889" s="30" t="s">
        <v>1656</v>
      </c>
      <c r="E2889" s="30" t="s">
        <v>2300</v>
      </c>
      <c r="F2889" s="30">
        <v>1</v>
      </c>
      <c r="G2889" s="44">
        <v>21524</v>
      </c>
      <c r="H2889" s="30"/>
      <c r="I2889" s="44"/>
      <c r="J2889" s="44"/>
      <c r="K2889" s="44">
        <f t="shared" si="96"/>
        <v>21524</v>
      </c>
      <c r="L2889" s="51">
        <v>20250130</v>
      </c>
    </row>
    <row r="2890" spans="1:14" x14ac:dyDescent="0.25">
      <c r="A2890" s="50" t="s">
        <v>4115</v>
      </c>
      <c r="B2890" s="30" t="s">
        <v>137</v>
      </c>
      <c r="C2890" s="30" t="s">
        <v>29</v>
      </c>
      <c r="D2890" s="30" t="s">
        <v>1656</v>
      </c>
      <c r="E2890" s="30" t="s">
        <v>2324</v>
      </c>
      <c r="F2890" s="30">
        <v>1</v>
      </c>
      <c r="G2890" s="44">
        <v>21524</v>
      </c>
      <c r="H2890" s="30"/>
      <c r="I2890" s="44"/>
      <c r="J2890" s="44"/>
      <c r="K2890" s="44">
        <f t="shared" si="96"/>
        <v>21524</v>
      </c>
      <c r="L2890" s="51">
        <v>20250130</v>
      </c>
    </row>
    <row r="2891" spans="1:14" ht="15.75" thickBot="1" x14ac:dyDescent="0.3">
      <c r="A2891" s="54" t="s">
        <v>4116</v>
      </c>
      <c r="B2891" s="36" t="s">
        <v>137</v>
      </c>
      <c r="C2891" s="36" t="s">
        <v>1021</v>
      </c>
      <c r="D2891" s="36" t="s">
        <v>95</v>
      </c>
      <c r="E2891" s="36" t="s">
        <v>1022</v>
      </c>
      <c r="F2891" s="36">
        <v>1</v>
      </c>
      <c r="G2891" s="65">
        <v>21524</v>
      </c>
      <c r="H2891" s="36"/>
      <c r="I2891" s="65"/>
      <c r="J2891" s="65"/>
      <c r="K2891" s="65">
        <f t="shared" si="96"/>
        <v>21524</v>
      </c>
      <c r="L2891" s="55">
        <v>20250131</v>
      </c>
    </row>
    <row r="2896" spans="1:14" x14ac:dyDescent="0.25">
      <c r="A2896"/>
      <c r="B2896"/>
      <c r="C2896"/>
      <c r="D2896"/>
      <c r="E2896"/>
      <c r="G2896"/>
      <c r="H2896"/>
      <c r="I2896"/>
      <c r="J2896"/>
      <c r="K2896"/>
      <c r="M2896"/>
      <c r="N2896"/>
    </row>
    <row r="2897" spans="1:12" ht="15.75" thickBot="1" x14ac:dyDescent="0.3">
      <c r="A2897" s="69" t="s">
        <v>0</v>
      </c>
      <c r="B2897" s="70" t="s">
        <v>1</v>
      </c>
      <c r="C2897" s="70" t="s">
        <v>2</v>
      </c>
      <c r="D2897" s="70" t="s">
        <v>3</v>
      </c>
      <c r="E2897" s="70" t="s">
        <v>4</v>
      </c>
      <c r="F2897" s="70"/>
      <c r="G2897" s="71" t="s">
        <v>6</v>
      </c>
      <c r="H2897" s="70" t="s">
        <v>7</v>
      </c>
      <c r="I2897" s="71" t="s">
        <v>8</v>
      </c>
      <c r="J2897" s="71" t="s">
        <v>9</v>
      </c>
      <c r="K2897" s="71" t="s">
        <v>10</v>
      </c>
      <c r="L2897" s="72" t="s">
        <v>5</v>
      </c>
    </row>
    <row r="2898" spans="1:12" x14ac:dyDescent="0.25">
      <c r="A2898" s="48" t="s">
        <v>4259</v>
      </c>
      <c r="B2898" s="34" t="s">
        <v>11</v>
      </c>
      <c r="C2898" s="34" t="s">
        <v>76</v>
      </c>
      <c r="D2898" s="34" t="s">
        <v>2913</v>
      </c>
      <c r="E2898" s="34" t="s">
        <v>77</v>
      </c>
      <c r="F2898" s="34">
        <v>1</v>
      </c>
      <c r="G2898" s="64">
        <v>43063</v>
      </c>
      <c r="H2898" s="34"/>
      <c r="I2898" s="64"/>
      <c r="J2898" s="64"/>
      <c r="K2898" s="64">
        <f t="shared" ref="K2898:K2923" si="97">J2898+G2898</f>
        <v>43063</v>
      </c>
      <c r="L2898" s="49">
        <v>20250203</v>
      </c>
    </row>
    <row r="2899" spans="1:12" x14ac:dyDescent="0.25">
      <c r="A2899" s="52" t="s">
        <v>4258</v>
      </c>
      <c r="B2899" s="32" t="s">
        <v>11</v>
      </c>
      <c r="C2899" s="32" t="s">
        <v>163</v>
      </c>
      <c r="D2899" s="32" t="s">
        <v>164</v>
      </c>
      <c r="E2899" s="32" t="s">
        <v>244</v>
      </c>
      <c r="F2899" s="32">
        <v>1</v>
      </c>
      <c r="G2899" s="45">
        <v>43063</v>
      </c>
      <c r="H2899" s="32">
        <v>126</v>
      </c>
      <c r="I2899" s="45">
        <v>527.5</v>
      </c>
      <c r="J2899" s="45">
        <f>I2899*H2899</f>
        <v>66465</v>
      </c>
      <c r="K2899" s="45">
        <f t="shared" si="97"/>
        <v>109528</v>
      </c>
      <c r="L2899" s="53">
        <v>20250204</v>
      </c>
    </row>
    <row r="2900" spans="1:12" x14ac:dyDescent="0.25">
      <c r="A2900" s="50" t="s">
        <v>4252</v>
      </c>
      <c r="B2900" s="30" t="s">
        <v>11</v>
      </c>
      <c r="C2900" s="30" t="s">
        <v>94</v>
      </c>
      <c r="D2900" s="30" t="s">
        <v>95</v>
      </c>
      <c r="E2900" s="30" t="s">
        <v>4051</v>
      </c>
      <c r="F2900" s="30">
        <v>1</v>
      </c>
      <c r="G2900" s="44">
        <v>43063</v>
      </c>
      <c r="H2900" s="30"/>
      <c r="I2900" s="44"/>
      <c r="J2900" s="44"/>
      <c r="K2900" s="44">
        <f t="shared" si="97"/>
        <v>43063</v>
      </c>
      <c r="L2900" s="51">
        <v>20250210</v>
      </c>
    </row>
    <row r="2901" spans="1:12" x14ac:dyDescent="0.25">
      <c r="A2901" s="52" t="s">
        <v>4249</v>
      </c>
      <c r="B2901" s="32" t="s">
        <v>11</v>
      </c>
      <c r="C2901" s="32" t="s">
        <v>163</v>
      </c>
      <c r="D2901" s="32" t="s">
        <v>164</v>
      </c>
      <c r="E2901" s="32" t="s">
        <v>185</v>
      </c>
      <c r="F2901" s="32">
        <v>1</v>
      </c>
      <c r="G2901" s="45">
        <v>43063</v>
      </c>
      <c r="H2901" s="32">
        <v>126</v>
      </c>
      <c r="I2901" s="45">
        <v>527.5</v>
      </c>
      <c r="J2901" s="45">
        <f>I2901*H2901</f>
        <v>66465</v>
      </c>
      <c r="K2901" s="45">
        <f t="shared" si="97"/>
        <v>109528</v>
      </c>
      <c r="L2901" s="53">
        <v>20250211</v>
      </c>
    </row>
    <row r="2902" spans="1:12" x14ac:dyDescent="0.25">
      <c r="A2902" s="50" t="s">
        <v>4253</v>
      </c>
      <c r="B2902" s="30" t="s">
        <v>11</v>
      </c>
      <c r="C2902" s="30" t="s">
        <v>163</v>
      </c>
      <c r="D2902" s="30" t="s">
        <v>164</v>
      </c>
      <c r="E2902" s="30" t="s">
        <v>4254</v>
      </c>
      <c r="F2902" s="30">
        <v>1</v>
      </c>
      <c r="G2902" s="44">
        <v>43063</v>
      </c>
      <c r="H2902" s="30"/>
      <c r="I2902" s="44"/>
      <c r="J2902" s="44"/>
      <c r="K2902" s="44">
        <f t="shared" si="97"/>
        <v>43063</v>
      </c>
      <c r="L2902" s="51">
        <v>20250211</v>
      </c>
    </row>
    <row r="2903" spans="1:12" x14ac:dyDescent="0.25">
      <c r="A2903" s="50" t="s">
        <v>4255</v>
      </c>
      <c r="B2903" s="30" t="s">
        <v>11</v>
      </c>
      <c r="C2903" s="30" t="s">
        <v>1053</v>
      </c>
      <c r="D2903" s="30" t="s">
        <v>1054</v>
      </c>
      <c r="E2903" s="30" t="s">
        <v>3297</v>
      </c>
      <c r="F2903" s="30">
        <v>1</v>
      </c>
      <c r="G2903" s="44">
        <v>43063</v>
      </c>
      <c r="H2903" s="30"/>
      <c r="I2903" s="44"/>
      <c r="J2903" s="44"/>
      <c r="K2903" s="44">
        <f t="shared" si="97"/>
        <v>43063</v>
      </c>
      <c r="L2903" s="51">
        <v>20250211</v>
      </c>
    </row>
    <row r="2904" spans="1:12" x14ac:dyDescent="0.25">
      <c r="A2904" s="50" t="s">
        <v>4251</v>
      </c>
      <c r="B2904" s="30" t="s">
        <v>11</v>
      </c>
      <c r="C2904" s="30" t="s">
        <v>505</v>
      </c>
      <c r="D2904" s="30" t="s">
        <v>24</v>
      </c>
      <c r="E2904" s="30" t="s">
        <v>931</v>
      </c>
      <c r="F2904" s="30">
        <v>1</v>
      </c>
      <c r="G2904" s="44">
        <v>43063</v>
      </c>
      <c r="H2904" s="30"/>
      <c r="I2904" s="44"/>
      <c r="J2904" s="44"/>
      <c r="K2904" s="44">
        <f t="shared" si="97"/>
        <v>43063</v>
      </c>
      <c r="L2904" s="51">
        <v>20250213</v>
      </c>
    </row>
    <row r="2905" spans="1:12" x14ac:dyDescent="0.25">
      <c r="A2905" s="50" t="s">
        <v>4248</v>
      </c>
      <c r="B2905" s="30" t="s">
        <v>11</v>
      </c>
      <c r="C2905" s="30" t="s">
        <v>94</v>
      </c>
      <c r="D2905" s="30" t="s">
        <v>95</v>
      </c>
      <c r="E2905" s="30" t="s">
        <v>262</v>
      </c>
      <c r="F2905" s="30">
        <v>1</v>
      </c>
      <c r="G2905" s="44">
        <v>43063</v>
      </c>
      <c r="H2905" s="30"/>
      <c r="I2905" s="44"/>
      <c r="J2905" s="44"/>
      <c r="K2905" s="44">
        <f t="shared" si="97"/>
        <v>43063</v>
      </c>
      <c r="L2905" s="51">
        <v>20250213</v>
      </c>
    </row>
    <row r="2906" spans="1:12" x14ac:dyDescent="0.25">
      <c r="A2906" s="50" t="s">
        <v>4250</v>
      </c>
      <c r="B2906" s="30" t="s">
        <v>11</v>
      </c>
      <c r="C2906" s="30" t="s">
        <v>94</v>
      </c>
      <c r="D2906" s="30" t="s">
        <v>95</v>
      </c>
      <c r="E2906" s="30" t="s">
        <v>436</v>
      </c>
      <c r="F2906" s="30">
        <v>1</v>
      </c>
      <c r="G2906" s="44">
        <v>43063</v>
      </c>
      <c r="H2906" s="30"/>
      <c r="I2906" s="44"/>
      <c r="J2906" s="44"/>
      <c r="K2906" s="44">
        <f t="shared" si="97"/>
        <v>43063</v>
      </c>
      <c r="L2906" s="51">
        <v>20250213</v>
      </c>
    </row>
    <row r="2907" spans="1:12" x14ac:dyDescent="0.25">
      <c r="A2907" s="50" t="s">
        <v>4239</v>
      </c>
      <c r="B2907" s="30" t="s">
        <v>11</v>
      </c>
      <c r="C2907" s="30" t="s">
        <v>4190</v>
      </c>
      <c r="D2907" s="30" t="s">
        <v>4191</v>
      </c>
      <c r="E2907" s="30" t="s">
        <v>4240</v>
      </c>
      <c r="F2907" s="30">
        <v>1</v>
      </c>
      <c r="G2907" s="44">
        <v>43063</v>
      </c>
      <c r="H2907" s="30"/>
      <c r="I2907" s="44"/>
      <c r="J2907" s="44"/>
      <c r="K2907" s="44">
        <f t="shared" si="97"/>
        <v>43063</v>
      </c>
      <c r="L2907" s="51">
        <v>20250214</v>
      </c>
    </row>
    <row r="2908" spans="1:12" x14ac:dyDescent="0.25">
      <c r="A2908" s="50" t="s">
        <v>4241</v>
      </c>
      <c r="B2908" s="30" t="s">
        <v>11</v>
      </c>
      <c r="C2908" s="30" t="s">
        <v>4190</v>
      </c>
      <c r="D2908" s="30" t="s">
        <v>4191</v>
      </c>
      <c r="E2908" s="30" t="s">
        <v>4242</v>
      </c>
      <c r="F2908" s="30">
        <v>1</v>
      </c>
      <c r="G2908" s="44">
        <v>43063</v>
      </c>
      <c r="H2908" s="30"/>
      <c r="I2908" s="44"/>
      <c r="J2908" s="44"/>
      <c r="K2908" s="44">
        <f t="shared" si="97"/>
        <v>43063</v>
      </c>
      <c r="L2908" s="51">
        <v>20250214</v>
      </c>
    </row>
    <row r="2909" spans="1:12" x14ac:dyDescent="0.25">
      <c r="A2909" s="50" t="s">
        <v>4256</v>
      </c>
      <c r="B2909" s="30" t="s">
        <v>11</v>
      </c>
      <c r="C2909" s="30" t="s">
        <v>337</v>
      </c>
      <c r="D2909" s="30" t="s">
        <v>162</v>
      </c>
      <c r="E2909" s="30" t="s">
        <v>1528</v>
      </c>
      <c r="F2909" s="30">
        <v>1</v>
      </c>
      <c r="G2909" s="44">
        <v>43063</v>
      </c>
      <c r="H2909" s="30"/>
      <c r="I2909" s="44"/>
      <c r="J2909" s="44"/>
      <c r="K2909" s="44">
        <f t="shared" si="97"/>
        <v>43063</v>
      </c>
      <c r="L2909" s="51">
        <v>20250217</v>
      </c>
    </row>
    <row r="2910" spans="1:12" x14ac:dyDescent="0.25">
      <c r="A2910" s="50" t="s">
        <v>4257</v>
      </c>
      <c r="B2910" s="30" t="s">
        <v>11</v>
      </c>
      <c r="C2910" s="30" t="s">
        <v>337</v>
      </c>
      <c r="D2910" s="30" t="s">
        <v>162</v>
      </c>
      <c r="E2910" s="30" t="s">
        <v>1534</v>
      </c>
      <c r="F2910" s="30">
        <v>1</v>
      </c>
      <c r="G2910" s="44">
        <v>43063</v>
      </c>
      <c r="H2910" s="30"/>
      <c r="I2910" s="44"/>
      <c r="J2910" s="44"/>
      <c r="K2910" s="44">
        <f t="shared" si="97"/>
        <v>43063</v>
      </c>
      <c r="L2910" s="51">
        <v>20250217</v>
      </c>
    </row>
    <row r="2911" spans="1:12" x14ac:dyDescent="0.25">
      <c r="A2911" s="50" t="s">
        <v>4244</v>
      </c>
      <c r="B2911" s="30" t="s">
        <v>11</v>
      </c>
      <c r="C2911" s="30" t="s">
        <v>134</v>
      </c>
      <c r="D2911" s="30" t="s">
        <v>135</v>
      </c>
      <c r="E2911" s="30" t="s">
        <v>3513</v>
      </c>
      <c r="F2911" s="30">
        <v>1</v>
      </c>
      <c r="G2911" s="44">
        <v>43063</v>
      </c>
      <c r="H2911" s="30"/>
      <c r="I2911" s="44"/>
      <c r="J2911" s="44"/>
      <c r="K2911" s="44">
        <f t="shared" si="97"/>
        <v>43063</v>
      </c>
      <c r="L2911" s="51">
        <v>20250217</v>
      </c>
    </row>
    <row r="2912" spans="1:12" x14ac:dyDescent="0.25">
      <c r="A2912" s="52" t="s">
        <v>4245</v>
      </c>
      <c r="B2912" s="32" t="s">
        <v>11</v>
      </c>
      <c r="C2912" s="32" t="s">
        <v>202</v>
      </c>
      <c r="D2912" s="32" t="s">
        <v>203</v>
      </c>
      <c r="E2912" s="32" t="s">
        <v>626</v>
      </c>
      <c r="F2912" s="32">
        <v>1</v>
      </c>
      <c r="G2912" s="45">
        <v>43063</v>
      </c>
      <c r="H2912" s="32">
        <v>100</v>
      </c>
      <c r="I2912" s="45">
        <v>527.5</v>
      </c>
      <c r="J2912" s="45">
        <f>I2912*H2912</f>
        <v>52750</v>
      </c>
      <c r="K2912" s="45">
        <f t="shared" si="97"/>
        <v>95813</v>
      </c>
      <c r="L2912" s="53">
        <v>20250217</v>
      </c>
    </row>
    <row r="2913" spans="1:12" x14ac:dyDescent="0.25">
      <c r="A2913" s="50" t="s">
        <v>4260</v>
      </c>
      <c r="B2913" s="30" t="s">
        <v>11</v>
      </c>
      <c r="C2913" s="30" t="s">
        <v>202</v>
      </c>
      <c r="D2913" s="30" t="s">
        <v>203</v>
      </c>
      <c r="E2913" s="30" t="s">
        <v>1164</v>
      </c>
      <c r="F2913" s="30">
        <v>1</v>
      </c>
      <c r="G2913" s="44">
        <v>43063</v>
      </c>
      <c r="H2913" s="30"/>
      <c r="I2913" s="44"/>
      <c r="J2913" s="44"/>
      <c r="K2913" s="44">
        <f t="shared" si="97"/>
        <v>43063</v>
      </c>
      <c r="L2913" s="51">
        <v>20250217</v>
      </c>
    </row>
    <row r="2914" spans="1:12" x14ac:dyDescent="0.25">
      <c r="A2914" s="52" t="s">
        <v>4185</v>
      </c>
      <c r="B2914" s="32" t="s">
        <v>11</v>
      </c>
      <c r="C2914" s="32" t="s">
        <v>163</v>
      </c>
      <c r="D2914" s="32" t="s">
        <v>164</v>
      </c>
      <c r="E2914" s="32" t="s">
        <v>185</v>
      </c>
      <c r="F2914" s="32">
        <v>1</v>
      </c>
      <c r="G2914" s="45">
        <v>43063</v>
      </c>
      <c r="H2914" s="32">
        <v>126</v>
      </c>
      <c r="I2914" s="45">
        <v>527.5</v>
      </c>
      <c r="J2914" s="45">
        <f>I2914*H2914</f>
        <v>66465</v>
      </c>
      <c r="K2914" s="45">
        <f t="shared" si="97"/>
        <v>109528</v>
      </c>
      <c r="L2914" s="53">
        <v>20250220</v>
      </c>
    </row>
    <row r="2915" spans="1:12" x14ac:dyDescent="0.25">
      <c r="A2915" s="50" t="s">
        <v>4188</v>
      </c>
      <c r="B2915" s="30" t="s">
        <v>11</v>
      </c>
      <c r="C2915" s="30" t="s">
        <v>163</v>
      </c>
      <c r="D2915" s="30" t="s">
        <v>164</v>
      </c>
      <c r="E2915" s="30" t="s">
        <v>166</v>
      </c>
      <c r="F2915" s="30">
        <v>1</v>
      </c>
      <c r="G2915" s="44">
        <v>43063</v>
      </c>
      <c r="H2915" s="30"/>
      <c r="I2915" s="44"/>
      <c r="J2915" s="44"/>
      <c r="K2915" s="44">
        <f t="shared" si="97"/>
        <v>43063</v>
      </c>
      <c r="L2915" s="51">
        <v>20250220</v>
      </c>
    </row>
    <row r="2916" spans="1:12" x14ac:dyDescent="0.25">
      <c r="A2916" s="50" t="s">
        <v>4246</v>
      </c>
      <c r="B2916" s="30" t="s">
        <v>11</v>
      </c>
      <c r="C2916" s="30" t="s">
        <v>163</v>
      </c>
      <c r="D2916" s="30" t="s">
        <v>164</v>
      </c>
      <c r="E2916" s="30" t="s">
        <v>207</v>
      </c>
      <c r="F2916" s="30">
        <v>1</v>
      </c>
      <c r="G2916" s="44">
        <v>43063</v>
      </c>
      <c r="H2916" s="30"/>
      <c r="I2916" s="44"/>
      <c r="J2916" s="44"/>
      <c r="K2916" s="44">
        <f t="shared" si="97"/>
        <v>43063</v>
      </c>
      <c r="L2916" s="51">
        <v>20250220</v>
      </c>
    </row>
    <row r="2917" spans="1:12" x14ac:dyDescent="0.25">
      <c r="A2917" s="50" t="s">
        <v>4247</v>
      </c>
      <c r="B2917" s="30" t="s">
        <v>11</v>
      </c>
      <c r="C2917" s="30" t="s">
        <v>163</v>
      </c>
      <c r="D2917" s="30" t="s">
        <v>164</v>
      </c>
      <c r="E2917" s="30" t="s">
        <v>444</v>
      </c>
      <c r="F2917" s="30">
        <v>1</v>
      </c>
      <c r="G2917" s="44">
        <v>43063</v>
      </c>
      <c r="H2917" s="30"/>
      <c r="I2917" s="44"/>
      <c r="J2917" s="44"/>
      <c r="K2917" s="44">
        <f t="shared" si="97"/>
        <v>43063</v>
      </c>
      <c r="L2917" s="51">
        <v>20250220</v>
      </c>
    </row>
    <row r="2918" spans="1:12" x14ac:dyDescent="0.25">
      <c r="A2918" s="50" t="s">
        <v>4243</v>
      </c>
      <c r="B2918" s="30" t="s">
        <v>892</v>
      </c>
      <c r="C2918" s="30" t="s">
        <v>1450</v>
      </c>
      <c r="D2918" s="30" t="s">
        <v>1592</v>
      </c>
      <c r="E2918" s="30" t="s">
        <v>2438</v>
      </c>
      <c r="F2918" s="30">
        <v>1</v>
      </c>
      <c r="G2918" s="44">
        <v>43063</v>
      </c>
      <c r="H2918" s="30"/>
      <c r="I2918" s="44"/>
      <c r="J2918" s="44"/>
      <c r="K2918" s="44">
        <f t="shared" si="97"/>
        <v>43063</v>
      </c>
      <c r="L2918" s="51">
        <v>20250220</v>
      </c>
    </row>
    <row r="2919" spans="1:12" x14ac:dyDescent="0.25">
      <c r="A2919" s="52" t="s">
        <v>4186</v>
      </c>
      <c r="B2919" s="32" t="s">
        <v>11</v>
      </c>
      <c r="C2919" s="32" t="s">
        <v>28</v>
      </c>
      <c r="D2919" s="32" t="s">
        <v>1710</v>
      </c>
      <c r="E2919" s="32" t="s">
        <v>3044</v>
      </c>
      <c r="F2919" s="32">
        <v>1</v>
      </c>
      <c r="G2919" s="45">
        <v>43063</v>
      </c>
      <c r="H2919" s="32">
        <v>177</v>
      </c>
      <c r="I2919" s="45">
        <v>527.5</v>
      </c>
      <c r="J2919" s="45">
        <f>I2919*H2919</f>
        <v>93367.5</v>
      </c>
      <c r="K2919" s="45">
        <f t="shared" si="97"/>
        <v>136430.5</v>
      </c>
      <c r="L2919" s="53">
        <v>20250221</v>
      </c>
    </row>
    <row r="2920" spans="1:12" x14ac:dyDescent="0.25">
      <c r="A2920" s="50" t="s">
        <v>4187</v>
      </c>
      <c r="B2920" s="30" t="s">
        <v>11</v>
      </c>
      <c r="C2920" s="30" t="s">
        <v>1053</v>
      </c>
      <c r="D2920" s="30" t="s">
        <v>1054</v>
      </c>
      <c r="E2920" s="30" t="s">
        <v>3297</v>
      </c>
      <c r="F2920" s="30">
        <v>1</v>
      </c>
      <c r="G2920" s="44">
        <v>43063</v>
      </c>
      <c r="H2920" s="30"/>
      <c r="I2920" s="44"/>
      <c r="J2920" s="44"/>
      <c r="K2920" s="44">
        <f t="shared" si="97"/>
        <v>43063</v>
      </c>
      <c r="L2920" s="51">
        <v>20250221</v>
      </c>
    </row>
    <row r="2921" spans="1:12" x14ac:dyDescent="0.25">
      <c r="A2921" s="50" t="s">
        <v>4237</v>
      </c>
      <c r="B2921" s="30" t="s">
        <v>11</v>
      </c>
      <c r="C2921" s="30" t="s">
        <v>337</v>
      </c>
      <c r="D2921" s="30" t="s">
        <v>1630</v>
      </c>
      <c r="E2921" s="30" t="s">
        <v>4238</v>
      </c>
      <c r="F2921" s="30">
        <v>1</v>
      </c>
      <c r="G2921" s="44">
        <v>43063</v>
      </c>
      <c r="H2921" s="30"/>
      <c r="I2921" s="44"/>
      <c r="J2921" s="44"/>
      <c r="K2921" s="44">
        <f t="shared" si="97"/>
        <v>43063</v>
      </c>
      <c r="L2921" s="51">
        <v>20250225</v>
      </c>
    </row>
    <row r="2922" spans="1:12" x14ac:dyDescent="0.25">
      <c r="A2922" s="50" t="s">
        <v>4184</v>
      </c>
      <c r="B2922" s="30" t="s">
        <v>11</v>
      </c>
      <c r="C2922" s="30" t="s">
        <v>364</v>
      </c>
      <c r="D2922" s="30" t="s">
        <v>24</v>
      </c>
      <c r="E2922" s="30" t="s">
        <v>365</v>
      </c>
      <c r="F2922" s="30">
        <v>1</v>
      </c>
      <c r="G2922" s="44">
        <v>43063</v>
      </c>
      <c r="H2922" s="30"/>
      <c r="I2922" s="44"/>
      <c r="J2922" s="44"/>
      <c r="K2922" s="44">
        <f t="shared" si="97"/>
        <v>43063</v>
      </c>
      <c r="L2922" s="51">
        <v>20250227</v>
      </c>
    </row>
    <row r="2923" spans="1:12" ht="15.75" thickBot="1" x14ac:dyDescent="0.3">
      <c r="A2923" s="54" t="s">
        <v>4183</v>
      </c>
      <c r="B2923" s="36" t="s">
        <v>11</v>
      </c>
      <c r="C2923" s="36" t="s">
        <v>29</v>
      </c>
      <c r="D2923" s="36" t="s">
        <v>1656</v>
      </c>
      <c r="E2923" s="36" t="s">
        <v>2324</v>
      </c>
      <c r="F2923" s="36">
        <v>1</v>
      </c>
      <c r="G2923" s="65">
        <v>43063</v>
      </c>
      <c r="H2923" s="36"/>
      <c r="I2923" s="65"/>
      <c r="J2923" s="65"/>
      <c r="K2923" s="65">
        <f t="shared" si="97"/>
        <v>43063</v>
      </c>
      <c r="L2923" s="55">
        <v>20250227</v>
      </c>
    </row>
    <row r="2924" spans="1:12" x14ac:dyDescent="0.25">
      <c r="A2924" s="73"/>
      <c r="B2924" s="74"/>
      <c r="C2924" s="74"/>
      <c r="D2924" s="74"/>
      <c r="E2924" s="74"/>
      <c r="F2924" s="74"/>
      <c r="G2924" s="75"/>
      <c r="H2924" s="74"/>
      <c r="I2924" s="75"/>
      <c r="J2924" s="75"/>
      <c r="K2924" s="75"/>
      <c r="L2924" s="76"/>
    </row>
    <row r="2925" spans="1:12" ht="15.75" thickBot="1" x14ac:dyDescent="0.3">
      <c r="A2925" s="69"/>
      <c r="B2925" s="70"/>
      <c r="C2925" s="70"/>
      <c r="D2925" s="70"/>
      <c r="E2925" s="70"/>
      <c r="F2925" s="70"/>
      <c r="G2925" s="71"/>
      <c r="H2925" s="70"/>
      <c r="I2925" s="71"/>
      <c r="J2925" s="71"/>
      <c r="K2925" s="71"/>
      <c r="L2925" s="72"/>
    </row>
    <row r="2926" spans="1:12" x14ac:dyDescent="0.25">
      <c r="A2926" s="48" t="s">
        <v>4189</v>
      </c>
      <c r="B2926" s="34" t="s">
        <v>137</v>
      </c>
      <c r="C2926" s="34" t="s">
        <v>4190</v>
      </c>
      <c r="D2926" s="34" t="s">
        <v>4191</v>
      </c>
      <c r="E2926" s="34" t="s">
        <v>4192</v>
      </c>
      <c r="F2926" s="34">
        <v>1</v>
      </c>
      <c r="G2926" s="64">
        <v>21524</v>
      </c>
      <c r="H2926" s="34"/>
      <c r="I2926" s="64"/>
      <c r="J2926" s="64"/>
      <c r="K2926" s="64">
        <f t="shared" ref="K2926:K2956" si="98">J2926+G2926</f>
        <v>21524</v>
      </c>
      <c r="L2926" s="49">
        <v>20250217</v>
      </c>
    </row>
    <row r="2927" spans="1:12" x14ac:dyDescent="0.25">
      <c r="A2927" s="50" t="s">
        <v>4193</v>
      </c>
      <c r="B2927" s="30" t="s">
        <v>137</v>
      </c>
      <c r="C2927" s="30" t="s">
        <v>4190</v>
      </c>
      <c r="D2927" s="30" t="s">
        <v>4191</v>
      </c>
      <c r="E2927" s="30" t="s">
        <v>4194</v>
      </c>
      <c r="F2927" s="30">
        <v>1</v>
      </c>
      <c r="G2927" s="44">
        <v>21524</v>
      </c>
      <c r="H2927" s="30"/>
      <c r="I2927" s="44"/>
      <c r="J2927" s="44"/>
      <c r="K2927" s="44">
        <f t="shared" si="98"/>
        <v>21524</v>
      </c>
      <c r="L2927" s="51">
        <v>20250217</v>
      </c>
    </row>
    <row r="2928" spans="1:12" x14ac:dyDescent="0.25">
      <c r="A2928" s="50" t="s">
        <v>4195</v>
      </c>
      <c r="B2928" s="30" t="s">
        <v>137</v>
      </c>
      <c r="C2928" s="30" t="s">
        <v>4190</v>
      </c>
      <c r="D2928" s="30" t="s">
        <v>4191</v>
      </c>
      <c r="E2928" s="30" t="s">
        <v>4196</v>
      </c>
      <c r="F2928" s="30">
        <v>1</v>
      </c>
      <c r="G2928" s="44">
        <v>21524</v>
      </c>
      <c r="H2928" s="30"/>
      <c r="I2928" s="44"/>
      <c r="J2928" s="44"/>
      <c r="K2928" s="44">
        <f t="shared" si="98"/>
        <v>21524</v>
      </c>
      <c r="L2928" s="51">
        <v>20250217</v>
      </c>
    </row>
    <row r="2929" spans="1:12" x14ac:dyDescent="0.25">
      <c r="A2929" s="50" t="s">
        <v>4197</v>
      </c>
      <c r="B2929" s="30" t="s">
        <v>137</v>
      </c>
      <c r="C2929" s="30" t="s">
        <v>4190</v>
      </c>
      <c r="D2929" s="30" t="s">
        <v>4191</v>
      </c>
      <c r="E2929" s="30" t="s">
        <v>4198</v>
      </c>
      <c r="F2929" s="30">
        <v>1</v>
      </c>
      <c r="G2929" s="44">
        <v>21524</v>
      </c>
      <c r="H2929" s="30"/>
      <c r="I2929" s="44"/>
      <c r="J2929" s="44"/>
      <c r="K2929" s="44">
        <f t="shared" si="98"/>
        <v>21524</v>
      </c>
      <c r="L2929" s="51">
        <v>20250217</v>
      </c>
    </row>
    <row r="2930" spans="1:12" x14ac:dyDescent="0.25">
      <c r="A2930" s="50" t="s">
        <v>4199</v>
      </c>
      <c r="B2930" s="30" t="s">
        <v>137</v>
      </c>
      <c r="C2930" s="30" t="s">
        <v>4190</v>
      </c>
      <c r="D2930" s="30" t="s">
        <v>4191</v>
      </c>
      <c r="E2930" s="30" t="s">
        <v>4200</v>
      </c>
      <c r="F2930" s="30">
        <v>1</v>
      </c>
      <c r="G2930" s="44">
        <v>21524</v>
      </c>
      <c r="H2930" s="30"/>
      <c r="I2930" s="44"/>
      <c r="J2930" s="44"/>
      <c r="K2930" s="44">
        <f t="shared" si="98"/>
        <v>21524</v>
      </c>
      <c r="L2930" s="51">
        <v>20250217</v>
      </c>
    </row>
    <row r="2931" spans="1:12" x14ac:dyDescent="0.25">
      <c r="A2931" s="50" t="s">
        <v>4201</v>
      </c>
      <c r="B2931" s="30" t="s">
        <v>137</v>
      </c>
      <c r="C2931" s="30" t="s">
        <v>4190</v>
      </c>
      <c r="D2931" s="30" t="s">
        <v>4191</v>
      </c>
      <c r="E2931" s="30" t="s">
        <v>4202</v>
      </c>
      <c r="F2931" s="30">
        <v>1</v>
      </c>
      <c r="G2931" s="44">
        <v>21524</v>
      </c>
      <c r="H2931" s="30"/>
      <c r="I2931" s="44"/>
      <c r="J2931" s="44"/>
      <c r="K2931" s="44">
        <f t="shared" si="98"/>
        <v>21524</v>
      </c>
      <c r="L2931" s="51">
        <v>20250217</v>
      </c>
    </row>
    <row r="2932" spans="1:12" x14ac:dyDescent="0.25">
      <c r="A2932" s="50" t="s">
        <v>4203</v>
      </c>
      <c r="B2932" s="30" t="s">
        <v>137</v>
      </c>
      <c r="C2932" s="30" t="s">
        <v>4190</v>
      </c>
      <c r="D2932" s="30" t="s">
        <v>4191</v>
      </c>
      <c r="E2932" s="30" t="s">
        <v>4204</v>
      </c>
      <c r="F2932" s="30">
        <v>1</v>
      </c>
      <c r="G2932" s="44">
        <v>21524</v>
      </c>
      <c r="H2932" s="30"/>
      <c r="I2932" s="44"/>
      <c r="J2932" s="44"/>
      <c r="K2932" s="44">
        <f t="shared" si="98"/>
        <v>21524</v>
      </c>
      <c r="L2932" s="51">
        <v>20250217</v>
      </c>
    </row>
    <row r="2933" spans="1:12" x14ac:dyDescent="0.25">
      <c r="A2933" s="50" t="s">
        <v>4205</v>
      </c>
      <c r="B2933" s="30" t="s">
        <v>137</v>
      </c>
      <c r="C2933" s="30" t="s">
        <v>4190</v>
      </c>
      <c r="D2933" s="30" t="s">
        <v>4191</v>
      </c>
      <c r="E2933" s="30" t="s">
        <v>4206</v>
      </c>
      <c r="F2933" s="30">
        <v>1</v>
      </c>
      <c r="G2933" s="44">
        <v>21524</v>
      </c>
      <c r="H2933" s="30"/>
      <c r="I2933" s="44"/>
      <c r="J2933" s="44"/>
      <c r="K2933" s="44">
        <f t="shared" si="98"/>
        <v>21524</v>
      </c>
      <c r="L2933" s="51">
        <v>20250217</v>
      </c>
    </row>
    <row r="2934" spans="1:12" x14ac:dyDescent="0.25">
      <c r="A2934" s="50" t="s">
        <v>4207</v>
      </c>
      <c r="B2934" s="30" t="s">
        <v>137</v>
      </c>
      <c r="C2934" s="30" t="s">
        <v>4190</v>
      </c>
      <c r="D2934" s="30" t="s">
        <v>4191</v>
      </c>
      <c r="E2934" s="30" t="s">
        <v>4208</v>
      </c>
      <c r="F2934" s="30">
        <v>1</v>
      </c>
      <c r="G2934" s="44">
        <v>21524</v>
      </c>
      <c r="H2934" s="30"/>
      <c r="I2934" s="44"/>
      <c r="J2934" s="44"/>
      <c r="K2934" s="44">
        <f t="shared" si="98"/>
        <v>21524</v>
      </c>
      <c r="L2934" s="51">
        <v>20250217</v>
      </c>
    </row>
    <row r="2935" spans="1:12" x14ac:dyDescent="0.25">
      <c r="A2935" s="50" t="s">
        <v>4209</v>
      </c>
      <c r="B2935" s="30" t="s">
        <v>137</v>
      </c>
      <c r="C2935" s="30" t="s">
        <v>4190</v>
      </c>
      <c r="D2935" s="30" t="s">
        <v>4191</v>
      </c>
      <c r="E2935" s="30" t="s">
        <v>4210</v>
      </c>
      <c r="F2935" s="30">
        <v>1</v>
      </c>
      <c r="G2935" s="44">
        <v>21524</v>
      </c>
      <c r="H2935" s="30"/>
      <c r="I2935" s="44"/>
      <c r="J2935" s="44"/>
      <c r="K2935" s="44">
        <f t="shared" si="98"/>
        <v>21524</v>
      </c>
      <c r="L2935" s="51">
        <v>20250217</v>
      </c>
    </row>
    <row r="2936" spans="1:12" x14ac:dyDescent="0.25">
      <c r="A2936" s="50" t="s">
        <v>4211</v>
      </c>
      <c r="B2936" s="30" t="s">
        <v>137</v>
      </c>
      <c r="C2936" s="30" t="s">
        <v>4190</v>
      </c>
      <c r="D2936" s="30" t="s">
        <v>4191</v>
      </c>
      <c r="E2936" s="30" t="s">
        <v>4212</v>
      </c>
      <c r="F2936" s="30">
        <v>1</v>
      </c>
      <c r="G2936" s="44">
        <v>21524</v>
      </c>
      <c r="H2936" s="30"/>
      <c r="I2936" s="44"/>
      <c r="J2936" s="44"/>
      <c r="K2936" s="44">
        <f t="shared" si="98"/>
        <v>21524</v>
      </c>
      <c r="L2936" s="51">
        <v>20250217</v>
      </c>
    </row>
    <row r="2937" spans="1:12" x14ac:dyDescent="0.25">
      <c r="A2937" s="50" t="s">
        <v>4213</v>
      </c>
      <c r="B2937" s="30" t="s">
        <v>137</v>
      </c>
      <c r="C2937" s="30" t="s">
        <v>4190</v>
      </c>
      <c r="D2937" s="30" t="s">
        <v>4191</v>
      </c>
      <c r="E2937" s="30" t="s">
        <v>4214</v>
      </c>
      <c r="F2937" s="30">
        <v>1</v>
      </c>
      <c r="G2937" s="44">
        <v>21524</v>
      </c>
      <c r="H2937" s="30"/>
      <c r="I2937" s="44"/>
      <c r="J2937" s="44"/>
      <c r="K2937" s="44">
        <f t="shared" si="98"/>
        <v>21524</v>
      </c>
      <c r="L2937" s="51">
        <v>20250217</v>
      </c>
    </row>
    <row r="2938" spans="1:12" x14ac:dyDescent="0.25">
      <c r="A2938" s="50" t="s">
        <v>4215</v>
      </c>
      <c r="B2938" s="30" t="s">
        <v>137</v>
      </c>
      <c r="C2938" s="30" t="s">
        <v>4190</v>
      </c>
      <c r="D2938" s="30" t="s">
        <v>4191</v>
      </c>
      <c r="E2938" s="30" t="s">
        <v>4216</v>
      </c>
      <c r="F2938" s="30">
        <v>1</v>
      </c>
      <c r="G2938" s="44">
        <v>21524</v>
      </c>
      <c r="H2938" s="30"/>
      <c r="I2938" s="44"/>
      <c r="J2938" s="44"/>
      <c r="K2938" s="44">
        <f t="shared" si="98"/>
        <v>21524</v>
      </c>
      <c r="L2938" s="51">
        <v>20250217</v>
      </c>
    </row>
    <row r="2939" spans="1:12" x14ac:dyDescent="0.25">
      <c r="A2939" s="50" t="s">
        <v>4217</v>
      </c>
      <c r="B2939" s="30" t="s">
        <v>137</v>
      </c>
      <c r="C2939" s="30" t="s">
        <v>4190</v>
      </c>
      <c r="D2939" s="30" t="s">
        <v>4191</v>
      </c>
      <c r="E2939" s="30" t="s">
        <v>4218</v>
      </c>
      <c r="F2939" s="30">
        <v>1</v>
      </c>
      <c r="G2939" s="44">
        <v>21524</v>
      </c>
      <c r="H2939" s="30"/>
      <c r="I2939" s="44"/>
      <c r="J2939" s="44"/>
      <c r="K2939" s="44">
        <f t="shared" si="98"/>
        <v>21524</v>
      </c>
      <c r="L2939" s="51">
        <v>20250217</v>
      </c>
    </row>
    <row r="2940" spans="1:12" x14ac:dyDescent="0.25">
      <c r="A2940" s="50" t="s">
        <v>4219</v>
      </c>
      <c r="B2940" s="30" t="s">
        <v>137</v>
      </c>
      <c r="C2940" s="30" t="s">
        <v>4190</v>
      </c>
      <c r="D2940" s="30" t="s">
        <v>4191</v>
      </c>
      <c r="E2940" s="30" t="s">
        <v>4220</v>
      </c>
      <c r="F2940" s="30">
        <v>1</v>
      </c>
      <c r="G2940" s="44">
        <v>21524</v>
      </c>
      <c r="H2940" s="30"/>
      <c r="I2940" s="44"/>
      <c r="J2940" s="44"/>
      <c r="K2940" s="44">
        <f t="shared" si="98"/>
        <v>21524</v>
      </c>
      <c r="L2940" s="51">
        <v>20250217</v>
      </c>
    </row>
    <row r="2941" spans="1:12" x14ac:dyDescent="0.25">
      <c r="A2941" s="50" t="s">
        <v>4221</v>
      </c>
      <c r="B2941" s="30" t="s">
        <v>137</v>
      </c>
      <c r="C2941" s="30" t="s">
        <v>4190</v>
      </c>
      <c r="D2941" s="30" t="s">
        <v>4191</v>
      </c>
      <c r="E2941" s="30" t="s">
        <v>4222</v>
      </c>
      <c r="F2941" s="30">
        <v>1</v>
      </c>
      <c r="G2941" s="44">
        <v>21524</v>
      </c>
      <c r="H2941" s="30"/>
      <c r="I2941" s="44"/>
      <c r="J2941" s="44"/>
      <c r="K2941" s="44">
        <f t="shared" si="98"/>
        <v>21524</v>
      </c>
      <c r="L2941" s="51">
        <v>20250217</v>
      </c>
    </row>
    <row r="2942" spans="1:12" x14ac:dyDescent="0.25">
      <c r="A2942" s="50" t="s">
        <v>4223</v>
      </c>
      <c r="B2942" s="30" t="s">
        <v>137</v>
      </c>
      <c r="C2942" s="30" t="s">
        <v>4190</v>
      </c>
      <c r="D2942" s="30" t="s">
        <v>4191</v>
      </c>
      <c r="E2942" s="30" t="s">
        <v>4224</v>
      </c>
      <c r="F2942" s="30">
        <v>1</v>
      </c>
      <c r="G2942" s="44">
        <v>21524</v>
      </c>
      <c r="H2942" s="30"/>
      <c r="I2942" s="44"/>
      <c r="J2942" s="44"/>
      <c r="K2942" s="44">
        <f t="shared" si="98"/>
        <v>21524</v>
      </c>
      <c r="L2942" s="51">
        <v>20250217</v>
      </c>
    </row>
    <row r="2943" spans="1:12" x14ac:dyDescent="0.25">
      <c r="A2943" s="50" t="s">
        <v>4225</v>
      </c>
      <c r="B2943" s="30" t="s">
        <v>137</v>
      </c>
      <c r="C2943" s="30" t="s">
        <v>4190</v>
      </c>
      <c r="D2943" s="30" t="s">
        <v>4191</v>
      </c>
      <c r="E2943" s="30" t="s">
        <v>4226</v>
      </c>
      <c r="F2943" s="30">
        <v>1</v>
      </c>
      <c r="G2943" s="44">
        <v>21524</v>
      </c>
      <c r="H2943" s="30"/>
      <c r="I2943" s="44"/>
      <c r="J2943" s="44"/>
      <c r="K2943" s="44">
        <f t="shared" si="98"/>
        <v>21524</v>
      </c>
      <c r="L2943" s="51">
        <v>20250217</v>
      </c>
    </row>
    <row r="2944" spans="1:12" x14ac:dyDescent="0.25">
      <c r="A2944" s="50" t="s">
        <v>4227</v>
      </c>
      <c r="B2944" s="30" t="s">
        <v>137</v>
      </c>
      <c r="C2944" s="30" t="s">
        <v>4190</v>
      </c>
      <c r="D2944" s="30" t="s">
        <v>4191</v>
      </c>
      <c r="E2944" s="30" t="s">
        <v>4228</v>
      </c>
      <c r="F2944" s="30">
        <v>1</v>
      </c>
      <c r="G2944" s="44">
        <v>21524</v>
      </c>
      <c r="H2944" s="30"/>
      <c r="I2944" s="44"/>
      <c r="J2944" s="44"/>
      <c r="K2944" s="44">
        <f t="shared" si="98"/>
        <v>21524</v>
      </c>
      <c r="L2944" s="51">
        <v>20250217</v>
      </c>
    </row>
    <row r="2945" spans="1:12" x14ac:dyDescent="0.25">
      <c r="A2945" s="50" t="s">
        <v>4229</v>
      </c>
      <c r="B2945" s="30" t="s">
        <v>137</v>
      </c>
      <c r="C2945" s="30" t="s">
        <v>4190</v>
      </c>
      <c r="D2945" s="30" t="s">
        <v>4191</v>
      </c>
      <c r="E2945" s="30" t="s">
        <v>4230</v>
      </c>
      <c r="F2945" s="30">
        <v>1</v>
      </c>
      <c r="G2945" s="44">
        <v>21524</v>
      </c>
      <c r="H2945" s="30"/>
      <c r="I2945" s="44"/>
      <c r="J2945" s="44"/>
      <c r="K2945" s="44">
        <f t="shared" si="98"/>
        <v>21524</v>
      </c>
      <c r="L2945" s="51">
        <v>20250217</v>
      </c>
    </row>
    <row r="2946" spans="1:12" x14ac:dyDescent="0.25">
      <c r="A2946" s="50" t="s">
        <v>4231</v>
      </c>
      <c r="B2946" s="30" t="s">
        <v>137</v>
      </c>
      <c r="C2946" s="30" t="s">
        <v>4190</v>
      </c>
      <c r="D2946" s="30" t="s">
        <v>4191</v>
      </c>
      <c r="E2946" s="30" t="s">
        <v>4232</v>
      </c>
      <c r="F2946" s="30">
        <v>1</v>
      </c>
      <c r="G2946" s="44">
        <v>21524</v>
      </c>
      <c r="H2946" s="30"/>
      <c r="I2946" s="44"/>
      <c r="J2946" s="44"/>
      <c r="K2946" s="44">
        <f t="shared" si="98"/>
        <v>21524</v>
      </c>
      <c r="L2946" s="51">
        <v>20250217</v>
      </c>
    </row>
    <row r="2947" spans="1:12" x14ac:dyDescent="0.25">
      <c r="A2947" s="50" t="s">
        <v>4233</v>
      </c>
      <c r="B2947" s="30" t="s">
        <v>137</v>
      </c>
      <c r="C2947" s="30" t="s">
        <v>4190</v>
      </c>
      <c r="D2947" s="30" t="s">
        <v>4191</v>
      </c>
      <c r="E2947" s="30" t="s">
        <v>4234</v>
      </c>
      <c r="F2947" s="30">
        <v>1</v>
      </c>
      <c r="G2947" s="44">
        <v>21524</v>
      </c>
      <c r="H2947" s="30"/>
      <c r="I2947" s="44"/>
      <c r="J2947" s="44"/>
      <c r="K2947" s="44">
        <f t="shared" si="98"/>
        <v>21524</v>
      </c>
      <c r="L2947" s="51">
        <v>20250217</v>
      </c>
    </row>
    <row r="2948" spans="1:12" x14ac:dyDescent="0.25">
      <c r="A2948" s="50" t="s">
        <v>4235</v>
      </c>
      <c r="B2948" s="30" t="s">
        <v>137</v>
      </c>
      <c r="C2948" s="30" t="s">
        <v>4190</v>
      </c>
      <c r="D2948" s="30" t="s">
        <v>4191</v>
      </c>
      <c r="E2948" s="30" t="s">
        <v>4236</v>
      </c>
      <c r="F2948" s="30">
        <v>1</v>
      </c>
      <c r="G2948" s="44">
        <v>21524</v>
      </c>
      <c r="H2948" s="30"/>
      <c r="I2948" s="44"/>
      <c r="J2948" s="44"/>
      <c r="K2948" s="44">
        <f t="shared" si="98"/>
        <v>21524</v>
      </c>
      <c r="L2948" s="51">
        <v>20250217</v>
      </c>
    </row>
    <row r="2949" spans="1:12" x14ac:dyDescent="0.25">
      <c r="A2949" s="50" t="s">
        <v>4261</v>
      </c>
      <c r="B2949" s="30" t="s">
        <v>137</v>
      </c>
      <c r="C2949" s="30" t="s">
        <v>4190</v>
      </c>
      <c r="D2949" s="30" t="s">
        <v>4191</v>
      </c>
      <c r="E2949" s="30" t="s">
        <v>4262</v>
      </c>
      <c r="F2949" s="30">
        <v>1</v>
      </c>
      <c r="G2949" s="44">
        <v>21524</v>
      </c>
      <c r="H2949" s="30"/>
      <c r="I2949" s="44"/>
      <c r="J2949" s="44"/>
      <c r="K2949" s="44">
        <f t="shared" si="98"/>
        <v>21524</v>
      </c>
      <c r="L2949" s="51">
        <v>20250218</v>
      </c>
    </row>
    <row r="2950" spans="1:12" x14ac:dyDescent="0.25">
      <c r="A2950" s="50" t="s">
        <v>4176</v>
      </c>
      <c r="B2950" s="30" t="s">
        <v>137</v>
      </c>
      <c r="C2950" s="30" t="s">
        <v>364</v>
      </c>
      <c r="D2950" s="30" t="s">
        <v>24</v>
      </c>
      <c r="E2950" s="30" t="s">
        <v>2702</v>
      </c>
      <c r="F2950" s="30">
        <v>1</v>
      </c>
      <c r="G2950" s="44">
        <v>21524</v>
      </c>
      <c r="H2950" s="30"/>
      <c r="I2950" s="44"/>
      <c r="J2950" s="44"/>
      <c r="K2950" s="44">
        <f t="shared" si="98"/>
        <v>21524</v>
      </c>
      <c r="L2950" s="51">
        <v>20250227</v>
      </c>
    </row>
    <row r="2951" spans="1:12" x14ac:dyDescent="0.25">
      <c r="A2951" s="50" t="s">
        <v>4177</v>
      </c>
      <c r="B2951" s="30" t="s">
        <v>137</v>
      </c>
      <c r="C2951" s="30" t="s">
        <v>364</v>
      </c>
      <c r="D2951" s="30" t="s">
        <v>24</v>
      </c>
      <c r="E2951" s="30" t="s">
        <v>4165</v>
      </c>
      <c r="F2951" s="30">
        <v>1</v>
      </c>
      <c r="G2951" s="44">
        <v>21524</v>
      </c>
      <c r="H2951" s="30"/>
      <c r="I2951" s="44"/>
      <c r="J2951" s="44"/>
      <c r="K2951" s="44">
        <f t="shared" si="98"/>
        <v>21524</v>
      </c>
      <c r="L2951" s="51">
        <v>20250227</v>
      </c>
    </row>
    <row r="2952" spans="1:12" x14ac:dyDescent="0.25">
      <c r="A2952" s="50" t="s">
        <v>4178</v>
      </c>
      <c r="B2952" s="30" t="s">
        <v>137</v>
      </c>
      <c r="C2952" s="30" t="s">
        <v>364</v>
      </c>
      <c r="D2952" s="30" t="s">
        <v>24</v>
      </c>
      <c r="E2952" s="30" t="s">
        <v>2075</v>
      </c>
      <c r="F2952" s="30">
        <v>1</v>
      </c>
      <c r="G2952" s="44">
        <v>21524</v>
      </c>
      <c r="H2952" s="30"/>
      <c r="I2952" s="44"/>
      <c r="J2952" s="44"/>
      <c r="K2952" s="44">
        <f t="shared" si="98"/>
        <v>21524</v>
      </c>
      <c r="L2952" s="51">
        <v>20250227</v>
      </c>
    </row>
    <row r="2953" spans="1:12" x14ac:dyDescent="0.25">
      <c r="A2953" s="50" t="s">
        <v>4179</v>
      </c>
      <c r="B2953" s="30" t="s">
        <v>137</v>
      </c>
      <c r="C2953" s="30" t="s">
        <v>364</v>
      </c>
      <c r="D2953" s="30" t="s">
        <v>24</v>
      </c>
      <c r="E2953" s="30" t="s">
        <v>532</v>
      </c>
      <c r="F2953" s="30">
        <v>1</v>
      </c>
      <c r="G2953" s="44">
        <v>21524</v>
      </c>
      <c r="H2953" s="30"/>
      <c r="I2953" s="44"/>
      <c r="J2953" s="44"/>
      <c r="K2953" s="44">
        <f t="shared" si="98"/>
        <v>21524</v>
      </c>
      <c r="L2953" s="51">
        <v>20250227</v>
      </c>
    </row>
    <row r="2954" spans="1:12" x14ac:dyDescent="0.25">
      <c r="A2954" s="50" t="s">
        <v>4180</v>
      </c>
      <c r="B2954" s="30" t="s">
        <v>137</v>
      </c>
      <c r="C2954" s="30" t="s">
        <v>364</v>
      </c>
      <c r="D2954" s="30" t="s">
        <v>24</v>
      </c>
      <c r="E2954" s="30" t="s">
        <v>1134</v>
      </c>
      <c r="F2954" s="30">
        <v>1</v>
      </c>
      <c r="G2954" s="44">
        <v>21524</v>
      </c>
      <c r="H2954" s="30"/>
      <c r="I2954" s="44"/>
      <c r="J2954" s="44"/>
      <c r="K2954" s="44">
        <f t="shared" si="98"/>
        <v>21524</v>
      </c>
      <c r="L2954" s="51">
        <v>20250227</v>
      </c>
    </row>
    <row r="2955" spans="1:12" x14ac:dyDescent="0.25">
      <c r="A2955" s="50" t="s">
        <v>4181</v>
      </c>
      <c r="B2955" s="30" t="s">
        <v>137</v>
      </c>
      <c r="C2955" s="30" t="s">
        <v>364</v>
      </c>
      <c r="D2955" s="30" t="s">
        <v>24</v>
      </c>
      <c r="E2955" s="30" t="s">
        <v>1136</v>
      </c>
      <c r="F2955" s="30">
        <v>1</v>
      </c>
      <c r="G2955" s="44">
        <v>21524</v>
      </c>
      <c r="H2955" s="30"/>
      <c r="I2955" s="44"/>
      <c r="J2955" s="44"/>
      <c r="K2955" s="44">
        <f t="shared" si="98"/>
        <v>21524</v>
      </c>
      <c r="L2955" s="51">
        <v>20250227</v>
      </c>
    </row>
    <row r="2956" spans="1:12" ht="15.75" thickBot="1" x14ac:dyDescent="0.3">
      <c r="A2956" s="54" t="s">
        <v>4182</v>
      </c>
      <c r="B2956" s="36" t="s">
        <v>137</v>
      </c>
      <c r="C2956" s="36" t="s">
        <v>364</v>
      </c>
      <c r="D2956" s="36" t="s">
        <v>24</v>
      </c>
      <c r="E2956" s="36" t="s">
        <v>3554</v>
      </c>
      <c r="F2956" s="36">
        <v>1</v>
      </c>
      <c r="G2956" s="65">
        <v>21524</v>
      </c>
      <c r="H2956" s="36"/>
      <c r="I2956" s="65"/>
      <c r="J2956" s="65"/>
      <c r="K2956" s="65">
        <f t="shared" si="98"/>
        <v>21524</v>
      </c>
      <c r="L2956" s="55">
        <v>20250227</v>
      </c>
    </row>
    <row r="2959" spans="1:12" ht="15.75" thickBot="1" x14ac:dyDescent="0.3">
      <c r="A2959" s="69" t="s">
        <v>0</v>
      </c>
      <c r="B2959" s="70" t="s">
        <v>1</v>
      </c>
      <c r="C2959" s="70" t="s">
        <v>2</v>
      </c>
      <c r="D2959" s="70" t="s">
        <v>3</v>
      </c>
      <c r="E2959" s="70" t="s">
        <v>4</v>
      </c>
      <c r="F2959" s="70"/>
      <c r="G2959" s="71" t="s">
        <v>6</v>
      </c>
      <c r="H2959" s="70" t="s">
        <v>7</v>
      </c>
      <c r="I2959" s="71" t="s">
        <v>8</v>
      </c>
      <c r="J2959" s="71" t="s">
        <v>9</v>
      </c>
      <c r="K2959" s="71" t="s">
        <v>10</v>
      </c>
      <c r="L2959" s="72" t="s">
        <v>5</v>
      </c>
    </row>
    <row r="2960" spans="1:12" x14ac:dyDescent="0.25">
      <c r="A2960" s="48" t="s">
        <v>4313</v>
      </c>
      <c r="B2960" s="34" t="s">
        <v>11</v>
      </c>
      <c r="C2960" s="34" t="s">
        <v>26</v>
      </c>
      <c r="D2960" s="34" t="s">
        <v>521</v>
      </c>
      <c r="E2960" s="34" t="s">
        <v>223</v>
      </c>
      <c r="F2960" s="34">
        <v>1</v>
      </c>
      <c r="G2960" s="64">
        <v>43063</v>
      </c>
      <c r="H2960" s="34"/>
      <c r="I2960" s="64"/>
      <c r="J2960" s="64"/>
      <c r="K2960" s="64">
        <f t="shared" ref="K2960:K2983" si="99">J2960+G2960</f>
        <v>43063</v>
      </c>
      <c r="L2960" s="49">
        <v>20250305</v>
      </c>
    </row>
    <row r="2961" spans="1:12" x14ac:dyDescent="0.25">
      <c r="A2961" s="50" t="s">
        <v>4314</v>
      </c>
      <c r="B2961" s="30" t="s">
        <v>11</v>
      </c>
      <c r="C2961" s="30" t="s">
        <v>29</v>
      </c>
      <c r="D2961" s="30" t="s">
        <v>1385</v>
      </c>
      <c r="E2961" s="30" t="s">
        <v>1127</v>
      </c>
      <c r="F2961" s="30">
        <v>1</v>
      </c>
      <c r="G2961" s="44">
        <v>43063</v>
      </c>
      <c r="H2961" s="30"/>
      <c r="I2961" s="44"/>
      <c r="J2961" s="44"/>
      <c r="K2961" s="44">
        <f t="shared" si="99"/>
        <v>43063</v>
      </c>
      <c r="L2961" s="51">
        <v>20250305</v>
      </c>
    </row>
    <row r="2962" spans="1:12" x14ac:dyDescent="0.25">
      <c r="A2962" s="50" t="s">
        <v>4315</v>
      </c>
      <c r="B2962" s="30" t="s">
        <v>11</v>
      </c>
      <c r="C2962" s="30" t="s">
        <v>29</v>
      </c>
      <c r="D2962" s="30" t="s">
        <v>1385</v>
      </c>
      <c r="E2962" s="30" t="s">
        <v>3335</v>
      </c>
      <c r="F2962" s="30">
        <v>1</v>
      </c>
      <c r="G2962" s="44">
        <v>43063</v>
      </c>
      <c r="H2962" s="30"/>
      <c r="I2962" s="44"/>
      <c r="J2962" s="44"/>
      <c r="K2962" s="44">
        <f t="shared" si="99"/>
        <v>43063</v>
      </c>
      <c r="L2962" s="51">
        <v>20250305</v>
      </c>
    </row>
    <row r="2963" spans="1:12" x14ac:dyDescent="0.25">
      <c r="A2963" s="50" t="s">
        <v>4316</v>
      </c>
      <c r="B2963" s="30" t="s">
        <v>11</v>
      </c>
      <c r="C2963" s="30" t="s">
        <v>29</v>
      </c>
      <c r="D2963" s="30" t="s">
        <v>1656</v>
      </c>
      <c r="E2963" s="30" t="s">
        <v>3154</v>
      </c>
      <c r="F2963" s="30">
        <v>1</v>
      </c>
      <c r="G2963" s="44">
        <v>43063</v>
      </c>
      <c r="H2963" s="30"/>
      <c r="I2963" s="44"/>
      <c r="J2963" s="44"/>
      <c r="K2963" s="44">
        <f t="shared" si="99"/>
        <v>43063</v>
      </c>
      <c r="L2963" s="51">
        <v>20250306</v>
      </c>
    </row>
    <row r="2964" spans="1:12" x14ac:dyDescent="0.25">
      <c r="A2964" s="50" t="s">
        <v>4310</v>
      </c>
      <c r="B2964" s="30" t="s">
        <v>1209</v>
      </c>
      <c r="C2964" s="30" t="s">
        <v>29</v>
      </c>
      <c r="D2964" s="30" t="s">
        <v>1656</v>
      </c>
      <c r="E2964" s="30" t="s">
        <v>4311</v>
      </c>
      <c r="F2964" s="30">
        <v>1</v>
      </c>
      <c r="G2964" s="44">
        <v>43063</v>
      </c>
      <c r="H2964" s="30"/>
      <c r="I2964" s="44"/>
      <c r="J2964" s="44"/>
      <c r="K2964" s="44">
        <f t="shared" si="99"/>
        <v>43063</v>
      </c>
      <c r="L2964" s="51">
        <v>20250306</v>
      </c>
    </row>
    <row r="2965" spans="1:12" x14ac:dyDescent="0.25">
      <c r="A2965" s="50" t="s">
        <v>4312</v>
      </c>
      <c r="B2965" s="30" t="s">
        <v>11</v>
      </c>
      <c r="C2965" s="30" t="s">
        <v>94</v>
      </c>
      <c r="D2965" s="30" t="s">
        <v>95</v>
      </c>
      <c r="E2965" s="30" t="s">
        <v>436</v>
      </c>
      <c r="F2965" s="30">
        <v>1</v>
      </c>
      <c r="G2965" s="44">
        <v>43063</v>
      </c>
      <c r="H2965" s="30"/>
      <c r="I2965" s="44"/>
      <c r="J2965" s="44"/>
      <c r="K2965" s="44">
        <f t="shared" si="99"/>
        <v>43063</v>
      </c>
      <c r="L2965" s="51">
        <v>20250306</v>
      </c>
    </row>
    <row r="2966" spans="1:12" x14ac:dyDescent="0.25">
      <c r="A2966" s="50" t="s">
        <v>4309</v>
      </c>
      <c r="B2966" s="30" t="s">
        <v>11</v>
      </c>
      <c r="C2966" s="30" t="s">
        <v>29</v>
      </c>
      <c r="D2966" s="30" t="s">
        <v>1656</v>
      </c>
      <c r="E2966" s="30" t="s">
        <v>2324</v>
      </c>
      <c r="F2966" s="30">
        <v>1</v>
      </c>
      <c r="G2966" s="44">
        <v>43063</v>
      </c>
      <c r="H2966" s="30"/>
      <c r="I2966" s="44"/>
      <c r="J2966" s="44"/>
      <c r="K2966" s="44">
        <f t="shared" si="99"/>
        <v>43063</v>
      </c>
      <c r="L2966" s="51">
        <v>20250307</v>
      </c>
    </row>
    <row r="2967" spans="1:12" x14ac:dyDescent="0.25">
      <c r="A2967" s="52" t="s">
        <v>4293</v>
      </c>
      <c r="B2967" s="32" t="s">
        <v>11</v>
      </c>
      <c r="C2967" s="32" t="s">
        <v>28</v>
      </c>
      <c r="D2967" s="32" t="s">
        <v>1026</v>
      </c>
      <c r="E2967" s="32" t="s">
        <v>1027</v>
      </c>
      <c r="F2967" s="32">
        <v>1</v>
      </c>
      <c r="G2967" s="45">
        <v>43063</v>
      </c>
      <c r="H2967" s="32">
        <v>127</v>
      </c>
      <c r="I2967" s="45">
        <v>527.5</v>
      </c>
      <c r="J2967" s="45">
        <f>I2967*H2967</f>
        <v>66992.5</v>
      </c>
      <c r="K2967" s="45">
        <f t="shared" si="99"/>
        <v>110055.5</v>
      </c>
      <c r="L2967" s="53">
        <v>20250311</v>
      </c>
    </row>
    <row r="2968" spans="1:12" x14ac:dyDescent="0.25">
      <c r="A2968" s="50" t="s">
        <v>4308</v>
      </c>
      <c r="B2968" s="30" t="s">
        <v>11</v>
      </c>
      <c r="C2968" s="30" t="s">
        <v>134</v>
      </c>
      <c r="D2968" s="30" t="s">
        <v>135</v>
      </c>
      <c r="E2968" s="30" t="s">
        <v>3513</v>
      </c>
      <c r="F2968" s="30">
        <v>1</v>
      </c>
      <c r="G2968" s="44">
        <v>43063</v>
      </c>
      <c r="H2968" s="30"/>
      <c r="I2968" s="44"/>
      <c r="J2968" s="44"/>
      <c r="K2968" s="44">
        <f t="shared" si="99"/>
        <v>43063</v>
      </c>
      <c r="L2968" s="51">
        <v>20250311</v>
      </c>
    </row>
    <row r="2969" spans="1:12" x14ac:dyDescent="0.25">
      <c r="A2969" s="50" t="s">
        <v>4306</v>
      </c>
      <c r="B2969" s="30" t="s">
        <v>11</v>
      </c>
      <c r="C2969" s="30" t="s">
        <v>129</v>
      </c>
      <c r="D2969" s="30" t="s">
        <v>24</v>
      </c>
      <c r="E2969" s="30" t="s">
        <v>130</v>
      </c>
      <c r="F2969" s="30">
        <v>1</v>
      </c>
      <c r="G2969" s="44">
        <v>43063</v>
      </c>
      <c r="H2969" s="30"/>
      <c r="I2969" s="44"/>
      <c r="J2969" s="44"/>
      <c r="K2969" s="44">
        <f t="shared" si="99"/>
        <v>43063</v>
      </c>
      <c r="L2969" s="51">
        <v>20250312</v>
      </c>
    </row>
    <row r="2970" spans="1:12" x14ac:dyDescent="0.25">
      <c r="A2970" s="50" t="s">
        <v>4289</v>
      </c>
      <c r="B2970" s="30" t="s">
        <v>11</v>
      </c>
      <c r="C2970" s="30" t="s">
        <v>29</v>
      </c>
      <c r="D2970" s="30" t="s">
        <v>24</v>
      </c>
      <c r="E2970" s="30" t="s">
        <v>632</v>
      </c>
      <c r="F2970" s="30">
        <v>1</v>
      </c>
      <c r="G2970" s="44">
        <v>43063</v>
      </c>
      <c r="H2970" s="30"/>
      <c r="I2970" s="44"/>
      <c r="J2970" s="44"/>
      <c r="K2970" s="44">
        <f t="shared" si="99"/>
        <v>43063</v>
      </c>
      <c r="L2970" s="51">
        <v>20250314</v>
      </c>
    </row>
    <row r="2971" spans="1:12" x14ac:dyDescent="0.25">
      <c r="A2971" s="50" t="s">
        <v>4307</v>
      </c>
      <c r="B2971" s="30" t="s">
        <v>11</v>
      </c>
      <c r="C2971" s="30" t="s">
        <v>29</v>
      </c>
      <c r="D2971" s="30" t="s">
        <v>1385</v>
      </c>
      <c r="E2971" s="30" t="s">
        <v>1386</v>
      </c>
      <c r="F2971" s="30">
        <v>1</v>
      </c>
      <c r="G2971" s="44">
        <v>43063</v>
      </c>
      <c r="H2971" s="30"/>
      <c r="I2971" s="44"/>
      <c r="J2971" s="44"/>
      <c r="K2971" s="44">
        <f t="shared" si="99"/>
        <v>43063</v>
      </c>
      <c r="L2971" s="51">
        <v>20250314</v>
      </c>
    </row>
    <row r="2972" spans="1:12" x14ac:dyDescent="0.25">
      <c r="A2972" s="50" t="s">
        <v>4290</v>
      </c>
      <c r="B2972" s="30" t="s">
        <v>11</v>
      </c>
      <c r="C2972" s="30" t="s">
        <v>1444</v>
      </c>
      <c r="D2972" s="30" t="s">
        <v>1388</v>
      </c>
      <c r="E2972" s="30" t="s">
        <v>2419</v>
      </c>
      <c r="F2972" s="30">
        <v>1</v>
      </c>
      <c r="G2972" s="44">
        <v>43063</v>
      </c>
      <c r="H2972" s="30"/>
      <c r="I2972" s="44"/>
      <c r="J2972" s="44"/>
      <c r="K2972" s="44">
        <f t="shared" si="99"/>
        <v>43063</v>
      </c>
      <c r="L2972" s="51">
        <v>20250314</v>
      </c>
    </row>
    <row r="2973" spans="1:12" x14ac:dyDescent="0.25">
      <c r="A2973" s="52" t="s">
        <v>4285</v>
      </c>
      <c r="B2973" s="32" t="s">
        <v>11</v>
      </c>
      <c r="C2973" s="32" t="s">
        <v>26</v>
      </c>
      <c r="D2973" s="32" t="s">
        <v>153</v>
      </c>
      <c r="E2973" s="32" t="s">
        <v>155</v>
      </c>
      <c r="F2973" s="32">
        <v>1</v>
      </c>
      <c r="G2973" s="45">
        <v>43063</v>
      </c>
      <c r="H2973" s="32">
        <v>32</v>
      </c>
      <c r="I2973" s="45">
        <v>527.5</v>
      </c>
      <c r="J2973" s="45">
        <f>I2973*H2973</f>
        <v>16880</v>
      </c>
      <c r="K2973" s="45">
        <f t="shared" si="99"/>
        <v>59943</v>
      </c>
      <c r="L2973" s="53">
        <v>20250325</v>
      </c>
    </row>
    <row r="2974" spans="1:12" x14ac:dyDescent="0.25">
      <c r="A2974" s="50" t="s">
        <v>4291</v>
      </c>
      <c r="B2974" s="30" t="s">
        <v>1209</v>
      </c>
      <c r="C2974" s="30" t="s">
        <v>168</v>
      </c>
      <c r="D2974" s="30" t="s">
        <v>169</v>
      </c>
      <c r="E2974" s="30" t="s">
        <v>170</v>
      </c>
      <c r="F2974" s="30">
        <v>1</v>
      </c>
      <c r="G2974" s="44">
        <v>43063</v>
      </c>
      <c r="H2974" s="30"/>
      <c r="I2974" s="44"/>
      <c r="J2974" s="44"/>
      <c r="K2974" s="44">
        <f t="shared" si="99"/>
        <v>43063</v>
      </c>
      <c r="L2974" s="51">
        <v>20250325</v>
      </c>
    </row>
    <row r="2975" spans="1:12" x14ac:dyDescent="0.25">
      <c r="A2975" s="52" t="s">
        <v>4292</v>
      </c>
      <c r="B2975" s="32" t="s">
        <v>1209</v>
      </c>
      <c r="C2975" s="32" t="s">
        <v>168</v>
      </c>
      <c r="D2975" s="32" t="s">
        <v>169</v>
      </c>
      <c r="E2975" s="32" t="s">
        <v>2276</v>
      </c>
      <c r="F2975" s="32">
        <v>1</v>
      </c>
      <c r="G2975" s="45">
        <v>43063</v>
      </c>
      <c r="H2975" s="32">
        <v>141</v>
      </c>
      <c r="I2975" s="45">
        <v>527.5</v>
      </c>
      <c r="J2975" s="45">
        <f>I2975*H2975</f>
        <v>74377.5</v>
      </c>
      <c r="K2975" s="45">
        <f t="shared" si="99"/>
        <v>117440.5</v>
      </c>
      <c r="L2975" s="53">
        <v>20250325</v>
      </c>
    </row>
    <row r="2976" spans="1:12" x14ac:dyDescent="0.25">
      <c r="A2976" s="50" t="s">
        <v>4288</v>
      </c>
      <c r="B2976" s="30" t="s">
        <v>11</v>
      </c>
      <c r="C2976" s="30" t="s">
        <v>26</v>
      </c>
      <c r="D2976" s="30" t="s">
        <v>582</v>
      </c>
      <c r="E2976" s="30" t="s">
        <v>589</v>
      </c>
      <c r="F2976" s="30">
        <v>1</v>
      </c>
      <c r="G2976" s="44">
        <v>43063</v>
      </c>
      <c r="H2976" s="30"/>
      <c r="I2976" s="44"/>
      <c r="J2976" s="44"/>
      <c r="K2976" s="44">
        <f t="shared" si="99"/>
        <v>43063</v>
      </c>
      <c r="L2976" s="51">
        <v>20250326</v>
      </c>
    </row>
    <row r="2977" spans="1:12" x14ac:dyDescent="0.25">
      <c r="A2977" s="50" t="s">
        <v>4281</v>
      </c>
      <c r="B2977" s="30" t="s">
        <v>11</v>
      </c>
      <c r="C2977" s="30" t="s">
        <v>29</v>
      </c>
      <c r="D2977" s="30" t="s">
        <v>24</v>
      </c>
      <c r="E2977" s="30" t="s">
        <v>208</v>
      </c>
      <c r="F2977" s="30">
        <v>1</v>
      </c>
      <c r="G2977" s="44">
        <v>43063</v>
      </c>
      <c r="H2977" s="30"/>
      <c r="I2977" s="44"/>
      <c r="J2977" s="44"/>
      <c r="K2977" s="44">
        <f t="shared" si="99"/>
        <v>43063</v>
      </c>
      <c r="L2977" s="51">
        <v>20250326</v>
      </c>
    </row>
    <row r="2978" spans="1:12" x14ac:dyDescent="0.25">
      <c r="A2978" s="50" t="s">
        <v>4280</v>
      </c>
      <c r="B2978" s="30" t="s">
        <v>11</v>
      </c>
      <c r="C2978" s="30" t="s">
        <v>29</v>
      </c>
      <c r="D2978" s="30" t="s">
        <v>1385</v>
      </c>
      <c r="E2978" s="30" t="s">
        <v>3335</v>
      </c>
      <c r="F2978" s="30">
        <v>1</v>
      </c>
      <c r="G2978" s="44">
        <v>43063</v>
      </c>
      <c r="H2978" s="30"/>
      <c r="I2978" s="44"/>
      <c r="J2978" s="44"/>
      <c r="K2978" s="44">
        <f t="shared" si="99"/>
        <v>43063</v>
      </c>
      <c r="L2978" s="51">
        <v>20250327</v>
      </c>
    </row>
    <row r="2979" spans="1:12" x14ac:dyDescent="0.25">
      <c r="A2979" s="50" t="s">
        <v>4282</v>
      </c>
      <c r="B2979" s="30" t="s">
        <v>11</v>
      </c>
      <c r="C2979" s="30" t="s">
        <v>29</v>
      </c>
      <c r="D2979" s="30" t="s">
        <v>1385</v>
      </c>
      <c r="E2979" s="30" t="s">
        <v>1386</v>
      </c>
      <c r="F2979" s="30">
        <v>1</v>
      </c>
      <c r="G2979" s="44">
        <v>43063</v>
      </c>
      <c r="H2979" s="30"/>
      <c r="I2979" s="44"/>
      <c r="J2979" s="44"/>
      <c r="K2979" s="44">
        <f t="shared" si="99"/>
        <v>43063</v>
      </c>
      <c r="L2979" s="51">
        <v>20250327</v>
      </c>
    </row>
    <row r="2980" spans="1:12" x14ac:dyDescent="0.25">
      <c r="A2980" s="52" t="s">
        <v>4274</v>
      </c>
      <c r="B2980" s="32" t="s">
        <v>11</v>
      </c>
      <c r="C2980" s="32" t="s">
        <v>28</v>
      </c>
      <c r="D2980" s="32" t="s">
        <v>1300</v>
      </c>
      <c r="E2980" s="32" t="s">
        <v>1301</v>
      </c>
      <c r="F2980" s="32">
        <v>1</v>
      </c>
      <c r="G2980" s="45">
        <v>43063</v>
      </c>
      <c r="H2980" s="32">
        <v>204</v>
      </c>
      <c r="I2980" s="45">
        <v>527.5</v>
      </c>
      <c r="J2980" s="45">
        <f>I2980*H2980</f>
        <v>107610</v>
      </c>
      <c r="K2980" s="45">
        <f t="shared" si="99"/>
        <v>150673</v>
      </c>
      <c r="L2980" s="53">
        <v>20250328</v>
      </c>
    </row>
    <row r="2981" spans="1:12" x14ac:dyDescent="0.25">
      <c r="A2981" s="52" t="s">
        <v>4275</v>
      </c>
      <c r="B2981" s="32" t="s">
        <v>11</v>
      </c>
      <c r="C2981" s="32" t="s">
        <v>163</v>
      </c>
      <c r="D2981" s="32" t="s">
        <v>164</v>
      </c>
      <c r="E2981" s="32" t="s">
        <v>454</v>
      </c>
      <c r="F2981" s="32">
        <v>1</v>
      </c>
      <c r="G2981" s="45">
        <v>43063</v>
      </c>
      <c r="H2981" s="32">
        <v>58</v>
      </c>
      <c r="I2981" s="45">
        <v>527.5</v>
      </c>
      <c r="J2981" s="45">
        <f>I2981*H2981</f>
        <v>30595</v>
      </c>
      <c r="K2981" s="45">
        <f t="shared" si="99"/>
        <v>73658</v>
      </c>
      <c r="L2981" s="53">
        <v>20250328</v>
      </c>
    </row>
    <row r="2982" spans="1:12" x14ac:dyDescent="0.25">
      <c r="A2982" s="50" t="s">
        <v>4286</v>
      </c>
      <c r="B2982" s="30" t="s">
        <v>11</v>
      </c>
      <c r="C2982" s="30" t="s">
        <v>163</v>
      </c>
      <c r="D2982" s="30" t="s">
        <v>164</v>
      </c>
      <c r="E2982" s="30" t="s">
        <v>4287</v>
      </c>
      <c r="F2982" s="30">
        <v>1</v>
      </c>
      <c r="G2982" s="44">
        <v>43063</v>
      </c>
      <c r="H2982" s="30"/>
      <c r="I2982" s="44"/>
      <c r="J2982" s="44"/>
      <c r="K2982" s="44">
        <f t="shared" si="99"/>
        <v>43063</v>
      </c>
      <c r="L2982" s="51">
        <v>20250328</v>
      </c>
    </row>
    <row r="2983" spans="1:12" ht="15.75" thickBot="1" x14ac:dyDescent="0.3">
      <c r="A2983" s="54" t="s">
        <v>4272</v>
      </c>
      <c r="B2983" s="36" t="s">
        <v>11</v>
      </c>
      <c r="C2983" s="36" t="s">
        <v>1237</v>
      </c>
      <c r="D2983" s="36" t="s">
        <v>24</v>
      </c>
      <c r="E2983" s="36" t="s">
        <v>4273</v>
      </c>
      <c r="F2983" s="36">
        <v>1</v>
      </c>
      <c r="G2983" s="65">
        <v>43063</v>
      </c>
      <c r="H2983" s="36"/>
      <c r="I2983" s="65"/>
      <c r="J2983" s="65"/>
      <c r="K2983" s="65">
        <f t="shared" si="99"/>
        <v>43063</v>
      </c>
      <c r="L2983" s="55">
        <v>20250331</v>
      </c>
    </row>
    <row r="2984" spans="1:12" ht="15.75" thickBot="1" x14ac:dyDescent="0.3">
      <c r="A2984" s="99"/>
      <c r="B2984" s="100"/>
      <c r="C2984" s="100"/>
      <c r="D2984" s="100"/>
      <c r="E2984" s="100"/>
      <c r="F2984" s="100"/>
      <c r="G2984" s="101"/>
      <c r="H2984" s="100"/>
      <c r="I2984" s="101"/>
      <c r="J2984" s="101"/>
      <c r="K2984" s="101"/>
      <c r="L2984" s="102"/>
    </row>
    <row r="2985" spans="1:12" x14ac:dyDescent="0.25">
      <c r="A2985" s="48" t="s">
        <v>4313</v>
      </c>
      <c r="B2985" s="34" t="s">
        <v>11</v>
      </c>
      <c r="C2985" s="34" t="s">
        <v>26</v>
      </c>
      <c r="D2985" s="34" t="s">
        <v>521</v>
      </c>
      <c r="E2985" s="34" t="s">
        <v>223</v>
      </c>
      <c r="F2985" s="34">
        <v>1</v>
      </c>
      <c r="G2985" s="64">
        <v>43063</v>
      </c>
      <c r="H2985" s="34"/>
      <c r="I2985" s="64"/>
      <c r="J2985" s="64"/>
      <c r="K2985" s="64">
        <f t="shared" ref="K2985:K3008" si="100">J2985+G2985</f>
        <v>43063</v>
      </c>
      <c r="L2985" s="49">
        <v>20250305</v>
      </c>
    </row>
    <row r="2986" spans="1:12" x14ac:dyDescent="0.25">
      <c r="A2986" s="50" t="s">
        <v>4314</v>
      </c>
      <c r="B2986" s="30" t="s">
        <v>11</v>
      </c>
      <c r="C2986" s="30" t="s">
        <v>29</v>
      </c>
      <c r="D2986" s="30" t="s">
        <v>1385</v>
      </c>
      <c r="E2986" s="30" t="s">
        <v>1127</v>
      </c>
      <c r="F2986" s="30">
        <v>1</v>
      </c>
      <c r="G2986" s="44">
        <v>43063</v>
      </c>
      <c r="H2986" s="30"/>
      <c r="I2986" s="44"/>
      <c r="J2986" s="44"/>
      <c r="K2986" s="44">
        <f t="shared" si="100"/>
        <v>43063</v>
      </c>
      <c r="L2986" s="51">
        <v>20250305</v>
      </c>
    </row>
    <row r="2987" spans="1:12" x14ac:dyDescent="0.25">
      <c r="A2987" s="50" t="s">
        <v>4315</v>
      </c>
      <c r="B2987" s="30" t="s">
        <v>11</v>
      </c>
      <c r="C2987" s="30" t="s">
        <v>29</v>
      </c>
      <c r="D2987" s="30" t="s">
        <v>1385</v>
      </c>
      <c r="E2987" s="30" t="s">
        <v>3335</v>
      </c>
      <c r="F2987" s="30">
        <v>1</v>
      </c>
      <c r="G2987" s="44">
        <v>43063</v>
      </c>
      <c r="H2987" s="30"/>
      <c r="I2987" s="44"/>
      <c r="J2987" s="44"/>
      <c r="K2987" s="44">
        <f t="shared" si="100"/>
        <v>43063</v>
      </c>
      <c r="L2987" s="51">
        <v>20250305</v>
      </c>
    </row>
    <row r="2988" spans="1:12" x14ac:dyDescent="0.25">
      <c r="A2988" s="50" t="s">
        <v>4316</v>
      </c>
      <c r="B2988" s="30" t="s">
        <v>11</v>
      </c>
      <c r="C2988" s="30" t="s">
        <v>29</v>
      </c>
      <c r="D2988" s="30" t="s">
        <v>1656</v>
      </c>
      <c r="E2988" s="30" t="s">
        <v>3154</v>
      </c>
      <c r="F2988" s="30">
        <v>1</v>
      </c>
      <c r="G2988" s="44">
        <v>43063</v>
      </c>
      <c r="H2988" s="30"/>
      <c r="I2988" s="44"/>
      <c r="J2988" s="44"/>
      <c r="K2988" s="44">
        <f t="shared" si="100"/>
        <v>43063</v>
      </c>
      <c r="L2988" s="51">
        <v>20250306</v>
      </c>
    </row>
    <row r="2989" spans="1:12" x14ac:dyDescent="0.25">
      <c r="A2989" s="50" t="s">
        <v>4310</v>
      </c>
      <c r="B2989" s="30" t="s">
        <v>1209</v>
      </c>
      <c r="C2989" s="30" t="s">
        <v>29</v>
      </c>
      <c r="D2989" s="30" t="s">
        <v>1656</v>
      </c>
      <c r="E2989" s="30" t="s">
        <v>4311</v>
      </c>
      <c r="F2989" s="30">
        <v>1</v>
      </c>
      <c r="G2989" s="44">
        <v>43063</v>
      </c>
      <c r="H2989" s="30"/>
      <c r="I2989" s="44"/>
      <c r="J2989" s="44"/>
      <c r="K2989" s="44">
        <f t="shared" si="100"/>
        <v>43063</v>
      </c>
      <c r="L2989" s="51">
        <v>20250306</v>
      </c>
    </row>
    <row r="2990" spans="1:12" x14ac:dyDescent="0.25">
      <c r="A2990" s="50" t="s">
        <v>4312</v>
      </c>
      <c r="B2990" s="30" t="s">
        <v>11</v>
      </c>
      <c r="C2990" s="30" t="s">
        <v>94</v>
      </c>
      <c r="D2990" s="30" t="s">
        <v>95</v>
      </c>
      <c r="E2990" s="30" t="s">
        <v>436</v>
      </c>
      <c r="F2990" s="30">
        <v>1</v>
      </c>
      <c r="G2990" s="44">
        <v>43063</v>
      </c>
      <c r="H2990" s="30"/>
      <c r="I2990" s="44"/>
      <c r="J2990" s="44"/>
      <c r="K2990" s="44">
        <f t="shared" si="100"/>
        <v>43063</v>
      </c>
      <c r="L2990" s="51">
        <v>20250306</v>
      </c>
    </row>
    <row r="2991" spans="1:12" x14ac:dyDescent="0.25">
      <c r="A2991" s="50" t="s">
        <v>4309</v>
      </c>
      <c r="B2991" s="30" t="s">
        <v>11</v>
      </c>
      <c r="C2991" s="30" t="s">
        <v>29</v>
      </c>
      <c r="D2991" s="30" t="s">
        <v>1656</v>
      </c>
      <c r="E2991" s="30" t="s">
        <v>2324</v>
      </c>
      <c r="F2991" s="30">
        <v>1</v>
      </c>
      <c r="G2991" s="44">
        <v>43063</v>
      </c>
      <c r="H2991" s="30"/>
      <c r="I2991" s="44"/>
      <c r="J2991" s="44"/>
      <c r="K2991" s="44">
        <f t="shared" si="100"/>
        <v>43063</v>
      </c>
      <c r="L2991" s="51">
        <v>20250307</v>
      </c>
    </row>
    <row r="2992" spans="1:12" x14ac:dyDescent="0.25">
      <c r="A2992" s="52" t="s">
        <v>4293</v>
      </c>
      <c r="B2992" s="32" t="s">
        <v>11</v>
      </c>
      <c r="C2992" s="32" t="s">
        <v>28</v>
      </c>
      <c r="D2992" s="32" t="s">
        <v>1026</v>
      </c>
      <c r="E2992" s="32" t="s">
        <v>1027</v>
      </c>
      <c r="F2992" s="32">
        <v>1</v>
      </c>
      <c r="G2992" s="45">
        <v>43063</v>
      </c>
      <c r="H2992" s="32">
        <v>127</v>
      </c>
      <c r="I2992" s="45">
        <v>527.5</v>
      </c>
      <c r="J2992" s="45">
        <f>I2992*H2992</f>
        <v>66992.5</v>
      </c>
      <c r="K2992" s="45">
        <f t="shared" si="100"/>
        <v>110055.5</v>
      </c>
      <c r="L2992" s="53">
        <v>20250311</v>
      </c>
    </row>
    <row r="2993" spans="1:12" x14ac:dyDescent="0.25">
      <c r="A2993" s="50" t="s">
        <v>4308</v>
      </c>
      <c r="B2993" s="30" t="s">
        <v>11</v>
      </c>
      <c r="C2993" s="30" t="s">
        <v>134</v>
      </c>
      <c r="D2993" s="30" t="s">
        <v>135</v>
      </c>
      <c r="E2993" s="30" t="s">
        <v>3513</v>
      </c>
      <c r="F2993" s="30">
        <v>1</v>
      </c>
      <c r="G2993" s="44">
        <v>43063</v>
      </c>
      <c r="H2993" s="30"/>
      <c r="I2993" s="44"/>
      <c r="J2993" s="44"/>
      <c r="K2993" s="44">
        <f t="shared" si="100"/>
        <v>43063</v>
      </c>
      <c r="L2993" s="51">
        <v>20250311</v>
      </c>
    </row>
    <row r="2994" spans="1:12" x14ac:dyDescent="0.25">
      <c r="A2994" s="50" t="s">
        <v>4306</v>
      </c>
      <c r="B2994" s="30" t="s">
        <v>11</v>
      </c>
      <c r="C2994" s="30" t="s">
        <v>129</v>
      </c>
      <c r="D2994" s="30" t="s">
        <v>24</v>
      </c>
      <c r="E2994" s="30" t="s">
        <v>130</v>
      </c>
      <c r="F2994" s="30">
        <v>1</v>
      </c>
      <c r="G2994" s="44">
        <v>43063</v>
      </c>
      <c r="H2994" s="30"/>
      <c r="I2994" s="44"/>
      <c r="J2994" s="44"/>
      <c r="K2994" s="44">
        <f t="shared" si="100"/>
        <v>43063</v>
      </c>
      <c r="L2994" s="51">
        <v>20250312</v>
      </c>
    </row>
    <row r="2995" spans="1:12" x14ac:dyDescent="0.25">
      <c r="A2995" s="50" t="s">
        <v>4289</v>
      </c>
      <c r="B2995" s="30" t="s">
        <v>11</v>
      </c>
      <c r="C2995" s="30" t="s">
        <v>29</v>
      </c>
      <c r="D2995" s="30" t="s">
        <v>24</v>
      </c>
      <c r="E2995" s="30" t="s">
        <v>632</v>
      </c>
      <c r="F2995" s="30">
        <v>1</v>
      </c>
      <c r="G2995" s="44">
        <v>43063</v>
      </c>
      <c r="H2995" s="30"/>
      <c r="I2995" s="44"/>
      <c r="J2995" s="44"/>
      <c r="K2995" s="44">
        <f t="shared" si="100"/>
        <v>43063</v>
      </c>
      <c r="L2995" s="51">
        <v>20250314</v>
      </c>
    </row>
    <row r="2996" spans="1:12" x14ac:dyDescent="0.25">
      <c r="A2996" s="50" t="s">
        <v>4307</v>
      </c>
      <c r="B2996" s="30" t="s">
        <v>11</v>
      </c>
      <c r="C2996" s="30" t="s">
        <v>29</v>
      </c>
      <c r="D2996" s="30" t="s">
        <v>1385</v>
      </c>
      <c r="E2996" s="30" t="s">
        <v>1386</v>
      </c>
      <c r="F2996" s="30">
        <v>1</v>
      </c>
      <c r="G2996" s="44">
        <v>43063</v>
      </c>
      <c r="H2996" s="30"/>
      <c r="I2996" s="44"/>
      <c r="J2996" s="44"/>
      <c r="K2996" s="44">
        <f t="shared" si="100"/>
        <v>43063</v>
      </c>
      <c r="L2996" s="51">
        <v>20250314</v>
      </c>
    </row>
    <row r="2997" spans="1:12" x14ac:dyDescent="0.25">
      <c r="A2997" s="50" t="s">
        <v>4290</v>
      </c>
      <c r="B2997" s="30" t="s">
        <v>11</v>
      </c>
      <c r="C2997" s="30" t="s">
        <v>1444</v>
      </c>
      <c r="D2997" s="30" t="s">
        <v>1388</v>
      </c>
      <c r="E2997" s="30" t="s">
        <v>2419</v>
      </c>
      <c r="F2997" s="30">
        <v>1</v>
      </c>
      <c r="G2997" s="44">
        <v>43063</v>
      </c>
      <c r="H2997" s="30"/>
      <c r="I2997" s="44"/>
      <c r="J2997" s="44"/>
      <c r="K2997" s="44">
        <f t="shared" si="100"/>
        <v>43063</v>
      </c>
      <c r="L2997" s="51">
        <v>20250314</v>
      </c>
    </row>
    <row r="2998" spans="1:12" x14ac:dyDescent="0.25">
      <c r="A2998" s="52" t="s">
        <v>4285</v>
      </c>
      <c r="B2998" s="32" t="s">
        <v>11</v>
      </c>
      <c r="C2998" s="32" t="s">
        <v>26</v>
      </c>
      <c r="D2998" s="32" t="s">
        <v>153</v>
      </c>
      <c r="E2998" s="32" t="s">
        <v>155</v>
      </c>
      <c r="F2998" s="32">
        <v>1</v>
      </c>
      <c r="G2998" s="45">
        <v>43063</v>
      </c>
      <c r="H2998" s="32">
        <v>32</v>
      </c>
      <c r="I2998" s="45">
        <v>527.5</v>
      </c>
      <c r="J2998" s="45">
        <f>I2998*H2998</f>
        <v>16880</v>
      </c>
      <c r="K2998" s="45">
        <f t="shared" si="100"/>
        <v>59943</v>
      </c>
      <c r="L2998" s="53">
        <v>20250325</v>
      </c>
    </row>
    <row r="2999" spans="1:12" x14ac:dyDescent="0.25">
      <c r="A2999" s="50" t="s">
        <v>4291</v>
      </c>
      <c r="B2999" s="30" t="s">
        <v>1209</v>
      </c>
      <c r="C2999" s="30" t="s">
        <v>168</v>
      </c>
      <c r="D2999" s="30" t="s">
        <v>169</v>
      </c>
      <c r="E2999" s="30" t="s">
        <v>170</v>
      </c>
      <c r="F2999" s="30">
        <v>1</v>
      </c>
      <c r="G2999" s="44">
        <v>43063</v>
      </c>
      <c r="H2999" s="30"/>
      <c r="I2999" s="44"/>
      <c r="J2999" s="44"/>
      <c r="K2999" s="44">
        <f t="shared" si="100"/>
        <v>43063</v>
      </c>
      <c r="L2999" s="51">
        <v>20250325</v>
      </c>
    </row>
    <row r="3000" spans="1:12" x14ac:dyDescent="0.25">
      <c r="A3000" s="52" t="s">
        <v>4292</v>
      </c>
      <c r="B3000" s="32" t="s">
        <v>1209</v>
      </c>
      <c r="C3000" s="32" t="s">
        <v>168</v>
      </c>
      <c r="D3000" s="32" t="s">
        <v>169</v>
      </c>
      <c r="E3000" s="32" t="s">
        <v>2276</v>
      </c>
      <c r="F3000" s="32">
        <v>1</v>
      </c>
      <c r="G3000" s="45">
        <v>43063</v>
      </c>
      <c r="H3000" s="32">
        <v>141</v>
      </c>
      <c r="I3000" s="45">
        <v>527.5</v>
      </c>
      <c r="J3000" s="45">
        <f>I3000*H3000</f>
        <v>74377.5</v>
      </c>
      <c r="K3000" s="45">
        <f t="shared" si="100"/>
        <v>117440.5</v>
      </c>
      <c r="L3000" s="53">
        <v>20250325</v>
      </c>
    </row>
    <row r="3001" spans="1:12" x14ac:dyDescent="0.25">
      <c r="A3001" s="50" t="s">
        <v>4288</v>
      </c>
      <c r="B3001" s="30" t="s">
        <v>11</v>
      </c>
      <c r="C3001" s="30" t="s">
        <v>26</v>
      </c>
      <c r="D3001" s="30" t="s">
        <v>582</v>
      </c>
      <c r="E3001" s="30" t="s">
        <v>589</v>
      </c>
      <c r="F3001" s="30">
        <v>1</v>
      </c>
      <c r="G3001" s="44">
        <v>43063</v>
      </c>
      <c r="H3001" s="30"/>
      <c r="I3001" s="44"/>
      <c r="J3001" s="44"/>
      <c r="K3001" s="44">
        <f t="shared" si="100"/>
        <v>43063</v>
      </c>
      <c r="L3001" s="51">
        <v>20250326</v>
      </c>
    </row>
    <row r="3002" spans="1:12" x14ac:dyDescent="0.25">
      <c r="A3002" s="50" t="s">
        <v>4281</v>
      </c>
      <c r="B3002" s="30" t="s">
        <v>11</v>
      </c>
      <c r="C3002" s="30" t="s">
        <v>29</v>
      </c>
      <c r="D3002" s="30" t="s">
        <v>24</v>
      </c>
      <c r="E3002" s="30" t="s">
        <v>208</v>
      </c>
      <c r="F3002" s="30">
        <v>1</v>
      </c>
      <c r="G3002" s="44">
        <v>43063</v>
      </c>
      <c r="H3002" s="30"/>
      <c r="I3002" s="44"/>
      <c r="J3002" s="44"/>
      <c r="K3002" s="44">
        <f t="shared" si="100"/>
        <v>43063</v>
      </c>
      <c r="L3002" s="51">
        <v>20250326</v>
      </c>
    </row>
    <row r="3003" spans="1:12" x14ac:dyDescent="0.25">
      <c r="A3003" s="50" t="s">
        <v>4280</v>
      </c>
      <c r="B3003" s="30" t="s">
        <v>11</v>
      </c>
      <c r="C3003" s="30" t="s">
        <v>29</v>
      </c>
      <c r="D3003" s="30" t="s">
        <v>1385</v>
      </c>
      <c r="E3003" s="30" t="s">
        <v>3335</v>
      </c>
      <c r="F3003" s="30">
        <v>1</v>
      </c>
      <c r="G3003" s="44">
        <v>43063</v>
      </c>
      <c r="H3003" s="30"/>
      <c r="I3003" s="44"/>
      <c r="J3003" s="44"/>
      <c r="K3003" s="44">
        <f t="shared" si="100"/>
        <v>43063</v>
      </c>
      <c r="L3003" s="51">
        <v>20250327</v>
      </c>
    </row>
    <row r="3004" spans="1:12" x14ac:dyDescent="0.25">
      <c r="A3004" s="50" t="s">
        <v>4282</v>
      </c>
      <c r="B3004" s="30" t="s">
        <v>11</v>
      </c>
      <c r="C3004" s="30" t="s">
        <v>29</v>
      </c>
      <c r="D3004" s="30" t="s">
        <v>1385</v>
      </c>
      <c r="E3004" s="30" t="s">
        <v>1386</v>
      </c>
      <c r="F3004" s="30">
        <v>1</v>
      </c>
      <c r="G3004" s="44">
        <v>43063</v>
      </c>
      <c r="H3004" s="30"/>
      <c r="I3004" s="44"/>
      <c r="J3004" s="44"/>
      <c r="K3004" s="44">
        <f t="shared" si="100"/>
        <v>43063</v>
      </c>
      <c r="L3004" s="51">
        <v>20250327</v>
      </c>
    </row>
    <row r="3005" spans="1:12" x14ac:dyDescent="0.25">
      <c r="A3005" s="52" t="s">
        <v>4274</v>
      </c>
      <c r="B3005" s="32" t="s">
        <v>11</v>
      </c>
      <c r="C3005" s="32" t="s">
        <v>28</v>
      </c>
      <c r="D3005" s="32" t="s">
        <v>1300</v>
      </c>
      <c r="E3005" s="32" t="s">
        <v>1301</v>
      </c>
      <c r="F3005" s="32">
        <v>1</v>
      </c>
      <c r="G3005" s="45">
        <v>43063</v>
      </c>
      <c r="H3005" s="32">
        <v>204</v>
      </c>
      <c r="I3005" s="45">
        <v>527.5</v>
      </c>
      <c r="J3005" s="45">
        <f>I3005*H3005</f>
        <v>107610</v>
      </c>
      <c r="K3005" s="45">
        <f t="shared" si="100"/>
        <v>150673</v>
      </c>
      <c r="L3005" s="53">
        <v>20250328</v>
      </c>
    </row>
    <row r="3006" spans="1:12" x14ac:dyDescent="0.25">
      <c r="A3006" s="52" t="s">
        <v>4275</v>
      </c>
      <c r="B3006" s="32" t="s">
        <v>11</v>
      </c>
      <c r="C3006" s="32" t="s">
        <v>163</v>
      </c>
      <c r="D3006" s="32" t="s">
        <v>164</v>
      </c>
      <c r="E3006" s="32" t="s">
        <v>454</v>
      </c>
      <c r="F3006" s="32">
        <v>1</v>
      </c>
      <c r="G3006" s="45">
        <v>43063</v>
      </c>
      <c r="H3006" s="32">
        <v>58</v>
      </c>
      <c r="I3006" s="45">
        <v>527.5</v>
      </c>
      <c r="J3006" s="45">
        <f>I3006*H3006</f>
        <v>30595</v>
      </c>
      <c r="K3006" s="45">
        <f t="shared" si="100"/>
        <v>73658</v>
      </c>
      <c r="L3006" s="53">
        <v>20250328</v>
      </c>
    </row>
    <row r="3007" spans="1:12" x14ac:dyDescent="0.25">
      <c r="A3007" s="50" t="s">
        <v>4286</v>
      </c>
      <c r="B3007" s="30" t="s">
        <v>11</v>
      </c>
      <c r="C3007" s="30" t="s">
        <v>163</v>
      </c>
      <c r="D3007" s="30" t="s">
        <v>164</v>
      </c>
      <c r="E3007" s="30" t="s">
        <v>4287</v>
      </c>
      <c r="F3007" s="30">
        <v>1</v>
      </c>
      <c r="G3007" s="44">
        <v>43063</v>
      </c>
      <c r="H3007" s="30"/>
      <c r="I3007" s="44"/>
      <c r="J3007" s="44"/>
      <c r="K3007" s="44">
        <f t="shared" si="100"/>
        <v>43063</v>
      </c>
      <c r="L3007" s="51">
        <v>20250328</v>
      </c>
    </row>
    <row r="3008" spans="1:12" ht="15.75" thickBot="1" x14ac:dyDescent="0.3">
      <c r="A3008" s="54" t="s">
        <v>4272</v>
      </c>
      <c r="B3008" s="36" t="s">
        <v>11</v>
      </c>
      <c r="C3008" s="36" t="s">
        <v>1237</v>
      </c>
      <c r="D3008" s="36" t="s">
        <v>24</v>
      </c>
      <c r="E3008" s="36" t="s">
        <v>4273</v>
      </c>
      <c r="F3008" s="36">
        <v>1</v>
      </c>
      <c r="G3008" s="65">
        <v>43063</v>
      </c>
      <c r="H3008" s="36"/>
      <c r="I3008" s="65"/>
      <c r="J3008" s="65"/>
      <c r="K3008" s="65">
        <f t="shared" si="100"/>
        <v>43063</v>
      </c>
      <c r="L3008" s="55">
        <v>20250331</v>
      </c>
    </row>
    <row r="3009" spans="1:12" x14ac:dyDescent="0.25">
      <c r="A3009" s="73"/>
      <c r="B3009" s="74"/>
      <c r="C3009" s="74"/>
      <c r="D3009" s="74"/>
      <c r="E3009" s="74"/>
      <c r="F3009" s="74"/>
      <c r="G3009" s="75"/>
      <c r="H3009" s="74"/>
      <c r="I3009" s="75"/>
      <c r="J3009" s="75"/>
      <c r="K3009" s="75"/>
      <c r="L3009" s="76"/>
    </row>
    <row r="3010" spans="1:12" ht="15.75" thickBot="1" x14ac:dyDescent="0.3">
      <c r="A3010" s="69"/>
      <c r="B3010" s="70"/>
      <c r="C3010" s="70"/>
      <c r="D3010" s="70"/>
      <c r="E3010" s="70"/>
      <c r="F3010" s="70"/>
      <c r="G3010" s="71"/>
      <c r="H3010" s="70"/>
      <c r="I3010" s="71"/>
      <c r="J3010" s="71"/>
      <c r="K3010" s="71"/>
      <c r="L3010" s="72"/>
    </row>
    <row r="3011" spans="1:12" x14ac:dyDescent="0.25">
      <c r="A3011" s="48" t="s">
        <v>4305</v>
      </c>
      <c r="B3011" s="34" t="s">
        <v>137</v>
      </c>
      <c r="C3011" s="34" t="s">
        <v>337</v>
      </c>
      <c r="D3011" s="34" t="s">
        <v>35</v>
      </c>
      <c r="E3011" s="34" t="s">
        <v>686</v>
      </c>
      <c r="F3011" s="34">
        <v>1</v>
      </c>
      <c r="G3011" s="64">
        <v>21524</v>
      </c>
      <c r="H3011" s="34"/>
      <c r="I3011" s="64"/>
      <c r="J3011" s="64"/>
      <c r="K3011" s="64">
        <f t="shared" ref="K3011:K3037" si="101">J3011+G3011</f>
        <v>21524</v>
      </c>
      <c r="L3011" s="49">
        <v>20250310</v>
      </c>
    </row>
    <row r="3012" spans="1:12" x14ac:dyDescent="0.25">
      <c r="A3012" s="50" t="s">
        <v>4304</v>
      </c>
      <c r="B3012" s="30" t="s">
        <v>137</v>
      </c>
      <c r="C3012" s="30" t="s">
        <v>337</v>
      </c>
      <c r="D3012" s="30" t="s">
        <v>35</v>
      </c>
      <c r="E3012" s="30" t="s">
        <v>1318</v>
      </c>
      <c r="F3012" s="30">
        <v>1</v>
      </c>
      <c r="G3012" s="44">
        <v>21524</v>
      </c>
      <c r="H3012" s="30"/>
      <c r="I3012" s="44"/>
      <c r="J3012" s="44"/>
      <c r="K3012" s="44">
        <f t="shared" si="101"/>
        <v>21524</v>
      </c>
      <c r="L3012" s="51">
        <v>20250310</v>
      </c>
    </row>
    <row r="3013" spans="1:12" x14ac:dyDescent="0.25">
      <c r="A3013" s="50" t="s">
        <v>4303</v>
      </c>
      <c r="B3013" s="30" t="s">
        <v>137</v>
      </c>
      <c r="C3013" s="30" t="s">
        <v>337</v>
      </c>
      <c r="D3013" s="30" t="s">
        <v>35</v>
      </c>
      <c r="E3013" s="30" t="s">
        <v>38</v>
      </c>
      <c r="F3013" s="30">
        <v>1</v>
      </c>
      <c r="G3013" s="44">
        <v>21524</v>
      </c>
      <c r="H3013" s="30"/>
      <c r="I3013" s="44"/>
      <c r="J3013" s="44"/>
      <c r="K3013" s="44">
        <f t="shared" si="101"/>
        <v>21524</v>
      </c>
      <c r="L3013" s="51">
        <v>20250310</v>
      </c>
    </row>
    <row r="3014" spans="1:12" x14ac:dyDescent="0.25">
      <c r="A3014" s="50" t="s">
        <v>4302</v>
      </c>
      <c r="B3014" s="30" t="s">
        <v>137</v>
      </c>
      <c r="C3014" s="30" t="s">
        <v>337</v>
      </c>
      <c r="D3014" s="30" t="s">
        <v>35</v>
      </c>
      <c r="E3014" s="30" t="s">
        <v>402</v>
      </c>
      <c r="F3014" s="30">
        <v>1</v>
      </c>
      <c r="G3014" s="44">
        <v>21524</v>
      </c>
      <c r="H3014" s="30"/>
      <c r="I3014" s="44"/>
      <c r="J3014" s="44"/>
      <c r="K3014" s="44">
        <f t="shared" si="101"/>
        <v>21524</v>
      </c>
      <c r="L3014" s="51">
        <v>20250310</v>
      </c>
    </row>
    <row r="3015" spans="1:12" x14ac:dyDescent="0.25">
      <c r="A3015" s="50" t="s">
        <v>4301</v>
      </c>
      <c r="B3015" s="30" t="s">
        <v>137</v>
      </c>
      <c r="C3015" s="30" t="s">
        <v>337</v>
      </c>
      <c r="D3015" s="30" t="s">
        <v>35</v>
      </c>
      <c r="E3015" s="30" t="s">
        <v>511</v>
      </c>
      <c r="F3015" s="30">
        <v>1</v>
      </c>
      <c r="G3015" s="44">
        <v>21524</v>
      </c>
      <c r="H3015" s="30"/>
      <c r="I3015" s="44"/>
      <c r="J3015" s="44"/>
      <c r="K3015" s="44">
        <f t="shared" si="101"/>
        <v>21524</v>
      </c>
      <c r="L3015" s="51">
        <v>20250310</v>
      </c>
    </row>
    <row r="3016" spans="1:12" x14ac:dyDescent="0.25">
      <c r="A3016" s="52" t="s">
        <v>4300</v>
      </c>
      <c r="B3016" s="32" t="s">
        <v>137</v>
      </c>
      <c r="C3016" s="32" t="s">
        <v>337</v>
      </c>
      <c r="D3016" s="32" t="s">
        <v>35</v>
      </c>
      <c r="E3016" s="32" t="s">
        <v>157</v>
      </c>
      <c r="F3016" s="32">
        <v>1</v>
      </c>
      <c r="G3016" s="45">
        <v>21524</v>
      </c>
      <c r="H3016" s="32">
        <v>72</v>
      </c>
      <c r="I3016" s="45">
        <v>527.5</v>
      </c>
      <c r="J3016" s="45">
        <f>I3016*H3016</f>
        <v>37980</v>
      </c>
      <c r="K3016" s="45">
        <f t="shared" si="101"/>
        <v>59504</v>
      </c>
      <c r="L3016" s="53">
        <v>20250310</v>
      </c>
    </row>
    <row r="3017" spans="1:12" x14ac:dyDescent="0.25">
      <c r="A3017" s="50" t="s">
        <v>4299</v>
      </c>
      <c r="B3017" s="30" t="s">
        <v>137</v>
      </c>
      <c r="C3017" s="30" t="s">
        <v>337</v>
      </c>
      <c r="D3017" s="30" t="s">
        <v>35</v>
      </c>
      <c r="E3017" s="30" t="s">
        <v>1479</v>
      </c>
      <c r="F3017" s="30">
        <v>1</v>
      </c>
      <c r="G3017" s="44">
        <v>21524</v>
      </c>
      <c r="H3017" s="30"/>
      <c r="I3017" s="44"/>
      <c r="J3017" s="44"/>
      <c r="K3017" s="44">
        <f t="shared" si="101"/>
        <v>21524</v>
      </c>
      <c r="L3017" s="51">
        <v>20250310</v>
      </c>
    </row>
    <row r="3018" spans="1:12" x14ac:dyDescent="0.25">
      <c r="A3018" s="50" t="s">
        <v>4298</v>
      </c>
      <c r="B3018" s="30" t="s">
        <v>137</v>
      </c>
      <c r="C3018" s="30" t="s">
        <v>337</v>
      </c>
      <c r="D3018" s="30" t="s">
        <v>35</v>
      </c>
      <c r="E3018" s="30" t="s">
        <v>3011</v>
      </c>
      <c r="F3018" s="30">
        <v>1</v>
      </c>
      <c r="G3018" s="44">
        <v>21524</v>
      </c>
      <c r="H3018" s="30"/>
      <c r="I3018" s="44"/>
      <c r="J3018" s="44"/>
      <c r="K3018" s="44">
        <f t="shared" si="101"/>
        <v>21524</v>
      </c>
      <c r="L3018" s="51">
        <v>20250310</v>
      </c>
    </row>
    <row r="3019" spans="1:12" x14ac:dyDescent="0.25">
      <c r="A3019" s="50" t="s">
        <v>4297</v>
      </c>
      <c r="B3019" s="30" t="s">
        <v>137</v>
      </c>
      <c r="C3019" s="30" t="s">
        <v>337</v>
      </c>
      <c r="D3019" s="30" t="s">
        <v>35</v>
      </c>
      <c r="E3019" s="30" t="s">
        <v>1484</v>
      </c>
      <c r="F3019" s="30">
        <v>1</v>
      </c>
      <c r="G3019" s="44">
        <v>21524</v>
      </c>
      <c r="H3019" s="30"/>
      <c r="I3019" s="44"/>
      <c r="J3019" s="44"/>
      <c r="K3019" s="44">
        <f t="shared" si="101"/>
        <v>21524</v>
      </c>
      <c r="L3019" s="51">
        <v>20250310</v>
      </c>
    </row>
    <row r="3020" spans="1:12" x14ac:dyDescent="0.25">
      <c r="A3020" s="50" t="s">
        <v>4296</v>
      </c>
      <c r="B3020" s="30" t="s">
        <v>137</v>
      </c>
      <c r="C3020" s="30" t="s">
        <v>337</v>
      </c>
      <c r="D3020" s="30" t="s">
        <v>35</v>
      </c>
      <c r="E3020" s="30" t="s">
        <v>2463</v>
      </c>
      <c r="F3020" s="30">
        <v>1</v>
      </c>
      <c r="G3020" s="44">
        <v>21524</v>
      </c>
      <c r="H3020" s="30"/>
      <c r="I3020" s="44"/>
      <c r="J3020" s="44"/>
      <c r="K3020" s="44">
        <f t="shared" si="101"/>
        <v>21524</v>
      </c>
      <c r="L3020" s="51">
        <v>20250310</v>
      </c>
    </row>
    <row r="3021" spans="1:12" x14ac:dyDescent="0.25">
      <c r="A3021" s="50" t="s">
        <v>4295</v>
      </c>
      <c r="B3021" s="30" t="s">
        <v>137</v>
      </c>
      <c r="C3021" s="30" t="s">
        <v>337</v>
      </c>
      <c r="D3021" s="30" t="s">
        <v>35</v>
      </c>
      <c r="E3021" s="30" t="s">
        <v>1477</v>
      </c>
      <c r="F3021" s="30">
        <v>1</v>
      </c>
      <c r="G3021" s="44">
        <v>21524</v>
      </c>
      <c r="H3021" s="30"/>
      <c r="I3021" s="44"/>
      <c r="J3021" s="44"/>
      <c r="K3021" s="44">
        <f t="shared" si="101"/>
        <v>21524</v>
      </c>
      <c r="L3021" s="51">
        <v>20250310</v>
      </c>
    </row>
    <row r="3022" spans="1:12" x14ac:dyDescent="0.25">
      <c r="A3022" s="50" t="s">
        <v>4294</v>
      </c>
      <c r="B3022" s="30" t="s">
        <v>137</v>
      </c>
      <c r="C3022" s="30" t="s">
        <v>337</v>
      </c>
      <c r="D3022" s="30" t="s">
        <v>35</v>
      </c>
      <c r="E3022" s="30" t="s">
        <v>3006</v>
      </c>
      <c r="F3022" s="30">
        <v>1</v>
      </c>
      <c r="G3022" s="44">
        <v>21524</v>
      </c>
      <c r="H3022" s="30"/>
      <c r="I3022" s="44"/>
      <c r="J3022" s="44"/>
      <c r="K3022" s="44">
        <f t="shared" si="101"/>
        <v>21524</v>
      </c>
      <c r="L3022" s="51">
        <v>20250310</v>
      </c>
    </row>
    <row r="3023" spans="1:12" x14ac:dyDescent="0.25">
      <c r="A3023" s="50" t="s">
        <v>4284</v>
      </c>
      <c r="B3023" s="30" t="s">
        <v>137</v>
      </c>
      <c r="C3023" s="30" t="s">
        <v>172</v>
      </c>
      <c r="D3023" s="30" t="s">
        <v>173</v>
      </c>
      <c r="E3023" s="30" t="s">
        <v>2221</v>
      </c>
      <c r="F3023" s="30">
        <v>1</v>
      </c>
      <c r="G3023" s="44">
        <v>21524</v>
      </c>
      <c r="H3023" s="30"/>
      <c r="I3023" s="44"/>
      <c r="J3023" s="44"/>
      <c r="K3023" s="44">
        <f t="shared" si="101"/>
        <v>21524</v>
      </c>
      <c r="L3023" s="51">
        <v>20250325</v>
      </c>
    </row>
    <row r="3024" spans="1:12" x14ac:dyDescent="0.25">
      <c r="A3024" s="50" t="s">
        <v>4283</v>
      </c>
      <c r="B3024" s="30" t="s">
        <v>137</v>
      </c>
      <c r="C3024" s="30" t="s">
        <v>172</v>
      </c>
      <c r="D3024" s="30" t="s">
        <v>173</v>
      </c>
      <c r="E3024" s="30" t="s">
        <v>174</v>
      </c>
      <c r="F3024" s="30">
        <v>1</v>
      </c>
      <c r="G3024" s="44">
        <v>21524</v>
      </c>
      <c r="H3024" s="30"/>
      <c r="I3024" s="44"/>
      <c r="J3024" s="44"/>
      <c r="K3024" s="44">
        <f t="shared" si="101"/>
        <v>21524</v>
      </c>
      <c r="L3024" s="51">
        <v>20250325</v>
      </c>
    </row>
    <row r="3025" spans="1:12" x14ac:dyDescent="0.25">
      <c r="A3025" s="50" t="s">
        <v>4279</v>
      </c>
      <c r="B3025" s="30" t="s">
        <v>137</v>
      </c>
      <c r="C3025" s="30" t="s">
        <v>29</v>
      </c>
      <c r="D3025" s="30" t="s">
        <v>24</v>
      </c>
      <c r="E3025" s="30" t="s">
        <v>1497</v>
      </c>
      <c r="F3025" s="30">
        <v>1</v>
      </c>
      <c r="G3025" s="44">
        <v>21524</v>
      </c>
      <c r="H3025" s="30"/>
      <c r="I3025" s="44"/>
      <c r="J3025" s="44"/>
      <c r="K3025" s="44">
        <f t="shared" si="101"/>
        <v>21524</v>
      </c>
      <c r="L3025" s="51">
        <v>20250326</v>
      </c>
    </row>
    <row r="3026" spans="1:12" x14ac:dyDescent="0.25">
      <c r="A3026" s="50" t="s">
        <v>4278</v>
      </c>
      <c r="B3026" s="30" t="s">
        <v>137</v>
      </c>
      <c r="C3026" s="30" t="s">
        <v>29</v>
      </c>
      <c r="D3026" s="30" t="s">
        <v>24</v>
      </c>
      <c r="E3026" s="30" t="s">
        <v>632</v>
      </c>
      <c r="F3026" s="30">
        <v>1</v>
      </c>
      <c r="G3026" s="44">
        <v>21524</v>
      </c>
      <c r="H3026" s="30"/>
      <c r="I3026" s="44"/>
      <c r="J3026" s="44"/>
      <c r="K3026" s="44">
        <f t="shared" si="101"/>
        <v>21524</v>
      </c>
      <c r="L3026" s="51">
        <v>20250326</v>
      </c>
    </row>
    <row r="3027" spans="1:12" x14ac:dyDescent="0.25">
      <c r="A3027" s="50" t="s">
        <v>4277</v>
      </c>
      <c r="B3027" s="30" t="s">
        <v>137</v>
      </c>
      <c r="C3027" s="30" t="s">
        <v>29</v>
      </c>
      <c r="D3027" s="30" t="s">
        <v>24</v>
      </c>
      <c r="E3027" s="30" t="s">
        <v>2051</v>
      </c>
      <c r="F3027" s="30">
        <v>1</v>
      </c>
      <c r="G3027" s="44">
        <v>21524</v>
      </c>
      <c r="H3027" s="30"/>
      <c r="I3027" s="44"/>
      <c r="J3027" s="44"/>
      <c r="K3027" s="44">
        <f t="shared" si="101"/>
        <v>21524</v>
      </c>
      <c r="L3027" s="51">
        <v>20250326</v>
      </c>
    </row>
    <row r="3028" spans="1:12" x14ac:dyDescent="0.25">
      <c r="A3028" s="50" t="s">
        <v>4276</v>
      </c>
      <c r="B3028" s="30" t="s">
        <v>137</v>
      </c>
      <c r="C3028" s="30" t="s">
        <v>29</v>
      </c>
      <c r="D3028" s="30" t="s">
        <v>24</v>
      </c>
      <c r="E3028" s="30" t="s">
        <v>1003</v>
      </c>
      <c r="F3028" s="30">
        <v>1</v>
      </c>
      <c r="G3028" s="44">
        <v>21524</v>
      </c>
      <c r="H3028" s="30"/>
      <c r="I3028" s="44"/>
      <c r="J3028" s="44"/>
      <c r="K3028" s="44">
        <f t="shared" si="101"/>
        <v>21524</v>
      </c>
      <c r="L3028" s="51">
        <v>20250331</v>
      </c>
    </row>
    <row r="3029" spans="1:12" x14ac:dyDescent="0.25">
      <c r="A3029" s="50" t="s">
        <v>4271</v>
      </c>
      <c r="B3029" s="30" t="s">
        <v>137</v>
      </c>
      <c r="C3029" s="30" t="s">
        <v>29</v>
      </c>
      <c r="D3029" s="30" t="s">
        <v>1385</v>
      </c>
      <c r="E3029" s="30" t="s">
        <v>1320</v>
      </c>
      <c r="F3029" s="30">
        <v>1</v>
      </c>
      <c r="G3029" s="44">
        <v>21524</v>
      </c>
      <c r="H3029" s="30"/>
      <c r="I3029" s="44"/>
      <c r="J3029" s="44"/>
      <c r="K3029" s="44">
        <f t="shared" si="101"/>
        <v>21524</v>
      </c>
      <c r="L3029" s="51">
        <v>20250331</v>
      </c>
    </row>
    <row r="3030" spans="1:12" x14ac:dyDescent="0.25">
      <c r="A3030" s="50" t="s">
        <v>4270</v>
      </c>
      <c r="B3030" s="30" t="s">
        <v>137</v>
      </c>
      <c r="C3030" s="30" t="s">
        <v>29</v>
      </c>
      <c r="D3030" s="30" t="s">
        <v>1385</v>
      </c>
      <c r="E3030" s="30" t="s">
        <v>1127</v>
      </c>
      <c r="F3030" s="30">
        <v>1</v>
      </c>
      <c r="G3030" s="44">
        <v>21524</v>
      </c>
      <c r="H3030" s="30"/>
      <c r="I3030" s="44"/>
      <c r="J3030" s="44"/>
      <c r="K3030" s="44">
        <f t="shared" si="101"/>
        <v>21524</v>
      </c>
      <c r="L3030" s="51">
        <v>20250331</v>
      </c>
    </row>
    <row r="3031" spans="1:12" x14ac:dyDescent="0.25">
      <c r="A3031" s="50" t="s">
        <v>4269</v>
      </c>
      <c r="B3031" s="30" t="s">
        <v>137</v>
      </c>
      <c r="C3031" s="30" t="s">
        <v>29</v>
      </c>
      <c r="D3031" s="30" t="s">
        <v>1385</v>
      </c>
      <c r="E3031" s="30" t="s">
        <v>3335</v>
      </c>
      <c r="F3031" s="30">
        <v>1</v>
      </c>
      <c r="G3031" s="44">
        <v>21524</v>
      </c>
      <c r="H3031" s="30"/>
      <c r="I3031" s="44"/>
      <c r="J3031" s="44"/>
      <c r="K3031" s="44">
        <f t="shared" si="101"/>
        <v>21524</v>
      </c>
      <c r="L3031" s="51">
        <v>20250331</v>
      </c>
    </row>
    <row r="3032" spans="1:12" x14ac:dyDescent="0.25">
      <c r="A3032" s="50" t="s">
        <v>4268</v>
      </c>
      <c r="B3032" s="30" t="s">
        <v>137</v>
      </c>
      <c r="C3032" s="30" t="s">
        <v>29</v>
      </c>
      <c r="D3032" s="30" t="s">
        <v>1385</v>
      </c>
      <c r="E3032" s="30" t="s">
        <v>3889</v>
      </c>
      <c r="F3032" s="30">
        <v>1</v>
      </c>
      <c r="G3032" s="44">
        <v>21524</v>
      </c>
      <c r="H3032" s="30"/>
      <c r="I3032" s="44"/>
      <c r="J3032" s="44"/>
      <c r="K3032" s="44">
        <f t="shared" si="101"/>
        <v>21524</v>
      </c>
      <c r="L3032" s="51">
        <v>20250331</v>
      </c>
    </row>
    <row r="3033" spans="1:12" x14ac:dyDescent="0.25">
      <c r="A3033" s="50" t="s">
        <v>4267</v>
      </c>
      <c r="B3033" s="30" t="s">
        <v>137</v>
      </c>
      <c r="C3033" s="30" t="s">
        <v>29</v>
      </c>
      <c r="D3033" s="30" t="s">
        <v>1385</v>
      </c>
      <c r="E3033" s="30" t="s">
        <v>1386</v>
      </c>
      <c r="F3033" s="30">
        <v>1</v>
      </c>
      <c r="G3033" s="44">
        <v>21524</v>
      </c>
      <c r="H3033" s="30"/>
      <c r="I3033" s="44"/>
      <c r="J3033" s="44"/>
      <c r="K3033" s="44">
        <f t="shared" si="101"/>
        <v>21524</v>
      </c>
      <c r="L3033" s="51">
        <v>20250331</v>
      </c>
    </row>
    <row r="3034" spans="1:12" x14ac:dyDescent="0.25">
      <c r="A3034" s="50" t="s">
        <v>4266</v>
      </c>
      <c r="B3034" s="30" t="s">
        <v>137</v>
      </c>
      <c r="C3034" s="30" t="s">
        <v>29</v>
      </c>
      <c r="D3034" s="30" t="s">
        <v>1385</v>
      </c>
      <c r="E3034" s="30" t="s">
        <v>2101</v>
      </c>
      <c r="F3034" s="30">
        <v>1</v>
      </c>
      <c r="G3034" s="44">
        <v>21524</v>
      </c>
      <c r="H3034" s="30"/>
      <c r="I3034" s="44"/>
      <c r="J3034" s="44"/>
      <c r="K3034" s="44">
        <f t="shared" si="101"/>
        <v>21524</v>
      </c>
      <c r="L3034" s="51">
        <v>20250331</v>
      </c>
    </row>
    <row r="3035" spans="1:12" x14ac:dyDescent="0.25">
      <c r="A3035" s="50" t="s">
        <v>4265</v>
      </c>
      <c r="B3035" s="30" t="s">
        <v>137</v>
      </c>
      <c r="C3035" s="30" t="s">
        <v>29</v>
      </c>
      <c r="D3035" s="30" t="s">
        <v>1385</v>
      </c>
      <c r="E3035" s="30" t="s">
        <v>4125</v>
      </c>
      <c r="F3035" s="30">
        <v>1</v>
      </c>
      <c r="G3035" s="44">
        <v>21524</v>
      </c>
      <c r="H3035" s="30"/>
      <c r="I3035" s="44"/>
      <c r="J3035" s="44"/>
      <c r="K3035" s="44">
        <f t="shared" si="101"/>
        <v>21524</v>
      </c>
      <c r="L3035" s="51">
        <v>20250331</v>
      </c>
    </row>
    <row r="3036" spans="1:12" x14ac:dyDescent="0.25">
      <c r="A3036" s="50" t="s">
        <v>4264</v>
      </c>
      <c r="B3036" s="30" t="s">
        <v>137</v>
      </c>
      <c r="C3036" s="30" t="s">
        <v>29</v>
      </c>
      <c r="D3036" s="30" t="s">
        <v>1385</v>
      </c>
      <c r="E3036" s="30" t="s">
        <v>209</v>
      </c>
      <c r="F3036" s="30">
        <v>1</v>
      </c>
      <c r="G3036" s="44">
        <v>21524</v>
      </c>
      <c r="H3036" s="30"/>
      <c r="I3036" s="44"/>
      <c r="J3036" s="44"/>
      <c r="K3036" s="44">
        <f t="shared" si="101"/>
        <v>21524</v>
      </c>
      <c r="L3036" s="51">
        <v>20250331</v>
      </c>
    </row>
    <row r="3037" spans="1:12" ht="15.75" thickBot="1" x14ac:dyDescent="0.3">
      <c r="A3037" s="54" t="s">
        <v>4263</v>
      </c>
      <c r="B3037" s="36" t="s">
        <v>137</v>
      </c>
      <c r="C3037" s="36" t="s">
        <v>29</v>
      </c>
      <c r="D3037" s="36" t="s">
        <v>1385</v>
      </c>
      <c r="E3037" s="36" t="s">
        <v>628</v>
      </c>
      <c r="F3037" s="36">
        <v>1</v>
      </c>
      <c r="G3037" s="65">
        <v>21524</v>
      </c>
      <c r="H3037" s="36"/>
      <c r="I3037" s="65"/>
      <c r="J3037" s="65"/>
      <c r="K3037" s="65">
        <f t="shared" si="101"/>
        <v>21524</v>
      </c>
      <c r="L3037" s="55">
        <v>20250331</v>
      </c>
    </row>
    <row r="3042" spans="1:12" ht="15.75" thickBot="1" x14ac:dyDescent="0.3">
      <c r="A3042" s="69" t="s">
        <v>0</v>
      </c>
      <c r="B3042" s="70" t="s">
        <v>1</v>
      </c>
      <c r="C3042" s="70" t="s">
        <v>2</v>
      </c>
      <c r="D3042" s="70" t="s">
        <v>3</v>
      </c>
      <c r="E3042" s="70" t="s">
        <v>4</v>
      </c>
      <c r="F3042" s="70"/>
      <c r="G3042" s="71" t="s">
        <v>6</v>
      </c>
      <c r="H3042" s="70" t="s">
        <v>7</v>
      </c>
      <c r="I3042" s="71" t="s">
        <v>8</v>
      </c>
      <c r="J3042" s="71" t="s">
        <v>9</v>
      </c>
      <c r="K3042" s="71" t="s">
        <v>10</v>
      </c>
      <c r="L3042" s="72" t="s">
        <v>5</v>
      </c>
    </row>
    <row r="3043" spans="1:12" x14ac:dyDescent="0.25">
      <c r="A3043" s="77" t="s">
        <v>4418</v>
      </c>
      <c r="B3043" s="78" t="s">
        <v>11</v>
      </c>
      <c r="C3043" s="78" t="s">
        <v>28</v>
      </c>
      <c r="D3043" s="78" t="s">
        <v>1160</v>
      </c>
      <c r="E3043" s="78" t="s">
        <v>3643</v>
      </c>
      <c r="F3043" s="78">
        <v>1</v>
      </c>
      <c r="G3043" s="79">
        <v>46293</v>
      </c>
      <c r="H3043" s="78">
        <v>57</v>
      </c>
      <c r="I3043" s="79">
        <v>559.20000000000005</v>
      </c>
      <c r="J3043" s="79">
        <f>I3043*H3043</f>
        <v>31874.400000000001</v>
      </c>
      <c r="K3043" s="79">
        <f>J3043+G3043</f>
        <v>78167.399999999994</v>
      </c>
      <c r="L3043" s="80">
        <v>20250401</v>
      </c>
    </row>
    <row r="3044" spans="1:12" x14ac:dyDescent="0.25">
      <c r="A3044" s="50" t="s">
        <v>4423</v>
      </c>
      <c r="B3044" s="30" t="s">
        <v>11</v>
      </c>
      <c r="C3044" s="30" t="s">
        <v>1450</v>
      </c>
      <c r="D3044" s="30" t="s">
        <v>1592</v>
      </c>
      <c r="E3044" s="30" t="s">
        <v>1593</v>
      </c>
      <c r="F3044" s="30">
        <v>1</v>
      </c>
      <c r="G3044" s="44">
        <v>46293</v>
      </c>
      <c r="H3044" s="30"/>
      <c r="I3044" s="44"/>
      <c r="J3044" s="44"/>
      <c r="K3044" s="44">
        <f t="shared" ref="K3044:K3087" si="102">J3044+G3044</f>
        <v>46293</v>
      </c>
      <c r="L3044" s="51">
        <v>20250401</v>
      </c>
    </row>
    <row r="3045" spans="1:12" x14ac:dyDescent="0.25">
      <c r="A3045" s="50" t="s">
        <v>4422</v>
      </c>
      <c r="B3045" s="30" t="s">
        <v>1209</v>
      </c>
      <c r="C3045" s="30" t="s">
        <v>129</v>
      </c>
      <c r="D3045" s="30" t="s">
        <v>24</v>
      </c>
      <c r="E3045" s="30" t="s">
        <v>130</v>
      </c>
      <c r="F3045" s="30">
        <v>1</v>
      </c>
      <c r="G3045" s="44">
        <v>46293</v>
      </c>
      <c r="H3045" s="30"/>
      <c r="I3045" s="44"/>
      <c r="J3045" s="44"/>
      <c r="K3045" s="44">
        <f t="shared" si="102"/>
        <v>46293</v>
      </c>
      <c r="L3045" s="51">
        <v>20250403</v>
      </c>
    </row>
    <row r="3046" spans="1:12" x14ac:dyDescent="0.25">
      <c r="A3046" s="52" t="s">
        <v>4412</v>
      </c>
      <c r="B3046" s="32" t="s">
        <v>11</v>
      </c>
      <c r="C3046" s="32" t="s">
        <v>337</v>
      </c>
      <c r="D3046" s="32" t="s">
        <v>35</v>
      </c>
      <c r="E3046" s="32" t="s">
        <v>2463</v>
      </c>
      <c r="F3046" s="32">
        <v>1</v>
      </c>
      <c r="G3046" s="45">
        <v>46293</v>
      </c>
      <c r="H3046" s="32">
        <v>72</v>
      </c>
      <c r="I3046" s="45">
        <v>559.20000000000005</v>
      </c>
      <c r="J3046" s="45">
        <f t="shared" ref="J3046:J3083" si="103">I3046*H3046</f>
        <v>40262.400000000001</v>
      </c>
      <c r="K3046" s="45">
        <f t="shared" si="102"/>
        <v>86555.4</v>
      </c>
      <c r="L3046" s="53">
        <v>20250404</v>
      </c>
    </row>
    <row r="3047" spans="1:12" x14ac:dyDescent="0.25">
      <c r="A3047" s="50" t="s">
        <v>4413</v>
      </c>
      <c r="B3047" s="30" t="s">
        <v>11</v>
      </c>
      <c r="C3047" s="30" t="s">
        <v>337</v>
      </c>
      <c r="D3047" s="30" t="s">
        <v>35</v>
      </c>
      <c r="E3047" s="30" t="s">
        <v>511</v>
      </c>
      <c r="F3047" s="30">
        <v>1</v>
      </c>
      <c r="G3047" s="44">
        <v>46293</v>
      </c>
      <c r="H3047" s="30"/>
      <c r="I3047" s="44"/>
      <c r="J3047" s="44"/>
      <c r="K3047" s="44">
        <f t="shared" si="102"/>
        <v>46293</v>
      </c>
      <c r="L3047" s="51">
        <v>20250404</v>
      </c>
    </row>
    <row r="3048" spans="1:12" x14ac:dyDescent="0.25">
      <c r="A3048" s="50" t="s">
        <v>4419</v>
      </c>
      <c r="B3048" s="30" t="s">
        <v>11</v>
      </c>
      <c r="C3048" s="30" t="s">
        <v>134</v>
      </c>
      <c r="D3048" s="30" t="s">
        <v>135</v>
      </c>
      <c r="E3048" s="30" t="s">
        <v>183</v>
      </c>
      <c r="F3048" s="30">
        <v>1</v>
      </c>
      <c r="G3048" s="44">
        <v>46293</v>
      </c>
      <c r="H3048" s="30"/>
      <c r="I3048" s="44"/>
      <c r="J3048" s="44"/>
      <c r="K3048" s="44">
        <f t="shared" si="102"/>
        <v>46293</v>
      </c>
      <c r="L3048" s="51">
        <v>20250404</v>
      </c>
    </row>
    <row r="3049" spans="1:12" x14ac:dyDescent="0.25">
      <c r="A3049" s="50" t="s">
        <v>4420</v>
      </c>
      <c r="B3049" s="30" t="s">
        <v>11</v>
      </c>
      <c r="C3049" s="30" t="s">
        <v>94</v>
      </c>
      <c r="D3049" s="30" t="s">
        <v>95</v>
      </c>
      <c r="E3049" s="30" t="s">
        <v>2855</v>
      </c>
      <c r="F3049" s="30">
        <v>1</v>
      </c>
      <c r="G3049" s="44">
        <v>46293</v>
      </c>
      <c r="H3049" s="30"/>
      <c r="I3049" s="44"/>
      <c r="J3049" s="44"/>
      <c r="K3049" s="44">
        <f t="shared" si="102"/>
        <v>46293</v>
      </c>
      <c r="L3049" s="51">
        <v>20250404</v>
      </c>
    </row>
    <row r="3050" spans="1:12" x14ac:dyDescent="0.25">
      <c r="A3050" s="50" t="s">
        <v>4424</v>
      </c>
      <c r="B3050" s="30" t="s">
        <v>11</v>
      </c>
      <c r="C3050" s="30" t="s">
        <v>337</v>
      </c>
      <c r="D3050" s="30" t="s">
        <v>35</v>
      </c>
      <c r="E3050" s="30" t="s">
        <v>1479</v>
      </c>
      <c r="F3050" s="30">
        <v>1</v>
      </c>
      <c r="G3050" s="44">
        <v>46293</v>
      </c>
      <c r="H3050" s="30"/>
      <c r="I3050" s="44"/>
      <c r="J3050" s="44"/>
      <c r="K3050" s="44">
        <f t="shared" si="102"/>
        <v>46293</v>
      </c>
      <c r="L3050" s="51">
        <v>20250404</v>
      </c>
    </row>
    <row r="3051" spans="1:12" x14ac:dyDescent="0.25">
      <c r="A3051" s="50" t="s">
        <v>4416</v>
      </c>
      <c r="B3051" s="30" t="s">
        <v>11</v>
      </c>
      <c r="C3051" s="30" t="s">
        <v>337</v>
      </c>
      <c r="D3051" s="30" t="s">
        <v>162</v>
      </c>
      <c r="E3051" s="30" t="s">
        <v>3741</v>
      </c>
      <c r="F3051" s="30">
        <v>1</v>
      </c>
      <c r="G3051" s="44">
        <v>46293</v>
      </c>
      <c r="H3051" s="30"/>
      <c r="I3051" s="44"/>
      <c r="J3051" s="44"/>
      <c r="K3051" s="44">
        <f t="shared" si="102"/>
        <v>46293</v>
      </c>
      <c r="L3051" s="51">
        <v>20250408</v>
      </c>
    </row>
    <row r="3052" spans="1:12" x14ac:dyDescent="0.25">
      <c r="A3052" s="50" t="s">
        <v>4417</v>
      </c>
      <c r="B3052" s="30" t="s">
        <v>11</v>
      </c>
      <c r="C3052" s="30" t="s">
        <v>26</v>
      </c>
      <c r="D3052" s="30" t="s">
        <v>204</v>
      </c>
      <c r="E3052" s="30" t="s">
        <v>205</v>
      </c>
      <c r="F3052" s="30">
        <v>1</v>
      </c>
      <c r="G3052" s="44">
        <v>46293</v>
      </c>
      <c r="H3052" s="30"/>
      <c r="I3052" s="44"/>
      <c r="J3052" s="44"/>
      <c r="K3052" s="44">
        <f t="shared" si="102"/>
        <v>46293</v>
      </c>
      <c r="L3052" s="51">
        <v>20250409</v>
      </c>
    </row>
    <row r="3053" spans="1:12" x14ac:dyDescent="0.25">
      <c r="A3053" s="52" t="s">
        <v>4386</v>
      </c>
      <c r="B3053" s="32" t="s">
        <v>11</v>
      </c>
      <c r="C3053" s="32" t="s">
        <v>26</v>
      </c>
      <c r="D3053" s="32" t="s">
        <v>224</v>
      </c>
      <c r="E3053" s="32" t="s">
        <v>2907</v>
      </c>
      <c r="F3053" s="32">
        <v>1</v>
      </c>
      <c r="G3053" s="45">
        <v>46293</v>
      </c>
      <c r="H3053" s="32">
        <v>58</v>
      </c>
      <c r="I3053" s="45">
        <v>559.20000000000005</v>
      </c>
      <c r="J3053" s="45">
        <f t="shared" si="103"/>
        <v>32433.600000000002</v>
      </c>
      <c r="K3053" s="45">
        <f t="shared" si="102"/>
        <v>78726.600000000006</v>
      </c>
      <c r="L3053" s="53">
        <v>20250411</v>
      </c>
    </row>
    <row r="3054" spans="1:12" x14ac:dyDescent="0.25">
      <c r="A3054" s="50" t="s">
        <v>4391</v>
      </c>
      <c r="B3054" s="30" t="s">
        <v>11</v>
      </c>
      <c r="C3054" s="30" t="s">
        <v>29</v>
      </c>
      <c r="D3054" s="30" t="s">
        <v>1385</v>
      </c>
      <c r="E3054" s="30" t="s">
        <v>4373</v>
      </c>
      <c r="F3054" s="30">
        <v>1</v>
      </c>
      <c r="G3054" s="44">
        <v>46293</v>
      </c>
      <c r="H3054" s="30"/>
      <c r="I3054" s="44"/>
      <c r="J3054" s="44"/>
      <c r="K3054" s="44">
        <f t="shared" si="102"/>
        <v>46293</v>
      </c>
      <c r="L3054" s="51">
        <v>20250411</v>
      </c>
    </row>
    <row r="3055" spans="1:12" x14ac:dyDescent="0.25">
      <c r="A3055" s="50" t="s">
        <v>4414</v>
      </c>
      <c r="B3055" s="30" t="s">
        <v>11</v>
      </c>
      <c r="C3055" s="30" t="s">
        <v>29</v>
      </c>
      <c r="D3055" s="30" t="s">
        <v>1385</v>
      </c>
      <c r="E3055" s="30" t="s">
        <v>2101</v>
      </c>
      <c r="F3055" s="30">
        <v>1</v>
      </c>
      <c r="G3055" s="44">
        <v>46293</v>
      </c>
      <c r="H3055" s="30"/>
      <c r="I3055" s="44"/>
      <c r="J3055" s="44"/>
      <c r="K3055" s="44">
        <f t="shared" si="102"/>
        <v>46293</v>
      </c>
      <c r="L3055" s="51">
        <v>20250411</v>
      </c>
    </row>
    <row r="3056" spans="1:12" x14ac:dyDescent="0.25">
      <c r="A3056" s="50" t="s">
        <v>4379</v>
      </c>
      <c r="B3056" s="30" t="s">
        <v>11</v>
      </c>
      <c r="C3056" s="30" t="s">
        <v>28</v>
      </c>
      <c r="D3056" s="30" t="s">
        <v>759</v>
      </c>
      <c r="E3056" s="30" t="s">
        <v>760</v>
      </c>
      <c r="F3056" s="30">
        <v>1</v>
      </c>
      <c r="G3056" s="44">
        <v>46293</v>
      </c>
      <c r="H3056" s="30"/>
      <c r="I3056" s="44"/>
      <c r="J3056" s="44"/>
      <c r="K3056" s="44">
        <f t="shared" si="102"/>
        <v>46293</v>
      </c>
      <c r="L3056" s="51">
        <v>20250414</v>
      </c>
    </row>
    <row r="3057" spans="1:12" x14ac:dyDescent="0.25">
      <c r="A3057" s="50" t="s">
        <v>4387</v>
      </c>
      <c r="B3057" s="30" t="s">
        <v>11</v>
      </c>
      <c r="C3057" s="30" t="s">
        <v>94</v>
      </c>
      <c r="D3057" s="30" t="s">
        <v>95</v>
      </c>
      <c r="E3057" s="30" t="s">
        <v>1083</v>
      </c>
      <c r="F3057" s="30">
        <v>1</v>
      </c>
      <c r="G3057" s="44">
        <v>46293</v>
      </c>
      <c r="H3057" s="30"/>
      <c r="I3057" s="44"/>
      <c r="J3057" s="44"/>
      <c r="K3057" s="44">
        <f t="shared" si="102"/>
        <v>46293</v>
      </c>
      <c r="L3057" s="51">
        <v>20250414</v>
      </c>
    </row>
    <row r="3058" spans="1:12" x14ac:dyDescent="0.25">
      <c r="A3058" s="50" t="s">
        <v>4388</v>
      </c>
      <c r="B3058" s="30" t="s">
        <v>11</v>
      </c>
      <c r="C3058" s="30" t="s">
        <v>94</v>
      </c>
      <c r="D3058" s="30" t="s">
        <v>95</v>
      </c>
      <c r="E3058" s="30" t="s">
        <v>262</v>
      </c>
      <c r="F3058" s="30">
        <v>1</v>
      </c>
      <c r="G3058" s="44">
        <v>46293</v>
      </c>
      <c r="H3058" s="30"/>
      <c r="I3058" s="44"/>
      <c r="J3058" s="44"/>
      <c r="K3058" s="44">
        <f t="shared" si="102"/>
        <v>46293</v>
      </c>
      <c r="L3058" s="51">
        <v>20250414</v>
      </c>
    </row>
    <row r="3059" spans="1:12" x14ac:dyDescent="0.25">
      <c r="A3059" s="50" t="s">
        <v>4389</v>
      </c>
      <c r="B3059" s="30" t="s">
        <v>11</v>
      </c>
      <c r="C3059" s="30" t="s">
        <v>94</v>
      </c>
      <c r="D3059" s="30" t="s">
        <v>95</v>
      </c>
      <c r="E3059" s="30" t="s">
        <v>1085</v>
      </c>
      <c r="F3059" s="30">
        <v>1</v>
      </c>
      <c r="G3059" s="44">
        <v>46293</v>
      </c>
      <c r="H3059" s="30"/>
      <c r="I3059" s="44"/>
      <c r="J3059" s="44"/>
      <c r="K3059" s="44">
        <f t="shared" si="102"/>
        <v>46293</v>
      </c>
      <c r="L3059" s="51">
        <v>20250414</v>
      </c>
    </row>
    <row r="3060" spans="1:12" x14ac:dyDescent="0.25">
      <c r="A3060" s="50" t="s">
        <v>4390</v>
      </c>
      <c r="B3060" s="30" t="s">
        <v>11</v>
      </c>
      <c r="C3060" s="30" t="s">
        <v>94</v>
      </c>
      <c r="D3060" s="30" t="s">
        <v>95</v>
      </c>
      <c r="E3060" s="30" t="s">
        <v>436</v>
      </c>
      <c r="F3060" s="30">
        <v>1</v>
      </c>
      <c r="G3060" s="44">
        <v>46293</v>
      </c>
      <c r="H3060" s="30"/>
      <c r="I3060" s="44"/>
      <c r="J3060" s="44"/>
      <c r="K3060" s="44">
        <f t="shared" si="102"/>
        <v>46293</v>
      </c>
      <c r="L3060" s="51">
        <v>20250414</v>
      </c>
    </row>
    <row r="3061" spans="1:12" x14ac:dyDescent="0.25">
      <c r="A3061" s="50" t="s">
        <v>4394</v>
      </c>
      <c r="B3061" s="30" t="s">
        <v>11</v>
      </c>
      <c r="C3061" s="30" t="s">
        <v>172</v>
      </c>
      <c r="D3061" s="30" t="s">
        <v>703</v>
      </c>
      <c r="E3061" s="30" t="s">
        <v>706</v>
      </c>
      <c r="F3061" s="30">
        <v>1</v>
      </c>
      <c r="G3061" s="44">
        <v>46293</v>
      </c>
      <c r="H3061" s="30"/>
      <c r="I3061" s="44"/>
      <c r="J3061" s="44"/>
      <c r="K3061" s="44">
        <f t="shared" si="102"/>
        <v>46293</v>
      </c>
      <c r="L3061" s="51">
        <v>20250414</v>
      </c>
    </row>
    <row r="3062" spans="1:12" x14ac:dyDescent="0.25">
      <c r="A3062" s="50" t="s">
        <v>4415</v>
      </c>
      <c r="B3062" s="30" t="s">
        <v>1209</v>
      </c>
      <c r="C3062" s="30" t="s">
        <v>2109</v>
      </c>
      <c r="D3062" s="30" t="s">
        <v>24</v>
      </c>
      <c r="E3062" s="30" t="s">
        <v>4322</v>
      </c>
      <c r="F3062" s="30">
        <v>1</v>
      </c>
      <c r="G3062" s="44">
        <v>46293</v>
      </c>
      <c r="H3062" s="30"/>
      <c r="I3062" s="44"/>
      <c r="J3062" s="44"/>
      <c r="K3062" s="44">
        <f t="shared" si="102"/>
        <v>46293</v>
      </c>
      <c r="L3062" s="51">
        <v>20250414</v>
      </c>
    </row>
    <row r="3063" spans="1:12" x14ac:dyDescent="0.25">
      <c r="A3063" s="50" t="s">
        <v>4383</v>
      </c>
      <c r="B3063" s="30" t="s">
        <v>11</v>
      </c>
      <c r="C3063" s="30" t="s">
        <v>163</v>
      </c>
      <c r="D3063" s="30" t="s">
        <v>164</v>
      </c>
      <c r="E3063" s="30" t="s">
        <v>444</v>
      </c>
      <c r="F3063" s="30">
        <v>1</v>
      </c>
      <c r="G3063" s="44">
        <v>46293</v>
      </c>
      <c r="H3063" s="30"/>
      <c r="I3063" s="44"/>
      <c r="J3063" s="44"/>
      <c r="K3063" s="44">
        <f t="shared" si="102"/>
        <v>46293</v>
      </c>
      <c r="L3063" s="51">
        <v>20250415</v>
      </c>
    </row>
    <row r="3064" spans="1:12" x14ac:dyDescent="0.25">
      <c r="A3064" s="52" t="s">
        <v>4384</v>
      </c>
      <c r="B3064" s="32" t="s">
        <v>11</v>
      </c>
      <c r="C3064" s="32" t="s">
        <v>163</v>
      </c>
      <c r="D3064" s="32" t="s">
        <v>164</v>
      </c>
      <c r="E3064" s="32" t="s">
        <v>2158</v>
      </c>
      <c r="F3064" s="32">
        <v>1</v>
      </c>
      <c r="G3064" s="45">
        <v>46293</v>
      </c>
      <c r="H3064" s="32">
        <v>59</v>
      </c>
      <c r="I3064" s="45">
        <v>559.20000000000005</v>
      </c>
      <c r="J3064" s="45">
        <f t="shared" si="103"/>
        <v>32992.800000000003</v>
      </c>
      <c r="K3064" s="45">
        <f t="shared" si="102"/>
        <v>79285.8</v>
      </c>
      <c r="L3064" s="53">
        <v>20250415</v>
      </c>
    </row>
    <row r="3065" spans="1:12" x14ac:dyDescent="0.25">
      <c r="A3065" s="52" t="s">
        <v>4393</v>
      </c>
      <c r="B3065" s="32" t="s">
        <v>11</v>
      </c>
      <c r="C3065" s="32" t="s">
        <v>28</v>
      </c>
      <c r="D3065" s="32" t="s">
        <v>1300</v>
      </c>
      <c r="E3065" s="32" t="s">
        <v>1301</v>
      </c>
      <c r="F3065" s="32">
        <v>1</v>
      </c>
      <c r="G3065" s="45">
        <v>46293</v>
      </c>
      <c r="H3065" s="32">
        <v>204</v>
      </c>
      <c r="I3065" s="45">
        <v>559.20000000000005</v>
      </c>
      <c r="J3065" s="45">
        <f t="shared" si="103"/>
        <v>114076.8</v>
      </c>
      <c r="K3065" s="45">
        <f t="shared" si="102"/>
        <v>160369.79999999999</v>
      </c>
      <c r="L3065" s="53">
        <v>20250415</v>
      </c>
    </row>
    <row r="3066" spans="1:12" x14ac:dyDescent="0.25">
      <c r="A3066" s="50" t="s">
        <v>4372</v>
      </c>
      <c r="B3066" s="30" t="s">
        <v>11</v>
      </c>
      <c r="C3066" s="30" t="s">
        <v>29</v>
      </c>
      <c r="D3066" s="30" t="s">
        <v>1385</v>
      </c>
      <c r="E3066" s="30" t="s">
        <v>4373</v>
      </c>
      <c r="F3066" s="30">
        <v>1</v>
      </c>
      <c r="G3066" s="44">
        <v>46293</v>
      </c>
      <c r="H3066" s="30"/>
      <c r="I3066" s="44"/>
      <c r="J3066" s="44"/>
      <c r="K3066" s="44">
        <f t="shared" si="102"/>
        <v>46293</v>
      </c>
      <c r="L3066" s="51">
        <v>20250416</v>
      </c>
    </row>
    <row r="3067" spans="1:12" x14ac:dyDescent="0.25">
      <c r="A3067" s="50" t="s">
        <v>4374</v>
      </c>
      <c r="B3067" s="30" t="s">
        <v>11</v>
      </c>
      <c r="C3067" s="30" t="s">
        <v>29</v>
      </c>
      <c r="D3067" s="30" t="s">
        <v>1385</v>
      </c>
      <c r="E3067" s="30" t="s">
        <v>3889</v>
      </c>
      <c r="F3067" s="30">
        <v>1</v>
      </c>
      <c r="G3067" s="44">
        <v>46293</v>
      </c>
      <c r="H3067" s="30"/>
      <c r="I3067" s="44"/>
      <c r="J3067" s="44"/>
      <c r="K3067" s="44">
        <f t="shared" si="102"/>
        <v>46293</v>
      </c>
      <c r="L3067" s="51">
        <v>20250416</v>
      </c>
    </row>
    <row r="3068" spans="1:12" x14ac:dyDescent="0.25">
      <c r="A3068" s="50" t="s">
        <v>4378</v>
      </c>
      <c r="B3068" s="30" t="s">
        <v>11</v>
      </c>
      <c r="C3068" s="30" t="s">
        <v>29</v>
      </c>
      <c r="D3068" s="30" t="s">
        <v>1385</v>
      </c>
      <c r="E3068" s="30" t="s">
        <v>209</v>
      </c>
      <c r="F3068" s="30">
        <v>1</v>
      </c>
      <c r="G3068" s="44">
        <v>46293</v>
      </c>
      <c r="H3068" s="30"/>
      <c r="I3068" s="44"/>
      <c r="J3068" s="44"/>
      <c r="K3068" s="44">
        <f t="shared" si="102"/>
        <v>46293</v>
      </c>
      <c r="L3068" s="51">
        <v>20250416</v>
      </c>
    </row>
    <row r="3069" spans="1:12" x14ac:dyDescent="0.25">
      <c r="A3069" s="50" t="s">
        <v>4380</v>
      </c>
      <c r="B3069" s="30" t="s">
        <v>11</v>
      </c>
      <c r="C3069" s="30" t="s">
        <v>1021</v>
      </c>
      <c r="D3069" s="30" t="s">
        <v>95</v>
      </c>
      <c r="E3069" s="30" t="s">
        <v>1022</v>
      </c>
      <c r="F3069" s="30">
        <v>1</v>
      </c>
      <c r="G3069" s="44">
        <v>46293</v>
      </c>
      <c r="H3069" s="30"/>
      <c r="I3069" s="44"/>
      <c r="J3069" s="44"/>
      <c r="K3069" s="44">
        <f t="shared" si="102"/>
        <v>46293</v>
      </c>
      <c r="L3069" s="51">
        <v>20250416</v>
      </c>
    </row>
    <row r="3070" spans="1:12" x14ac:dyDescent="0.25">
      <c r="A3070" s="50" t="s">
        <v>4381</v>
      </c>
      <c r="B3070" s="30" t="s">
        <v>11</v>
      </c>
      <c r="C3070" s="30" t="s">
        <v>770</v>
      </c>
      <c r="D3070" s="30" t="s">
        <v>2764</v>
      </c>
      <c r="E3070" s="30" t="s">
        <v>773</v>
      </c>
      <c r="F3070" s="30">
        <v>1</v>
      </c>
      <c r="G3070" s="44">
        <v>46293</v>
      </c>
      <c r="H3070" s="30"/>
      <c r="I3070" s="44"/>
      <c r="J3070" s="44"/>
      <c r="K3070" s="44">
        <f t="shared" si="102"/>
        <v>46293</v>
      </c>
      <c r="L3070" s="51">
        <v>20250416</v>
      </c>
    </row>
    <row r="3071" spans="1:12" x14ac:dyDescent="0.25">
      <c r="A3071" s="50" t="s">
        <v>4382</v>
      </c>
      <c r="B3071" s="30" t="s">
        <v>11</v>
      </c>
      <c r="C3071" s="30" t="s">
        <v>26</v>
      </c>
      <c r="D3071" s="30" t="s">
        <v>145</v>
      </c>
      <c r="E3071" s="30" t="s">
        <v>193</v>
      </c>
      <c r="F3071" s="30">
        <v>1</v>
      </c>
      <c r="G3071" s="44">
        <v>46293</v>
      </c>
      <c r="H3071" s="30"/>
      <c r="I3071" s="44"/>
      <c r="J3071" s="44"/>
      <c r="K3071" s="44">
        <f t="shared" si="102"/>
        <v>46293</v>
      </c>
      <c r="L3071" s="51">
        <v>20250421</v>
      </c>
    </row>
    <row r="3072" spans="1:12" x14ac:dyDescent="0.25">
      <c r="A3072" s="52" t="s">
        <v>4395</v>
      </c>
      <c r="B3072" s="32" t="s">
        <v>11</v>
      </c>
      <c r="C3072" s="32" t="s">
        <v>337</v>
      </c>
      <c r="D3072" s="32" t="s">
        <v>35</v>
      </c>
      <c r="E3072" s="32" t="s">
        <v>157</v>
      </c>
      <c r="F3072" s="32">
        <v>1</v>
      </c>
      <c r="G3072" s="45">
        <v>46293</v>
      </c>
      <c r="H3072" s="32">
        <v>72</v>
      </c>
      <c r="I3072" s="45">
        <v>559.20000000000005</v>
      </c>
      <c r="J3072" s="45">
        <f t="shared" si="103"/>
        <v>40262.400000000001</v>
      </c>
      <c r="K3072" s="45">
        <f t="shared" si="102"/>
        <v>86555.4</v>
      </c>
      <c r="L3072" s="53">
        <v>20250421</v>
      </c>
    </row>
    <row r="3073" spans="1:12" x14ac:dyDescent="0.25">
      <c r="A3073" s="50" t="s">
        <v>4367</v>
      </c>
      <c r="B3073" s="30" t="s">
        <v>11</v>
      </c>
      <c r="C3073" s="30" t="s">
        <v>94</v>
      </c>
      <c r="D3073" s="30" t="s">
        <v>95</v>
      </c>
      <c r="E3073" s="30" t="s">
        <v>3473</v>
      </c>
      <c r="F3073" s="30">
        <v>1</v>
      </c>
      <c r="G3073" s="44">
        <v>46293</v>
      </c>
      <c r="H3073" s="30"/>
      <c r="I3073" s="44"/>
      <c r="J3073" s="44"/>
      <c r="K3073" s="44">
        <f t="shared" si="102"/>
        <v>46293</v>
      </c>
      <c r="L3073" s="51">
        <v>20250422</v>
      </c>
    </row>
    <row r="3074" spans="1:12" x14ac:dyDescent="0.25">
      <c r="A3074" s="52" t="s">
        <v>4385</v>
      </c>
      <c r="B3074" s="32" t="s">
        <v>11</v>
      </c>
      <c r="C3074" s="32" t="s">
        <v>103</v>
      </c>
      <c r="D3074" s="32" t="s">
        <v>104</v>
      </c>
      <c r="E3074" s="32" t="s">
        <v>3602</v>
      </c>
      <c r="F3074" s="32">
        <v>1</v>
      </c>
      <c r="G3074" s="45">
        <v>46293</v>
      </c>
      <c r="H3074" s="32">
        <v>159</v>
      </c>
      <c r="I3074" s="45">
        <v>559.20000000000005</v>
      </c>
      <c r="J3074" s="45">
        <f t="shared" si="103"/>
        <v>88912.8</v>
      </c>
      <c r="K3074" s="45">
        <f t="shared" si="102"/>
        <v>135205.79999999999</v>
      </c>
      <c r="L3074" s="53">
        <v>20250422</v>
      </c>
    </row>
    <row r="3075" spans="1:12" x14ac:dyDescent="0.25">
      <c r="A3075" s="50" t="s">
        <v>4392</v>
      </c>
      <c r="B3075" s="30" t="s">
        <v>11</v>
      </c>
      <c r="C3075" s="30" t="s">
        <v>103</v>
      </c>
      <c r="D3075" s="30" t="s">
        <v>104</v>
      </c>
      <c r="E3075" s="30" t="s">
        <v>2928</v>
      </c>
      <c r="F3075" s="30">
        <v>1</v>
      </c>
      <c r="G3075" s="44">
        <v>46293</v>
      </c>
      <c r="H3075" s="30"/>
      <c r="I3075" s="44"/>
      <c r="J3075" s="44"/>
      <c r="K3075" s="44">
        <f t="shared" si="102"/>
        <v>46293</v>
      </c>
      <c r="L3075" s="51">
        <v>20250422</v>
      </c>
    </row>
    <row r="3076" spans="1:12" x14ac:dyDescent="0.25">
      <c r="A3076" s="50" t="s">
        <v>4427</v>
      </c>
      <c r="B3076" s="30" t="s">
        <v>11</v>
      </c>
      <c r="C3076" s="30" t="s">
        <v>103</v>
      </c>
      <c r="D3076" s="30" t="s">
        <v>104</v>
      </c>
      <c r="E3076" s="30" t="s">
        <v>4428</v>
      </c>
      <c r="F3076" s="30">
        <v>1</v>
      </c>
      <c r="G3076" s="44">
        <v>46293</v>
      </c>
      <c r="H3076" s="30"/>
      <c r="I3076" s="44"/>
      <c r="J3076" s="44"/>
      <c r="K3076" s="44">
        <f t="shared" si="102"/>
        <v>46293</v>
      </c>
      <c r="L3076" s="51">
        <v>20250422</v>
      </c>
    </row>
    <row r="3077" spans="1:12" x14ac:dyDescent="0.25">
      <c r="A3077" s="52" t="s">
        <v>4377</v>
      </c>
      <c r="B3077" s="32" t="s">
        <v>11</v>
      </c>
      <c r="C3077" s="32" t="s">
        <v>28</v>
      </c>
      <c r="D3077" s="32" t="s">
        <v>1160</v>
      </c>
      <c r="E3077" s="32" t="s">
        <v>3643</v>
      </c>
      <c r="F3077" s="32">
        <v>1</v>
      </c>
      <c r="G3077" s="45">
        <v>46293</v>
      </c>
      <c r="H3077" s="32">
        <v>57</v>
      </c>
      <c r="I3077" s="45">
        <v>559.20000000000005</v>
      </c>
      <c r="J3077" s="45">
        <f t="shared" si="103"/>
        <v>31874.400000000001</v>
      </c>
      <c r="K3077" s="45">
        <f t="shared" si="102"/>
        <v>78167.399999999994</v>
      </c>
      <c r="L3077" s="53">
        <v>20250423</v>
      </c>
    </row>
    <row r="3078" spans="1:12" x14ac:dyDescent="0.25">
      <c r="A3078" s="50" t="s">
        <v>4359</v>
      </c>
      <c r="B3078" s="30" t="s">
        <v>11</v>
      </c>
      <c r="C3078" s="30" t="s">
        <v>29</v>
      </c>
      <c r="D3078" s="30" t="s">
        <v>1385</v>
      </c>
      <c r="E3078" s="30" t="s">
        <v>3889</v>
      </c>
      <c r="F3078" s="30">
        <v>1</v>
      </c>
      <c r="G3078" s="44">
        <v>46293</v>
      </c>
      <c r="H3078" s="30"/>
      <c r="I3078" s="44"/>
      <c r="J3078" s="44"/>
      <c r="K3078" s="44">
        <f t="shared" si="102"/>
        <v>46293</v>
      </c>
      <c r="L3078" s="51">
        <v>20250424</v>
      </c>
    </row>
    <row r="3079" spans="1:12" x14ac:dyDescent="0.25">
      <c r="A3079" s="50" t="s">
        <v>4368</v>
      </c>
      <c r="B3079" s="30" t="s">
        <v>11</v>
      </c>
      <c r="C3079" s="30" t="s">
        <v>1021</v>
      </c>
      <c r="D3079" s="30" t="s">
        <v>95</v>
      </c>
      <c r="E3079" s="30" t="s">
        <v>1022</v>
      </c>
      <c r="F3079" s="30">
        <v>1</v>
      </c>
      <c r="G3079" s="44">
        <v>46293</v>
      </c>
      <c r="H3079" s="30"/>
      <c r="I3079" s="44"/>
      <c r="J3079" s="44"/>
      <c r="K3079" s="44">
        <f t="shared" si="102"/>
        <v>46293</v>
      </c>
      <c r="L3079" s="51">
        <v>20250424</v>
      </c>
    </row>
    <row r="3080" spans="1:12" x14ac:dyDescent="0.25">
      <c r="A3080" s="52" t="s">
        <v>4358</v>
      </c>
      <c r="B3080" s="32" t="s">
        <v>11</v>
      </c>
      <c r="C3080" s="32" t="s">
        <v>26</v>
      </c>
      <c r="D3080" s="32" t="s">
        <v>351</v>
      </c>
      <c r="E3080" s="32" t="s">
        <v>352</v>
      </c>
      <c r="F3080" s="32">
        <v>1</v>
      </c>
      <c r="G3080" s="45">
        <v>46293</v>
      </c>
      <c r="H3080" s="32">
        <v>67</v>
      </c>
      <c r="I3080" s="45">
        <v>559.20000000000005</v>
      </c>
      <c r="J3080" s="45">
        <f t="shared" si="103"/>
        <v>37466.400000000001</v>
      </c>
      <c r="K3080" s="45">
        <f t="shared" si="102"/>
        <v>83759.399999999994</v>
      </c>
      <c r="L3080" s="53">
        <v>20250425</v>
      </c>
    </row>
    <row r="3081" spans="1:12" x14ac:dyDescent="0.25">
      <c r="A3081" s="50" t="s">
        <v>4325</v>
      </c>
      <c r="B3081" s="30" t="s">
        <v>11</v>
      </c>
      <c r="C3081" s="30" t="s">
        <v>28</v>
      </c>
      <c r="D3081" s="30" t="s">
        <v>1026</v>
      </c>
      <c r="E3081" s="30" t="s">
        <v>1027</v>
      </c>
      <c r="F3081" s="30">
        <v>1</v>
      </c>
      <c r="G3081" s="44">
        <v>46293</v>
      </c>
      <c r="H3081" s="30"/>
      <c r="I3081" s="44"/>
      <c r="J3081" s="44"/>
      <c r="K3081" s="44">
        <f t="shared" si="102"/>
        <v>46293</v>
      </c>
      <c r="L3081" s="51">
        <v>20250429</v>
      </c>
    </row>
    <row r="3082" spans="1:12" x14ac:dyDescent="0.25">
      <c r="A3082" s="50" t="s">
        <v>4327</v>
      </c>
      <c r="B3082" s="30" t="s">
        <v>779</v>
      </c>
      <c r="C3082" s="30" t="s">
        <v>29</v>
      </c>
      <c r="D3082" s="30" t="s">
        <v>2548</v>
      </c>
      <c r="E3082" s="30" t="s">
        <v>390</v>
      </c>
      <c r="F3082" s="30">
        <v>1</v>
      </c>
      <c r="G3082" s="44">
        <v>46293</v>
      </c>
      <c r="H3082" s="30"/>
      <c r="I3082" s="44"/>
      <c r="J3082" s="44"/>
      <c r="K3082" s="44">
        <f t="shared" si="102"/>
        <v>46293</v>
      </c>
      <c r="L3082" s="51">
        <v>20250429</v>
      </c>
    </row>
    <row r="3083" spans="1:12" x14ac:dyDescent="0.25">
      <c r="A3083" s="52" t="s">
        <v>4360</v>
      </c>
      <c r="B3083" s="32" t="s">
        <v>11</v>
      </c>
      <c r="C3083" s="32" t="s">
        <v>26</v>
      </c>
      <c r="D3083" s="32" t="s">
        <v>497</v>
      </c>
      <c r="E3083" s="32" t="s">
        <v>498</v>
      </c>
      <c r="F3083" s="32">
        <v>1</v>
      </c>
      <c r="G3083" s="45">
        <v>46293</v>
      </c>
      <c r="H3083" s="32">
        <v>152</v>
      </c>
      <c r="I3083" s="45">
        <v>559.20000000000005</v>
      </c>
      <c r="J3083" s="45">
        <f t="shared" si="103"/>
        <v>84998.400000000009</v>
      </c>
      <c r="K3083" s="45">
        <f t="shared" si="102"/>
        <v>131291.40000000002</v>
      </c>
      <c r="L3083" s="53">
        <v>20250429</v>
      </c>
    </row>
    <row r="3084" spans="1:12" x14ac:dyDescent="0.25">
      <c r="A3084" s="50" t="s">
        <v>4320</v>
      </c>
      <c r="B3084" s="30" t="s">
        <v>1209</v>
      </c>
      <c r="C3084" s="30" t="s">
        <v>2109</v>
      </c>
      <c r="D3084" s="30" t="s">
        <v>24</v>
      </c>
      <c r="E3084" s="30" t="s">
        <v>44</v>
      </c>
      <c r="F3084" s="30">
        <v>1</v>
      </c>
      <c r="G3084" s="44">
        <v>46293</v>
      </c>
      <c r="H3084" s="30"/>
      <c r="I3084" s="44"/>
      <c r="J3084" s="44"/>
      <c r="K3084" s="44">
        <f t="shared" si="102"/>
        <v>46293</v>
      </c>
      <c r="L3084" s="51">
        <v>20250430</v>
      </c>
    </row>
    <row r="3085" spans="1:12" x14ac:dyDescent="0.25">
      <c r="A3085" s="50" t="s">
        <v>4321</v>
      </c>
      <c r="B3085" s="30" t="s">
        <v>1209</v>
      </c>
      <c r="C3085" s="30" t="s">
        <v>2109</v>
      </c>
      <c r="D3085" s="30" t="s">
        <v>24</v>
      </c>
      <c r="E3085" s="30" t="s">
        <v>4322</v>
      </c>
      <c r="F3085" s="30">
        <v>1</v>
      </c>
      <c r="G3085" s="44">
        <v>46293</v>
      </c>
      <c r="H3085" s="30"/>
      <c r="I3085" s="44"/>
      <c r="J3085" s="44"/>
      <c r="K3085" s="44">
        <f t="shared" si="102"/>
        <v>46293</v>
      </c>
      <c r="L3085" s="51">
        <v>20250430</v>
      </c>
    </row>
    <row r="3086" spans="1:12" x14ac:dyDescent="0.25">
      <c r="A3086" s="50" t="s">
        <v>4323</v>
      </c>
      <c r="B3086" s="30" t="s">
        <v>1209</v>
      </c>
      <c r="C3086" s="30" t="s">
        <v>2109</v>
      </c>
      <c r="D3086" s="30" t="s">
        <v>24</v>
      </c>
      <c r="E3086" s="30" t="s">
        <v>3660</v>
      </c>
      <c r="F3086" s="30">
        <v>1</v>
      </c>
      <c r="G3086" s="44">
        <v>46293</v>
      </c>
      <c r="H3086" s="30"/>
      <c r="I3086" s="44"/>
      <c r="J3086" s="44"/>
      <c r="K3086" s="44">
        <f t="shared" si="102"/>
        <v>46293</v>
      </c>
      <c r="L3086" s="51">
        <v>20250430</v>
      </c>
    </row>
    <row r="3087" spans="1:12" ht="15.75" thickBot="1" x14ac:dyDescent="0.3">
      <c r="A3087" s="54" t="s">
        <v>4324</v>
      </c>
      <c r="B3087" s="36" t="s">
        <v>11</v>
      </c>
      <c r="C3087" s="36" t="s">
        <v>134</v>
      </c>
      <c r="D3087" s="36" t="s">
        <v>354</v>
      </c>
      <c r="E3087" s="36" t="s">
        <v>410</v>
      </c>
      <c r="F3087" s="36">
        <v>1</v>
      </c>
      <c r="G3087" s="65">
        <v>46293</v>
      </c>
      <c r="H3087" s="36"/>
      <c r="I3087" s="65"/>
      <c r="J3087" s="65"/>
      <c r="K3087" s="65">
        <f t="shared" si="102"/>
        <v>46293</v>
      </c>
      <c r="L3087" s="55">
        <v>20250430</v>
      </c>
    </row>
    <row r="3088" spans="1:12" x14ac:dyDescent="0.25">
      <c r="A3088" s="73"/>
      <c r="B3088" s="74"/>
      <c r="C3088" s="74"/>
      <c r="D3088" s="74"/>
      <c r="E3088" s="74"/>
      <c r="F3088" s="74"/>
      <c r="G3088" s="75"/>
      <c r="H3088" s="74"/>
      <c r="I3088" s="75"/>
      <c r="J3088" s="75"/>
      <c r="K3088" s="75"/>
      <c r="L3088" s="76"/>
    </row>
    <row r="3089" spans="1:12" ht="15.75" thickBot="1" x14ac:dyDescent="0.3">
      <c r="A3089" s="69"/>
      <c r="B3089" s="70"/>
      <c r="C3089" s="70"/>
      <c r="D3089" s="70"/>
      <c r="E3089" s="70"/>
      <c r="F3089" s="70"/>
      <c r="G3089" s="71"/>
      <c r="H3089" s="70"/>
      <c r="I3089" s="71"/>
      <c r="J3089" s="71"/>
      <c r="K3089" s="71"/>
      <c r="L3089" s="72"/>
    </row>
    <row r="3090" spans="1:12" x14ac:dyDescent="0.25">
      <c r="A3090" s="48" t="s">
        <v>4425</v>
      </c>
      <c r="B3090" s="34" t="s">
        <v>137</v>
      </c>
      <c r="C3090" s="34" t="s">
        <v>4190</v>
      </c>
      <c r="D3090" s="34" t="s">
        <v>4191</v>
      </c>
      <c r="E3090" s="34" t="s">
        <v>4426</v>
      </c>
      <c r="F3090" s="34">
        <v>1</v>
      </c>
      <c r="G3090" s="64">
        <v>23138</v>
      </c>
      <c r="H3090" s="34"/>
      <c r="I3090" s="64"/>
      <c r="J3090" s="64"/>
      <c r="K3090" s="64">
        <v>23138</v>
      </c>
      <c r="L3090" s="49">
        <v>20250403</v>
      </c>
    </row>
    <row r="3091" spans="1:12" x14ac:dyDescent="0.25">
      <c r="A3091" s="50" t="s">
        <v>4396</v>
      </c>
      <c r="B3091" s="30" t="s">
        <v>137</v>
      </c>
      <c r="C3091" s="30" t="s">
        <v>337</v>
      </c>
      <c r="D3091" s="30" t="s">
        <v>162</v>
      </c>
      <c r="E3091" s="30" t="s">
        <v>219</v>
      </c>
      <c r="F3091" s="30">
        <v>1</v>
      </c>
      <c r="G3091" s="44">
        <v>23138</v>
      </c>
      <c r="H3091" s="30"/>
      <c r="I3091" s="44"/>
      <c r="J3091" s="44"/>
      <c r="K3091" s="44">
        <v>23138</v>
      </c>
      <c r="L3091" s="51">
        <v>20250408</v>
      </c>
    </row>
    <row r="3092" spans="1:12" x14ac:dyDescent="0.25">
      <c r="A3092" s="50" t="s">
        <v>4397</v>
      </c>
      <c r="B3092" s="30" t="s">
        <v>137</v>
      </c>
      <c r="C3092" s="30" t="s">
        <v>337</v>
      </c>
      <c r="D3092" s="30" t="s">
        <v>162</v>
      </c>
      <c r="E3092" s="30" t="s">
        <v>1532</v>
      </c>
      <c r="F3092" s="30">
        <v>1</v>
      </c>
      <c r="G3092" s="44">
        <v>23138</v>
      </c>
      <c r="H3092" s="30"/>
      <c r="I3092" s="44"/>
      <c r="J3092" s="44"/>
      <c r="K3092" s="44">
        <v>23138</v>
      </c>
      <c r="L3092" s="51">
        <v>20250408</v>
      </c>
    </row>
    <row r="3093" spans="1:12" x14ac:dyDescent="0.25">
      <c r="A3093" s="50" t="s">
        <v>4398</v>
      </c>
      <c r="B3093" s="30" t="s">
        <v>137</v>
      </c>
      <c r="C3093" s="30" t="s">
        <v>337</v>
      </c>
      <c r="D3093" s="30" t="s">
        <v>162</v>
      </c>
      <c r="E3093" s="30" t="s">
        <v>2312</v>
      </c>
      <c r="F3093" s="30">
        <v>1</v>
      </c>
      <c r="G3093" s="44">
        <v>23138</v>
      </c>
      <c r="H3093" s="30"/>
      <c r="I3093" s="44"/>
      <c r="J3093" s="44"/>
      <c r="K3093" s="44">
        <v>23138</v>
      </c>
      <c r="L3093" s="51">
        <v>20250408</v>
      </c>
    </row>
    <row r="3094" spans="1:12" x14ac:dyDescent="0.25">
      <c r="A3094" s="50" t="s">
        <v>4399</v>
      </c>
      <c r="B3094" s="30" t="s">
        <v>137</v>
      </c>
      <c r="C3094" s="30" t="s">
        <v>337</v>
      </c>
      <c r="D3094" s="30" t="s">
        <v>162</v>
      </c>
      <c r="E3094" s="30" t="s">
        <v>2314</v>
      </c>
      <c r="F3094" s="30">
        <v>1</v>
      </c>
      <c r="G3094" s="44">
        <v>23138</v>
      </c>
      <c r="H3094" s="30"/>
      <c r="I3094" s="44"/>
      <c r="J3094" s="44"/>
      <c r="K3094" s="44">
        <v>23138</v>
      </c>
      <c r="L3094" s="51">
        <v>20250408</v>
      </c>
    </row>
    <row r="3095" spans="1:12" x14ac:dyDescent="0.25">
      <c r="A3095" s="50" t="s">
        <v>4400</v>
      </c>
      <c r="B3095" s="30" t="s">
        <v>137</v>
      </c>
      <c r="C3095" s="30" t="s">
        <v>337</v>
      </c>
      <c r="D3095" s="30" t="s">
        <v>162</v>
      </c>
      <c r="E3095" s="30" t="s">
        <v>230</v>
      </c>
      <c r="F3095" s="30">
        <v>1</v>
      </c>
      <c r="G3095" s="44">
        <v>23138</v>
      </c>
      <c r="H3095" s="30"/>
      <c r="I3095" s="44"/>
      <c r="J3095" s="44"/>
      <c r="K3095" s="44">
        <v>23138</v>
      </c>
      <c r="L3095" s="51">
        <v>20250408</v>
      </c>
    </row>
    <row r="3096" spans="1:12" x14ac:dyDescent="0.25">
      <c r="A3096" s="50" t="s">
        <v>4401</v>
      </c>
      <c r="B3096" s="30" t="s">
        <v>137</v>
      </c>
      <c r="C3096" s="30" t="s">
        <v>337</v>
      </c>
      <c r="D3096" s="30" t="s">
        <v>162</v>
      </c>
      <c r="E3096" s="30" t="s">
        <v>4402</v>
      </c>
      <c r="F3096" s="30">
        <v>1</v>
      </c>
      <c r="G3096" s="44">
        <v>23138</v>
      </c>
      <c r="H3096" s="30"/>
      <c r="I3096" s="44"/>
      <c r="J3096" s="44"/>
      <c r="K3096" s="44">
        <v>23138</v>
      </c>
      <c r="L3096" s="51">
        <v>20250408</v>
      </c>
    </row>
    <row r="3097" spans="1:12" x14ac:dyDescent="0.25">
      <c r="A3097" s="50" t="s">
        <v>4403</v>
      </c>
      <c r="B3097" s="30" t="s">
        <v>137</v>
      </c>
      <c r="C3097" s="30" t="s">
        <v>337</v>
      </c>
      <c r="D3097" s="30" t="s">
        <v>162</v>
      </c>
      <c r="E3097" s="30" t="s">
        <v>178</v>
      </c>
      <c r="F3097" s="30">
        <v>1</v>
      </c>
      <c r="G3097" s="44">
        <v>23138</v>
      </c>
      <c r="H3097" s="30"/>
      <c r="I3097" s="44"/>
      <c r="J3097" s="44"/>
      <c r="K3097" s="44">
        <v>23138</v>
      </c>
      <c r="L3097" s="51">
        <v>20250408</v>
      </c>
    </row>
    <row r="3098" spans="1:12" x14ac:dyDescent="0.25">
      <c r="A3098" s="50" t="s">
        <v>4404</v>
      </c>
      <c r="B3098" s="30" t="s">
        <v>137</v>
      </c>
      <c r="C3098" s="30" t="s">
        <v>337</v>
      </c>
      <c r="D3098" s="30" t="s">
        <v>162</v>
      </c>
      <c r="E3098" s="30" t="s">
        <v>3073</v>
      </c>
      <c r="F3098" s="30">
        <v>1</v>
      </c>
      <c r="G3098" s="44">
        <v>23138</v>
      </c>
      <c r="H3098" s="30"/>
      <c r="I3098" s="44"/>
      <c r="J3098" s="44"/>
      <c r="K3098" s="44">
        <v>23138</v>
      </c>
      <c r="L3098" s="51">
        <v>20250408</v>
      </c>
    </row>
    <row r="3099" spans="1:12" x14ac:dyDescent="0.25">
      <c r="A3099" s="50" t="s">
        <v>4405</v>
      </c>
      <c r="B3099" s="30" t="s">
        <v>137</v>
      </c>
      <c r="C3099" s="30" t="s">
        <v>337</v>
      </c>
      <c r="D3099" s="30" t="s">
        <v>162</v>
      </c>
      <c r="E3099" s="30" t="s">
        <v>237</v>
      </c>
      <c r="F3099" s="30">
        <v>1</v>
      </c>
      <c r="G3099" s="44">
        <v>23138</v>
      </c>
      <c r="H3099" s="30"/>
      <c r="I3099" s="44"/>
      <c r="J3099" s="44"/>
      <c r="K3099" s="44">
        <v>23138</v>
      </c>
      <c r="L3099" s="51">
        <v>20250408</v>
      </c>
    </row>
    <row r="3100" spans="1:12" x14ac:dyDescent="0.25">
      <c r="A3100" s="50" t="s">
        <v>4406</v>
      </c>
      <c r="B3100" s="30" t="s">
        <v>137</v>
      </c>
      <c r="C3100" s="30" t="s">
        <v>337</v>
      </c>
      <c r="D3100" s="30" t="s">
        <v>162</v>
      </c>
      <c r="E3100" s="30" t="s">
        <v>1528</v>
      </c>
      <c r="F3100" s="30">
        <v>1</v>
      </c>
      <c r="G3100" s="44">
        <v>23138</v>
      </c>
      <c r="H3100" s="30"/>
      <c r="I3100" s="44"/>
      <c r="J3100" s="44"/>
      <c r="K3100" s="44">
        <v>23138</v>
      </c>
      <c r="L3100" s="51">
        <v>20250408</v>
      </c>
    </row>
    <row r="3101" spans="1:12" x14ac:dyDescent="0.25">
      <c r="A3101" s="50" t="s">
        <v>4407</v>
      </c>
      <c r="B3101" s="30" t="s">
        <v>137</v>
      </c>
      <c r="C3101" s="30" t="s">
        <v>337</v>
      </c>
      <c r="D3101" s="30" t="s">
        <v>162</v>
      </c>
      <c r="E3101" s="30" t="s">
        <v>1530</v>
      </c>
      <c r="F3101" s="30">
        <v>1</v>
      </c>
      <c r="G3101" s="44">
        <v>23138</v>
      </c>
      <c r="H3101" s="30"/>
      <c r="I3101" s="44"/>
      <c r="J3101" s="44"/>
      <c r="K3101" s="44">
        <v>23138</v>
      </c>
      <c r="L3101" s="51">
        <v>20250408</v>
      </c>
    </row>
    <row r="3102" spans="1:12" x14ac:dyDescent="0.25">
      <c r="A3102" s="50" t="s">
        <v>4408</v>
      </c>
      <c r="B3102" s="30" t="s">
        <v>137</v>
      </c>
      <c r="C3102" s="30" t="s">
        <v>337</v>
      </c>
      <c r="D3102" s="30" t="s">
        <v>162</v>
      </c>
      <c r="E3102" s="30" t="s">
        <v>1534</v>
      </c>
      <c r="F3102" s="30">
        <v>1</v>
      </c>
      <c r="G3102" s="44">
        <v>23138</v>
      </c>
      <c r="H3102" s="30"/>
      <c r="I3102" s="44"/>
      <c r="J3102" s="44"/>
      <c r="K3102" s="44">
        <v>23138</v>
      </c>
      <c r="L3102" s="51">
        <v>20250408</v>
      </c>
    </row>
    <row r="3103" spans="1:12" x14ac:dyDescent="0.25">
      <c r="A3103" s="50" t="s">
        <v>4409</v>
      </c>
      <c r="B3103" s="30" t="s">
        <v>137</v>
      </c>
      <c r="C3103" s="30" t="s">
        <v>337</v>
      </c>
      <c r="D3103" s="30" t="s">
        <v>162</v>
      </c>
      <c r="E3103" s="30" t="s">
        <v>2297</v>
      </c>
      <c r="F3103" s="30">
        <v>1</v>
      </c>
      <c r="G3103" s="44">
        <v>23138</v>
      </c>
      <c r="H3103" s="30"/>
      <c r="I3103" s="44"/>
      <c r="J3103" s="44"/>
      <c r="K3103" s="44">
        <v>23138</v>
      </c>
      <c r="L3103" s="51">
        <v>20250408</v>
      </c>
    </row>
    <row r="3104" spans="1:12" x14ac:dyDescent="0.25">
      <c r="A3104" s="50" t="s">
        <v>4410</v>
      </c>
      <c r="B3104" s="30" t="s">
        <v>137</v>
      </c>
      <c r="C3104" s="30" t="s">
        <v>337</v>
      </c>
      <c r="D3104" s="30" t="s">
        <v>162</v>
      </c>
      <c r="E3104" s="30" t="s">
        <v>239</v>
      </c>
      <c r="F3104" s="30">
        <v>1</v>
      </c>
      <c r="G3104" s="44">
        <v>23138</v>
      </c>
      <c r="H3104" s="30"/>
      <c r="I3104" s="44"/>
      <c r="J3104" s="44"/>
      <c r="K3104" s="44">
        <v>23138</v>
      </c>
      <c r="L3104" s="51">
        <v>20250408</v>
      </c>
    </row>
    <row r="3105" spans="1:12" x14ac:dyDescent="0.25">
      <c r="A3105" s="50" t="s">
        <v>4411</v>
      </c>
      <c r="B3105" s="30" t="s">
        <v>137</v>
      </c>
      <c r="C3105" s="30" t="s">
        <v>337</v>
      </c>
      <c r="D3105" s="30" t="s">
        <v>162</v>
      </c>
      <c r="E3105" s="30" t="s">
        <v>3563</v>
      </c>
      <c r="F3105" s="30">
        <v>1</v>
      </c>
      <c r="G3105" s="44">
        <v>23138</v>
      </c>
      <c r="H3105" s="30"/>
      <c r="I3105" s="44"/>
      <c r="J3105" s="44"/>
      <c r="K3105" s="44">
        <v>23138</v>
      </c>
      <c r="L3105" s="51">
        <v>20250408</v>
      </c>
    </row>
    <row r="3106" spans="1:12" x14ac:dyDescent="0.25">
      <c r="A3106" s="50" t="s">
        <v>4369</v>
      </c>
      <c r="B3106" s="30" t="s">
        <v>137</v>
      </c>
      <c r="C3106" s="30" t="s">
        <v>770</v>
      </c>
      <c r="D3106" s="30" t="s">
        <v>2764</v>
      </c>
      <c r="E3106" s="30" t="s">
        <v>771</v>
      </c>
      <c r="F3106" s="30">
        <v>1</v>
      </c>
      <c r="G3106" s="44">
        <v>23138</v>
      </c>
      <c r="H3106" s="30"/>
      <c r="I3106" s="44"/>
      <c r="J3106" s="44"/>
      <c r="K3106" s="44">
        <v>23138</v>
      </c>
      <c r="L3106" s="51">
        <v>20250416</v>
      </c>
    </row>
    <row r="3107" spans="1:12" x14ac:dyDescent="0.25">
      <c r="A3107" s="50" t="s">
        <v>4370</v>
      </c>
      <c r="B3107" s="30" t="s">
        <v>137</v>
      </c>
      <c r="C3107" s="30" t="s">
        <v>770</v>
      </c>
      <c r="D3107" s="30" t="s">
        <v>2764</v>
      </c>
      <c r="E3107" s="30" t="s">
        <v>3389</v>
      </c>
      <c r="F3107" s="30">
        <v>1</v>
      </c>
      <c r="G3107" s="44">
        <v>23138</v>
      </c>
      <c r="H3107" s="30"/>
      <c r="I3107" s="44"/>
      <c r="J3107" s="44"/>
      <c r="K3107" s="44">
        <v>23138</v>
      </c>
      <c r="L3107" s="51">
        <v>20250416</v>
      </c>
    </row>
    <row r="3108" spans="1:12" x14ac:dyDescent="0.25">
      <c r="A3108" s="50" t="s">
        <v>4371</v>
      </c>
      <c r="B3108" s="30" t="s">
        <v>137</v>
      </c>
      <c r="C3108" s="30" t="s">
        <v>770</v>
      </c>
      <c r="D3108" s="30" t="s">
        <v>2764</v>
      </c>
      <c r="E3108" s="30" t="s">
        <v>2944</v>
      </c>
      <c r="F3108" s="30">
        <v>1</v>
      </c>
      <c r="G3108" s="44">
        <v>23138</v>
      </c>
      <c r="H3108" s="30"/>
      <c r="I3108" s="44"/>
      <c r="J3108" s="44"/>
      <c r="K3108" s="44">
        <v>23138</v>
      </c>
      <c r="L3108" s="51">
        <v>20250416</v>
      </c>
    </row>
    <row r="3109" spans="1:12" x14ac:dyDescent="0.25">
      <c r="A3109" s="50" t="s">
        <v>4375</v>
      </c>
      <c r="B3109" s="30" t="s">
        <v>137</v>
      </c>
      <c r="C3109" s="30" t="s">
        <v>1006</v>
      </c>
      <c r="D3109" s="30" t="s">
        <v>24</v>
      </c>
      <c r="E3109" s="30" t="s">
        <v>2362</v>
      </c>
      <c r="F3109" s="30">
        <v>1</v>
      </c>
      <c r="G3109" s="44">
        <v>23138</v>
      </c>
      <c r="H3109" s="30"/>
      <c r="I3109" s="44"/>
      <c r="J3109" s="44"/>
      <c r="K3109" s="44">
        <v>23138</v>
      </c>
      <c r="L3109" s="51">
        <v>20250421</v>
      </c>
    </row>
    <row r="3110" spans="1:12" x14ac:dyDescent="0.25">
      <c r="A3110" s="50" t="s">
        <v>4376</v>
      </c>
      <c r="B3110" s="30" t="s">
        <v>137</v>
      </c>
      <c r="C3110" s="30" t="s">
        <v>1006</v>
      </c>
      <c r="D3110" s="30" t="s">
        <v>24</v>
      </c>
      <c r="E3110" s="30" t="s">
        <v>2364</v>
      </c>
      <c r="F3110" s="30">
        <v>1</v>
      </c>
      <c r="G3110" s="44">
        <v>23138</v>
      </c>
      <c r="H3110" s="30"/>
      <c r="I3110" s="44"/>
      <c r="J3110" s="44"/>
      <c r="K3110" s="44">
        <v>23138</v>
      </c>
      <c r="L3110" s="51">
        <v>20250421</v>
      </c>
    </row>
    <row r="3111" spans="1:12" x14ac:dyDescent="0.25">
      <c r="A3111" s="50" t="s">
        <v>4361</v>
      </c>
      <c r="B3111" s="30" t="s">
        <v>137</v>
      </c>
      <c r="C3111" s="30" t="s">
        <v>103</v>
      </c>
      <c r="D3111" s="30" t="s">
        <v>104</v>
      </c>
      <c r="E3111" s="30" t="s">
        <v>4362</v>
      </c>
      <c r="F3111" s="30">
        <v>1</v>
      </c>
      <c r="G3111" s="44">
        <v>23138</v>
      </c>
      <c r="H3111" s="30"/>
      <c r="I3111" s="44"/>
      <c r="J3111" s="44"/>
      <c r="K3111" s="44">
        <v>23138</v>
      </c>
      <c r="L3111" s="51">
        <v>20250422</v>
      </c>
    </row>
    <row r="3112" spans="1:12" x14ac:dyDescent="0.25">
      <c r="A3112" s="50" t="s">
        <v>4363</v>
      </c>
      <c r="B3112" s="30" t="s">
        <v>137</v>
      </c>
      <c r="C3112" s="30" t="s">
        <v>103</v>
      </c>
      <c r="D3112" s="30" t="s">
        <v>104</v>
      </c>
      <c r="E3112" s="30" t="s">
        <v>948</v>
      </c>
      <c r="F3112" s="30">
        <v>1</v>
      </c>
      <c r="G3112" s="44">
        <v>23138</v>
      </c>
      <c r="H3112" s="30"/>
      <c r="I3112" s="44"/>
      <c r="J3112" s="44"/>
      <c r="K3112" s="44">
        <v>23138</v>
      </c>
      <c r="L3112" s="51">
        <v>20250422</v>
      </c>
    </row>
    <row r="3113" spans="1:12" x14ac:dyDescent="0.25">
      <c r="A3113" s="50" t="s">
        <v>4364</v>
      </c>
      <c r="B3113" s="30" t="s">
        <v>137</v>
      </c>
      <c r="C3113" s="30" t="s">
        <v>103</v>
      </c>
      <c r="D3113" s="30" t="s">
        <v>104</v>
      </c>
      <c r="E3113" s="30" t="s">
        <v>904</v>
      </c>
      <c r="F3113" s="30">
        <v>1</v>
      </c>
      <c r="G3113" s="44">
        <v>23138</v>
      </c>
      <c r="H3113" s="30"/>
      <c r="I3113" s="44"/>
      <c r="J3113" s="44"/>
      <c r="K3113" s="44">
        <v>23138</v>
      </c>
      <c r="L3113" s="51">
        <v>20250422</v>
      </c>
    </row>
    <row r="3114" spans="1:12" x14ac:dyDescent="0.25">
      <c r="A3114" s="50" t="s">
        <v>4365</v>
      </c>
      <c r="B3114" s="30" t="s">
        <v>137</v>
      </c>
      <c r="C3114" s="30" t="s">
        <v>103</v>
      </c>
      <c r="D3114" s="30" t="s">
        <v>104</v>
      </c>
      <c r="E3114" s="30" t="s">
        <v>105</v>
      </c>
      <c r="F3114" s="30">
        <v>1</v>
      </c>
      <c r="G3114" s="44">
        <v>23138</v>
      </c>
      <c r="H3114" s="30"/>
      <c r="I3114" s="44"/>
      <c r="J3114" s="44"/>
      <c r="K3114" s="44">
        <v>23138</v>
      </c>
      <c r="L3114" s="51">
        <v>20250422</v>
      </c>
    </row>
    <row r="3115" spans="1:12" x14ac:dyDescent="0.25">
      <c r="A3115" s="50" t="s">
        <v>4366</v>
      </c>
      <c r="B3115" s="30" t="s">
        <v>137</v>
      </c>
      <c r="C3115" s="30" t="s">
        <v>103</v>
      </c>
      <c r="D3115" s="30" t="s">
        <v>104</v>
      </c>
      <c r="E3115" s="30" t="s">
        <v>3596</v>
      </c>
      <c r="F3115" s="30">
        <v>1</v>
      </c>
      <c r="G3115" s="44">
        <v>23138</v>
      </c>
      <c r="H3115" s="30"/>
      <c r="I3115" s="44"/>
      <c r="J3115" s="44"/>
      <c r="K3115" s="44">
        <v>23138</v>
      </c>
      <c r="L3115" s="51">
        <v>20250422</v>
      </c>
    </row>
    <row r="3116" spans="1:12" x14ac:dyDescent="0.25">
      <c r="A3116" s="50" t="s">
        <v>4348</v>
      </c>
      <c r="B3116" s="30" t="s">
        <v>137</v>
      </c>
      <c r="C3116" s="30" t="s">
        <v>134</v>
      </c>
      <c r="D3116" s="30" t="s">
        <v>135</v>
      </c>
      <c r="E3116" s="30" t="s">
        <v>3513</v>
      </c>
      <c r="F3116" s="30">
        <v>1</v>
      </c>
      <c r="G3116" s="44">
        <v>23138</v>
      </c>
      <c r="H3116" s="30"/>
      <c r="I3116" s="44"/>
      <c r="J3116" s="44"/>
      <c r="K3116" s="44">
        <v>23138</v>
      </c>
      <c r="L3116" s="51">
        <v>20250425</v>
      </c>
    </row>
    <row r="3117" spans="1:12" x14ac:dyDescent="0.25">
      <c r="A3117" s="50" t="s">
        <v>4349</v>
      </c>
      <c r="B3117" s="30" t="s">
        <v>137</v>
      </c>
      <c r="C3117" s="30" t="s">
        <v>134</v>
      </c>
      <c r="D3117" s="30" t="s">
        <v>135</v>
      </c>
      <c r="E3117" s="30" t="s">
        <v>183</v>
      </c>
      <c r="F3117" s="30">
        <v>1</v>
      </c>
      <c r="G3117" s="44">
        <v>23138</v>
      </c>
      <c r="H3117" s="30"/>
      <c r="I3117" s="44"/>
      <c r="J3117" s="44"/>
      <c r="K3117" s="44">
        <v>23138</v>
      </c>
      <c r="L3117" s="51">
        <v>20250425</v>
      </c>
    </row>
    <row r="3118" spans="1:12" x14ac:dyDescent="0.25">
      <c r="A3118" s="50" t="s">
        <v>4350</v>
      </c>
      <c r="B3118" s="30" t="s">
        <v>137</v>
      </c>
      <c r="C3118" s="30" t="s">
        <v>134</v>
      </c>
      <c r="D3118" s="30" t="s">
        <v>135</v>
      </c>
      <c r="E3118" s="30" t="s">
        <v>264</v>
      </c>
      <c r="F3118" s="30">
        <v>1</v>
      </c>
      <c r="G3118" s="44">
        <v>23138</v>
      </c>
      <c r="H3118" s="30"/>
      <c r="I3118" s="44"/>
      <c r="J3118" s="44"/>
      <c r="K3118" s="44">
        <v>23138</v>
      </c>
      <c r="L3118" s="51">
        <v>20250425</v>
      </c>
    </row>
    <row r="3119" spans="1:12" x14ac:dyDescent="0.25">
      <c r="A3119" s="50" t="s">
        <v>4351</v>
      </c>
      <c r="B3119" s="30" t="s">
        <v>137</v>
      </c>
      <c r="C3119" s="30" t="s">
        <v>134</v>
      </c>
      <c r="D3119" s="30" t="s">
        <v>135</v>
      </c>
      <c r="E3119" s="30" t="s">
        <v>1178</v>
      </c>
      <c r="F3119" s="30">
        <v>1</v>
      </c>
      <c r="G3119" s="44">
        <v>23138</v>
      </c>
      <c r="H3119" s="30"/>
      <c r="I3119" s="44"/>
      <c r="J3119" s="44"/>
      <c r="K3119" s="44">
        <v>23138</v>
      </c>
      <c r="L3119" s="51">
        <v>20250425</v>
      </c>
    </row>
    <row r="3120" spans="1:12" x14ac:dyDescent="0.25">
      <c r="A3120" s="50" t="s">
        <v>4352</v>
      </c>
      <c r="B3120" s="30" t="s">
        <v>137</v>
      </c>
      <c r="C3120" s="30" t="s">
        <v>134</v>
      </c>
      <c r="D3120" s="30" t="s">
        <v>135</v>
      </c>
      <c r="E3120" s="30" t="s">
        <v>136</v>
      </c>
      <c r="F3120" s="30">
        <v>1</v>
      </c>
      <c r="G3120" s="44">
        <v>23138</v>
      </c>
      <c r="H3120" s="30"/>
      <c r="I3120" s="44"/>
      <c r="J3120" s="44"/>
      <c r="K3120" s="44">
        <v>23138</v>
      </c>
      <c r="L3120" s="51">
        <v>20250425</v>
      </c>
    </row>
    <row r="3121" spans="1:12" x14ac:dyDescent="0.25">
      <c r="A3121" s="50" t="s">
        <v>4328</v>
      </c>
      <c r="B3121" s="30" t="s">
        <v>137</v>
      </c>
      <c r="C3121" s="30" t="s">
        <v>29</v>
      </c>
      <c r="D3121" s="30" t="s">
        <v>2548</v>
      </c>
      <c r="E3121" s="30" t="s">
        <v>390</v>
      </c>
      <c r="F3121" s="30">
        <v>1</v>
      </c>
      <c r="G3121" s="44">
        <v>23138</v>
      </c>
      <c r="H3121" s="30"/>
      <c r="I3121" s="44"/>
      <c r="J3121" s="44"/>
      <c r="K3121" s="44">
        <v>23138</v>
      </c>
      <c r="L3121" s="51">
        <v>20250428</v>
      </c>
    </row>
    <row r="3122" spans="1:12" x14ac:dyDescent="0.25">
      <c r="A3122" s="50" t="s">
        <v>4336</v>
      </c>
      <c r="B3122" s="30" t="s">
        <v>137</v>
      </c>
      <c r="C3122" s="30" t="s">
        <v>94</v>
      </c>
      <c r="D3122" s="30" t="s">
        <v>95</v>
      </c>
      <c r="E3122" s="30" t="s">
        <v>436</v>
      </c>
      <c r="F3122" s="30">
        <v>1</v>
      </c>
      <c r="G3122" s="44">
        <v>23138</v>
      </c>
      <c r="H3122" s="30"/>
      <c r="I3122" s="44"/>
      <c r="J3122" s="44"/>
      <c r="K3122" s="44">
        <v>23138</v>
      </c>
      <c r="L3122" s="51">
        <v>20250428</v>
      </c>
    </row>
    <row r="3123" spans="1:12" x14ac:dyDescent="0.25">
      <c r="A3123" s="50" t="s">
        <v>4353</v>
      </c>
      <c r="B3123" s="30" t="s">
        <v>137</v>
      </c>
      <c r="C3123" s="30" t="s">
        <v>134</v>
      </c>
      <c r="D3123" s="30" t="s">
        <v>354</v>
      </c>
      <c r="E3123" s="30" t="s">
        <v>410</v>
      </c>
      <c r="F3123" s="30">
        <v>1</v>
      </c>
      <c r="G3123" s="44">
        <v>23138</v>
      </c>
      <c r="H3123" s="30"/>
      <c r="I3123" s="44"/>
      <c r="J3123" s="44"/>
      <c r="K3123" s="44">
        <v>23138</v>
      </c>
      <c r="L3123" s="51">
        <v>20250428</v>
      </c>
    </row>
    <row r="3124" spans="1:12" x14ac:dyDescent="0.25">
      <c r="A3124" s="50" t="s">
        <v>4354</v>
      </c>
      <c r="B3124" s="30" t="s">
        <v>137</v>
      </c>
      <c r="C3124" s="30" t="s">
        <v>134</v>
      </c>
      <c r="D3124" s="30" t="s">
        <v>354</v>
      </c>
      <c r="E3124" s="30" t="s">
        <v>825</v>
      </c>
      <c r="F3124" s="30">
        <v>1</v>
      </c>
      <c r="G3124" s="44">
        <v>23138</v>
      </c>
      <c r="H3124" s="30"/>
      <c r="I3124" s="44"/>
      <c r="J3124" s="44"/>
      <c r="K3124" s="44">
        <v>23138</v>
      </c>
      <c r="L3124" s="51">
        <v>20250428</v>
      </c>
    </row>
    <row r="3125" spans="1:12" x14ac:dyDescent="0.25">
      <c r="A3125" s="50" t="s">
        <v>4355</v>
      </c>
      <c r="B3125" s="30" t="s">
        <v>137</v>
      </c>
      <c r="C3125" s="30" t="s">
        <v>134</v>
      </c>
      <c r="D3125" s="30" t="s">
        <v>354</v>
      </c>
      <c r="E3125" s="30" t="s">
        <v>831</v>
      </c>
      <c r="F3125" s="30">
        <v>1</v>
      </c>
      <c r="G3125" s="44">
        <v>23138</v>
      </c>
      <c r="H3125" s="30"/>
      <c r="I3125" s="44"/>
      <c r="J3125" s="44"/>
      <c r="K3125" s="44">
        <v>23138</v>
      </c>
      <c r="L3125" s="51">
        <v>20250428</v>
      </c>
    </row>
    <row r="3126" spans="1:12" x14ac:dyDescent="0.25">
      <c r="A3126" s="50" t="s">
        <v>4356</v>
      </c>
      <c r="B3126" s="30" t="s">
        <v>137</v>
      </c>
      <c r="C3126" s="30" t="s">
        <v>134</v>
      </c>
      <c r="D3126" s="30" t="s">
        <v>354</v>
      </c>
      <c r="E3126" s="30" t="s">
        <v>833</v>
      </c>
      <c r="F3126" s="30">
        <v>1</v>
      </c>
      <c r="G3126" s="44">
        <v>23138</v>
      </c>
      <c r="H3126" s="30"/>
      <c r="I3126" s="44"/>
      <c r="J3126" s="44"/>
      <c r="K3126" s="44">
        <v>23138</v>
      </c>
      <c r="L3126" s="51">
        <v>20250428</v>
      </c>
    </row>
    <row r="3127" spans="1:12" x14ac:dyDescent="0.25">
      <c r="A3127" s="50" t="s">
        <v>4357</v>
      </c>
      <c r="B3127" s="30" t="s">
        <v>137</v>
      </c>
      <c r="C3127" s="30" t="s">
        <v>134</v>
      </c>
      <c r="D3127" s="30" t="s">
        <v>354</v>
      </c>
      <c r="E3127" s="30" t="s">
        <v>2166</v>
      </c>
      <c r="F3127" s="30">
        <v>1</v>
      </c>
      <c r="G3127" s="44">
        <v>23138</v>
      </c>
      <c r="H3127" s="30"/>
      <c r="I3127" s="44"/>
      <c r="J3127" s="44"/>
      <c r="K3127" s="44">
        <v>23138</v>
      </c>
      <c r="L3127" s="51">
        <v>20250428</v>
      </c>
    </row>
    <row r="3128" spans="1:12" x14ac:dyDescent="0.25">
      <c r="A3128" s="50" t="s">
        <v>4421</v>
      </c>
      <c r="B3128" s="30" t="s">
        <v>137</v>
      </c>
      <c r="C3128" s="30" t="s">
        <v>29</v>
      </c>
      <c r="D3128" s="30" t="s">
        <v>1385</v>
      </c>
      <c r="E3128" s="30" t="s">
        <v>733</v>
      </c>
      <c r="F3128" s="30">
        <v>1</v>
      </c>
      <c r="G3128" s="44">
        <v>23138</v>
      </c>
      <c r="H3128" s="30"/>
      <c r="I3128" s="44"/>
      <c r="J3128" s="44"/>
      <c r="K3128" s="44">
        <v>23138</v>
      </c>
      <c r="L3128" s="51">
        <v>20250428</v>
      </c>
    </row>
    <row r="3129" spans="1:12" x14ac:dyDescent="0.25">
      <c r="A3129" s="50" t="s">
        <v>4326</v>
      </c>
      <c r="B3129" s="30" t="s">
        <v>137</v>
      </c>
      <c r="C3129" s="30" t="s">
        <v>251</v>
      </c>
      <c r="D3129" s="30" t="s">
        <v>740</v>
      </c>
      <c r="E3129" s="30" t="s">
        <v>741</v>
      </c>
      <c r="F3129" s="30">
        <v>1</v>
      </c>
      <c r="G3129" s="44">
        <v>23138</v>
      </c>
      <c r="H3129" s="30"/>
      <c r="I3129" s="44"/>
      <c r="J3129" s="44"/>
      <c r="K3129" s="44">
        <v>23138</v>
      </c>
      <c r="L3129" s="51">
        <v>20250429</v>
      </c>
    </row>
    <row r="3130" spans="1:12" x14ac:dyDescent="0.25">
      <c r="A3130" s="50" t="s">
        <v>4333</v>
      </c>
      <c r="B3130" s="30" t="s">
        <v>137</v>
      </c>
      <c r="C3130" s="30" t="s">
        <v>251</v>
      </c>
      <c r="D3130" s="30" t="s">
        <v>2780</v>
      </c>
      <c r="E3130" s="30" t="s">
        <v>3195</v>
      </c>
      <c r="F3130" s="30">
        <v>1</v>
      </c>
      <c r="G3130" s="44">
        <v>23138</v>
      </c>
      <c r="H3130" s="30"/>
      <c r="I3130" s="44"/>
      <c r="J3130" s="44"/>
      <c r="K3130" s="44">
        <v>23138</v>
      </c>
      <c r="L3130" s="51">
        <v>20250429</v>
      </c>
    </row>
    <row r="3131" spans="1:12" x14ac:dyDescent="0.25">
      <c r="A3131" s="50" t="s">
        <v>4329</v>
      </c>
      <c r="B3131" s="30" t="s">
        <v>137</v>
      </c>
      <c r="C3131" s="30" t="s">
        <v>4330</v>
      </c>
      <c r="D3131" s="30" t="s">
        <v>95</v>
      </c>
      <c r="E3131" s="30" t="s">
        <v>3776</v>
      </c>
      <c r="F3131" s="30">
        <v>1</v>
      </c>
      <c r="G3131" s="44">
        <v>23138</v>
      </c>
      <c r="H3131" s="30"/>
      <c r="I3131" s="44"/>
      <c r="J3131" s="44"/>
      <c r="K3131" s="44">
        <v>23138</v>
      </c>
      <c r="L3131" s="51">
        <v>20250430</v>
      </c>
    </row>
    <row r="3132" spans="1:12" x14ac:dyDescent="0.25">
      <c r="A3132" s="50" t="s">
        <v>4331</v>
      </c>
      <c r="B3132" s="30" t="s">
        <v>137</v>
      </c>
      <c r="C3132" s="30" t="s">
        <v>4330</v>
      </c>
      <c r="D3132" s="30" t="s">
        <v>95</v>
      </c>
      <c r="E3132" s="30" t="s">
        <v>3773</v>
      </c>
      <c r="F3132" s="30">
        <v>1</v>
      </c>
      <c r="G3132" s="44">
        <v>23138</v>
      </c>
      <c r="H3132" s="30"/>
      <c r="I3132" s="44"/>
      <c r="J3132" s="44"/>
      <c r="K3132" s="44">
        <v>23138</v>
      </c>
      <c r="L3132" s="51">
        <v>20250430</v>
      </c>
    </row>
    <row r="3133" spans="1:12" x14ac:dyDescent="0.25">
      <c r="A3133" s="50" t="s">
        <v>4332</v>
      </c>
      <c r="B3133" s="30" t="s">
        <v>137</v>
      </c>
      <c r="C3133" s="30" t="s">
        <v>919</v>
      </c>
      <c r="D3133" s="30" t="s">
        <v>95</v>
      </c>
      <c r="E3133" s="30" t="s">
        <v>2496</v>
      </c>
      <c r="F3133" s="30">
        <v>1</v>
      </c>
      <c r="G3133" s="44">
        <v>23138</v>
      </c>
      <c r="H3133" s="30"/>
      <c r="I3133" s="44"/>
      <c r="J3133" s="44"/>
      <c r="K3133" s="44">
        <v>23138</v>
      </c>
      <c r="L3133" s="51">
        <v>20250430</v>
      </c>
    </row>
    <row r="3134" spans="1:12" x14ac:dyDescent="0.25">
      <c r="A3134" s="50" t="s">
        <v>4334</v>
      </c>
      <c r="B3134" s="30" t="s">
        <v>137</v>
      </c>
      <c r="C3134" s="30" t="s">
        <v>94</v>
      </c>
      <c r="D3134" s="30" t="s">
        <v>95</v>
      </c>
      <c r="E3134" s="30" t="s">
        <v>326</v>
      </c>
      <c r="F3134" s="30">
        <v>1</v>
      </c>
      <c r="G3134" s="44">
        <v>23138</v>
      </c>
      <c r="H3134" s="30"/>
      <c r="I3134" s="44"/>
      <c r="J3134" s="44"/>
      <c r="K3134" s="44">
        <v>23138</v>
      </c>
      <c r="L3134" s="51">
        <v>20250430</v>
      </c>
    </row>
    <row r="3135" spans="1:12" x14ac:dyDescent="0.25">
      <c r="A3135" s="50" t="s">
        <v>4335</v>
      </c>
      <c r="B3135" s="30" t="s">
        <v>137</v>
      </c>
      <c r="C3135" s="30" t="s">
        <v>94</v>
      </c>
      <c r="D3135" s="30" t="s">
        <v>95</v>
      </c>
      <c r="E3135" s="30" t="s">
        <v>262</v>
      </c>
      <c r="F3135" s="30">
        <v>1</v>
      </c>
      <c r="G3135" s="44">
        <v>23138</v>
      </c>
      <c r="H3135" s="30"/>
      <c r="I3135" s="44"/>
      <c r="J3135" s="44"/>
      <c r="K3135" s="44">
        <v>23138</v>
      </c>
      <c r="L3135" s="51">
        <v>20250430</v>
      </c>
    </row>
    <row r="3136" spans="1:12" x14ac:dyDescent="0.25">
      <c r="A3136" s="50" t="s">
        <v>4337</v>
      </c>
      <c r="B3136" s="30" t="s">
        <v>137</v>
      </c>
      <c r="C3136" s="30" t="s">
        <v>94</v>
      </c>
      <c r="D3136" s="30" t="s">
        <v>95</v>
      </c>
      <c r="E3136" s="30" t="s">
        <v>1083</v>
      </c>
      <c r="F3136" s="30">
        <v>1</v>
      </c>
      <c r="G3136" s="44">
        <v>23138</v>
      </c>
      <c r="H3136" s="30"/>
      <c r="I3136" s="44"/>
      <c r="J3136" s="44"/>
      <c r="K3136" s="44">
        <v>23138</v>
      </c>
      <c r="L3136" s="51">
        <v>20250430</v>
      </c>
    </row>
    <row r="3137" spans="1:12" x14ac:dyDescent="0.25">
      <c r="A3137" s="50" t="s">
        <v>4338</v>
      </c>
      <c r="B3137" s="30" t="s">
        <v>137</v>
      </c>
      <c r="C3137" s="30" t="s">
        <v>94</v>
      </c>
      <c r="D3137" s="30" t="s">
        <v>95</v>
      </c>
      <c r="E3137" s="30" t="s">
        <v>1398</v>
      </c>
      <c r="F3137" s="30">
        <v>1</v>
      </c>
      <c r="G3137" s="44">
        <v>23138</v>
      </c>
      <c r="H3137" s="30"/>
      <c r="I3137" s="44"/>
      <c r="J3137" s="44"/>
      <c r="K3137" s="44">
        <v>23138</v>
      </c>
      <c r="L3137" s="51">
        <v>20250430</v>
      </c>
    </row>
    <row r="3138" spans="1:12" x14ac:dyDescent="0.25">
      <c r="A3138" s="50" t="s">
        <v>4339</v>
      </c>
      <c r="B3138" s="30" t="s">
        <v>137</v>
      </c>
      <c r="C3138" s="30" t="s">
        <v>94</v>
      </c>
      <c r="D3138" s="30" t="s">
        <v>95</v>
      </c>
      <c r="E3138" s="30" t="s">
        <v>1085</v>
      </c>
      <c r="F3138" s="30">
        <v>1</v>
      </c>
      <c r="G3138" s="44">
        <v>23138</v>
      </c>
      <c r="H3138" s="30"/>
      <c r="I3138" s="44"/>
      <c r="J3138" s="44"/>
      <c r="K3138" s="44">
        <v>23138</v>
      </c>
      <c r="L3138" s="51">
        <v>20250430</v>
      </c>
    </row>
    <row r="3139" spans="1:12" x14ac:dyDescent="0.25">
      <c r="A3139" s="50" t="s">
        <v>4340</v>
      </c>
      <c r="B3139" s="30" t="s">
        <v>137</v>
      </c>
      <c r="C3139" s="30" t="s">
        <v>94</v>
      </c>
      <c r="D3139" s="30" t="s">
        <v>95</v>
      </c>
      <c r="E3139" s="30" t="s">
        <v>260</v>
      </c>
      <c r="F3139" s="30">
        <v>1</v>
      </c>
      <c r="G3139" s="44">
        <v>23138</v>
      </c>
      <c r="H3139" s="30"/>
      <c r="I3139" s="44"/>
      <c r="J3139" s="44"/>
      <c r="K3139" s="44">
        <v>23138</v>
      </c>
      <c r="L3139" s="51">
        <v>20250430</v>
      </c>
    </row>
    <row r="3140" spans="1:12" x14ac:dyDescent="0.25">
      <c r="A3140" s="50" t="s">
        <v>4341</v>
      </c>
      <c r="B3140" s="30" t="s">
        <v>137</v>
      </c>
      <c r="C3140" s="30" t="s">
        <v>94</v>
      </c>
      <c r="D3140" s="30" t="s">
        <v>95</v>
      </c>
      <c r="E3140" s="30" t="s">
        <v>2855</v>
      </c>
      <c r="F3140" s="30">
        <v>1</v>
      </c>
      <c r="G3140" s="44">
        <v>23138</v>
      </c>
      <c r="H3140" s="30"/>
      <c r="I3140" s="44"/>
      <c r="J3140" s="44"/>
      <c r="K3140" s="44">
        <v>23138</v>
      </c>
      <c r="L3140" s="51">
        <v>20250430</v>
      </c>
    </row>
    <row r="3141" spans="1:12" x14ac:dyDescent="0.25">
      <c r="A3141" s="50" t="s">
        <v>4342</v>
      </c>
      <c r="B3141" s="30" t="s">
        <v>137</v>
      </c>
      <c r="C3141" s="30" t="s">
        <v>94</v>
      </c>
      <c r="D3141" s="30" t="s">
        <v>95</v>
      </c>
      <c r="E3141" s="30" t="s">
        <v>458</v>
      </c>
      <c r="F3141" s="30">
        <v>1</v>
      </c>
      <c r="G3141" s="44">
        <v>23138</v>
      </c>
      <c r="H3141" s="30"/>
      <c r="I3141" s="44"/>
      <c r="J3141" s="44"/>
      <c r="K3141" s="44">
        <v>23138</v>
      </c>
      <c r="L3141" s="51">
        <v>20250430</v>
      </c>
    </row>
    <row r="3142" spans="1:12" x14ac:dyDescent="0.25">
      <c r="A3142" s="50" t="s">
        <v>4343</v>
      </c>
      <c r="B3142" s="30" t="s">
        <v>137</v>
      </c>
      <c r="C3142" s="30" t="s">
        <v>94</v>
      </c>
      <c r="D3142" s="30" t="s">
        <v>95</v>
      </c>
      <c r="E3142" s="30" t="s">
        <v>3699</v>
      </c>
      <c r="F3142" s="30">
        <v>1</v>
      </c>
      <c r="G3142" s="44">
        <v>23138</v>
      </c>
      <c r="H3142" s="30"/>
      <c r="I3142" s="44"/>
      <c r="J3142" s="44"/>
      <c r="K3142" s="44">
        <v>23138</v>
      </c>
      <c r="L3142" s="51">
        <v>20250430</v>
      </c>
    </row>
    <row r="3143" spans="1:12" x14ac:dyDescent="0.25">
      <c r="A3143" s="50" t="s">
        <v>4344</v>
      </c>
      <c r="B3143" s="30" t="s">
        <v>137</v>
      </c>
      <c r="C3143" s="30" t="s">
        <v>29</v>
      </c>
      <c r="D3143" s="30" t="s">
        <v>1656</v>
      </c>
      <c r="E3143" s="30" t="s">
        <v>4311</v>
      </c>
      <c r="F3143" s="30">
        <v>1</v>
      </c>
      <c r="G3143" s="44">
        <v>23138</v>
      </c>
      <c r="H3143" s="30"/>
      <c r="I3143" s="44"/>
      <c r="J3143" s="44"/>
      <c r="K3143" s="44">
        <v>23138</v>
      </c>
      <c r="L3143" s="51">
        <v>20250430</v>
      </c>
    </row>
    <row r="3144" spans="1:12" x14ac:dyDescent="0.25">
      <c r="A3144" s="50" t="s">
        <v>4345</v>
      </c>
      <c r="B3144" s="30" t="s">
        <v>137</v>
      </c>
      <c r="C3144" s="30" t="s">
        <v>29</v>
      </c>
      <c r="D3144" s="30" t="s">
        <v>1656</v>
      </c>
      <c r="E3144" s="30" t="s">
        <v>2300</v>
      </c>
      <c r="F3144" s="30">
        <v>1</v>
      </c>
      <c r="G3144" s="44">
        <v>23138</v>
      </c>
      <c r="H3144" s="30"/>
      <c r="I3144" s="44"/>
      <c r="J3144" s="44"/>
      <c r="K3144" s="44">
        <v>23138</v>
      </c>
      <c r="L3144" s="51">
        <v>20250430</v>
      </c>
    </row>
    <row r="3145" spans="1:12" x14ac:dyDescent="0.25">
      <c r="A3145" s="50" t="s">
        <v>4346</v>
      </c>
      <c r="B3145" s="30" t="s">
        <v>137</v>
      </c>
      <c r="C3145" s="30" t="s">
        <v>29</v>
      </c>
      <c r="D3145" s="30" t="s">
        <v>1656</v>
      </c>
      <c r="E3145" s="30" t="s">
        <v>2324</v>
      </c>
      <c r="F3145" s="30">
        <v>1</v>
      </c>
      <c r="G3145" s="44">
        <v>23138</v>
      </c>
      <c r="H3145" s="30"/>
      <c r="I3145" s="44"/>
      <c r="J3145" s="44"/>
      <c r="K3145" s="44">
        <v>23138</v>
      </c>
      <c r="L3145" s="51">
        <v>20250430</v>
      </c>
    </row>
    <row r="3146" spans="1:12" ht="15.75" thickBot="1" x14ac:dyDescent="0.3">
      <c r="A3146" s="54" t="s">
        <v>4347</v>
      </c>
      <c r="B3146" s="36" t="s">
        <v>137</v>
      </c>
      <c r="C3146" s="36" t="s">
        <v>1393</v>
      </c>
      <c r="D3146" s="36" t="s">
        <v>1394</v>
      </c>
      <c r="E3146" s="36" t="s">
        <v>2163</v>
      </c>
      <c r="F3146" s="36">
        <v>1</v>
      </c>
      <c r="G3146" s="65">
        <v>23138</v>
      </c>
      <c r="H3146" s="36"/>
      <c r="I3146" s="65"/>
      <c r="J3146" s="65"/>
      <c r="K3146" s="65">
        <v>23138</v>
      </c>
      <c r="L3146" s="55">
        <v>20250430</v>
      </c>
    </row>
    <row r="3150" spans="1:12" ht="15.75" thickBot="1" x14ac:dyDescent="0.3">
      <c r="A3150" s="69" t="s">
        <v>0</v>
      </c>
      <c r="B3150" s="70" t="s">
        <v>1</v>
      </c>
      <c r="C3150" s="70" t="s">
        <v>2</v>
      </c>
      <c r="D3150" s="70" t="s">
        <v>3</v>
      </c>
      <c r="E3150" s="70" t="s">
        <v>4</v>
      </c>
      <c r="F3150" s="70"/>
      <c r="G3150" s="71" t="s">
        <v>6</v>
      </c>
      <c r="H3150" s="70" t="s">
        <v>7</v>
      </c>
      <c r="I3150" s="71" t="s">
        <v>8</v>
      </c>
      <c r="J3150" s="71" t="s">
        <v>9</v>
      </c>
      <c r="K3150" s="71" t="s">
        <v>10</v>
      </c>
      <c r="L3150" s="72" t="s">
        <v>5</v>
      </c>
    </row>
    <row r="3151" spans="1:12" x14ac:dyDescent="0.25">
      <c r="A3151" s="48" t="s">
        <v>4521</v>
      </c>
      <c r="B3151" s="34" t="s">
        <v>11</v>
      </c>
      <c r="C3151" s="34" t="s">
        <v>364</v>
      </c>
      <c r="D3151" s="34" t="s">
        <v>24</v>
      </c>
      <c r="E3151" s="34" t="s">
        <v>365</v>
      </c>
      <c r="F3151" s="34">
        <v>1</v>
      </c>
      <c r="G3151" s="64">
        <v>46293</v>
      </c>
      <c r="H3151" s="34"/>
      <c r="I3151" s="64"/>
      <c r="J3151" s="64"/>
      <c r="K3151" s="64">
        <f t="shared" ref="K3151:K3178" si="104">J3151+G3151</f>
        <v>46293</v>
      </c>
      <c r="L3151" s="49">
        <v>20250502</v>
      </c>
    </row>
    <row r="3152" spans="1:12" x14ac:dyDescent="0.25">
      <c r="A3152" s="50" t="s">
        <v>4522</v>
      </c>
      <c r="B3152" s="30" t="s">
        <v>11</v>
      </c>
      <c r="C3152" s="30" t="s">
        <v>364</v>
      </c>
      <c r="D3152" s="30" t="s">
        <v>24</v>
      </c>
      <c r="E3152" s="30" t="s">
        <v>3554</v>
      </c>
      <c r="F3152" s="30">
        <v>1</v>
      </c>
      <c r="G3152" s="44">
        <v>46293</v>
      </c>
      <c r="H3152" s="30"/>
      <c r="I3152" s="44"/>
      <c r="J3152" s="44"/>
      <c r="K3152" s="44">
        <f t="shared" si="104"/>
        <v>46293</v>
      </c>
      <c r="L3152" s="51">
        <v>20250502</v>
      </c>
    </row>
    <row r="3153" spans="1:12" x14ac:dyDescent="0.25">
      <c r="A3153" s="50" t="s">
        <v>4527</v>
      </c>
      <c r="B3153" s="30" t="s">
        <v>11</v>
      </c>
      <c r="C3153" s="30" t="s">
        <v>29</v>
      </c>
      <c r="D3153" s="30" t="s">
        <v>735</v>
      </c>
      <c r="E3153" s="30" t="s">
        <v>736</v>
      </c>
      <c r="F3153" s="30">
        <v>1</v>
      </c>
      <c r="G3153" s="44">
        <v>46293</v>
      </c>
      <c r="H3153" s="30"/>
      <c r="I3153" s="44"/>
      <c r="J3153" s="44"/>
      <c r="K3153" s="44">
        <f t="shared" si="104"/>
        <v>46293</v>
      </c>
      <c r="L3153" s="51">
        <v>20250505</v>
      </c>
    </row>
    <row r="3154" spans="1:12" x14ac:dyDescent="0.25">
      <c r="A3154" s="52" t="s">
        <v>4516</v>
      </c>
      <c r="B3154" s="32" t="s">
        <v>11</v>
      </c>
      <c r="C3154" s="32" t="s">
        <v>34</v>
      </c>
      <c r="D3154" s="32" t="s">
        <v>35</v>
      </c>
      <c r="E3154" s="32" t="s">
        <v>3747</v>
      </c>
      <c r="F3154" s="32">
        <v>1</v>
      </c>
      <c r="G3154" s="45">
        <v>46293</v>
      </c>
      <c r="H3154" s="32">
        <v>78</v>
      </c>
      <c r="I3154" s="45">
        <v>559.20000000000005</v>
      </c>
      <c r="J3154" s="45">
        <f>I3154*H3154</f>
        <v>43617.600000000006</v>
      </c>
      <c r="K3154" s="45">
        <f t="shared" si="104"/>
        <v>89910.6</v>
      </c>
      <c r="L3154" s="53">
        <v>20250506</v>
      </c>
    </row>
    <row r="3155" spans="1:12" x14ac:dyDescent="0.25">
      <c r="A3155" s="52" t="s">
        <v>4519</v>
      </c>
      <c r="B3155" s="32" t="s">
        <v>11</v>
      </c>
      <c r="C3155" s="32" t="s">
        <v>337</v>
      </c>
      <c r="D3155" s="32" t="s">
        <v>35</v>
      </c>
      <c r="E3155" s="32" t="s">
        <v>1318</v>
      </c>
      <c r="F3155" s="32">
        <v>1</v>
      </c>
      <c r="G3155" s="45">
        <v>46293</v>
      </c>
      <c r="H3155" s="32">
        <v>72</v>
      </c>
      <c r="I3155" s="45">
        <v>559.20000000000005</v>
      </c>
      <c r="J3155" s="45">
        <f>I3155*H3155</f>
        <v>40262.400000000001</v>
      </c>
      <c r="K3155" s="45">
        <f t="shared" si="104"/>
        <v>86555.4</v>
      </c>
      <c r="L3155" s="53">
        <v>20250506</v>
      </c>
    </row>
    <row r="3156" spans="1:12" x14ac:dyDescent="0.25">
      <c r="A3156" s="50" t="s">
        <v>4520</v>
      </c>
      <c r="B3156" s="30" t="s">
        <v>11</v>
      </c>
      <c r="C3156" s="30" t="s">
        <v>29</v>
      </c>
      <c r="D3156" s="30" t="s">
        <v>1385</v>
      </c>
      <c r="E3156" s="30" t="s">
        <v>3889</v>
      </c>
      <c r="F3156" s="30">
        <v>1</v>
      </c>
      <c r="G3156" s="44">
        <v>46293</v>
      </c>
      <c r="H3156" s="30"/>
      <c r="I3156" s="44"/>
      <c r="J3156" s="44"/>
      <c r="K3156" s="44">
        <f t="shared" si="104"/>
        <v>46293</v>
      </c>
      <c r="L3156" s="51">
        <v>20250506</v>
      </c>
    </row>
    <row r="3157" spans="1:12" x14ac:dyDescent="0.25">
      <c r="A3157" s="50" t="s">
        <v>4528</v>
      </c>
      <c r="B3157" s="30" t="s">
        <v>11</v>
      </c>
      <c r="C3157" s="30" t="s">
        <v>34</v>
      </c>
      <c r="D3157" s="30" t="s">
        <v>35</v>
      </c>
      <c r="E3157" s="30" t="s">
        <v>1365</v>
      </c>
      <c r="F3157" s="30">
        <v>1</v>
      </c>
      <c r="G3157" s="44">
        <v>46293</v>
      </c>
      <c r="H3157" s="30"/>
      <c r="I3157" s="44"/>
      <c r="J3157" s="44"/>
      <c r="K3157" s="44">
        <f t="shared" si="104"/>
        <v>46293</v>
      </c>
      <c r="L3157" s="51">
        <v>20250506</v>
      </c>
    </row>
    <row r="3158" spans="1:12" x14ac:dyDescent="0.25">
      <c r="A3158" s="50" t="s">
        <v>4511</v>
      </c>
      <c r="B3158" s="30" t="s">
        <v>11</v>
      </c>
      <c r="C3158" s="30" t="s">
        <v>28</v>
      </c>
      <c r="D3158" s="30" t="s">
        <v>753</v>
      </c>
      <c r="E3158" s="30" t="s">
        <v>754</v>
      </c>
      <c r="F3158" s="30">
        <v>1</v>
      </c>
      <c r="G3158" s="44">
        <v>46293</v>
      </c>
      <c r="H3158" s="30"/>
      <c r="I3158" s="44"/>
      <c r="J3158" s="44"/>
      <c r="K3158" s="44">
        <f t="shared" si="104"/>
        <v>46293</v>
      </c>
      <c r="L3158" s="51">
        <v>20250508</v>
      </c>
    </row>
    <row r="3159" spans="1:12" x14ac:dyDescent="0.25">
      <c r="A3159" s="50" t="s">
        <v>4513</v>
      </c>
      <c r="B3159" s="30" t="s">
        <v>11</v>
      </c>
      <c r="C3159" s="30" t="s">
        <v>28</v>
      </c>
      <c r="D3159" s="30" t="s">
        <v>753</v>
      </c>
      <c r="E3159" s="30" t="s">
        <v>2637</v>
      </c>
      <c r="F3159" s="30">
        <v>1</v>
      </c>
      <c r="G3159" s="44">
        <v>46293</v>
      </c>
      <c r="H3159" s="30"/>
      <c r="I3159" s="44"/>
      <c r="J3159" s="44"/>
      <c r="K3159" s="44">
        <f t="shared" si="104"/>
        <v>46293</v>
      </c>
      <c r="L3159" s="51">
        <v>20250508</v>
      </c>
    </row>
    <row r="3160" spans="1:12" x14ac:dyDescent="0.25">
      <c r="A3160" s="52" t="s">
        <v>4512</v>
      </c>
      <c r="B3160" s="32" t="s">
        <v>11</v>
      </c>
      <c r="C3160" s="32" t="s">
        <v>163</v>
      </c>
      <c r="D3160" s="32" t="s">
        <v>164</v>
      </c>
      <c r="E3160" s="32" t="s">
        <v>4287</v>
      </c>
      <c r="F3160" s="32">
        <v>1</v>
      </c>
      <c r="G3160" s="45">
        <v>46293</v>
      </c>
      <c r="H3160" s="32">
        <v>12</v>
      </c>
      <c r="I3160" s="45">
        <v>559.20000000000005</v>
      </c>
      <c r="J3160" s="45">
        <f>I3160*H3160</f>
        <v>6710.4000000000005</v>
      </c>
      <c r="K3160" s="45">
        <f t="shared" si="104"/>
        <v>53003.4</v>
      </c>
      <c r="L3160" s="53">
        <v>20250509</v>
      </c>
    </row>
    <row r="3161" spans="1:12" x14ac:dyDescent="0.25">
      <c r="A3161" s="52" t="s">
        <v>4514</v>
      </c>
      <c r="B3161" s="32" t="s">
        <v>11</v>
      </c>
      <c r="C3161" s="32" t="s">
        <v>4490</v>
      </c>
      <c r="D3161" s="32" t="s">
        <v>494</v>
      </c>
      <c r="E3161" s="32" t="s">
        <v>495</v>
      </c>
      <c r="F3161" s="32">
        <v>1</v>
      </c>
      <c r="G3161" s="45">
        <v>46293</v>
      </c>
      <c r="H3161" s="32">
        <v>123</v>
      </c>
      <c r="I3161" s="45">
        <v>559.20000000000005</v>
      </c>
      <c r="J3161" s="45">
        <f>I3161*H3161</f>
        <v>68781.600000000006</v>
      </c>
      <c r="K3161" s="45">
        <f t="shared" si="104"/>
        <v>115074.6</v>
      </c>
      <c r="L3161" s="53">
        <v>20250509</v>
      </c>
    </row>
    <row r="3162" spans="1:12" x14ac:dyDescent="0.25">
      <c r="A3162" s="50" t="s">
        <v>4487</v>
      </c>
      <c r="B3162" s="30" t="s">
        <v>11</v>
      </c>
      <c r="C3162" s="30" t="s">
        <v>134</v>
      </c>
      <c r="D3162" s="30" t="s">
        <v>354</v>
      </c>
      <c r="E3162" s="30" t="s">
        <v>833</v>
      </c>
      <c r="F3162" s="30">
        <v>1</v>
      </c>
      <c r="G3162" s="44">
        <v>46293</v>
      </c>
      <c r="H3162" s="30"/>
      <c r="I3162" s="44"/>
      <c r="J3162" s="44"/>
      <c r="K3162" s="44">
        <f t="shared" si="104"/>
        <v>46293</v>
      </c>
      <c r="L3162" s="51">
        <v>20250513</v>
      </c>
    </row>
    <row r="3163" spans="1:12" x14ac:dyDescent="0.25">
      <c r="A3163" s="50" t="s">
        <v>4488</v>
      </c>
      <c r="B3163" s="30" t="s">
        <v>11</v>
      </c>
      <c r="C3163" s="30" t="s">
        <v>251</v>
      </c>
      <c r="D3163" s="30" t="s">
        <v>2985</v>
      </c>
      <c r="E3163" s="30" t="s">
        <v>2986</v>
      </c>
      <c r="F3163" s="30">
        <v>1</v>
      </c>
      <c r="G3163" s="44">
        <v>46293</v>
      </c>
      <c r="H3163" s="30"/>
      <c r="I3163" s="44"/>
      <c r="J3163" s="44"/>
      <c r="K3163" s="44">
        <f t="shared" si="104"/>
        <v>46293</v>
      </c>
      <c r="L3163" s="51">
        <v>20250514</v>
      </c>
    </row>
    <row r="3164" spans="1:12" x14ac:dyDescent="0.25">
      <c r="A3164" s="50" t="s">
        <v>4471</v>
      </c>
      <c r="B3164" s="30" t="s">
        <v>11</v>
      </c>
      <c r="C3164" s="30" t="s">
        <v>29</v>
      </c>
      <c r="D3164" s="30" t="s">
        <v>1385</v>
      </c>
      <c r="E3164" s="30" t="s">
        <v>3335</v>
      </c>
      <c r="F3164" s="30">
        <v>1</v>
      </c>
      <c r="G3164" s="44">
        <v>46293</v>
      </c>
      <c r="H3164" s="30"/>
      <c r="I3164" s="44"/>
      <c r="J3164" s="44"/>
      <c r="K3164" s="44">
        <f t="shared" si="104"/>
        <v>46293</v>
      </c>
      <c r="L3164" s="51">
        <v>20250516</v>
      </c>
    </row>
    <row r="3165" spans="1:12" x14ac:dyDescent="0.25">
      <c r="A3165" s="50" t="s">
        <v>4481</v>
      </c>
      <c r="B3165" s="30" t="s">
        <v>11</v>
      </c>
      <c r="C3165" s="30" t="s">
        <v>29</v>
      </c>
      <c r="D3165" s="30" t="s">
        <v>735</v>
      </c>
      <c r="E3165" s="30" t="s">
        <v>736</v>
      </c>
      <c r="F3165" s="30">
        <v>1</v>
      </c>
      <c r="G3165" s="44">
        <v>46293</v>
      </c>
      <c r="H3165" s="30"/>
      <c r="I3165" s="44"/>
      <c r="J3165" s="44"/>
      <c r="K3165" s="44">
        <f t="shared" si="104"/>
        <v>46293</v>
      </c>
      <c r="L3165" s="51">
        <v>20250516</v>
      </c>
    </row>
    <row r="3166" spans="1:12" x14ac:dyDescent="0.25">
      <c r="A3166" s="50" t="s">
        <v>4459</v>
      </c>
      <c r="B3166" s="30" t="s">
        <v>11</v>
      </c>
      <c r="C3166" s="30" t="s">
        <v>29</v>
      </c>
      <c r="D3166" s="30" t="s">
        <v>735</v>
      </c>
      <c r="E3166" s="30" t="s">
        <v>736</v>
      </c>
      <c r="F3166" s="30">
        <v>1</v>
      </c>
      <c r="G3166" s="44">
        <v>46293</v>
      </c>
      <c r="H3166" s="30"/>
      <c r="I3166" s="44"/>
      <c r="J3166" s="44"/>
      <c r="K3166" s="44">
        <f t="shared" si="104"/>
        <v>46293</v>
      </c>
      <c r="L3166" s="51">
        <v>20250519</v>
      </c>
    </row>
    <row r="3167" spans="1:12" x14ac:dyDescent="0.25">
      <c r="A3167" s="50" t="s">
        <v>4515</v>
      </c>
      <c r="B3167" s="30" t="s">
        <v>11</v>
      </c>
      <c r="C3167" s="30" t="s">
        <v>1450</v>
      </c>
      <c r="D3167" s="30" t="s">
        <v>1592</v>
      </c>
      <c r="E3167" s="30" t="s">
        <v>1593</v>
      </c>
      <c r="F3167" s="30">
        <v>1</v>
      </c>
      <c r="G3167" s="44">
        <v>46293</v>
      </c>
      <c r="H3167" s="30"/>
      <c r="I3167" s="44"/>
      <c r="J3167" s="44"/>
      <c r="K3167" s="44">
        <f t="shared" si="104"/>
        <v>46293</v>
      </c>
      <c r="L3167" s="51">
        <v>20250519</v>
      </c>
    </row>
    <row r="3168" spans="1:12" x14ac:dyDescent="0.25">
      <c r="A3168" s="50" t="s">
        <v>4462</v>
      </c>
      <c r="B3168" s="30" t="s">
        <v>11</v>
      </c>
      <c r="C3168" s="30" t="s">
        <v>94</v>
      </c>
      <c r="D3168" s="30" t="s">
        <v>95</v>
      </c>
      <c r="E3168" s="30" t="s">
        <v>436</v>
      </c>
      <c r="F3168" s="30">
        <v>1</v>
      </c>
      <c r="G3168" s="44">
        <v>46293</v>
      </c>
      <c r="H3168" s="30"/>
      <c r="I3168" s="44"/>
      <c r="J3168" s="44"/>
      <c r="K3168" s="44">
        <f t="shared" si="104"/>
        <v>46293</v>
      </c>
      <c r="L3168" s="51">
        <v>20250520</v>
      </c>
    </row>
    <row r="3169" spans="1:12" x14ac:dyDescent="0.25">
      <c r="A3169" s="52" t="s">
        <v>4463</v>
      </c>
      <c r="B3169" s="32" t="s">
        <v>11</v>
      </c>
      <c r="C3169" s="32" t="s">
        <v>28</v>
      </c>
      <c r="D3169" s="32" t="s">
        <v>383</v>
      </c>
      <c r="E3169" s="32" t="s">
        <v>384</v>
      </c>
      <c r="F3169" s="32">
        <v>1</v>
      </c>
      <c r="G3169" s="45">
        <v>46293</v>
      </c>
      <c r="H3169" s="32">
        <v>354</v>
      </c>
      <c r="I3169" s="45">
        <v>559.20000000000005</v>
      </c>
      <c r="J3169" s="45">
        <f>I3169*H3169</f>
        <v>197956.80000000002</v>
      </c>
      <c r="K3169" s="45">
        <f t="shared" si="104"/>
        <v>244249.80000000002</v>
      </c>
      <c r="L3169" s="53">
        <v>20250520</v>
      </c>
    </row>
    <row r="3170" spans="1:12" x14ac:dyDescent="0.25">
      <c r="A3170" s="50" t="s">
        <v>4457</v>
      </c>
      <c r="B3170" s="30" t="s">
        <v>11</v>
      </c>
      <c r="C3170" s="30" t="s">
        <v>29</v>
      </c>
      <c r="D3170" s="30" t="s">
        <v>735</v>
      </c>
      <c r="E3170" s="30" t="s">
        <v>736</v>
      </c>
      <c r="F3170" s="30">
        <v>1</v>
      </c>
      <c r="G3170" s="44">
        <v>46293</v>
      </c>
      <c r="H3170" s="30"/>
      <c r="I3170" s="44"/>
      <c r="J3170" s="44"/>
      <c r="K3170" s="44">
        <f t="shared" si="104"/>
        <v>46293</v>
      </c>
      <c r="L3170" s="51">
        <v>20250521</v>
      </c>
    </row>
    <row r="3171" spans="1:12" x14ac:dyDescent="0.25">
      <c r="A3171" s="52" t="s">
        <v>4460</v>
      </c>
      <c r="B3171" s="32" t="s">
        <v>11</v>
      </c>
      <c r="C3171" s="32" t="s">
        <v>4149</v>
      </c>
      <c r="D3171" s="32" t="s">
        <v>4150</v>
      </c>
      <c r="E3171" s="32" t="s">
        <v>4151</v>
      </c>
      <c r="F3171" s="32">
        <v>1</v>
      </c>
      <c r="G3171" s="45">
        <v>46293</v>
      </c>
      <c r="H3171" s="32">
        <v>39</v>
      </c>
      <c r="I3171" s="45">
        <v>559.20000000000005</v>
      </c>
      <c r="J3171" s="45">
        <f>I3171*H3171</f>
        <v>21808.800000000003</v>
      </c>
      <c r="K3171" s="45">
        <f t="shared" si="104"/>
        <v>68101.8</v>
      </c>
      <c r="L3171" s="53">
        <v>20250521</v>
      </c>
    </row>
    <row r="3172" spans="1:12" x14ac:dyDescent="0.25">
      <c r="A3172" s="50" t="s">
        <v>4470</v>
      </c>
      <c r="B3172" s="30" t="s">
        <v>11</v>
      </c>
      <c r="C3172" s="30" t="s">
        <v>29</v>
      </c>
      <c r="D3172" s="30" t="s">
        <v>1385</v>
      </c>
      <c r="E3172" s="30" t="s">
        <v>1127</v>
      </c>
      <c r="F3172" s="30">
        <v>1</v>
      </c>
      <c r="G3172" s="44">
        <v>46293</v>
      </c>
      <c r="H3172" s="30"/>
      <c r="I3172" s="44"/>
      <c r="J3172" s="44"/>
      <c r="K3172" s="44">
        <f t="shared" si="104"/>
        <v>46293</v>
      </c>
      <c r="L3172" s="51">
        <v>20250521</v>
      </c>
    </row>
    <row r="3173" spans="1:12" x14ac:dyDescent="0.25">
      <c r="A3173" s="52" t="s">
        <v>4461</v>
      </c>
      <c r="B3173" s="32" t="s">
        <v>11</v>
      </c>
      <c r="C3173" s="32" t="s">
        <v>28</v>
      </c>
      <c r="D3173" s="32" t="s">
        <v>1183</v>
      </c>
      <c r="E3173" s="32" t="s">
        <v>1184</v>
      </c>
      <c r="F3173" s="32">
        <v>1</v>
      </c>
      <c r="G3173" s="45">
        <v>46293</v>
      </c>
      <c r="H3173" s="32">
        <v>138</v>
      </c>
      <c r="I3173" s="45">
        <v>559.20000000000005</v>
      </c>
      <c r="J3173" s="45">
        <f>I3173*H3173</f>
        <v>77169.600000000006</v>
      </c>
      <c r="K3173" s="45">
        <f t="shared" si="104"/>
        <v>123462.6</v>
      </c>
      <c r="L3173" s="53">
        <v>20250523</v>
      </c>
    </row>
    <row r="3174" spans="1:12" x14ac:dyDescent="0.25">
      <c r="A3174" s="50" t="s">
        <v>4456</v>
      </c>
      <c r="B3174" s="30" t="s">
        <v>11</v>
      </c>
      <c r="C3174" s="30" t="s">
        <v>2861</v>
      </c>
      <c r="D3174" s="30" t="s">
        <v>2862</v>
      </c>
      <c r="E3174" s="30" t="s">
        <v>2863</v>
      </c>
      <c r="F3174" s="30">
        <v>1</v>
      </c>
      <c r="G3174" s="44">
        <v>46293</v>
      </c>
      <c r="H3174" s="30"/>
      <c r="I3174" s="44"/>
      <c r="J3174" s="44"/>
      <c r="K3174" s="44">
        <f t="shared" si="104"/>
        <v>46293</v>
      </c>
      <c r="L3174" s="51">
        <v>20250526</v>
      </c>
    </row>
    <row r="3175" spans="1:12" x14ac:dyDescent="0.25">
      <c r="A3175" s="50" t="s">
        <v>4458</v>
      </c>
      <c r="B3175" s="30" t="s">
        <v>11</v>
      </c>
      <c r="C3175" s="30" t="s">
        <v>53</v>
      </c>
      <c r="D3175" s="30" t="s">
        <v>24</v>
      </c>
      <c r="E3175" s="30" t="s">
        <v>1281</v>
      </c>
      <c r="F3175" s="30">
        <v>1</v>
      </c>
      <c r="G3175" s="44">
        <v>46293</v>
      </c>
      <c r="H3175" s="30"/>
      <c r="I3175" s="44"/>
      <c r="J3175" s="44"/>
      <c r="K3175" s="44">
        <f t="shared" si="104"/>
        <v>46293</v>
      </c>
      <c r="L3175" s="51">
        <v>20250526</v>
      </c>
    </row>
    <row r="3176" spans="1:12" x14ac:dyDescent="0.25">
      <c r="A3176" s="52" t="s">
        <v>4455</v>
      </c>
      <c r="B3176" s="32" t="s">
        <v>11</v>
      </c>
      <c r="C3176" s="32" t="s">
        <v>29</v>
      </c>
      <c r="D3176" s="32" t="s">
        <v>30</v>
      </c>
      <c r="E3176" s="32" t="s">
        <v>3608</v>
      </c>
      <c r="F3176" s="32">
        <v>1</v>
      </c>
      <c r="G3176" s="45">
        <v>46293</v>
      </c>
      <c r="H3176" s="32">
        <v>158</v>
      </c>
      <c r="I3176" s="45">
        <v>559.20000000000005</v>
      </c>
      <c r="J3176" s="45">
        <f>I3176*H3176</f>
        <v>88353.600000000006</v>
      </c>
      <c r="K3176" s="45">
        <f t="shared" si="104"/>
        <v>134646.6</v>
      </c>
      <c r="L3176" s="53">
        <v>20250527</v>
      </c>
    </row>
    <row r="3177" spans="1:12" x14ac:dyDescent="0.25">
      <c r="A3177" s="50" t="s">
        <v>4454</v>
      </c>
      <c r="B3177" s="30" t="s">
        <v>11</v>
      </c>
      <c r="C3177" s="30" t="s">
        <v>134</v>
      </c>
      <c r="D3177" s="30" t="s">
        <v>135</v>
      </c>
      <c r="E3177" s="30" t="s">
        <v>3513</v>
      </c>
      <c r="F3177" s="30">
        <v>1</v>
      </c>
      <c r="G3177" s="44">
        <v>46293</v>
      </c>
      <c r="H3177" s="30"/>
      <c r="I3177" s="44"/>
      <c r="J3177" s="44"/>
      <c r="K3177" s="44">
        <f t="shared" si="104"/>
        <v>46293</v>
      </c>
      <c r="L3177" s="51">
        <v>20250528</v>
      </c>
    </row>
    <row r="3178" spans="1:12" ht="15.75" thickBot="1" x14ac:dyDescent="0.3">
      <c r="A3178" s="54" t="s">
        <v>4430</v>
      </c>
      <c r="B3178" s="36" t="s">
        <v>11</v>
      </c>
      <c r="C3178" s="36" t="s">
        <v>26</v>
      </c>
      <c r="D3178" s="36" t="s">
        <v>204</v>
      </c>
      <c r="E3178" s="36" t="s">
        <v>205</v>
      </c>
      <c r="F3178" s="36">
        <v>1</v>
      </c>
      <c r="G3178" s="65">
        <v>46293</v>
      </c>
      <c r="H3178" s="36"/>
      <c r="I3178" s="65"/>
      <c r="J3178" s="65"/>
      <c r="K3178" s="65">
        <f t="shared" si="104"/>
        <v>46293</v>
      </c>
      <c r="L3178" s="55">
        <v>20250530</v>
      </c>
    </row>
    <row r="3179" spans="1:12" x14ac:dyDescent="0.25">
      <c r="A3179" s="73"/>
      <c r="B3179" s="74"/>
      <c r="C3179" s="74"/>
      <c r="D3179" s="74"/>
      <c r="E3179" s="74"/>
      <c r="F3179" s="74"/>
      <c r="G3179" s="75"/>
      <c r="H3179" s="74"/>
      <c r="I3179" s="75"/>
      <c r="J3179" s="75"/>
      <c r="K3179" s="75"/>
      <c r="L3179" s="76"/>
    </row>
    <row r="3180" spans="1:12" ht="15.75" thickBot="1" x14ac:dyDescent="0.3">
      <c r="A3180" s="69"/>
      <c r="B3180" s="70"/>
      <c r="C3180" s="70"/>
      <c r="D3180" s="70"/>
      <c r="E3180" s="70"/>
      <c r="F3180" s="70"/>
      <c r="G3180" s="71"/>
      <c r="H3180" s="70"/>
      <c r="I3180" s="71"/>
      <c r="J3180" s="71"/>
      <c r="K3180" s="71"/>
      <c r="L3180" s="72"/>
    </row>
    <row r="3181" spans="1:12" x14ac:dyDescent="0.25">
      <c r="A3181" s="48" t="s">
        <v>4517</v>
      </c>
      <c r="B3181" s="34" t="s">
        <v>137</v>
      </c>
      <c r="C3181" s="34" t="s">
        <v>76</v>
      </c>
      <c r="D3181" s="34" t="s">
        <v>2913</v>
      </c>
      <c r="E3181" s="34" t="s">
        <v>77</v>
      </c>
      <c r="F3181" s="34">
        <v>1</v>
      </c>
      <c r="G3181" s="64">
        <v>23138</v>
      </c>
      <c r="H3181" s="34"/>
      <c r="I3181" s="64"/>
      <c r="J3181" s="64"/>
      <c r="K3181" s="64">
        <f t="shared" ref="K3181:K3212" si="105">J3181+G3181</f>
        <v>23138</v>
      </c>
      <c r="L3181" s="49">
        <v>20250502</v>
      </c>
    </row>
    <row r="3182" spans="1:12" x14ac:dyDescent="0.25">
      <c r="A3182" s="50" t="s">
        <v>4518</v>
      </c>
      <c r="B3182" s="30" t="s">
        <v>137</v>
      </c>
      <c r="C3182" s="30" t="s">
        <v>76</v>
      </c>
      <c r="D3182" s="30" t="s">
        <v>2913</v>
      </c>
      <c r="E3182" s="30" t="s">
        <v>1156</v>
      </c>
      <c r="F3182" s="30">
        <v>1</v>
      </c>
      <c r="G3182" s="44">
        <v>23138</v>
      </c>
      <c r="H3182" s="30"/>
      <c r="I3182" s="44"/>
      <c r="J3182" s="44"/>
      <c r="K3182" s="44">
        <f t="shared" si="105"/>
        <v>23138</v>
      </c>
      <c r="L3182" s="51">
        <v>20250502</v>
      </c>
    </row>
    <row r="3183" spans="1:12" x14ac:dyDescent="0.25">
      <c r="A3183" s="50" t="s">
        <v>4489</v>
      </c>
      <c r="B3183" s="30" t="s">
        <v>137</v>
      </c>
      <c r="C3183" s="30" t="s">
        <v>4490</v>
      </c>
      <c r="D3183" s="30" t="s">
        <v>368</v>
      </c>
      <c r="E3183" s="30" t="s">
        <v>3955</v>
      </c>
      <c r="F3183" s="30">
        <v>1</v>
      </c>
      <c r="G3183" s="44">
        <v>23138</v>
      </c>
      <c r="H3183" s="30"/>
      <c r="I3183" s="44"/>
      <c r="J3183" s="44"/>
      <c r="K3183" s="44">
        <f t="shared" si="105"/>
        <v>23138</v>
      </c>
      <c r="L3183" s="51">
        <v>20250509</v>
      </c>
    </row>
    <row r="3184" spans="1:12" x14ac:dyDescent="0.25">
      <c r="A3184" s="50" t="s">
        <v>4493</v>
      </c>
      <c r="B3184" s="30" t="s">
        <v>137</v>
      </c>
      <c r="C3184" s="30" t="s">
        <v>4490</v>
      </c>
      <c r="D3184" s="30" t="s">
        <v>368</v>
      </c>
      <c r="E3184" s="30" t="s">
        <v>369</v>
      </c>
      <c r="F3184" s="30">
        <v>1</v>
      </c>
      <c r="G3184" s="44">
        <v>23138</v>
      </c>
      <c r="H3184" s="30"/>
      <c r="I3184" s="44"/>
      <c r="J3184" s="44"/>
      <c r="K3184" s="44">
        <f t="shared" si="105"/>
        <v>23138</v>
      </c>
      <c r="L3184" s="51">
        <v>20250509</v>
      </c>
    </row>
    <row r="3185" spans="1:12" x14ac:dyDescent="0.25">
      <c r="A3185" s="50" t="s">
        <v>4495</v>
      </c>
      <c r="B3185" s="30" t="s">
        <v>137</v>
      </c>
      <c r="C3185" s="30" t="s">
        <v>4490</v>
      </c>
      <c r="D3185" s="30" t="s">
        <v>368</v>
      </c>
      <c r="E3185" s="30" t="s">
        <v>1218</v>
      </c>
      <c r="F3185" s="30">
        <v>1</v>
      </c>
      <c r="G3185" s="44">
        <v>23138</v>
      </c>
      <c r="H3185" s="30"/>
      <c r="I3185" s="44"/>
      <c r="J3185" s="44"/>
      <c r="K3185" s="44">
        <f t="shared" si="105"/>
        <v>23138</v>
      </c>
      <c r="L3185" s="51">
        <v>20250509</v>
      </c>
    </row>
    <row r="3186" spans="1:12" x14ac:dyDescent="0.25">
      <c r="A3186" s="50" t="s">
        <v>4491</v>
      </c>
      <c r="B3186" s="30" t="s">
        <v>137</v>
      </c>
      <c r="C3186" s="30" t="s">
        <v>4490</v>
      </c>
      <c r="D3186" s="30" t="s">
        <v>494</v>
      </c>
      <c r="E3186" s="30" t="s">
        <v>1212</v>
      </c>
      <c r="F3186" s="30">
        <v>1</v>
      </c>
      <c r="G3186" s="44">
        <v>23138</v>
      </c>
      <c r="H3186" s="30"/>
      <c r="I3186" s="44"/>
      <c r="J3186" s="44"/>
      <c r="K3186" s="44">
        <f t="shared" si="105"/>
        <v>23138</v>
      </c>
      <c r="L3186" s="51">
        <v>20250509</v>
      </c>
    </row>
    <row r="3187" spans="1:12" x14ac:dyDescent="0.25">
      <c r="A3187" s="50" t="s">
        <v>4492</v>
      </c>
      <c r="B3187" s="30" t="s">
        <v>137</v>
      </c>
      <c r="C3187" s="30" t="s">
        <v>4490</v>
      </c>
      <c r="D3187" s="30" t="s">
        <v>494</v>
      </c>
      <c r="E3187" s="30" t="s">
        <v>1215</v>
      </c>
      <c r="F3187" s="30">
        <v>1</v>
      </c>
      <c r="G3187" s="44">
        <v>23138</v>
      </c>
      <c r="H3187" s="30"/>
      <c r="I3187" s="44"/>
      <c r="J3187" s="44"/>
      <c r="K3187" s="44">
        <f t="shared" si="105"/>
        <v>23138</v>
      </c>
      <c r="L3187" s="51">
        <v>20250509</v>
      </c>
    </row>
    <row r="3188" spans="1:12" x14ac:dyDescent="0.25">
      <c r="A3188" s="50" t="s">
        <v>4494</v>
      </c>
      <c r="B3188" s="30" t="s">
        <v>137</v>
      </c>
      <c r="C3188" s="30" t="s">
        <v>4490</v>
      </c>
      <c r="D3188" s="30" t="s">
        <v>494</v>
      </c>
      <c r="E3188" s="30" t="s">
        <v>596</v>
      </c>
      <c r="F3188" s="30">
        <v>1</v>
      </c>
      <c r="G3188" s="44">
        <v>23138</v>
      </c>
      <c r="H3188" s="30"/>
      <c r="I3188" s="44"/>
      <c r="J3188" s="44"/>
      <c r="K3188" s="44">
        <f t="shared" si="105"/>
        <v>23138</v>
      </c>
      <c r="L3188" s="51">
        <v>20250509</v>
      </c>
    </row>
    <row r="3189" spans="1:12" x14ac:dyDescent="0.25">
      <c r="A3189" s="50" t="s">
        <v>4496</v>
      </c>
      <c r="B3189" s="30" t="s">
        <v>137</v>
      </c>
      <c r="C3189" s="30" t="s">
        <v>163</v>
      </c>
      <c r="D3189" s="30" t="s">
        <v>164</v>
      </c>
      <c r="E3189" s="30" t="s">
        <v>3962</v>
      </c>
      <c r="F3189" s="30">
        <v>1</v>
      </c>
      <c r="G3189" s="44">
        <v>23138</v>
      </c>
      <c r="H3189" s="30"/>
      <c r="I3189" s="44"/>
      <c r="J3189" s="44"/>
      <c r="K3189" s="44">
        <f t="shared" si="105"/>
        <v>23138</v>
      </c>
      <c r="L3189" s="51">
        <v>20250509</v>
      </c>
    </row>
    <row r="3190" spans="1:12" x14ac:dyDescent="0.25">
      <c r="A3190" s="50" t="s">
        <v>4497</v>
      </c>
      <c r="B3190" s="30" t="s">
        <v>137</v>
      </c>
      <c r="C3190" s="30" t="s">
        <v>163</v>
      </c>
      <c r="D3190" s="30" t="s">
        <v>164</v>
      </c>
      <c r="E3190" s="30" t="s">
        <v>3277</v>
      </c>
      <c r="F3190" s="30">
        <v>1</v>
      </c>
      <c r="G3190" s="44">
        <v>23138</v>
      </c>
      <c r="H3190" s="30"/>
      <c r="I3190" s="44"/>
      <c r="J3190" s="44"/>
      <c r="K3190" s="44">
        <f t="shared" si="105"/>
        <v>23138</v>
      </c>
      <c r="L3190" s="51">
        <v>20250509</v>
      </c>
    </row>
    <row r="3191" spans="1:12" x14ac:dyDescent="0.25">
      <c r="A3191" s="50" t="s">
        <v>4498</v>
      </c>
      <c r="B3191" s="30" t="s">
        <v>137</v>
      </c>
      <c r="C3191" s="30" t="s">
        <v>163</v>
      </c>
      <c r="D3191" s="30" t="s">
        <v>164</v>
      </c>
      <c r="E3191" s="30" t="s">
        <v>187</v>
      </c>
      <c r="F3191" s="30">
        <v>1</v>
      </c>
      <c r="G3191" s="44">
        <v>23138</v>
      </c>
      <c r="H3191" s="30"/>
      <c r="I3191" s="44"/>
      <c r="J3191" s="44"/>
      <c r="K3191" s="44">
        <f t="shared" si="105"/>
        <v>23138</v>
      </c>
      <c r="L3191" s="51">
        <v>20250509</v>
      </c>
    </row>
    <row r="3192" spans="1:12" x14ac:dyDescent="0.25">
      <c r="A3192" s="50" t="s">
        <v>4499</v>
      </c>
      <c r="B3192" s="30" t="s">
        <v>137</v>
      </c>
      <c r="C3192" s="30" t="s">
        <v>163</v>
      </c>
      <c r="D3192" s="30" t="s">
        <v>164</v>
      </c>
      <c r="E3192" s="30" t="s">
        <v>3030</v>
      </c>
      <c r="F3192" s="30">
        <v>1</v>
      </c>
      <c r="G3192" s="44">
        <v>23138</v>
      </c>
      <c r="H3192" s="30"/>
      <c r="I3192" s="44"/>
      <c r="J3192" s="44"/>
      <c r="K3192" s="44">
        <f t="shared" si="105"/>
        <v>23138</v>
      </c>
      <c r="L3192" s="51">
        <v>20250509</v>
      </c>
    </row>
    <row r="3193" spans="1:12" x14ac:dyDescent="0.25">
      <c r="A3193" s="50" t="s">
        <v>4500</v>
      </c>
      <c r="B3193" s="30" t="s">
        <v>137</v>
      </c>
      <c r="C3193" s="30" t="s">
        <v>163</v>
      </c>
      <c r="D3193" s="30" t="s">
        <v>164</v>
      </c>
      <c r="E3193" s="30" t="s">
        <v>1115</v>
      </c>
      <c r="F3193" s="30">
        <v>1</v>
      </c>
      <c r="G3193" s="44">
        <v>23138</v>
      </c>
      <c r="H3193" s="30"/>
      <c r="I3193" s="44"/>
      <c r="J3193" s="44"/>
      <c r="K3193" s="44">
        <f t="shared" si="105"/>
        <v>23138</v>
      </c>
      <c r="L3193" s="51">
        <v>20250509</v>
      </c>
    </row>
    <row r="3194" spans="1:12" x14ac:dyDescent="0.25">
      <c r="A3194" s="50" t="s">
        <v>4501</v>
      </c>
      <c r="B3194" s="30" t="s">
        <v>137</v>
      </c>
      <c r="C3194" s="30" t="s">
        <v>163</v>
      </c>
      <c r="D3194" s="30" t="s">
        <v>164</v>
      </c>
      <c r="E3194" s="30" t="s">
        <v>444</v>
      </c>
      <c r="F3194" s="30">
        <v>1</v>
      </c>
      <c r="G3194" s="44">
        <v>23138</v>
      </c>
      <c r="H3194" s="30"/>
      <c r="I3194" s="44"/>
      <c r="J3194" s="44"/>
      <c r="K3194" s="44">
        <f t="shared" si="105"/>
        <v>23138</v>
      </c>
      <c r="L3194" s="51">
        <v>20250509</v>
      </c>
    </row>
    <row r="3195" spans="1:12" x14ac:dyDescent="0.25">
      <c r="A3195" s="50" t="s">
        <v>4502</v>
      </c>
      <c r="B3195" s="30" t="s">
        <v>137</v>
      </c>
      <c r="C3195" s="30" t="s">
        <v>163</v>
      </c>
      <c r="D3195" s="30" t="s">
        <v>164</v>
      </c>
      <c r="E3195" s="30" t="s">
        <v>212</v>
      </c>
      <c r="F3195" s="30">
        <v>1</v>
      </c>
      <c r="G3195" s="44">
        <v>23138</v>
      </c>
      <c r="H3195" s="30"/>
      <c r="I3195" s="44"/>
      <c r="J3195" s="44"/>
      <c r="K3195" s="44">
        <f t="shared" si="105"/>
        <v>23138</v>
      </c>
      <c r="L3195" s="51">
        <v>20250509</v>
      </c>
    </row>
    <row r="3196" spans="1:12" x14ac:dyDescent="0.25">
      <c r="A3196" s="50" t="s">
        <v>4503</v>
      </c>
      <c r="B3196" s="30" t="s">
        <v>137</v>
      </c>
      <c r="C3196" s="30" t="s">
        <v>163</v>
      </c>
      <c r="D3196" s="30" t="s">
        <v>164</v>
      </c>
      <c r="E3196" s="30" t="s">
        <v>207</v>
      </c>
      <c r="F3196" s="30">
        <v>1</v>
      </c>
      <c r="G3196" s="44">
        <v>23138</v>
      </c>
      <c r="H3196" s="30"/>
      <c r="I3196" s="44"/>
      <c r="J3196" s="44"/>
      <c r="K3196" s="44">
        <f t="shared" si="105"/>
        <v>23138</v>
      </c>
      <c r="L3196" s="51">
        <v>20250509</v>
      </c>
    </row>
    <row r="3197" spans="1:12" x14ac:dyDescent="0.25">
      <c r="A3197" s="50" t="s">
        <v>4504</v>
      </c>
      <c r="B3197" s="30" t="s">
        <v>137</v>
      </c>
      <c r="C3197" s="30" t="s">
        <v>163</v>
      </c>
      <c r="D3197" s="30" t="s">
        <v>164</v>
      </c>
      <c r="E3197" s="30" t="s">
        <v>478</v>
      </c>
      <c r="F3197" s="30">
        <v>1</v>
      </c>
      <c r="G3197" s="44">
        <v>23138</v>
      </c>
      <c r="H3197" s="30"/>
      <c r="I3197" s="44"/>
      <c r="J3197" s="44"/>
      <c r="K3197" s="44">
        <f t="shared" si="105"/>
        <v>23138</v>
      </c>
      <c r="L3197" s="51">
        <v>20250509</v>
      </c>
    </row>
    <row r="3198" spans="1:12" x14ac:dyDescent="0.25">
      <c r="A3198" s="50" t="s">
        <v>4505</v>
      </c>
      <c r="B3198" s="30" t="s">
        <v>137</v>
      </c>
      <c r="C3198" s="30" t="s">
        <v>163</v>
      </c>
      <c r="D3198" s="30" t="s">
        <v>164</v>
      </c>
      <c r="E3198" s="30" t="s">
        <v>166</v>
      </c>
      <c r="F3198" s="30">
        <v>1</v>
      </c>
      <c r="G3198" s="44">
        <v>23138</v>
      </c>
      <c r="H3198" s="30"/>
      <c r="I3198" s="44"/>
      <c r="J3198" s="44"/>
      <c r="K3198" s="44">
        <f t="shared" si="105"/>
        <v>23138</v>
      </c>
      <c r="L3198" s="51">
        <v>20250509</v>
      </c>
    </row>
    <row r="3199" spans="1:12" x14ac:dyDescent="0.25">
      <c r="A3199" s="50" t="s">
        <v>4506</v>
      </c>
      <c r="B3199" s="30" t="s">
        <v>137</v>
      </c>
      <c r="C3199" s="30" t="s">
        <v>163</v>
      </c>
      <c r="D3199" s="30" t="s">
        <v>164</v>
      </c>
      <c r="E3199" s="30" t="s">
        <v>361</v>
      </c>
      <c r="F3199" s="30">
        <v>1</v>
      </c>
      <c r="G3199" s="44">
        <v>23138</v>
      </c>
      <c r="H3199" s="30"/>
      <c r="I3199" s="44"/>
      <c r="J3199" s="44"/>
      <c r="K3199" s="44">
        <f t="shared" si="105"/>
        <v>23138</v>
      </c>
      <c r="L3199" s="51">
        <v>20250509</v>
      </c>
    </row>
    <row r="3200" spans="1:12" x14ac:dyDescent="0.25">
      <c r="A3200" s="50" t="s">
        <v>4507</v>
      </c>
      <c r="B3200" s="30" t="s">
        <v>137</v>
      </c>
      <c r="C3200" s="30" t="s">
        <v>163</v>
      </c>
      <c r="D3200" s="30" t="s">
        <v>164</v>
      </c>
      <c r="E3200" s="30" t="s">
        <v>2158</v>
      </c>
      <c r="F3200" s="30">
        <v>1</v>
      </c>
      <c r="G3200" s="44">
        <v>23138</v>
      </c>
      <c r="H3200" s="30"/>
      <c r="I3200" s="44"/>
      <c r="J3200" s="44"/>
      <c r="K3200" s="44">
        <f t="shared" si="105"/>
        <v>23138</v>
      </c>
      <c r="L3200" s="51">
        <v>20250509</v>
      </c>
    </row>
    <row r="3201" spans="1:12" x14ac:dyDescent="0.25">
      <c r="A3201" s="50" t="s">
        <v>4508</v>
      </c>
      <c r="B3201" s="30" t="s">
        <v>137</v>
      </c>
      <c r="C3201" s="30" t="s">
        <v>163</v>
      </c>
      <c r="D3201" s="30" t="s">
        <v>164</v>
      </c>
      <c r="E3201" s="30" t="s">
        <v>185</v>
      </c>
      <c r="F3201" s="30">
        <v>1</v>
      </c>
      <c r="G3201" s="44">
        <v>23138</v>
      </c>
      <c r="H3201" s="30"/>
      <c r="I3201" s="44"/>
      <c r="J3201" s="44"/>
      <c r="K3201" s="44">
        <f t="shared" si="105"/>
        <v>23138</v>
      </c>
      <c r="L3201" s="51">
        <v>20250509</v>
      </c>
    </row>
    <row r="3202" spans="1:12" x14ac:dyDescent="0.25">
      <c r="A3202" s="50" t="s">
        <v>4509</v>
      </c>
      <c r="B3202" s="30" t="s">
        <v>137</v>
      </c>
      <c r="C3202" s="30" t="s">
        <v>163</v>
      </c>
      <c r="D3202" s="30" t="s">
        <v>164</v>
      </c>
      <c r="E3202" s="30" t="s">
        <v>452</v>
      </c>
      <c r="F3202" s="30">
        <v>1</v>
      </c>
      <c r="G3202" s="44">
        <v>23138</v>
      </c>
      <c r="H3202" s="30"/>
      <c r="I3202" s="44"/>
      <c r="J3202" s="44"/>
      <c r="K3202" s="44">
        <f t="shared" si="105"/>
        <v>23138</v>
      </c>
      <c r="L3202" s="51">
        <v>20250509</v>
      </c>
    </row>
    <row r="3203" spans="1:12" x14ac:dyDescent="0.25">
      <c r="A3203" s="50" t="s">
        <v>4510</v>
      </c>
      <c r="B3203" s="30" t="s">
        <v>137</v>
      </c>
      <c r="C3203" s="30" t="s">
        <v>163</v>
      </c>
      <c r="D3203" s="30" t="s">
        <v>164</v>
      </c>
      <c r="E3203" s="30" t="s">
        <v>454</v>
      </c>
      <c r="F3203" s="30">
        <v>1</v>
      </c>
      <c r="G3203" s="44">
        <v>23138</v>
      </c>
      <c r="H3203" s="30"/>
      <c r="I3203" s="44"/>
      <c r="J3203" s="44"/>
      <c r="K3203" s="44">
        <f t="shared" si="105"/>
        <v>23138</v>
      </c>
      <c r="L3203" s="51">
        <v>20250509</v>
      </c>
    </row>
    <row r="3204" spans="1:12" x14ac:dyDescent="0.25">
      <c r="A3204" s="50" t="s">
        <v>4482</v>
      </c>
      <c r="B3204" s="30" t="s">
        <v>137</v>
      </c>
      <c r="C3204" s="30" t="s">
        <v>505</v>
      </c>
      <c r="D3204" s="30" t="s">
        <v>24</v>
      </c>
      <c r="E3204" s="30" t="s">
        <v>1355</v>
      </c>
      <c r="F3204" s="30">
        <v>1</v>
      </c>
      <c r="G3204" s="44">
        <v>23138</v>
      </c>
      <c r="H3204" s="30"/>
      <c r="I3204" s="44"/>
      <c r="J3204" s="44"/>
      <c r="K3204" s="44">
        <f t="shared" si="105"/>
        <v>23138</v>
      </c>
      <c r="L3204" s="51">
        <v>20250513</v>
      </c>
    </row>
    <row r="3205" spans="1:12" x14ac:dyDescent="0.25">
      <c r="A3205" s="50" t="s">
        <v>4483</v>
      </c>
      <c r="B3205" s="30" t="s">
        <v>137</v>
      </c>
      <c r="C3205" s="30" t="s">
        <v>505</v>
      </c>
      <c r="D3205" s="30" t="s">
        <v>24</v>
      </c>
      <c r="E3205" s="30" t="s">
        <v>506</v>
      </c>
      <c r="F3205" s="30">
        <v>1</v>
      </c>
      <c r="G3205" s="44">
        <v>23138</v>
      </c>
      <c r="H3205" s="30"/>
      <c r="I3205" s="44"/>
      <c r="J3205" s="44"/>
      <c r="K3205" s="44">
        <f t="shared" si="105"/>
        <v>23138</v>
      </c>
      <c r="L3205" s="51">
        <v>20250513</v>
      </c>
    </row>
    <row r="3206" spans="1:12" x14ac:dyDescent="0.25">
      <c r="A3206" s="50" t="s">
        <v>4484</v>
      </c>
      <c r="B3206" s="30" t="s">
        <v>137</v>
      </c>
      <c r="C3206" s="30" t="s">
        <v>505</v>
      </c>
      <c r="D3206" s="30" t="s">
        <v>24</v>
      </c>
      <c r="E3206" s="30" t="s">
        <v>927</v>
      </c>
      <c r="F3206" s="30">
        <v>1</v>
      </c>
      <c r="G3206" s="44">
        <v>23138</v>
      </c>
      <c r="H3206" s="30"/>
      <c r="I3206" s="44"/>
      <c r="J3206" s="44"/>
      <c r="K3206" s="44">
        <f t="shared" si="105"/>
        <v>23138</v>
      </c>
      <c r="L3206" s="51">
        <v>20250513</v>
      </c>
    </row>
    <row r="3207" spans="1:12" x14ac:dyDescent="0.25">
      <c r="A3207" s="50" t="s">
        <v>4485</v>
      </c>
      <c r="B3207" s="30" t="s">
        <v>137</v>
      </c>
      <c r="C3207" s="30" t="s">
        <v>505</v>
      </c>
      <c r="D3207" s="30" t="s">
        <v>24</v>
      </c>
      <c r="E3207" s="30" t="s">
        <v>929</v>
      </c>
      <c r="F3207" s="30">
        <v>1</v>
      </c>
      <c r="G3207" s="44">
        <v>23138</v>
      </c>
      <c r="H3207" s="30"/>
      <c r="I3207" s="44"/>
      <c r="J3207" s="44"/>
      <c r="K3207" s="44">
        <f t="shared" si="105"/>
        <v>23138</v>
      </c>
      <c r="L3207" s="51">
        <v>20250513</v>
      </c>
    </row>
    <row r="3208" spans="1:12" x14ac:dyDescent="0.25">
      <c r="A3208" s="50" t="s">
        <v>4486</v>
      </c>
      <c r="B3208" s="30" t="s">
        <v>137</v>
      </c>
      <c r="C3208" s="30" t="s">
        <v>505</v>
      </c>
      <c r="D3208" s="30" t="s">
        <v>24</v>
      </c>
      <c r="E3208" s="30" t="s">
        <v>931</v>
      </c>
      <c r="F3208" s="30">
        <v>1</v>
      </c>
      <c r="G3208" s="44">
        <v>23138</v>
      </c>
      <c r="H3208" s="30"/>
      <c r="I3208" s="44"/>
      <c r="J3208" s="44"/>
      <c r="K3208" s="44">
        <f t="shared" si="105"/>
        <v>23138</v>
      </c>
      <c r="L3208" s="51">
        <v>20250513</v>
      </c>
    </row>
    <row r="3209" spans="1:12" x14ac:dyDescent="0.25">
      <c r="A3209" s="50" t="s">
        <v>4477</v>
      </c>
      <c r="B3209" s="30" t="s">
        <v>137</v>
      </c>
      <c r="C3209" s="30" t="s">
        <v>172</v>
      </c>
      <c r="D3209" s="30" t="s">
        <v>703</v>
      </c>
      <c r="E3209" s="30" t="s">
        <v>704</v>
      </c>
      <c r="F3209" s="30">
        <v>1</v>
      </c>
      <c r="G3209" s="44">
        <v>23138</v>
      </c>
      <c r="H3209" s="30"/>
      <c r="I3209" s="44"/>
      <c r="J3209" s="44"/>
      <c r="K3209" s="44">
        <f t="shared" si="105"/>
        <v>23138</v>
      </c>
      <c r="L3209" s="51">
        <v>20250513</v>
      </c>
    </row>
    <row r="3210" spans="1:12" x14ac:dyDescent="0.25">
      <c r="A3210" s="50" t="s">
        <v>4478</v>
      </c>
      <c r="B3210" s="30" t="s">
        <v>137</v>
      </c>
      <c r="C3210" s="30" t="s">
        <v>172</v>
      </c>
      <c r="D3210" s="30" t="s">
        <v>703</v>
      </c>
      <c r="E3210" s="30" t="s">
        <v>706</v>
      </c>
      <c r="F3210" s="30">
        <v>1</v>
      </c>
      <c r="G3210" s="44">
        <v>23138</v>
      </c>
      <c r="H3210" s="30"/>
      <c r="I3210" s="44"/>
      <c r="J3210" s="44"/>
      <c r="K3210" s="44">
        <f t="shared" si="105"/>
        <v>23138</v>
      </c>
      <c r="L3210" s="51">
        <v>20250513</v>
      </c>
    </row>
    <row r="3211" spans="1:12" x14ac:dyDescent="0.25">
      <c r="A3211" s="50" t="s">
        <v>4479</v>
      </c>
      <c r="B3211" s="30" t="s">
        <v>137</v>
      </c>
      <c r="C3211" s="30" t="s">
        <v>172</v>
      </c>
      <c r="D3211" s="30" t="s">
        <v>703</v>
      </c>
      <c r="E3211" s="30" t="s">
        <v>708</v>
      </c>
      <c r="F3211" s="30">
        <v>1</v>
      </c>
      <c r="G3211" s="44">
        <v>23138</v>
      </c>
      <c r="H3211" s="30"/>
      <c r="I3211" s="44"/>
      <c r="J3211" s="44"/>
      <c r="K3211" s="44">
        <f t="shared" si="105"/>
        <v>23138</v>
      </c>
      <c r="L3211" s="51">
        <v>20250513</v>
      </c>
    </row>
    <row r="3212" spans="1:12" x14ac:dyDescent="0.25">
      <c r="A3212" s="50" t="s">
        <v>4480</v>
      </c>
      <c r="B3212" s="30" t="s">
        <v>137</v>
      </c>
      <c r="C3212" s="30" t="s">
        <v>172</v>
      </c>
      <c r="D3212" s="30" t="s">
        <v>703</v>
      </c>
      <c r="E3212" s="30" t="s">
        <v>710</v>
      </c>
      <c r="F3212" s="30">
        <v>1</v>
      </c>
      <c r="G3212" s="44">
        <v>23138</v>
      </c>
      <c r="H3212" s="30"/>
      <c r="I3212" s="44"/>
      <c r="J3212" s="44"/>
      <c r="K3212" s="44">
        <f t="shared" si="105"/>
        <v>23138</v>
      </c>
      <c r="L3212" s="51">
        <v>20250513</v>
      </c>
    </row>
    <row r="3213" spans="1:12" x14ac:dyDescent="0.25">
      <c r="A3213" s="50" t="s">
        <v>4472</v>
      </c>
      <c r="B3213" s="30" t="s">
        <v>137</v>
      </c>
      <c r="C3213" s="30" t="s">
        <v>3984</v>
      </c>
      <c r="D3213" s="30" t="s">
        <v>713</v>
      </c>
      <c r="E3213" s="30" t="s">
        <v>714</v>
      </c>
      <c r="F3213" s="30">
        <v>1</v>
      </c>
      <c r="G3213" s="44">
        <v>23138</v>
      </c>
      <c r="H3213" s="30"/>
      <c r="I3213" s="44"/>
      <c r="J3213" s="44"/>
      <c r="K3213" s="44">
        <f t="shared" ref="K3213:K3244" si="106">J3213+G3213</f>
        <v>23138</v>
      </c>
      <c r="L3213" s="51">
        <v>20250513</v>
      </c>
    </row>
    <row r="3214" spans="1:12" x14ac:dyDescent="0.25">
      <c r="A3214" s="50" t="s">
        <v>4473</v>
      </c>
      <c r="B3214" s="30" t="s">
        <v>137</v>
      </c>
      <c r="C3214" s="30" t="s">
        <v>3984</v>
      </c>
      <c r="D3214" s="30" t="s">
        <v>713</v>
      </c>
      <c r="E3214" s="30" t="s">
        <v>716</v>
      </c>
      <c r="F3214" s="30">
        <v>1</v>
      </c>
      <c r="G3214" s="44">
        <v>23138</v>
      </c>
      <c r="H3214" s="30"/>
      <c r="I3214" s="44"/>
      <c r="J3214" s="44"/>
      <c r="K3214" s="44">
        <f t="shared" si="106"/>
        <v>23138</v>
      </c>
      <c r="L3214" s="51">
        <v>20250513</v>
      </c>
    </row>
    <row r="3215" spans="1:12" x14ac:dyDescent="0.25">
      <c r="A3215" s="50" t="s">
        <v>4474</v>
      </c>
      <c r="B3215" s="30" t="s">
        <v>137</v>
      </c>
      <c r="C3215" s="30" t="s">
        <v>3984</v>
      </c>
      <c r="D3215" s="30" t="s">
        <v>713</v>
      </c>
      <c r="E3215" s="30" t="s">
        <v>718</v>
      </c>
      <c r="F3215" s="30">
        <v>1</v>
      </c>
      <c r="G3215" s="44">
        <v>23138</v>
      </c>
      <c r="H3215" s="30"/>
      <c r="I3215" s="44"/>
      <c r="J3215" s="44"/>
      <c r="K3215" s="44">
        <f t="shared" si="106"/>
        <v>23138</v>
      </c>
      <c r="L3215" s="51">
        <v>20250513</v>
      </c>
    </row>
    <row r="3216" spans="1:12" x14ac:dyDescent="0.25">
      <c r="A3216" s="50" t="s">
        <v>4475</v>
      </c>
      <c r="B3216" s="30" t="s">
        <v>137</v>
      </c>
      <c r="C3216" s="30" t="s">
        <v>3984</v>
      </c>
      <c r="D3216" s="30" t="s">
        <v>713</v>
      </c>
      <c r="E3216" s="30" t="s">
        <v>720</v>
      </c>
      <c r="F3216" s="30">
        <v>1</v>
      </c>
      <c r="G3216" s="44">
        <v>23138</v>
      </c>
      <c r="H3216" s="30"/>
      <c r="I3216" s="44"/>
      <c r="J3216" s="44"/>
      <c r="K3216" s="44">
        <f t="shared" si="106"/>
        <v>23138</v>
      </c>
      <c r="L3216" s="51">
        <v>20250513</v>
      </c>
    </row>
    <row r="3217" spans="1:12" x14ac:dyDescent="0.25">
      <c r="A3217" s="50" t="s">
        <v>4476</v>
      </c>
      <c r="B3217" s="30" t="s">
        <v>137</v>
      </c>
      <c r="C3217" s="30" t="s">
        <v>3984</v>
      </c>
      <c r="D3217" s="30" t="s">
        <v>713</v>
      </c>
      <c r="E3217" s="30" t="s">
        <v>722</v>
      </c>
      <c r="F3217" s="30">
        <v>1</v>
      </c>
      <c r="G3217" s="44">
        <v>23138</v>
      </c>
      <c r="H3217" s="30"/>
      <c r="I3217" s="44"/>
      <c r="J3217" s="44"/>
      <c r="K3217" s="44">
        <f t="shared" si="106"/>
        <v>23138</v>
      </c>
      <c r="L3217" s="51">
        <v>20250513</v>
      </c>
    </row>
    <row r="3218" spans="1:12" x14ac:dyDescent="0.25">
      <c r="A3218" s="50" t="s">
        <v>4464</v>
      </c>
      <c r="B3218" s="30" t="s">
        <v>137</v>
      </c>
      <c r="C3218" s="30" t="s">
        <v>646</v>
      </c>
      <c r="D3218" s="30" t="s">
        <v>24</v>
      </c>
      <c r="E3218" s="30" t="s">
        <v>3677</v>
      </c>
      <c r="F3218" s="30">
        <v>1</v>
      </c>
      <c r="G3218" s="44">
        <v>23138</v>
      </c>
      <c r="H3218" s="30"/>
      <c r="I3218" s="44"/>
      <c r="J3218" s="44"/>
      <c r="K3218" s="44">
        <f t="shared" si="106"/>
        <v>23138</v>
      </c>
      <c r="L3218" s="51">
        <v>20250515</v>
      </c>
    </row>
    <row r="3219" spans="1:12" x14ac:dyDescent="0.25">
      <c r="A3219" s="50" t="s">
        <v>4465</v>
      </c>
      <c r="B3219" s="30" t="s">
        <v>137</v>
      </c>
      <c r="C3219" s="30" t="s">
        <v>646</v>
      </c>
      <c r="D3219" s="30" t="s">
        <v>24</v>
      </c>
      <c r="E3219" s="30" t="s">
        <v>670</v>
      </c>
      <c r="F3219" s="30">
        <v>1</v>
      </c>
      <c r="G3219" s="44">
        <v>23138</v>
      </c>
      <c r="H3219" s="30"/>
      <c r="I3219" s="44"/>
      <c r="J3219" s="44"/>
      <c r="K3219" s="44">
        <f t="shared" si="106"/>
        <v>23138</v>
      </c>
      <c r="L3219" s="51">
        <v>20250515</v>
      </c>
    </row>
    <row r="3220" spans="1:12" x14ac:dyDescent="0.25">
      <c r="A3220" s="50" t="s">
        <v>4468</v>
      </c>
      <c r="B3220" s="30" t="s">
        <v>137</v>
      </c>
      <c r="C3220" s="30" t="s">
        <v>2111</v>
      </c>
      <c r="D3220" s="30" t="s">
        <v>2244</v>
      </c>
      <c r="E3220" s="30" t="s">
        <v>2245</v>
      </c>
      <c r="F3220" s="30">
        <v>1</v>
      </c>
      <c r="G3220" s="44">
        <v>23138</v>
      </c>
      <c r="H3220" s="30"/>
      <c r="I3220" s="44"/>
      <c r="J3220" s="44"/>
      <c r="K3220" s="44">
        <f t="shared" si="106"/>
        <v>23138</v>
      </c>
      <c r="L3220" s="51">
        <v>20250516</v>
      </c>
    </row>
    <row r="3221" spans="1:12" x14ac:dyDescent="0.25">
      <c r="A3221" s="50" t="s">
        <v>4469</v>
      </c>
      <c r="B3221" s="30" t="s">
        <v>137</v>
      </c>
      <c r="C3221" s="30" t="s">
        <v>2111</v>
      </c>
      <c r="D3221" s="30" t="s">
        <v>2244</v>
      </c>
      <c r="E3221" s="30" t="s">
        <v>2247</v>
      </c>
      <c r="F3221" s="30">
        <v>1</v>
      </c>
      <c r="G3221" s="44">
        <v>23138</v>
      </c>
      <c r="H3221" s="30"/>
      <c r="I3221" s="44"/>
      <c r="J3221" s="44"/>
      <c r="K3221" s="44">
        <f t="shared" si="106"/>
        <v>23138</v>
      </c>
      <c r="L3221" s="51">
        <v>20250516</v>
      </c>
    </row>
    <row r="3222" spans="1:12" x14ac:dyDescent="0.25">
      <c r="A3222" s="50" t="s">
        <v>4466</v>
      </c>
      <c r="B3222" s="30" t="s">
        <v>137</v>
      </c>
      <c r="C3222" s="30" t="s">
        <v>899</v>
      </c>
      <c r="D3222" s="30" t="s">
        <v>24</v>
      </c>
      <c r="E3222" s="30" t="s">
        <v>900</v>
      </c>
      <c r="F3222" s="30">
        <v>1</v>
      </c>
      <c r="G3222" s="44">
        <v>23138</v>
      </c>
      <c r="H3222" s="30"/>
      <c r="I3222" s="44"/>
      <c r="J3222" s="44"/>
      <c r="K3222" s="44">
        <f t="shared" si="106"/>
        <v>23138</v>
      </c>
      <c r="L3222" s="51">
        <v>20250516</v>
      </c>
    </row>
    <row r="3223" spans="1:12" x14ac:dyDescent="0.25">
      <c r="A3223" s="50" t="s">
        <v>4467</v>
      </c>
      <c r="B3223" s="30" t="s">
        <v>137</v>
      </c>
      <c r="C3223" s="30" t="s">
        <v>899</v>
      </c>
      <c r="D3223" s="30" t="s">
        <v>24</v>
      </c>
      <c r="E3223" s="30" t="s">
        <v>902</v>
      </c>
      <c r="F3223" s="30">
        <v>1</v>
      </c>
      <c r="G3223" s="44">
        <v>23138</v>
      </c>
      <c r="H3223" s="30"/>
      <c r="I3223" s="44"/>
      <c r="J3223" s="44"/>
      <c r="K3223" s="44">
        <f t="shared" si="106"/>
        <v>23138</v>
      </c>
      <c r="L3223" s="51">
        <v>20250516</v>
      </c>
    </row>
    <row r="3224" spans="1:12" x14ac:dyDescent="0.25">
      <c r="A3224" s="50" t="s">
        <v>4450</v>
      </c>
      <c r="B3224" s="30" t="s">
        <v>137</v>
      </c>
      <c r="C3224" s="30" t="s">
        <v>29</v>
      </c>
      <c r="D3224" s="30" t="s">
        <v>24</v>
      </c>
      <c r="E3224" s="30" t="s">
        <v>2051</v>
      </c>
      <c r="F3224" s="30">
        <v>1</v>
      </c>
      <c r="G3224" s="44">
        <v>23138</v>
      </c>
      <c r="H3224" s="30"/>
      <c r="I3224" s="44"/>
      <c r="J3224" s="44"/>
      <c r="K3224" s="44">
        <f t="shared" si="106"/>
        <v>23138</v>
      </c>
      <c r="L3224" s="51">
        <v>20250526</v>
      </c>
    </row>
    <row r="3225" spans="1:12" x14ac:dyDescent="0.25">
      <c r="A3225" s="50" t="s">
        <v>4451</v>
      </c>
      <c r="B3225" s="30" t="s">
        <v>137</v>
      </c>
      <c r="C3225" s="30" t="s">
        <v>29</v>
      </c>
      <c r="D3225" s="30" t="s">
        <v>24</v>
      </c>
      <c r="E3225" s="30" t="s">
        <v>208</v>
      </c>
      <c r="F3225" s="30">
        <v>1</v>
      </c>
      <c r="G3225" s="44">
        <v>23138</v>
      </c>
      <c r="H3225" s="30"/>
      <c r="I3225" s="44"/>
      <c r="J3225" s="44"/>
      <c r="K3225" s="44">
        <f t="shared" si="106"/>
        <v>23138</v>
      </c>
      <c r="L3225" s="51">
        <v>20250526</v>
      </c>
    </row>
    <row r="3226" spans="1:12" x14ac:dyDescent="0.25">
      <c r="A3226" s="50" t="s">
        <v>4452</v>
      </c>
      <c r="B3226" s="30" t="s">
        <v>137</v>
      </c>
      <c r="C3226" s="30" t="s">
        <v>29</v>
      </c>
      <c r="D3226" s="30" t="s">
        <v>24</v>
      </c>
      <c r="E3226" s="30" t="s">
        <v>632</v>
      </c>
      <c r="F3226" s="30">
        <v>1</v>
      </c>
      <c r="G3226" s="44">
        <v>23138</v>
      </c>
      <c r="H3226" s="30"/>
      <c r="I3226" s="44"/>
      <c r="J3226" s="44"/>
      <c r="K3226" s="44">
        <f t="shared" si="106"/>
        <v>23138</v>
      </c>
      <c r="L3226" s="51">
        <v>20250526</v>
      </c>
    </row>
    <row r="3227" spans="1:12" x14ac:dyDescent="0.25">
      <c r="A3227" s="50" t="s">
        <v>4453</v>
      </c>
      <c r="B3227" s="30" t="s">
        <v>137</v>
      </c>
      <c r="C3227" s="30" t="s">
        <v>29</v>
      </c>
      <c r="D3227" s="30" t="s">
        <v>24</v>
      </c>
      <c r="E3227" s="30" t="s">
        <v>1497</v>
      </c>
      <c r="F3227" s="30">
        <v>1</v>
      </c>
      <c r="G3227" s="44">
        <v>23138</v>
      </c>
      <c r="H3227" s="30"/>
      <c r="I3227" s="44"/>
      <c r="J3227" s="44"/>
      <c r="K3227" s="44">
        <f t="shared" si="106"/>
        <v>23138</v>
      </c>
      <c r="L3227" s="51">
        <v>20250526</v>
      </c>
    </row>
    <row r="3228" spans="1:12" x14ac:dyDescent="0.25">
      <c r="A3228" s="50" t="s">
        <v>4446</v>
      </c>
      <c r="B3228" s="30" t="s">
        <v>137</v>
      </c>
      <c r="C3228" s="30" t="s">
        <v>29</v>
      </c>
      <c r="D3228" s="30" t="s">
        <v>30</v>
      </c>
      <c r="E3228" s="30" t="s">
        <v>578</v>
      </c>
      <c r="F3228" s="30">
        <v>1</v>
      </c>
      <c r="G3228" s="44">
        <v>23138</v>
      </c>
      <c r="H3228" s="30"/>
      <c r="I3228" s="44"/>
      <c r="J3228" s="44"/>
      <c r="K3228" s="44">
        <f t="shared" si="106"/>
        <v>23138</v>
      </c>
      <c r="L3228" s="51">
        <v>20250527</v>
      </c>
    </row>
    <row r="3229" spans="1:12" x14ac:dyDescent="0.25">
      <c r="A3229" s="50" t="s">
        <v>4447</v>
      </c>
      <c r="B3229" s="30" t="s">
        <v>137</v>
      </c>
      <c r="C3229" s="30" t="s">
        <v>29</v>
      </c>
      <c r="D3229" s="30" t="s">
        <v>30</v>
      </c>
      <c r="E3229" s="30" t="s">
        <v>4021</v>
      </c>
      <c r="F3229" s="30">
        <v>1</v>
      </c>
      <c r="G3229" s="44">
        <v>23138</v>
      </c>
      <c r="H3229" s="30"/>
      <c r="I3229" s="44"/>
      <c r="J3229" s="44"/>
      <c r="K3229" s="44">
        <f t="shared" si="106"/>
        <v>23138</v>
      </c>
      <c r="L3229" s="51">
        <v>20250527</v>
      </c>
    </row>
    <row r="3230" spans="1:12" x14ac:dyDescent="0.25">
      <c r="A3230" s="50" t="s">
        <v>4448</v>
      </c>
      <c r="B3230" s="30" t="s">
        <v>137</v>
      </c>
      <c r="C3230" s="30" t="s">
        <v>29</v>
      </c>
      <c r="D3230" s="30" t="s">
        <v>30</v>
      </c>
      <c r="E3230" s="30" t="s">
        <v>509</v>
      </c>
      <c r="F3230" s="30">
        <v>1</v>
      </c>
      <c r="G3230" s="44">
        <v>23138</v>
      </c>
      <c r="H3230" s="30"/>
      <c r="I3230" s="44"/>
      <c r="J3230" s="44"/>
      <c r="K3230" s="44">
        <f t="shared" si="106"/>
        <v>23138</v>
      </c>
      <c r="L3230" s="51">
        <v>20250527</v>
      </c>
    </row>
    <row r="3231" spans="1:12" x14ac:dyDescent="0.25">
      <c r="A3231" s="50" t="s">
        <v>4449</v>
      </c>
      <c r="B3231" s="30" t="s">
        <v>137</v>
      </c>
      <c r="C3231" s="30" t="s">
        <v>29</v>
      </c>
      <c r="D3231" s="30" t="s">
        <v>24</v>
      </c>
      <c r="E3231" s="30" t="s">
        <v>1003</v>
      </c>
      <c r="F3231" s="30">
        <v>1</v>
      </c>
      <c r="G3231" s="44">
        <v>23138</v>
      </c>
      <c r="H3231" s="30"/>
      <c r="I3231" s="44"/>
      <c r="J3231" s="44"/>
      <c r="K3231" s="44">
        <f t="shared" si="106"/>
        <v>23138</v>
      </c>
      <c r="L3231" s="51">
        <v>20250528</v>
      </c>
    </row>
    <row r="3232" spans="1:12" x14ac:dyDescent="0.25">
      <c r="A3232" s="50" t="s">
        <v>4439</v>
      </c>
      <c r="B3232" s="30" t="s">
        <v>137</v>
      </c>
      <c r="C3232" s="30" t="s">
        <v>29</v>
      </c>
      <c r="D3232" s="30" t="s">
        <v>1385</v>
      </c>
      <c r="E3232" s="30" t="s">
        <v>209</v>
      </c>
      <c r="F3232" s="30">
        <v>1</v>
      </c>
      <c r="G3232" s="44">
        <v>23138</v>
      </c>
      <c r="H3232" s="30"/>
      <c r="I3232" s="44"/>
      <c r="J3232" s="44"/>
      <c r="K3232" s="44">
        <f t="shared" si="106"/>
        <v>23138</v>
      </c>
      <c r="L3232" s="51">
        <v>20250528</v>
      </c>
    </row>
    <row r="3233" spans="1:12" x14ac:dyDescent="0.25">
      <c r="A3233" s="50" t="s">
        <v>4440</v>
      </c>
      <c r="B3233" s="30" t="s">
        <v>137</v>
      </c>
      <c r="C3233" s="30" t="s">
        <v>29</v>
      </c>
      <c r="D3233" s="30" t="s">
        <v>1385</v>
      </c>
      <c r="E3233" s="30" t="s">
        <v>4125</v>
      </c>
      <c r="F3233" s="30">
        <v>1</v>
      </c>
      <c r="G3233" s="44">
        <v>23138</v>
      </c>
      <c r="H3233" s="30"/>
      <c r="I3233" s="44"/>
      <c r="J3233" s="44"/>
      <c r="K3233" s="44">
        <f t="shared" si="106"/>
        <v>23138</v>
      </c>
      <c r="L3233" s="51">
        <v>20250528</v>
      </c>
    </row>
    <row r="3234" spans="1:12" x14ac:dyDescent="0.25">
      <c r="A3234" s="50" t="s">
        <v>4441</v>
      </c>
      <c r="B3234" s="30" t="s">
        <v>137</v>
      </c>
      <c r="C3234" s="30" t="s">
        <v>29</v>
      </c>
      <c r="D3234" s="30" t="s">
        <v>1385</v>
      </c>
      <c r="E3234" s="30" t="s">
        <v>2101</v>
      </c>
      <c r="F3234" s="30">
        <v>1</v>
      </c>
      <c r="G3234" s="44">
        <v>23138</v>
      </c>
      <c r="H3234" s="30"/>
      <c r="I3234" s="44"/>
      <c r="J3234" s="44"/>
      <c r="K3234" s="44">
        <f t="shared" si="106"/>
        <v>23138</v>
      </c>
      <c r="L3234" s="51">
        <v>20250528</v>
      </c>
    </row>
    <row r="3235" spans="1:12" x14ac:dyDescent="0.25">
      <c r="A3235" s="50" t="s">
        <v>4442</v>
      </c>
      <c r="B3235" s="30" t="s">
        <v>137</v>
      </c>
      <c r="C3235" s="30" t="s">
        <v>29</v>
      </c>
      <c r="D3235" s="30" t="s">
        <v>1385</v>
      </c>
      <c r="E3235" s="30" t="s">
        <v>3889</v>
      </c>
      <c r="F3235" s="30">
        <v>1</v>
      </c>
      <c r="G3235" s="44">
        <v>23138</v>
      </c>
      <c r="H3235" s="30"/>
      <c r="I3235" s="44"/>
      <c r="J3235" s="44"/>
      <c r="K3235" s="44">
        <f t="shared" si="106"/>
        <v>23138</v>
      </c>
      <c r="L3235" s="51">
        <v>20250528</v>
      </c>
    </row>
    <row r="3236" spans="1:12" x14ac:dyDescent="0.25">
      <c r="A3236" s="50" t="s">
        <v>4443</v>
      </c>
      <c r="B3236" s="30" t="s">
        <v>137</v>
      </c>
      <c r="C3236" s="30" t="s">
        <v>29</v>
      </c>
      <c r="D3236" s="30" t="s">
        <v>1385</v>
      </c>
      <c r="E3236" s="30" t="s">
        <v>3335</v>
      </c>
      <c r="F3236" s="30">
        <v>1</v>
      </c>
      <c r="G3236" s="44">
        <v>23138</v>
      </c>
      <c r="H3236" s="30"/>
      <c r="I3236" s="44"/>
      <c r="J3236" s="44"/>
      <c r="K3236" s="44">
        <f t="shared" si="106"/>
        <v>23138</v>
      </c>
      <c r="L3236" s="51">
        <v>20250528</v>
      </c>
    </row>
    <row r="3237" spans="1:12" x14ac:dyDescent="0.25">
      <c r="A3237" s="50" t="s">
        <v>4444</v>
      </c>
      <c r="B3237" s="30" t="s">
        <v>137</v>
      </c>
      <c r="C3237" s="30" t="s">
        <v>29</v>
      </c>
      <c r="D3237" s="30" t="s">
        <v>1385</v>
      </c>
      <c r="E3237" s="30" t="s">
        <v>1127</v>
      </c>
      <c r="F3237" s="30">
        <v>1</v>
      </c>
      <c r="G3237" s="44">
        <v>23138</v>
      </c>
      <c r="H3237" s="30"/>
      <c r="I3237" s="44"/>
      <c r="J3237" s="44"/>
      <c r="K3237" s="44">
        <f t="shared" si="106"/>
        <v>23138</v>
      </c>
      <c r="L3237" s="51">
        <v>20250528</v>
      </c>
    </row>
    <row r="3238" spans="1:12" x14ac:dyDescent="0.25">
      <c r="A3238" s="50" t="s">
        <v>4445</v>
      </c>
      <c r="B3238" s="30" t="s">
        <v>137</v>
      </c>
      <c r="C3238" s="30" t="s">
        <v>29</v>
      </c>
      <c r="D3238" s="30" t="s">
        <v>1385</v>
      </c>
      <c r="E3238" s="30" t="s">
        <v>1320</v>
      </c>
      <c r="F3238" s="30">
        <v>1</v>
      </c>
      <c r="G3238" s="44">
        <v>23138</v>
      </c>
      <c r="H3238" s="30"/>
      <c r="I3238" s="44"/>
      <c r="J3238" s="44"/>
      <c r="K3238" s="44">
        <f t="shared" si="106"/>
        <v>23138</v>
      </c>
      <c r="L3238" s="51">
        <v>20250528</v>
      </c>
    </row>
    <row r="3239" spans="1:12" x14ac:dyDescent="0.25">
      <c r="A3239" s="50" t="s">
        <v>4438</v>
      </c>
      <c r="B3239" s="30" t="s">
        <v>137</v>
      </c>
      <c r="C3239" s="30" t="s">
        <v>29</v>
      </c>
      <c r="D3239" s="30" t="s">
        <v>1385</v>
      </c>
      <c r="E3239" s="30" t="s">
        <v>628</v>
      </c>
      <c r="F3239" s="30">
        <v>1</v>
      </c>
      <c r="G3239" s="44">
        <v>23138</v>
      </c>
      <c r="H3239" s="30"/>
      <c r="I3239" s="44"/>
      <c r="J3239" s="44"/>
      <c r="K3239" s="44">
        <f t="shared" si="106"/>
        <v>23138</v>
      </c>
      <c r="L3239" s="51">
        <v>20250529</v>
      </c>
    </row>
    <row r="3240" spans="1:12" x14ac:dyDescent="0.25">
      <c r="A3240" s="50" t="s">
        <v>4432</v>
      </c>
      <c r="B3240" s="30" t="s">
        <v>137</v>
      </c>
      <c r="C3240" s="30" t="s">
        <v>654</v>
      </c>
      <c r="D3240" s="30" t="s">
        <v>1470</v>
      </c>
      <c r="E3240" s="30" t="s">
        <v>3913</v>
      </c>
      <c r="F3240" s="30">
        <v>1</v>
      </c>
      <c r="G3240" s="44">
        <v>23138</v>
      </c>
      <c r="H3240" s="30"/>
      <c r="I3240" s="44"/>
      <c r="J3240" s="44"/>
      <c r="K3240" s="44">
        <f t="shared" si="106"/>
        <v>23138</v>
      </c>
      <c r="L3240" s="51">
        <v>20250531</v>
      </c>
    </row>
    <row r="3241" spans="1:12" x14ac:dyDescent="0.25">
      <c r="A3241" s="50" t="s">
        <v>4433</v>
      </c>
      <c r="B3241" s="30" t="s">
        <v>137</v>
      </c>
      <c r="C3241" s="30" t="s">
        <v>654</v>
      </c>
      <c r="D3241" s="30" t="s">
        <v>1470</v>
      </c>
      <c r="E3241" s="30" t="s">
        <v>3917</v>
      </c>
      <c r="F3241" s="30">
        <v>1</v>
      </c>
      <c r="G3241" s="44">
        <v>23138</v>
      </c>
      <c r="H3241" s="30"/>
      <c r="I3241" s="44"/>
      <c r="J3241" s="44"/>
      <c r="K3241" s="44">
        <f t="shared" si="106"/>
        <v>23138</v>
      </c>
      <c r="L3241" s="51">
        <v>20250531</v>
      </c>
    </row>
    <row r="3242" spans="1:12" x14ac:dyDescent="0.25">
      <c r="A3242" s="50" t="s">
        <v>4434</v>
      </c>
      <c r="B3242" s="30" t="s">
        <v>137</v>
      </c>
      <c r="C3242" s="30" t="s">
        <v>654</v>
      </c>
      <c r="D3242" s="30" t="s">
        <v>1470</v>
      </c>
      <c r="E3242" s="30" t="s">
        <v>3915</v>
      </c>
      <c r="F3242" s="30">
        <v>1</v>
      </c>
      <c r="G3242" s="44">
        <v>23138</v>
      </c>
      <c r="H3242" s="30"/>
      <c r="I3242" s="44"/>
      <c r="J3242" s="44"/>
      <c r="K3242" s="44">
        <f t="shared" si="106"/>
        <v>23138</v>
      </c>
      <c r="L3242" s="51">
        <v>20250531</v>
      </c>
    </row>
    <row r="3243" spans="1:12" x14ac:dyDescent="0.25">
      <c r="A3243" s="50" t="s">
        <v>4435</v>
      </c>
      <c r="B3243" s="30" t="s">
        <v>137</v>
      </c>
      <c r="C3243" s="30" t="s">
        <v>654</v>
      </c>
      <c r="D3243" s="30" t="s">
        <v>1470</v>
      </c>
      <c r="E3243" s="30" t="s">
        <v>3907</v>
      </c>
      <c r="F3243" s="30">
        <v>1</v>
      </c>
      <c r="G3243" s="44">
        <v>23138</v>
      </c>
      <c r="H3243" s="30"/>
      <c r="I3243" s="44"/>
      <c r="J3243" s="44"/>
      <c r="K3243" s="44">
        <f t="shared" si="106"/>
        <v>23138</v>
      </c>
      <c r="L3243" s="51">
        <v>20250531</v>
      </c>
    </row>
    <row r="3244" spans="1:12" x14ac:dyDescent="0.25">
      <c r="A3244" s="50" t="s">
        <v>4436</v>
      </c>
      <c r="B3244" s="30" t="s">
        <v>137</v>
      </c>
      <c r="C3244" s="30" t="s">
        <v>654</v>
      </c>
      <c r="D3244" s="30" t="s">
        <v>1470</v>
      </c>
      <c r="E3244" s="30" t="s">
        <v>3911</v>
      </c>
      <c r="F3244" s="30">
        <v>1</v>
      </c>
      <c r="G3244" s="44">
        <v>23138</v>
      </c>
      <c r="H3244" s="30"/>
      <c r="I3244" s="44"/>
      <c r="J3244" s="44"/>
      <c r="K3244" s="44">
        <f t="shared" si="106"/>
        <v>23138</v>
      </c>
      <c r="L3244" s="51">
        <v>20250531</v>
      </c>
    </row>
    <row r="3245" spans="1:12" x14ac:dyDescent="0.25">
      <c r="A3245" s="50" t="s">
        <v>4437</v>
      </c>
      <c r="B3245" s="30" t="s">
        <v>137</v>
      </c>
      <c r="C3245" s="30" t="s">
        <v>654</v>
      </c>
      <c r="D3245" s="30" t="s">
        <v>1470</v>
      </c>
      <c r="E3245" s="30" t="s">
        <v>3909</v>
      </c>
      <c r="F3245" s="30">
        <v>1</v>
      </c>
      <c r="G3245" s="44">
        <v>23138</v>
      </c>
      <c r="H3245" s="30"/>
      <c r="I3245" s="44"/>
      <c r="J3245" s="44"/>
      <c r="K3245" s="44">
        <f t="shared" ref="K3245:K3249" si="107">J3245+G3245</f>
        <v>23138</v>
      </c>
      <c r="L3245" s="51">
        <v>20250531</v>
      </c>
    </row>
    <row r="3246" spans="1:12" x14ac:dyDescent="0.25">
      <c r="A3246" s="50" t="s">
        <v>4431</v>
      </c>
      <c r="B3246" s="30" t="s">
        <v>137</v>
      </c>
      <c r="C3246" s="30" t="s">
        <v>1021</v>
      </c>
      <c r="D3246" s="30" t="s">
        <v>95</v>
      </c>
      <c r="E3246" s="30" t="s">
        <v>1022</v>
      </c>
      <c r="F3246" s="30">
        <v>1</v>
      </c>
      <c r="G3246" s="44">
        <v>23138</v>
      </c>
      <c r="H3246" s="30"/>
      <c r="I3246" s="44"/>
      <c r="J3246" s="44"/>
      <c r="K3246" s="44">
        <f t="shared" si="107"/>
        <v>23138</v>
      </c>
      <c r="L3246" s="51">
        <v>20250531</v>
      </c>
    </row>
    <row r="3247" spans="1:12" x14ac:dyDescent="0.25">
      <c r="A3247" s="50" t="s">
        <v>4523</v>
      </c>
      <c r="B3247" s="30" t="s">
        <v>137</v>
      </c>
      <c r="C3247" s="30" t="s">
        <v>29</v>
      </c>
      <c r="D3247" s="30" t="s">
        <v>3494</v>
      </c>
      <c r="E3247" s="30" t="s">
        <v>3631</v>
      </c>
      <c r="F3247" s="30">
        <v>1</v>
      </c>
      <c r="G3247" s="44">
        <v>23138</v>
      </c>
      <c r="H3247" s="30"/>
      <c r="I3247" s="44"/>
      <c r="J3247" s="44"/>
      <c r="K3247" s="44">
        <f t="shared" si="107"/>
        <v>23138</v>
      </c>
      <c r="L3247" s="51">
        <v>20250531</v>
      </c>
    </row>
    <row r="3248" spans="1:12" x14ac:dyDescent="0.25">
      <c r="A3248" s="50" t="s">
        <v>4524</v>
      </c>
      <c r="B3248" s="30" t="s">
        <v>137</v>
      </c>
      <c r="C3248" s="30" t="s">
        <v>29</v>
      </c>
      <c r="D3248" s="30" t="s">
        <v>3494</v>
      </c>
      <c r="E3248" s="30" t="s">
        <v>2348</v>
      </c>
      <c r="F3248" s="30">
        <v>1</v>
      </c>
      <c r="G3248" s="44">
        <v>23138</v>
      </c>
      <c r="H3248" s="30"/>
      <c r="I3248" s="44"/>
      <c r="J3248" s="44"/>
      <c r="K3248" s="44">
        <f t="shared" si="107"/>
        <v>23138</v>
      </c>
      <c r="L3248" s="51">
        <v>20250531</v>
      </c>
    </row>
    <row r="3249" spans="1:14" ht="15.75" thickBot="1" x14ac:dyDescent="0.3">
      <c r="A3249" s="54" t="s">
        <v>4525</v>
      </c>
      <c r="B3249" s="36" t="s">
        <v>137</v>
      </c>
      <c r="C3249" s="36" t="s">
        <v>29</v>
      </c>
      <c r="D3249" s="36" t="s">
        <v>3494</v>
      </c>
      <c r="E3249" s="36" t="s">
        <v>4526</v>
      </c>
      <c r="F3249" s="36">
        <v>1</v>
      </c>
      <c r="G3249" s="65">
        <v>23138</v>
      </c>
      <c r="H3249" s="36"/>
      <c r="I3249" s="65"/>
      <c r="J3249" s="65"/>
      <c r="K3249" s="65">
        <f t="shared" si="107"/>
        <v>23138</v>
      </c>
      <c r="L3249" s="55">
        <v>20250531</v>
      </c>
    </row>
    <row r="3254" spans="1:14" x14ac:dyDescent="0.25">
      <c r="A3254"/>
      <c r="B3254"/>
      <c r="C3254"/>
      <c r="D3254"/>
      <c r="E3254"/>
      <c r="G3254"/>
      <c r="H3254"/>
      <c r="I3254"/>
      <c r="J3254"/>
      <c r="K3254"/>
      <c r="M3254"/>
      <c r="N3254"/>
    </row>
    <row r="3255" spans="1:14" ht="15.75" thickBot="1" x14ac:dyDescent="0.3">
      <c r="A3255" s="69" t="s">
        <v>0</v>
      </c>
      <c r="B3255" s="70" t="s">
        <v>1</v>
      </c>
      <c r="C3255" s="70" t="s">
        <v>2</v>
      </c>
      <c r="D3255" s="70" t="s">
        <v>3</v>
      </c>
      <c r="E3255" s="70" t="s">
        <v>4</v>
      </c>
      <c r="F3255" s="70"/>
      <c r="G3255" s="71" t="s">
        <v>6</v>
      </c>
      <c r="H3255" s="70" t="s">
        <v>7</v>
      </c>
      <c r="I3255" s="71" t="s">
        <v>8</v>
      </c>
      <c r="J3255" s="71" t="s">
        <v>9</v>
      </c>
      <c r="K3255" s="71" t="s">
        <v>10</v>
      </c>
      <c r="L3255" s="72" t="s">
        <v>5</v>
      </c>
    </row>
    <row r="3256" spans="1:14" x14ac:dyDescent="0.25">
      <c r="A3256" s="77" t="s">
        <v>4621</v>
      </c>
      <c r="B3256" s="78" t="s">
        <v>11</v>
      </c>
      <c r="C3256" s="78" t="s">
        <v>337</v>
      </c>
      <c r="D3256" s="78" t="s">
        <v>162</v>
      </c>
      <c r="E3256" s="78" t="s">
        <v>1528</v>
      </c>
      <c r="F3256" s="78">
        <v>1</v>
      </c>
      <c r="G3256" s="79">
        <v>46293</v>
      </c>
      <c r="H3256" s="78">
        <v>69</v>
      </c>
      <c r="I3256" s="79">
        <v>559.20000000000005</v>
      </c>
      <c r="J3256" s="79">
        <f>I3256*H3256</f>
        <v>38584.800000000003</v>
      </c>
      <c r="K3256" s="79">
        <f>J3256+G3256</f>
        <v>84877.8</v>
      </c>
      <c r="L3256" s="80">
        <v>20250602</v>
      </c>
    </row>
    <row r="3257" spans="1:14" x14ac:dyDescent="0.25">
      <c r="A3257" s="52" t="s">
        <v>4622</v>
      </c>
      <c r="B3257" s="32" t="s">
        <v>11</v>
      </c>
      <c r="C3257" s="32" t="s">
        <v>28</v>
      </c>
      <c r="D3257" s="32" t="s">
        <v>383</v>
      </c>
      <c r="E3257" s="32" t="s">
        <v>384</v>
      </c>
      <c r="F3257" s="32">
        <v>1</v>
      </c>
      <c r="G3257" s="45">
        <v>46293</v>
      </c>
      <c r="H3257" s="32">
        <v>354</v>
      </c>
      <c r="I3257" s="45">
        <v>559.20000000000005</v>
      </c>
      <c r="J3257" s="45">
        <f t="shared" ref="J3257:J3283" si="108">I3257*H3257</f>
        <v>197956.80000000002</v>
      </c>
      <c r="K3257" s="45">
        <f t="shared" ref="K3257:K3322" si="109">J3257+G3257</f>
        <v>244249.80000000002</v>
      </c>
      <c r="L3257" s="53">
        <v>20250603</v>
      </c>
    </row>
    <row r="3258" spans="1:14" x14ac:dyDescent="0.25">
      <c r="A3258" s="50" t="s">
        <v>4623</v>
      </c>
      <c r="B3258" s="30" t="s">
        <v>11</v>
      </c>
      <c r="C3258" s="30" t="s">
        <v>28</v>
      </c>
      <c r="D3258" s="30" t="s">
        <v>1703</v>
      </c>
      <c r="E3258" s="30" t="s">
        <v>2436</v>
      </c>
      <c r="F3258" s="30">
        <v>1</v>
      </c>
      <c r="G3258" s="44">
        <v>46293</v>
      </c>
      <c r="H3258" s="30"/>
      <c r="I3258" s="44"/>
      <c r="J3258" s="44"/>
      <c r="K3258" s="44">
        <f t="shared" si="109"/>
        <v>46293</v>
      </c>
      <c r="L3258" s="51">
        <v>20250603</v>
      </c>
    </row>
    <row r="3259" spans="1:14" x14ac:dyDescent="0.25">
      <c r="A3259" s="50" t="s">
        <v>4620</v>
      </c>
      <c r="B3259" s="30" t="s">
        <v>11</v>
      </c>
      <c r="C3259" s="30" t="s">
        <v>2111</v>
      </c>
      <c r="D3259" s="30" t="s">
        <v>2244</v>
      </c>
      <c r="E3259" s="30" t="s">
        <v>2245</v>
      </c>
      <c r="F3259" s="30">
        <v>1</v>
      </c>
      <c r="G3259" s="44">
        <v>46293</v>
      </c>
      <c r="H3259" s="30"/>
      <c r="I3259" s="44"/>
      <c r="J3259" s="44"/>
      <c r="K3259" s="44">
        <f t="shared" si="109"/>
        <v>46293</v>
      </c>
      <c r="L3259" s="51">
        <v>20250604</v>
      </c>
    </row>
    <row r="3260" spans="1:14" x14ac:dyDescent="0.25">
      <c r="A3260" s="50" t="s">
        <v>4606</v>
      </c>
      <c r="B3260" s="30" t="s">
        <v>11</v>
      </c>
      <c r="C3260" s="30" t="s">
        <v>29</v>
      </c>
      <c r="D3260" s="30" t="s">
        <v>1656</v>
      </c>
      <c r="E3260" s="30" t="s">
        <v>2300</v>
      </c>
      <c r="F3260" s="30">
        <v>1</v>
      </c>
      <c r="G3260" s="44">
        <v>46293</v>
      </c>
      <c r="H3260" s="30"/>
      <c r="I3260" s="44"/>
      <c r="J3260" s="44"/>
      <c r="K3260" s="44">
        <f t="shared" si="109"/>
        <v>46293</v>
      </c>
      <c r="L3260" s="51">
        <v>20250605</v>
      </c>
    </row>
    <row r="3261" spans="1:14" x14ac:dyDescent="0.25">
      <c r="A3261" s="50" t="s">
        <v>4611</v>
      </c>
      <c r="B3261" s="30" t="s">
        <v>11</v>
      </c>
      <c r="C3261" s="30" t="s">
        <v>1450</v>
      </c>
      <c r="D3261" s="30" t="s">
        <v>1592</v>
      </c>
      <c r="E3261" s="30" t="s">
        <v>3208</v>
      </c>
      <c r="F3261" s="30">
        <v>1</v>
      </c>
      <c r="G3261" s="44">
        <v>46293</v>
      </c>
      <c r="H3261" s="30"/>
      <c r="I3261" s="44"/>
      <c r="J3261" s="44"/>
      <c r="K3261" s="44">
        <f t="shared" si="109"/>
        <v>46293</v>
      </c>
      <c r="L3261" s="51">
        <v>20250605</v>
      </c>
    </row>
    <row r="3262" spans="1:14" x14ac:dyDescent="0.25">
      <c r="A3262" s="50" t="s">
        <v>4613</v>
      </c>
      <c r="B3262" s="30" t="s">
        <v>11</v>
      </c>
      <c r="C3262" s="30" t="s">
        <v>29</v>
      </c>
      <c r="D3262" s="30" t="s">
        <v>1656</v>
      </c>
      <c r="E3262" s="30" t="s">
        <v>2324</v>
      </c>
      <c r="F3262" s="30">
        <v>1</v>
      </c>
      <c r="G3262" s="44">
        <v>46293</v>
      </c>
      <c r="H3262" s="30"/>
      <c r="I3262" s="44"/>
      <c r="J3262" s="44"/>
      <c r="K3262" s="44">
        <f t="shared" si="109"/>
        <v>46293</v>
      </c>
      <c r="L3262" s="51">
        <v>20250605</v>
      </c>
    </row>
    <row r="3263" spans="1:14" x14ac:dyDescent="0.25">
      <c r="A3263" s="50" t="s">
        <v>4608</v>
      </c>
      <c r="B3263" s="30" t="s">
        <v>11</v>
      </c>
      <c r="C3263" s="30" t="s">
        <v>94</v>
      </c>
      <c r="D3263" s="30" t="s">
        <v>95</v>
      </c>
      <c r="E3263" s="30" t="s">
        <v>3473</v>
      </c>
      <c r="F3263" s="30">
        <v>1</v>
      </c>
      <c r="G3263" s="44">
        <v>46293</v>
      </c>
      <c r="H3263" s="30"/>
      <c r="I3263" s="44"/>
      <c r="J3263" s="44"/>
      <c r="K3263" s="44">
        <f t="shared" si="109"/>
        <v>46293</v>
      </c>
      <c r="L3263" s="51">
        <v>20250606</v>
      </c>
    </row>
    <row r="3264" spans="1:14" x14ac:dyDescent="0.25">
      <c r="A3264" s="52" t="s">
        <v>4615</v>
      </c>
      <c r="B3264" s="32" t="s">
        <v>11</v>
      </c>
      <c r="C3264" s="32" t="s">
        <v>26</v>
      </c>
      <c r="D3264" s="32" t="s">
        <v>224</v>
      </c>
      <c r="E3264" s="32" t="s">
        <v>316</v>
      </c>
      <c r="F3264" s="32">
        <v>1</v>
      </c>
      <c r="G3264" s="45">
        <v>46293</v>
      </c>
      <c r="H3264" s="32">
        <v>58</v>
      </c>
      <c r="I3264" s="45">
        <v>559.20000000000005</v>
      </c>
      <c r="J3264" s="45">
        <f t="shared" si="108"/>
        <v>32433.600000000002</v>
      </c>
      <c r="K3264" s="45">
        <f t="shared" si="109"/>
        <v>78726.600000000006</v>
      </c>
      <c r="L3264" s="53">
        <v>20250606</v>
      </c>
    </row>
    <row r="3265" spans="1:12" x14ac:dyDescent="0.25">
      <c r="A3265" s="52" t="s">
        <v>4618</v>
      </c>
      <c r="B3265" s="32" t="s">
        <v>11</v>
      </c>
      <c r="C3265" s="32" t="s">
        <v>26</v>
      </c>
      <c r="D3265" s="32" t="s">
        <v>226</v>
      </c>
      <c r="E3265" s="32" t="s">
        <v>730</v>
      </c>
      <c r="F3265" s="32">
        <v>1</v>
      </c>
      <c r="G3265" s="45">
        <v>46293</v>
      </c>
      <c r="H3265" s="32">
        <v>149</v>
      </c>
      <c r="I3265" s="45">
        <v>559.20000000000005</v>
      </c>
      <c r="J3265" s="45">
        <f t="shared" si="108"/>
        <v>83320.800000000003</v>
      </c>
      <c r="K3265" s="45">
        <f t="shared" si="109"/>
        <v>129613.8</v>
      </c>
      <c r="L3265" s="53">
        <v>20250606</v>
      </c>
    </row>
    <row r="3266" spans="1:12" x14ac:dyDescent="0.25">
      <c r="A3266" s="50" t="s">
        <v>4616</v>
      </c>
      <c r="B3266" s="30" t="s">
        <v>11</v>
      </c>
      <c r="C3266" s="30" t="s">
        <v>364</v>
      </c>
      <c r="D3266" s="30" t="s">
        <v>24</v>
      </c>
      <c r="E3266" s="30" t="s">
        <v>365</v>
      </c>
      <c r="F3266" s="30">
        <v>1</v>
      </c>
      <c r="G3266" s="44">
        <v>46293</v>
      </c>
      <c r="H3266" s="30"/>
      <c r="I3266" s="44"/>
      <c r="J3266" s="44"/>
      <c r="K3266" s="44">
        <f t="shared" si="109"/>
        <v>46293</v>
      </c>
      <c r="L3266" s="51">
        <v>20250609</v>
      </c>
    </row>
    <row r="3267" spans="1:12" x14ac:dyDescent="0.25">
      <c r="A3267" s="50" t="s">
        <v>4595</v>
      </c>
      <c r="B3267" s="30" t="s">
        <v>1209</v>
      </c>
      <c r="C3267" s="30" t="s">
        <v>919</v>
      </c>
      <c r="D3267" s="30" t="s">
        <v>95</v>
      </c>
      <c r="E3267" s="30" t="s">
        <v>4596</v>
      </c>
      <c r="F3267" s="30">
        <v>1</v>
      </c>
      <c r="G3267" s="44">
        <v>46293</v>
      </c>
      <c r="H3267" s="30"/>
      <c r="I3267" s="44"/>
      <c r="J3267" s="44"/>
      <c r="K3267" s="44">
        <f t="shared" si="109"/>
        <v>46293</v>
      </c>
      <c r="L3267" s="51">
        <v>20250610</v>
      </c>
    </row>
    <row r="3268" spans="1:12" x14ac:dyDescent="0.25">
      <c r="A3268" s="50" t="s">
        <v>4610</v>
      </c>
      <c r="B3268" s="30" t="s">
        <v>11</v>
      </c>
      <c r="C3268" s="30" t="s">
        <v>94</v>
      </c>
      <c r="D3268" s="30" t="s">
        <v>95</v>
      </c>
      <c r="E3268" s="30" t="s">
        <v>1085</v>
      </c>
      <c r="F3268" s="30">
        <v>1</v>
      </c>
      <c r="G3268" s="44">
        <v>46293</v>
      </c>
      <c r="H3268" s="30"/>
      <c r="I3268" s="44"/>
      <c r="J3268" s="44"/>
      <c r="K3268" s="44">
        <f t="shared" si="109"/>
        <v>46293</v>
      </c>
      <c r="L3268" s="51">
        <v>20250610</v>
      </c>
    </row>
    <row r="3269" spans="1:12" x14ac:dyDescent="0.25">
      <c r="A3269" s="50" t="s">
        <v>4597</v>
      </c>
      <c r="B3269" s="30" t="s">
        <v>11</v>
      </c>
      <c r="C3269" s="30" t="s">
        <v>28</v>
      </c>
      <c r="D3269" s="30" t="s">
        <v>1099</v>
      </c>
      <c r="E3269" s="30" t="s">
        <v>1100</v>
      </c>
      <c r="F3269" s="30">
        <v>1</v>
      </c>
      <c r="G3269" s="44">
        <v>46293</v>
      </c>
      <c r="H3269" s="30"/>
      <c r="I3269" s="44"/>
      <c r="J3269" s="44"/>
      <c r="K3269" s="44">
        <f t="shared" si="109"/>
        <v>46293</v>
      </c>
      <c r="L3269" s="51">
        <v>20250611</v>
      </c>
    </row>
    <row r="3270" spans="1:12" x14ac:dyDescent="0.25">
      <c r="A3270" s="50" t="s">
        <v>4617</v>
      </c>
      <c r="B3270" s="30" t="s">
        <v>11</v>
      </c>
      <c r="C3270" s="30" t="s">
        <v>29</v>
      </c>
      <c r="D3270" s="30" t="s">
        <v>1385</v>
      </c>
      <c r="E3270" s="30" t="s">
        <v>1320</v>
      </c>
      <c r="F3270" s="30">
        <v>1</v>
      </c>
      <c r="G3270" s="44">
        <v>46293</v>
      </c>
      <c r="H3270" s="30"/>
      <c r="I3270" s="44"/>
      <c r="J3270" s="44"/>
      <c r="K3270" s="44">
        <f t="shared" si="109"/>
        <v>46293</v>
      </c>
      <c r="L3270" s="51">
        <v>20250611</v>
      </c>
    </row>
    <row r="3271" spans="1:12" x14ac:dyDescent="0.25">
      <c r="A3271" s="50" t="s">
        <v>4590</v>
      </c>
      <c r="B3271" s="30" t="s">
        <v>1209</v>
      </c>
      <c r="C3271" s="30" t="s">
        <v>1393</v>
      </c>
      <c r="D3271" s="30" t="s">
        <v>1394</v>
      </c>
      <c r="E3271" s="30" t="s">
        <v>4591</v>
      </c>
      <c r="F3271" s="30">
        <v>1</v>
      </c>
      <c r="G3271" s="44">
        <v>46293</v>
      </c>
      <c r="H3271" s="30"/>
      <c r="I3271" s="44"/>
      <c r="J3271" s="44"/>
      <c r="K3271" s="44">
        <f t="shared" si="109"/>
        <v>46293</v>
      </c>
      <c r="L3271" s="51">
        <v>20250612</v>
      </c>
    </row>
    <row r="3272" spans="1:12" x14ac:dyDescent="0.25">
      <c r="A3272" s="50" t="s">
        <v>4605</v>
      </c>
      <c r="B3272" s="30" t="s">
        <v>11</v>
      </c>
      <c r="C3272" s="30" t="s">
        <v>134</v>
      </c>
      <c r="D3272" s="30" t="s">
        <v>135</v>
      </c>
      <c r="E3272" s="30" t="s">
        <v>136</v>
      </c>
      <c r="F3272" s="30">
        <v>1</v>
      </c>
      <c r="G3272" s="44">
        <v>46293</v>
      </c>
      <c r="H3272" s="30"/>
      <c r="I3272" s="44"/>
      <c r="J3272" s="44"/>
      <c r="K3272" s="44">
        <f t="shared" si="109"/>
        <v>46293</v>
      </c>
      <c r="L3272" s="51">
        <v>20250612</v>
      </c>
    </row>
    <row r="3273" spans="1:12" x14ac:dyDescent="0.25">
      <c r="A3273" s="50" t="s">
        <v>4607</v>
      </c>
      <c r="B3273" s="30" t="s">
        <v>11</v>
      </c>
      <c r="C3273" s="30" t="s">
        <v>28</v>
      </c>
      <c r="D3273" s="30" t="s">
        <v>1714</v>
      </c>
      <c r="E3273" s="30" t="s">
        <v>2434</v>
      </c>
      <c r="F3273" s="30">
        <v>1</v>
      </c>
      <c r="G3273" s="44">
        <v>46293</v>
      </c>
      <c r="H3273" s="30"/>
      <c r="I3273" s="44"/>
      <c r="J3273" s="44"/>
      <c r="K3273" s="44">
        <f t="shared" si="109"/>
        <v>46293</v>
      </c>
      <c r="L3273" s="51">
        <v>20250612</v>
      </c>
    </row>
    <row r="3274" spans="1:12" x14ac:dyDescent="0.25">
      <c r="A3274" s="50" t="s">
        <v>4612</v>
      </c>
      <c r="B3274" s="30" t="s">
        <v>11</v>
      </c>
      <c r="C3274" s="30" t="s">
        <v>134</v>
      </c>
      <c r="D3274" s="30" t="s">
        <v>135</v>
      </c>
      <c r="E3274" s="30" t="s">
        <v>3513</v>
      </c>
      <c r="F3274" s="30">
        <v>1</v>
      </c>
      <c r="G3274" s="44">
        <v>46293</v>
      </c>
      <c r="H3274" s="30"/>
      <c r="I3274" s="44"/>
      <c r="J3274" s="44"/>
      <c r="K3274" s="44">
        <f t="shared" si="109"/>
        <v>46293</v>
      </c>
      <c r="L3274" s="51">
        <v>20250612</v>
      </c>
    </row>
    <row r="3275" spans="1:12" x14ac:dyDescent="0.25">
      <c r="A3275" s="50" t="s">
        <v>4586</v>
      </c>
      <c r="B3275" s="30" t="s">
        <v>11</v>
      </c>
      <c r="C3275" s="30" t="s">
        <v>1021</v>
      </c>
      <c r="D3275" s="30" t="s">
        <v>95</v>
      </c>
      <c r="E3275" s="30" t="s">
        <v>1022</v>
      </c>
      <c r="F3275" s="30">
        <v>1</v>
      </c>
      <c r="G3275" s="44">
        <v>46293</v>
      </c>
      <c r="H3275" s="30"/>
      <c r="I3275" s="44"/>
      <c r="J3275" s="44"/>
      <c r="K3275" s="44">
        <f t="shared" si="109"/>
        <v>46293</v>
      </c>
      <c r="L3275" s="51">
        <v>20250613</v>
      </c>
    </row>
    <row r="3276" spans="1:12" x14ac:dyDescent="0.25">
      <c r="A3276" s="50" t="s">
        <v>4588</v>
      </c>
      <c r="B3276" s="30" t="s">
        <v>11</v>
      </c>
      <c r="C3276" s="30" t="s">
        <v>4190</v>
      </c>
      <c r="D3276" s="30" t="s">
        <v>4191</v>
      </c>
      <c r="E3276" s="30" t="s">
        <v>4202</v>
      </c>
      <c r="F3276" s="30">
        <v>1</v>
      </c>
      <c r="G3276" s="44">
        <v>46293</v>
      </c>
      <c r="H3276" s="30"/>
      <c r="I3276" s="44"/>
      <c r="J3276" s="44"/>
      <c r="K3276" s="44">
        <f t="shared" si="109"/>
        <v>46293</v>
      </c>
      <c r="L3276" s="51">
        <v>20250613</v>
      </c>
    </row>
    <row r="3277" spans="1:12" x14ac:dyDescent="0.25">
      <c r="A3277" s="50" t="s">
        <v>4589</v>
      </c>
      <c r="B3277" s="30" t="s">
        <v>11</v>
      </c>
      <c r="C3277" s="30" t="s">
        <v>4190</v>
      </c>
      <c r="D3277" s="30" t="s">
        <v>4191</v>
      </c>
      <c r="E3277" s="30" t="s">
        <v>4212</v>
      </c>
      <c r="F3277" s="30">
        <v>1</v>
      </c>
      <c r="G3277" s="44">
        <v>46293</v>
      </c>
      <c r="H3277" s="30"/>
      <c r="I3277" s="44"/>
      <c r="J3277" s="44"/>
      <c r="K3277" s="44">
        <f t="shared" si="109"/>
        <v>46293</v>
      </c>
      <c r="L3277" s="51">
        <v>20250613</v>
      </c>
    </row>
    <row r="3278" spans="1:12" x14ac:dyDescent="0.25">
      <c r="A3278" s="50" t="s">
        <v>4609</v>
      </c>
      <c r="B3278" s="30" t="s">
        <v>11</v>
      </c>
      <c r="C3278" s="30" t="s">
        <v>94</v>
      </c>
      <c r="D3278" s="30" t="s">
        <v>95</v>
      </c>
      <c r="E3278" s="30" t="s">
        <v>4051</v>
      </c>
      <c r="F3278" s="30">
        <v>1</v>
      </c>
      <c r="G3278" s="44">
        <v>46293</v>
      </c>
      <c r="H3278" s="30"/>
      <c r="I3278" s="44"/>
      <c r="J3278" s="44"/>
      <c r="K3278" s="44">
        <f t="shared" si="109"/>
        <v>46293</v>
      </c>
      <c r="L3278" s="51">
        <v>20250613</v>
      </c>
    </row>
    <row r="3279" spans="1:12" x14ac:dyDescent="0.25">
      <c r="A3279" s="50" t="s">
        <v>4583</v>
      </c>
      <c r="B3279" s="30" t="s">
        <v>11</v>
      </c>
      <c r="C3279" s="30" t="s">
        <v>94</v>
      </c>
      <c r="D3279" s="30" t="s">
        <v>95</v>
      </c>
      <c r="E3279" s="30" t="s">
        <v>436</v>
      </c>
      <c r="F3279" s="30">
        <v>1</v>
      </c>
      <c r="G3279" s="44">
        <v>46293</v>
      </c>
      <c r="H3279" s="30"/>
      <c r="I3279" s="44"/>
      <c r="J3279" s="44"/>
      <c r="K3279" s="44">
        <f t="shared" si="109"/>
        <v>46293</v>
      </c>
      <c r="L3279" s="51">
        <v>20250618</v>
      </c>
    </row>
    <row r="3280" spans="1:12" x14ac:dyDescent="0.25">
      <c r="A3280" s="50" t="s">
        <v>4584</v>
      </c>
      <c r="B3280" s="30" t="s">
        <v>11</v>
      </c>
      <c r="C3280" s="30" t="s">
        <v>94</v>
      </c>
      <c r="D3280" s="30" t="s">
        <v>95</v>
      </c>
      <c r="E3280" s="30" t="s">
        <v>1085</v>
      </c>
      <c r="F3280" s="30">
        <v>1</v>
      </c>
      <c r="G3280" s="44">
        <v>46293</v>
      </c>
      <c r="H3280" s="30"/>
      <c r="I3280" s="44"/>
      <c r="J3280" s="44"/>
      <c r="K3280" s="44">
        <f t="shared" si="109"/>
        <v>46293</v>
      </c>
      <c r="L3280" s="51">
        <v>20250618</v>
      </c>
    </row>
    <row r="3281" spans="1:12" x14ac:dyDescent="0.25">
      <c r="A3281" s="50" t="s">
        <v>4587</v>
      </c>
      <c r="B3281" s="30" t="s">
        <v>11</v>
      </c>
      <c r="C3281" s="30" t="s">
        <v>364</v>
      </c>
      <c r="D3281" s="30" t="s">
        <v>24</v>
      </c>
      <c r="E3281" s="30" t="s">
        <v>532</v>
      </c>
      <c r="F3281" s="30">
        <v>1</v>
      </c>
      <c r="G3281" s="44">
        <v>46293</v>
      </c>
      <c r="H3281" s="30"/>
      <c r="I3281" s="44"/>
      <c r="J3281" s="44"/>
      <c r="K3281" s="44">
        <f t="shared" si="109"/>
        <v>46293</v>
      </c>
      <c r="L3281" s="51">
        <v>20250618</v>
      </c>
    </row>
    <row r="3282" spans="1:12" x14ac:dyDescent="0.25">
      <c r="A3282" s="50" t="s">
        <v>4592</v>
      </c>
      <c r="B3282" s="30" t="s">
        <v>11</v>
      </c>
      <c r="C3282" s="30" t="s">
        <v>364</v>
      </c>
      <c r="D3282" s="30" t="s">
        <v>24</v>
      </c>
      <c r="E3282" s="30" t="s">
        <v>365</v>
      </c>
      <c r="F3282" s="30">
        <v>1</v>
      </c>
      <c r="G3282" s="44">
        <v>46293</v>
      </c>
      <c r="H3282" s="30"/>
      <c r="I3282" s="44"/>
      <c r="J3282" s="44"/>
      <c r="K3282" s="44">
        <f t="shared" si="109"/>
        <v>46293</v>
      </c>
      <c r="L3282" s="51">
        <v>20250618</v>
      </c>
    </row>
    <row r="3283" spans="1:12" x14ac:dyDescent="0.25">
      <c r="A3283" s="52" t="s">
        <v>4614</v>
      </c>
      <c r="B3283" s="32" t="s">
        <v>11</v>
      </c>
      <c r="C3283" s="32" t="s">
        <v>163</v>
      </c>
      <c r="D3283" s="32" t="s">
        <v>164</v>
      </c>
      <c r="E3283" s="32" t="s">
        <v>4254</v>
      </c>
      <c r="F3283" s="32">
        <v>1</v>
      </c>
      <c r="G3283" s="45">
        <v>46293</v>
      </c>
      <c r="H3283" s="32">
        <v>126</v>
      </c>
      <c r="I3283" s="45">
        <v>559.20000000000005</v>
      </c>
      <c r="J3283" s="45">
        <f t="shared" si="108"/>
        <v>70459.200000000012</v>
      </c>
      <c r="K3283" s="45">
        <f t="shared" si="109"/>
        <v>116752.20000000001</v>
      </c>
      <c r="L3283" s="53">
        <v>20250618</v>
      </c>
    </row>
    <row r="3284" spans="1:12" x14ac:dyDescent="0.25">
      <c r="A3284" s="50" t="s">
        <v>4577</v>
      </c>
      <c r="B3284" s="30" t="s">
        <v>11</v>
      </c>
      <c r="C3284" s="30" t="s">
        <v>94</v>
      </c>
      <c r="D3284" s="30" t="s">
        <v>95</v>
      </c>
      <c r="E3284" s="30" t="s">
        <v>3473</v>
      </c>
      <c r="F3284" s="30">
        <v>1</v>
      </c>
      <c r="G3284" s="44">
        <v>46293</v>
      </c>
      <c r="H3284" s="30"/>
      <c r="I3284" s="44"/>
      <c r="J3284" s="44"/>
      <c r="K3284" s="44">
        <f t="shared" si="109"/>
        <v>46293</v>
      </c>
      <c r="L3284" s="51">
        <v>20250619</v>
      </c>
    </row>
    <row r="3285" spans="1:12" x14ac:dyDescent="0.25">
      <c r="A3285" s="50" t="s">
        <v>4578</v>
      </c>
      <c r="B3285" s="30" t="s">
        <v>11</v>
      </c>
      <c r="C3285" s="30" t="s">
        <v>29</v>
      </c>
      <c r="D3285" s="30" t="s">
        <v>1656</v>
      </c>
      <c r="E3285" s="30" t="s">
        <v>2300</v>
      </c>
      <c r="F3285" s="30">
        <v>1</v>
      </c>
      <c r="G3285" s="44">
        <v>46293</v>
      </c>
      <c r="H3285" s="30"/>
      <c r="I3285" s="44"/>
      <c r="J3285" s="44"/>
      <c r="K3285" s="44">
        <f t="shared" si="109"/>
        <v>46293</v>
      </c>
      <c r="L3285" s="51">
        <v>20250619</v>
      </c>
    </row>
    <row r="3286" spans="1:12" x14ac:dyDescent="0.25">
      <c r="A3286" s="50" t="s">
        <v>4579</v>
      </c>
      <c r="B3286" s="30" t="s">
        <v>11</v>
      </c>
      <c r="C3286" s="30" t="s">
        <v>1234</v>
      </c>
      <c r="D3286" s="30" t="s">
        <v>24</v>
      </c>
      <c r="E3286" s="30" t="s">
        <v>2045</v>
      </c>
      <c r="F3286" s="30">
        <v>1</v>
      </c>
      <c r="G3286" s="44">
        <v>46293</v>
      </c>
      <c r="H3286" s="30"/>
      <c r="I3286" s="44"/>
      <c r="J3286" s="44"/>
      <c r="K3286" s="44">
        <f t="shared" si="109"/>
        <v>46293</v>
      </c>
      <c r="L3286" s="51">
        <v>20250619</v>
      </c>
    </row>
    <row r="3287" spans="1:12" x14ac:dyDescent="0.25">
      <c r="A3287" s="50" t="s">
        <v>4582</v>
      </c>
      <c r="B3287" s="30" t="s">
        <v>11</v>
      </c>
      <c r="C3287" s="30" t="s">
        <v>993</v>
      </c>
      <c r="D3287" s="30" t="s">
        <v>994</v>
      </c>
      <c r="E3287" s="30" t="s">
        <v>1015</v>
      </c>
      <c r="F3287" s="30">
        <v>1</v>
      </c>
      <c r="G3287" s="44">
        <v>46293</v>
      </c>
      <c r="H3287" s="30"/>
      <c r="I3287" s="44"/>
      <c r="J3287" s="44"/>
      <c r="K3287" s="44">
        <f t="shared" si="109"/>
        <v>46293</v>
      </c>
      <c r="L3287" s="51">
        <v>20250619</v>
      </c>
    </row>
    <row r="3288" spans="1:12" x14ac:dyDescent="0.25">
      <c r="A3288" s="50" t="s">
        <v>4585</v>
      </c>
      <c r="B3288" s="30" t="s">
        <v>11</v>
      </c>
      <c r="C3288" s="30" t="s">
        <v>505</v>
      </c>
      <c r="D3288" s="30" t="s">
        <v>24</v>
      </c>
      <c r="E3288" s="30" t="s">
        <v>931</v>
      </c>
      <c r="F3288" s="30">
        <v>1</v>
      </c>
      <c r="G3288" s="44">
        <v>46293</v>
      </c>
      <c r="H3288" s="30"/>
      <c r="I3288" s="44"/>
      <c r="J3288" s="44"/>
      <c r="K3288" s="44">
        <f t="shared" si="109"/>
        <v>46293</v>
      </c>
      <c r="L3288" s="51">
        <v>20250619</v>
      </c>
    </row>
    <row r="3289" spans="1:12" x14ac:dyDescent="0.25">
      <c r="A3289" s="50" t="s">
        <v>4581</v>
      </c>
      <c r="B3289" s="30" t="s">
        <v>11</v>
      </c>
      <c r="C3289" s="30" t="s">
        <v>1021</v>
      </c>
      <c r="D3289" s="30" t="s">
        <v>95</v>
      </c>
      <c r="E3289" s="30" t="s">
        <v>1022</v>
      </c>
      <c r="F3289" s="30">
        <v>1</v>
      </c>
      <c r="G3289" s="44">
        <v>46293</v>
      </c>
      <c r="H3289" s="30"/>
      <c r="I3289" s="44"/>
      <c r="J3289" s="44"/>
      <c r="K3289" s="44">
        <f t="shared" si="109"/>
        <v>46293</v>
      </c>
      <c r="L3289" s="51">
        <v>20250623</v>
      </c>
    </row>
    <row r="3290" spans="1:12" x14ac:dyDescent="0.25">
      <c r="A3290" s="50" t="s">
        <v>4556</v>
      </c>
      <c r="B3290" s="30" t="s">
        <v>11</v>
      </c>
      <c r="C3290" s="30" t="s">
        <v>26</v>
      </c>
      <c r="D3290" s="30" t="s">
        <v>2874</v>
      </c>
      <c r="E3290" s="30" t="s">
        <v>2877</v>
      </c>
      <c r="F3290" s="30">
        <v>1</v>
      </c>
      <c r="G3290" s="44">
        <v>46293</v>
      </c>
      <c r="H3290" s="30"/>
      <c r="I3290" s="44"/>
      <c r="J3290" s="44"/>
      <c r="K3290" s="44">
        <f t="shared" si="109"/>
        <v>46293</v>
      </c>
      <c r="L3290" s="51">
        <v>20250624</v>
      </c>
    </row>
    <row r="3291" spans="1:12" x14ac:dyDescent="0.25">
      <c r="A3291" s="50" t="s">
        <v>4557</v>
      </c>
      <c r="B3291" s="30" t="s">
        <v>11</v>
      </c>
      <c r="C3291" s="30" t="s">
        <v>26</v>
      </c>
      <c r="D3291" s="30" t="s">
        <v>2874</v>
      </c>
      <c r="E3291" s="30" t="s">
        <v>2890</v>
      </c>
      <c r="F3291" s="30">
        <v>1</v>
      </c>
      <c r="G3291" s="44">
        <v>46293</v>
      </c>
      <c r="H3291" s="30"/>
      <c r="I3291" s="44"/>
      <c r="J3291" s="44"/>
      <c r="K3291" s="44">
        <f t="shared" si="109"/>
        <v>46293</v>
      </c>
      <c r="L3291" s="51">
        <v>20250624</v>
      </c>
    </row>
    <row r="3292" spans="1:12" x14ac:dyDescent="0.25">
      <c r="A3292" s="50" t="s">
        <v>4572</v>
      </c>
      <c r="B3292" s="30" t="s">
        <v>11</v>
      </c>
      <c r="C3292" s="30" t="s">
        <v>94</v>
      </c>
      <c r="D3292" s="30" t="s">
        <v>95</v>
      </c>
      <c r="E3292" s="30" t="s">
        <v>2674</v>
      </c>
      <c r="F3292" s="30">
        <v>1</v>
      </c>
      <c r="G3292" s="44">
        <v>46293</v>
      </c>
      <c r="H3292" s="30"/>
      <c r="I3292" s="44"/>
      <c r="J3292" s="44"/>
      <c r="K3292" s="44">
        <f t="shared" si="109"/>
        <v>46293</v>
      </c>
      <c r="L3292" s="51">
        <v>20250624</v>
      </c>
    </row>
    <row r="3293" spans="1:12" x14ac:dyDescent="0.25">
      <c r="A3293" s="50" t="s">
        <v>4580</v>
      </c>
      <c r="B3293" s="30" t="s">
        <v>11</v>
      </c>
      <c r="C3293" s="30" t="s">
        <v>134</v>
      </c>
      <c r="D3293" s="30" t="s">
        <v>354</v>
      </c>
      <c r="E3293" s="30" t="s">
        <v>829</v>
      </c>
      <c r="F3293" s="30">
        <v>1</v>
      </c>
      <c r="G3293" s="44">
        <v>46293</v>
      </c>
      <c r="H3293" s="30"/>
      <c r="I3293" s="44"/>
      <c r="J3293" s="44"/>
      <c r="K3293" s="44">
        <f t="shared" si="109"/>
        <v>46293</v>
      </c>
      <c r="L3293" s="51">
        <v>20250625</v>
      </c>
    </row>
    <row r="3294" spans="1:12" x14ac:dyDescent="0.25">
      <c r="A3294" s="50" t="s">
        <v>4593</v>
      </c>
      <c r="B3294" s="30" t="s">
        <v>1209</v>
      </c>
      <c r="C3294" s="30" t="s">
        <v>919</v>
      </c>
      <c r="D3294" s="30" t="s">
        <v>24</v>
      </c>
      <c r="E3294" s="30" t="s">
        <v>4594</v>
      </c>
      <c r="F3294" s="30">
        <v>1</v>
      </c>
      <c r="G3294" s="44">
        <v>46293</v>
      </c>
      <c r="H3294" s="30"/>
      <c r="I3294" s="44"/>
      <c r="J3294" s="44"/>
      <c r="K3294" s="44">
        <f t="shared" si="109"/>
        <v>46293</v>
      </c>
      <c r="L3294" s="51">
        <v>20250625</v>
      </c>
    </row>
    <row r="3295" spans="1:12" x14ac:dyDescent="0.25">
      <c r="A3295" s="50" t="s">
        <v>4532</v>
      </c>
      <c r="B3295" s="30" t="s">
        <v>1209</v>
      </c>
      <c r="C3295" s="30" t="s">
        <v>919</v>
      </c>
      <c r="D3295" s="30" t="s">
        <v>95</v>
      </c>
      <c r="E3295" s="30" t="s">
        <v>2496</v>
      </c>
      <c r="F3295" s="30">
        <v>1</v>
      </c>
      <c r="G3295" s="44">
        <v>46293</v>
      </c>
      <c r="H3295" s="30"/>
      <c r="I3295" s="44"/>
      <c r="J3295" s="44"/>
      <c r="K3295" s="44">
        <f t="shared" si="109"/>
        <v>46293</v>
      </c>
      <c r="L3295" s="51">
        <v>20250626</v>
      </c>
    </row>
    <row r="3296" spans="1:12" x14ac:dyDescent="0.25">
      <c r="A3296" s="50" t="s">
        <v>4534</v>
      </c>
      <c r="B3296" s="30" t="s">
        <v>779</v>
      </c>
      <c r="C3296" s="30" t="s">
        <v>26</v>
      </c>
      <c r="D3296" s="30" t="s">
        <v>2874</v>
      </c>
      <c r="E3296" s="30" t="s">
        <v>2877</v>
      </c>
      <c r="F3296" s="30">
        <v>1</v>
      </c>
      <c r="G3296" s="44">
        <v>46293</v>
      </c>
      <c r="H3296" s="30"/>
      <c r="I3296" s="44"/>
      <c r="J3296" s="44"/>
      <c r="K3296" s="44">
        <f t="shared" si="109"/>
        <v>46293</v>
      </c>
      <c r="L3296" s="51">
        <v>20250626</v>
      </c>
    </row>
    <row r="3297" spans="1:12" x14ac:dyDescent="0.25">
      <c r="A3297" s="50" t="s">
        <v>4535</v>
      </c>
      <c r="B3297" s="30" t="s">
        <v>11</v>
      </c>
      <c r="C3297" s="30" t="s">
        <v>1021</v>
      </c>
      <c r="D3297" s="30" t="s">
        <v>95</v>
      </c>
      <c r="E3297" s="30" t="s">
        <v>1022</v>
      </c>
      <c r="F3297" s="30">
        <v>1</v>
      </c>
      <c r="G3297" s="44">
        <v>46293</v>
      </c>
      <c r="H3297" s="30"/>
      <c r="I3297" s="44"/>
      <c r="J3297" s="44"/>
      <c r="K3297" s="44">
        <f t="shared" si="109"/>
        <v>46293</v>
      </c>
      <c r="L3297" s="51">
        <v>20250626</v>
      </c>
    </row>
    <row r="3298" spans="1:12" x14ac:dyDescent="0.25">
      <c r="A3298" s="50" t="s">
        <v>4530</v>
      </c>
      <c r="B3298" s="30" t="s">
        <v>11</v>
      </c>
      <c r="C3298" s="30" t="s">
        <v>29</v>
      </c>
      <c r="D3298" s="30" t="s">
        <v>3494</v>
      </c>
      <c r="E3298" s="30" t="s">
        <v>3631</v>
      </c>
      <c r="F3298" s="30">
        <v>1</v>
      </c>
      <c r="G3298" s="44">
        <v>46293</v>
      </c>
      <c r="H3298" s="30"/>
      <c r="I3298" s="44"/>
      <c r="J3298" s="44"/>
      <c r="K3298" s="44">
        <f t="shared" si="109"/>
        <v>46293</v>
      </c>
      <c r="L3298" s="51">
        <v>20250627</v>
      </c>
    </row>
    <row r="3299" spans="1:12" x14ac:dyDescent="0.25">
      <c r="A3299" s="50" t="s">
        <v>4531</v>
      </c>
      <c r="B3299" s="30" t="s">
        <v>11</v>
      </c>
      <c r="C3299" s="30" t="s">
        <v>163</v>
      </c>
      <c r="D3299" s="30" t="s">
        <v>164</v>
      </c>
      <c r="E3299" s="30" t="s">
        <v>187</v>
      </c>
      <c r="F3299" s="30">
        <v>1</v>
      </c>
      <c r="G3299" s="44">
        <v>46293</v>
      </c>
      <c r="H3299" s="30"/>
      <c r="I3299" s="44"/>
      <c r="J3299" s="44"/>
      <c r="K3299" s="44">
        <f t="shared" si="109"/>
        <v>46293</v>
      </c>
      <c r="L3299" s="51">
        <v>20250627</v>
      </c>
    </row>
    <row r="3300" spans="1:12" x14ac:dyDescent="0.25">
      <c r="A3300" s="50" t="s">
        <v>4533</v>
      </c>
      <c r="B3300" s="30" t="s">
        <v>11</v>
      </c>
      <c r="C3300" s="30" t="s">
        <v>163</v>
      </c>
      <c r="D3300" s="30" t="s">
        <v>164</v>
      </c>
      <c r="E3300" s="30" t="s">
        <v>454</v>
      </c>
      <c r="F3300" s="30">
        <v>1</v>
      </c>
      <c r="G3300" s="44">
        <v>46293</v>
      </c>
      <c r="H3300" s="30"/>
      <c r="I3300" s="44"/>
      <c r="J3300" s="44"/>
      <c r="K3300" s="44">
        <f t="shared" si="109"/>
        <v>46293</v>
      </c>
      <c r="L3300" s="51">
        <v>20250627</v>
      </c>
    </row>
    <row r="3301" spans="1:12" x14ac:dyDescent="0.25">
      <c r="A3301" s="50" t="s">
        <v>4540</v>
      </c>
      <c r="B3301" s="30" t="s">
        <v>11</v>
      </c>
      <c r="C3301" s="30" t="s">
        <v>28</v>
      </c>
      <c r="D3301" s="30" t="s">
        <v>3393</v>
      </c>
      <c r="E3301" s="30" t="s">
        <v>3394</v>
      </c>
      <c r="F3301" s="30">
        <v>1</v>
      </c>
      <c r="G3301" s="44">
        <v>46293</v>
      </c>
      <c r="H3301" s="30"/>
      <c r="I3301" s="44"/>
      <c r="J3301" s="44"/>
      <c r="K3301" s="44">
        <f t="shared" si="109"/>
        <v>46293</v>
      </c>
      <c r="L3301" s="51">
        <v>20250627</v>
      </c>
    </row>
    <row r="3302" spans="1:12" x14ac:dyDescent="0.25">
      <c r="A3302" s="50" t="s">
        <v>4555</v>
      </c>
      <c r="B3302" s="30" t="s">
        <v>11</v>
      </c>
      <c r="C3302" s="30" t="s">
        <v>76</v>
      </c>
      <c r="D3302" s="30" t="s">
        <v>2913</v>
      </c>
      <c r="E3302" s="30" t="s">
        <v>1156</v>
      </c>
      <c r="F3302" s="30">
        <v>1</v>
      </c>
      <c r="G3302" s="44">
        <v>46293</v>
      </c>
      <c r="H3302" s="30"/>
      <c r="I3302" s="44"/>
      <c r="J3302" s="44"/>
      <c r="K3302" s="44">
        <f t="shared" si="109"/>
        <v>46293</v>
      </c>
      <c r="L3302" s="51">
        <v>20250627</v>
      </c>
    </row>
    <row r="3303" spans="1:12" x14ac:dyDescent="0.25">
      <c r="A3303" s="50" t="s">
        <v>4573</v>
      </c>
      <c r="B3303" s="30" t="s">
        <v>11</v>
      </c>
      <c r="C3303" s="30" t="s">
        <v>251</v>
      </c>
      <c r="D3303" s="30" t="s">
        <v>764</v>
      </c>
      <c r="E3303" s="30" t="s">
        <v>1210</v>
      </c>
      <c r="F3303" s="30">
        <v>1</v>
      </c>
      <c r="G3303" s="44">
        <v>46293</v>
      </c>
      <c r="H3303" s="30"/>
      <c r="I3303" s="44"/>
      <c r="J3303" s="44"/>
      <c r="K3303" s="44">
        <f t="shared" si="109"/>
        <v>46293</v>
      </c>
      <c r="L3303" s="51">
        <v>20250627</v>
      </c>
    </row>
    <row r="3304" spans="1:12" x14ac:dyDescent="0.25">
      <c r="A3304" s="50" t="s">
        <v>4575</v>
      </c>
      <c r="B3304" s="30" t="s">
        <v>11</v>
      </c>
      <c r="C3304" s="30" t="s">
        <v>163</v>
      </c>
      <c r="D3304" s="30" t="s">
        <v>164</v>
      </c>
      <c r="E3304" s="30" t="s">
        <v>4254</v>
      </c>
      <c r="F3304" s="30">
        <v>1</v>
      </c>
      <c r="G3304" s="44">
        <v>46293</v>
      </c>
      <c r="H3304" s="30"/>
      <c r="I3304" s="44"/>
      <c r="J3304" s="44"/>
      <c r="K3304" s="44">
        <f t="shared" si="109"/>
        <v>46293</v>
      </c>
      <c r="L3304" s="51">
        <v>20250627</v>
      </c>
    </row>
    <row r="3305" spans="1:12" x14ac:dyDescent="0.25">
      <c r="A3305" s="50" t="s">
        <v>4576</v>
      </c>
      <c r="B3305" s="30" t="s">
        <v>11</v>
      </c>
      <c r="C3305" s="30" t="s">
        <v>364</v>
      </c>
      <c r="D3305" s="30" t="s">
        <v>24</v>
      </c>
      <c r="E3305" s="30" t="s">
        <v>365</v>
      </c>
      <c r="F3305" s="30">
        <v>1</v>
      </c>
      <c r="G3305" s="44">
        <v>46293</v>
      </c>
      <c r="H3305" s="30"/>
      <c r="I3305" s="44"/>
      <c r="J3305" s="44"/>
      <c r="K3305" s="44">
        <f t="shared" si="109"/>
        <v>46293</v>
      </c>
      <c r="L3305" s="51">
        <v>20250627</v>
      </c>
    </row>
    <row r="3306" spans="1:12" x14ac:dyDescent="0.25">
      <c r="A3306" s="50" t="s">
        <v>4536</v>
      </c>
      <c r="B3306" s="30" t="s">
        <v>11</v>
      </c>
      <c r="C3306" s="30" t="s">
        <v>337</v>
      </c>
      <c r="D3306" s="30" t="s">
        <v>162</v>
      </c>
      <c r="E3306" s="30" t="s">
        <v>3741</v>
      </c>
      <c r="F3306" s="30">
        <v>1</v>
      </c>
      <c r="G3306" s="44">
        <v>46293</v>
      </c>
      <c r="H3306" s="30"/>
      <c r="I3306" s="44"/>
      <c r="J3306" s="44"/>
      <c r="K3306" s="44">
        <f t="shared" si="109"/>
        <v>46293</v>
      </c>
      <c r="L3306" s="51">
        <v>20250630</v>
      </c>
    </row>
    <row r="3307" spans="1:12" ht="15.75" thickBot="1" x14ac:dyDescent="0.3">
      <c r="A3307" s="54" t="s">
        <v>4574</v>
      </c>
      <c r="B3307" s="36" t="s">
        <v>11</v>
      </c>
      <c r="C3307" s="36" t="s">
        <v>1237</v>
      </c>
      <c r="D3307" s="36" t="s">
        <v>24</v>
      </c>
      <c r="E3307" s="36" t="s">
        <v>3291</v>
      </c>
      <c r="F3307" s="36">
        <v>1</v>
      </c>
      <c r="G3307" s="65">
        <v>46293</v>
      </c>
      <c r="H3307" s="36"/>
      <c r="I3307" s="65"/>
      <c r="J3307" s="65"/>
      <c r="K3307" s="65">
        <f t="shared" si="109"/>
        <v>46293</v>
      </c>
      <c r="L3307" s="55">
        <v>20250630</v>
      </c>
    </row>
    <row r="3308" spans="1:12" x14ac:dyDescent="0.25">
      <c r="A3308" s="73"/>
      <c r="B3308" s="74"/>
      <c r="C3308" s="74"/>
      <c r="D3308" s="74"/>
      <c r="E3308" s="74"/>
      <c r="F3308" s="74"/>
      <c r="G3308" s="75"/>
      <c r="H3308" s="74"/>
      <c r="I3308" s="75"/>
      <c r="J3308" s="75"/>
      <c r="K3308" s="75"/>
      <c r="L3308" s="76"/>
    </row>
    <row r="3309" spans="1:12" ht="15.75" thickBot="1" x14ac:dyDescent="0.3">
      <c r="A3309" s="69"/>
      <c r="B3309" s="70"/>
      <c r="C3309" s="70"/>
      <c r="D3309" s="70"/>
      <c r="E3309" s="70"/>
      <c r="F3309" s="70"/>
      <c r="G3309" s="71"/>
      <c r="H3309" s="70"/>
      <c r="I3309" s="71"/>
      <c r="J3309" s="71"/>
      <c r="K3309" s="71"/>
      <c r="L3309" s="72"/>
    </row>
    <row r="3310" spans="1:12" x14ac:dyDescent="0.25">
      <c r="A3310" s="48" t="s">
        <v>4598</v>
      </c>
      <c r="B3310" s="34" t="s">
        <v>137</v>
      </c>
      <c r="C3310" s="34" t="s">
        <v>364</v>
      </c>
      <c r="D3310" s="34" t="s">
        <v>24</v>
      </c>
      <c r="E3310" s="34" t="s">
        <v>2702</v>
      </c>
      <c r="F3310" s="34">
        <v>1</v>
      </c>
      <c r="G3310" s="64">
        <v>23138</v>
      </c>
      <c r="H3310" s="34"/>
      <c r="I3310" s="64"/>
      <c r="J3310" s="64"/>
      <c r="K3310" s="64">
        <f t="shared" si="109"/>
        <v>23138</v>
      </c>
      <c r="L3310" s="49">
        <v>20250609</v>
      </c>
    </row>
    <row r="3311" spans="1:12" x14ac:dyDescent="0.25">
      <c r="A3311" s="50" t="s">
        <v>4599</v>
      </c>
      <c r="B3311" s="30" t="s">
        <v>137</v>
      </c>
      <c r="C3311" s="30" t="s">
        <v>364</v>
      </c>
      <c r="D3311" s="30" t="s">
        <v>24</v>
      </c>
      <c r="E3311" s="30" t="s">
        <v>4165</v>
      </c>
      <c r="F3311" s="30">
        <v>1</v>
      </c>
      <c r="G3311" s="44">
        <v>23138</v>
      </c>
      <c r="H3311" s="30"/>
      <c r="I3311" s="44"/>
      <c r="J3311" s="44"/>
      <c r="K3311" s="44">
        <f t="shared" si="109"/>
        <v>23138</v>
      </c>
      <c r="L3311" s="51">
        <v>20250609</v>
      </c>
    </row>
    <row r="3312" spans="1:12" x14ac:dyDescent="0.25">
      <c r="A3312" s="50" t="s">
        <v>4600</v>
      </c>
      <c r="B3312" s="30" t="s">
        <v>137</v>
      </c>
      <c r="C3312" s="30" t="s">
        <v>364</v>
      </c>
      <c r="D3312" s="30" t="s">
        <v>24</v>
      </c>
      <c r="E3312" s="30" t="s">
        <v>2075</v>
      </c>
      <c r="F3312" s="30">
        <v>1</v>
      </c>
      <c r="G3312" s="44">
        <v>23138</v>
      </c>
      <c r="H3312" s="30"/>
      <c r="I3312" s="44"/>
      <c r="J3312" s="44"/>
      <c r="K3312" s="44">
        <f t="shared" si="109"/>
        <v>23138</v>
      </c>
      <c r="L3312" s="51">
        <v>20250609</v>
      </c>
    </row>
    <row r="3313" spans="1:12" x14ac:dyDescent="0.25">
      <c r="A3313" s="50" t="s">
        <v>4601</v>
      </c>
      <c r="B3313" s="30" t="s">
        <v>137</v>
      </c>
      <c r="C3313" s="30" t="s">
        <v>364</v>
      </c>
      <c r="D3313" s="30" t="s">
        <v>24</v>
      </c>
      <c r="E3313" s="30" t="s">
        <v>532</v>
      </c>
      <c r="F3313" s="30">
        <v>1</v>
      </c>
      <c r="G3313" s="44">
        <v>23138</v>
      </c>
      <c r="H3313" s="30"/>
      <c r="I3313" s="44"/>
      <c r="J3313" s="44"/>
      <c r="K3313" s="44">
        <f t="shared" si="109"/>
        <v>23138</v>
      </c>
      <c r="L3313" s="51">
        <v>20250609</v>
      </c>
    </row>
    <row r="3314" spans="1:12" x14ac:dyDescent="0.25">
      <c r="A3314" s="50" t="s">
        <v>4602</v>
      </c>
      <c r="B3314" s="30" t="s">
        <v>137</v>
      </c>
      <c r="C3314" s="30" t="s">
        <v>364</v>
      </c>
      <c r="D3314" s="30" t="s">
        <v>24</v>
      </c>
      <c r="E3314" s="30" t="s">
        <v>1134</v>
      </c>
      <c r="F3314" s="30">
        <v>1</v>
      </c>
      <c r="G3314" s="44">
        <v>23138</v>
      </c>
      <c r="H3314" s="30"/>
      <c r="I3314" s="44"/>
      <c r="J3314" s="44"/>
      <c r="K3314" s="44">
        <f t="shared" si="109"/>
        <v>23138</v>
      </c>
      <c r="L3314" s="51">
        <v>20250609</v>
      </c>
    </row>
    <row r="3315" spans="1:12" x14ac:dyDescent="0.25">
      <c r="A3315" s="50" t="s">
        <v>4603</v>
      </c>
      <c r="B3315" s="30" t="s">
        <v>137</v>
      </c>
      <c r="C3315" s="30" t="s">
        <v>364</v>
      </c>
      <c r="D3315" s="30" t="s">
        <v>24</v>
      </c>
      <c r="E3315" s="30" t="s">
        <v>1136</v>
      </c>
      <c r="F3315" s="30">
        <v>1</v>
      </c>
      <c r="G3315" s="44">
        <v>23138</v>
      </c>
      <c r="H3315" s="30"/>
      <c r="I3315" s="44"/>
      <c r="J3315" s="44"/>
      <c r="K3315" s="44">
        <f t="shared" si="109"/>
        <v>23138</v>
      </c>
      <c r="L3315" s="51">
        <v>20250609</v>
      </c>
    </row>
    <row r="3316" spans="1:12" x14ac:dyDescent="0.25">
      <c r="A3316" s="50" t="s">
        <v>4604</v>
      </c>
      <c r="B3316" s="30" t="s">
        <v>137</v>
      </c>
      <c r="C3316" s="30" t="s">
        <v>364</v>
      </c>
      <c r="D3316" s="30" t="s">
        <v>24</v>
      </c>
      <c r="E3316" s="30" t="s">
        <v>3554</v>
      </c>
      <c r="F3316" s="30">
        <v>1</v>
      </c>
      <c r="G3316" s="44">
        <v>23138</v>
      </c>
      <c r="H3316" s="30"/>
      <c r="I3316" s="44"/>
      <c r="J3316" s="44"/>
      <c r="K3316" s="44">
        <f t="shared" si="109"/>
        <v>23138</v>
      </c>
      <c r="L3316" s="51">
        <v>20250609</v>
      </c>
    </row>
    <row r="3317" spans="1:12" x14ac:dyDescent="0.25">
      <c r="A3317" s="50" t="s">
        <v>4625</v>
      </c>
      <c r="B3317" s="30" t="s">
        <v>137</v>
      </c>
      <c r="C3317" s="30" t="s">
        <v>2111</v>
      </c>
      <c r="D3317" s="30" t="s">
        <v>2112</v>
      </c>
      <c r="E3317" s="30" t="s">
        <v>2113</v>
      </c>
      <c r="F3317" s="30">
        <v>1</v>
      </c>
      <c r="G3317" s="44">
        <v>23138</v>
      </c>
      <c r="H3317" s="30"/>
      <c r="I3317" s="44"/>
      <c r="J3317" s="44"/>
      <c r="K3317" s="44">
        <f t="shared" si="109"/>
        <v>23138</v>
      </c>
      <c r="L3317" s="51">
        <v>20250612</v>
      </c>
    </row>
    <row r="3318" spans="1:12" x14ac:dyDescent="0.25">
      <c r="A3318" s="50" t="s">
        <v>4626</v>
      </c>
      <c r="B3318" s="30" t="s">
        <v>137</v>
      </c>
      <c r="C3318" s="30" t="s">
        <v>2111</v>
      </c>
      <c r="D3318" s="30" t="s">
        <v>2112</v>
      </c>
      <c r="E3318" s="30" t="s">
        <v>2115</v>
      </c>
      <c r="F3318" s="30">
        <v>1</v>
      </c>
      <c r="G3318" s="44">
        <v>23138</v>
      </c>
      <c r="H3318" s="30"/>
      <c r="I3318" s="44"/>
      <c r="J3318" s="44"/>
      <c r="K3318" s="44">
        <f t="shared" si="109"/>
        <v>23138</v>
      </c>
      <c r="L3318" s="51">
        <v>20250612</v>
      </c>
    </row>
    <row r="3319" spans="1:12" x14ac:dyDescent="0.25">
      <c r="A3319" s="50" t="s">
        <v>4627</v>
      </c>
      <c r="B3319" s="30" t="s">
        <v>137</v>
      </c>
      <c r="C3319" s="30" t="s">
        <v>505</v>
      </c>
      <c r="D3319" s="30" t="s">
        <v>95</v>
      </c>
      <c r="E3319" s="30" t="s">
        <v>3860</v>
      </c>
      <c r="F3319" s="30">
        <v>1</v>
      </c>
      <c r="G3319" s="44">
        <v>23138</v>
      </c>
      <c r="H3319" s="30"/>
      <c r="I3319" s="44"/>
      <c r="J3319" s="44"/>
      <c r="K3319" s="44">
        <f t="shared" si="109"/>
        <v>23138</v>
      </c>
      <c r="L3319" s="51">
        <v>20250612</v>
      </c>
    </row>
    <row r="3320" spans="1:12" x14ac:dyDescent="0.25">
      <c r="A3320" s="50" t="s">
        <v>4628</v>
      </c>
      <c r="B3320" s="30" t="s">
        <v>137</v>
      </c>
      <c r="C3320" s="30" t="s">
        <v>505</v>
      </c>
      <c r="D3320" s="30" t="s">
        <v>95</v>
      </c>
      <c r="E3320" s="30" t="s">
        <v>3862</v>
      </c>
      <c r="F3320" s="30">
        <v>1</v>
      </c>
      <c r="G3320" s="44">
        <v>23138</v>
      </c>
      <c r="H3320" s="30"/>
      <c r="I3320" s="44"/>
      <c r="J3320" s="44"/>
      <c r="K3320" s="44">
        <f t="shared" si="109"/>
        <v>23138</v>
      </c>
      <c r="L3320" s="51">
        <v>20250612</v>
      </c>
    </row>
    <row r="3321" spans="1:12" x14ac:dyDescent="0.25">
      <c r="A3321" s="50" t="s">
        <v>4629</v>
      </c>
      <c r="B3321" s="30" t="s">
        <v>137</v>
      </c>
      <c r="C3321" s="30" t="s">
        <v>505</v>
      </c>
      <c r="D3321" s="30" t="s">
        <v>95</v>
      </c>
      <c r="E3321" s="30" t="s">
        <v>3397</v>
      </c>
      <c r="F3321" s="30">
        <v>1</v>
      </c>
      <c r="G3321" s="44">
        <v>23138</v>
      </c>
      <c r="H3321" s="30"/>
      <c r="I3321" s="44"/>
      <c r="J3321" s="44"/>
      <c r="K3321" s="44">
        <f t="shared" si="109"/>
        <v>23138</v>
      </c>
      <c r="L3321" s="51">
        <v>20250612</v>
      </c>
    </row>
    <row r="3322" spans="1:12" x14ac:dyDescent="0.25">
      <c r="A3322" s="50" t="s">
        <v>4624</v>
      </c>
      <c r="B3322" s="30" t="s">
        <v>137</v>
      </c>
      <c r="C3322" s="30" t="s">
        <v>94</v>
      </c>
      <c r="D3322" s="30" t="s">
        <v>95</v>
      </c>
      <c r="E3322" s="30" t="s">
        <v>2674</v>
      </c>
      <c r="F3322" s="30">
        <v>1</v>
      </c>
      <c r="G3322" s="44">
        <v>23138</v>
      </c>
      <c r="H3322" s="30"/>
      <c r="I3322" s="44"/>
      <c r="J3322" s="44"/>
      <c r="K3322" s="44">
        <f t="shared" si="109"/>
        <v>23138</v>
      </c>
      <c r="L3322" s="51">
        <v>20250619</v>
      </c>
    </row>
    <row r="3323" spans="1:12" x14ac:dyDescent="0.25">
      <c r="A3323" s="50" t="s">
        <v>4558</v>
      </c>
      <c r="B3323" s="30" t="s">
        <v>137</v>
      </c>
      <c r="C3323" s="30" t="s">
        <v>28</v>
      </c>
      <c r="D3323" s="30" t="s">
        <v>753</v>
      </c>
      <c r="E3323" s="30" t="s">
        <v>754</v>
      </c>
      <c r="F3323" s="30">
        <v>1</v>
      </c>
      <c r="G3323" s="44">
        <v>23138</v>
      </c>
      <c r="H3323" s="30"/>
      <c r="I3323" s="44"/>
      <c r="J3323" s="44"/>
      <c r="K3323" s="44">
        <f t="shared" ref="K3323:K3354" si="110">J3323+G3323</f>
        <v>23138</v>
      </c>
      <c r="L3323" s="51">
        <v>20250623</v>
      </c>
    </row>
    <row r="3324" spans="1:12" x14ac:dyDescent="0.25">
      <c r="A3324" s="50" t="s">
        <v>4559</v>
      </c>
      <c r="B3324" s="30" t="s">
        <v>137</v>
      </c>
      <c r="C3324" s="30" t="s">
        <v>28</v>
      </c>
      <c r="D3324" s="30" t="s">
        <v>759</v>
      </c>
      <c r="E3324" s="30" t="s">
        <v>1106</v>
      </c>
      <c r="F3324" s="30">
        <v>1</v>
      </c>
      <c r="G3324" s="44">
        <v>23138</v>
      </c>
      <c r="H3324" s="30"/>
      <c r="I3324" s="44"/>
      <c r="J3324" s="44"/>
      <c r="K3324" s="44">
        <f t="shared" si="110"/>
        <v>23138</v>
      </c>
      <c r="L3324" s="51">
        <v>20250623</v>
      </c>
    </row>
    <row r="3325" spans="1:12" x14ac:dyDescent="0.25">
      <c r="A3325" s="50" t="s">
        <v>4560</v>
      </c>
      <c r="B3325" s="30" t="s">
        <v>137</v>
      </c>
      <c r="C3325" s="30" t="s">
        <v>28</v>
      </c>
      <c r="D3325" s="30" t="s">
        <v>759</v>
      </c>
      <c r="E3325" s="30" t="s">
        <v>760</v>
      </c>
      <c r="F3325" s="30">
        <v>1</v>
      </c>
      <c r="G3325" s="44">
        <v>23138</v>
      </c>
      <c r="H3325" s="30"/>
      <c r="I3325" s="44"/>
      <c r="J3325" s="44"/>
      <c r="K3325" s="44">
        <f t="shared" si="110"/>
        <v>23138</v>
      </c>
      <c r="L3325" s="51">
        <v>20250623</v>
      </c>
    </row>
    <row r="3326" spans="1:12" x14ac:dyDescent="0.25">
      <c r="A3326" s="50" t="s">
        <v>4561</v>
      </c>
      <c r="B3326" s="30" t="s">
        <v>137</v>
      </c>
      <c r="C3326" s="30" t="s">
        <v>28</v>
      </c>
      <c r="D3326" s="30" t="s">
        <v>759</v>
      </c>
      <c r="E3326" s="30" t="s">
        <v>762</v>
      </c>
      <c r="F3326" s="30">
        <v>1</v>
      </c>
      <c r="G3326" s="44">
        <v>23138</v>
      </c>
      <c r="H3326" s="30"/>
      <c r="I3326" s="44"/>
      <c r="J3326" s="44"/>
      <c r="K3326" s="44">
        <f t="shared" si="110"/>
        <v>23138</v>
      </c>
      <c r="L3326" s="51">
        <v>20250623</v>
      </c>
    </row>
    <row r="3327" spans="1:12" x14ac:dyDescent="0.25">
      <c r="A3327" s="50" t="s">
        <v>4562</v>
      </c>
      <c r="B3327" s="30" t="s">
        <v>137</v>
      </c>
      <c r="C3327" s="30" t="s">
        <v>28</v>
      </c>
      <c r="D3327" s="30" t="s">
        <v>753</v>
      </c>
      <c r="E3327" s="30" t="s">
        <v>2637</v>
      </c>
      <c r="F3327" s="30">
        <v>1</v>
      </c>
      <c r="G3327" s="44">
        <v>23138</v>
      </c>
      <c r="H3327" s="30"/>
      <c r="I3327" s="44"/>
      <c r="J3327" s="44"/>
      <c r="K3327" s="44">
        <f t="shared" si="110"/>
        <v>23138</v>
      </c>
      <c r="L3327" s="51">
        <v>20250623</v>
      </c>
    </row>
    <row r="3328" spans="1:12" x14ac:dyDescent="0.25">
      <c r="A3328" s="50" t="s">
        <v>4563</v>
      </c>
      <c r="B3328" s="30" t="s">
        <v>137</v>
      </c>
      <c r="C3328" s="30" t="s">
        <v>474</v>
      </c>
      <c r="D3328" s="30" t="s">
        <v>24</v>
      </c>
      <c r="E3328" s="30" t="s">
        <v>554</v>
      </c>
      <c r="F3328" s="30">
        <v>1</v>
      </c>
      <c r="G3328" s="44">
        <v>23138</v>
      </c>
      <c r="H3328" s="30"/>
      <c r="I3328" s="44"/>
      <c r="J3328" s="44"/>
      <c r="K3328" s="44">
        <f t="shared" si="110"/>
        <v>23138</v>
      </c>
      <c r="L3328" s="51">
        <v>20250623</v>
      </c>
    </row>
    <row r="3329" spans="1:12" x14ac:dyDescent="0.25">
      <c r="A3329" s="50" t="s">
        <v>4564</v>
      </c>
      <c r="B3329" s="30" t="s">
        <v>137</v>
      </c>
      <c r="C3329" s="30" t="s">
        <v>474</v>
      </c>
      <c r="D3329" s="30" t="s">
        <v>475</v>
      </c>
      <c r="E3329" s="30" t="s">
        <v>940</v>
      </c>
      <c r="F3329" s="30">
        <v>1</v>
      </c>
      <c r="G3329" s="44">
        <v>23138</v>
      </c>
      <c r="H3329" s="30"/>
      <c r="I3329" s="44"/>
      <c r="J3329" s="44"/>
      <c r="K3329" s="44">
        <f t="shared" si="110"/>
        <v>23138</v>
      </c>
      <c r="L3329" s="51">
        <v>20250623</v>
      </c>
    </row>
    <row r="3330" spans="1:12" x14ac:dyDescent="0.25">
      <c r="A3330" s="50" t="s">
        <v>4565</v>
      </c>
      <c r="B3330" s="30" t="s">
        <v>137</v>
      </c>
      <c r="C3330" s="30" t="s">
        <v>474</v>
      </c>
      <c r="D3330" s="30" t="s">
        <v>475</v>
      </c>
      <c r="E3330" s="30" t="s">
        <v>476</v>
      </c>
      <c r="F3330" s="30">
        <v>1</v>
      </c>
      <c r="G3330" s="44">
        <v>23138</v>
      </c>
      <c r="H3330" s="30"/>
      <c r="I3330" s="44"/>
      <c r="J3330" s="44"/>
      <c r="K3330" s="44">
        <f t="shared" si="110"/>
        <v>23138</v>
      </c>
      <c r="L3330" s="51">
        <v>20250623</v>
      </c>
    </row>
    <row r="3331" spans="1:12" x14ac:dyDescent="0.25">
      <c r="A3331" s="50" t="s">
        <v>4566</v>
      </c>
      <c r="B3331" s="30" t="s">
        <v>137</v>
      </c>
      <c r="C3331" s="30" t="s">
        <v>474</v>
      </c>
      <c r="D3331" s="30" t="s">
        <v>475</v>
      </c>
      <c r="E3331" s="30" t="s">
        <v>3826</v>
      </c>
      <c r="F3331" s="30">
        <v>1</v>
      </c>
      <c r="G3331" s="44">
        <v>23138</v>
      </c>
      <c r="H3331" s="30"/>
      <c r="I3331" s="44"/>
      <c r="J3331" s="44"/>
      <c r="K3331" s="44">
        <f t="shared" si="110"/>
        <v>23138</v>
      </c>
      <c r="L3331" s="51">
        <v>20250623</v>
      </c>
    </row>
    <row r="3332" spans="1:12" x14ac:dyDescent="0.25">
      <c r="A3332" s="50" t="s">
        <v>4567</v>
      </c>
      <c r="B3332" s="30" t="s">
        <v>137</v>
      </c>
      <c r="C3332" s="30" t="s">
        <v>53</v>
      </c>
      <c r="D3332" s="30" t="s">
        <v>24</v>
      </c>
      <c r="E3332" s="30" t="s">
        <v>1998</v>
      </c>
      <c r="F3332" s="30">
        <v>1</v>
      </c>
      <c r="G3332" s="44">
        <v>23138</v>
      </c>
      <c r="H3332" s="30"/>
      <c r="I3332" s="44"/>
      <c r="J3332" s="44"/>
      <c r="K3332" s="44">
        <f t="shared" si="110"/>
        <v>23138</v>
      </c>
      <c r="L3332" s="51">
        <v>20250623</v>
      </c>
    </row>
    <row r="3333" spans="1:12" x14ac:dyDescent="0.25">
      <c r="A3333" s="50" t="s">
        <v>4568</v>
      </c>
      <c r="B3333" s="30" t="s">
        <v>137</v>
      </c>
      <c r="C3333" s="30" t="s">
        <v>53</v>
      </c>
      <c r="D3333" s="30" t="s">
        <v>24</v>
      </c>
      <c r="E3333" s="30" t="s">
        <v>1132</v>
      </c>
      <c r="F3333" s="30">
        <v>1</v>
      </c>
      <c r="G3333" s="44">
        <v>23138</v>
      </c>
      <c r="H3333" s="30"/>
      <c r="I3333" s="44"/>
      <c r="J3333" s="44"/>
      <c r="K3333" s="44">
        <f t="shared" si="110"/>
        <v>23138</v>
      </c>
      <c r="L3333" s="51">
        <v>20250623</v>
      </c>
    </row>
    <row r="3334" spans="1:12" x14ac:dyDescent="0.25">
      <c r="A3334" s="50" t="s">
        <v>4569</v>
      </c>
      <c r="B3334" s="30" t="s">
        <v>137</v>
      </c>
      <c r="C3334" s="30" t="s">
        <v>53</v>
      </c>
      <c r="D3334" s="30" t="s">
        <v>24</v>
      </c>
      <c r="E3334" s="30" t="s">
        <v>2289</v>
      </c>
      <c r="F3334" s="30">
        <v>1</v>
      </c>
      <c r="G3334" s="44">
        <v>23138</v>
      </c>
      <c r="H3334" s="30"/>
      <c r="I3334" s="44"/>
      <c r="J3334" s="44"/>
      <c r="K3334" s="44">
        <f t="shared" si="110"/>
        <v>23138</v>
      </c>
      <c r="L3334" s="51">
        <v>20250623</v>
      </c>
    </row>
    <row r="3335" spans="1:12" x14ac:dyDescent="0.25">
      <c r="A3335" s="50" t="s">
        <v>4570</v>
      </c>
      <c r="B3335" s="30" t="s">
        <v>137</v>
      </c>
      <c r="C3335" s="30" t="s">
        <v>993</v>
      </c>
      <c r="D3335" s="30" t="s">
        <v>994</v>
      </c>
      <c r="E3335" s="30" t="s">
        <v>1015</v>
      </c>
      <c r="F3335" s="30">
        <v>1</v>
      </c>
      <c r="G3335" s="44">
        <v>23138</v>
      </c>
      <c r="H3335" s="30"/>
      <c r="I3335" s="44"/>
      <c r="J3335" s="44"/>
      <c r="K3335" s="44">
        <f t="shared" si="110"/>
        <v>23138</v>
      </c>
      <c r="L3335" s="51">
        <v>20250623</v>
      </c>
    </row>
    <row r="3336" spans="1:12" x14ac:dyDescent="0.25">
      <c r="A3336" s="50" t="s">
        <v>4541</v>
      </c>
      <c r="B3336" s="30" t="s">
        <v>137</v>
      </c>
      <c r="C3336" s="30" t="s">
        <v>202</v>
      </c>
      <c r="D3336" s="30" t="s">
        <v>203</v>
      </c>
      <c r="E3336" s="30" t="s">
        <v>4084</v>
      </c>
      <c r="F3336" s="30">
        <v>1</v>
      </c>
      <c r="G3336" s="44">
        <v>23138</v>
      </c>
      <c r="H3336" s="30"/>
      <c r="I3336" s="44"/>
      <c r="J3336" s="44"/>
      <c r="K3336" s="44">
        <f t="shared" si="110"/>
        <v>23138</v>
      </c>
      <c r="L3336" s="51">
        <v>20250624</v>
      </c>
    </row>
    <row r="3337" spans="1:12" x14ac:dyDescent="0.25">
      <c r="A3337" s="50" t="s">
        <v>4542</v>
      </c>
      <c r="B3337" s="30" t="s">
        <v>137</v>
      </c>
      <c r="C3337" s="30" t="s">
        <v>202</v>
      </c>
      <c r="D3337" s="30" t="s">
        <v>203</v>
      </c>
      <c r="E3337" s="30" t="s">
        <v>2196</v>
      </c>
      <c r="F3337" s="30">
        <v>1</v>
      </c>
      <c r="G3337" s="44">
        <v>23138</v>
      </c>
      <c r="H3337" s="30"/>
      <c r="I3337" s="44"/>
      <c r="J3337" s="44"/>
      <c r="K3337" s="44">
        <f t="shared" si="110"/>
        <v>23138</v>
      </c>
      <c r="L3337" s="51">
        <v>20250624</v>
      </c>
    </row>
    <row r="3338" spans="1:12" x14ac:dyDescent="0.25">
      <c r="A3338" s="50" t="s">
        <v>4543</v>
      </c>
      <c r="B3338" s="30" t="s">
        <v>137</v>
      </c>
      <c r="C3338" s="30" t="s">
        <v>202</v>
      </c>
      <c r="D3338" s="30" t="s">
        <v>203</v>
      </c>
      <c r="E3338" s="30" t="s">
        <v>2198</v>
      </c>
      <c r="F3338" s="30">
        <v>1</v>
      </c>
      <c r="G3338" s="44">
        <v>23138</v>
      </c>
      <c r="H3338" s="30"/>
      <c r="I3338" s="44"/>
      <c r="J3338" s="44"/>
      <c r="K3338" s="44">
        <f t="shared" si="110"/>
        <v>23138</v>
      </c>
      <c r="L3338" s="51">
        <v>20250624</v>
      </c>
    </row>
    <row r="3339" spans="1:12" x14ac:dyDescent="0.25">
      <c r="A3339" s="50" t="s">
        <v>4544</v>
      </c>
      <c r="B3339" s="30" t="s">
        <v>137</v>
      </c>
      <c r="C3339" s="30" t="s">
        <v>202</v>
      </c>
      <c r="D3339" s="30" t="s">
        <v>203</v>
      </c>
      <c r="E3339" s="30" t="s">
        <v>2200</v>
      </c>
      <c r="F3339" s="30">
        <v>1</v>
      </c>
      <c r="G3339" s="44">
        <v>23138</v>
      </c>
      <c r="H3339" s="30"/>
      <c r="I3339" s="44"/>
      <c r="J3339" s="44"/>
      <c r="K3339" s="44">
        <f t="shared" si="110"/>
        <v>23138</v>
      </c>
      <c r="L3339" s="51">
        <v>20250624</v>
      </c>
    </row>
    <row r="3340" spans="1:12" x14ac:dyDescent="0.25">
      <c r="A3340" s="50" t="s">
        <v>4545</v>
      </c>
      <c r="B3340" s="30" t="s">
        <v>137</v>
      </c>
      <c r="C3340" s="30" t="s">
        <v>202</v>
      </c>
      <c r="D3340" s="30" t="s">
        <v>203</v>
      </c>
      <c r="E3340" s="30" t="s">
        <v>214</v>
      </c>
      <c r="F3340" s="30">
        <v>1</v>
      </c>
      <c r="G3340" s="44">
        <v>23138</v>
      </c>
      <c r="H3340" s="30"/>
      <c r="I3340" s="44"/>
      <c r="J3340" s="44"/>
      <c r="K3340" s="44">
        <f t="shared" si="110"/>
        <v>23138</v>
      </c>
      <c r="L3340" s="51">
        <v>20250624</v>
      </c>
    </row>
    <row r="3341" spans="1:12" x14ac:dyDescent="0.25">
      <c r="A3341" s="50" t="s">
        <v>4546</v>
      </c>
      <c r="B3341" s="30" t="s">
        <v>137</v>
      </c>
      <c r="C3341" s="30" t="s">
        <v>202</v>
      </c>
      <c r="D3341" s="30" t="s">
        <v>203</v>
      </c>
      <c r="E3341" s="30" t="s">
        <v>4547</v>
      </c>
      <c r="F3341" s="30">
        <v>1</v>
      </c>
      <c r="G3341" s="44">
        <v>23138</v>
      </c>
      <c r="H3341" s="30"/>
      <c r="I3341" s="44"/>
      <c r="J3341" s="44"/>
      <c r="K3341" s="44">
        <f t="shared" si="110"/>
        <v>23138</v>
      </c>
      <c r="L3341" s="51">
        <v>20250624</v>
      </c>
    </row>
    <row r="3342" spans="1:12" x14ac:dyDescent="0.25">
      <c r="A3342" s="50" t="s">
        <v>4548</v>
      </c>
      <c r="B3342" s="30" t="s">
        <v>137</v>
      </c>
      <c r="C3342" s="30" t="s">
        <v>202</v>
      </c>
      <c r="D3342" s="30" t="s">
        <v>203</v>
      </c>
      <c r="E3342" s="30" t="s">
        <v>2203</v>
      </c>
      <c r="F3342" s="30">
        <v>1</v>
      </c>
      <c r="G3342" s="44">
        <v>23138</v>
      </c>
      <c r="H3342" s="30"/>
      <c r="I3342" s="44"/>
      <c r="J3342" s="44"/>
      <c r="K3342" s="44">
        <f t="shared" si="110"/>
        <v>23138</v>
      </c>
      <c r="L3342" s="51">
        <v>20250624</v>
      </c>
    </row>
    <row r="3343" spans="1:12" x14ac:dyDescent="0.25">
      <c r="A3343" s="50" t="s">
        <v>4549</v>
      </c>
      <c r="B3343" s="30" t="s">
        <v>137</v>
      </c>
      <c r="C3343" s="30" t="s">
        <v>202</v>
      </c>
      <c r="D3343" s="30" t="s">
        <v>203</v>
      </c>
      <c r="E3343" s="30" t="s">
        <v>2206</v>
      </c>
      <c r="F3343" s="30">
        <v>1</v>
      </c>
      <c r="G3343" s="44">
        <v>23138</v>
      </c>
      <c r="H3343" s="30"/>
      <c r="I3343" s="44"/>
      <c r="J3343" s="44"/>
      <c r="K3343" s="44">
        <f t="shared" si="110"/>
        <v>23138</v>
      </c>
      <c r="L3343" s="51">
        <v>20250624</v>
      </c>
    </row>
    <row r="3344" spans="1:12" x14ac:dyDescent="0.25">
      <c r="A3344" s="50" t="s">
        <v>4550</v>
      </c>
      <c r="B3344" s="30" t="s">
        <v>137</v>
      </c>
      <c r="C3344" s="30" t="s">
        <v>202</v>
      </c>
      <c r="D3344" s="30" t="s">
        <v>203</v>
      </c>
      <c r="E3344" s="30" t="s">
        <v>2208</v>
      </c>
      <c r="F3344" s="30">
        <v>1</v>
      </c>
      <c r="G3344" s="44">
        <v>23138</v>
      </c>
      <c r="H3344" s="30"/>
      <c r="I3344" s="44"/>
      <c r="J3344" s="44"/>
      <c r="K3344" s="44">
        <f t="shared" si="110"/>
        <v>23138</v>
      </c>
      <c r="L3344" s="51">
        <v>20250624</v>
      </c>
    </row>
    <row r="3345" spans="1:12" x14ac:dyDescent="0.25">
      <c r="A3345" s="50" t="s">
        <v>4551</v>
      </c>
      <c r="B3345" s="30" t="s">
        <v>137</v>
      </c>
      <c r="C3345" s="30" t="s">
        <v>202</v>
      </c>
      <c r="D3345" s="30" t="s">
        <v>203</v>
      </c>
      <c r="E3345" s="30" t="s">
        <v>2210</v>
      </c>
      <c r="F3345" s="30">
        <v>1</v>
      </c>
      <c r="G3345" s="44">
        <v>23138</v>
      </c>
      <c r="H3345" s="30"/>
      <c r="I3345" s="44"/>
      <c r="J3345" s="44"/>
      <c r="K3345" s="44">
        <f t="shared" si="110"/>
        <v>23138</v>
      </c>
      <c r="L3345" s="51">
        <v>20250624</v>
      </c>
    </row>
    <row r="3346" spans="1:12" x14ac:dyDescent="0.25">
      <c r="A3346" s="50" t="s">
        <v>4552</v>
      </c>
      <c r="B3346" s="30" t="s">
        <v>137</v>
      </c>
      <c r="C3346" s="30" t="s">
        <v>202</v>
      </c>
      <c r="D3346" s="30" t="s">
        <v>203</v>
      </c>
      <c r="E3346" s="30" t="s">
        <v>2212</v>
      </c>
      <c r="F3346" s="30">
        <v>1</v>
      </c>
      <c r="G3346" s="44">
        <v>23138</v>
      </c>
      <c r="H3346" s="30"/>
      <c r="I3346" s="44"/>
      <c r="J3346" s="44"/>
      <c r="K3346" s="44">
        <f t="shared" si="110"/>
        <v>23138</v>
      </c>
      <c r="L3346" s="51">
        <v>20250624</v>
      </c>
    </row>
    <row r="3347" spans="1:12" x14ac:dyDescent="0.25">
      <c r="A3347" s="50" t="s">
        <v>4553</v>
      </c>
      <c r="B3347" s="30" t="s">
        <v>137</v>
      </c>
      <c r="C3347" s="30" t="s">
        <v>202</v>
      </c>
      <c r="D3347" s="30" t="s">
        <v>203</v>
      </c>
      <c r="E3347" s="30" t="s">
        <v>2214</v>
      </c>
      <c r="F3347" s="30">
        <v>1</v>
      </c>
      <c r="G3347" s="44">
        <v>23138</v>
      </c>
      <c r="H3347" s="30"/>
      <c r="I3347" s="44"/>
      <c r="J3347" s="44"/>
      <c r="K3347" s="44">
        <f t="shared" si="110"/>
        <v>23138</v>
      </c>
      <c r="L3347" s="51">
        <v>20250624</v>
      </c>
    </row>
    <row r="3348" spans="1:12" x14ac:dyDescent="0.25">
      <c r="A3348" s="50" t="s">
        <v>4554</v>
      </c>
      <c r="B3348" s="30" t="s">
        <v>137</v>
      </c>
      <c r="C3348" s="30" t="s">
        <v>202</v>
      </c>
      <c r="D3348" s="30" t="s">
        <v>203</v>
      </c>
      <c r="E3348" s="30" t="s">
        <v>626</v>
      </c>
      <c r="F3348" s="30">
        <v>1</v>
      </c>
      <c r="G3348" s="44">
        <v>23138</v>
      </c>
      <c r="H3348" s="30"/>
      <c r="I3348" s="44"/>
      <c r="J3348" s="44"/>
      <c r="K3348" s="44">
        <f t="shared" si="110"/>
        <v>23138</v>
      </c>
      <c r="L3348" s="51">
        <v>20250624</v>
      </c>
    </row>
    <row r="3349" spans="1:12" x14ac:dyDescent="0.25">
      <c r="A3349" s="50" t="s">
        <v>4571</v>
      </c>
      <c r="B3349" s="30" t="s">
        <v>137</v>
      </c>
      <c r="C3349" s="30" t="s">
        <v>993</v>
      </c>
      <c r="D3349" s="30" t="s">
        <v>994</v>
      </c>
      <c r="E3349" s="30" t="s">
        <v>995</v>
      </c>
      <c r="F3349" s="30">
        <v>1</v>
      </c>
      <c r="G3349" s="44">
        <v>23138</v>
      </c>
      <c r="H3349" s="30"/>
      <c r="I3349" s="44"/>
      <c r="J3349" s="44"/>
      <c r="K3349" s="44">
        <f t="shared" si="110"/>
        <v>23138</v>
      </c>
      <c r="L3349" s="51">
        <v>20250624</v>
      </c>
    </row>
    <row r="3350" spans="1:12" x14ac:dyDescent="0.25">
      <c r="A3350" s="50" t="s">
        <v>4537</v>
      </c>
      <c r="B3350" s="30" t="s">
        <v>137</v>
      </c>
      <c r="C3350" s="30" t="s">
        <v>29</v>
      </c>
      <c r="D3350" s="30" t="s">
        <v>1656</v>
      </c>
      <c r="E3350" s="30" t="s">
        <v>2300</v>
      </c>
      <c r="F3350" s="30">
        <v>1</v>
      </c>
      <c r="G3350" s="44">
        <v>23138</v>
      </c>
      <c r="H3350" s="30"/>
      <c r="I3350" s="44"/>
      <c r="J3350" s="44"/>
      <c r="K3350" s="44">
        <f t="shared" si="110"/>
        <v>23138</v>
      </c>
      <c r="L3350" s="51">
        <v>20250625</v>
      </c>
    </row>
    <row r="3351" spans="1:12" x14ac:dyDescent="0.25">
      <c r="A3351" s="50" t="s">
        <v>4538</v>
      </c>
      <c r="B3351" s="30" t="s">
        <v>137</v>
      </c>
      <c r="C3351" s="30" t="s">
        <v>29</v>
      </c>
      <c r="D3351" s="30" t="s">
        <v>1656</v>
      </c>
      <c r="E3351" s="30" t="s">
        <v>2324</v>
      </c>
      <c r="F3351" s="30">
        <v>1</v>
      </c>
      <c r="G3351" s="44">
        <v>23138</v>
      </c>
      <c r="H3351" s="30"/>
      <c r="I3351" s="44"/>
      <c r="J3351" s="44"/>
      <c r="K3351" s="44">
        <f t="shared" si="110"/>
        <v>23138</v>
      </c>
      <c r="L3351" s="51">
        <v>20250625</v>
      </c>
    </row>
    <row r="3352" spans="1:12" x14ac:dyDescent="0.25">
      <c r="A3352" s="50" t="s">
        <v>4539</v>
      </c>
      <c r="B3352" s="30" t="s">
        <v>137</v>
      </c>
      <c r="C3352" s="30" t="s">
        <v>94</v>
      </c>
      <c r="D3352" s="30" t="s">
        <v>95</v>
      </c>
      <c r="E3352" s="30" t="s">
        <v>3473</v>
      </c>
      <c r="F3352" s="30">
        <v>1</v>
      </c>
      <c r="G3352" s="44">
        <v>23138</v>
      </c>
      <c r="H3352" s="30"/>
      <c r="I3352" s="44"/>
      <c r="J3352" s="44"/>
      <c r="K3352" s="44">
        <f t="shared" si="110"/>
        <v>23138</v>
      </c>
      <c r="L3352" s="51">
        <v>20250625</v>
      </c>
    </row>
    <row r="3353" spans="1:12" x14ac:dyDescent="0.25">
      <c r="A3353" s="50" t="s">
        <v>4619</v>
      </c>
      <c r="B3353" s="30" t="s">
        <v>137</v>
      </c>
      <c r="C3353" s="30" t="s">
        <v>29</v>
      </c>
      <c r="D3353" s="30" t="s">
        <v>1656</v>
      </c>
      <c r="E3353" s="30" t="s">
        <v>4311</v>
      </c>
      <c r="F3353" s="30">
        <v>1</v>
      </c>
      <c r="G3353" s="44">
        <v>23138</v>
      </c>
      <c r="H3353" s="30"/>
      <c r="I3353" s="44"/>
      <c r="J3353" s="44"/>
      <c r="K3353" s="44">
        <f t="shared" si="110"/>
        <v>23138</v>
      </c>
      <c r="L3353" s="51">
        <v>20250625</v>
      </c>
    </row>
    <row r="3354" spans="1:12" ht="15.75" thickBot="1" x14ac:dyDescent="0.3">
      <c r="A3354" s="54" t="s">
        <v>4630</v>
      </c>
      <c r="B3354" s="36" t="s">
        <v>137</v>
      </c>
      <c r="C3354" s="36" t="s">
        <v>3707</v>
      </c>
      <c r="D3354" s="36" t="s">
        <v>3708</v>
      </c>
      <c r="E3354" s="36" t="s">
        <v>3709</v>
      </c>
      <c r="F3354" s="36">
        <v>1</v>
      </c>
      <c r="G3354" s="65">
        <v>23138</v>
      </c>
      <c r="H3354" s="36"/>
      <c r="I3354" s="65"/>
      <c r="J3354" s="65"/>
      <c r="K3354" s="65">
        <f t="shared" si="110"/>
        <v>23138</v>
      </c>
      <c r="L3354" s="55">
        <v>20250625</v>
      </c>
    </row>
    <row r="3358" spans="1:12" ht="15.75" thickBot="1" x14ac:dyDescent="0.3">
      <c r="A3358" s="69" t="s">
        <v>0</v>
      </c>
      <c r="B3358" s="70" t="s">
        <v>1</v>
      </c>
      <c r="C3358" s="70" t="s">
        <v>2</v>
      </c>
      <c r="D3358" s="70" t="s">
        <v>3</v>
      </c>
      <c r="E3358" s="70" t="s">
        <v>4</v>
      </c>
      <c r="F3358" s="70"/>
      <c r="G3358" s="71" t="s">
        <v>6</v>
      </c>
      <c r="H3358" s="70" t="s">
        <v>7</v>
      </c>
      <c r="I3358" s="71" t="s">
        <v>8</v>
      </c>
      <c r="J3358" s="71" t="s">
        <v>9</v>
      </c>
      <c r="K3358" s="71" t="s">
        <v>10</v>
      </c>
      <c r="L3358" s="72" t="s">
        <v>5</v>
      </c>
    </row>
    <row r="3359" spans="1:12" x14ac:dyDescent="0.25">
      <c r="A3359" s="48" t="s">
        <v>4704</v>
      </c>
      <c r="B3359" s="34" t="s">
        <v>11</v>
      </c>
      <c r="C3359" s="34" t="s">
        <v>29</v>
      </c>
      <c r="D3359" s="34" t="s">
        <v>30</v>
      </c>
      <c r="E3359" s="34" t="s">
        <v>578</v>
      </c>
      <c r="F3359" s="34">
        <v>1</v>
      </c>
      <c r="G3359" s="64">
        <v>50089</v>
      </c>
      <c r="H3359" s="34"/>
      <c r="I3359" s="64"/>
      <c r="J3359" s="64"/>
      <c r="K3359" s="64">
        <f>J3359+G3359</f>
        <v>50089</v>
      </c>
      <c r="L3359" s="49">
        <v>20250701</v>
      </c>
    </row>
    <row r="3360" spans="1:12" x14ac:dyDescent="0.25">
      <c r="A3360" s="50" t="s">
        <v>4705</v>
      </c>
      <c r="B3360" s="30" t="s">
        <v>11</v>
      </c>
      <c r="C3360" s="30" t="s">
        <v>28</v>
      </c>
      <c r="D3360" s="30" t="s">
        <v>1026</v>
      </c>
      <c r="E3360" s="30" t="s">
        <v>1027</v>
      </c>
      <c r="F3360" s="30">
        <v>1</v>
      </c>
      <c r="G3360" s="44">
        <v>50089</v>
      </c>
      <c r="H3360" s="30"/>
      <c r="I3360" s="44"/>
      <c r="J3360" s="44"/>
      <c r="K3360" s="44">
        <f t="shared" ref="K3360:K3425" si="111">J3360+G3360</f>
        <v>50089</v>
      </c>
      <c r="L3360" s="51">
        <v>20250701</v>
      </c>
    </row>
    <row r="3361" spans="1:12" x14ac:dyDescent="0.25">
      <c r="A3361" s="50" t="s">
        <v>4710</v>
      </c>
      <c r="B3361" s="30" t="s">
        <v>11</v>
      </c>
      <c r="C3361" s="30" t="s">
        <v>3112</v>
      </c>
      <c r="D3361" s="30" t="s">
        <v>1545</v>
      </c>
      <c r="E3361" s="30" t="s">
        <v>1546</v>
      </c>
      <c r="F3361" s="30">
        <v>1</v>
      </c>
      <c r="G3361" s="44">
        <v>50089</v>
      </c>
      <c r="H3361" s="30"/>
      <c r="I3361" s="44"/>
      <c r="J3361" s="44"/>
      <c r="K3361" s="44">
        <f t="shared" si="111"/>
        <v>50089</v>
      </c>
      <c r="L3361" s="51">
        <v>20250701</v>
      </c>
    </row>
    <row r="3362" spans="1:12" x14ac:dyDescent="0.25">
      <c r="A3362" s="52" t="s">
        <v>4711</v>
      </c>
      <c r="B3362" s="32" t="s">
        <v>11</v>
      </c>
      <c r="C3362" s="32" t="s">
        <v>29</v>
      </c>
      <c r="D3362" s="32" t="s">
        <v>30</v>
      </c>
      <c r="E3362" s="32" t="s">
        <v>4021</v>
      </c>
      <c r="F3362" s="32">
        <v>1</v>
      </c>
      <c r="G3362" s="45">
        <v>50089</v>
      </c>
      <c r="H3362" s="32">
        <v>158</v>
      </c>
      <c r="I3362" s="45">
        <v>587.70000000000005</v>
      </c>
      <c r="J3362" s="45">
        <f t="shared" ref="J3362:J3392" si="112">I3362*H3362</f>
        <v>92856.6</v>
      </c>
      <c r="K3362" s="45">
        <f t="shared" si="111"/>
        <v>142945.60000000001</v>
      </c>
      <c r="L3362" s="53">
        <v>20250701</v>
      </c>
    </row>
    <row r="3363" spans="1:12" x14ac:dyDescent="0.25">
      <c r="A3363" s="50" t="s">
        <v>4707</v>
      </c>
      <c r="B3363" s="30" t="s">
        <v>11</v>
      </c>
      <c r="C3363" s="30" t="s">
        <v>163</v>
      </c>
      <c r="D3363" s="30" t="s">
        <v>164</v>
      </c>
      <c r="E3363" s="30" t="s">
        <v>452</v>
      </c>
      <c r="F3363" s="30">
        <v>1</v>
      </c>
      <c r="G3363" s="44">
        <v>50089</v>
      </c>
      <c r="H3363" s="30"/>
      <c r="I3363" s="44"/>
      <c r="J3363" s="44"/>
      <c r="K3363" s="44">
        <f t="shared" si="111"/>
        <v>50089</v>
      </c>
      <c r="L3363" s="51">
        <v>20250702</v>
      </c>
    </row>
    <row r="3364" spans="1:12" x14ac:dyDescent="0.25">
      <c r="A3364" s="52" t="s">
        <v>4708</v>
      </c>
      <c r="B3364" s="32" t="s">
        <v>11</v>
      </c>
      <c r="C3364" s="32" t="s">
        <v>163</v>
      </c>
      <c r="D3364" s="32" t="s">
        <v>164</v>
      </c>
      <c r="E3364" s="32" t="s">
        <v>454</v>
      </c>
      <c r="F3364" s="32">
        <v>1</v>
      </c>
      <c r="G3364" s="45">
        <v>50089</v>
      </c>
      <c r="H3364" s="32">
        <v>126</v>
      </c>
      <c r="I3364" s="45">
        <v>587.70000000000005</v>
      </c>
      <c r="J3364" s="45">
        <f t="shared" si="112"/>
        <v>74050.200000000012</v>
      </c>
      <c r="K3364" s="45">
        <f t="shared" si="111"/>
        <v>124139.20000000001</v>
      </c>
      <c r="L3364" s="53">
        <v>20250702</v>
      </c>
    </row>
    <row r="3365" spans="1:12" x14ac:dyDescent="0.25">
      <c r="A3365" s="50" t="s">
        <v>4703</v>
      </c>
      <c r="B3365" s="30" t="s">
        <v>11</v>
      </c>
      <c r="C3365" s="30" t="s">
        <v>505</v>
      </c>
      <c r="D3365" s="30" t="s">
        <v>24</v>
      </c>
      <c r="E3365" s="30" t="s">
        <v>506</v>
      </c>
      <c r="F3365" s="30">
        <v>1</v>
      </c>
      <c r="G3365" s="44">
        <v>50089</v>
      </c>
      <c r="H3365" s="30"/>
      <c r="I3365" s="44"/>
      <c r="J3365" s="44"/>
      <c r="K3365" s="44">
        <f t="shared" si="111"/>
        <v>50089</v>
      </c>
      <c r="L3365" s="51">
        <v>20250703</v>
      </c>
    </row>
    <row r="3366" spans="1:12" x14ac:dyDescent="0.25">
      <c r="A3366" s="50" t="s">
        <v>4706</v>
      </c>
      <c r="B3366" s="30" t="s">
        <v>11</v>
      </c>
      <c r="C3366" s="30" t="s">
        <v>26</v>
      </c>
      <c r="D3366" s="30" t="s">
        <v>582</v>
      </c>
      <c r="E3366" s="30" t="s">
        <v>589</v>
      </c>
      <c r="F3366" s="30">
        <v>1</v>
      </c>
      <c r="G3366" s="44">
        <v>50089</v>
      </c>
      <c r="H3366" s="30"/>
      <c r="I3366" s="44"/>
      <c r="J3366" s="44"/>
      <c r="K3366" s="44">
        <f t="shared" si="111"/>
        <v>50089</v>
      </c>
      <c r="L3366" s="51">
        <v>20250703</v>
      </c>
    </row>
    <row r="3367" spans="1:12" x14ac:dyDescent="0.25">
      <c r="A3367" s="50" t="s">
        <v>4709</v>
      </c>
      <c r="B3367" s="30" t="s">
        <v>11</v>
      </c>
      <c r="C3367" s="30" t="s">
        <v>505</v>
      </c>
      <c r="D3367" s="30" t="s">
        <v>24</v>
      </c>
      <c r="E3367" s="30" t="s">
        <v>931</v>
      </c>
      <c r="F3367" s="30">
        <v>1</v>
      </c>
      <c r="G3367" s="44">
        <v>50089</v>
      </c>
      <c r="H3367" s="30"/>
      <c r="I3367" s="44"/>
      <c r="J3367" s="44"/>
      <c r="K3367" s="44">
        <f t="shared" si="111"/>
        <v>50089</v>
      </c>
      <c r="L3367" s="51">
        <v>20250703</v>
      </c>
    </row>
    <row r="3368" spans="1:12" x14ac:dyDescent="0.25">
      <c r="A3368" s="50" t="s">
        <v>4701</v>
      </c>
      <c r="B3368" s="30" t="s">
        <v>11</v>
      </c>
      <c r="C3368" s="30" t="s">
        <v>134</v>
      </c>
      <c r="D3368" s="30" t="s">
        <v>135</v>
      </c>
      <c r="E3368" s="30" t="s">
        <v>264</v>
      </c>
      <c r="F3368" s="30">
        <v>1</v>
      </c>
      <c r="G3368" s="44">
        <v>50089</v>
      </c>
      <c r="H3368" s="30"/>
      <c r="I3368" s="44"/>
      <c r="J3368" s="44"/>
      <c r="K3368" s="44">
        <f t="shared" si="111"/>
        <v>50089</v>
      </c>
      <c r="L3368" s="51">
        <v>20250704</v>
      </c>
    </row>
    <row r="3369" spans="1:12" x14ac:dyDescent="0.25">
      <c r="A3369" s="50" t="s">
        <v>4696</v>
      </c>
      <c r="B3369" s="30" t="s">
        <v>11</v>
      </c>
      <c r="C3369" s="30" t="s">
        <v>94</v>
      </c>
      <c r="D3369" s="30" t="s">
        <v>95</v>
      </c>
      <c r="E3369" s="30" t="s">
        <v>4051</v>
      </c>
      <c r="F3369" s="30">
        <v>1</v>
      </c>
      <c r="G3369" s="44">
        <v>50089</v>
      </c>
      <c r="H3369" s="30"/>
      <c r="I3369" s="44"/>
      <c r="J3369" s="44"/>
      <c r="K3369" s="44">
        <f t="shared" si="111"/>
        <v>50089</v>
      </c>
      <c r="L3369" s="51">
        <v>20250707</v>
      </c>
    </row>
    <row r="3370" spans="1:12" x14ac:dyDescent="0.25">
      <c r="A3370" s="52" t="s">
        <v>4702</v>
      </c>
      <c r="B3370" s="32" t="s">
        <v>11</v>
      </c>
      <c r="C3370" s="32" t="s">
        <v>28</v>
      </c>
      <c r="D3370" s="32" t="s">
        <v>200</v>
      </c>
      <c r="E3370" s="32" t="s">
        <v>201</v>
      </c>
      <c r="F3370" s="32">
        <v>1</v>
      </c>
      <c r="G3370" s="45">
        <v>50089</v>
      </c>
      <c r="H3370" s="32">
        <v>251</v>
      </c>
      <c r="I3370" s="45">
        <v>587.70000000000005</v>
      </c>
      <c r="J3370" s="45">
        <f t="shared" si="112"/>
        <v>147512.70000000001</v>
      </c>
      <c r="K3370" s="45">
        <f t="shared" si="111"/>
        <v>197601.7</v>
      </c>
      <c r="L3370" s="53">
        <v>20250707</v>
      </c>
    </row>
    <row r="3371" spans="1:12" x14ac:dyDescent="0.25">
      <c r="A3371" s="50" t="s">
        <v>4695</v>
      </c>
      <c r="B3371" s="30" t="s">
        <v>11</v>
      </c>
      <c r="C3371" s="30" t="s">
        <v>29</v>
      </c>
      <c r="D3371" s="30" t="s">
        <v>1656</v>
      </c>
      <c r="E3371" s="30" t="s">
        <v>2300</v>
      </c>
      <c r="F3371" s="30">
        <v>1</v>
      </c>
      <c r="G3371" s="44">
        <v>50089</v>
      </c>
      <c r="H3371" s="30"/>
      <c r="I3371" s="44"/>
      <c r="J3371" s="44"/>
      <c r="K3371" s="44">
        <f t="shared" si="111"/>
        <v>50089</v>
      </c>
      <c r="L3371" s="51">
        <v>20250708</v>
      </c>
    </row>
    <row r="3372" spans="1:12" x14ac:dyDescent="0.25">
      <c r="A3372" s="52" t="s">
        <v>4697</v>
      </c>
      <c r="B3372" s="32" t="s">
        <v>11</v>
      </c>
      <c r="C3372" s="32" t="s">
        <v>29</v>
      </c>
      <c r="D3372" s="32" t="s">
        <v>3494</v>
      </c>
      <c r="E3372" s="32" t="s">
        <v>2348</v>
      </c>
      <c r="F3372" s="32">
        <v>1</v>
      </c>
      <c r="G3372" s="45">
        <v>50089</v>
      </c>
      <c r="H3372" s="32">
        <v>37</v>
      </c>
      <c r="I3372" s="45">
        <v>587.70000000000005</v>
      </c>
      <c r="J3372" s="45">
        <f t="shared" si="112"/>
        <v>21744.9</v>
      </c>
      <c r="K3372" s="45">
        <f t="shared" si="111"/>
        <v>71833.899999999994</v>
      </c>
      <c r="L3372" s="53">
        <v>20250708</v>
      </c>
    </row>
    <row r="3373" spans="1:12" x14ac:dyDescent="0.25">
      <c r="A3373" s="50" t="s">
        <v>4698</v>
      </c>
      <c r="B3373" s="30" t="s">
        <v>11</v>
      </c>
      <c r="C3373" s="30" t="s">
        <v>646</v>
      </c>
      <c r="D3373" s="30" t="s">
        <v>24</v>
      </c>
      <c r="E3373" s="30" t="s">
        <v>3800</v>
      </c>
      <c r="F3373" s="30">
        <v>1</v>
      </c>
      <c r="G3373" s="44">
        <v>50089</v>
      </c>
      <c r="H3373" s="30"/>
      <c r="I3373" s="44"/>
      <c r="J3373" s="44"/>
      <c r="K3373" s="44">
        <f t="shared" si="111"/>
        <v>50089</v>
      </c>
      <c r="L3373" s="51">
        <v>20250708</v>
      </c>
    </row>
    <row r="3374" spans="1:12" x14ac:dyDescent="0.25">
      <c r="A3374" s="50" t="s">
        <v>4674</v>
      </c>
      <c r="B3374" s="30" t="s">
        <v>11</v>
      </c>
      <c r="C3374" s="30" t="s">
        <v>636</v>
      </c>
      <c r="D3374" s="30" t="s">
        <v>24</v>
      </c>
      <c r="E3374" s="30" t="s">
        <v>637</v>
      </c>
      <c r="F3374" s="30">
        <v>1</v>
      </c>
      <c r="G3374" s="44">
        <v>50089</v>
      </c>
      <c r="H3374" s="30"/>
      <c r="I3374" s="44"/>
      <c r="J3374" s="44"/>
      <c r="K3374" s="44">
        <f t="shared" si="111"/>
        <v>50089</v>
      </c>
      <c r="L3374" s="51">
        <v>20250716</v>
      </c>
    </row>
    <row r="3375" spans="1:12" x14ac:dyDescent="0.25">
      <c r="A3375" s="50" t="s">
        <v>4675</v>
      </c>
      <c r="B3375" s="30" t="s">
        <v>11</v>
      </c>
      <c r="C3375" s="30" t="s">
        <v>636</v>
      </c>
      <c r="D3375" s="30" t="s">
        <v>24</v>
      </c>
      <c r="E3375" s="30" t="s">
        <v>2934</v>
      </c>
      <c r="F3375" s="30">
        <v>1</v>
      </c>
      <c r="G3375" s="44">
        <v>50089</v>
      </c>
      <c r="H3375" s="30"/>
      <c r="I3375" s="44"/>
      <c r="J3375" s="44"/>
      <c r="K3375" s="44">
        <f t="shared" si="111"/>
        <v>50089</v>
      </c>
      <c r="L3375" s="51">
        <v>20250716</v>
      </c>
    </row>
    <row r="3376" spans="1:12" x14ac:dyDescent="0.25">
      <c r="A3376" s="50" t="s">
        <v>4678</v>
      </c>
      <c r="B3376" s="30" t="s">
        <v>11</v>
      </c>
      <c r="C3376" s="30" t="s">
        <v>251</v>
      </c>
      <c r="D3376" s="30" t="s">
        <v>2780</v>
      </c>
      <c r="E3376" s="30" t="s">
        <v>3195</v>
      </c>
      <c r="F3376" s="30">
        <v>1</v>
      </c>
      <c r="G3376" s="44">
        <v>50089</v>
      </c>
      <c r="H3376" s="30"/>
      <c r="I3376" s="44"/>
      <c r="J3376" s="44"/>
      <c r="K3376" s="44">
        <f t="shared" si="111"/>
        <v>50089</v>
      </c>
      <c r="L3376" s="51">
        <v>20250716</v>
      </c>
    </row>
    <row r="3377" spans="1:12" x14ac:dyDescent="0.25">
      <c r="A3377" s="52" t="s">
        <v>4685</v>
      </c>
      <c r="B3377" s="32" t="s">
        <v>11</v>
      </c>
      <c r="C3377" s="32" t="s">
        <v>163</v>
      </c>
      <c r="D3377" s="32" t="s">
        <v>164</v>
      </c>
      <c r="E3377" s="32" t="s">
        <v>454</v>
      </c>
      <c r="F3377" s="32">
        <v>1</v>
      </c>
      <c r="G3377" s="45">
        <v>50089</v>
      </c>
      <c r="H3377" s="32">
        <v>252</v>
      </c>
      <c r="I3377" s="45">
        <v>587.70000000000005</v>
      </c>
      <c r="J3377" s="45">
        <f t="shared" si="112"/>
        <v>148100.40000000002</v>
      </c>
      <c r="K3377" s="45">
        <f t="shared" si="111"/>
        <v>198189.40000000002</v>
      </c>
      <c r="L3377" s="53">
        <v>20250716</v>
      </c>
    </row>
    <row r="3378" spans="1:12" x14ac:dyDescent="0.25">
      <c r="A3378" s="52" t="s">
        <v>4672</v>
      </c>
      <c r="B3378" s="32" t="s">
        <v>11</v>
      </c>
      <c r="C3378" s="32" t="s">
        <v>26</v>
      </c>
      <c r="D3378" s="32" t="s">
        <v>145</v>
      </c>
      <c r="E3378" s="32" t="s">
        <v>3203</v>
      </c>
      <c r="F3378" s="32">
        <v>1</v>
      </c>
      <c r="G3378" s="45">
        <v>50089</v>
      </c>
      <c r="H3378" s="32">
        <v>75</v>
      </c>
      <c r="I3378" s="45">
        <v>587.70000000000005</v>
      </c>
      <c r="J3378" s="45">
        <f t="shared" si="112"/>
        <v>44077.5</v>
      </c>
      <c r="K3378" s="45">
        <f t="shared" si="111"/>
        <v>94166.5</v>
      </c>
      <c r="L3378" s="53">
        <v>20250717</v>
      </c>
    </row>
    <row r="3379" spans="1:12" x14ac:dyDescent="0.25">
      <c r="A3379" s="50" t="s">
        <v>4676</v>
      </c>
      <c r="B3379" s="30" t="s">
        <v>11</v>
      </c>
      <c r="C3379" s="30" t="s">
        <v>26</v>
      </c>
      <c r="D3379" s="30" t="s">
        <v>145</v>
      </c>
      <c r="E3379" s="30" t="s">
        <v>193</v>
      </c>
      <c r="F3379" s="30">
        <v>1</v>
      </c>
      <c r="G3379" s="44">
        <v>50089</v>
      </c>
      <c r="H3379" s="30"/>
      <c r="I3379" s="44"/>
      <c r="J3379" s="44"/>
      <c r="K3379" s="44">
        <f t="shared" si="111"/>
        <v>50089</v>
      </c>
      <c r="L3379" s="51">
        <v>20250717</v>
      </c>
    </row>
    <row r="3380" spans="1:12" x14ac:dyDescent="0.25">
      <c r="A3380" s="50" t="s">
        <v>4679</v>
      </c>
      <c r="B3380" s="30" t="s">
        <v>11</v>
      </c>
      <c r="C3380" s="30" t="s">
        <v>26</v>
      </c>
      <c r="D3380" s="30" t="s">
        <v>521</v>
      </c>
      <c r="E3380" s="30" t="s">
        <v>524</v>
      </c>
      <c r="F3380" s="30">
        <v>1</v>
      </c>
      <c r="G3380" s="44">
        <v>50089</v>
      </c>
      <c r="H3380" s="30"/>
      <c r="I3380" s="44"/>
      <c r="J3380" s="44"/>
      <c r="K3380" s="44">
        <f t="shared" si="111"/>
        <v>50089</v>
      </c>
      <c r="L3380" s="51">
        <v>20250717</v>
      </c>
    </row>
    <row r="3381" spans="1:12" x14ac:dyDescent="0.25">
      <c r="A3381" s="50" t="s">
        <v>4671</v>
      </c>
      <c r="B3381" s="30" t="s">
        <v>11</v>
      </c>
      <c r="C3381" s="30" t="s">
        <v>91</v>
      </c>
      <c r="D3381" s="30" t="s">
        <v>24</v>
      </c>
      <c r="E3381" s="30" t="s">
        <v>92</v>
      </c>
      <c r="F3381" s="30">
        <v>1</v>
      </c>
      <c r="G3381" s="44">
        <v>50089</v>
      </c>
      <c r="H3381" s="30"/>
      <c r="I3381" s="44"/>
      <c r="J3381" s="44"/>
      <c r="K3381" s="44">
        <f t="shared" si="111"/>
        <v>50089</v>
      </c>
      <c r="L3381" s="51">
        <v>20250721</v>
      </c>
    </row>
    <row r="3382" spans="1:12" x14ac:dyDescent="0.25">
      <c r="A3382" s="50" t="s">
        <v>4653</v>
      </c>
      <c r="B3382" s="30" t="s">
        <v>11</v>
      </c>
      <c r="C3382" s="30" t="s">
        <v>28</v>
      </c>
      <c r="D3382" s="30" t="s">
        <v>1742</v>
      </c>
      <c r="E3382" s="30" t="s">
        <v>2226</v>
      </c>
      <c r="F3382" s="30">
        <v>1</v>
      </c>
      <c r="G3382" s="44">
        <v>50089</v>
      </c>
      <c r="H3382" s="30"/>
      <c r="I3382" s="44"/>
      <c r="J3382" s="44"/>
      <c r="K3382" s="44">
        <f t="shared" si="111"/>
        <v>50089</v>
      </c>
      <c r="L3382" s="51">
        <v>20250722</v>
      </c>
    </row>
    <row r="3383" spans="1:12" x14ac:dyDescent="0.25">
      <c r="A3383" s="50" t="s">
        <v>4642</v>
      </c>
      <c r="B3383" s="30" t="s">
        <v>1209</v>
      </c>
      <c r="C3383" s="30" t="s">
        <v>936</v>
      </c>
      <c r="D3383" s="30" t="s">
        <v>4643</v>
      </c>
      <c r="E3383" s="30" t="s">
        <v>4644</v>
      </c>
      <c r="F3383" s="30">
        <v>1</v>
      </c>
      <c r="G3383" s="44">
        <v>50089</v>
      </c>
      <c r="H3383" s="30"/>
      <c r="I3383" s="44"/>
      <c r="J3383" s="44"/>
      <c r="K3383" s="44">
        <f t="shared" si="111"/>
        <v>50089</v>
      </c>
      <c r="L3383" s="51">
        <v>20250724</v>
      </c>
    </row>
    <row r="3384" spans="1:12" x14ac:dyDescent="0.25">
      <c r="A3384" s="50" t="s">
        <v>4645</v>
      </c>
      <c r="B3384" s="30" t="s">
        <v>1209</v>
      </c>
      <c r="C3384" s="30" t="s">
        <v>936</v>
      </c>
      <c r="D3384" s="30" t="s">
        <v>4643</v>
      </c>
      <c r="E3384" s="30" t="s">
        <v>4646</v>
      </c>
      <c r="F3384" s="30">
        <v>1</v>
      </c>
      <c r="G3384" s="44">
        <v>50089</v>
      </c>
      <c r="H3384" s="30"/>
      <c r="I3384" s="44"/>
      <c r="J3384" s="44"/>
      <c r="K3384" s="44">
        <f t="shared" si="111"/>
        <v>50089</v>
      </c>
      <c r="L3384" s="51">
        <v>20250724</v>
      </c>
    </row>
    <row r="3385" spans="1:12" x14ac:dyDescent="0.25">
      <c r="A3385" s="50" t="s">
        <v>4647</v>
      </c>
      <c r="B3385" s="30" t="s">
        <v>1209</v>
      </c>
      <c r="C3385" s="30" t="s">
        <v>936</v>
      </c>
      <c r="D3385" s="30" t="s">
        <v>4643</v>
      </c>
      <c r="E3385" s="30" t="s">
        <v>4648</v>
      </c>
      <c r="F3385" s="30">
        <v>1</v>
      </c>
      <c r="G3385" s="44">
        <v>50089</v>
      </c>
      <c r="H3385" s="30"/>
      <c r="I3385" s="44"/>
      <c r="J3385" s="44"/>
      <c r="K3385" s="44">
        <f t="shared" si="111"/>
        <v>50089</v>
      </c>
      <c r="L3385" s="51">
        <v>20250724</v>
      </c>
    </row>
    <row r="3386" spans="1:12" x14ac:dyDescent="0.25">
      <c r="A3386" s="50" t="s">
        <v>4649</v>
      </c>
      <c r="B3386" s="30" t="s">
        <v>1209</v>
      </c>
      <c r="C3386" s="30" t="s">
        <v>936</v>
      </c>
      <c r="D3386" s="30" t="s">
        <v>4643</v>
      </c>
      <c r="E3386" s="30" t="s">
        <v>4650</v>
      </c>
      <c r="F3386" s="30">
        <v>1</v>
      </c>
      <c r="G3386" s="44">
        <v>50089</v>
      </c>
      <c r="H3386" s="30"/>
      <c r="I3386" s="44"/>
      <c r="J3386" s="44"/>
      <c r="K3386" s="44">
        <f t="shared" si="111"/>
        <v>50089</v>
      </c>
      <c r="L3386" s="51">
        <v>20250724</v>
      </c>
    </row>
    <row r="3387" spans="1:12" x14ac:dyDescent="0.25">
      <c r="A3387" s="50" t="s">
        <v>4651</v>
      </c>
      <c r="B3387" s="30" t="s">
        <v>1209</v>
      </c>
      <c r="C3387" s="30" t="s">
        <v>936</v>
      </c>
      <c r="D3387" s="30" t="s">
        <v>4643</v>
      </c>
      <c r="E3387" s="30" t="s">
        <v>4652</v>
      </c>
      <c r="F3387" s="30">
        <v>1</v>
      </c>
      <c r="G3387" s="44">
        <v>50089</v>
      </c>
      <c r="H3387" s="30"/>
      <c r="I3387" s="44"/>
      <c r="J3387" s="44"/>
      <c r="K3387" s="44">
        <f t="shared" si="111"/>
        <v>50089</v>
      </c>
      <c r="L3387" s="51">
        <v>20250724</v>
      </c>
    </row>
    <row r="3388" spans="1:12" x14ac:dyDescent="0.25">
      <c r="A3388" s="52" t="s">
        <v>4673</v>
      </c>
      <c r="B3388" s="32" t="s">
        <v>11</v>
      </c>
      <c r="C3388" s="32" t="s">
        <v>163</v>
      </c>
      <c r="D3388" s="32" t="s">
        <v>164</v>
      </c>
      <c r="E3388" s="32" t="s">
        <v>4254</v>
      </c>
      <c r="F3388" s="32">
        <v>1</v>
      </c>
      <c r="G3388" s="45">
        <v>50089</v>
      </c>
      <c r="H3388" s="32">
        <v>126</v>
      </c>
      <c r="I3388" s="45">
        <v>587.70000000000005</v>
      </c>
      <c r="J3388" s="45">
        <f t="shared" si="112"/>
        <v>74050.200000000012</v>
      </c>
      <c r="K3388" s="45">
        <f t="shared" si="111"/>
        <v>124139.20000000001</v>
      </c>
      <c r="L3388" s="53">
        <v>20250725</v>
      </c>
    </row>
    <row r="3389" spans="1:12" x14ac:dyDescent="0.25">
      <c r="A3389" s="50" t="s">
        <v>4686</v>
      </c>
      <c r="B3389" s="30" t="s">
        <v>1209</v>
      </c>
      <c r="C3389" s="30" t="s">
        <v>4687</v>
      </c>
      <c r="D3389" s="30" t="s">
        <v>4688</v>
      </c>
      <c r="E3389" s="30" t="s">
        <v>4689</v>
      </c>
      <c r="F3389" s="30">
        <v>1</v>
      </c>
      <c r="G3389" s="44">
        <v>50089</v>
      </c>
      <c r="H3389" s="30"/>
      <c r="I3389" s="44"/>
      <c r="J3389" s="44"/>
      <c r="K3389" s="44">
        <f t="shared" si="111"/>
        <v>50089</v>
      </c>
      <c r="L3389" s="51">
        <v>20250725</v>
      </c>
    </row>
    <row r="3390" spans="1:12" x14ac:dyDescent="0.25">
      <c r="A3390" s="50" t="s">
        <v>4690</v>
      </c>
      <c r="B3390" s="30" t="s">
        <v>1209</v>
      </c>
      <c r="C3390" s="30" t="s">
        <v>4687</v>
      </c>
      <c r="D3390" s="30" t="s">
        <v>4688</v>
      </c>
      <c r="E3390" s="30" t="s">
        <v>4691</v>
      </c>
      <c r="F3390" s="30">
        <v>1</v>
      </c>
      <c r="G3390" s="44">
        <v>50089</v>
      </c>
      <c r="H3390" s="30"/>
      <c r="I3390" s="44"/>
      <c r="J3390" s="44"/>
      <c r="K3390" s="44">
        <f t="shared" si="111"/>
        <v>50089</v>
      </c>
      <c r="L3390" s="51">
        <v>20250725</v>
      </c>
    </row>
    <row r="3391" spans="1:12" x14ac:dyDescent="0.25">
      <c r="A3391" s="50" t="s">
        <v>4692</v>
      </c>
      <c r="B3391" s="30" t="s">
        <v>1209</v>
      </c>
      <c r="C3391" s="30" t="s">
        <v>4687</v>
      </c>
      <c r="D3391" s="30" t="s">
        <v>4688</v>
      </c>
      <c r="E3391" s="30" t="s">
        <v>4693</v>
      </c>
      <c r="F3391" s="30">
        <v>1</v>
      </c>
      <c r="G3391" s="44">
        <v>50089</v>
      </c>
      <c r="H3391" s="30"/>
      <c r="I3391" s="44"/>
      <c r="J3391" s="44"/>
      <c r="K3391" s="44">
        <f t="shared" si="111"/>
        <v>50089</v>
      </c>
      <c r="L3391" s="51">
        <v>20250725</v>
      </c>
    </row>
    <row r="3392" spans="1:12" x14ac:dyDescent="0.25">
      <c r="A3392" s="52" t="s">
        <v>4639</v>
      </c>
      <c r="B3392" s="32" t="s">
        <v>11</v>
      </c>
      <c r="C3392" s="32" t="s">
        <v>29</v>
      </c>
      <c r="D3392" s="32" t="s">
        <v>3494</v>
      </c>
      <c r="E3392" s="32" t="s">
        <v>4526</v>
      </c>
      <c r="F3392" s="32">
        <v>1</v>
      </c>
      <c r="G3392" s="45">
        <v>50089</v>
      </c>
      <c r="H3392" s="32">
        <v>37</v>
      </c>
      <c r="I3392" s="45">
        <v>587.70000000000005</v>
      </c>
      <c r="J3392" s="45">
        <f t="shared" si="112"/>
        <v>21744.9</v>
      </c>
      <c r="K3392" s="45">
        <f t="shared" si="111"/>
        <v>71833.899999999994</v>
      </c>
      <c r="L3392" s="53">
        <v>20250726</v>
      </c>
    </row>
    <row r="3393" spans="1:12" x14ac:dyDescent="0.25">
      <c r="A3393" s="50" t="s">
        <v>4641</v>
      </c>
      <c r="B3393" s="30" t="s">
        <v>11</v>
      </c>
      <c r="C3393" s="30" t="s">
        <v>922</v>
      </c>
      <c r="D3393" s="30" t="s">
        <v>24</v>
      </c>
      <c r="E3393" s="30" t="s">
        <v>923</v>
      </c>
      <c r="F3393" s="30">
        <v>1</v>
      </c>
      <c r="G3393" s="44">
        <v>50089</v>
      </c>
      <c r="H3393" s="30"/>
      <c r="I3393" s="44"/>
      <c r="J3393" s="44"/>
      <c r="K3393" s="44">
        <f t="shared" si="111"/>
        <v>50089</v>
      </c>
      <c r="L3393" s="51">
        <v>20250728</v>
      </c>
    </row>
    <row r="3394" spans="1:12" x14ac:dyDescent="0.25">
      <c r="A3394" s="50" t="s">
        <v>4637</v>
      </c>
      <c r="B3394" s="30" t="s">
        <v>11</v>
      </c>
      <c r="C3394" s="30" t="s">
        <v>28</v>
      </c>
      <c r="D3394" s="30" t="s">
        <v>1103</v>
      </c>
      <c r="E3394" s="30" t="s">
        <v>1104</v>
      </c>
      <c r="F3394" s="30">
        <v>1</v>
      </c>
      <c r="G3394" s="44">
        <v>50089</v>
      </c>
      <c r="H3394" s="30"/>
      <c r="I3394" s="44"/>
      <c r="J3394" s="44"/>
      <c r="K3394" s="44">
        <f t="shared" si="111"/>
        <v>50089</v>
      </c>
      <c r="L3394" s="51">
        <v>20250729</v>
      </c>
    </row>
    <row r="3395" spans="1:12" x14ac:dyDescent="0.25">
      <c r="A3395" s="50" t="s">
        <v>4638</v>
      </c>
      <c r="B3395" s="30" t="s">
        <v>11</v>
      </c>
      <c r="C3395" s="30" t="s">
        <v>28</v>
      </c>
      <c r="D3395" s="30" t="s">
        <v>1099</v>
      </c>
      <c r="E3395" s="30" t="s">
        <v>1100</v>
      </c>
      <c r="F3395" s="30">
        <v>1</v>
      </c>
      <c r="G3395" s="44">
        <v>50089</v>
      </c>
      <c r="H3395" s="30"/>
      <c r="I3395" s="44"/>
      <c r="J3395" s="44"/>
      <c r="K3395" s="44">
        <f t="shared" si="111"/>
        <v>50089</v>
      </c>
      <c r="L3395" s="51">
        <v>20250729</v>
      </c>
    </row>
    <row r="3396" spans="1:12" x14ac:dyDescent="0.25">
      <c r="A3396" s="50" t="s">
        <v>4640</v>
      </c>
      <c r="B3396" s="30" t="s">
        <v>11</v>
      </c>
      <c r="C3396" s="30" t="s">
        <v>337</v>
      </c>
      <c r="D3396" s="30" t="s">
        <v>35</v>
      </c>
      <c r="E3396" s="30" t="s">
        <v>1318</v>
      </c>
      <c r="F3396" s="30">
        <v>1</v>
      </c>
      <c r="G3396" s="44">
        <v>50089</v>
      </c>
      <c r="H3396" s="30"/>
      <c r="I3396" s="44"/>
      <c r="J3396" s="44"/>
      <c r="K3396" s="44">
        <f t="shared" si="111"/>
        <v>50089</v>
      </c>
      <c r="L3396" s="51">
        <v>20250729</v>
      </c>
    </row>
    <row r="3397" spans="1:12" ht="15.75" thickBot="1" x14ac:dyDescent="0.3">
      <c r="A3397" s="54" t="s">
        <v>4677</v>
      </c>
      <c r="B3397" s="36" t="s">
        <v>11</v>
      </c>
      <c r="C3397" s="36" t="s">
        <v>34</v>
      </c>
      <c r="D3397" s="36" t="s">
        <v>35</v>
      </c>
      <c r="E3397" s="36" t="s">
        <v>3747</v>
      </c>
      <c r="F3397" s="36">
        <v>1</v>
      </c>
      <c r="G3397" s="65">
        <v>50089</v>
      </c>
      <c r="H3397" s="36"/>
      <c r="I3397" s="65"/>
      <c r="J3397" s="65"/>
      <c r="K3397" s="65">
        <f t="shared" si="111"/>
        <v>50089</v>
      </c>
      <c r="L3397" s="55">
        <v>20250729</v>
      </c>
    </row>
    <row r="3398" spans="1:12" x14ac:dyDescent="0.25">
      <c r="A3398" s="73"/>
      <c r="B3398" s="74"/>
      <c r="C3398" s="74"/>
      <c r="D3398" s="74"/>
      <c r="E3398" s="74"/>
      <c r="F3398" s="74"/>
      <c r="G3398" s="75"/>
      <c r="H3398" s="74"/>
      <c r="I3398" s="75"/>
      <c r="J3398" s="75"/>
      <c r="K3398" s="75"/>
      <c r="L3398" s="76"/>
    </row>
    <row r="3399" spans="1:12" ht="15.75" thickBot="1" x14ac:dyDescent="0.3">
      <c r="A3399" s="69"/>
      <c r="B3399" s="70"/>
      <c r="C3399" s="70"/>
      <c r="D3399" s="70"/>
      <c r="E3399" s="70"/>
      <c r="F3399" s="70"/>
      <c r="G3399" s="71"/>
      <c r="H3399" s="70"/>
      <c r="I3399" s="71"/>
      <c r="J3399" s="71"/>
      <c r="K3399" s="71"/>
      <c r="L3399" s="72"/>
    </row>
    <row r="3400" spans="1:12" x14ac:dyDescent="0.25">
      <c r="A3400" s="48" t="s">
        <v>4699</v>
      </c>
      <c r="B3400" s="34" t="s">
        <v>137</v>
      </c>
      <c r="C3400" s="34" t="s">
        <v>1234</v>
      </c>
      <c r="D3400" s="34" t="s">
        <v>24</v>
      </c>
      <c r="E3400" s="34" t="s">
        <v>1235</v>
      </c>
      <c r="F3400" s="34">
        <v>1</v>
      </c>
      <c r="G3400" s="64">
        <v>25035</v>
      </c>
      <c r="H3400" s="34"/>
      <c r="I3400" s="64"/>
      <c r="J3400" s="64"/>
      <c r="K3400" s="64">
        <f t="shared" si="111"/>
        <v>25035</v>
      </c>
      <c r="L3400" s="49">
        <v>20250704</v>
      </c>
    </row>
    <row r="3401" spans="1:12" x14ac:dyDescent="0.25">
      <c r="A3401" s="50" t="s">
        <v>4700</v>
      </c>
      <c r="B3401" s="30" t="s">
        <v>137</v>
      </c>
      <c r="C3401" s="30" t="s">
        <v>1234</v>
      </c>
      <c r="D3401" s="30" t="s">
        <v>24</v>
      </c>
      <c r="E3401" s="30" t="s">
        <v>2045</v>
      </c>
      <c r="F3401" s="30">
        <v>1</v>
      </c>
      <c r="G3401" s="44">
        <v>25035</v>
      </c>
      <c r="H3401" s="30"/>
      <c r="I3401" s="44"/>
      <c r="J3401" s="44"/>
      <c r="K3401" s="44">
        <f t="shared" si="111"/>
        <v>25035</v>
      </c>
      <c r="L3401" s="51">
        <v>20250704</v>
      </c>
    </row>
    <row r="3402" spans="1:12" x14ac:dyDescent="0.25">
      <c r="A3402" s="50" t="s">
        <v>4714</v>
      </c>
      <c r="B3402" s="30" t="s">
        <v>137</v>
      </c>
      <c r="C3402" s="30" t="s">
        <v>4490</v>
      </c>
      <c r="D3402" s="30" t="s">
        <v>271</v>
      </c>
      <c r="E3402" s="30" t="s">
        <v>272</v>
      </c>
      <c r="F3402" s="30">
        <v>1</v>
      </c>
      <c r="G3402" s="44">
        <v>25035</v>
      </c>
      <c r="H3402" s="30"/>
      <c r="I3402" s="44"/>
      <c r="J3402" s="44"/>
      <c r="K3402" s="44">
        <f t="shared" si="111"/>
        <v>25035</v>
      </c>
      <c r="L3402" s="51">
        <v>20250707</v>
      </c>
    </row>
    <row r="3403" spans="1:12" x14ac:dyDescent="0.25">
      <c r="A3403" s="50" t="s">
        <v>4715</v>
      </c>
      <c r="B3403" s="30" t="s">
        <v>137</v>
      </c>
      <c r="C3403" s="30" t="s">
        <v>4490</v>
      </c>
      <c r="D3403" s="30" t="s">
        <v>271</v>
      </c>
      <c r="E3403" s="30" t="s">
        <v>274</v>
      </c>
      <c r="F3403" s="30">
        <v>1</v>
      </c>
      <c r="G3403" s="44">
        <v>25035</v>
      </c>
      <c r="H3403" s="30"/>
      <c r="I3403" s="44"/>
      <c r="J3403" s="44"/>
      <c r="K3403" s="44">
        <f t="shared" si="111"/>
        <v>25035</v>
      </c>
      <c r="L3403" s="51">
        <v>20250707</v>
      </c>
    </row>
    <row r="3404" spans="1:12" x14ac:dyDescent="0.25">
      <c r="A3404" s="50" t="s">
        <v>4716</v>
      </c>
      <c r="B3404" s="30" t="s">
        <v>137</v>
      </c>
      <c r="C3404" s="30" t="s">
        <v>4490</v>
      </c>
      <c r="D3404" s="30" t="s">
        <v>271</v>
      </c>
      <c r="E3404" s="30" t="s">
        <v>2723</v>
      </c>
      <c r="F3404" s="30">
        <v>1</v>
      </c>
      <c r="G3404" s="44">
        <v>25035</v>
      </c>
      <c r="H3404" s="30"/>
      <c r="I3404" s="44"/>
      <c r="J3404" s="44"/>
      <c r="K3404" s="44">
        <f t="shared" si="111"/>
        <v>25035</v>
      </c>
      <c r="L3404" s="51">
        <v>20250707</v>
      </c>
    </row>
    <row r="3405" spans="1:12" x14ac:dyDescent="0.25">
      <c r="A3405" s="50" t="s">
        <v>4680</v>
      </c>
      <c r="B3405" s="30" t="s">
        <v>137</v>
      </c>
      <c r="C3405" s="30" t="s">
        <v>2861</v>
      </c>
      <c r="D3405" s="30" t="s">
        <v>2862</v>
      </c>
      <c r="E3405" s="30" t="s">
        <v>2863</v>
      </c>
      <c r="F3405" s="30">
        <v>1</v>
      </c>
      <c r="G3405" s="44">
        <v>25035</v>
      </c>
      <c r="H3405" s="30"/>
      <c r="I3405" s="44"/>
      <c r="J3405" s="44"/>
      <c r="K3405" s="44">
        <f t="shared" si="111"/>
        <v>25035</v>
      </c>
      <c r="L3405" s="51">
        <v>20250710</v>
      </c>
    </row>
    <row r="3406" spans="1:12" x14ac:dyDescent="0.25">
      <c r="A3406" s="50" t="s">
        <v>4681</v>
      </c>
      <c r="B3406" s="30" t="s">
        <v>137</v>
      </c>
      <c r="C3406" s="30" t="s">
        <v>251</v>
      </c>
      <c r="D3406" s="30" t="s">
        <v>764</v>
      </c>
      <c r="E3406" s="30" t="s">
        <v>1210</v>
      </c>
      <c r="F3406" s="30">
        <v>1</v>
      </c>
      <c r="G3406" s="44">
        <v>25035</v>
      </c>
      <c r="H3406" s="30"/>
      <c r="I3406" s="44"/>
      <c r="J3406" s="44"/>
      <c r="K3406" s="44">
        <f t="shared" si="111"/>
        <v>25035</v>
      </c>
      <c r="L3406" s="51">
        <v>20250710</v>
      </c>
    </row>
    <row r="3407" spans="1:12" x14ac:dyDescent="0.25">
      <c r="A3407" s="50" t="s">
        <v>4682</v>
      </c>
      <c r="B3407" s="30" t="s">
        <v>137</v>
      </c>
      <c r="C3407" s="30" t="s">
        <v>251</v>
      </c>
      <c r="D3407" s="30" t="s">
        <v>1202</v>
      </c>
      <c r="E3407" s="30" t="s">
        <v>1203</v>
      </c>
      <c r="F3407" s="30">
        <v>1</v>
      </c>
      <c r="G3407" s="44">
        <v>25035</v>
      </c>
      <c r="H3407" s="30"/>
      <c r="I3407" s="44"/>
      <c r="J3407" s="44"/>
      <c r="K3407" s="44">
        <f t="shared" si="111"/>
        <v>25035</v>
      </c>
      <c r="L3407" s="51">
        <v>20250710</v>
      </c>
    </row>
    <row r="3408" spans="1:12" x14ac:dyDescent="0.25">
      <c r="A3408" s="50" t="s">
        <v>4683</v>
      </c>
      <c r="B3408" s="30" t="s">
        <v>137</v>
      </c>
      <c r="C3408" s="30" t="s">
        <v>936</v>
      </c>
      <c r="D3408" s="30" t="s">
        <v>4054</v>
      </c>
      <c r="E3408" s="30" t="s">
        <v>4173</v>
      </c>
      <c r="F3408" s="30">
        <v>1</v>
      </c>
      <c r="G3408" s="44">
        <v>25035</v>
      </c>
      <c r="H3408" s="30"/>
      <c r="I3408" s="44"/>
      <c r="J3408" s="44"/>
      <c r="K3408" s="44">
        <f t="shared" si="111"/>
        <v>25035</v>
      </c>
      <c r="L3408" s="51">
        <v>20250710</v>
      </c>
    </row>
    <row r="3409" spans="1:12" x14ac:dyDescent="0.25">
      <c r="A3409" s="50" t="s">
        <v>4684</v>
      </c>
      <c r="B3409" s="30" t="s">
        <v>137</v>
      </c>
      <c r="C3409" s="30" t="s">
        <v>607</v>
      </c>
      <c r="D3409" s="30" t="s">
        <v>24</v>
      </c>
      <c r="E3409" s="30" t="s">
        <v>3792</v>
      </c>
      <c r="F3409" s="30">
        <v>1</v>
      </c>
      <c r="G3409" s="44">
        <v>25035</v>
      </c>
      <c r="H3409" s="30"/>
      <c r="I3409" s="44"/>
      <c r="J3409" s="44"/>
      <c r="K3409" s="44">
        <f t="shared" si="111"/>
        <v>25035</v>
      </c>
      <c r="L3409" s="51">
        <v>20250710</v>
      </c>
    </row>
    <row r="3410" spans="1:12" x14ac:dyDescent="0.25">
      <c r="A3410" s="50" t="s">
        <v>4694</v>
      </c>
      <c r="B3410" s="30" t="s">
        <v>137</v>
      </c>
      <c r="C3410" s="30" t="s">
        <v>29</v>
      </c>
      <c r="D3410" s="30" t="s">
        <v>2548</v>
      </c>
      <c r="E3410" s="30" t="s">
        <v>390</v>
      </c>
      <c r="F3410" s="30">
        <v>1</v>
      </c>
      <c r="G3410" s="44">
        <v>25035</v>
      </c>
      <c r="H3410" s="30"/>
      <c r="I3410" s="44"/>
      <c r="J3410" s="44"/>
      <c r="K3410" s="44">
        <f t="shared" si="111"/>
        <v>25035</v>
      </c>
      <c r="L3410" s="51">
        <v>20250710</v>
      </c>
    </row>
    <row r="3411" spans="1:12" x14ac:dyDescent="0.25">
      <c r="A3411" s="50" t="s">
        <v>4713</v>
      </c>
      <c r="B3411" s="30" t="s">
        <v>137</v>
      </c>
      <c r="C3411" s="30" t="s">
        <v>29</v>
      </c>
      <c r="D3411" s="30" t="s">
        <v>1385</v>
      </c>
      <c r="E3411" s="30" t="s">
        <v>733</v>
      </c>
      <c r="F3411" s="30">
        <v>1</v>
      </c>
      <c r="G3411" s="44">
        <v>25035</v>
      </c>
      <c r="H3411" s="30"/>
      <c r="I3411" s="44"/>
      <c r="J3411" s="44"/>
      <c r="K3411" s="44">
        <f t="shared" si="111"/>
        <v>25035</v>
      </c>
      <c r="L3411" s="51">
        <v>20250710</v>
      </c>
    </row>
    <row r="3412" spans="1:12" x14ac:dyDescent="0.25">
      <c r="A3412" s="50" t="s">
        <v>4717</v>
      </c>
      <c r="B3412" s="30" t="s">
        <v>137</v>
      </c>
      <c r="C3412" s="30" t="s">
        <v>91</v>
      </c>
      <c r="D3412" s="30" t="s">
        <v>24</v>
      </c>
      <c r="E3412" s="30" t="s">
        <v>92</v>
      </c>
      <c r="F3412" s="30">
        <v>1</v>
      </c>
      <c r="G3412" s="44">
        <v>25035</v>
      </c>
      <c r="H3412" s="30"/>
      <c r="I3412" s="44"/>
      <c r="J3412" s="44"/>
      <c r="K3412" s="44">
        <f t="shared" si="111"/>
        <v>25035</v>
      </c>
      <c r="L3412" s="51">
        <v>20250710</v>
      </c>
    </row>
    <row r="3413" spans="1:12" x14ac:dyDescent="0.25">
      <c r="A3413" s="50" t="s">
        <v>4654</v>
      </c>
      <c r="B3413" s="30" t="s">
        <v>137</v>
      </c>
      <c r="C3413" s="30" t="s">
        <v>4655</v>
      </c>
      <c r="D3413" s="30" t="s">
        <v>4656</v>
      </c>
      <c r="E3413" s="30" t="s">
        <v>4657</v>
      </c>
      <c r="F3413" s="30">
        <v>1</v>
      </c>
      <c r="G3413" s="44">
        <v>25035</v>
      </c>
      <c r="H3413" s="30"/>
      <c r="I3413" s="44"/>
      <c r="J3413" s="44"/>
      <c r="K3413" s="44">
        <f t="shared" si="111"/>
        <v>25035</v>
      </c>
      <c r="L3413" s="51">
        <v>20250721</v>
      </c>
    </row>
    <row r="3414" spans="1:12" x14ac:dyDescent="0.25">
      <c r="A3414" s="50" t="s">
        <v>4658</v>
      </c>
      <c r="B3414" s="30" t="s">
        <v>137</v>
      </c>
      <c r="C3414" s="30" t="s">
        <v>4655</v>
      </c>
      <c r="D3414" s="30" t="s">
        <v>4656</v>
      </c>
      <c r="E3414" s="30" t="s">
        <v>4659</v>
      </c>
      <c r="F3414" s="30">
        <v>1</v>
      </c>
      <c r="G3414" s="44">
        <v>25035</v>
      </c>
      <c r="H3414" s="30"/>
      <c r="I3414" s="44"/>
      <c r="J3414" s="44"/>
      <c r="K3414" s="44">
        <f t="shared" si="111"/>
        <v>25035</v>
      </c>
      <c r="L3414" s="51">
        <v>20250721</v>
      </c>
    </row>
    <row r="3415" spans="1:12" x14ac:dyDescent="0.25">
      <c r="A3415" s="50" t="s">
        <v>4660</v>
      </c>
      <c r="B3415" s="30" t="s">
        <v>137</v>
      </c>
      <c r="C3415" s="30" t="s">
        <v>29</v>
      </c>
      <c r="D3415" s="30" t="s">
        <v>24</v>
      </c>
      <c r="E3415" s="30" t="s">
        <v>1003</v>
      </c>
      <c r="F3415" s="30">
        <v>1</v>
      </c>
      <c r="G3415" s="44">
        <v>25035</v>
      </c>
      <c r="H3415" s="30"/>
      <c r="I3415" s="44"/>
      <c r="J3415" s="44"/>
      <c r="K3415" s="44">
        <f t="shared" si="111"/>
        <v>25035</v>
      </c>
      <c r="L3415" s="51">
        <v>20250721</v>
      </c>
    </row>
    <row r="3416" spans="1:12" x14ac:dyDescent="0.25">
      <c r="A3416" s="50" t="s">
        <v>4661</v>
      </c>
      <c r="B3416" s="30" t="s">
        <v>137</v>
      </c>
      <c r="C3416" s="30" t="s">
        <v>29</v>
      </c>
      <c r="D3416" s="30" t="s">
        <v>24</v>
      </c>
      <c r="E3416" s="30" t="s">
        <v>2051</v>
      </c>
      <c r="F3416" s="30">
        <v>1</v>
      </c>
      <c r="G3416" s="44">
        <v>25035</v>
      </c>
      <c r="H3416" s="30"/>
      <c r="I3416" s="44"/>
      <c r="J3416" s="44"/>
      <c r="K3416" s="44">
        <f t="shared" si="111"/>
        <v>25035</v>
      </c>
      <c r="L3416" s="51">
        <v>20250721</v>
      </c>
    </row>
    <row r="3417" spans="1:12" x14ac:dyDescent="0.25">
      <c r="A3417" s="50" t="s">
        <v>4662</v>
      </c>
      <c r="B3417" s="30" t="s">
        <v>137</v>
      </c>
      <c r="C3417" s="30" t="s">
        <v>251</v>
      </c>
      <c r="D3417" s="30" t="s">
        <v>1231</v>
      </c>
      <c r="E3417" s="30" t="s">
        <v>1232</v>
      </c>
      <c r="F3417" s="30">
        <v>1</v>
      </c>
      <c r="G3417" s="44">
        <v>25035</v>
      </c>
      <c r="H3417" s="30"/>
      <c r="I3417" s="44"/>
      <c r="J3417" s="44"/>
      <c r="K3417" s="44">
        <f t="shared" si="111"/>
        <v>25035</v>
      </c>
      <c r="L3417" s="51">
        <v>20250721</v>
      </c>
    </row>
    <row r="3418" spans="1:12" x14ac:dyDescent="0.25">
      <c r="A3418" s="50" t="s">
        <v>4663</v>
      </c>
      <c r="B3418" s="30" t="s">
        <v>137</v>
      </c>
      <c r="C3418" s="30" t="s">
        <v>29</v>
      </c>
      <c r="D3418" s="30" t="s">
        <v>1385</v>
      </c>
      <c r="E3418" s="30" t="s">
        <v>628</v>
      </c>
      <c r="F3418" s="30">
        <v>1</v>
      </c>
      <c r="G3418" s="44">
        <v>25035</v>
      </c>
      <c r="H3418" s="30"/>
      <c r="I3418" s="44"/>
      <c r="J3418" s="44"/>
      <c r="K3418" s="44">
        <f t="shared" si="111"/>
        <v>25035</v>
      </c>
      <c r="L3418" s="51">
        <v>20250721</v>
      </c>
    </row>
    <row r="3419" spans="1:12" x14ac:dyDescent="0.25">
      <c r="A3419" s="50" t="s">
        <v>4664</v>
      </c>
      <c r="B3419" s="30" t="s">
        <v>137</v>
      </c>
      <c r="C3419" s="30" t="s">
        <v>29</v>
      </c>
      <c r="D3419" s="30" t="s">
        <v>1385</v>
      </c>
      <c r="E3419" s="30" t="s">
        <v>209</v>
      </c>
      <c r="F3419" s="30">
        <v>1</v>
      </c>
      <c r="G3419" s="44">
        <v>25035</v>
      </c>
      <c r="H3419" s="30"/>
      <c r="I3419" s="44"/>
      <c r="J3419" s="44"/>
      <c r="K3419" s="44">
        <f t="shared" si="111"/>
        <v>25035</v>
      </c>
      <c r="L3419" s="51">
        <v>20250721</v>
      </c>
    </row>
    <row r="3420" spans="1:12" x14ac:dyDescent="0.25">
      <c r="A3420" s="50" t="s">
        <v>4665</v>
      </c>
      <c r="B3420" s="30" t="s">
        <v>137</v>
      </c>
      <c r="C3420" s="30" t="s">
        <v>29</v>
      </c>
      <c r="D3420" s="30" t="s">
        <v>1385</v>
      </c>
      <c r="E3420" s="30" t="s">
        <v>4125</v>
      </c>
      <c r="F3420" s="30">
        <v>1</v>
      </c>
      <c r="G3420" s="44">
        <v>25035</v>
      </c>
      <c r="H3420" s="30"/>
      <c r="I3420" s="44"/>
      <c r="J3420" s="44"/>
      <c r="K3420" s="44">
        <f t="shared" si="111"/>
        <v>25035</v>
      </c>
      <c r="L3420" s="51">
        <v>20250721</v>
      </c>
    </row>
    <row r="3421" spans="1:12" x14ac:dyDescent="0.25">
      <c r="A3421" s="50" t="s">
        <v>4666</v>
      </c>
      <c r="B3421" s="30" t="s">
        <v>137</v>
      </c>
      <c r="C3421" s="30" t="s">
        <v>29</v>
      </c>
      <c r="D3421" s="30" t="s">
        <v>1385</v>
      </c>
      <c r="E3421" s="30" t="s">
        <v>2101</v>
      </c>
      <c r="F3421" s="30">
        <v>1</v>
      </c>
      <c r="G3421" s="44">
        <v>25035</v>
      </c>
      <c r="H3421" s="30"/>
      <c r="I3421" s="44"/>
      <c r="J3421" s="44"/>
      <c r="K3421" s="44">
        <f t="shared" si="111"/>
        <v>25035</v>
      </c>
      <c r="L3421" s="51">
        <v>20250721</v>
      </c>
    </row>
    <row r="3422" spans="1:12" x14ac:dyDescent="0.25">
      <c r="A3422" s="50" t="s">
        <v>4667</v>
      </c>
      <c r="B3422" s="30" t="s">
        <v>137</v>
      </c>
      <c r="C3422" s="30" t="s">
        <v>29</v>
      </c>
      <c r="D3422" s="30" t="s">
        <v>1385</v>
      </c>
      <c r="E3422" s="30" t="s">
        <v>3889</v>
      </c>
      <c r="F3422" s="30">
        <v>1</v>
      </c>
      <c r="G3422" s="44">
        <v>25035</v>
      </c>
      <c r="H3422" s="30"/>
      <c r="I3422" s="44"/>
      <c r="J3422" s="44"/>
      <c r="K3422" s="44">
        <f t="shared" si="111"/>
        <v>25035</v>
      </c>
      <c r="L3422" s="51">
        <v>20250721</v>
      </c>
    </row>
    <row r="3423" spans="1:12" x14ac:dyDescent="0.25">
      <c r="A3423" s="50" t="s">
        <v>4668</v>
      </c>
      <c r="B3423" s="30" t="s">
        <v>137</v>
      </c>
      <c r="C3423" s="30" t="s">
        <v>29</v>
      </c>
      <c r="D3423" s="30" t="s">
        <v>1385</v>
      </c>
      <c r="E3423" s="30" t="s">
        <v>3335</v>
      </c>
      <c r="F3423" s="30">
        <v>1</v>
      </c>
      <c r="G3423" s="44">
        <v>25035</v>
      </c>
      <c r="H3423" s="30"/>
      <c r="I3423" s="44"/>
      <c r="J3423" s="44"/>
      <c r="K3423" s="44">
        <f t="shared" si="111"/>
        <v>25035</v>
      </c>
      <c r="L3423" s="51">
        <v>20250721</v>
      </c>
    </row>
    <row r="3424" spans="1:12" x14ac:dyDescent="0.25">
      <c r="A3424" s="50" t="s">
        <v>4669</v>
      </c>
      <c r="B3424" s="30" t="s">
        <v>137</v>
      </c>
      <c r="C3424" s="30" t="s">
        <v>29</v>
      </c>
      <c r="D3424" s="30" t="s">
        <v>1385</v>
      </c>
      <c r="E3424" s="30" t="s">
        <v>1127</v>
      </c>
      <c r="F3424" s="30">
        <v>1</v>
      </c>
      <c r="G3424" s="44">
        <v>25035</v>
      </c>
      <c r="H3424" s="30"/>
      <c r="I3424" s="44"/>
      <c r="J3424" s="44"/>
      <c r="K3424" s="44">
        <f t="shared" si="111"/>
        <v>25035</v>
      </c>
      <c r="L3424" s="51">
        <v>20250721</v>
      </c>
    </row>
    <row r="3425" spans="1:14" x14ac:dyDescent="0.25">
      <c r="A3425" s="50" t="s">
        <v>4670</v>
      </c>
      <c r="B3425" s="30" t="s">
        <v>137</v>
      </c>
      <c r="C3425" s="30" t="s">
        <v>29</v>
      </c>
      <c r="D3425" s="30" t="s">
        <v>1385</v>
      </c>
      <c r="E3425" s="30" t="s">
        <v>1320</v>
      </c>
      <c r="F3425" s="30">
        <v>1</v>
      </c>
      <c r="G3425" s="44">
        <v>25035</v>
      </c>
      <c r="H3425" s="30"/>
      <c r="I3425" s="44"/>
      <c r="J3425" s="44"/>
      <c r="K3425" s="44">
        <f t="shared" si="111"/>
        <v>25035</v>
      </c>
      <c r="L3425" s="51">
        <v>20250721</v>
      </c>
    </row>
    <row r="3426" spans="1:14" x14ac:dyDescent="0.25">
      <c r="A3426" s="50" t="s">
        <v>4712</v>
      </c>
      <c r="B3426" s="30" t="s">
        <v>137</v>
      </c>
      <c r="C3426" s="30" t="s">
        <v>29</v>
      </c>
      <c r="D3426" s="30" t="s">
        <v>1385</v>
      </c>
      <c r="E3426" s="30" t="s">
        <v>4373</v>
      </c>
      <c r="F3426" s="30">
        <v>1</v>
      </c>
      <c r="G3426" s="44">
        <v>25035</v>
      </c>
      <c r="H3426" s="30"/>
      <c r="I3426" s="44"/>
      <c r="J3426" s="44"/>
      <c r="K3426" s="44">
        <f t="shared" ref="K3426:K3432" si="113">J3426+G3426</f>
        <v>25035</v>
      </c>
      <c r="L3426" s="51">
        <v>20250721</v>
      </c>
    </row>
    <row r="3427" spans="1:14" x14ac:dyDescent="0.25">
      <c r="A3427" s="50" t="s">
        <v>4631</v>
      </c>
      <c r="B3427" s="30" t="s">
        <v>137</v>
      </c>
      <c r="C3427" s="30" t="s">
        <v>34</v>
      </c>
      <c r="D3427" s="30" t="s">
        <v>35</v>
      </c>
      <c r="E3427" s="30" t="s">
        <v>968</v>
      </c>
      <c r="F3427" s="30">
        <v>1</v>
      </c>
      <c r="G3427" s="44">
        <v>25035</v>
      </c>
      <c r="H3427" s="30"/>
      <c r="I3427" s="44"/>
      <c r="J3427" s="44"/>
      <c r="K3427" s="44">
        <f t="shared" si="113"/>
        <v>25035</v>
      </c>
      <c r="L3427" s="51">
        <v>20250729</v>
      </c>
    </row>
    <row r="3428" spans="1:14" x14ac:dyDescent="0.25">
      <c r="A3428" s="50" t="s">
        <v>4632</v>
      </c>
      <c r="B3428" s="30" t="s">
        <v>137</v>
      </c>
      <c r="C3428" s="30" t="s">
        <v>34</v>
      </c>
      <c r="D3428" s="30" t="s">
        <v>35</v>
      </c>
      <c r="E3428" s="30" t="s">
        <v>1367</v>
      </c>
      <c r="F3428" s="30">
        <v>1</v>
      </c>
      <c r="G3428" s="44">
        <v>25035</v>
      </c>
      <c r="H3428" s="30"/>
      <c r="I3428" s="44"/>
      <c r="J3428" s="44"/>
      <c r="K3428" s="44">
        <f t="shared" si="113"/>
        <v>25035</v>
      </c>
      <c r="L3428" s="51">
        <v>20250729</v>
      </c>
    </row>
    <row r="3429" spans="1:14" x14ac:dyDescent="0.25">
      <c r="A3429" s="50" t="s">
        <v>4633</v>
      </c>
      <c r="B3429" s="30" t="s">
        <v>137</v>
      </c>
      <c r="C3429" s="30" t="s">
        <v>34</v>
      </c>
      <c r="D3429" s="30" t="s">
        <v>35</v>
      </c>
      <c r="E3429" s="30" t="s">
        <v>1369</v>
      </c>
      <c r="F3429" s="30">
        <v>1</v>
      </c>
      <c r="G3429" s="44">
        <v>25035</v>
      </c>
      <c r="H3429" s="30"/>
      <c r="I3429" s="44"/>
      <c r="J3429" s="44"/>
      <c r="K3429" s="44">
        <f t="shared" si="113"/>
        <v>25035</v>
      </c>
      <c r="L3429" s="51">
        <v>20250729</v>
      </c>
    </row>
    <row r="3430" spans="1:14" x14ac:dyDescent="0.25">
      <c r="A3430" s="50" t="s">
        <v>4634</v>
      </c>
      <c r="B3430" s="30" t="s">
        <v>137</v>
      </c>
      <c r="C3430" s="30" t="s">
        <v>34</v>
      </c>
      <c r="D3430" s="30" t="s">
        <v>35</v>
      </c>
      <c r="E3430" s="30" t="s">
        <v>1373</v>
      </c>
      <c r="F3430" s="30">
        <v>1</v>
      </c>
      <c r="G3430" s="44">
        <v>25035</v>
      </c>
      <c r="H3430" s="30"/>
      <c r="I3430" s="44"/>
      <c r="J3430" s="44"/>
      <c r="K3430" s="44">
        <f t="shared" si="113"/>
        <v>25035</v>
      </c>
      <c r="L3430" s="51">
        <v>20250729</v>
      </c>
    </row>
    <row r="3431" spans="1:14" x14ac:dyDescent="0.25">
      <c r="A3431" s="50" t="s">
        <v>4635</v>
      </c>
      <c r="B3431" s="30" t="s">
        <v>137</v>
      </c>
      <c r="C3431" s="30" t="s">
        <v>34</v>
      </c>
      <c r="D3431" s="30" t="s">
        <v>35</v>
      </c>
      <c r="E3431" s="30" t="s">
        <v>2925</v>
      </c>
      <c r="F3431" s="30">
        <v>1</v>
      </c>
      <c r="G3431" s="44">
        <v>25035</v>
      </c>
      <c r="H3431" s="30"/>
      <c r="I3431" s="44"/>
      <c r="J3431" s="44"/>
      <c r="K3431" s="44">
        <f t="shared" si="113"/>
        <v>25035</v>
      </c>
      <c r="L3431" s="51">
        <v>20250729</v>
      </c>
    </row>
    <row r="3432" spans="1:14" ht="15.75" thickBot="1" x14ac:dyDescent="0.3">
      <c r="A3432" s="54" t="s">
        <v>4636</v>
      </c>
      <c r="B3432" s="36" t="s">
        <v>137</v>
      </c>
      <c r="C3432" s="36" t="s">
        <v>34</v>
      </c>
      <c r="D3432" s="36" t="s">
        <v>35</v>
      </c>
      <c r="E3432" s="36" t="s">
        <v>2681</v>
      </c>
      <c r="F3432" s="36">
        <v>1</v>
      </c>
      <c r="G3432" s="65">
        <v>25035</v>
      </c>
      <c r="H3432" s="36"/>
      <c r="I3432" s="65"/>
      <c r="J3432" s="65"/>
      <c r="K3432" s="65">
        <f t="shared" si="113"/>
        <v>25035</v>
      </c>
      <c r="L3432" s="55">
        <v>20250729</v>
      </c>
    </row>
    <row r="3436" spans="1:14" x14ac:dyDescent="0.25">
      <c r="A3436"/>
      <c r="B3436"/>
      <c r="C3436"/>
      <c r="D3436"/>
      <c r="E3436"/>
      <c r="G3436"/>
      <c r="H3436"/>
      <c r="I3436"/>
      <c r="J3436"/>
      <c r="K3436"/>
      <c r="M3436"/>
      <c r="N3436"/>
    </row>
    <row r="3437" spans="1:14" ht="15.75" thickBot="1" x14ac:dyDescent="0.3">
      <c r="A3437" s="69" t="s">
        <v>0</v>
      </c>
      <c r="B3437" s="70" t="s">
        <v>1</v>
      </c>
      <c r="C3437" s="70" t="s">
        <v>2</v>
      </c>
      <c r="D3437" s="70" t="s">
        <v>3</v>
      </c>
      <c r="E3437" s="70" t="s">
        <v>4</v>
      </c>
      <c r="F3437" s="70"/>
      <c r="G3437" s="71" t="s">
        <v>6</v>
      </c>
      <c r="H3437" s="70" t="s">
        <v>7</v>
      </c>
      <c r="I3437" s="71" t="s">
        <v>8</v>
      </c>
      <c r="J3437" s="71" t="s">
        <v>9</v>
      </c>
      <c r="K3437" s="71" t="s">
        <v>10</v>
      </c>
      <c r="L3437" s="72" t="s">
        <v>5</v>
      </c>
    </row>
    <row r="3438" spans="1:14" x14ac:dyDescent="0.25">
      <c r="A3438" s="48" t="s">
        <v>4796</v>
      </c>
      <c r="B3438" s="34" t="s">
        <v>11</v>
      </c>
      <c r="C3438" s="34" t="s">
        <v>134</v>
      </c>
      <c r="D3438" s="34" t="s">
        <v>135</v>
      </c>
      <c r="E3438" s="34" t="s">
        <v>136</v>
      </c>
      <c r="F3438" s="34">
        <v>1</v>
      </c>
      <c r="G3438" s="64">
        <v>50089</v>
      </c>
      <c r="H3438" s="34"/>
      <c r="I3438" s="64"/>
      <c r="J3438" s="64"/>
      <c r="K3438" s="64">
        <f t="shared" ref="K3438:K3478" si="114">J3438+G3438</f>
        <v>50089</v>
      </c>
      <c r="L3438" s="49">
        <v>20250801</v>
      </c>
    </row>
    <row r="3439" spans="1:14" x14ac:dyDescent="0.25">
      <c r="A3439" s="50" t="s">
        <v>4794</v>
      </c>
      <c r="B3439" s="30" t="s">
        <v>11</v>
      </c>
      <c r="C3439" s="30" t="s">
        <v>364</v>
      </c>
      <c r="D3439" s="30" t="s">
        <v>24</v>
      </c>
      <c r="E3439" s="30" t="s">
        <v>4165</v>
      </c>
      <c r="F3439" s="30">
        <v>1</v>
      </c>
      <c r="G3439" s="44">
        <v>50089</v>
      </c>
      <c r="H3439" s="30"/>
      <c r="I3439" s="44"/>
      <c r="J3439" s="44"/>
      <c r="K3439" s="44">
        <f t="shared" si="114"/>
        <v>50089</v>
      </c>
      <c r="L3439" s="51">
        <v>20250804</v>
      </c>
    </row>
    <row r="3440" spans="1:14" x14ac:dyDescent="0.25">
      <c r="A3440" s="52" t="s">
        <v>4797</v>
      </c>
      <c r="B3440" s="32" t="s">
        <v>11</v>
      </c>
      <c r="C3440" s="32" t="s">
        <v>337</v>
      </c>
      <c r="D3440" s="32" t="s">
        <v>162</v>
      </c>
      <c r="E3440" s="32" t="s">
        <v>3073</v>
      </c>
      <c r="F3440" s="32">
        <v>1</v>
      </c>
      <c r="G3440" s="45">
        <v>50089</v>
      </c>
      <c r="H3440" s="32">
        <v>69</v>
      </c>
      <c r="I3440" s="45">
        <v>587.70000000000005</v>
      </c>
      <c r="J3440" s="45">
        <f>I3440*H3440</f>
        <v>40551.300000000003</v>
      </c>
      <c r="K3440" s="45">
        <f t="shared" si="114"/>
        <v>90640.3</v>
      </c>
      <c r="L3440" s="53">
        <v>20250804</v>
      </c>
    </row>
    <row r="3441" spans="1:12" x14ac:dyDescent="0.25">
      <c r="A3441" s="50" t="s">
        <v>4792</v>
      </c>
      <c r="B3441" s="30" t="s">
        <v>11</v>
      </c>
      <c r="C3441" s="30" t="s">
        <v>251</v>
      </c>
      <c r="D3441" s="30" t="s">
        <v>2780</v>
      </c>
      <c r="E3441" s="30" t="s">
        <v>3195</v>
      </c>
      <c r="F3441" s="30">
        <v>1</v>
      </c>
      <c r="G3441" s="44">
        <v>50089</v>
      </c>
      <c r="H3441" s="30"/>
      <c r="I3441" s="44"/>
      <c r="J3441" s="44"/>
      <c r="K3441" s="44">
        <f t="shared" si="114"/>
        <v>50089</v>
      </c>
      <c r="L3441" s="51">
        <v>20250805</v>
      </c>
    </row>
    <row r="3442" spans="1:12" x14ac:dyDescent="0.25">
      <c r="A3442" s="52" t="s">
        <v>4795</v>
      </c>
      <c r="B3442" s="32" t="s">
        <v>11</v>
      </c>
      <c r="C3442" s="32" t="s">
        <v>28</v>
      </c>
      <c r="D3442" s="32" t="s">
        <v>200</v>
      </c>
      <c r="E3442" s="32" t="s">
        <v>201</v>
      </c>
      <c r="F3442" s="32">
        <v>1</v>
      </c>
      <c r="G3442" s="45">
        <v>50089</v>
      </c>
      <c r="H3442" s="32">
        <v>251</v>
      </c>
      <c r="I3442" s="45">
        <v>587.70000000000005</v>
      </c>
      <c r="J3442" s="45">
        <f>I3442*H3442</f>
        <v>147512.70000000001</v>
      </c>
      <c r="K3442" s="45">
        <f t="shared" si="114"/>
        <v>197601.7</v>
      </c>
      <c r="L3442" s="53">
        <v>20250805</v>
      </c>
    </row>
    <row r="3443" spans="1:12" x14ac:dyDescent="0.25">
      <c r="A3443" s="52" t="s">
        <v>4793</v>
      </c>
      <c r="B3443" s="32" t="s">
        <v>11</v>
      </c>
      <c r="C3443" s="32" t="s">
        <v>34</v>
      </c>
      <c r="D3443" s="32" t="s">
        <v>35</v>
      </c>
      <c r="E3443" s="32" t="s">
        <v>3747</v>
      </c>
      <c r="F3443" s="32">
        <v>1</v>
      </c>
      <c r="G3443" s="45">
        <v>50089</v>
      </c>
      <c r="H3443" s="32">
        <v>78</v>
      </c>
      <c r="I3443" s="45">
        <v>587.70000000000005</v>
      </c>
      <c r="J3443" s="45">
        <f>I3443*H3443</f>
        <v>45840.600000000006</v>
      </c>
      <c r="K3443" s="45">
        <f t="shared" si="114"/>
        <v>95929.600000000006</v>
      </c>
      <c r="L3443" s="53">
        <v>20250806</v>
      </c>
    </row>
    <row r="3444" spans="1:12" x14ac:dyDescent="0.25">
      <c r="A3444" s="50" t="s">
        <v>4788</v>
      </c>
      <c r="B3444" s="30" t="s">
        <v>11</v>
      </c>
      <c r="C3444" s="30" t="s">
        <v>4149</v>
      </c>
      <c r="D3444" s="30" t="s">
        <v>4150</v>
      </c>
      <c r="E3444" s="30" t="s">
        <v>4151</v>
      </c>
      <c r="F3444" s="30">
        <v>1</v>
      </c>
      <c r="G3444" s="44">
        <v>50089</v>
      </c>
      <c r="H3444" s="30"/>
      <c r="I3444" s="44"/>
      <c r="J3444" s="44"/>
      <c r="K3444" s="44">
        <f t="shared" si="114"/>
        <v>50089</v>
      </c>
      <c r="L3444" s="51">
        <v>20250807</v>
      </c>
    </row>
    <row r="3445" spans="1:12" x14ac:dyDescent="0.25">
      <c r="A3445" s="50" t="s">
        <v>4789</v>
      </c>
      <c r="B3445" s="30" t="s">
        <v>11</v>
      </c>
      <c r="C3445" s="30" t="s">
        <v>29</v>
      </c>
      <c r="D3445" s="30" t="s">
        <v>1385</v>
      </c>
      <c r="E3445" s="30" t="s">
        <v>3335</v>
      </c>
      <c r="F3445" s="30">
        <v>1</v>
      </c>
      <c r="G3445" s="44">
        <v>50089</v>
      </c>
      <c r="H3445" s="30"/>
      <c r="I3445" s="44"/>
      <c r="J3445" s="44"/>
      <c r="K3445" s="44">
        <f t="shared" si="114"/>
        <v>50089</v>
      </c>
      <c r="L3445" s="51">
        <v>20250807</v>
      </c>
    </row>
    <row r="3446" spans="1:12" x14ac:dyDescent="0.25">
      <c r="A3446" s="50" t="s">
        <v>4785</v>
      </c>
      <c r="B3446" s="30" t="s">
        <v>11</v>
      </c>
      <c r="C3446" s="30" t="s">
        <v>251</v>
      </c>
      <c r="D3446" s="30" t="s">
        <v>95</v>
      </c>
      <c r="E3446" s="30" t="s">
        <v>4786</v>
      </c>
      <c r="F3446" s="30">
        <v>1</v>
      </c>
      <c r="G3446" s="44">
        <v>50089</v>
      </c>
      <c r="H3446" s="30"/>
      <c r="I3446" s="44"/>
      <c r="J3446" s="44"/>
      <c r="K3446" s="44">
        <f t="shared" si="114"/>
        <v>50089</v>
      </c>
      <c r="L3446" s="51">
        <v>20250808</v>
      </c>
    </row>
    <row r="3447" spans="1:12" x14ac:dyDescent="0.25">
      <c r="A3447" s="52" t="s">
        <v>4787</v>
      </c>
      <c r="B3447" s="32" t="s">
        <v>11</v>
      </c>
      <c r="C3447" s="32" t="s">
        <v>28</v>
      </c>
      <c r="D3447" s="32" t="s">
        <v>1160</v>
      </c>
      <c r="E3447" s="32" t="s">
        <v>3643</v>
      </c>
      <c r="F3447" s="32">
        <v>1</v>
      </c>
      <c r="G3447" s="45">
        <v>50089</v>
      </c>
      <c r="H3447" s="32">
        <v>57</v>
      </c>
      <c r="I3447" s="45">
        <v>587.70000000000005</v>
      </c>
      <c r="J3447" s="45">
        <f>I3447*H3447</f>
        <v>33498.9</v>
      </c>
      <c r="K3447" s="45">
        <f t="shared" si="114"/>
        <v>83587.899999999994</v>
      </c>
      <c r="L3447" s="53">
        <v>20250808</v>
      </c>
    </row>
    <row r="3448" spans="1:12" x14ac:dyDescent="0.25">
      <c r="A3448" s="50" t="s">
        <v>4790</v>
      </c>
      <c r="B3448" s="30" t="s">
        <v>11</v>
      </c>
      <c r="C3448" s="30" t="s">
        <v>94</v>
      </c>
      <c r="D3448" s="30" t="s">
        <v>95</v>
      </c>
      <c r="E3448" s="30" t="s">
        <v>2674</v>
      </c>
      <c r="F3448" s="30">
        <v>1</v>
      </c>
      <c r="G3448" s="44">
        <v>50089</v>
      </c>
      <c r="H3448" s="30"/>
      <c r="I3448" s="44"/>
      <c r="J3448" s="44"/>
      <c r="K3448" s="44">
        <f t="shared" si="114"/>
        <v>50089</v>
      </c>
      <c r="L3448" s="51">
        <v>20250808</v>
      </c>
    </row>
    <row r="3449" spans="1:12" x14ac:dyDescent="0.25">
      <c r="A3449" s="50" t="s">
        <v>4774</v>
      </c>
      <c r="B3449" s="30" t="s">
        <v>11</v>
      </c>
      <c r="C3449" s="30" t="s">
        <v>1450</v>
      </c>
      <c r="D3449" s="30" t="s">
        <v>1592</v>
      </c>
      <c r="E3449" s="30" t="s">
        <v>2376</v>
      </c>
      <c r="F3449" s="30">
        <v>1</v>
      </c>
      <c r="G3449" s="44">
        <v>50089</v>
      </c>
      <c r="H3449" s="30"/>
      <c r="I3449" s="44"/>
      <c r="J3449" s="44"/>
      <c r="K3449" s="44">
        <f t="shared" si="114"/>
        <v>50089</v>
      </c>
      <c r="L3449" s="51">
        <v>20250811</v>
      </c>
    </row>
    <row r="3450" spans="1:12" x14ac:dyDescent="0.25">
      <c r="A3450" s="52" t="s">
        <v>4775</v>
      </c>
      <c r="B3450" s="32" t="s">
        <v>11</v>
      </c>
      <c r="C3450" s="32" t="s">
        <v>163</v>
      </c>
      <c r="D3450" s="32" t="s">
        <v>164</v>
      </c>
      <c r="E3450" s="32" t="s">
        <v>4254</v>
      </c>
      <c r="F3450" s="32">
        <v>1</v>
      </c>
      <c r="G3450" s="45">
        <v>50089</v>
      </c>
      <c r="H3450" s="32">
        <v>126</v>
      </c>
      <c r="I3450" s="45">
        <v>587.70000000000005</v>
      </c>
      <c r="J3450" s="45">
        <f>I3450*H3450</f>
        <v>74050.200000000012</v>
      </c>
      <c r="K3450" s="45">
        <f t="shared" si="114"/>
        <v>124139.20000000001</v>
      </c>
      <c r="L3450" s="53">
        <v>20250812</v>
      </c>
    </row>
    <row r="3451" spans="1:12" x14ac:dyDescent="0.25">
      <c r="A3451" s="50" t="s">
        <v>4745</v>
      </c>
      <c r="B3451" s="30" t="s">
        <v>11</v>
      </c>
      <c r="C3451" s="30" t="s">
        <v>770</v>
      </c>
      <c r="D3451" s="30" t="s">
        <v>2764</v>
      </c>
      <c r="E3451" s="30" t="s">
        <v>3389</v>
      </c>
      <c r="F3451" s="30">
        <v>1</v>
      </c>
      <c r="G3451" s="44">
        <v>50089</v>
      </c>
      <c r="H3451" s="30"/>
      <c r="I3451" s="44"/>
      <c r="J3451" s="44"/>
      <c r="K3451" s="44">
        <f t="shared" si="114"/>
        <v>50089</v>
      </c>
      <c r="L3451" s="51">
        <v>20250814</v>
      </c>
    </row>
    <row r="3452" spans="1:12" x14ac:dyDescent="0.25">
      <c r="A3452" s="52" t="s">
        <v>4791</v>
      </c>
      <c r="B3452" s="32" t="s">
        <v>11</v>
      </c>
      <c r="C3452" s="32" t="s">
        <v>28</v>
      </c>
      <c r="D3452" s="32" t="s">
        <v>1703</v>
      </c>
      <c r="E3452" s="32" t="s">
        <v>2436</v>
      </c>
      <c r="F3452" s="32">
        <v>1</v>
      </c>
      <c r="G3452" s="45">
        <v>50089</v>
      </c>
      <c r="H3452" s="32">
        <v>321</v>
      </c>
      <c r="I3452" s="45">
        <v>587.70000000000005</v>
      </c>
      <c r="J3452" s="45">
        <f>I3452*H3452</f>
        <v>188651.7</v>
      </c>
      <c r="K3452" s="45">
        <f t="shared" si="114"/>
        <v>238740.7</v>
      </c>
      <c r="L3452" s="53">
        <v>20250818</v>
      </c>
    </row>
    <row r="3453" spans="1:12" x14ac:dyDescent="0.25">
      <c r="A3453" s="50" t="s">
        <v>4737</v>
      </c>
      <c r="B3453" s="30" t="s">
        <v>11</v>
      </c>
      <c r="C3453" s="30" t="s">
        <v>91</v>
      </c>
      <c r="D3453" s="30" t="s">
        <v>24</v>
      </c>
      <c r="E3453" s="30" t="s">
        <v>92</v>
      </c>
      <c r="F3453" s="30">
        <v>1</v>
      </c>
      <c r="G3453" s="44">
        <v>50089</v>
      </c>
      <c r="H3453" s="30"/>
      <c r="I3453" s="44"/>
      <c r="J3453" s="44"/>
      <c r="K3453" s="44">
        <f t="shared" si="114"/>
        <v>50089</v>
      </c>
      <c r="L3453" s="51">
        <v>20250819</v>
      </c>
    </row>
    <row r="3454" spans="1:12" x14ac:dyDescent="0.25">
      <c r="A3454" s="50" t="s">
        <v>4741</v>
      </c>
      <c r="B3454" s="30" t="s">
        <v>11</v>
      </c>
      <c r="C3454" s="30" t="s">
        <v>607</v>
      </c>
      <c r="D3454" s="30" t="s">
        <v>24</v>
      </c>
      <c r="E3454" s="30" t="s">
        <v>3792</v>
      </c>
      <c r="F3454" s="30">
        <v>1</v>
      </c>
      <c r="G3454" s="44">
        <v>50089</v>
      </c>
      <c r="H3454" s="30"/>
      <c r="I3454" s="44"/>
      <c r="J3454" s="44"/>
      <c r="K3454" s="44">
        <f t="shared" si="114"/>
        <v>50089</v>
      </c>
      <c r="L3454" s="51">
        <v>20250819</v>
      </c>
    </row>
    <row r="3455" spans="1:12" x14ac:dyDescent="0.25">
      <c r="A3455" s="50" t="s">
        <v>4743</v>
      </c>
      <c r="B3455" s="30" t="s">
        <v>11</v>
      </c>
      <c r="C3455" s="30" t="s">
        <v>29</v>
      </c>
      <c r="D3455" s="30" t="s">
        <v>1385</v>
      </c>
      <c r="E3455" s="30" t="s">
        <v>3335</v>
      </c>
      <c r="F3455" s="30">
        <v>1</v>
      </c>
      <c r="G3455" s="44">
        <v>50089</v>
      </c>
      <c r="H3455" s="30"/>
      <c r="I3455" s="44"/>
      <c r="J3455" s="44"/>
      <c r="K3455" s="44">
        <f t="shared" si="114"/>
        <v>50089</v>
      </c>
      <c r="L3455" s="51">
        <v>20250819</v>
      </c>
    </row>
    <row r="3456" spans="1:12" x14ac:dyDescent="0.25">
      <c r="A3456" s="50" t="s">
        <v>4757</v>
      </c>
      <c r="B3456" s="30" t="s">
        <v>1209</v>
      </c>
      <c r="C3456" s="30" t="s">
        <v>4748</v>
      </c>
      <c r="D3456" s="30" t="s">
        <v>4758</v>
      </c>
      <c r="E3456" s="30" t="s">
        <v>4759</v>
      </c>
      <c r="F3456" s="30">
        <v>1</v>
      </c>
      <c r="G3456" s="44">
        <v>50089</v>
      </c>
      <c r="H3456" s="30"/>
      <c r="I3456" s="44"/>
      <c r="J3456" s="44"/>
      <c r="K3456" s="44">
        <f t="shared" si="114"/>
        <v>50089</v>
      </c>
      <c r="L3456" s="51">
        <v>20250819</v>
      </c>
    </row>
    <row r="3457" spans="1:12" x14ac:dyDescent="0.25">
      <c r="A3457" s="52" t="s">
        <v>4766</v>
      </c>
      <c r="B3457" s="32" t="s">
        <v>1209</v>
      </c>
      <c r="C3457" s="32" t="s">
        <v>4748</v>
      </c>
      <c r="D3457" s="32" t="s">
        <v>4767</v>
      </c>
      <c r="E3457" s="32" t="s">
        <v>4768</v>
      </c>
      <c r="F3457" s="32">
        <v>1</v>
      </c>
      <c r="G3457" s="45">
        <v>50089</v>
      </c>
      <c r="H3457" s="32">
        <v>149</v>
      </c>
      <c r="I3457" s="45">
        <v>587.70000000000005</v>
      </c>
      <c r="J3457" s="45">
        <f>I3457*H3457</f>
        <v>87567.3</v>
      </c>
      <c r="K3457" s="45">
        <f t="shared" si="114"/>
        <v>137656.29999999999</v>
      </c>
      <c r="L3457" s="53">
        <v>20250819</v>
      </c>
    </row>
    <row r="3458" spans="1:12" x14ac:dyDescent="0.25">
      <c r="A3458" s="50" t="s">
        <v>4742</v>
      </c>
      <c r="B3458" s="30" t="s">
        <v>11</v>
      </c>
      <c r="C3458" s="30" t="s">
        <v>94</v>
      </c>
      <c r="D3458" s="30" t="s">
        <v>95</v>
      </c>
      <c r="E3458" s="30" t="s">
        <v>2674</v>
      </c>
      <c r="F3458" s="30">
        <v>1</v>
      </c>
      <c r="G3458" s="44">
        <v>50089</v>
      </c>
      <c r="H3458" s="30"/>
      <c r="I3458" s="44"/>
      <c r="J3458" s="44"/>
      <c r="K3458" s="44">
        <f t="shared" si="114"/>
        <v>50089</v>
      </c>
      <c r="L3458" s="51">
        <v>20250820</v>
      </c>
    </row>
    <row r="3459" spans="1:12" x14ac:dyDescent="0.25">
      <c r="A3459" s="50" t="s">
        <v>4747</v>
      </c>
      <c r="B3459" s="30" t="s">
        <v>1209</v>
      </c>
      <c r="C3459" s="30" t="s">
        <v>4748</v>
      </c>
      <c r="D3459" s="30" t="s">
        <v>4749</v>
      </c>
      <c r="E3459" s="30" t="s">
        <v>4750</v>
      </c>
      <c r="F3459" s="30">
        <v>1</v>
      </c>
      <c r="G3459" s="44">
        <v>50089</v>
      </c>
      <c r="H3459" s="30"/>
      <c r="I3459" s="44"/>
      <c r="J3459" s="44"/>
      <c r="K3459" s="44">
        <f t="shared" si="114"/>
        <v>50089</v>
      </c>
      <c r="L3459" s="51">
        <v>20250820</v>
      </c>
    </row>
    <row r="3460" spans="1:12" x14ac:dyDescent="0.25">
      <c r="A3460" s="50" t="s">
        <v>4751</v>
      </c>
      <c r="B3460" s="30" t="s">
        <v>1209</v>
      </c>
      <c r="C3460" s="30" t="s">
        <v>4748</v>
      </c>
      <c r="D3460" s="30" t="s">
        <v>4752</v>
      </c>
      <c r="E3460" s="30" t="s">
        <v>4753</v>
      </c>
      <c r="F3460" s="30">
        <v>1</v>
      </c>
      <c r="G3460" s="44">
        <v>50089</v>
      </c>
      <c r="H3460" s="30"/>
      <c r="I3460" s="44"/>
      <c r="J3460" s="44"/>
      <c r="K3460" s="44">
        <f t="shared" si="114"/>
        <v>50089</v>
      </c>
      <c r="L3460" s="51">
        <v>20250820</v>
      </c>
    </row>
    <row r="3461" spans="1:12" x14ac:dyDescent="0.25">
      <c r="A3461" s="50" t="s">
        <v>4738</v>
      </c>
      <c r="B3461" s="30" t="s">
        <v>11</v>
      </c>
      <c r="C3461" s="30" t="s">
        <v>251</v>
      </c>
      <c r="D3461" s="30" t="s">
        <v>375</v>
      </c>
      <c r="E3461" s="30" t="s">
        <v>376</v>
      </c>
      <c r="F3461" s="30">
        <v>1</v>
      </c>
      <c r="G3461" s="44">
        <v>50089</v>
      </c>
      <c r="H3461" s="30"/>
      <c r="I3461" s="44"/>
      <c r="J3461" s="44"/>
      <c r="K3461" s="44">
        <f t="shared" si="114"/>
        <v>50089</v>
      </c>
      <c r="L3461" s="51">
        <v>20250821</v>
      </c>
    </row>
    <row r="3462" spans="1:12" x14ac:dyDescent="0.25">
      <c r="A3462" s="52" t="s">
        <v>4733</v>
      </c>
      <c r="B3462" s="32" t="s">
        <v>11</v>
      </c>
      <c r="C3462" s="32" t="s">
        <v>4490</v>
      </c>
      <c r="D3462" s="32" t="s">
        <v>368</v>
      </c>
      <c r="E3462" s="32" t="s">
        <v>369</v>
      </c>
      <c r="F3462" s="32">
        <v>1</v>
      </c>
      <c r="G3462" s="45">
        <v>50089</v>
      </c>
      <c r="H3462" s="32">
        <v>123</v>
      </c>
      <c r="I3462" s="45">
        <v>587.70000000000005</v>
      </c>
      <c r="J3462" s="45">
        <f>I3462*H3462</f>
        <v>72287.100000000006</v>
      </c>
      <c r="K3462" s="45">
        <f t="shared" si="114"/>
        <v>122376.1</v>
      </c>
      <c r="L3462" s="53">
        <v>20250822</v>
      </c>
    </row>
    <row r="3463" spans="1:12" x14ac:dyDescent="0.25">
      <c r="A3463" s="50" t="s">
        <v>4735</v>
      </c>
      <c r="B3463" s="30" t="s">
        <v>11</v>
      </c>
      <c r="C3463" s="30" t="s">
        <v>163</v>
      </c>
      <c r="D3463" s="30" t="s">
        <v>164</v>
      </c>
      <c r="E3463" s="30" t="s">
        <v>185</v>
      </c>
      <c r="F3463" s="30">
        <v>1</v>
      </c>
      <c r="G3463" s="44">
        <v>50089</v>
      </c>
      <c r="H3463" s="30"/>
      <c r="I3463" s="44"/>
      <c r="J3463" s="44"/>
      <c r="K3463" s="44">
        <f t="shared" si="114"/>
        <v>50089</v>
      </c>
      <c r="L3463" s="51">
        <v>20250822</v>
      </c>
    </row>
    <row r="3464" spans="1:12" x14ac:dyDescent="0.25">
      <c r="A3464" s="50" t="s">
        <v>4739</v>
      </c>
      <c r="B3464" s="30" t="s">
        <v>11</v>
      </c>
      <c r="C3464" s="30" t="s">
        <v>364</v>
      </c>
      <c r="D3464" s="30" t="s">
        <v>24</v>
      </c>
      <c r="E3464" s="30" t="s">
        <v>3554</v>
      </c>
      <c r="F3464" s="30">
        <v>1</v>
      </c>
      <c r="G3464" s="44">
        <v>50089</v>
      </c>
      <c r="H3464" s="30"/>
      <c r="I3464" s="44"/>
      <c r="J3464" s="44"/>
      <c r="K3464" s="44">
        <f t="shared" si="114"/>
        <v>50089</v>
      </c>
      <c r="L3464" s="51">
        <v>20250822</v>
      </c>
    </row>
    <row r="3465" spans="1:12" x14ac:dyDescent="0.25">
      <c r="A3465" s="50" t="s">
        <v>4740</v>
      </c>
      <c r="B3465" s="30" t="s">
        <v>11</v>
      </c>
      <c r="C3465" s="30" t="s">
        <v>364</v>
      </c>
      <c r="D3465" s="30" t="s">
        <v>24</v>
      </c>
      <c r="E3465" s="30" t="s">
        <v>1136</v>
      </c>
      <c r="F3465" s="30">
        <v>1</v>
      </c>
      <c r="G3465" s="44">
        <v>50089</v>
      </c>
      <c r="H3465" s="30"/>
      <c r="I3465" s="44"/>
      <c r="J3465" s="44"/>
      <c r="K3465" s="44">
        <f t="shared" si="114"/>
        <v>50089</v>
      </c>
      <c r="L3465" s="51">
        <v>20250822</v>
      </c>
    </row>
    <row r="3466" spans="1:12" x14ac:dyDescent="0.25">
      <c r="A3466" s="50" t="s">
        <v>4744</v>
      </c>
      <c r="B3466" s="30" t="s">
        <v>11</v>
      </c>
      <c r="C3466" s="30" t="s">
        <v>163</v>
      </c>
      <c r="D3466" s="30" t="s">
        <v>164</v>
      </c>
      <c r="E3466" s="30" t="s">
        <v>478</v>
      </c>
      <c r="F3466" s="30">
        <v>1</v>
      </c>
      <c r="G3466" s="44">
        <v>50089</v>
      </c>
      <c r="H3466" s="30"/>
      <c r="I3466" s="44"/>
      <c r="J3466" s="44"/>
      <c r="K3466" s="44">
        <f t="shared" si="114"/>
        <v>50089</v>
      </c>
      <c r="L3466" s="51">
        <v>20250822</v>
      </c>
    </row>
    <row r="3467" spans="1:12" x14ac:dyDescent="0.25">
      <c r="A3467" s="50" t="s">
        <v>4760</v>
      </c>
      <c r="B3467" s="30" t="s">
        <v>1209</v>
      </c>
      <c r="C3467" s="30" t="s">
        <v>4748</v>
      </c>
      <c r="D3467" s="30" t="s">
        <v>4761</v>
      </c>
      <c r="E3467" s="30" t="s">
        <v>4762</v>
      </c>
      <c r="F3467" s="30">
        <v>1</v>
      </c>
      <c r="G3467" s="44">
        <v>50089</v>
      </c>
      <c r="H3467" s="30"/>
      <c r="I3467" s="44"/>
      <c r="J3467" s="44"/>
      <c r="K3467" s="44">
        <f t="shared" si="114"/>
        <v>50089</v>
      </c>
      <c r="L3467" s="51">
        <v>20250822</v>
      </c>
    </row>
    <row r="3468" spans="1:12" x14ac:dyDescent="0.25">
      <c r="A3468" s="50" t="s">
        <v>4723</v>
      </c>
      <c r="B3468" s="30" t="s">
        <v>1209</v>
      </c>
      <c r="C3468" s="30" t="s">
        <v>337</v>
      </c>
      <c r="D3468" s="30" t="s">
        <v>35</v>
      </c>
      <c r="E3468" s="30" t="s">
        <v>686</v>
      </c>
      <c r="F3468" s="30">
        <v>1</v>
      </c>
      <c r="G3468" s="44">
        <v>50089</v>
      </c>
      <c r="H3468" s="30"/>
      <c r="I3468" s="44"/>
      <c r="J3468" s="44"/>
      <c r="K3468" s="44">
        <f t="shared" si="114"/>
        <v>50089</v>
      </c>
      <c r="L3468" s="51">
        <v>20250826</v>
      </c>
    </row>
    <row r="3469" spans="1:12" x14ac:dyDescent="0.25">
      <c r="A3469" s="50" t="s">
        <v>4724</v>
      </c>
      <c r="B3469" s="30" t="s">
        <v>1209</v>
      </c>
      <c r="C3469" s="30" t="s">
        <v>337</v>
      </c>
      <c r="D3469" s="30" t="s">
        <v>35</v>
      </c>
      <c r="E3469" s="30" t="s">
        <v>2463</v>
      </c>
      <c r="F3469" s="30">
        <v>1</v>
      </c>
      <c r="G3469" s="44">
        <v>50089</v>
      </c>
      <c r="H3469" s="30"/>
      <c r="I3469" s="44"/>
      <c r="J3469" s="44"/>
      <c r="K3469" s="44">
        <f t="shared" si="114"/>
        <v>50089</v>
      </c>
      <c r="L3469" s="51">
        <v>20250826</v>
      </c>
    </row>
    <row r="3470" spans="1:12" x14ac:dyDescent="0.25">
      <c r="A3470" s="50" t="s">
        <v>4725</v>
      </c>
      <c r="B3470" s="30" t="s">
        <v>1209</v>
      </c>
      <c r="C3470" s="30" t="s">
        <v>337</v>
      </c>
      <c r="D3470" s="30" t="s">
        <v>35</v>
      </c>
      <c r="E3470" s="30" t="s">
        <v>157</v>
      </c>
      <c r="F3470" s="30">
        <v>1</v>
      </c>
      <c r="G3470" s="44">
        <v>50089</v>
      </c>
      <c r="H3470" s="30"/>
      <c r="I3470" s="44"/>
      <c r="J3470" s="44"/>
      <c r="K3470" s="44">
        <f t="shared" si="114"/>
        <v>50089</v>
      </c>
      <c r="L3470" s="51">
        <v>20250826</v>
      </c>
    </row>
    <row r="3471" spans="1:12" x14ac:dyDescent="0.25">
      <c r="A3471" s="50" t="s">
        <v>4726</v>
      </c>
      <c r="B3471" s="30" t="s">
        <v>1209</v>
      </c>
      <c r="C3471" s="30" t="s">
        <v>337</v>
      </c>
      <c r="D3471" s="30" t="s">
        <v>35</v>
      </c>
      <c r="E3471" s="30" t="s">
        <v>511</v>
      </c>
      <c r="F3471" s="30">
        <v>1</v>
      </c>
      <c r="G3471" s="44">
        <v>50089</v>
      </c>
      <c r="H3471" s="30"/>
      <c r="I3471" s="44"/>
      <c r="J3471" s="44"/>
      <c r="K3471" s="44">
        <f t="shared" si="114"/>
        <v>50089</v>
      </c>
      <c r="L3471" s="51">
        <v>20250826</v>
      </c>
    </row>
    <row r="3472" spans="1:12" x14ac:dyDescent="0.25">
      <c r="A3472" s="50" t="s">
        <v>4736</v>
      </c>
      <c r="B3472" s="30" t="s">
        <v>11</v>
      </c>
      <c r="C3472" s="30" t="s">
        <v>337</v>
      </c>
      <c r="D3472" s="30" t="s">
        <v>35</v>
      </c>
      <c r="E3472" s="30" t="s">
        <v>1318</v>
      </c>
      <c r="F3472" s="30">
        <v>1</v>
      </c>
      <c r="G3472" s="44">
        <v>50089</v>
      </c>
      <c r="H3472" s="30"/>
      <c r="I3472" s="44"/>
      <c r="J3472" s="44"/>
      <c r="K3472" s="44">
        <f t="shared" si="114"/>
        <v>50089</v>
      </c>
      <c r="L3472" s="51">
        <v>20250826</v>
      </c>
    </row>
    <row r="3473" spans="1:12" x14ac:dyDescent="0.25">
      <c r="A3473" s="52" t="s">
        <v>4754</v>
      </c>
      <c r="B3473" s="32" t="s">
        <v>1209</v>
      </c>
      <c r="C3473" s="32" t="s">
        <v>4748</v>
      </c>
      <c r="D3473" s="32" t="s">
        <v>4755</v>
      </c>
      <c r="E3473" s="32" t="s">
        <v>4756</v>
      </c>
      <c r="F3473" s="32">
        <v>1</v>
      </c>
      <c r="G3473" s="45">
        <v>50089</v>
      </c>
      <c r="H3473" s="32">
        <v>126</v>
      </c>
      <c r="I3473" s="45">
        <v>587.70000000000005</v>
      </c>
      <c r="J3473" s="45">
        <f>I3473*H3473</f>
        <v>74050.200000000012</v>
      </c>
      <c r="K3473" s="45">
        <f t="shared" si="114"/>
        <v>124139.20000000001</v>
      </c>
      <c r="L3473" s="53">
        <v>20250826</v>
      </c>
    </row>
    <row r="3474" spans="1:12" x14ac:dyDescent="0.25">
      <c r="A3474" s="50" t="s">
        <v>4763</v>
      </c>
      <c r="B3474" s="30" t="s">
        <v>1209</v>
      </c>
      <c r="C3474" s="30" t="s">
        <v>4748</v>
      </c>
      <c r="D3474" s="30" t="s">
        <v>4764</v>
      </c>
      <c r="E3474" s="30" t="s">
        <v>4765</v>
      </c>
      <c r="F3474" s="30">
        <v>1</v>
      </c>
      <c r="G3474" s="44">
        <v>50089</v>
      </c>
      <c r="H3474" s="30"/>
      <c r="I3474" s="44"/>
      <c r="J3474" s="44"/>
      <c r="K3474" s="44">
        <f t="shared" si="114"/>
        <v>50089</v>
      </c>
      <c r="L3474" s="51">
        <v>20250826</v>
      </c>
    </row>
    <row r="3475" spans="1:12" x14ac:dyDescent="0.25">
      <c r="A3475" s="50" t="s">
        <v>4769</v>
      </c>
      <c r="B3475" s="30" t="s">
        <v>1209</v>
      </c>
      <c r="C3475" s="30" t="s">
        <v>4748</v>
      </c>
      <c r="D3475" s="30" t="s">
        <v>4770</v>
      </c>
      <c r="E3475" s="30" t="s">
        <v>4771</v>
      </c>
      <c r="F3475" s="30">
        <v>1</v>
      </c>
      <c r="G3475" s="44">
        <v>50089</v>
      </c>
      <c r="H3475" s="30"/>
      <c r="I3475" s="44"/>
      <c r="J3475" s="44"/>
      <c r="K3475" s="44">
        <f t="shared" si="114"/>
        <v>50089</v>
      </c>
      <c r="L3475" s="51">
        <v>20250826</v>
      </c>
    </row>
    <row r="3476" spans="1:12" x14ac:dyDescent="0.25">
      <c r="A3476" s="50" t="s">
        <v>4727</v>
      </c>
      <c r="B3476" s="30" t="s">
        <v>11</v>
      </c>
      <c r="C3476" s="30" t="s">
        <v>28</v>
      </c>
      <c r="D3476" s="30" t="s">
        <v>753</v>
      </c>
      <c r="E3476" s="30" t="s">
        <v>2637</v>
      </c>
      <c r="F3476" s="30">
        <v>1</v>
      </c>
      <c r="G3476" s="44">
        <v>50089</v>
      </c>
      <c r="H3476" s="30"/>
      <c r="I3476" s="44"/>
      <c r="J3476" s="44"/>
      <c r="K3476" s="44">
        <f t="shared" si="114"/>
        <v>50089</v>
      </c>
      <c r="L3476" s="51">
        <v>20250827</v>
      </c>
    </row>
    <row r="3477" spans="1:12" x14ac:dyDescent="0.25">
      <c r="A3477" s="50" t="s">
        <v>4728</v>
      </c>
      <c r="B3477" s="30" t="s">
        <v>11</v>
      </c>
      <c r="C3477" s="30" t="s">
        <v>28</v>
      </c>
      <c r="D3477" s="30" t="s">
        <v>753</v>
      </c>
      <c r="E3477" s="30" t="s">
        <v>754</v>
      </c>
      <c r="F3477" s="30">
        <v>1</v>
      </c>
      <c r="G3477" s="44">
        <v>50089</v>
      </c>
      <c r="H3477" s="30"/>
      <c r="I3477" s="44"/>
      <c r="J3477" s="44"/>
      <c r="K3477" s="44">
        <f t="shared" si="114"/>
        <v>50089</v>
      </c>
      <c r="L3477" s="51">
        <v>20250827</v>
      </c>
    </row>
    <row r="3478" spans="1:12" ht="15.75" thickBot="1" x14ac:dyDescent="0.3">
      <c r="A3478" s="54" t="s">
        <v>4734</v>
      </c>
      <c r="B3478" s="36" t="s">
        <v>11</v>
      </c>
      <c r="C3478" s="36" t="s">
        <v>28</v>
      </c>
      <c r="D3478" s="36" t="s">
        <v>1703</v>
      </c>
      <c r="E3478" s="36" t="s">
        <v>2436</v>
      </c>
      <c r="F3478" s="36">
        <v>1</v>
      </c>
      <c r="G3478" s="65">
        <v>50089</v>
      </c>
      <c r="H3478" s="36"/>
      <c r="I3478" s="65"/>
      <c r="J3478" s="65"/>
      <c r="K3478" s="65">
        <f t="shared" si="114"/>
        <v>50089</v>
      </c>
      <c r="L3478" s="55">
        <v>20250829</v>
      </c>
    </row>
    <row r="3479" spans="1:12" x14ac:dyDescent="0.25">
      <c r="A3479" s="73"/>
      <c r="B3479" s="74"/>
      <c r="C3479" s="74"/>
      <c r="D3479" s="74"/>
      <c r="E3479" s="74"/>
      <c r="F3479" s="74"/>
      <c r="G3479" s="75"/>
      <c r="H3479" s="74"/>
      <c r="I3479" s="75"/>
      <c r="J3479" s="75"/>
      <c r="K3479" s="75"/>
      <c r="L3479" s="76"/>
    </row>
    <row r="3480" spans="1:12" ht="15.75" thickBot="1" x14ac:dyDescent="0.3">
      <c r="A3480" s="69"/>
      <c r="B3480" s="70"/>
      <c r="C3480" s="70"/>
      <c r="D3480" s="70"/>
      <c r="E3480" s="70"/>
      <c r="F3480" s="70"/>
      <c r="G3480" s="71"/>
      <c r="H3480" s="70"/>
      <c r="I3480" s="71"/>
      <c r="J3480" s="71"/>
      <c r="K3480" s="71"/>
      <c r="L3480" s="72"/>
    </row>
    <row r="3481" spans="1:12" x14ac:dyDescent="0.25">
      <c r="A3481" s="48" t="s">
        <v>4776</v>
      </c>
      <c r="B3481" s="34" t="s">
        <v>137</v>
      </c>
      <c r="C3481" s="34" t="s">
        <v>29</v>
      </c>
      <c r="D3481" s="34" t="s">
        <v>148</v>
      </c>
      <c r="E3481" s="34" t="s">
        <v>1248</v>
      </c>
      <c r="F3481" s="34">
        <v>1</v>
      </c>
      <c r="G3481" s="64">
        <v>25035</v>
      </c>
      <c r="H3481" s="34"/>
      <c r="I3481" s="64"/>
      <c r="J3481" s="64"/>
      <c r="K3481" s="64">
        <f t="shared" ref="K3481:K3500" si="115">J3481+G3481</f>
        <v>25035</v>
      </c>
      <c r="L3481" s="49">
        <v>20250808</v>
      </c>
    </row>
    <row r="3482" spans="1:12" x14ac:dyDescent="0.25">
      <c r="A3482" s="50" t="s">
        <v>4777</v>
      </c>
      <c r="B3482" s="30" t="s">
        <v>137</v>
      </c>
      <c r="C3482" s="30" t="s">
        <v>29</v>
      </c>
      <c r="D3482" s="30" t="s">
        <v>4778</v>
      </c>
      <c r="E3482" s="30" t="s">
        <v>4779</v>
      </c>
      <c r="F3482" s="30">
        <v>1</v>
      </c>
      <c r="G3482" s="44">
        <v>25035</v>
      </c>
      <c r="H3482" s="30"/>
      <c r="I3482" s="44"/>
      <c r="J3482" s="44"/>
      <c r="K3482" s="44">
        <f t="shared" si="115"/>
        <v>25035</v>
      </c>
      <c r="L3482" s="51">
        <v>20250808</v>
      </c>
    </row>
    <row r="3483" spans="1:12" x14ac:dyDescent="0.25">
      <c r="A3483" s="50" t="s">
        <v>4780</v>
      </c>
      <c r="B3483" s="30" t="s">
        <v>137</v>
      </c>
      <c r="C3483" s="30" t="s">
        <v>172</v>
      </c>
      <c r="D3483" s="30" t="s">
        <v>195</v>
      </c>
      <c r="E3483" s="30" t="s">
        <v>196</v>
      </c>
      <c r="F3483" s="30">
        <v>1</v>
      </c>
      <c r="G3483" s="44">
        <v>25035</v>
      </c>
      <c r="H3483" s="30"/>
      <c r="I3483" s="44"/>
      <c r="J3483" s="44"/>
      <c r="K3483" s="44">
        <f t="shared" si="115"/>
        <v>25035</v>
      </c>
      <c r="L3483" s="51">
        <v>20250808</v>
      </c>
    </row>
    <row r="3484" spans="1:12" x14ac:dyDescent="0.25">
      <c r="A3484" s="50" t="s">
        <v>4781</v>
      </c>
      <c r="B3484" s="30" t="s">
        <v>137</v>
      </c>
      <c r="C3484" s="30" t="s">
        <v>770</v>
      </c>
      <c r="D3484" s="30" t="s">
        <v>2764</v>
      </c>
      <c r="E3484" s="30" t="s">
        <v>771</v>
      </c>
      <c r="F3484" s="30">
        <v>1</v>
      </c>
      <c r="G3484" s="44">
        <v>25035</v>
      </c>
      <c r="H3484" s="30"/>
      <c r="I3484" s="44"/>
      <c r="J3484" s="44"/>
      <c r="K3484" s="44">
        <f t="shared" si="115"/>
        <v>25035</v>
      </c>
      <c r="L3484" s="51">
        <v>20250808</v>
      </c>
    </row>
    <row r="3485" spans="1:12" x14ac:dyDescent="0.25">
      <c r="A3485" s="50" t="s">
        <v>4782</v>
      </c>
      <c r="B3485" s="30" t="s">
        <v>137</v>
      </c>
      <c r="C3485" s="30" t="s">
        <v>770</v>
      </c>
      <c r="D3485" s="30" t="s">
        <v>2764</v>
      </c>
      <c r="E3485" s="30" t="s">
        <v>3389</v>
      </c>
      <c r="F3485" s="30">
        <v>1</v>
      </c>
      <c r="G3485" s="44">
        <v>25035</v>
      </c>
      <c r="H3485" s="30"/>
      <c r="I3485" s="44"/>
      <c r="J3485" s="44"/>
      <c r="K3485" s="44">
        <f t="shared" si="115"/>
        <v>25035</v>
      </c>
      <c r="L3485" s="51">
        <v>20250808</v>
      </c>
    </row>
    <row r="3486" spans="1:12" x14ac:dyDescent="0.25">
      <c r="A3486" s="50" t="s">
        <v>4783</v>
      </c>
      <c r="B3486" s="30" t="s">
        <v>137</v>
      </c>
      <c r="C3486" s="30" t="s">
        <v>770</v>
      </c>
      <c r="D3486" s="30" t="s">
        <v>2764</v>
      </c>
      <c r="E3486" s="30" t="s">
        <v>773</v>
      </c>
      <c r="F3486" s="30">
        <v>1</v>
      </c>
      <c r="G3486" s="44">
        <v>25035</v>
      </c>
      <c r="H3486" s="30"/>
      <c r="I3486" s="44"/>
      <c r="J3486" s="44"/>
      <c r="K3486" s="44">
        <f t="shared" si="115"/>
        <v>25035</v>
      </c>
      <c r="L3486" s="51">
        <v>20250808</v>
      </c>
    </row>
    <row r="3487" spans="1:12" x14ac:dyDescent="0.25">
      <c r="A3487" s="50" t="s">
        <v>4784</v>
      </c>
      <c r="B3487" s="30" t="s">
        <v>137</v>
      </c>
      <c r="C3487" s="30" t="s">
        <v>770</v>
      </c>
      <c r="D3487" s="30" t="s">
        <v>2764</v>
      </c>
      <c r="E3487" s="30" t="s">
        <v>2944</v>
      </c>
      <c r="F3487" s="30">
        <v>1</v>
      </c>
      <c r="G3487" s="44">
        <v>25035</v>
      </c>
      <c r="H3487" s="30"/>
      <c r="I3487" s="44"/>
      <c r="J3487" s="44"/>
      <c r="K3487" s="44">
        <f t="shared" si="115"/>
        <v>25035</v>
      </c>
      <c r="L3487" s="51">
        <v>20250808</v>
      </c>
    </row>
    <row r="3488" spans="1:12" x14ac:dyDescent="0.25">
      <c r="A3488" s="50" t="s">
        <v>4746</v>
      </c>
      <c r="B3488" s="30" t="s">
        <v>137</v>
      </c>
      <c r="C3488" s="30" t="s">
        <v>654</v>
      </c>
      <c r="D3488" s="30" t="s">
        <v>655</v>
      </c>
      <c r="E3488" s="30" t="s">
        <v>3575</v>
      </c>
      <c r="F3488" s="30">
        <v>1</v>
      </c>
      <c r="G3488" s="44">
        <v>25035</v>
      </c>
      <c r="H3488" s="30"/>
      <c r="I3488" s="44"/>
      <c r="J3488" s="44"/>
      <c r="K3488" s="44">
        <f t="shared" si="115"/>
        <v>25035</v>
      </c>
      <c r="L3488" s="51">
        <v>20250812</v>
      </c>
    </row>
    <row r="3489" spans="1:12" x14ac:dyDescent="0.25">
      <c r="A3489" s="50" t="s">
        <v>4798</v>
      </c>
      <c r="B3489" s="30" t="s">
        <v>137</v>
      </c>
      <c r="C3489" s="30" t="s">
        <v>654</v>
      </c>
      <c r="D3489" s="30" t="s">
        <v>655</v>
      </c>
      <c r="E3489" s="30" t="s">
        <v>3573</v>
      </c>
      <c r="F3489" s="30">
        <v>1</v>
      </c>
      <c r="G3489" s="44">
        <v>25035</v>
      </c>
      <c r="H3489" s="30"/>
      <c r="I3489" s="44"/>
      <c r="J3489" s="44"/>
      <c r="K3489" s="44">
        <f t="shared" si="115"/>
        <v>25035</v>
      </c>
      <c r="L3489" s="51">
        <v>20250812</v>
      </c>
    </row>
    <row r="3490" spans="1:12" x14ac:dyDescent="0.25">
      <c r="A3490" s="50" t="s">
        <v>4799</v>
      </c>
      <c r="B3490" s="30" t="s">
        <v>137</v>
      </c>
      <c r="C3490" s="30" t="s">
        <v>654</v>
      </c>
      <c r="D3490" s="30" t="s">
        <v>655</v>
      </c>
      <c r="E3490" s="30" t="s">
        <v>3571</v>
      </c>
      <c r="F3490" s="30">
        <v>1</v>
      </c>
      <c r="G3490" s="44">
        <v>25035</v>
      </c>
      <c r="H3490" s="30"/>
      <c r="I3490" s="44"/>
      <c r="J3490" s="44"/>
      <c r="K3490" s="44">
        <f t="shared" si="115"/>
        <v>25035</v>
      </c>
      <c r="L3490" s="51">
        <v>20250812</v>
      </c>
    </row>
    <row r="3491" spans="1:12" x14ac:dyDescent="0.25">
      <c r="A3491" s="50" t="s">
        <v>4800</v>
      </c>
      <c r="B3491" s="30" t="s">
        <v>137</v>
      </c>
      <c r="C3491" s="30" t="s">
        <v>654</v>
      </c>
      <c r="D3491" s="30" t="s">
        <v>655</v>
      </c>
      <c r="E3491" s="30" t="s">
        <v>3569</v>
      </c>
      <c r="F3491" s="30">
        <v>1</v>
      </c>
      <c r="G3491" s="44">
        <v>25035</v>
      </c>
      <c r="H3491" s="30"/>
      <c r="I3491" s="44"/>
      <c r="J3491" s="44"/>
      <c r="K3491" s="44">
        <f t="shared" si="115"/>
        <v>25035</v>
      </c>
      <c r="L3491" s="51">
        <v>20250812</v>
      </c>
    </row>
    <row r="3492" spans="1:12" x14ac:dyDescent="0.25">
      <c r="A3492" s="50" t="s">
        <v>4729</v>
      </c>
      <c r="B3492" s="30" t="s">
        <v>137</v>
      </c>
      <c r="C3492" s="30" t="s">
        <v>29</v>
      </c>
      <c r="D3492" s="30" t="s">
        <v>24</v>
      </c>
      <c r="E3492" s="30" t="s">
        <v>208</v>
      </c>
      <c r="F3492" s="30">
        <v>1</v>
      </c>
      <c r="G3492" s="44">
        <v>25035</v>
      </c>
      <c r="H3492" s="30"/>
      <c r="I3492" s="44"/>
      <c r="J3492" s="44"/>
      <c r="K3492" s="44">
        <f t="shared" si="115"/>
        <v>25035</v>
      </c>
      <c r="L3492" s="51">
        <v>20250825</v>
      </c>
    </row>
    <row r="3493" spans="1:12" x14ac:dyDescent="0.25">
      <c r="A3493" s="50" t="s">
        <v>4730</v>
      </c>
      <c r="B3493" s="30" t="s">
        <v>137</v>
      </c>
      <c r="C3493" s="30" t="s">
        <v>29</v>
      </c>
      <c r="D3493" s="30" t="s">
        <v>2548</v>
      </c>
      <c r="E3493" s="30" t="s">
        <v>390</v>
      </c>
      <c r="F3493" s="30">
        <v>1</v>
      </c>
      <c r="G3493" s="44">
        <v>25035</v>
      </c>
      <c r="H3493" s="30"/>
      <c r="I3493" s="44"/>
      <c r="J3493" s="44"/>
      <c r="K3493" s="44">
        <f t="shared" si="115"/>
        <v>25035</v>
      </c>
      <c r="L3493" s="51">
        <v>20250825</v>
      </c>
    </row>
    <row r="3494" spans="1:12" x14ac:dyDescent="0.25">
      <c r="A3494" s="50" t="s">
        <v>4731</v>
      </c>
      <c r="B3494" s="30" t="s">
        <v>137</v>
      </c>
      <c r="C3494" s="30" t="s">
        <v>29</v>
      </c>
      <c r="D3494" s="30" t="s">
        <v>1385</v>
      </c>
      <c r="E3494" s="30" t="s">
        <v>733</v>
      </c>
      <c r="F3494" s="30">
        <v>1</v>
      </c>
      <c r="G3494" s="44">
        <v>25035</v>
      </c>
      <c r="H3494" s="30"/>
      <c r="I3494" s="44"/>
      <c r="J3494" s="44"/>
      <c r="K3494" s="44">
        <f t="shared" si="115"/>
        <v>25035</v>
      </c>
      <c r="L3494" s="51">
        <v>20250825</v>
      </c>
    </row>
    <row r="3495" spans="1:12" x14ac:dyDescent="0.25">
      <c r="A3495" s="50" t="s">
        <v>4732</v>
      </c>
      <c r="B3495" s="30" t="s">
        <v>137</v>
      </c>
      <c r="C3495" s="30" t="s">
        <v>29</v>
      </c>
      <c r="D3495" s="30" t="s">
        <v>24</v>
      </c>
      <c r="E3495" s="30" t="s">
        <v>1497</v>
      </c>
      <c r="F3495" s="30">
        <v>1</v>
      </c>
      <c r="G3495" s="44">
        <v>25035</v>
      </c>
      <c r="H3495" s="30"/>
      <c r="I3495" s="44"/>
      <c r="J3495" s="44"/>
      <c r="K3495" s="44">
        <f t="shared" si="115"/>
        <v>25035</v>
      </c>
      <c r="L3495" s="51">
        <v>20250825</v>
      </c>
    </row>
    <row r="3496" spans="1:12" x14ac:dyDescent="0.25">
      <c r="A3496" s="50" t="s">
        <v>4772</v>
      </c>
      <c r="B3496" s="30" t="s">
        <v>137</v>
      </c>
      <c r="C3496" s="30" t="s">
        <v>337</v>
      </c>
      <c r="D3496" s="30" t="s">
        <v>35</v>
      </c>
      <c r="E3496" s="30" t="s">
        <v>402</v>
      </c>
      <c r="F3496" s="30">
        <v>1</v>
      </c>
      <c r="G3496" s="44">
        <v>25035</v>
      </c>
      <c r="H3496" s="30"/>
      <c r="I3496" s="44"/>
      <c r="J3496" s="44"/>
      <c r="K3496" s="44">
        <f t="shared" si="115"/>
        <v>25035</v>
      </c>
      <c r="L3496" s="51">
        <v>20250826</v>
      </c>
    </row>
    <row r="3497" spans="1:12" x14ac:dyDescent="0.25">
      <c r="A3497" s="50" t="s">
        <v>4773</v>
      </c>
      <c r="B3497" s="30" t="s">
        <v>137</v>
      </c>
      <c r="C3497" s="30" t="s">
        <v>337</v>
      </c>
      <c r="D3497" s="30" t="s">
        <v>35</v>
      </c>
      <c r="E3497" s="30" t="s">
        <v>38</v>
      </c>
      <c r="F3497" s="30">
        <v>1</v>
      </c>
      <c r="G3497" s="44">
        <v>25035</v>
      </c>
      <c r="H3497" s="30"/>
      <c r="I3497" s="44"/>
      <c r="J3497" s="44"/>
      <c r="K3497" s="44">
        <f t="shared" si="115"/>
        <v>25035</v>
      </c>
      <c r="L3497" s="51">
        <v>20250826</v>
      </c>
    </row>
    <row r="3498" spans="1:12" x14ac:dyDescent="0.25">
      <c r="A3498" s="50" t="s">
        <v>4720</v>
      </c>
      <c r="B3498" s="30" t="s">
        <v>137</v>
      </c>
      <c r="C3498" s="30" t="s">
        <v>29</v>
      </c>
      <c r="D3498" s="30" t="s">
        <v>1656</v>
      </c>
      <c r="E3498" s="30" t="s">
        <v>4311</v>
      </c>
      <c r="F3498" s="30">
        <v>1</v>
      </c>
      <c r="G3498" s="44">
        <v>25035</v>
      </c>
      <c r="H3498" s="30"/>
      <c r="I3498" s="44"/>
      <c r="J3498" s="44"/>
      <c r="K3498" s="44">
        <f t="shared" si="115"/>
        <v>25035</v>
      </c>
      <c r="L3498" s="51">
        <v>20250828</v>
      </c>
    </row>
    <row r="3499" spans="1:12" x14ac:dyDescent="0.25">
      <c r="A3499" s="50" t="s">
        <v>4721</v>
      </c>
      <c r="B3499" s="30" t="s">
        <v>137</v>
      </c>
      <c r="C3499" s="30" t="s">
        <v>29</v>
      </c>
      <c r="D3499" s="30" t="s">
        <v>1656</v>
      </c>
      <c r="E3499" s="30" t="s">
        <v>2300</v>
      </c>
      <c r="F3499" s="30">
        <v>1</v>
      </c>
      <c r="G3499" s="44">
        <v>25035</v>
      </c>
      <c r="H3499" s="30"/>
      <c r="I3499" s="44"/>
      <c r="J3499" s="44"/>
      <c r="K3499" s="44">
        <f t="shared" si="115"/>
        <v>25035</v>
      </c>
      <c r="L3499" s="51">
        <v>20250828</v>
      </c>
    </row>
    <row r="3500" spans="1:12" ht="15.75" thickBot="1" x14ac:dyDescent="0.3">
      <c r="A3500" s="54" t="s">
        <v>4722</v>
      </c>
      <c r="B3500" s="36" t="s">
        <v>137</v>
      </c>
      <c r="C3500" s="36" t="s">
        <v>29</v>
      </c>
      <c r="D3500" s="36" t="s">
        <v>1656</v>
      </c>
      <c r="E3500" s="36" t="s">
        <v>2324</v>
      </c>
      <c r="F3500" s="36">
        <v>1</v>
      </c>
      <c r="G3500" s="65">
        <v>25035</v>
      </c>
      <c r="H3500" s="36"/>
      <c r="I3500" s="65"/>
      <c r="J3500" s="65"/>
      <c r="K3500" s="65">
        <f t="shared" si="115"/>
        <v>25035</v>
      </c>
      <c r="L3500" s="55">
        <v>20250828</v>
      </c>
    </row>
    <row r="3504" spans="1:12" ht="15.75" thickBot="1" x14ac:dyDescent="0.3">
      <c r="A3504" s="69" t="s">
        <v>0</v>
      </c>
      <c r="B3504" s="70" t="s">
        <v>1</v>
      </c>
      <c r="C3504" s="70" t="s">
        <v>2</v>
      </c>
      <c r="D3504" s="70" t="s">
        <v>3</v>
      </c>
      <c r="E3504" s="70" t="s">
        <v>4</v>
      </c>
      <c r="F3504" s="70"/>
      <c r="G3504" s="71" t="s">
        <v>6</v>
      </c>
      <c r="H3504" s="70" t="s">
        <v>7</v>
      </c>
      <c r="I3504" s="71" t="s">
        <v>8</v>
      </c>
      <c r="J3504" s="71" t="s">
        <v>9</v>
      </c>
      <c r="K3504" s="71" t="s">
        <v>10</v>
      </c>
      <c r="L3504" s="72" t="s">
        <v>5</v>
      </c>
    </row>
    <row r="3505" spans="1:12" x14ac:dyDescent="0.25">
      <c r="A3505" s="48" t="s">
        <v>4873</v>
      </c>
      <c r="B3505" s="34" t="s">
        <v>11</v>
      </c>
      <c r="C3505" s="34" t="s">
        <v>2861</v>
      </c>
      <c r="D3505" s="34" t="s">
        <v>2862</v>
      </c>
      <c r="E3505" s="34" t="s">
        <v>2863</v>
      </c>
      <c r="F3505" s="34">
        <v>1</v>
      </c>
      <c r="G3505" s="64">
        <v>50089</v>
      </c>
      <c r="H3505" s="34"/>
      <c r="I3505" s="64"/>
      <c r="J3505" s="64"/>
      <c r="K3505" s="64">
        <f t="shared" ref="K3505:K3535" si="116">J3505+G3505</f>
        <v>50089</v>
      </c>
      <c r="L3505" s="49">
        <v>20250901</v>
      </c>
    </row>
    <row r="3506" spans="1:12" x14ac:dyDescent="0.25">
      <c r="A3506" s="52" t="s">
        <v>4874</v>
      </c>
      <c r="B3506" s="32" t="s">
        <v>11</v>
      </c>
      <c r="C3506" s="32" t="s">
        <v>337</v>
      </c>
      <c r="D3506" s="32" t="s">
        <v>35</v>
      </c>
      <c r="E3506" s="32" t="s">
        <v>402</v>
      </c>
      <c r="F3506" s="32">
        <v>1</v>
      </c>
      <c r="G3506" s="45">
        <v>50089</v>
      </c>
      <c r="H3506" s="32">
        <v>72</v>
      </c>
      <c r="I3506" s="45">
        <v>587.70000000000005</v>
      </c>
      <c r="J3506" s="45">
        <f>I3506*H3506</f>
        <v>42314.400000000001</v>
      </c>
      <c r="K3506" s="45">
        <f t="shared" si="116"/>
        <v>92403.4</v>
      </c>
      <c r="L3506" s="53">
        <v>20250902</v>
      </c>
    </row>
    <row r="3507" spans="1:12" x14ac:dyDescent="0.25">
      <c r="A3507" s="52" t="s">
        <v>4869</v>
      </c>
      <c r="B3507" s="32" t="s">
        <v>11</v>
      </c>
      <c r="C3507" s="32" t="s">
        <v>28</v>
      </c>
      <c r="D3507" s="32" t="s">
        <v>267</v>
      </c>
      <c r="E3507" s="32" t="s">
        <v>268</v>
      </c>
      <c r="F3507" s="32">
        <v>1</v>
      </c>
      <c r="G3507" s="45">
        <v>50089</v>
      </c>
      <c r="H3507" s="32">
        <v>146</v>
      </c>
      <c r="I3507" s="45">
        <v>587.70000000000005</v>
      </c>
      <c r="J3507" s="45">
        <f>I3507*H3507</f>
        <v>85804.200000000012</v>
      </c>
      <c r="K3507" s="45">
        <f t="shared" si="116"/>
        <v>135893.20000000001</v>
      </c>
      <c r="L3507" s="53">
        <v>20250905</v>
      </c>
    </row>
    <row r="3508" spans="1:12" x14ac:dyDescent="0.25">
      <c r="A3508" s="50" t="s">
        <v>4870</v>
      </c>
      <c r="B3508" s="30" t="s">
        <v>11</v>
      </c>
      <c r="C3508" s="30" t="s">
        <v>91</v>
      </c>
      <c r="D3508" s="30" t="s">
        <v>24</v>
      </c>
      <c r="E3508" s="30" t="s">
        <v>92</v>
      </c>
      <c r="F3508" s="30">
        <v>1</v>
      </c>
      <c r="G3508" s="44">
        <v>50089</v>
      </c>
      <c r="H3508" s="30"/>
      <c r="I3508" s="44"/>
      <c r="J3508" s="44"/>
      <c r="K3508" s="44">
        <f t="shared" si="116"/>
        <v>50089</v>
      </c>
      <c r="L3508" s="51">
        <v>20250905</v>
      </c>
    </row>
    <row r="3509" spans="1:12" x14ac:dyDescent="0.25">
      <c r="A3509" s="50" t="s">
        <v>4860</v>
      </c>
      <c r="B3509" s="30" t="s">
        <v>11</v>
      </c>
      <c r="C3509" s="30" t="s">
        <v>364</v>
      </c>
      <c r="D3509" s="30" t="s">
        <v>24</v>
      </c>
      <c r="E3509" s="30" t="s">
        <v>532</v>
      </c>
      <c r="F3509" s="30">
        <v>1</v>
      </c>
      <c r="G3509" s="44">
        <v>50089</v>
      </c>
      <c r="H3509" s="30"/>
      <c r="I3509" s="44"/>
      <c r="J3509" s="44"/>
      <c r="K3509" s="44">
        <f t="shared" si="116"/>
        <v>50089</v>
      </c>
      <c r="L3509" s="51">
        <v>20250908</v>
      </c>
    </row>
    <row r="3510" spans="1:12" x14ac:dyDescent="0.25">
      <c r="A3510" s="50" t="s">
        <v>4861</v>
      </c>
      <c r="B3510" s="30" t="s">
        <v>11</v>
      </c>
      <c r="C3510" s="30" t="s">
        <v>364</v>
      </c>
      <c r="D3510" s="30" t="s">
        <v>24</v>
      </c>
      <c r="E3510" s="30" t="s">
        <v>4165</v>
      </c>
      <c r="F3510" s="30">
        <v>1</v>
      </c>
      <c r="G3510" s="44">
        <v>50089</v>
      </c>
      <c r="H3510" s="30"/>
      <c r="I3510" s="44"/>
      <c r="J3510" s="44"/>
      <c r="K3510" s="44">
        <f t="shared" si="116"/>
        <v>50089</v>
      </c>
      <c r="L3510" s="51">
        <v>20250908</v>
      </c>
    </row>
    <row r="3511" spans="1:12" x14ac:dyDescent="0.25">
      <c r="A3511" s="50" t="s">
        <v>4862</v>
      </c>
      <c r="B3511" s="30" t="s">
        <v>11</v>
      </c>
      <c r="C3511" s="30" t="s">
        <v>28</v>
      </c>
      <c r="D3511" s="30" t="s">
        <v>759</v>
      </c>
      <c r="E3511" s="30" t="s">
        <v>760</v>
      </c>
      <c r="F3511" s="30">
        <v>1</v>
      </c>
      <c r="G3511" s="44">
        <v>50089</v>
      </c>
      <c r="H3511" s="30"/>
      <c r="I3511" s="44"/>
      <c r="J3511" s="44"/>
      <c r="K3511" s="44">
        <f t="shared" si="116"/>
        <v>50089</v>
      </c>
      <c r="L3511" s="51">
        <v>20250908</v>
      </c>
    </row>
    <row r="3512" spans="1:12" x14ac:dyDescent="0.25">
      <c r="A3512" s="50" t="s">
        <v>4864</v>
      </c>
      <c r="B3512" s="30" t="s">
        <v>11</v>
      </c>
      <c r="C3512" s="30" t="s">
        <v>53</v>
      </c>
      <c r="D3512" s="30" t="s">
        <v>24</v>
      </c>
      <c r="E3512" s="30" t="s">
        <v>1281</v>
      </c>
      <c r="F3512" s="30">
        <v>1</v>
      </c>
      <c r="G3512" s="44">
        <v>50089</v>
      </c>
      <c r="H3512" s="30"/>
      <c r="I3512" s="44"/>
      <c r="J3512" s="44"/>
      <c r="K3512" s="44">
        <f t="shared" si="116"/>
        <v>50089</v>
      </c>
      <c r="L3512" s="51">
        <v>20250908</v>
      </c>
    </row>
    <row r="3513" spans="1:12" x14ac:dyDescent="0.25">
      <c r="A3513" s="50" t="s">
        <v>4863</v>
      </c>
      <c r="B3513" s="30" t="s">
        <v>11</v>
      </c>
      <c r="C3513" s="30" t="s">
        <v>29</v>
      </c>
      <c r="D3513" s="30" t="s">
        <v>24</v>
      </c>
      <c r="E3513" s="30" t="s">
        <v>1497</v>
      </c>
      <c r="F3513" s="30">
        <v>1</v>
      </c>
      <c r="G3513" s="44">
        <v>50089</v>
      </c>
      <c r="H3513" s="30"/>
      <c r="I3513" s="44"/>
      <c r="J3513" s="44"/>
      <c r="K3513" s="44">
        <f t="shared" si="116"/>
        <v>50089</v>
      </c>
      <c r="L3513" s="51">
        <v>20250909</v>
      </c>
    </row>
    <row r="3514" spans="1:12" x14ac:dyDescent="0.25">
      <c r="A3514" s="50" t="s">
        <v>4865</v>
      </c>
      <c r="B3514" s="30" t="s">
        <v>1209</v>
      </c>
      <c r="C3514" s="30" t="s">
        <v>337</v>
      </c>
      <c r="D3514" s="30" t="s">
        <v>35</v>
      </c>
      <c r="E3514" s="30" t="s">
        <v>4866</v>
      </c>
      <c r="F3514" s="30">
        <v>1</v>
      </c>
      <c r="G3514" s="44">
        <v>50089</v>
      </c>
      <c r="H3514" s="30"/>
      <c r="I3514" s="44"/>
      <c r="J3514" s="44"/>
      <c r="K3514" s="44">
        <f t="shared" si="116"/>
        <v>50089</v>
      </c>
      <c r="L3514" s="51">
        <v>20250909</v>
      </c>
    </row>
    <row r="3515" spans="1:12" x14ac:dyDescent="0.25">
      <c r="A3515" s="52" t="s">
        <v>4868</v>
      </c>
      <c r="B3515" s="32" t="s">
        <v>11</v>
      </c>
      <c r="C3515" s="32" t="s">
        <v>337</v>
      </c>
      <c r="D3515" s="32" t="s">
        <v>35</v>
      </c>
      <c r="E3515" s="32" t="s">
        <v>402</v>
      </c>
      <c r="F3515" s="32">
        <v>1</v>
      </c>
      <c r="G3515" s="45">
        <v>50089</v>
      </c>
      <c r="H3515" s="32">
        <v>72</v>
      </c>
      <c r="I3515" s="45">
        <v>587.70000000000005</v>
      </c>
      <c r="J3515" s="45">
        <f>I3515*H3515</f>
        <v>42314.400000000001</v>
      </c>
      <c r="K3515" s="45">
        <f t="shared" si="116"/>
        <v>92403.4</v>
      </c>
      <c r="L3515" s="53">
        <v>20250909</v>
      </c>
    </row>
    <row r="3516" spans="1:12" x14ac:dyDescent="0.25">
      <c r="A3516" s="50" t="s">
        <v>4846</v>
      </c>
      <c r="B3516" s="30" t="s">
        <v>11</v>
      </c>
      <c r="C3516" s="30" t="s">
        <v>26</v>
      </c>
      <c r="D3516" s="30" t="s">
        <v>556</v>
      </c>
      <c r="E3516" s="30" t="s">
        <v>561</v>
      </c>
      <c r="F3516" s="30">
        <v>1</v>
      </c>
      <c r="G3516" s="44">
        <v>50089</v>
      </c>
      <c r="H3516" s="30"/>
      <c r="I3516" s="44"/>
      <c r="J3516" s="44"/>
      <c r="K3516" s="44">
        <f t="shared" si="116"/>
        <v>50089</v>
      </c>
      <c r="L3516" s="51">
        <v>20250910</v>
      </c>
    </row>
    <row r="3517" spans="1:12" x14ac:dyDescent="0.25">
      <c r="A3517" s="50" t="s">
        <v>4867</v>
      </c>
      <c r="B3517" s="30" t="s">
        <v>11</v>
      </c>
      <c r="C3517" s="30" t="s">
        <v>94</v>
      </c>
      <c r="D3517" s="30" t="s">
        <v>95</v>
      </c>
      <c r="E3517" s="30" t="s">
        <v>4051</v>
      </c>
      <c r="F3517" s="30">
        <v>1</v>
      </c>
      <c r="G3517" s="44">
        <v>50089</v>
      </c>
      <c r="H3517" s="30"/>
      <c r="I3517" s="44"/>
      <c r="J3517" s="44"/>
      <c r="K3517" s="44">
        <f t="shared" si="116"/>
        <v>50089</v>
      </c>
      <c r="L3517" s="51">
        <v>20250910</v>
      </c>
    </row>
    <row r="3518" spans="1:12" x14ac:dyDescent="0.25">
      <c r="A3518" s="52" t="s">
        <v>4872</v>
      </c>
      <c r="B3518" s="32" t="s">
        <v>11</v>
      </c>
      <c r="C3518" s="32" t="s">
        <v>4490</v>
      </c>
      <c r="D3518" s="32" t="s">
        <v>368</v>
      </c>
      <c r="E3518" s="32" t="s">
        <v>369</v>
      </c>
      <c r="F3518" s="32">
        <v>1</v>
      </c>
      <c r="G3518" s="45">
        <v>50089</v>
      </c>
      <c r="H3518" s="32">
        <v>123</v>
      </c>
      <c r="I3518" s="45">
        <v>587.70000000000005</v>
      </c>
      <c r="J3518" s="45">
        <f>I3518*H3518</f>
        <v>72287.100000000006</v>
      </c>
      <c r="K3518" s="45">
        <f t="shared" si="116"/>
        <v>122376.1</v>
      </c>
      <c r="L3518" s="53">
        <v>20250911</v>
      </c>
    </row>
    <row r="3519" spans="1:12" x14ac:dyDescent="0.25">
      <c r="A3519" s="52" t="s">
        <v>4845</v>
      </c>
      <c r="B3519" s="32" t="s">
        <v>11</v>
      </c>
      <c r="C3519" s="32" t="s">
        <v>28</v>
      </c>
      <c r="D3519" s="32" t="s">
        <v>2284</v>
      </c>
      <c r="E3519" s="32" t="s">
        <v>2285</v>
      </c>
      <c r="F3519" s="32">
        <v>1</v>
      </c>
      <c r="G3519" s="45">
        <v>50089</v>
      </c>
      <c r="H3519" s="32">
        <v>148</v>
      </c>
      <c r="I3519" s="45">
        <v>587.70000000000005</v>
      </c>
      <c r="J3519" s="45">
        <f>I3519*H3519</f>
        <v>86979.6</v>
      </c>
      <c r="K3519" s="45">
        <f t="shared" si="116"/>
        <v>137068.6</v>
      </c>
      <c r="L3519" s="53">
        <v>20250912</v>
      </c>
    </row>
    <row r="3520" spans="1:12" x14ac:dyDescent="0.25">
      <c r="A3520" s="50" t="s">
        <v>4854</v>
      </c>
      <c r="B3520" s="30" t="s">
        <v>1209</v>
      </c>
      <c r="C3520" s="30" t="s">
        <v>26</v>
      </c>
      <c r="D3520" s="30" t="s">
        <v>204</v>
      </c>
      <c r="E3520" s="30" t="s">
        <v>4855</v>
      </c>
      <c r="F3520" s="30">
        <v>1</v>
      </c>
      <c r="G3520" s="44">
        <v>50089</v>
      </c>
      <c r="H3520" s="30"/>
      <c r="I3520" s="44"/>
      <c r="J3520" s="44"/>
      <c r="K3520" s="44">
        <f t="shared" si="116"/>
        <v>50089</v>
      </c>
      <c r="L3520" s="51">
        <v>20250915</v>
      </c>
    </row>
    <row r="3521" spans="1:12" x14ac:dyDescent="0.25">
      <c r="A3521" s="50" t="s">
        <v>4856</v>
      </c>
      <c r="B3521" s="30" t="s">
        <v>1209</v>
      </c>
      <c r="C3521" s="30" t="s">
        <v>26</v>
      </c>
      <c r="D3521" s="30" t="s">
        <v>204</v>
      </c>
      <c r="E3521" s="30" t="s">
        <v>4857</v>
      </c>
      <c r="F3521" s="30">
        <v>1</v>
      </c>
      <c r="G3521" s="44">
        <v>50089</v>
      </c>
      <c r="H3521" s="30"/>
      <c r="I3521" s="44"/>
      <c r="J3521" s="44"/>
      <c r="K3521" s="44">
        <f t="shared" si="116"/>
        <v>50089</v>
      </c>
      <c r="L3521" s="51">
        <v>20250915</v>
      </c>
    </row>
    <row r="3522" spans="1:12" x14ac:dyDescent="0.25">
      <c r="A3522" s="50" t="s">
        <v>4858</v>
      </c>
      <c r="B3522" s="30" t="s">
        <v>1209</v>
      </c>
      <c r="C3522" s="30" t="s">
        <v>26</v>
      </c>
      <c r="D3522" s="30" t="s">
        <v>204</v>
      </c>
      <c r="E3522" s="30" t="s">
        <v>4859</v>
      </c>
      <c r="F3522" s="30">
        <v>1</v>
      </c>
      <c r="G3522" s="44">
        <v>50089</v>
      </c>
      <c r="H3522" s="30"/>
      <c r="I3522" s="44"/>
      <c r="J3522" s="44"/>
      <c r="K3522" s="44">
        <f t="shared" si="116"/>
        <v>50089</v>
      </c>
      <c r="L3522" s="51">
        <v>20250915</v>
      </c>
    </row>
    <row r="3523" spans="1:12" x14ac:dyDescent="0.25">
      <c r="A3523" s="50" t="s">
        <v>4842</v>
      </c>
      <c r="B3523" s="30" t="s">
        <v>11</v>
      </c>
      <c r="C3523" s="30" t="s">
        <v>134</v>
      </c>
      <c r="D3523" s="30" t="s">
        <v>135</v>
      </c>
      <c r="E3523" s="30" t="s">
        <v>1178</v>
      </c>
      <c r="F3523" s="30">
        <v>1</v>
      </c>
      <c r="G3523" s="44">
        <v>50089</v>
      </c>
      <c r="H3523" s="30"/>
      <c r="I3523" s="44"/>
      <c r="J3523" s="44"/>
      <c r="K3523" s="44">
        <f t="shared" si="116"/>
        <v>50089</v>
      </c>
      <c r="L3523" s="51">
        <v>20250916</v>
      </c>
    </row>
    <row r="3524" spans="1:12" x14ac:dyDescent="0.25">
      <c r="A3524" s="50" t="s">
        <v>4840</v>
      </c>
      <c r="B3524" s="30" t="s">
        <v>11</v>
      </c>
      <c r="C3524" s="30" t="s">
        <v>26</v>
      </c>
      <c r="D3524" s="30" t="s">
        <v>616</v>
      </c>
      <c r="E3524" s="30" t="s">
        <v>619</v>
      </c>
      <c r="F3524" s="30">
        <v>1</v>
      </c>
      <c r="G3524" s="44">
        <v>50089</v>
      </c>
      <c r="H3524" s="30"/>
      <c r="I3524" s="44"/>
      <c r="J3524" s="44"/>
      <c r="K3524" s="44">
        <f t="shared" si="116"/>
        <v>50089</v>
      </c>
      <c r="L3524" s="51">
        <v>20250917</v>
      </c>
    </row>
    <row r="3525" spans="1:12" x14ac:dyDescent="0.25">
      <c r="A3525" s="50" t="s">
        <v>4841</v>
      </c>
      <c r="B3525" s="30" t="s">
        <v>11</v>
      </c>
      <c r="C3525" s="30" t="s">
        <v>251</v>
      </c>
      <c r="D3525" s="30" t="s">
        <v>2985</v>
      </c>
      <c r="E3525" s="30" t="s">
        <v>2986</v>
      </c>
      <c r="F3525" s="30">
        <v>1</v>
      </c>
      <c r="G3525" s="44">
        <v>50089</v>
      </c>
      <c r="H3525" s="30"/>
      <c r="I3525" s="44"/>
      <c r="J3525" s="44"/>
      <c r="K3525" s="44">
        <f t="shared" si="116"/>
        <v>50089</v>
      </c>
      <c r="L3525" s="51">
        <v>20250917</v>
      </c>
    </row>
    <row r="3526" spans="1:12" x14ac:dyDescent="0.25">
      <c r="A3526" s="52" t="s">
        <v>4825</v>
      </c>
      <c r="B3526" s="32" t="s">
        <v>11</v>
      </c>
      <c r="C3526" s="32" t="s">
        <v>26</v>
      </c>
      <c r="D3526" s="32" t="s">
        <v>351</v>
      </c>
      <c r="E3526" s="32" t="s">
        <v>2501</v>
      </c>
      <c r="F3526" s="32">
        <v>1</v>
      </c>
      <c r="G3526" s="45">
        <v>50089</v>
      </c>
      <c r="H3526" s="32">
        <v>67</v>
      </c>
      <c r="I3526" s="45">
        <v>587.70000000000005</v>
      </c>
      <c r="J3526" s="45">
        <f>I3526*H3526</f>
        <v>39375.9</v>
      </c>
      <c r="K3526" s="45">
        <f t="shared" si="116"/>
        <v>89464.9</v>
      </c>
      <c r="L3526" s="53">
        <v>20250922</v>
      </c>
    </row>
    <row r="3527" spans="1:12" x14ac:dyDescent="0.25">
      <c r="A3527" s="50" t="s">
        <v>4826</v>
      </c>
      <c r="B3527" s="30" t="s">
        <v>11</v>
      </c>
      <c r="C3527" s="30" t="s">
        <v>28</v>
      </c>
      <c r="D3527" s="30" t="s">
        <v>1742</v>
      </c>
      <c r="E3527" s="30" t="s">
        <v>2226</v>
      </c>
      <c r="F3527" s="30">
        <v>1</v>
      </c>
      <c r="G3527" s="44">
        <v>50089</v>
      </c>
      <c r="H3527" s="30"/>
      <c r="I3527" s="44"/>
      <c r="J3527" s="44"/>
      <c r="K3527" s="44">
        <f t="shared" si="116"/>
        <v>50089</v>
      </c>
      <c r="L3527" s="51">
        <v>20250922</v>
      </c>
    </row>
    <row r="3528" spans="1:12" x14ac:dyDescent="0.25">
      <c r="A3528" s="50" t="s">
        <v>4839</v>
      </c>
      <c r="B3528" s="30" t="s">
        <v>1209</v>
      </c>
      <c r="C3528" s="30" t="s">
        <v>337</v>
      </c>
      <c r="D3528" s="30" t="s">
        <v>35</v>
      </c>
      <c r="E3528" s="30" t="s">
        <v>4813</v>
      </c>
      <c r="F3528" s="30">
        <v>1</v>
      </c>
      <c r="G3528" s="44">
        <v>50089</v>
      </c>
      <c r="H3528" s="30"/>
      <c r="I3528" s="44"/>
      <c r="J3528" s="44"/>
      <c r="K3528" s="44">
        <f t="shared" si="116"/>
        <v>50089</v>
      </c>
      <c r="L3528" s="51">
        <v>20250923</v>
      </c>
    </row>
    <row r="3529" spans="1:12" x14ac:dyDescent="0.25">
      <c r="A3529" s="50" t="s">
        <v>4823</v>
      </c>
      <c r="B3529" s="30" t="s">
        <v>11</v>
      </c>
      <c r="C3529" s="30" t="s">
        <v>29</v>
      </c>
      <c r="D3529" s="30" t="s">
        <v>1656</v>
      </c>
      <c r="E3529" s="30" t="s">
        <v>2300</v>
      </c>
      <c r="F3529" s="30">
        <v>1</v>
      </c>
      <c r="G3529" s="44">
        <v>50089</v>
      </c>
      <c r="H3529" s="30"/>
      <c r="I3529" s="44"/>
      <c r="J3529" s="44"/>
      <c r="K3529" s="44">
        <f t="shared" si="116"/>
        <v>50089</v>
      </c>
      <c r="L3529" s="51">
        <v>20250924</v>
      </c>
    </row>
    <row r="3530" spans="1:12" x14ac:dyDescent="0.25">
      <c r="A3530" s="52" t="s">
        <v>4824</v>
      </c>
      <c r="B3530" s="32" t="s">
        <v>11</v>
      </c>
      <c r="C3530" s="32" t="s">
        <v>29</v>
      </c>
      <c r="D3530" s="32" t="s">
        <v>3494</v>
      </c>
      <c r="E3530" s="32" t="s">
        <v>4526</v>
      </c>
      <c r="F3530" s="32">
        <v>1</v>
      </c>
      <c r="G3530" s="45">
        <v>50089</v>
      </c>
      <c r="H3530" s="32">
        <v>37</v>
      </c>
      <c r="I3530" s="45">
        <v>587.70000000000005</v>
      </c>
      <c r="J3530" s="45">
        <f>I3530*H3530</f>
        <v>21744.9</v>
      </c>
      <c r="K3530" s="45">
        <f t="shared" si="116"/>
        <v>71833.899999999994</v>
      </c>
      <c r="L3530" s="53">
        <v>20250924</v>
      </c>
    </row>
    <row r="3531" spans="1:12" x14ac:dyDescent="0.25">
      <c r="A3531" s="50" t="s">
        <v>4837</v>
      </c>
      <c r="B3531" s="30" t="s">
        <v>1209</v>
      </c>
      <c r="C3531" s="30" t="s">
        <v>94</v>
      </c>
      <c r="D3531" s="30" t="s">
        <v>95</v>
      </c>
      <c r="E3531" s="30" t="s">
        <v>4838</v>
      </c>
      <c r="F3531" s="30">
        <v>1</v>
      </c>
      <c r="G3531" s="44">
        <v>50089</v>
      </c>
      <c r="H3531" s="30"/>
      <c r="I3531" s="44"/>
      <c r="J3531" s="44"/>
      <c r="K3531" s="44">
        <f t="shared" si="116"/>
        <v>50089</v>
      </c>
      <c r="L3531" s="51">
        <v>20250925</v>
      </c>
    </row>
    <row r="3532" spans="1:12" x14ac:dyDescent="0.25">
      <c r="A3532" s="52" t="s">
        <v>4812</v>
      </c>
      <c r="B3532" s="32" t="s">
        <v>11</v>
      </c>
      <c r="C3532" s="32" t="s">
        <v>337</v>
      </c>
      <c r="D3532" s="32" t="s">
        <v>35</v>
      </c>
      <c r="E3532" s="32" t="s">
        <v>4813</v>
      </c>
      <c r="F3532" s="32">
        <v>1</v>
      </c>
      <c r="G3532" s="45">
        <v>50089</v>
      </c>
      <c r="H3532" s="32">
        <v>72</v>
      </c>
      <c r="I3532" s="45">
        <v>587.70000000000005</v>
      </c>
      <c r="J3532" s="45">
        <f>I3532*H3532</f>
        <v>42314.400000000001</v>
      </c>
      <c r="K3532" s="45">
        <f t="shared" si="116"/>
        <v>92403.4</v>
      </c>
      <c r="L3532" s="53">
        <v>20250926</v>
      </c>
    </row>
    <row r="3533" spans="1:12" x14ac:dyDescent="0.25">
      <c r="A3533" s="50" t="s">
        <v>4806</v>
      </c>
      <c r="B3533" s="30" t="s">
        <v>11</v>
      </c>
      <c r="C3533" s="30" t="s">
        <v>94</v>
      </c>
      <c r="D3533" s="30" t="s">
        <v>95</v>
      </c>
      <c r="E3533" s="30" t="s">
        <v>260</v>
      </c>
      <c r="F3533" s="30">
        <v>1</v>
      </c>
      <c r="G3533" s="44">
        <v>50089</v>
      </c>
      <c r="H3533" s="30"/>
      <c r="I3533" s="44"/>
      <c r="J3533" s="44"/>
      <c r="K3533" s="44">
        <f t="shared" si="116"/>
        <v>50089</v>
      </c>
      <c r="L3533" s="51">
        <v>20250930</v>
      </c>
    </row>
    <row r="3534" spans="1:12" x14ac:dyDescent="0.25">
      <c r="A3534" s="50" t="s">
        <v>4807</v>
      </c>
      <c r="B3534" s="30" t="s">
        <v>11</v>
      </c>
      <c r="C3534" s="30" t="s">
        <v>94</v>
      </c>
      <c r="D3534" s="30" t="s">
        <v>95</v>
      </c>
      <c r="E3534" s="30" t="s">
        <v>262</v>
      </c>
      <c r="F3534" s="30">
        <v>1</v>
      </c>
      <c r="G3534" s="44">
        <v>50089</v>
      </c>
      <c r="H3534" s="30"/>
      <c r="I3534" s="44"/>
      <c r="J3534" s="44"/>
      <c r="K3534" s="44">
        <f t="shared" si="116"/>
        <v>50089</v>
      </c>
      <c r="L3534" s="51">
        <v>20250930</v>
      </c>
    </row>
    <row r="3535" spans="1:12" ht="15.75" thickBot="1" x14ac:dyDescent="0.3">
      <c r="A3535" s="54" t="s">
        <v>4811</v>
      </c>
      <c r="B3535" s="36" t="s">
        <v>11</v>
      </c>
      <c r="C3535" s="36" t="s">
        <v>4490</v>
      </c>
      <c r="D3535" s="36" t="s">
        <v>368</v>
      </c>
      <c r="E3535" s="36" t="s">
        <v>736</v>
      </c>
      <c r="F3535" s="36">
        <v>1</v>
      </c>
      <c r="G3535" s="65">
        <v>50089</v>
      </c>
      <c r="H3535" s="36"/>
      <c r="I3535" s="65"/>
      <c r="J3535" s="65"/>
      <c r="K3535" s="65">
        <f t="shared" si="116"/>
        <v>50089</v>
      </c>
      <c r="L3535" s="55">
        <v>20250930</v>
      </c>
    </row>
    <row r="3536" spans="1:12" x14ac:dyDescent="0.25">
      <c r="A3536" s="73"/>
      <c r="B3536" s="74"/>
      <c r="C3536" s="74"/>
      <c r="D3536" s="74"/>
      <c r="E3536" s="74"/>
      <c r="F3536" s="74"/>
      <c r="G3536" s="75"/>
      <c r="H3536" s="74"/>
      <c r="I3536" s="75"/>
      <c r="J3536" s="75"/>
      <c r="K3536" s="75"/>
      <c r="L3536" s="76"/>
    </row>
    <row r="3537" spans="1:12" ht="15.75" thickBot="1" x14ac:dyDescent="0.3">
      <c r="A3537" s="69"/>
      <c r="B3537" s="70"/>
      <c r="C3537" s="70"/>
      <c r="D3537" s="70"/>
      <c r="E3537" s="70"/>
      <c r="F3537" s="70"/>
      <c r="G3537" s="71"/>
      <c r="H3537" s="70"/>
      <c r="I3537" s="71"/>
      <c r="J3537" s="71"/>
      <c r="K3537" s="71"/>
      <c r="L3537" s="72"/>
    </row>
    <row r="3538" spans="1:12" x14ac:dyDescent="0.25">
      <c r="A3538" s="48" t="s">
        <v>4871</v>
      </c>
      <c r="B3538" s="34" t="s">
        <v>137</v>
      </c>
      <c r="C3538" s="34" t="s">
        <v>337</v>
      </c>
      <c r="D3538" s="34" t="s">
        <v>35</v>
      </c>
      <c r="E3538" s="34" t="s">
        <v>1318</v>
      </c>
      <c r="F3538" s="34">
        <v>1</v>
      </c>
      <c r="G3538" s="64">
        <v>25035</v>
      </c>
      <c r="H3538" s="34"/>
      <c r="I3538" s="64"/>
      <c r="J3538" s="64"/>
      <c r="K3538" s="64">
        <f t="shared" ref="K3538:K3576" si="117">J3538+G3538</f>
        <v>25035</v>
      </c>
      <c r="L3538" s="49">
        <v>20250902</v>
      </c>
    </row>
    <row r="3539" spans="1:12" x14ac:dyDescent="0.25">
      <c r="A3539" s="50" t="s">
        <v>4875</v>
      </c>
      <c r="B3539" s="30" t="s">
        <v>137</v>
      </c>
      <c r="C3539" s="30" t="s">
        <v>337</v>
      </c>
      <c r="D3539" s="30" t="s">
        <v>35</v>
      </c>
      <c r="E3539" s="30" t="s">
        <v>3006</v>
      </c>
      <c r="F3539" s="30">
        <v>1</v>
      </c>
      <c r="G3539" s="44">
        <v>25035</v>
      </c>
      <c r="H3539" s="30"/>
      <c r="I3539" s="44"/>
      <c r="J3539" s="44"/>
      <c r="K3539" s="44">
        <f t="shared" si="117"/>
        <v>25035</v>
      </c>
      <c r="L3539" s="51">
        <v>20250902</v>
      </c>
    </row>
    <row r="3540" spans="1:12" x14ac:dyDescent="0.25">
      <c r="A3540" s="50" t="s">
        <v>4876</v>
      </c>
      <c r="B3540" s="30" t="s">
        <v>137</v>
      </c>
      <c r="C3540" s="30" t="s">
        <v>337</v>
      </c>
      <c r="D3540" s="30" t="s">
        <v>35</v>
      </c>
      <c r="E3540" s="30" t="s">
        <v>1477</v>
      </c>
      <c r="F3540" s="30">
        <v>1</v>
      </c>
      <c r="G3540" s="44">
        <v>25035</v>
      </c>
      <c r="H3540" s="30"/>
      <c r="I3540" s="44"/>
      <c r="J3540" s="44"/>
      <c r="K3540" s="44">
        <f t="shared" si="117"/>
        <v>25035</v>
      </c>
      <c r="L3540" s="51">
        <v>20250902</v>
      </c>
    </row>
    <row r="3541" spans="1:12" x14ac:dyDescent="0.25">
      <c r="A3541" s="50" t="s">
        <v>4877</v>
      </c>
      <c r="B3541" s="30" t="s">
        <v>137</v>
      </c>
      <c r="C3541" s="30" t="s">
        <v>337</v>
      </c>
      <c r="D3541" s="30" t="s">
        <v>35</v>
      </c>
      <c r="E3541" s="30" t="s">
        <v>1484</v>
      </c>
      <c r="F3541" s="30">
        <v>1</v>
      </c>
      <c r="G3541" s="44">
        <v>25035</v>
      </c>
      <c r="H3541" s="30"/>
      <c r="I3541" s="44"/>
      <c r="J3541" s="44"/>
      <c r="K3541" s="44">
        <f t="shared" si="117"/>
        <v>25035</v>
      </c>
      <c r="L3541" s="51">
        <v>20250902</v>
      </c>
    </row>
    <row r="3542" spans="1:12" x14ac:dyDescent="0.25">
      <c r="A3542" s="50" t="s">
        <v>4878</v>
      </c>
      <c r="B3542" s="30" t="s">
        <v>137</v>
      </c>
      <c r="C3542" s="30" t="s">
        <v>337</v>
      </c>
      <c r="D3542" s="30" t="s">
        <v>35</v>
      </c>
      <c r="E3542" s="30" t="s">
        <v>3011</v>
      </c>
      <c r="F3542" s="30">
        <v>1</v>
      </c>
      <c r="G3542" s="44">
        <v>25035</v>
      </c>
      <c r="H3542" s="30"/>
      <c r="I3542" s="44"/>
      <c r="J3542" s="44"/>
      <c r="K3542" s="44">
        <f t="shared" si="117"/>
        <v>25035</v>
      </c>
      <c r="L3542" s="51">
        <v>20250902</v>
      </c>
    </row>
    <row r="3543" spans="1:12" x14ac:dyDescent="0.25">
      <c r="A3543" s="50" t="s">
        <v>4879</v>
      </c>
      <c r="B3543" s="30" t="s">
        <v>137</v>
      </c>
      <c r="C3543" s="30" t="s">
        <v>337</v>
      </c>
      <c r="D3543" s="30" t="s">
        <v>35</v>
      </c>
      <c r="E3543" s="30" t="s">
        <v>1479</v>
      </c>
      <c r="F3543" s="30">
        <v>1</v>
      </c>
      <c r="G3543" s="44">
        <v>25035</v>
      </c>
      <c r="H3543" s="30"/>
      <c r="I3543" s="44"/>
      <c r="J3543" s="44"/>
      <c r="K3543" s="44">
        <f t="shared" si="117"/>
        <v>25035</v>
      </c>
      <c r="L3543" s="51">
        <v>20250902</v>
      </c>
    </row>
    <row r="3544" spans="1:12" x14ac:dyDescent="0.25">
      <c r="A3544" s="50" t="s">
        <v>4847</v>
      </c>
      <c r="B3544" s="30" t="s">
        <v>137</v>
      </c>
      <c r="C3544" s="30" t="s">
        <v>364</v>
      </c>
      <c r="D3544" s="30" t="s">
        <v>24</v>
      </c>
      <c r="E3544" s="30" t="s">
        <v>2702</v>
      </c>
      <c r="F3544" s="30">
        <v>1</v>
      </c>
      <c r="G3544" s="44">
        <v>25035</v>
      </c>
      <c r="H3544" s="30"/>
      <c r="I3544" s="44"/>
      <c r="J3544" s="44"/>
      <c r="K3544" s="44">
        <f t="shared" si="117"/>
        <v>25035</v>
      </c>
      <c r="L3544" s="51">
        <v>20250908</v>
      </c>
    </row>
    <row r="3545" spans="1:12" x14ac:dyDescent="0.25">
      <c r="A3545" s="50" t="s">
        <v>4848</v>
      </c>
      <c r="B3545" s="30" t="s">
        <v>137</v>
      </c>
      <c r="C3545" s="30" t="s">
        <v>364</v>
      </c>
      <c r="D3545" s="30" t="s">
        <v>24</v>
      </c>
      <c r="E3545" s="30" t="s">
        <v>2075</v>
      </c>
      <c r="F3545" s="30">
        <v>1</v>
      </c>
      <c r="G3545" s="44">
        <v>25035</v>
      </c>
      <c r="H3545" s="30"/>
      <c r="I3545" s="44"/>
      <c r="J3545" s="44"/>
      <c r="K3545" s="44">
        <f t="shared" si="117"/>
        <v>25035</v>
      </c>
      <c r="L3545" s="51">
        <v>20250908</v>
      </c>
    </row>
    <row r="3546" spans="1:12" x14ac:dyDescent="0.25">
      <c r="A3546" s="50" t="s">
        <v>4849</v>
      </c>
      <c r="B3546" s="30" t="s">
        <v>137</v>
      </c>
      <c r="C3546" s="30" t="s">
        <v>364</v>
      </c>
      <c r="D3546" s="30" t="s">
        <v>24</v>
      </c>
      <c r="E3546" s="30" t="s">
        <v>1134</v>
      </c>
      <c r="F3546" s="30">
        <v>1</v>
      </c>
      <c r="G3546" s="44">
        <v>25035</v>
      </c>
      <c r="H3546" s="30"/>
      <c r="I3546" s="44"/>
      <c r="J3546" s="44"/>
      <c r="K3546" s="44">
        <f t="shared" si="117"/>
        <v>25035</v>
      </c>
      <c r="L3546" s="51">
        <v>20250908</v>
      </c>
    </row>
    <row r="3547" spans="1:12" x14ac:dyDescent="0.25">
      <c r="A3547" s="50" t="s">
        <v>4850</v>
      </c>
      <c r="B3547" s="30" t="s">
        <v>137</v>
      </c>
      <c r="C3547" s="30" t="s">
        <v>364</v>
      </c>
      <c r="D3547" s="30" t="s">
        <v>24</v>
      </c>
      <c r="E3547" s="30" t="s">
        <v>1136</v>
      </c>
      <c r="F3547" s="30">
        <v>1</v>
      </c>
      <c r="G3547" s="44">
        <v>25035</v>
      </c>
      <c r="H3547" s="30"/>
      <c r="I3547" s="44"/>
      <c r="J3547" s="44"/>
      <c r="K3547" s="44">
        <f t="shared" si="117"/>
        <v>25035</v>
      </c>
      <c r="L3547" s="51">
        <v>20250908</v>
      </c>
    </row>
    <row r="3548" spans="1:12" x14ac:dyDescent="0.25">
      <c r="A3548" s="50" t="s">
        <v>4851</v>
      </c>
      <c r="B3548" s="30" t="s">
        <v>137</v>
      </c>
      <c r="C3548" s="30" t="s">
        <v>364</v>
      </c>
      <c r="D3548" s="30" t="s">
        <v>24</v>
      </c>
      <c r="E3548" s="30" t="s">
        <v>3554</v>
      </c>
      <c r="F3548" s="30">
        <v>1</v>
      </c>
      <c r="G3548" s="44">
        <v>25035</v>
      </c>
      <c r="H3548" s="30"/>
      <c r="I3548" s="44"/>
      <c r="J3548" s="44"/>
      <c r="K3548" s="44">
        <f t="shared" si="117"/>
        <v>25035</v>
      </c>
      <c r="L3548" s="51">
        <v>20250908</v>
      </c>
    </row>
    <row r="3549" spans="1:12" x14ac:dyDescent="0.25">
      <c r="A3549" s="50" t="s">
        <v>4852</v>
      </c>
      <c r="B3549" s="30" t="s">
        <v>137</v>
      </c>
      <c r="C3549" s="30" t="s">
        <v>364</v>
      </c>
      <c r="D3549" s="30" t="s">
        <v>24</v>
      </c>
      <c r="E3549" s="30" t="s">
        <v>4853</v>
      </c>
      <c r="F3549" s="30">
        <v>1</v>
      </c>
      <c r="G3549" s="44">
        <v>25035</v>
      </c>
      <c r="H3549" s="30"/>
      <c r="I3549" s="44"/>
      <c r="J3549" s="44"/>
      <c r="K3549" s="44">
        <f t="shared" si="117"/>
        <v>25035</v>
      </c>
      <c r="L3549" s="51">
        <v>20250908</v>
      </c>
    </row>
    <row r="3550" spans="1:12" x14ac:dyDescent="0.25">
      <c r="A3550" s="50" t="s">
        <v>4843</v>
      </c>
      <c r="B3550" s="30" t="s">
        <v>137</v>
      </c>
      <c r="C3550" s="30" t="s">
        <v>172</v>
      </c>
      <c r="D3550" s="30" t="s">
        <v>173</v>
      </c>
      <c r="E3550" s="30" t="s">
        <v>174</v>
      </c>
      <c r="F3550" s="30">
        <v>1</v>
      </c>
      <c r="G3550" s="44">
        <v>25035</v>
      </c>
      <c r="H3550" s="30"/>
      <c r="I3550" s="44"/>
      <c r="J3550" s="44"/>
      <c r="K3550" s="44">
        <f t="shared" si="117"/>
        <v>25035</v>
      </c>
      <c r="L3550" s="51">
        <v>20250912</v>
      </c>
    </row>
    <row r="3551" spans="1:12" x14ac:dyDescent="0.25">
      <c r="A3551" s="50" t="s">
        <v>4844</v>
      </c>
      <c r="B3551" s="30" t="s">
        <v>137</v>
      </c>
      <c r="C3551" s="30" t="s">
        <v>172</v>
      </c>
      <c r="D3551" s="30" t="s">
        <v>173</v>
      </c>
      <c r="E3551" s="30" t="s">
        <v>2221</v>
      </c>
      <c r="F3551" s="30">
        <v>1</v>
      </c>
      <c r="G3551" s="44">
        <v>25035</v>
      </c>
      <c r="H3551" s="30"/>
      <c r="I3551" s="44"/>
      <c r="J3551" s="44"/>
      <c r="K3551" s="44">
        <f t="shared" si="117"/>
        <v>25035</v>
      </c>
      <c r="L3551" s="51">
        <v>20250912</v>
      </c>
    </row>
    <row r="3552" spans="1:12" x14ac:dyDescent="0.25">
      <c r="A3552" s="50" t="s">
        <v>4827</v>
      </c>
      <c r="B3552" s="30" t="s">
        <v>137</v>
      </c>
      <c r="C3552" s="30" t="s">
        <v>29</v>
      </c>
      <c r="D3552" s="30" t="s">
        <v>1385</v>
      </c>
      <c r="E3552" s="30" t="s">
        <v>628</v>
      </c>
      <c r="F3552" s="30">
        <v>1</v>
      </c>
      <c r="G3552" s="44">
        <v>25035</v>
      </c>
      <c r="H3552" s="30"/>
      <c r="I3552" s="44"/>
      <c r="J3552" s="44"/>
      <c r="K3552" s="44">
        <f t="shared" si="117"/>
        <v>25035</v>
      </c>
      <c r="L3552" s="51">
        <v>20250923</v>
      </c>
    </row>
    <row r="3553" spans="1:12" x14ac:dyDescent="0.25">
      <c r="A3553" s="50" t="s">
        <v>4828</v>
      </c>
      <c r="B3553" s="30" t="s">
        <v>137</v>
      </c>
      <c r="C3553" s="30" t="s">
        <v>29</v>
      </c>
      <c r="D3553" s="30" t="s">
        <v>1385</v>
      </c>
      <c r="E3553" s="30" t="s">
        <v>209</v>
      </c>
      <c r="F3553" s="30">
        <v>1</v>
      </c>
      <c r="G3553" s="44">
        <v>25035</v>
      </c>
      <c r="H3553" s="30"/>
      <c r="I3553" s="44"/>
      <c r="J3553" s="44"/>
      <c r="K3553" s="44">
        <f t="shared" si="117"/>
        <v>25035</v>
      </c>
      <c r="L3553" s="51">
        <v>20250923</v>
      </c>
    </row>
    <row r="3554" spans="1:12" x14ac:dyDescent="0.25">
      <c r="A3554" s="50" t="s">
        <v>4829</v>
      </c>
      <c r="B3554" s="30" t="s">
        <v>137</v>
      </c>
      <c r="C3554" s="30" t="s">
        <v>29</v>
      </c>
      <c r="D3554" s="30" t="s">
        <v>1385</v>
      </c>
      <c r="E3554" s="30" t="s">
        <v>2101</v>
      </c>
      <c r="F3554" s="30">
        <v>1</v>
      </c>
      <c r="G3554" s="44">
        <v>25035</v>
      </c>
      <c r="H3554" s="30"/>
      <c r="I3554" s="44"/>
      <c r="J3554" s="44"/>
      <c r="K3554" s="44">
        <f t="shared" si="117"/>
        <v>25035</v>
      </c>
      <c r="L3554" s="51">
        <v>20250923</v>
      </c>
    </row>
    <row r="3555" spans="1:12" x14ac:dyDescent="0.25">
      <c r="A3555" s="50" t="s">
        <v>4830</v>
      </c>
      <c r="B3555" s="30" t="s">
        <v>137</v>
      </c>
      <c r="C3555" s="30" t="s">
        <v>29</v>
      </c>
      <c r="D3555" s="30" t="s">
        <v>1385</v>
      </c>
      <c r="E3555" s="30" t="s">
        <v>4373</v>
      </c>
      <c r="F3555" s="30">
        <v>1</v>
      </c>
      <c r="G3555" s="44">
        <v>25035</v>
      </c>
      <c r="H3555" s="30"/>
      <c r="I3555" s="44"/>
      <c r="J3555" s="44"/>
      <c r="K3555" s="44">
        <f t="shared" si="117"/>
        <v>25035</v>
      </c>
      <c r="L3555" s="51">
        <v>20250923</v>
      </c>
    </row>
    <row r="3556" spans="1:12" x14ac:dyDescent="0.25">
      <c r="A3556" s="50" t="s">
        <v>4831</v>
      </c>
      <c r="B3556" s="30" t="s">
        <v>137</v>
      </c>
      <c r="C3556" s="30" t="s">
        <v>29</v>
      </c>
      <c r="D3556" s="30" t="s">
        <v>1385</v>
      </c>
      <c r="E3556" s="30" t="s">
        <v>3889</v>
      </c>
      <c r="F3556" s="30">
        <v>1</v>
      </c>
      <c r="G3556" s="44">
        <v>25035</v>
      </c>
      <c r="H3556" s="30"/>
      <c r="I3556" s="44"/>
      <c r="J3556" s="44"/>
      <c r="K3556" s="44">
        <f t="shared" si="117"/>
        <v>25035</v>
      </c>
      <c r="L3556" s="51">
        <v>20250923</v>
      </c>
    </row>
    <row r="3557" spans="1:12" x14ac:dyDescent="0.25">
      <c r="A3557" s="50" t="s">
        <v>4832</v>
      </c>
      <c r="B3557" s="30" t="s">
        <v>137</v>
      </c>
      <c r="C3557" s="30" t="s">
        <v>29</v>
      </c>
      <c r="D3557" s="30" t="s">
        <v>1385</v>
      </c>
      <c r="E3557" s="30" t="s">
        <v>3335</v>
      </c>
      <c r="F3557" s="30">
        <v>1</v>
      </c>
      <c r="G3557" s="44">
        <v>25035</v>
      </c>
      <c r="H3557" s="30"/>
      <c r="I3557" s="44"/>
      <c r="J3557" s="44"/>
      <c r="K3557" s="44">
        <f t="shared" si="117"/>
        <v>25035</v>
      </c>
      <c r="L3557" s="51">
        <v>20250923</v>
      </c>
    </row>
    <row r="3558" spans="1:12" x14ac:dyDescent="0.25">
      <c r="A3558" s="50" t="s">
        <v>4833</v>
      </c>
      <c r="B3558" s="30" t="s">
        <v>137</v>
      </c>
      <c r="C3558" s="30" t="s">
        <v>29</v>
      </c>
      <c r="D3558" s="30" t="s">
        <v>1385</v>
      </c>
      <c r="E3558" s="30" t="s">
        <v>1127</v>
      </c>
      <c r="F3558" s="30">
        <v>1</v>
      </c>
      <c r="G3558" s="44">
        <v>25035</v>
      </c>
      <c r="H3558" s="30"/>
      <c r="I3558" s="44"/>
      <c r="J3558" s="44"/>
      <c r="K3558" s="44">
        <f t="shared" si="117"/>
        <v>25035</v>
      </c>
      <c r="L3558" s="51">
        <v>20250923</v>
      </c>
    </row>
    <row r="3559" spans="1:12" x14ac:dyDescent="0.25">
      <c r="A3559" s="50" t="s">
        <v>4834</v>
      </c>
      <c r="B3559" s="30" t="s">
        <v>137</v>
      </c>
      <c r="C3559" s="30" t="s">
        <v>29</v>
      </c>
      <c r="D3559" s="30" t="s">
        <v>1385</v>
      </c>
      <c r="E3559" s="30" t="s">
        <v>1320</v>
      </c>
      <c r="F3559" s="30">
        <v>1</v>
      </c>
      <c r="G3559" s="44">
        <v>25035</v>
      </c>
      <c r="H3559" s="30"/>
      <c r="I3559" s="44"/>
      <c r="J3559" s="44"/>
      <c r="K3559" s="44">
        <f t="shared" si="117"/>
        <v>25035</v>
      </c>
      <c r="L3559" s="51">
        <v>20250923</v>
      </c>
    </row>
    <row r="3560" spans="1:12" x14ac:dyDescent="0.25">
      <c r="A3560" s="50" t="s">
        <v>4835</v>
      </c>
      <c r="B3560" s="30" t="s">
        <v>137</v>
      </c>
      <c r="C3560" s="30" t="s">
        <v>29</v>
      </c>
      <c r="D3560" s="30" t="s">
        <v>24</v>
      </c>
      <c r="E3560" s="30" t="s">
        <v>1003</v>
      </c>
      <c r="F3560" s="30">
        <v>1</v>
      </c>
      <c r="G3560" s="44">
        <v>25035</v>
      </c>
      <c r="H3560" s="30"/>
      <c r="I3560" s="44"/>
      <c r="J3560" s="44"/>
      <c r="K3560" s="44">
        <f t="shared" si="117"/>
        <v>25035</v>
      </c>
      <c r="L3560" s="51">
        <v>20250923</v>
      </c>
    </row>
    <row r="3561" spans="1:12" x14ac:dyDescent="0.25">
      <c r="A3561" s="50" t="s">
        <v>4836</v>
      </c>
      <c r="B3561" s="30" t="s">
        <v>137</v>
      </c>
      <c r="C3561" s="30" t="s">
        <v>29</v>
      </c>
      <c r="D3561" s="30" t="s">
        <v>24</v>
      </c>
      <c r="E3561" s="30" t="s">
        <v>2051</v>
      </c>
      <c r="F3561" s="30">
        <v>1</v>
      </c>
      <c r="G3561" s="44">
        <v>25035</v>
      </c>
      <c r="H3561" s="30"/>
      <c r="I3561" s="44"/>
      <c r="J3561" s="44"/>
      <c r="K3561" s="44">
        <f t="shared" si="117"/>
        <v>25035</v>
      </c>
      <c r="L3561" s="51">
        <v>20250923</v>
      </c>
    </row>
    <row r="3562" spans="1:12" x14ac:dyDescent="0.25">
      <c r="A3562" s="50" t="s">
        <v>4814</v>
      </c>
      <c r="B3562" s="30" t="s">
        <v>137</v>
      </c>
      <c r="C3562" s="30" t="s">
        <v>134</v>
      </c>
      <c r="D3562" s="30" t="s">
        <v>354</v>
      </c>
      <c r="E3562" s="30" t="s">
        <v>357</v>
      </c>
      <c r="F3562" s="30">
        <v>1</v>
      </c>
      <c r="G3562" s="44">
        <v>25035</v>
      </c>
      <c r="H3562" s="30"/>
      <c r="I3562" s="44"/>
      <c r="J3562" s="44"/>
      <c r="K3562" s="44">
        <f t="shared" si="117"/>
        <v>25035</v>
      </c>
      <c r="L3562" s="51">
        <v>20250924</v>
      </c>
    </row>
    <row r="3563" spans="1:12" x14ac:dyDescent="0.25">
      <c r="A3563" s="50" t="s">
        <v>4815</v>
      </c>
      <c r="B3563" s="30" t="s">
        <v>137</v>
      </c>
      <c r="C3563" s="30" t="s">
        <v>134</v>
      </c>
      <c r="D3563" s="30" t="s">
        <v>354</v>
      </c>
      <c r="E3563" s="30" t="s">
        <v>359</v>
      </c>
      <c r="F3563" s="30">
        <v>1</v>
      </c>
      <c r="G3563" s="44">
        <v>25035</v>
      </c>
      <c r="H3563" s="30"/>
      <c r="I3563" s="44"/>
      <c r="J3563" s="44"/>
      <c r="K3563" s="44">
        <f t="shared" si="117"/>
        <v>25035</v>
      </c>
      <c r="L3563" s="51">
        <v>20250924</v>
      </c>
    </row>
    <row r="3564" spans="1:12" x14ac:dyDescent="0.25">
      <c r="A3564" s="50" t="s">
        <v>4816</v>
      </c>
      <c r="B3564" s="30" t="s">
        <v>137</v>
      </c>
      <c r="C3564" s="30" t="s">
        <v>134</v>
      </c>
      <c r="D3564" s="30" t="s">
        <v>354</v>
      </c>
      <c r="E3564" s="30" t="s">
        <v>410</v>
      </c>
      <c r="F3564" s="30">
        <v>1</v>
      </c>
      <c r="G3564" s="44">
        <v>25035</v>
      </c>
      <c r="H3564" s="30"/>
      <c r="I3564" s="44"/>
      <c r="J3564" s="44"/>
      <c r="K3564" s="44">
        <f t="shared" si="117"/>
        <v>25035</v>
      </c>
      <c r="L3564" s="51">
        <v>20250924</v>
      </c>
    </row>
    <row r="3565" spans="1:12" x14ac:dyDescent="0.25">
      <c r="A3565" s="50" t="s">
        <v>4817</v>
      </c>
      <c r="B3565" s="30" t="s">
        <v>137</v>
      </c>
      <c r="C3565" s="30" t="s">
        <v>134</v>
      </c>
      <c r="D3565" s="30" t="s">
        <v>354</v>
      </c>
      <c r="E3565" s="30" t="s">
        <v>825</v>
      </c>
      <c r="F3565" s="30">
        <v>1</v>
      </c>
      <c r="G3565" s="44">
        <v>25035</v>
      </c>
      <c r="H3565" s="30"/>
      <c r="I3565" s="44"/>
      <c r="J3565" s="44"/>
      <c r="K3565" s="44">
        <f t="shared" si="117"/>
        <v>25035</v>
      </c>
      <c r="L3565" s="51">
        <v>20250924</v>
      </c>
    </row>
    <row r="3566" spans="1:12" x14ac:dyDescent="0.25">
      <c r="A3566" s="50" t="s">
        <v>4818</v>
      </c>
      <c r="B3566" s="30" t="s">
        <v>137</v>
      </c>
      <c r="C3566" s="30" t="s">
        <v>134</v>
      </c>
      <c r="D3566" s="30" t="s">
        <v>354</v>
      </c>
      <c r="E3566" s="30" t="s">
        <v>829</v>
      </c>
      <c r="F3566" s="30">
        <v>1</v>
      </c>
      <c r="G3566" s="44">
        <v>25035</v>
      </c>
      <c r="H3566" s="30"/>
      <c r="I3566" s="44"/>
      <c r="J3566" s="44"/>
      <c r="K3566" s="44">
        <f t="shared" si="117"/>
        <v>25035</v>
      </c>
      <c r="L3566" s="51">
        <v>20250924</v>
      </c>
    </row>
    <row r="3567" spans="1:12" x14ac:dyDescent="0.25">
      <c r="A3567" s="50" t="s">
        <v>4819</v>
      </c>
      <c r="B3567" s="30" t="s">
        <v>137</v>
      </c>
      <c r="C3567" s="30" t="s">
        <v>134</v>
      </c>
      <c r="D3567" s="30" t="s">
        <v>354</v>
      </c>
      <c r="E3567" s="30" t="s">
        <v>831</v>
      </c>
      <c r="F3567" s="30">
        <v>1</v>
      </c>
      <c r="G3567" s="44">
        <v>25035</v>
      </c>
      <c r="H3567" s="30"/>
      <c r="I3567" s="44"/>
      <c r="J3567" s="44"/>
      <c r="K3567" s="44">
        <f t="shared" si="117"/>
        <v>25035</v>
      </c>
      <c r="L3567" s="51">
        <v>20250924</v>
      </c>
    </row>
    <row r="3568" spans="1:12" x14ac:dyDescent="0.25">
      <c r="A3568" s="50" t="s">
        <v>4820</v>
      </c>
      <c r="B3568" s="30" t="s">
        <v>137</v>
      </c>
      <c r="C3568" s="30" t="s">
        <v>134</v>
      </c>
      <c r="D3568" s="30" t="s">
        <v>354</v>
      </c>
      <c r="E3568" s="30" t="s">
        <v>833</v>
      </c>
      <c r="F3568" s="30">
        <v>1</v>
      </c>
      <c r="G3568" s="44">
        <v>25035</v>
      </c>
      <c r="H3568" s="30"/>
      <c r="I3568" s="44"/>
      <c r="J3568" s="44"/>
      <c r="K3568" s="44">
        <f t="shared" si="117"/>
        <v>25035</v>
      </c>
      <c r="L3568" s="51">
        <v>20250924</v>
      </c>
    </row>
    <row r="3569" spans="1:12" x14ac:dyDescent="0.25">
      <c r="A3569" s="50" t="s">
        <v>4821</v>
      </c>
      <c r="B3569" s="30" t="s">
        <v>137</v>
      </c>
      <c r="C3569" s="30" t="s">
        <v>134</v>
      </c>
      <c r="D3569" s="30" t="s">
        <v>354</v>
      </c>
      <c r="E3569" s="30" t="s">
        <v>355</v>
      </c>
      <c r="F3569" s="30">
        <v>1</v>
      </c>
      <c r="G3569" s="44">
        <v>25035</v>
      </c>
      <c r="H3569" s="30"/>
      <c r="I3569" s="44"/>
      <c r="J3569" s="44"/>
      <c r="K3569" s="44">
        <f t="shared" si="117"/>
        <v>25035</v>
      </c>
      <c r="L3569" s="51">
        <v>20250924</v>
      </c>
    </row>
    <row r="3570" spans="1:12" x14ac:dyDescent="0.25">
      <c r="A3570" s="50" t="s">
        <v>4822</v>
      </c>
      <c r="B3570" s="30" t="s">
        <v>137</v>
      </c>
      <c r="C3570" s="30" t="s">
        <v>134</v>
      </c>
      <c r="D3570" s="30" t="s">
        <v>354</v>
      </c>
      <c r="E3570" s="30" t="s">
        <v>2166</v>
      </c>
      <c r="F3570" s="30">
        <v>1</v>
      </c>
      <c r="G3570" s="44">
        <v>25035</v>
      </c>
      <c r="H3570" s="30"/>
      <c r="I3570" s="44"/>
      <c r="J3570" s="44"/>
      <c r="K3570" s="44">
        <f t="shared" si="117"/>
        <v>25035</v>
      </c>
      <c r="L3570" s="51">
        <v>20250924</v>
      </c>
    </row>
    <row r="3571" spans="1:12" x14ac:dyDescent="0.25">
      <c r="A3571" s="52" t="s">
        <v>4808</v>
      </c>
      <c r="B3571" s="32" t="s">
        <v>137</v>
      </c>
      <c r="C3571" s="32" t="s">
        <v>29</v>
      </c>
      <c r="D3571" s="32" t="s">
        <v>1656</v>
      </c>
      <c r="E3571" s="32" t="s">
        <v>4311</v>
      </c>
      <c r="F3571" s="32">
        <v>1</v>
      </c>
      <c r="G3571" s="45">
        <v>25035</v>
      </c>
      <c r="H3571" s="32">
        <v>37</v>
      </c>
      <c r="I3571" s="45">
        <v>587.70000000000005</v>
      </c>
      <c r="J3571" s="45">
        <f>I3571*H3571</f>
        <v>21744.9</v>
      </c>
      <c r="K3571" s="45">
        <f t="shared" si="117"/>
        <v>46779.9</v>
      </c>
      <c r="L3571" s="53">
        <v>20250929</v>
      </c>
    </row>
    <row r="3572" spans="1:12" x14ac:dyDescent="0.25">
      <c r="A3572" s="50" t="s">
        <v>4809</v>
      </c>
      <c r="B3572" s="30" t="s">
        <v>137</v>
      </c>
      <c r="C3572" s="30" t="s">
        <v>29</v>
      </c>
      <c r="D3572" s="30" t="s">
        <v>1656</v>
      </c>
      <c r="E3572" s="30" t="s">
        <v>2300</v>
      </c>
      <c r="F3572" s="30">
        <v>1</v>
      </c>
      <c r="G3572" s="44">
        <v>25035</v>
      </c>
      <c r="H3572" s="30"/>
      <c r="I3572" s="44"/>
      <c r="J3572" s="44"/>
      <c r="K3572" s="44">
        <f t="shared" si="117"/>
        <v>25035</v>
      </c>
      <c r="L3572" s="51">
        <v>20250929</v>
      </c>
    </row>
    <row r="3573" spans="1:12" x14ac:dyDescent="0.25">
      <c r="A3573" s="50" t="s">
        <v>4810</v>
      </c>
      <c r="B3573" s="30" t="s">
        <v>137</v>
      </c>
      <c r="C3573" s="30" t="s">
        <v>29</v>
      </c>
      <c r="D3573" s="30" t="s">
        <v>1656</v>
      </c>
      <c r="E3573" s="30" t="s">
        <v>2324</v>
      </c>
      <c r="F3573" s="30">
        <v>1</v>
      </c>
      <c r="G3573" s="44">
        <v>25035</v>
      </c>
      <c r="H3573" s="30"/>
      <c r="I3573" s="44"/>
      <c r="J3573" s="44"/>
      <c r="K3573" s="44">
        <f t="shared" si="117"/>
        <v>25035</v>
      </c>
      <c r="L3573" s="51">
        <v>20250929</v>
      </c>
    </row>
    <row r="3574" spans="1:12" x14ac:dyDescent="0.25">
      <c r="A3574" s="50" t="s">
        <v>4803</v>
      </c>
      <c r="B3574" s="30" t="s">
        <v>137</v>
      </c>
      <c r="C3574" s="30" t="s">
        <v>29</v>
      </c>
      <c r="D3574" s="30" t="s">
        <v>3494</v>
      </c>
      <c r="E3574" s="30" t="s">
        <v>3631</v>
      </c>
      <c r="F3574" s="30">
        <v>1</v>
      </c>
      <c r="G3574" s="44">
        <v>25035</v>
      </c>
      <c r="H3574" s="30"/>
      <c r="I3574" s="44"/>
      <c r="J3574" s="44"/>
      <c r="K3574" s="44">
        <f t="shared" si="117"/>
        <v>25035</v>
      </c>
      <c r="L3574" s="51">
        <v>20250930</v>
      </c>
    </row>
    <row r="3575" spans="1:12" x14ac:dyDescent="0.25">
      <c r="A3575" s="50" t="s">
        <v>4804</v>
      </c>
      <c r="B3575" s="30" t="s">
        <v>137</v>
      </c>
      <c r="C3575" s="30" t="s">
        <v>29</v>
      </c>
      <c r="D3575" s="30" t="s">
        <v>3494</v>
      </c>
      <c r="E3575" s="30" t="s">
        <v>2348</v>
      </c>
      <c r="F3575" s="30">
        <v>1</v>
      </c>
      <c r="G3575" s="44">
        <v>25035</v>
      </c>
      <c r="H3575" s="30"/>
      <c r="I3575" s="44"/>
      <c r="J3575" s="44"/>
      <c r="K3575" s="44">
        <f t="shared" si="117"/>
        <v>25035</v>
      </c>
      <c r="L3575" s="51">
        <v>20250930</v>
      </c>
    </row>
    <row r="3576" spans="1:12" ht="15.75" thickBot="1" x14ac:dyDescent="0.3">
      <c r="A3576" s="54" t="s">
        <v>4805</v>
      </c>
      <c r="B3576" s="36" t="s">
        <v>137</v>
      </c>
      <c r="C3576" s="36" t="s">
        <v>29</v>
      </c>
      <c r="D3576" s="36" t="s">
        <v>3494</v>
      </c>
      <c r="E3576" s="36" t="s">
        <v>4526</v>
      </c>
      <c r="F3576" s="36">
        <v>1</v>
      </c>
      <c r="G3576" s="65">
        <v>25035</v>
      </c>
      <c r="H3576" s="36"/>
      <c r="I3576" s="65"/>
      <c r="J3576" s="65"/>
      <c r="K3576" s="65">
        <f t="shared" si="117"/>
        <v>25035</v>
      </c>
      <c r="L3576" s="55">
        <v>20250930</v>
      </c>
    </row>
    <row r="3579" spans="1:12" ht="15.75" thickBot="1" x14ac:dyDescent="0.3">
      <c r="A3579" s="69" t="s">
        <v>0</v>
      </c>
      <c r="B3579" s="70" t="s">
        <v>1</v>
      </c>
      <c r="C3579" s="70" t="s">
        <v>2</v>
      </c>
      <c r="D3579" s="70" t="s">
        <v>3</v>
      </c>
      <c r="E3579" s="70" t="s">
        <v>4</v>
      </c>
      <c r="F3579" s="70"/>
      <c r="G3579" s="71" t="s">
        <v>6</v>
      </c>
      <c r="H3579" s="70" t="s">
        <v>7</v>
      </c>
      <c r="I3579" s="71" t="s">
        <v>8</v>
      </c>
      <c r="J3579" s="71" t="s">
        <v>9</v>
      </c>
      <c r="K3579" s="71" t="s">
        <v>10</v>
      </c>
      <c r="L3579" s="72" t="s">
        <v>5</v>
      </c>
    </row>
    <row r="3580" spans="1:12" x14ac:dyDescent="0.25">
      <c r="A3580" s="48" t="s">
        <v>5076</v>
      </c>
      <c r="B3580" s="34" t="s">
        <v>1209</v>
      </c>
      <c r="C3580" s="34" t="s">
        <v>26</v>
      </c>
      <c r="D3580" s="34" t="s">
        <v>2874</v>
      </c>
      <c r="E3580" s="34" t="s">
        <v>5077</v>
      </c>
      <c r="F3580" s="34">
        <v>1</v>
      </c>
      <c r="G3580" s="64">
        <v>52844</v>
      </c>
      <c r="H3580" s="34"/>
      <c r="I3580" s="64"/>
      <c r="J3580" s="64"/>
      <c r="K3580" s="64">
        <f t="shared" ref="K3580:K3611" si="118">J3580+G3580</f>
        <v>52844</v>
      </c>
      <c r="L3580" s="49">
        <v>20251001</v>
      </c>
    </row>
    <row r="3581" spans="1:12" x14ac:dyDescent="0.25">
      <c r="A3581" s="50" t="s">
        <v>5078</v>
      </c>
      <c r="B3581" s="30" t="s">
        <v>1209</v>
      </c>
      <c r="C3581" s="30" t="s">
        <v>26</v>
      </c>
      <c r="D3581" s="30" t="s">
        <v>2874</v>
      </c>
      <c r="E3581" s="30" t="s">
        <v>5079</v>
      </c>
      <c r="F3581" s="30">
        <v>1</v>
      </c>
      <c r="G3581" s="44">
        <v>52844</v>
      </c>
      <c r="H3581" s="30"/>
      <c r="I3581" s="44"/>
      <c r="J3581" s="44"/>
      <c r="K3581" s="44">
        <f t="shared" si="118"/>
        <v>52844</v>
      </c>
      <c r="L3581" s="51">
        <v>20251001</v>
      </c>
    </row>
    <row r="3582" spans="1:12" x14ac:dyDescent="0.25">
      <c r="A3582" s="50" t="s">
        <v>5080</v>
      </c>
      <c r="B3582" s="30" t="s">
        <v>1209</v>
      </c>
      <c r="C3582" s="30" t="s">
        <v>26</v>
      </c>
      <c r="D3582" s="30" t="s">
        <v>2874</v>
      </c>
      <c r="E3582" s="30" t="s">
        <v>5081</v>
      </c>
      <c r="F3582" s="30">
        <v>1</v>
      </c>
      <c r="G3582" s="44">
        <v>52844</v>
      </c>
      <c r="H3582" s="30"/>
      <c r="I3582" s="44"/>
      <c r="J3582" s="44"/>
      <c r="K3582" s="44">
        <f t="shared" si="118"/>
        <v>52844</v>
      </c>
      <c r="L3582" s="51">
        <v>20251001</v>
      </c>
    </row>
    <row r="3583" spans="1:12" x14ac:dyDescent="0.25">
      <c r="A3583" s="50" t="s">
        <v>5082</v>
      </c>
      <c r="B3583" s="30" t="s">
        <v>779</v>
      </c>
      <c r="C3583" s="30" t="s">
        <v>94</v>
      </c>
      <c r="D3583" s="30" t="s">
        <v>95</v>
      </c>
      <c r="E3583" s="30" t="s">
        <v>4051</v>
      </c>
      <c r="F3583" s="30">
        <v>1</v>
      </c>
      <c r="G3583" s="123">
        <v>50089</v>
      </c>
      <c r="H3583" s="30"/>
      <c r="I3583" s="44"/>
      <c r="J3583" s="44"/>
      <c r="K3583" s="44">
        <f t="shared" si="118"/>
        <v>50089</v>
      </c>
      <c r="L3583" s="51">
        <v>20251002</v>
      </c>
    </row>
    <row r="3584" spans="1:12" x14ac:dyDescent="0.25">
      <c r="A3584" s="50" t="s">
        <v>5057</v>
      </c>
      <c r="B3584" s="30" t="s">
        <v>11</v>
      </c>
      <c r="C3584" s="30" t="s">
        <v>94</v>
      </c>
      <c r="D3584" s="30" t="s">
        <v>95</v>
      </c>
      <c r="E3584" s="30" t="s">
        <v>4051</v>
      </c>
      <c r="F3584" s="30">
        <v>1</v>
      </c>
      <c r="G3584" s="44">
        <v>52844</v>
      </c>
      <c r="H3584" s="30"/>
      <c r="I3584" s="44"/>
      <c r="J3584" s="44"/>
      <c r="K3584" s="44">
        <f t="shared" si="118"/>
        <v>52844</v>
      </c>
      <c r="L3584" s="51">
        <v>20251003</v>
      </c>
    </row>
    <row r="3585" spans="1:12" x14ac:dyDescent="0.25">
      <c r="A3585" s="50" t="s">
        <v>5058</v>
      </c>
      <c r="B3585" s="30" t="s">
        <v>11</v>
      </c>
      <c r="C3585" s="30" t="s">
        <v>94</v>
      </c>
      <c r="D3585" s="30" t="s">
        <v>95</v>
      </c>
      <c r="E3585" s="30" t="s">
        <v>436</v>
      </c>
      <c r="F3585" s="30">
        <v>1</v>
      </c>
      <c r="G3585" s="44">
        <v>52844</v>
      </c>
      <c r="H3585" s="30"/>
      <c r="I3585" s="44"/>
      <c r="J3585" s="44"/>
      <c r="K3585" s="44">
        <f t="shared" si="118"/>
        <v>52844</v>
      </c>
      <c r="L3585" s="51">
        <v>20251003</v>
      </c>
    </row>
    <row r="3586" spans="1:12" x14ac:dyDescent="0.25">
      <c r="A3586" s="52" t="s">
        <v>5069</v>
      </c>
      <c r="B3586" s="32" t="s">
        <v>1209</v>
      </c>
      <c r="C3586" s="32" t="s">
        <v>26</v>
      </c>
      <c r="D3586" s="32" t="s">
        <v>153</v>
      </c>
      <c r="E3586" s="32" t="s">
        <v>5070</v>
      </c>
      <c r="F3586" s="32">
        <v>1</v>
      </c>
      <c r="G3586" s="45">
        <v>52844</v>
      </c>
      <c r="H3586" s="32">
        <v>32</v>
      </c>
      <c r="I3586" s="45">
        <v>627.1</v>
      </c>
      <c r="J3586" s="45">
        <f>I3586*H3586</f>
        <v>20067.2</v>
      </c>
      <c r="K3586" s="45">
        <f t="shared" si="118"/>
        <v>72911.199999999997</v>
      </c>
      <c r="L3586" s="53">
        <v>20251003</v>
      </c>
    </row>
    <row r="3587" spans="1:12" x14ac:dyDescent="0.25">
      <c r="A3587" s="50" t="s">
        <v>5071</v>
      </c>
      <c r="B3587" s="30" t="s">
        <v>1209</v>
      </c>
      <c r="C3587" s="30" t="s">
        <v>26</v>
      </c>
      <c r="D3587" s="30" t="s">
        <v>153</v>
      </c>
      <c r="E3587" s="30" t="s">
        <v>5072</v>
      </c>
      <c r="F3587" s="30">
        <v>1</v>
      </c>
      <c r="G3587" s="44">
        <v>52844</v>
      </c>
      <c r="H3587" s="30"/>
      <c r="I3587" s="44"/>
      <c r="J3587" s="44"/>
      <c r="K3587" s="44">
        <f t="shared" si="118"/>
        <v>52844</v>
      </c>
      <c r="L3587" s="51">
        <v>20251003</v>
      </c>
    </row>
    <row r="3588" spans="1:12" x14ac:dyDescent="0.25">
      <c r="A3588" s="50" t="s">
        <v>5073</v>
      </c>
      <c r="B3588" s="30" t="s">
        <v>1209</v>
      </c>
      <c r="C3588" s="30" t="s">
        <v>26</v>
      </c>
      <c r="D3588" s="30" t="s">
        <v>153</v>
      </c>
      <c r="E3588" s="30" t="s">
        <v>5074</v>
      </c>
      <c r="F3588" s="30">
        <v>1</v>
      </c>
      <c r="G3588" s="44">
        <v>52844</v>
      </c>
      <c r="H3588" s="30"/>
      <c r="I3588" s="44"/>
      <c r="J3588" s="44"/>
      <c r="K3588" s="44">
        <f t="shared" si="118"/>
        <v>52844</v>
      </c>
      <c r="L3588" s="51">
        <v>20251003</v>
      </c>
    </row>
    <row r="3589" spans="1:12" x14ac:dyDescent="0.25">
      <c r="A3589" s="50" t="s">
        <v>5056</v>
      </c>
      <c r="B3589" s="30" t="s">
        <v>11</v>
      </c>
      <c r="C3589" s="30" t="s">
        <v>51</v>
      </c>
      <c r="D3589" s="30" t="s">
        <v>24</v>
      </c>
      <c r="E3589" s="30" t="s">
        <v>52</v>
      </c>
      <c r="F3589" s="30">
        <v>1</v>
      </c>
      <c r="G3589" s="44">
        <v>52844</v>
      </c>
      <c r="H3589" s="30"/>
      <c r="I3589" s="44"/>
      <c r="J3589" s="44"/>
      <c r="K3589" s="44">
        <f t="shared" si="118"/>
        <v>52844</v>
      </c>
      <c r="L3589" s="51">
        <v>20251006</v>
      </c>
    </row>
    <row r="3590" spans="1:12" x14ac:dyDescent="0.25">
      <c r="A3590" s="52" t="s">
        <v>5042</v>
      </c>
      <c r="B3590" s="32" t="s">
        <v>11</v>
      </c>
      <c r="C3590" s="32" t="s">
        <v>26</v>
      </c>
      <c r="D3590" s="32" t="s">
        <v>224</v>
      </c>
      <c r="E3590" s="32" t="s">
        <v>2907</v>
      </c>
      <c r="F3590" s="32">
        <v>1</v>
      </c>
      <c r="G3590" s="45">
        <v>52844</v>
      </c>
      <c r="H3590" s="32">
        <v>58</v>
      </c>
      <c r="I3590" s="45">
        <v>627.1</v>
      </c>
      <c r="J3590" s="45">
        <f>I3590*H3590</f>
        <v>36371.800000000003</v>
      </c>
      <c r="K3590" s="45">
        <f t="shared" si="118"/>
        <v>89215.8</v>
      </c>
      <c r="L3590" s="53">
        <v>20251007</v>
      </c>
    </row>
    <row r="3591" spans="1:12" x14ac:dyDescent="0.25">
      <c r="A3591" s="52" t="s">
        <v>5046</v>
      </c>
      <c r="B3591" s="32" t="s">
        <v>11</v>
      </c>
      <c r="C3591" s="32" t="s">
        <v>29</v>
      </c>
      <c r="D3591" s="32" t="s">
        <v>3494</v>
      </c>
      <c r="E3591" s="32" t="s">
        <v>3631</v>
      </c>
      <c r="F3591" s="32">
        <v>1</v>
      </c>
      <c r="G3591" s="45">
        <v>52844</v>
      </c>
      <c r="H3591" s="32">
        <v>37</v>
      </c>
      <c r="I3591" s="45">
        <v>627.1</v>
      </c>
      <c r="J3591" s="45">
        <f>I3591*H3591</f>
        <v>23202.7</v>
      </c>
      <c r="K3591" s="45">
        <f t="shared" si="118"/>
        <v>76046.7</v>
      </c>
      <c r="L3591" s="53">
        <v>20251007</v>
      </c>
    </row>
    <row r="3592" spans="1:12" x14ac:dyDescent="0.25">
      <c r="A3592" s="50" t="s">
        <v>5047</v>
      </c>
      <c r="B3592" s="30" t="s">
        <v>11</v>
      </c>
      <c r="C3592" s="30" t="s">
        <v>1021</v>
      </c>
      <c r="D3592" s="30" t="s">
        <v>95</v>
      </c>
      <c r="E3592" s="30" t="s">
        <v>1022</v>
      </c>
      <c r="F3592" s="30">
        <v>1</v>
      </c>
      <c r="G3592" s="44">
        <v>52844</v>
      </c>
      <c r="H3592" s="30"/>
      <c r="I3592" s="44"/>
      <c r="J3592" s="44"/>
      <c r="K3592" s="44">
        <f t="shared" si="118"/>
        <v>52844</v>
      </c>
      <c r="L3592" s="51">
        <v>20251007</v>
      </c>
    </row>
    <row r="3593" spans="1:12" x14ac:dyDescent="0.25">
      <c r="A3593" s="52" t="s">
        <v>5020</v>
      </c>
      <c r="B3593" s="32" t="s">
        <v>11</v>
      </c>
      <c r="C3593" s="32" t="s">
        <v>29</v>
      </c>
      <c r="D3593" s="32" t="s">
        <v>3494</v>
      </c>
      <c r="E3593" s="32" t="s">
        <v>3631</v>
      </c>
      <c r="F3593" s="32">
        <v>1</v>
      </c>
      <c r="G3593" s="45">
        <v>52844</v>
      </c>
      <c r="H3593" s="32">
        <v>37</v>
      </c>
      <c r="I3593" s="45">
        <v>627.1</v>
      </c>
      <c r="J3593" s="45">
        <f>I3593*H3593</f>
        <v>23202.7</v>
      </c>
      <c r="K3593" s="45">
        <f t="shared" si="118"/>
        <v>76046.7</v>
      </c>
      <c r="L3593" s="53">
        <v>20251008</v>
      </c>
    </row>
    <row r="3594" spans="1:12" x14ac:dyDescent="0.25">
      <c r="A3594" s="50" t="s">
        <v>5049</v>
      </c>
      <c r="B3594" s="30" t="s">
        <v>1209</v>
      </c>
      <c r="C3594" s="30" t="s">
        <v>26</v>
      </c>
      <c r="D3594" s="30" t="s">
        <v>5050</v>
      </c>
      <c r="E3594" s="30" t="s">
        <v>5051</v>
      </c>
      <c r="F3594" s="30">
        <v>1</v>
      </c>
      <c r="G3594" s="44">
        <v>52844</v>
      </c>
      <c r="H3594" s="30"/>
      <c r="I3594" s="44"/>
      <c r="J3594" s="44"/>
      <c r="K3594" s="44">
        <f t="shared" si="118"/>
        <v>52844</v>
      </c>
      <c r="L3594" s="51">
        <v>20251008</v>
      </c>
    </row>
    <row r="3595" spans="1:12" x14ac:dyDescent="0.25">
      <c r="A3595" s="50" t="s">
        <v>5054</v>
      </c>
      <c r="B3595" s="30" t="s">
        <v>1209</v>
      </c>
      <c r="C3595" s="30" t="s">
        <v>26</v>
      </c>
      <c r="D3595" s="30" t="s">
        <v>5050</v>
      </c>
      <c r="E3595" s="30" t="s">
        <v>5055</v>
      </c>
      <c r="F3595" s="30">
        <v>1</v>
      </c>
      <c r="G3595" s="44">
        <v>52844</v>
      </c>
      <c r="H3595" s="30"/>
      <c r="I3595" s="44"/>
      <c r="J3595" s="44"/>
      <c r="K3595" s="44">
        <f t="shared" si="118"/>
        <v>52844</v>
      </c>
      <c r="L3595" s="51">
        <v>20251008</v>
      </c>
    </row>
    <row r="3596" spans="1:12" x14ac:dyDescent="0.25">
      <c r="A3596" s="52" t="s">
        <v>5021</v>
      </c>
      <c r="B3596" s="32" t="s">
        <v>11</v>
      </c>
      <c r="C3596" s="32" t="s">
        <v>4748</v>
      </c>
      <c r="D3596" s="32" t="s">
        <v>4761</v>
      </c>
      <c r="E3596" s="32" t="s">
        <v>4762</v>
      </c>
      <c r="F3596" s="32">
        <v>1</v>
      </c>
      <c r="G3596" s="45">
        <v>52844</v>
      </c>
      <c r="H3596" s="32">
        <v>35</v>
      </c>
      <c r="I3596" s="45">
        <v>627.1</v>
      </c>
      <c r="J3596" s="45">
        <f>I3596*H3596</f>
        <v>21948.5</v>
      </c>
      <c r="K3596" s="45">
        <f t="shared" si="118"/>
        <v>74792.5</v>
      </c>
      <c r="L3596" s="53">
        <v>20251013</v>
      </c>
    </row>
    <row r="3597" spans="1:12" x14ac:dyDescent="0.25">
      <c r="A3597" s="50" t="s">
        <v>5001</v>
      </c>
      <c r="B3597" s="30" t="s">
        <v>11</v>
      </c>
      <c r="C3597" s="30" t="s">
        <v>172</v>
      </c>
      <c r="D3597" s="30" t="s">
        <v>703</v>
      </c>
      <c r="E3597" s="30" t="s">
        <v>710</v>
      </c>
      <c r="F3597" s="30">
        <v>1</v>
      </c>
      <c r="G3597" s="44">
        <v>52844</v>
      </c>
      <c r="H3597" s="30"/>
      <c r="I3597" s="44"/>
      <c r="J3597" s="44"/>
      <c r="K3597" s="44">
        <f t="shared" si="118"/>
        <v>52844</v>
      </c>
      <c r="L3597" s="51">
        <v>20251014</v>
      </c>
    </row>
    <row r="3598" spans="1:12" x14ac:dyDescent="0.25">
      <c r="A3598" s="50" t="s">
        <v>5023</v>
      </c>
      <c r="B3598" s="30" t="s">
        <v>11</v>
      </c>
      <c r="C3598" s="30" t="s">
        <v>172</v>
      </c>
      <c r="D3598" s="30" t="s">
        <v>703</v>
      </c>
      <c r="E3598" s="30" t="s">
        <v>704</v>
      </c>
      <c r="F3598" s="30">
        <v>1</v>
      </c>
      <c r="G3598" s="44">
        <v>52844</v>
      </c>
      <c r="H3598" s="30"/>
      <c r="I3598" s="44"/>
      <c r="J3598" s="44"/>
      <c r="K3598" s="44">
        <f t="shared" si="118"/>
        <v>52844</v>
      </c>
      <c r="L3598" s="51">
        <v>20251014</v>
      </c>
    </row>
    <row r="3599" spans="1:12" x14ac:dyDescent="0.25">
      <c r="A3599" s="52" t="s">
        <v>5048</v>
      </c>
      <c r="B3599" s="32" t="s">
        <v>11</v>
      </c>
      <c r="C3599" s="32" t="s">
        <v>337</v>
      </c>
      <c r="D3599" s="32" t="s">
        <v>35</v>
      </c>
      <c r="E3599" s="32" t="s">
        <v>1484</v>
      </c>
      <c r="F3599" s="32">
        <v>1</v>
      </c>
      <c r="G3599" s="45">
        <v>52844</v>
      </c>
      <c r="H3599" s="32">
        <v>77</v>
      </c>
      <c r="I3599" s="45">
        <v>627.1</v>
      </c>
      <c r="J3599" s="45">
        <f>I3599*H3599</f>
        <v>48286.700000000004</v>
      </c>
      <c r="K3599" s="45">
        <f t="shared" si="118"/>
        <v>101130.70000000001</v>
      </c>
      <c r="L3599" s="53">
        <v>20251014</v>
      </c>
    </row>
    <row r="3600" spans="1:12" x14ac:dyDescent="0.25">
      <c r="A3600" s="50" t="s">
        <v>5052</v>
      </c>
      <c r="B3600" s="30" t="s">
        <v>1209</v>
      </c>
      <c r="C3600" s="30" t="s">
        <v>26</v>
      </c>
      <c r="D3600" s="30" t="s">
        <v>5050</v>
      </c>
      <c r="E3600" s="30" t="s">
        <v>5053</v>
      </c>
      <c r="F3600" s="30">
        <v>1</v>
      </c>
      <c r="G3600" s="44">
        <v>52844</v>
      </c>
      <c r="H3600" s="30"/>
      <c r="I3600" s="44"/>
      <c r="J3600" s="44"/>
      <c r="K3600" s="44">
        <f t="shared" si="118"/>
        <v>52844</v>
      </c>
      <c r="L3600" s="51">
        <v>20251014</v>
      </c>
    </row>
    <row r="3601" spans="1:12" x14ac:dyDescent="0.25">
      <c r="A3601" s="52" t="s">
        <v>5000</v>
      </c>
      <c r="B3601" s="32" t="s">
        <v>11</v>
      </c>
      <c r="C3601" s="32" t="s">
        <v>29</v>
      </c>
      <c r="D3601" s="32" t="s">
        <v>3494</v>
      </c>
      <c r="E3601" s="32" t="s">
        <v>4526</v>
      </c>
      <c r="F3601" s="32">
        <v>1</v>
      </c>
      <c r="G3601" s="45">
        <v>52844</v>
      </c>
      <c r="H3601" s="32">
        <v>37</v>
      </c>
      <c r="I3601" s="45">
        <v>627.1</v>
      </c>
      <c r="J3601" s="45">
        <f>I3601*H3601</f>
        <v>23202.7</v>
      </c>
      <c r="K3601" s="45">
        <f t="shared" si="118"/>
        <v>76046.7</v>
      </c>
      <c r="L3601" s="53">
        <v>20251015</v>
      </c>
    </row>
    <row r="3602" spans="1:12" x14ac:dyDescent="0.25">
      <c r="A3602" s="50" t="s">
        <v>5002</v>
      </c>
      <c r="B3602" s="30" t="s">
        <v>11</v>
      </c>
      <c r="C3602" s="30" t="s">
        <v>1021</v>
      </c>
      <c r="D3602" s="30" t="s">
        <v>95</v>
      </c>
      <c r="E3602" s="30" t="s">
        <v>1022</v>
      </c>
      <c r="F3602" s="30">
        <v>1</v>
      </c>
      <c r="G3602" s="44">
        <v>52844</v>
      </c>
      <c r="H3602" s="30"/>
      <c r="I3602" s="44"/>
      <c r="J3602" s="44"/>
      <c r="K3602" s="44">
        <f t="shared" si="118"/>
        <v>52844</v>
      </c>
      <c r="L3602" s="51">
        <v>20251016</v>
      </c>
    </row>
    <row r="3603" spans="1:12" x14ac:dyDescent="0.25">
      <c r="A3603" s="50" t="s">
        <v>5035</v>
      </c>
      <c r="B3603" s="30" t="s">
        <v>11</v>
      </c>
      <c r="C3603" s="30" t="s">
        <v>1006</v>
      </c>
      <c r="D3603" s="30" t="s">
        <v>4900</v>
      </c>
      <c r="E3603" s="30" t="s">
        <v>4940</v>
      </c>
      <c r="F3603" s="30">
        <v>1</v>
      </c>
      <c r="G3603" s="44">
        <v>52844</v>
      </c>
      <c r="H3603" s="30"/>
      <c r="I3603" s="44"/>
      <c r="J3603" s="44"/>
      <c r="K3603" s="44">
        <f t="shared" si="118"/>
        <v>52844</v>
      </c>
      <c r="L3603" s="51">
        <v>20251016</v>
      </c>
    </row>
    <row r="3604" spans="1:12" x14ac:dyDescent="0.25">
      <c r="A3604" s="50" t="s">
        <v>5016</v>
      </c>
      <c r="B3604" s="30" t="s">
        <v>1209</v>
      </c>
      <c r="C3604" s="30" t="s">
        <v>26</v>
      </c>
      <c r="D3604" s="30" t="s">
        <v>5014</v>
      </c>
      <c r="E3604" s="30" t="s">
        <v>5017</v>
      </c>
      <c r="F3604" s="30">
        <v>1</v>
      </c>
      <c r="G3604" s="44">
        <v>52844</v>
      </c>
      <c r="H3604" s="30"/>
      <c r="I3604" s="44"/>
      <c r="J3604" s="44"/>
      <c r="K3604" s="44">
        <f t="shared" si="118"/>
        <v>52844</v>
      </c>
      <c r="L3604" s="51">
        <v>20251017</v>
      </c>
    </row>
    <row r="3605" spans="1:12" x14ac:dyDescent="0.25">
      <c r="A3605" s="50" t="s">
        <v>5036</v>
      </c>
      <c r="B3605" s="30" t="s">
        <v>1209</v>
      </c>
      <c r="C3605" s="30" t="s">
        <v>26</v>
      </c>
      <c r="D3605" s="30" t="s">
        <v>351</v>
      </c>
      <c r="E3605" s="30" t="s">
        <v>5037</v>
      </c>
      <c r="F3605" s="30">
        <v>1</v>
      </c>
      <c r="G3605" s="44">
        <v>52844</v>
      </c>
      <c r="H3605" s="30"/>
      <c r="I3605" s="44"/>
      <c r="J3605" s="44"/>
      <c r="K3605" s="44">
        <f t="shared" si="118"/>
        <v>52844</v>
      </c>
      <c r="L3605" s="51">
        <v>20251017</v>
      </c>
    </row>
    <row r="3606" spans="1:12" x14ac:dyDescent="0.25">
      <c r="A3606" s="50" t="s">
        <v>5038</v>
      </c>
      <c r="B3606" s="30" t="s">
        <v>1209</v>
      </c>
      <c r="C3606" s="30" t="s">
        <v>26</v>
      </c>
      <c r="D3606" s="30" t="s">
        <v>351</v>
      </c>
      <c r="E3606" s="30" t="s">
        <v>5039</v>
      </c>
      <c r="F3606" s="30">
        <v>1</v>
      </c>
      <c r="G3606" s="44">
        <v>52844</v>
      </c>
      <c r="H3606" s="30"/>
      <c r="I3606" s="44"/>
      <c r="J3606" s="44"/>
      <c r="K3606" s="44">
        <f t="shared" si="118"/>
        <v>52844</v>
      </c>
      <c r="L3606" s="51">
        <v>20251017</v>
      </c>
    </row>
    <row r="3607" spans="1:12" x14ac:dyDescent="0.25">
      <c r="A3607" s="52" t="s">
        <v>5040</v>
      </c>
      <c r="B3607" s="32" t="s">
        <v>1209</v>
      </c>
      <c r="C3607" s="32" t="s">
        <v>26</v>
      </c>
      <c r="D3607" s="32" t="s">
        <v>351</v>
      </c>
      <c r="E3607" s="32" t="s">
        <v>5041</v>
      </c>
      <c r="F3607" s="32">
        <v>1</v>
      </c>
      <c r="G3607" s="45">
        <v>52844</v>
      </c>
      <c r="H3607" s="32">
        <v>67</v>
      </c>
      <c r="I3607" s="45">
        <v>627.1</v>
      </c>
      <c r="J3607" s="45">
        <f>I3607*H3607</f>
        <v>42015.700000000004</v>
      </c>
      <c r="K3607" s="45">
        <f t="shared" si="118"/>
        <v>94859.700000000012</v>
      </c>
      <c r="L3607" s="53">
        <v>20251017</v>
      </c>
    </row>
    <row r="3608" spans="1:12" x14ac:dyDescent="0.25">
      <c r="A3608" s="50" t="s">
        <v>4968</v>
      </c>
      <c r="B3608" s="30" t="s">
        <v>11</v>
      </c>
      <c r="C3608" s="30" t="s">
        <v>134</v>
      </c>
      <c r="D3608" s="30" t="s">
        <v>135</v>
      </c>
      <c r="E3608" s="30" t="s">
        <v>136</v>
      </c>
      <c r="F3608" s="30">
        <v>1</v>
      </c>
      <c r="G3608" s="44">
        <v>52844</v>
      </c>
      <c r="H3608" s="30"/>
      <c r="I3608" s="44"/>
      <c r="J3608" s="44"/>
      <c r="K3608" s="44">
        <f t="shared" si="118"/>
        <v>52844</v>
      </c>
      <c r="L3608" s="51">
        <v>20251020</v>
      </c>
    </row>
    <row r="3609" spans="1:12" x14ac:dyDescent="0.25">
      <c r="A3609" s="50" t="s">
        <v>4969</v>
      </c>
      <c r="B3609" s="30" t="s">
        <v>11</v>
      </c>
      <c r="C3609" s="30" t="s">
        <v>251</v>
      </c>
      <c r="D3609" s="30" t="s">
        <v>1202</v>
      </c>
      <c r="E3609" s="30" t="s">
        <v>1203</v>
      </c>
      <c r="F3609" s="30">
        <v>1</v>
      </c>
      <c r="G3609" s="44">
        <v>52844</v>
      </c>
      <c r="H3609" s="30"/>
      <c r="I3609" s="44"/>
      <c r="J3609" s="44"/>
      <c r="K3609" s="44">
        <f t="shared" si="118"/>
        <v>52844</v>
      </c>
      <c r="L3609" s="51">
        <v>20251020</v>
      </c>
    </row>
    <row r="3610" spans="1:12" x14ac:dyDescent="0.25">
      <c r="A3610" s="50" t="s">
        <v>5013</v>
      </c>
      <c r="B3610" s="30" t="s">
        <v>1209</v>
      </c>
      <c r="C3610" s="30" t="s">
        <v>26</v>
      </c>
      <c r="D3610" s="30" t="s">
        <v>5014</v>
      </c>
      <c r="E3610" s="30" t="s">
        <v>5015</v>
      </c>
      <c r="F3610" s="30">
        <v>1</v>
      </c>
      <c r="G3610" s="44">
        <v>52844</v>
      </c>
      <c r="H3610" s="30"/>
      <c r="I3610" s="44"/>
      <c r="J3610" s="44"/>
      <c r="K3610" s="44">
        <f t="shared" si="118"/>
        <v>52844</v>
      </c>
      <c r="L3610" s="51">
        <v>20251020</v>
      </c>
    </row>
    <row r="3611" spans="1:12" x14ac:dyDescent="0.25">
      <c r="A3611" s="50" t="s">
        <v>5018</v>
      </c>
      <c r="B3611" s="30" t="s">
        <v>1209</v>
      </c>
      <c r="C3611" s="30" t="s">
        <v>26</v>
      </c>
      <c r="D3611" s="30" t="s">
        <v>5014</v>
      </c>
      <c r="E3611" s="30" t="s">
        <v>5019</v>
      </c>
      <c r="F3611" s="30">
        <v>1</v>
      </c>
      <c r="G3611" s="44">
        <v>52844</v>
      </c>
      <c r="H3611" s="30"/>
      <c r="I3611" s="44"/>
      <c r="J3611" s="44"/>
      <c r="K3611" s="44">
        <f t="shared" si="118"/>
        <v>52844</v>
      </c>
      <c r="L3611" s="51">
        <v>20251020</v>
      </c>
    </row>
    <row r="3612" spans="1:12" x14ac:dyDescent="0.25">
      <c r="A3612" s="50" t="s">
        <v>4956</v>
      </c>
      <c r="B3612" s="30" t="s">
        <v>11</v>
      </c>
      <c r="C3612" s="30" t="s">
        <v>134</v>
      </c>
      <c r="D3612" s="30" t="s">
        <v>135</v>
      </c>
      <c r="E3612" s="30" t="s">
        <v>264</v>
      </c>
      <c r="F3612" s="30">
        <v>1</v>
      </c>
      <c r="G3612" s="44">
        <v>52844</v>
      </c>
      <c r="H3612" s="30"/>
      <c r="I3612" s="44"/>
      <c r="J3612" s="44"/>
      <c r="K3612" s="44">
        <f t="shared" ref="K3612:K3643" si="119">J3612+G3612</f>
        <v>52844</v>
      </c>
      <c r="L3612" s="51">
        <v>20251021</v>
      </c>
    </row>
    <row r="3613" spans="1:12" x14ac:dyDescent="0.25">
      <c r="A3613" s="50" t="s">
        <v>4957</v>
      </c>
      <c r="B3613" s="30" t="s">
        <v>11</v>
      </c>
      <c r="C3613" s="30" t="s">
        <v>94</v>
      </c>
      <c r="D3613" s="30" t="s">
        <v>95</v>
      </c>
      <c r="E3613" s="30" t="s">
        <v>3699</v>
      </c>
      <c r="F3613" s="30">
        <v>1</v>
      </c>
      <c r="G3613" s="44">
        <v>52844</v>
      </c>
      <c r="H3613" s="30"/>
      <c r="I3613" s="44"/>
      <c r="J3613" s="44"/>
      <c r="K3613" s="44">
        <f t="shared" si="119"/>
        <v>52844</v>
      </c>
      <c r="L3613" s="51">
        <v>20251021</v>
      </c>
    </row>
    <row r="3614" spans="1:12" x14ac:dyDescent="0.25">
      <c r="A3614" s="52" t="s">
        <v>4958</v>
      </c>
      <c r="B3614" s="32" t="s">
        <v>11</v>
      </c>
      <c r="C3614" s="32" t="s">
        <v>28</v>
      </c>
      <c r="D3614" s="32" t="s">
        <v>1710</v>
      </c>
      <c r="E3614" s="32" t="s">
        <v>3044</v>
      </c>
      <c r="F3614" s="32">
        <v>1</v>
      </c>
      <c r="G3614" s="45">
        <v>52844</v>
      </c>
      <c r="H3614" s="32">
        <v>177</v>
      </c>
      <c r="I3614" s="45">
        <v>627.1</v>
      </c>
      <c r="J3614" s="45">
        <f>I3614*H3614</f>
        <v>110996.7</v>
      </c>
      <c r="K3614" s="45">
        <f t="shared" si="119"/>
        <v>163840.70000000001</v>
      </c>
      <c r="L3614" s="53">
        <v>20251021</v>
      </c>
    </row>
    <row r="3615" spans="1:12" x14ac:dyDescent="0.25">
      <c r="A3615" s="50" t="s">
        <v>4978</v>
      </c>
      <c r="B3615" s="30" t="s">
        <v>11</v>
      </c>
      <c r="C3615" s="30" t="s">
        <v>29</v>
      </c>
      <c r="D3615" s="30" t="s">
        <v>4900</v>
      </c>
      <c r="E3615" s="30" t="s">
        <v>4979</v>
      </c>
      <c r="F3615" s="30">
        <v>1</v>
      </c>
      <c r="G3615" s="44">
        <v>52844</v>
      </c>
      <c r="H3615" s="30"/>
      <c r="I3615" s="44"/>
      <c r="J3615" s="44"/>
      <c r="K3615" s="44">
        <f t="shared" si="119"/>
        <v>52844</v>
      </c>
      <c r="L3615" s="51">
        <v>20251021</v>
      </c>
    </row>
    <row r="3616" spans="1:12" x14ac:dyDescent="0.25">
      <c r="A3616" s="50" t="s">
        <v>5059</v>
      </c>
      <c r="B3616" s="30" t="s">
        <v>1209</v>
      </c>
      <c r="C3616" s="30" t="s">
        <v>26</v>
      </c>
      <c r="D3616" s="30" t="s">
        <v>5060</v>
      </c>
      <c r="E3616" s="30" t="s">
        <v>2872</v>
      </c>
      <c r="F3616" s="30">
        <v>1</v>
      </c>
      <c r="G3616" s="44">
        <v>52844</v>
      </c>
      <c r="H3616" s="30"/>
      <c r="I3616" s="44"/>
      <c r="J3616" s="44"/>
      <c r="K3616" s="44">
        <f t="shared" si="119"/>
        <v>52844</v>
      </c>
      <c r="L3616" s="51">
        <v>20251021</v>
      </c>
    </row>
    <row r="3617" spans="1:12" x14ac:dyDescent="0.25">
      <c r="A3617" s="50" t="s">
        <v>5061</v>
      </c>
      <c r="B3617" s="30" t="s">
        <v>1209</v>
      </c>
      <c r="C3617" s="30" t="s">
        <v>26</v>
      </c>
      <c r="D3617" s="30" t="s">
        <v>5060</v>
      </c>
      <c r="E3617" s="30" t="s">
        <v>2870</v>
      </c>
      <c r="F3617" s="30">
        <v>1</v>
      </c>
      <c r="G3617" s="44">
        <v>52844</v>
      </c>
      <c r="H3617" s="30"/>
      <c r="I3617" s="44"/>
      <c r="J3617" s="44"/>
      <c r="K3617" s="44">
        <f t="shared" si="119"/>
        <v>52844</v>
      </c>
      <c r="L3617" s="51">
        <v>20251021</v>
      </c>
    </row>
    <row r="3618" spans="1:12" x14ac:dyDescent="0.25">
      <c r="A3618" s="50" t="s">
        <v>5062</v>
      </c>
      <c r="B3618" s="30" t="s">
        <v>1209</v>
      </c>
      <c r="C3618" s="30" t="s">
        <v>26</v>
      </c>
      <c r="D3618" s="30" t="s">
        <v>5060</v>
      </c>
      <c r="E3618" s="30" t="s">
        <v>2868</v>
      </c>
      <c r="F3618" s="30">
        <v>1</v>
      </c>
      <c r="G3618" s="44">
        <v>52844</v>
      </c>
      <c r="H3618" s="30"/>
      <c r="I3618" s="44"/>
      <c r="J3618" s="44"/>
      <c r="K3618" s="44">
        <f t="shared" si="119"/>
        <v>52844</v>
      </c>
      <c r="L3618" s="51">
        <v>20251021</v>
      </c>
    </row>
    <row r="3619" spans="1:12" x14ac:dyDescent="0.25">
      <c r="A3619" s="50" t="s">
        <v>5063</v>
      </c>
      <c r="B3619" s="30" t="s">
        <v>1209</v>
      </c>
      <c r="C3619" s="30" t="s">
        <v>26</v>
      </c>
      <c r="D3619" s="30" t="s">
        <v>5060</v>
      </c>
      <c r="E3619" s="30" t="s">
        <v>5064</v>
      </c>
      <c r="F3619" s="30">
        <v>1</v>
      </c>
      <c r="G3619" s="44">
        <v>52844</v>
      </c>
      <c r="H3619" s="30"/>
      <c r="I3619" s="44"/>
      <c r="J3619" s="44"/>
      <c r="K3619" s="44">
        <f t="shared" si="119"/>
        <v>52844</v>
      </c>
      <c r="L3619" s="51">
        <v>20251021</v>
      </c>
    </row>
    <row r="3620" spans="1:12" x14ac:dyDescent="0.25">
      <c r="A3620" s="50" t="s">
        <v>5065</v>
      </c>
      <c r="B3620" s="30" t="s">
        <v>1209</v>
      </c>
      <c r="C3620" s="30" t="s">
        <v>26</v>
      </c>
      <c r="D3620" s="30" t="s">
        <v>5060</v>
      </c>
      <c r="E3620" s="30" t="s">
        <v>5066</v>
      </c>
      <c r="F3620" s="30">
        <v>1</v>
      </c>
      <c r="G3620" s="44">
        <v>52844</v>
      </c>
      <c r="H3620" s="30"/>
      <c r="I3620" s="44"/>
      <c r="J3620" s="44"/>
      <c r="K3620" s="44">
        <f t="shared" si="119"/>
        <v>52844</v>
      </c>
      <c r="L3620" s="51">
        <v>20251021</v>
      </c>
    </row>
    <row r="3621" spans="1:12" x14ac:dyDescent="0.25">
      <c r="A3621" s="50" t="s">
        <v>5067</v>
      </c>
      <c r="B3621" s="30" t="s">
        <v>1209</v>
      </c>
      <c r="C3621" s="30" t="s">
        <v>26</v>
      </c>
      <c r="D3621" s="30" t="s">
        <v>5060</v>
      </c>
      <c r="E3621" s="30" t="s">
        <v>5068</v>
      </c>
      <c r="F3621" s="30">
        <v>1</v>
      </c>
      <c r="G3621" s="44">
        <v>52844</v>
      </c>
      <c r="H3621" s="30"/>
      <c r="I3621" s="44"/>
      <c r="J3621" s="44"/>
      <c r="K3621" s="44">
        <f t="shared" si="119"/>
        <v>52844</v>
      </c>
      <c r="L3621" s="51">
        <v>20251021</v>
      </c>
    </row>
    <row r="3622" spans="1:12" x14ac:dyDescent="0.25">
      <c r="A3622" s="50" t="s">
        <v>4977</v>
      </c>
      <c r="B3622" s="30" t="s">
        <v>11</v>
      </c>
      <c r="C3622" s="30" t="s">
        <v>364</v>
      </c>
      <c r="D3622" s="30" t="s">
        <v>24</v>
      </c>
      <c r="E3622" s="30" t="s">
        <v>4165</v>
      </c>
      <c r="F3622" s="30">
        <v>1</v>
      </c>
      <c r="G3622" s="44">
        <v>52844</v>
      </c>
      <c r="H3622" s="30"/>
      <c r="I3622" s="44"/>
      <c r="J3622" s="44"/>
      <c r="K3622" s="44">
        <f t="shared" si="119"/>
        <v>52844</v>
      </c>
      <c r="L3622" s="51">
        <v>20251023</v>
      </c>
    </row>
    <row r="3623" spans="1:12" x14ac:dyDescent="0.25">
      <c r="A3623" s="50" t="s">
        <v>5003</v>
      </c>
      <c r="B3623" s="30" t="s">
        <v>1209</v>
      </c>
      <c r="C3623" s="30" t="s">
        <v>26</v>
      </c>
      <c r="D3623" s="30" t="s">
        <v>521</v>
      </c>
      <c r="E3623" s="30" t="s">
        <v>223</v>
      </c>
      <c r="F3623" s="30">
        <v>1</v>
      </c>
      <c r="G3623" s="44">
        <v>52844</v>
      </c>
      <c r="H3623" s="30"/>
      <c r="I3623" s="44"/>
      <c r="J3623" s="44"/>
      <c r="K3623" s="44">
        <f t="shared" si="119"/>
        <v>52844</v>
      </c>
      <c r="L3623" s="51">
        <v>20251024</v>
      </c>
    </row>
    <row r="3624" spans="1:12" x14ac:dyDescent="0.25">
      <c r="A3624" s="50" t="s">
        <v>5004</v>
      </c>
      <c r="B3624" s="30" t="s">
        <v>1209</v>
      </c>
      <c r="C3624" s="30" t="s">
        <v>26</v>
      </c>
      <c r="D3624" s="30" t="s">
        <v>521</v>
      </c>
      <c r="E3624" s="30" t="s">
        <v>524</v>
      </c>
      <c r="F3624" s="30">
        <v>1</v>
      </c>
      <c r="G3624" s="44">
        <v>52844</v>
      </c>
      <c r="H3624" s="30"/>
      <c r="I3624" s="44"/>
      <c r="J3624" s="44"/>
      <c r="K3624" s="44">
        <f t="shared" si="119"/>
        <v>52844</v>
      </c>
      <c r="L3624" s="51">
        <v>20251024</v>
      </c>
    </row>
    <row r="3625" spans="1:12" x14ac:dyDescent="0.25">
      <c r="A3625" s="50" t="s">
        <v>5005</v>
      </c>
      <c r="B3625" s="30" t="s">
        <v>1209</v>
      </c>
      <c r="C3625" s="30" t="s">
        <v>26</v>
      </c>
      <c r="D3625" s="30" t="s">
        <v>521</v>
      </c>
      <c r="E3625" s="30" t="s">
        <v>526</v>
      </c>
      <c r="F3625" s="30">
        <v>1</v>
      </c>
      <c r="G3625" s="44">
        <v>52844</v>
      </c>
      <c r="H3625" s="30"/>
      <c r="I3625" s="44"/>
      <c r="J3625" s="44"/>
      <c r="K3625" s="44">
        <f t="shared" si="119"/>
        <v>52844</v>
      </c>
      <c r="L3625" s="51">
        <v>20251024</v>
      </c>
    </row>
    <row r="3626" spans="1:12" x14ac:dyDescent="0.25">
      <c r="A3626" s="50" t="s">
        <v>5006</v>
      </c>
      <c r="B3626" s="30" t="s">
        <v>1209</v>
      </c>
      <c r="C3626" s="30" t="s">
        <v>26</v>
      </c>
      <c r="D3626" s="30" t="s">
        <v>521</v>
      </c>
      <c r="E3626" s="30" t="s">
        <v>5007</v>
      </c>
      <c r="F3626" s="30">
        <v>1</v>
      </c>
      <c r="G3626" s="44">
        <v>52844</v>
      </c>
      <c r="H3626" s="30"/>
      <c r="I3626" s="44"/>
      <c r="J3626" s="44"/>
      <c r="K3626" s="44">
        <f t="shared" si="119"/>
        <v>52844</v>
      </c>
      <c r="L3626" s="51">
        <v>20251024</v>
      </c>
    </row>
    <row r="3627" spans="1:12" x14ac:dyDescent="0.25">
      <c r="A3627" s="50" t="s">
        <v>5008</v>
      </c>
      <c r="B3627" s="30" t="s">
        <v>1209</v>
      </c>
      <c r="C3627" s="30" t="s">
        <v>26</v>
      </c>
      <c r="D3627" s="30" t="s">
        <v>521</v>
      </c>
      <c r="E3627" s="30" t="s">
        <v>5009</v>
      </c>
      <c r="F3627" s="30">
        <v>1</v>
      </c>
      <c r="G3627" s="44">
        <v>52844</v>
      </c>
      <c r="H3627" s="30"/>
      <c r="I3627" s="44"/>
      <c r="J3627" s="44"/>
      <c r="K3627" s="44">
        <f t="shared" si="119"/>
        <v>52844</v>
      </c>
      <c r="L3627" s="51">
        <v>20251024</v>
      </c>
    </row>
    <row r="3628" spans="1:12" x14ac:dyDescent="0.25">
      <c r="A3628" s="50" t="s">
        <v>5010</v>
      </c>
      <c r="B3628" s="30" t="s">
        <v>1209</v>
      </c>
      <c r="C3628" s="30" t="s">
        <v>26</v>
      </c>
      <c r="D3628" s="30" t="s">
        <v>521</v>
      </c>
      <c r="E3628" s="30" t="s">
        <v>5011</v>
      </c>
      <c r="F3628" s="30">
        <v>1</v>
      </c>
      <c r="G3628" s="44">
        <v>52844</v>
      </c>
      <c r="H3628" s="30"/>
      <c r="I3628" s="44"/>
      <c r="J3628" s="44"/>
      <c r="K3628" s="44">
        <f t="shared" si="119"/>
        <v>52844</v>
      </c>
      <c r="L3628" s="51">
        <v>20251024</v>
      </c>
    </row>
    <row r="3629" spans="1:12" x14ac:dyDescent="0.25">
      <c r="A3629" s="50" t="s">
        <v>4939</v>
      </c>
      <c r="B3629" s="30" t="s">
        <v>11</v>
      </c>
      <c r="C3629" s="30" t="s">
        <v>1006</v>
      </c>
      <c r="D3629" s="30" t="s">
        <v>4900</v>
      </c>
      <c r="E3629" s="30" t="s">
        <v>4940</v>
      </c>
      <c r="F3629" s="30">
        <v>1</v>
      </c>
      <c r="G3629" s="44">
        <v>52844</v>
      </c>
      <c r="H3629" s="30"/>
      <c r="I3629" s="44"/>
      <c r="J3629" s="44"/>
      <c r="K3629" s="44">
        <f t="shared" si="119"/>
        <v>52844</v>
      </c>
      <c r="L3629" s="51">
        <v>20251027</v>
      </c>
    </row>
    <row r="3630" spans="1:12" x14ac:dyDescent="0.25">
      <c r="A3630" s="50" t="s">
        <v>4902</v>
      </c>
      <c r="B3630" s="30" t="s">
        <v>11</v>
      </c>
      <c r="C3630" s="30" t="s">
        <v>94</v>
      </c>
      <c r="D3630" s="30" t="s">
        <v>95</v>
      </c>
      <c r="E3630" s="30" t="s">
        <v>436</v>
      </c>
      <c r="F3630" s="30">
        <v>1</v>
      </c>
      <c r="G3630" s="44">
        <v>52844</v>
      </c>
      <c r="H3630" s="30"/>
      <c r="I3630" s="44"/>
      <c r="J3630" s="44"/>
      <c r="K3630" s="44">
        <f t="shared" si="119"/>
        <v>52844</v>
      </c>
      <c r="L3630" s="51">
        <v>20251028</v>
      </c>
    </row>
    <row r="3631" spans="1:12" x14ac:dyDescent="0.25">
      <c r="A3631" s="50" t="s">
        <v>4970</v>
      </c>
      <c r="B3631" s="30" t="s">
        <v>1209</v>
      </c>
      <c r="C3631" s="30" t="s">
        <v>26</v>
      </c>
      <c r="D3631" s="30" t="s">
        <v>141</v>
      </c>
      <c r="E3631" s="30" t="s">
        <v>1578</v>
      </c>
      <c r="F3631" s="30">
        <v>1</v>
      </c>
      <c r="G3631" s="44">
        <v>52844</v>
      </c>
      <c r="H3631" s="30"/>
      <c r="I3631" s="44"/>
      <c r="J3631" s="44"/>
      <c r="K3631" s="44">
        <f t="shared" si="119"/>
        <v>52844</v>
      </c>
      <c r="L3631" s="51">
        <v>20251028</v>
      </c>
    </row>
    <row r="3632" spans="1:12" x14ac:dyDescent="0.25">
      <c r="A3632" s="52" t="s">
        <v>4971</v>
      </c>
      <c r="B3632" s="32" t="s">
        <v>1209</v>
      </c>
      <c r="C3632" s="32" t="s">
        <v>26</v>
      </c>
      <c r="D3632" s="32" t="s">
        <v>141</v>
      </c>
      <c r="E3632" s="32" t="s">
        <v>4972</v>
      </c>
      <c r="F3632" s="32">
        <v>1</v>
      </c>
      <c r="G3632" s="45">
        <v>52844</v>
      </c>
      <c r="H3632" s="32">
        <v>138</v>
      </c>
      <c r="I3632" s="45">
        <v>627.1</v>
      </c>
      <c r="J3632" s="45">
        <f>I3632*H3632</f>
        <v>86539.8</v>
      </c>
      <c r="K3632" s="45">
        <f t="shared" si="119"/>
        <v>139383.79999999999</v>
      </c>
      <c r="L3632" s="53">
        <v>20251028</v>
      </c>
    </row>
    <row r="3633" spans="1:12" x14ac:dyDescent="0.25">
      <c r="A3633" s="50" t="s">
        <v>4973</v>
      </c>
      <c r="B3633" s="30" t="s">
        <v>1209</v>
      </c>
      <c r="C3633" s="30" t="s">
        <v>26</v>
      </c>
      <c r="D3633" s="30" t="s">
        <v>141</v>
      </c>
      <c r="E3633" s="30" t="s">
        <v>4974</v>
      </c>
      <c r="F3633" s="30">
        <v>1</v>
      </c>
      <c r="G3633" s="44">
        <v>52844</v>
      </c>
      <c r="H3633" s="30"/>
      <c r="I3633" s="44"/>
      <c r="J3633" s="44"/>
      <c r="K3633" s="44">
        <f t="shared" si="119"/>
        <v>52844</v>
      </c>
      <c r="L3633" s="51">
        <v>20251028</v>
      </c>
    </row>
    <row r="3634" spans="1:12" x14ac:dyDescent="0.25">
      <c r="A3634" s="50" t="s">
        <v>4975</v>
      </c>
      <c r="B3634" s="30" t="s">
        <v>1209</v>
      </c>
      <c r="C3634" s="30" t="s">
        <v>26</v>
      </c>
      <c r="D3634" s="30" t="s">
        <v>141</v>
      </c>
      <c r="E3634" s="30" t="s">
        <v>4976</v>
      </c>
      <c r="F3634" s="30">
        <v>1</v>
      </c>
      <c r="G3634" s="44">
        <v>52844</v>
      </c>
      <c r="H3634" s="30"/>
      <c r="I3634" s="44"/>
      <c r="J3634" s="44"/>
      <c r="K3634" s="44">
        <f t="shared" si="119"/>
        <v>52844</v>
      </c>
      <c r="L3634" s="51">
        <v>20251028</v>
      </c>
    </row>
    <row r="3635" spans="1:12" x14ac:dyDescent="0.25">
      <c r="A3635" s="52" t="s">
        <v>5012</v>
      </c>
      <c r="B3635" s="32" t="s">
        <v>11</v>
      </c>
      <c r="C3635" s="32" t="s">
        <v>1006</v>
      </c>
      <c r="D3635" s="32" t="s">
        <v>1007</v>
      </c>
      <c r="E3635" s="32" t="s">
        <v>1008</v>
      </c>
      <c r="F3635" s="32">
        <v>1</v>
      </c>
      <c r="G3635" s="45">
        <v>52844</v>
      </c>
      <c r="H3635" s="32">
        <v>240</v>
      </c>
      <c r="I3635" s="45">
        <v>627.1</v>
      </c>
      <c r="J3635" s="45">
        <f>I3635*H3635</f>
        <v>150504</v>
      </c>
      <c r="K3635" s="45">
        <f t="shared" si="119"/>
        <v>203348</v>
      </c>
      <c r="L3635" s="53">
        <v>20251028</v>
      </c>
    </row>
    <row r="3636" spans="1:12" x14ac:dyDescent="0.25">
      <c r="A3636" s="50" t="s">
        <v>4899</v>
      </c>
      <c r="B3636" s="30" t="s">
        <v>11</v>
      </c>
      <c r="C3636" s="30" t="s">
        <v>1006</v>
      </c>
      <c r="D3636" s="30" t="s">
        <v>4900</v>
      </c>
      <c r="E3636" s="30" t="s">
        <v>4901</v>
      </c>
      <c r="F3636" s="30">
        <v>1</v>
      </c>
      <c r="G3636" s="44">
        <v>52844</v>
      </c>
      <c r="H3636" s="30"/>
      <c r="I3636" s="44"/>
      <c r="J3636" s="44"/>
      <c r="K3636" s="44">
        <f t="shared" si="119"/>
        <v>52844</v>
      </c>
      <c r="L3636" s="51">
        <v>20251030</v>
      </c>
    </row>
    <row r="3637" spans="1:12" x14ac:dyDescent="0.25">
      <c r="A3637" s="50" t="s">
        <v>4907</v>
      </c>
      <c r="B3637" s="30" t="s">
        <v>1209</v>
      </c>
      <c r="C3637" s="30" t="s">
        <v>3984</v>
      </c>
      <c r="D3637" s="30" t="s">
        <v>713</v>
      </c>
      <c r="E3637" s="30" t="s">
        <v>718</v>
      </c>
      <c r="F3637" s="30">
        <v>1</v>
      </c>
      <c r="G3637" s="44">
        <v>52844</v>
      </c>
      <c r="H3637" s="30"/>
      <c r="I3637" s="44"/>
      <c r="J3637" s="44"/>
      <c r="K3637" s="44">
        <f t="shared" si="119"/>
        <v>52844</v>
      </c>
      <c r="L3637" s="51">
        <v>20251030</v>
      </c>
    </row>
    <row r="3638" spans="1:12" x14ac:dyDescent="0.25">
      <c r="A3638" s="50" t="s">
        <v>4908</v>
      </c>
      <c r="B3638" s="30" t="s">
        <v>1209</v>
      </c>
      <c r="C3638" s="30" t="s">
        <v>3984</v>
      </c>
      <c r="D3638" s="30" t="s">
        <v>713</v>
      </c>
      <c r="E3638" s="30" t="s">
        <v>720</v>
      </c>
      <c r="F3638" s="30">
        <v>1</v>
      </c>
      <c r="G3638" s="44">
        <v>52844</v>
      </c>
      <c r="H3638" s="30"/>
      <c r="I3638" s="44"/>
      <c r="J3638" s="44"/>
      <c r="K3638" s="44">
        <f t="shared" si="119"/>
        <v>52844</v>
      </c>
      <c r="L3638" s="51">
        <v>20251030</v>
      </c>
    </row>
    <row r="3639" spans="1:12" x14ac:dyDescent="0.25">
      <c r="A3639" s="50" t="s">
        <v>4909</v>
      </c>
      <c r="B3639" s="30" t="s">
        <v>1209</v>
      </c>
      <c r="C3639" s="30" t="s">
        <v>3984</v>
      </c>
      <c r="D3639" s="30" t="s">
        <v>713</v>
      </c>
      <c r="E3639" s="30" t="s">
        <v>722</v>
      </c>
      <c r="F3639" s="30">
        <v>1</v>
      </c>
      <c r="G3639" s="44">
        <v>52844</v>
      </c>
      <c r="H3639" s="30"/>
      <c r="I3639" s="44"/>
      <c r="J3639" s="44"/>
      <c r="K3639" s="44">
        <f t="shared" si="119"/>
        <v>52844</v>
      </c>
      <c r="L3639" s="51">
        <v>20251030</v>
      </c>
    </row>
    <row r="3640" spans="1:12" x14ac:dyDescent="0.25">
      <c r="A3640" s="50" t="s">
        <v>4959</v>
      </c>
      <c r="B3640" s="30" t="s">
        <v>1209</v>
      </c>
      <c r="C3640" s="30" t="s">
        <v>26</v>
      </c>
      <c r="D3640" s="30" t="s">
        <v>1781</v>
      </c>
      <c r="E3640" s="30" t="s">
        <v>4960</v>
      </c>
      <c r="F3640" s="30">
        <v>1</v>
      </c>
      <c r="G3640" s="44">
        <v>52844</v>
      </c>
      <c r="H3640" s="30"/>
      <c r="I3640" s="44"/>
      <c r="J3640" s="44"/>
      <c r="K3640" s="44">
        <f t="shared" si="119"/>
        <v>52844</v>
      </c>
      <c r="L3640" s="51">
        <v>20251031</v>
      </c>
    </row>
    <row r="3641" spans="1:12" x14ac:dyDescent="0.25">
      <c r="A3641" s="50" t="s">
        <v>4961</v>
      </c>
      <c r="B3641" s="30" t="s">
        <v>1209</v>
      </c>
      <c r="C3641" s="30" t="s">
        <v>26</v>
      </c>
      <c r="D3641" s="30" t="s">
        <v>1781</v>
      </c>
      <c r="E3641" s="30" t="s">
        <v>4962</v>
      </c>
      <c r="F3641" s="30">
        <v>1</v>
      </c>
      <c r="G3641" s="44">
        <v>52844</v>
      </c>
      <c r="H3641" s="30"/>
      <c r="I3641" s="44"/>
      <c r="J3641" s="44"/>
      <c r="K3641" s="44">
        <f t="shared" si="119"/>
        <v>52844</v>
      </c>
      <c r="L3641" s="51">
        <v>20251031</v>
      </c>
    </row>
    <row r="3642" spans="1:12" x14ac:dyDescent="0.25">
      <c r="A3642" s="52" t="s">
        <v>4963</v>
      </c>
      <c r="B3642" s="32" t="s">
        <v>1209</v>
      </c>
      <c r="C3642" s="32" t="s">
        <v>26</v>
      </c>
      <c r="D3642" s="32" t="s">
        <v>1781</v>
      </c>
      <c r="E3642" s="32" t="s">
        <v>4964</v>
      </c>
      <c r="F3642" s="32">
        <v>1</v>
      </c>
      <c r="G3642" s="45">
        <v>52844</v>
      </c>
      <c r="H3642" s="32">
        <v>126</v>
      </c>
      <c r="I3642" s="45">
        <v>627.1</v>
      </c>
      <c r="J3642" s="45">
        <f>I3642*H3642</f>
        <v>79014.600000000006</v>
      </c>
      <c r="K3642" s="45">
        <f t="shared" si="119"/>
        <v>131858.6</v>
      </c>
      <c r="L3642" s="53">
        <v>20251031</v>
      </c>
    </row>
    <row r="3643" spans="1:12" x14ac:dyDescent="0.25">
      <c r="A3643" s="50" t="s">
        <v>4980</v>
      </c>
      <c r="B3643" s="30" t="s">
        <v>1209</v>
      </c>
      <c r="C3643" s="30" t="s">
        <v>26</v>
      </c>
      <c r="D3643" s="30" t="s">
        <v>145</v>
      </c>
      <c r="E3643" s="30" t="s">
        <v>4981</v>
      </c>
      <c r="F3643" s="30">
        <v>1</v>
      </c>
      <c r="G3643" s="44">
        <v>52844</v>
      </c>
      <c r="H3643" s="30"/>
      <c r="I3643" s="44"/>
      <c r="J3643" s="44"/>
      <c r="K3643" s="44">
        <f t="shared" si="119"/>
        <v>52844</v>
      </c>
      <c r="L3643" s="51">
        <v>20251031</v>
      </c>
    </row>
    <row r="3644" spans="1:12" x14ac:dyDescent="0.25">
      <c r="A3644" s="50" t="s">
        <v>4982</v>
      </c>
      <c r="B3644" s="30" t="s">
        <v>1209</v>
      </c>
      <c r="C3644" s="30" t="s">
        <v>26</v>
      </c>
      <c r="D3644" s="30" t="s">
        <v>145</v>
      </c>
      <c r="E3644" s="30" t="s">
        <v>4983</v>
      </c>
      <c r="F3644" s="30">
        <v>1</v>
      </c>
      <c r="G3644" s="44">
        <v>52844</v>
      </c>
      <c r="H3644" s="30"/>
      <c r="I3644" s="44"/>
      <c r="J3644" s="44"/>
      <c r="K3644" s="44">
        <f t="shared" ref="K3644:K3645" si="120">J3644+G3644</f>
        <v>52844</v>
      </c>
      <c r="L3644" s="51">
        <v>20251031</v>
      </c>
    </row>
    <row r="3645" spans="1:12" ht="15.75" thickBot="1" x14ac:dyDescent="0.3">
      <c r="A3645" s="54" t="s">
        <v>4984</v>
      </c>
      <c r="B3645" s="36" t="s">
        <v>1209</v>
      </c>
      <c r="C3645" s="36" t="s">
        <v>26</v>
      </c>
      <c r="D3645" s="36" t="s">
        <v>145</v>
      </c>
      <c r="E3645" s="36" t="s">
        <v>4985</v>
      </c>
      <c r="F3645" s="36">
        <v>1</v>
      </c>
      <c r="G3645" s="65">
        <v>52844</v>
      </c>
      <c r="H3645" s="36"/>
      <c r="I3645" s="65"/>
      <c r="J3645" s="65"/>
      <c r="K3645" s="65">
        <f t="shared" si="120"/>
        <v>52844</v>
      </c>
      <c r="L3645" s="55">
        <v>20251031</v>
      </c>
    </row>
    <row r="3646" spans="1:12" ht="15.75" thickBot="1" x14ac:dyDescent="0.3">
      <c r="A3646" s="99"/>
      <c r="B3646" s="100"/>
      <c r="C3646" s="100"/>
      <c r="D3646" s="100"/>
      <c r="E3646" s="100"/>
      <c r="F3646" s="100"/>
      <c r="G3646" s="101"/>
      <c r="H3646" s="100"/>
      <c r="I3646" s="101"/>
      <c r="J3646" s="101"/>
      <c r="K3646" s="101"/>
      <c r="L3646" s="102"/>
    </row>
    <row r="3647" spans="1:12" x14ac:dyDescent="0.25">
      <c r="A3647" s="48" t="s">
        <v>5044</v>
      </c>
      <c r="B3647" s="34" t="s">
        <v>137</v>
      </c>
      <c r="C3647" s="34" t="s">
        <v>29</v>
      </c>
      <c r="D3647" s="34" t="s">
        <v>24</v>
      </c>
      <c r="E3647" s="34" t="s">
        <v>208</v>
      </c>
      <c r="F3647" s="34">
        <v>1</v>
      </c>
      <c r="G3647" s="64">
        <v>26412</v>
      </c>
      <c r="H3647" s="34"/>
      <c r="I3647" s="64"/>
      <c r="J3647" s="64"/>
      <c r="K3647" s="64">
        <f t="shared" ref="K3647:K3678" si="121">J3647+G3647</f>
        <v>26412</v>
      </c>
      <c r="L3647" s="49">
        <v>20251007</v>
      </c>
    </row>
    <row r="3648" spans="1:12" x14ac:dyDescent="0.25">
      <c r="A3648" s="50" t="s">
        <v>5045</v>
      </c>
      <c r="B3648" s="30" t="s">
        <v>137</v>
      </c>
      <c r="C3648" s="30" t="s">
        <v>29</v>
      </c>
      <c r="D3648" s="30" t="s">
        <v>2548</v>
      </c>
      <c r="E3648" s="30" t="s">
        <v>1497</v>
      </c>
      <c r="F3648" s="30">
        <v>1</v>
      </c>
      <c r="G3648" s="44">
        <v>26412</v>
      </c>
      <c r="H3648" s="30"/>
      <c r="I3648" s="44"/>
      <c r="J3648" s="44"/>
      <c r="K3648" s="44">
        <f t="shared" si="121"/>
        <v>26412</v>
      </c>
      <c r="L3648" s="51">
        <v>20251007</v>
      </c>
    </row>
    <row r="3649" spans="1:12" x14ac:dyDescent="0.25">
      <c r="A3649" s="50" t="s">
        <v>5043</v>
      </c>
      <c r="B3649" s="30" t="s">
        <v>137</v>
      </c>
      <c r="C3649" s="30" t="s">
        <v>29</v>
      </c>
      <c r="D3649" s="30" t="s">
        <v>2548</v>
      </c>
      <c r="E3649" s="30" t="s">
        <v>390</v>
      </c>
      <c r="F3649" s="30">
        <v>1</v>
      </c>
      <c r="G3649" s="44">
        <v>26412</v>
      </c>
      <c r="H3649" s="30"/>
      <c r="I3649" s="44"/>
      <c r="J3649" s="44"/>
      <c r="K3649" s="44">
        <f t="shared" si="121"/>
        <v>26412</v>
      </c>
      <c r="L3649" s="51">
        <v>20251007</v>
      </c>
    </row>
    <row r="3650" spans="1:12" x14ac:dyDescent="0.25">
      <c r="A3650" s="50" t="s">
        <v>5075</v>
      </c>
      <c r="B3650" s="30" t="s">
        <v>137</v>
      </c>
      <c r="C3650" s="30" t="s">
        <v>29</v>
      </c>
      <c r="D3650" s="30" t="s">
        <v>1385</v>
      </c>
      <c r="E3650" s="30" t="s">
        <v>733</v>
      </c>
      <c r="F3650" s="30">
        <v>1</v>
      </c>
      <c r="G3650" s="44">
        <v>26412</v>
      </c>
      <c r="H3650" s="30"/>
      <c r="I3650" s="44"/>
      <c r="J3650" s="44"/>
      <c r="K3650" s="44">
        <f t="shared" si="121"/>
        <v>26412</v>
      </c>
      <c r="L3650" s="51">
        <v>20251007</v>
      </c>
    </row>
    <row r="3651" spans="1:12" x14ac:dyDescent="0.25">
      <c r="A3651" s="50" t="s">
        <v>5034</v>
      </c>
      <c r="B3651" s="30" t="s">
        <v>137</v>
      </c>
      <c r="C3651" s="30" t="s">
        <v>337</v>
      </c>
      <c r="D3651" s="30" t="s">
        <v>162</v>
      </c>
      <c r="E3651" s="30" t="s">
        <v>3563</v>
      </c>
      <c r="F3651" s="30">
        <v>1</v>
      </c>
      <c r="G3651" s="44">
        <v>26412</v>
      </c>
      <c r="H3651" s="30"/>
      <c r="I3651" s="44"/>
      <c r="J3651" s="44"/>
      <c r="K3651" s="44">
        <f t="shared" si="121"/>
        <v>26412</v>
      </c>
      <c r="L3651" s="51">
        <v>20251008</v>
      </c>
    </row>
    <row r="3652" spans="1:12" x14ac:dyDescent="0.25">
      <c r="A3652" s="50" t="s">
        <v>5033</v>
      </c>
      <c r="B3652" s="30" t="s">
        <v>137</v>
      </c>
      <c r="C3652" s="30" t="s">
        <v>337</v>
      </c>
      <c r="D3652" s="30" t="s">
        <v>162</v>
      </c>
      <c r="E3652" s="30" t="s">
        <v>239</v>
      </c>
      <c r="F3652" s="30">
        <v>1</v>
      </c>
      <c r="G3652" s="44">
        <v>26412</v>
      </c>
      <c r="H3652" s="30"/>
      <c r="I3652" s="44"/>
      <c r="J3652" s="44"/>
      <c r="K3652" s="44">
        <f t="shared" si="121"/>
        <v>26412</v>
      </c>
      <c r="L3652" s="51">
        <v>20251008</v>
      </c>
    </row>
    <row r="3653" spans="1:12" x14ac:dyDescent="0.25">
      <c r="A3653" s="50" t="s">
        <v>5032</v>
      </c>
      <c r="B3653" s="30" t="s">
        <v>137</v>
      </c>
      <c r="C3653" s="30" t="s">
        <v>337</v>
      </c>
      <c r="D3653" s="30" t="s">
        <v>162</v>
      </c>
      <c r="E3653" s="30" t="s">
        <v>2314</v>
      </c>
      <c r="F3653" s="30">
        <v>1</v>
      </c>
      <c r="G3653" s="44">
        <v>26412</v>
      </c>
      <c r="H3653" s="30"/>
      <c r="I3653" s="44"/>
      <c r="J3653" s="44"/>
      <c r="K3653" s="44">
        <f t="shared" si="121"/>
        <v>26412</v>
      </c>
      <c r="L3653" s="51">
        <v>20251008</v>
      </c>
    </row>
    <row r="3654" spans="1:12" x14ac:dyDescent="0.25">
      <c r="A3654" s="50" t="s">
        <v>5031</v>
      </c>
      <c r="B3654" s="30" t="s">
        <v>137</v>
      </c>
      <c r="C3654" s="30" t="s">
        <v>337</v>
      </c>
      <c r="D3654" s="30" t="s">
        <v>162</v>
      </c>
      <c r="E3654" s="30" t="s">
        <v>2312</v>
      </c>
      <c r="F3654" s="30">
        <v>1</v>
      </c>
      <c r="G3654" s="44">
        <v>26412</v>
      </c>
      <c r="H3654" s="30"/>
      <c r="I3654" s="44"/>
      <c r="J3654" s="44"/>
      <c r="K3654" s="44">
        <f t="shared" si="121"/>
        <v>26412</v>
      </c>
      <c r="L3654" s="51">
        <v>20251008</v>
      </c>
    </row>
    <row r="3655" spans="1:12" x14ac:dyDescent="0.25">
      <c r="A3655" s="50" t="s">
        <v>5030</v>
      </c>
      <c r="B3655" s="30" t="s">
        <v>137</v>
      </c>
      <c r="C3655" s="30" t="s">
        <v>337</v>
      </c>
      <c r="D3655" s="30" t="s">
        <v>162</v>
      </c>
      <c r="E3655" s="30" t="s">
        <v>219</v>
      </c>
      <c r="F3655" s="30">
        <v>1</v>
      </c>
      <c r="G3655" s="44">
        <v>26412</v>
      </c>
      <c r="H3655" s="30"/>
      <c r="I3655" s="44"/>
      <c r="J3655" s="44"/>
      <c r="K3655" s="44">
        <f t="shared" si="121"/>
        <v>26412</v>
      </c>
      <c r="L3655" s="51">
        <v>20251008</v>
      </c>
    </row>
    <row r="3656" spans="1:12" x14ac:dyDescent="0.25">
      <c r="A3656" s="50" t="s">
        <v>5029</v>
      </c>
      <c r="B3656" s="30" t="s">
        <v>137</v>
      </c>
      <c r="C3656" s="30" t="s">
        <v>337</v>
      </c>
      <c r="D3656" s="30" t="s">
        <v>162</v>
      </c>
      <c r="E3656" s="30" t="s">
        <v>1534</v>
      </c>
      <c r="F3656" s="30">
        <v>1</v>
      </c>
      <c r="G3656" s="44">
        <v>26412</v>
      </c>
      <c r="H3656" s="30"/>
      <c r="I3656" s="44"/>
      <c r="J3656" s="44"/>
      <c r="K3656" s="44">
        <f t="shared" si="121"/>
        <v>26412</v>
      </c>
      <c r="L3656" s="51">
        <v>20251008</v>
      </c>
    </row>
    <row r="3657" spans="1:12" x14ac:dyDescent="0.25">
      <c r="A3657" s="50" t="s">
        <v>5028</v>
      </c>
      <c r="B3657" s="30" t="s">
        <v>137</v>
      </c>
      <c r="C3657" s="30" t="s">
        <v>337</v>
      </c>
      <c r="D3657" s="30" t="s">
        <v>162</v>
      </c>
      <c r="E3657" s="30" t="s">
        <v>1530</v>
      </c>
      <c r="F3657" s="30">
        <v>1</v>
      </c>
      <c r="G3657" s="44">
        <v>26412</v>
      </c>
      <c r="H3657" s="30"/>
      <c r="I3657" s="44"/>
      <c r="J3657" s="44"/>
      <c r="K3657" s="44">
        <f t="shared" si="121"/>
        <v>26412</v>
      </c>
      <c r="L3657" s="51">
        <v>20251008</v>
      </c>
    </row>
    <row r="3658" spans="1:12" x14ac:dyDescent="0.25">
      <c r="A3658" s="50" t="s">
        <v>5022</v>
      </c>
      <c r="B3658" s="30" t="s">
        <v>137</v>
      </c>
      <c r="C3658" s="30" t="s">
        <v>337</v>
      </c>
      <c r="D3658" s="30" t="s">
        <v>162</v>
      </c>
      <c r="E3658" s="30" t="s">
        <v>3741</v>
      </c>
      <c r="F3658" s="30">
        <v>1</v>
      </c>
      <c r="G3658" s="44">
        <v>26412</v>
      </c>
      <c r="H3658" s="30"/>
      <c r="I3658" s="44"/>
      <c r="J3658" s="44"/>
      <c r="K3658" s="44">
        <f t="shared" si="121"/>
        <v>26412</v>
      </c>
      <c r="L3658" s="51">
        <v>20251008</v>
      </c>
    </row>
    <row r="3659" spans="1:12" x14ac:dyDescent="0.25">
      <c r="A3659" s="50" t="s">
        <v>5027</v>
      </c>
      <c r="B3659" s="30" t="s">
        <v>137</v>
      </c>
      <c r="C3659" s="30" t="s">
        <v>337</v>
      </c>
      <c r="D3659" s="30" t="s">
        <v>162</v>
      </c>
      <c r="E3659" s="30" t="s">
        <v>237</v>
      </c>
      <c r="F3659" s="30">
        <v>1</v>
      </c>
      <c r="G3659" s="44">
        <v>26412</v>
      </c>
      <c r="H3659" s="30"/>
      <c r="I3659" s="44"/>
      <c r="J3659" s="44"/>
      <c r="K3659" s="44">
        <f t="shared" si="121"/>
        <v>26412</v>
      </c>
      <c r="L3659" s="51">
        <v>20251008</v>
      </c>
    </row>
    <row r="3660" spans="1:12" x14ac:dyDescent="0.25">
      <c r="A3660" s="50" t="s">
        <v>5026</v>
      </c>
      <c r="B3660" s="30" t="s">
        <v>137</v>
      </c>
      <c r="C3660" s="30" t="s">
        <v>337</v>
      </c>
      <c r="D3660" s="30" t="s">
        <v>162</v>
      </c>
      <c r="E3660" s="30" t="s">
        <v>3073</v>
      </c>
      <c r="F3660" s="30">
        <v>1</v>
      </c>
      <c r="G3660" s="44">
        <v>26412</v>
      </c>
      <c r="H3660" s="30"/>
      <c r="I3660" s="44"/>
      <c r="J3660" s="44"/>
      <c r="K3660" s="44">
        <f t="shared" si="121"/>
        <v>26412</v>
      </c>
      <c r="L3660" s="51">
        <v>20251008</v>
      </c>
    </row>
    <row r="3661" spans="1:12" x14ac:dyDescent="0.25">
      <c r="A3661" s="50" t="s">
        <v>5025</v>
      </c>
      <c r="B3661" s="30" t="s">
        <v>137</v>
      </c>
      <c r="C3661" s="30" t="s">
        <v>337</v>
      </c>
      <c r="D3661" s="30" t="s">
        <v>162</v>
      </c>
      <c r="E3661" s="30" t="s">
        <v>178</v>
      </c>
      <c r="F3661" s="30">
        <v>1</v>
      </c>
      <c r="G3661" s="44">
        <v>26412</v>
      </c>
      <c r="H3661" s="30"/>
      <c r="I3661" s="44"/>
      <c r="J3661" s="44"/>
      <c r="K3661" s="44">
        <f t="shared" si="121"/>
        <v>26412</v>
      </c>
      <c r="L3661" s="51">
        <v>20251008</v>
      </c>
    </row>
    <row r="3662" spans="1:12" x14ac:dyDescent="0.25">
      <c r="A3662" s="50" t="s">
        <v>5024</v>
      </c>
      <c r="B3662" s="30" t="s">
        <v>137</v>
      </c>
      <c r="C3662" s="30" t="s">
        <v>337</v>
      </c>
      <c r="D3662" s="30" t="s">
        <v>162</v>
      </c>
      <c r="E3662" s="30" t="s">
        <v>1532</v>
      </c>
      <c r="F3662" s="30">
        <v>1</v>
      </c>
      <c r="G3662" s="44">
        <v>26412</v>
      </c>
      <c r="H3662" s="30"/>
      <c r="I3662" s="44"/>
      <c r="J3662" s="44"/>
      <c r="K3662" s="44">
        <f t="shared" si="121"/>
        <v>26412</v>
      </c>
      <c r="L3662" s="51">
        <v>20251008</v>
      </c>
    </row>
    <row r="3663" spans="1:12" x14ac:dyDescent="0.25">
      <c r="A3663" s="50" t="s">
        <v>4992</v>
      </c>
      <c r="B3663" s="30" t="s">
        <v>137</v>
      </c>
      <c r="C3663" s="30" t="s">
        <v>28</v>
      </c>
      <c r="D3663" s="30" t="s">
        <v>49</v>
      </c>
      <c r="E3663" s="30" t="s">
        <v>50</v>
      </c>
      <c r="F3663" s="30">
        <v>1</v>
      </c>
      <c r="G3663" s="44">
        <v>26412</v>
      </c>
      <c r="H3663" s="30"/>
      <c r="I3663" s="44"/>
      <c r="J3663" s="44"/>
      <c r="K3663" s="44">
        <f t="shared" si="121"/>
        <v>26412</v>
      </c>
      <c r="L3663" s="51">
        <v>20251014</v>
      </c>
    </row>
    <row r="3664" spans="1:12" x14ac:dyDescent="0.25">
      <c r="A3664" s="50" t="s">
        <v>4999</v>
      </c>
      <c r="B3664" s="30" t="s">
        <v>137</v>
      </c>
      <c r="C3664" s="30" t="s">
        <v>134</v>
      </c>
      <c r="D3664" s="30" t="s">
        <v>135</v>
      </c>
      <c r="E3664" s="30" t="s">
        <v>136</v>
      </c>
      <c r="F3664" s="30">
        <v>1</v>
      </c>
      <c r="G3664" s="44">
        <v>26412</v>
      </c>
      <c r="H3664" s="30"/>
      <c r="I3664" s="44"/>
      <c r="J3664" s="44"/>
      <c r="K3664" s="44">
        <f t="shared" si="121"/>
        <v>26412</v>
      </c>
      <c r="L3664" s="51">
        <v>20251014</v>
      </c>
    </row>
    <row r="3665" spans="1:12" x14ac:dyDescent="0.25">
      <c r="A3665" s="50" t="s">
        <v>4998</v>
      </c>
      <c r="B3665" s="30" t="s">
        <v>137</v>
      </c>
      <c r="C3665" s="30" t="s">
        <v>134</v>
      </c>
      <c r="D3665" s="30" t="s">
        <v>135</v>
      </c>
      <c r="E3665" s="30" t="s">
        <v>1178</v>
      </c>
      <c r="F3665" s="30">
        <v>1</v>
      </c>
      <c r="G3665" s="44">
        <v>26412</v>
      </c>
      <c r="H3665" s="30"/>
      <c r="I3665" s="44"/>
      <c r="J3665" s="44"/>
      <c r="K3665" s="44">
        <f t="shared" si="121"/>
        <v>26412</v>
      </c>
      <c r="L3665" s="51">
        <v>20251014</v>
      </c>
    </row>
    <row r="3666" spans="1:12" x14ac:dyDescent="0.25">
      <c r="A3666" s="50" t="s">
        <v>4996</v>
      </c>
      <c r="B3666" s="30" t="s">
        <v>137</v>
      </c>
      <c r="C3666" s="30" t="s">
        <v>134</v>
      </c>
      <c r="D3666" s="30" t="s">
        <v>135</v>
      </c>
      <c r="E3666" s="30" t="s">
        <v>4997</v>
      </c>
      <c r="F3666" s="30">
        <v>1</v>
      </c>
      <c r="G3666" s="44">
        <v>26412</v>
      </c>
      <c r="H3666" s="30"/>
      <c r="I3666" s="44"/>
      <c r="J3666" s="44"/>
      <c r="K3666" s="44">
        <f t="shared" si="121"/>
        <v>26412</v>
      </c>
      <c r="L3666" s="51">
        <v>20251014</v>
      </c>
    </row>
    <row r="3667" spans="1:12" x14ac:dyDescent="0.25">
      <c r="A3667" s="50" t="s">
        <v>4995</v>
      </c>
      <c r="B3667" s="30" t="s">
        <v>137</v>
      </c>
      <c r="C3667" s="30" t="s">
        <v>134</v>
      </c>
      <c r="D3667" s="30" t="s">
        <v>135</v>
      </c>
      <c r="E3667" s="30" t="s">
        <v>264</v>
      </c>
      <c r="F3667" s="30">
        <v>1</v>
      </c>
      <c r="G3667" s="44">
        <v>26412</v>
      </c>
      <c r="H3667" s="30"/>
      <c r="I3667" s="44"/>
      <c r="J3667" s="44"/>
      <c r="K3667" s="44">
        <f t="shared" si="121"/>
        <v>26412</v>
      </c>
      <c r="L3667" s="51">
        <v>20251014</v>
      </c>
    </row>
    <row r="3668" spans="1:12" x14ac:dyDescent="0.25">
      <c r="A3668" s="50" t="s">
        <v>4994</v>
      </c>
      <c r="B3668" s="30" t="s">
        <v>137</v>
      </c>
      <c r="C3668" s="30" t="s">
        <v>134</v>
      </c>
      <c r="D3668" s="30" t="s">
        <v>135</v>
      </c>
      <c r="E3668" s="30" t="s">
        <v>183</v>
      </c>
      <c r="F3668" s="30">
        <v>1</v>
      </c>
      <c r="G3668" s="44">
        <v>26412</v>
      </c>
      <c r="H3668" s="30"/>
      <c r="I3668" s="44"/>
      <c r="J3668" s="44"/>
      <c r="K3668" s="44">
        <f t="shared" si="121"/>
        <v>26412</v>
      </c>
      <c r="L3668" s="51">
        <v>20251014</v>
      </c>
    </row>
    <row r="3669" spans="1:12" x14ac:dyDescent="0.25">
      <c r="A3669" s="50" t="s">
        <v>4993</v>
      </c>
      <c r="B3669" s="30" t="s">
        <v>137</v>
      </c>
      <c r="C3669" s="30" t="s">
        <v>134</v>
      </c>
      <c r="D3669" s="30" t="s">
        <v>135</v>
      </c>
      <c r="E3669" s="30" t="s">
        <v>3513</v>
      </c>
      <c r="F3669" s="30">
        <v>1</v>
      </c>
      <c r="G3669" s="44">
        <v>26412</v>
      </c>
      <c r="H3669" s="30"/>
      <c r="I3669" s="44"/>
      <c r="J3669" s="44"/>
      <c r="K3669" s="44">
        <f t="shared" si="121"/>
        <v>26412</v>
      </c>
      <c r="L3669" s="51">
        <v>20251014</v>
      </c>
    </row>
    <row r="3670" spans="1:12" x14ac:dyDescent="0.25">
      <c r="A3670" s="50" t="s">
        <v>4991</v>
      </c>
      <c r="B3670" s="30" t="s">
        <v>137</v>
      </c>
      <c r="C3670" s="30" t="s">
        <v>28</v>
      </c>
      <c r="D3670" s="30" t="s">
        <v>750</v>
      </c>
      <c r="E3670" s="30" t="s">
        <v>751</v>
      </c>
      <c r="F3670" s="30">
        <v>1</v>
      </c>
      <c r="G3670" s="44">
        <v>26412</v>
      </c>
      <c r="H3670" s="30"/>
      <c r="I3670" s="44"/>
      <c r="J3670" s="44"/>
      <c r="K3670" s="44">
        <f t="shared" si="121"/>
        <v>26412</v>
      </c>
      <c r="L3670" s="51">
        <v>20251015</v>
      </c>
    </row>
    <row r="3671" spans="1:12" x14ac:dyDescent="0.25">
      <c r="A3671" s="50" t="s">
        <v>4990</v>
      </c>
      <c r="B3671" s="30" t="s">
        <v>137</v>
      </c>
      <c r="C3671" s="30" t="s">
        <v>3984</v>
      </c>
      <c r="D3671" s="30" t="s">
        <v>713</v>
      </c>
      <c r="E3671" s="30" t="s">
        <v>722</v>
      </c>
      <c r="F3671" s="30">
        <v>1</v>
      </c>
      <c r="G3671" s="44">
        <v>26412</v>
      </c>
      <c r="H3671" s="30"/>
      <c r="I3671" s="44"/>
      <c r="J3671" s="44"/>
      <c r="K3671" s="44">
        <f t="shared" si="121"/>
        <v>26412</v>
      </c>
      <c r="L3671" s="51">
        <v>20251015</v>
      </c>
    </row>
    <row r="3672" spans="1:12" x14ac:dyDescent="0.25">
      <c r="A3672" s="50" t="s">
        <v>4989</v>
      </c>
      <c r="B3672" s="30" t="s">
        <v>137</v>
      </c>
      <c r="C3672" s="30" t="s">
        <v>3984</v>
      </c>
      <c r="D3672" s="30" t="s">
        <v>713</v>
      </c>
      <c r="E3672" s="30" t="s">
        <v>720</v>
      </c>
      <c r="F3672" s="30">
        <v>1</v>
      </c>
      <c r="G3672" s="44">
        <v>26412</v>
      </c>
      <c r="H3672" s="30"/>
      <c r="I3672" s="44"/>
      <c r="J3672" s="44"/>
      <c r="K3672" s="44">
        <f t="shared" si="121"/>
        <v>26412</v>
      </c>
      <c r="L3672" s="51">
        <v>20251015</v>
      </c>
    </row>
    <row r="3673" spans="1:12" x14ac:dyDescent="0.25">
      <c r="A3673" s="50" t="s">
        <v>4988</v>
      </c>
      <c r="B3673" s="30" t="s">
        <v>137</v>
      </c>
      <c r="C3673" s="30" t="s">
        <v>3984</v>
      </c>
      <c r="D3673" s="30" t="s">
        <v>713</v>
      </c>
      <c r="E3673" s="30" t="s">
        <v>718</v>
      </c>
      <c r="F3673" s="30">
        <v>1</v>
      </c>
      <c r="G3673" s="44">
        <v>26412</v>
      </c>
      <c r="H3673" s="30"/>
      <c r="I3673" s="44"/>
      <c r="J3673" s="44"/>
      <c r="K3673" s="44">
        <f t="shared" si="121"/>
        <v>26412</v>
      </c>
      <c r="L3673" s="51">
        <v>20251015</v>
      </c>
    </row>
    <row r="3674" spans="1:12" x14ac:dyDescent="0.25">
      <c r="A3674" s="50" t="s">
        <v>4987</v>
      </c>
      <c r="B3674" s="30" t="s">
        <v>137</v>
      </c>
      <c r="C3674" s="30" t="s">
        <v>3984</v>
      </c>
      <c r="D3674" s="30" t="s">
        <v>713</v>
      </c>
      <c r="E3674" s="30" t="s">
        <v>716</v>
      </c>
      <c r="F3674" s="30">
        <v>1</v>
      </c>
      <c r="G3674" s="44">
        <v>26412</v>
      </c>
      <c r="H3674" s="30"/>
      <c r="I3674" s="44"/>
      <c r="J3674" s="44"/>
      <c r="K3674" s="44">
        <f t="shared" si="121"/>
        <v>26412</v>
      </c>
      <c r="L3674" s="51">
        <v>20251015</v>
      </c>
    </row>
    <row r="3675" spans="1:12" x14ac:dyDescent="0.25">
      <c r="A3675" s="50" t="s">
        <v>4986</v>
      </c>
      <c r="B3675" s="30" t="s">
        <v>137</v>
      </c>
      <c r="C3675" s="30" t="s">
        <v>3984</v>
      </c>
      <c r="D3675" s="30" t="s">
        <v>713</v>
      </c>
      <c r="E3675" s="30" t="s">
        <v>714</v>
      </c>
      <c r="F3675" s="30">
        <v>1</v>
      </c>
      <c r="G3675" s="44">
        <v>26412</v>
      </c>
      <c r="H3675" s="30"/>
      <c r="I3675" s="44"/>
      <c r="J3675" s="44"/>
      <c r="K3675" s="44">
        <f t="shared" si="121"/>
        <v>26412</v>
      </c>
      <c r="L3675" s="51">
        <v>20251015</v>
      </c>
    </row>
    <row r="3676" spans="1:12" x14ac:dyDescent="0.25">
      <c r="A3676" s="50" t="s">
        <v>4967</v>
      </c>
      <c r="B3676" s="30" t="s">
        <v>137</v>
      </c>
      <c r="C3676" s="30" t="s">
        <v>251</v>
      </c>
      <c r="D3676" s="30" t="s">
        <v>2780</v>
      </c>
      <c r="E3676" s="30" t="s">
        <v>3195</v>
      </c>
      <c r="F3676" s="30">
        <v>1</v>
      </c>
      <c r="G3676" s="44">
        <v>26412</v>
      </c>
      <c r="H3676" s="30"/>
      <c r="I3676" s="44"/>
      <c r="J3676" s="44"/>
      <c r="K3676" s="44">
        <f t="shared" si="121"/>
        <v>26412</v>
      </c>
      <c r="L3676" s="51">
        <v>20251021</v>
      </c>
    </row>
    <row r="3677" spans="1:12" x14ac:dyDescent="0.25">
      <c r="A3677" s="50" t="s">
        <v>4965</v>
      </c>
      <c r="B3677" s="30" t="s">
        <v>137</v>
      </c>
      <c r="C3677" s="30" t="s">
        <v>28</v>
      </c>
      <c r="D3677" s="30" t="s">
        <v>3490</v>
      </c>
      <c r="E3677" s="30" t="s">
        <v>3491</v>
      </c>
      <c r="F3677" s="30">
        <v>1</v>
      </c>
      <c r="G3677" s="44">
        <v>26412</v>
      </c>
      <c r="H3677" s="30"/>
      <c r="I3677" s="44"/>
      <c r="J3677" s="44"/>
      <c r="K3677" s="44">
        <f t="shared" si="121"/>
        <v>26412</v>
      </c>
      <c r="L3677" s="51">
        <v>20251021</v>
      </c>
    </row>
    <row r="3678" spans="1:12" x14ac:dyDescent="0.25">
      <c r="A3678" s="50" t="s">
        <v>4954</v>
      </c>
      <c r="B3678" s="30" t="s">
        <v>137</v>
      </c>
      <c r="C3678" s="30" t="s">
        <v>4490</v>
      </c>
      <c r="D3678" s="30" t="s">
        <v>4952</v>
      </c>
      <c r="E3678" s="30" t="s">
        <v>4955</v>
      </c>
      <c r="F3678" s="30">
        <v>1</v>
      </c>
      <c r="G3678" s="44">
        <v>26412</v>
      </c>
      <c r="H3678" s="30"/>
      <c r="I3678" s="44"/>
      <c r="J3678" s="44"/>
      <c r="K3678" s="44">
        <f t="shared" si="121"/>
        <v>26412</v>
      </c>
      <c r="L3678" s="51">
        <v>20251021</v>
      </c>
    </row>
    <row r="3679" spans="1:12" x14ac:dyDescent="0.25">
      <c r="A3679" s="50" t="s">
        <v>4951</v>
      </c>
      <c r="B3679" s="30" t="s">
        <v>137</v>
      </c>
      <c r="C3679" s="30" t="s">
        <v>4490</v>
      </c>
      <c r="D3679" s="30" t="s">
        <v>4952</v>
      </c>
      <c r="E3679" s="30" t="s">
        <v>4953</v>
      </c>
      <c r="F3679" s="30">
        <v>1</v>
      </c>
      <c r="G3679" s="44">
        <v>26412</v>
      </c>
      <c r="H3679" s="30"/>
      <c r="I3679" s="44"/>
      <c r="J3679" s="44"/>
      <c r="K3679" s="44">
        <f t="shared" ref="K3679:K3710" si="122">J3679+G3679</f>
        <v>26412</v>
      </c>
      <c r="L3679" s="51">
        <v>20251021</v>
      </c>
    </row>
    <row r="3680" spans="1:12" x14ac:dyDescent="0.25">
      <c r="A3680" s="50" t="s">
        <v>4949</v>
      </c>
      <c r="B3680" s="30" t="s">
        <v>137</v>
      </c>
      <c r="C3680" s="30" t="s">
        <v>29</v>
      </c>
      <c r="D3680" s="30" t="s">
        <v>4900</v>
      </c>
      <c r="E3680" s="30" t="s">
        <v>4950</v>
      </c>
      <c r="F3680" s="30">
        <v>1</v>
      </c>
      <c r="G3680" s="44">
        <v>26412</v>
      </c>
      <c r="H3680" s="30"/>
      <c r="I3680" s="44"/>
      <c r="J3680" s="44"/>
      <c r="K3680" s="44">
        <f t="shared" si="122"/>
        <v>26412</v>
      </c>
      <c r="L3680" s="51">
        <v>20251021</v>
      </c>
    </row>
    <row r="3681" spans="1:12" x14ac:dyDescent="0.25">
      <c r="A3681" s="50" t="s">
        <v>4947</v>
      </c>
      <c r="B3681" s="30" t="s">
        <v>137</v>
      </c>
      <c r="C3681" s="30" t="s">
        <v>29</v>
      </c>
      <c r="D3681" s="30" t="s">
        <v>4900</v>
      </c>
      <c r="E3681" s="30" t="s">
        <v>4948</v>
      </c>
      <c r="F3681" s="30">
        <v>1</v>
      </c>
      <c r="G3681" s="44">
        <v>26412</v>
      </c>
      <c r="H3681" s="30"/>
      <c r="I3681" s="44"/>
      <c r="J3681" s="44"/>
      <c r="K3681" s="44">
        <f t="shared" si="122"/>
        <v>26412</v>
      </c>
      <c r="L3681" s="51">
        <v>20251021</v>
      </c>
    </row>
    <row r="3682" spans="1:12" x14ac:dyDescent="0.25">
      <c r="A3682" s="50" t="s">
        <v>4945</v>
      </c>
      <c r="B3682" s="30" t="s">
        <v>137</v>
      </c>
      <c r="C3682" s="30" t="s">
        <v>29</v>
      </c>
      <c r="D3682" s="30" t="s">
        <v>4900</v>
      </c>
      <c r="E3682" s="30" t="s">
        <v>4946</v>
      </c>
      <c r="F3682" s="30">
        <v>1</v>
      </c>
      <c r="G3682" s="44">
        <v>26412</v>
      </c>
      <c r="H3682" s="30"/>
      <c r="I3682" s="44"/>
      <c r="J3682" s="44"/>
      <c r="K3682" s="44">
        <f t="shared" si="122"/>
        <v>26412</v>
      </c>
      <c r="L3682" s="51">
        <v>20251021</v>
      </c>
    </row>
    <row r="3683" spans="1:12" x14ac:dyDescent="0.25">
      <c r="A3683" s="50" t="s">
        <v>5083</v>
      </c>
      <c r="B3683" s="30" t="s">
        <v>137</v>
      </c>
      <c r="C3683" s="30" t="s">
        <v>251</v>
      </c>
      <c r="D3683" s="30" t="s">
        <v>252</v>
      </c>
      <c r="E3683" s="30" t="s">
        <v>2842</v>
      </c>
      <c r="F3683" s="30">
        <v>1</v>
      </c>
      <c r="G3683" s="44">
        <v>26412</v>
      </c>
      <c r="H3683" s="30"/>
      <c r="I3683" s="44"/>
      <c r="J3683" s="44"/>
      <c r="K3683" s="44">
        <f t="shared" si="122"/>
        <v>26412</v>
      </c>
      <c r="L3683" s="51">
        <v>20251022</v>
      </c>
    </row>
    <row r="3684" spans="1:12" x14ac:dyDescent="0.25">
      <c r="A3684" s="50" t="s">
        <v>4966</v>
      </c>
      <c r="B3684" s="30" t="s">
        <v>137</v>
      </c>
      <c r="C3684" s="30" t="s">
        <v>1021</v>
      </c>
      <c r="D3684" s="30" t="s">
        <v>95</v>
      </c>
      <c r="E3684" s="30" t="s">
        <v>1022</v>
      </c>
      <c r="F3684" s="30">
        <v>1</v>
      </c>
      <c r="G3684" s="44">
        <v>26412</v>
      </c>
      <c r="H3684" s="30"/>
      <c r="I3684" s="44"/>
      <c r="J3684" s="44"/>
      <c r="K3684" s="44">
        <f t="shared" si="122"/>
        <v>26412</v>
      </c>
      <c r="L3684" s="51">
        <v>20251022</v>
      </c>
    </row>
    <row r="3685" spans="1:12" x14ac:dyDescent="0.25">
      <c r="A3685" s="50" t="s">
        <v>4944</v>
      </c>
      <c r="B3685" s="30" t="s">
        <v>137</v>
      </c>
      <c r="C3685" s="30" t="s">
        <v>172</v>
      </c>
      <c r="D3685" s="30" t="s">
        <v>703</v>
      </c>
      <c r="E3685" s="30" t="s">
        <v>710</v>
      </c>
      <c r="F3685" s="30">
        <v>1</v>
      </c>
      <c r="G3685" s="44">
        <v>26412</v>
      </c>
      <c r="H3685" s="30"/>
      <c r="I3685" s="44"/>
      <c r="J3685" s="44"/>
      <c r="K3685" s="44">
        <f t="shared" si="122"/>
        <v>26412</v>
      </c>
      <c r="L3685" s="51">
        <v>20251022</v>
      </c>
    </row>
    <row r="3686" spans="1:12" x14ac:dyDescent="0.25">
      <c r="A3686" s="50" t="s">
        <v>4943</v>
      </c>
      <c r="B3686" s="30" t="s">
        <v>137</v>
      </c>
      <c r="C3686" s="30" t="s">
        <v>172</v>
      </c>
      <c r="D3686" s="266" t="s">
        <v>703</v>
      </c>
      <c r="E3686" s="30" t="s">
        <v>708</v>
      </c>
      <c r="F3686" s="30">
        <v>1</v>
      </c>
      <c r="G3686" s="44">
        <v>26412</v>
      </c>
      <c r="H3686" s="30"/>
      <c r="I3686" s="44"/>
      <c r="J3686" s="44"/>
      <c r="K3686" s="44">
        <f t="shared" si="122"/>
        <v>26412</v>
      </c>
      <c r="L3686" s="51">
        <v>20251022</v>
      </c>
    </row>
    <row r="3687" spans="1:12" x14ac:dyDescent="0.25">
      <c r="A3687" s="50" t="s">
        <v>4942</v>
      </c>
      <c r="B3687" s="30" t="s">
        <v>137</v>
      </c>
      <c r="C3687" s="30" t="s">
        <v>172</v>
      </c>
      <c r="D3687" s="266" t="s">
        <v>703</v>
      </c>
      <c r="E3687" s="30" t="s">
        <v>706</v>
      </c>
      <c r="F3687" s="30">
        <v>1</v>
      </c>
      <c r="G3687" s="44">
        <v>26412</v>
      </c>
      <c r="H3687" s="30"/>
      <c r="I3687" s="44"/>
      <c r="J3687" s="44"/>
      <c r="K3687" s="44">
        <f t="shared" si="122"/>
        <v>26412</v>
      </c>
      <c r="L3687" s="51">
        <v>20251022</v>
      </c>
    </row>
    <row r="3688" spans="1:12" x14ac:dyDescent="0.25">
      <c r="A3688" s="50" t="s">
        <v>4941</v>
      </c>
      <c r="B3688" s="30" t="s">
        <v>137</v>
      </c>
      <c r="C3688" s="30" t="s">
        <v>172</v>
      </c>
      <c r="D3688" s="266" t="s">
        <v>703</v>
      </c>
      <c r="E3688" s="30" t="s">
        <v>704</v>
      </c>
      <c r="F3688" s="30">
        <v>1</v>
      </c>
      <c r="G3688" s="44">
        <v>26412</v>
      </c>
      <c r="H3688" s="30"/>
      <c r="I3688" s="44"/>
      <c r="J3688" s="44"/>
      <c r="K3688" s="44">
        <f t="shared" si="122"/>
        <v>26412</v>
      </c>
      <c r="L3688" s="51">
        <v>20251022</v>
      </c>
    </row>
    <row r="3689" spans="1:12" x14ac:dyDescent="0.25">
      <c r="A3689" s="50" t="s">
        <v>4935</v>
      </c>
      <c r="B3689" s="30" t="s">
        <v>137</v>
      </c>
      <c r="C3689" s="30" t="s">
        <v>1006</v>
      </c>
      <c r="D3689" s="266" t="s">
        <v>4911</v>
      </c>
      <c r="E3689" s="30" t="s">
        <v>4936</v>
      </c>
      <c r="F3689" s="30">
        <v>1</v>
      </c>
      <c r="G3689" s="44">
        <v>26412</v>
      </c>
      <c r="H3689" s="30"/>
      <c r="I3689" s="44"/>
      <c r="J3689" s="44"/>
      <c r="K3689" s="44">
        <f t="shared" si="122"/>
        <v>26412</v>
      </c>
      <c r="L3689" s="51">
        <v>20251024</v>
      </c>
    </row>
    <row r="3690" spans="1:12" x14ac:dyDescent="0.25">
      <c r="A3690" s="50" t="s">
        <v>4933</v>
      </c>
      <c r="B3690" s="30" t="s">
        <v>137</v>
      </c>
      <c r="C3690" s="30" t="s">
        <v>1006</v>
      </c>
      <c r="D3690" s="266" t="s">
        <v>4911</v>
      </c>
      <c r="E3690" s="30" t="s">
        <v>4934</v>
      </c>
      <c r="F3690" s="30">
        <v>1</v>
      </c>
      <c r="G3690" s="44">
        <v>26412</v>
      </c>
      <c r="H3690" s="30"/>
      <c r="I3690" s="44"/>
      <c r="J3690" s="44"/>
      <c r="K3690" s="44">
        <f t="shared" si="122"/>
        <v>26412</v>
      </c>
      <c r="L3690" s="51">
        <v>20251024</v>
      </c>
    </row>
    <row r="3691" spans="1:12" x14ac:dyDescent="0.25">
      <c r="A3691" s="50" t="s">
        <v>4931</v>
      </c>
      <c r="B3691" s="30" t="s">
        <v>137</v>
      </c>
      <c r="C3691" s="30" t="s">
        <v>1006</v>
      </c>
      <c r="D3691" s="266" t="s">
        <v>4911</v>
      </c>
      <c r="E3691" s="30" t="s">
        <v>4932</v>
      </c>
      <c r="F3691" s="30">
        <v>1</v>
      </c>
      <c r="G3691" s="44">
        <v>26412</v>
      </c>
      <c r="H3691" s="30"/>
      <c r="I3691" s="44"/>
      <c r="J3691" s="44"/>
      <c r="K3691" s="44">
        <f t="shared" si="122"/>
        <v>26412</v>
      </c>
      <c r="L3691" s="51">
        <v>20251024</v>
      </c>
    </row>
    <row r="3692" spans="1:12" x14ac:dyDescent="0.25">
      <c r="A3692" s="50" t="s">
        <v>4927</v>
      </c>
      <c r="B3692" s="30" t="s">
        <v>137</v>
      </c>
      <c r="C3692" s="30" t="s">
        <v>1006</v>
      </c>
      <c r="D3692" s="266" t="s">
        <v>4911</v>
      </c>
      <c r="E3692" s="30" t="s">
        <v>4928</v>
      </c>
      <c r="F3692" s="30">
        <v>1</v>
      </c>
      <c r="G3692" s="44">
        <v>26412</v>
      </c>
      <c r="H3692" s="30"/>
      <c r="I3692" s="44"/>
      <c r="J3692" s="44"/>
      <c r="K3692" s="44">
        <f t="shared" si="122"/>
        <v>26412</v>
      </c>
      <c r="L3692" s="51">
        <v>20251024</v>
      </c>
    </row>
    <row r="3693" spans="1:12" x14ac:dyDescent="0.25">
      <c r="A3693" s="50" t="s">
        <v>4915</v>
      </c>
      <c r="B3693" s="30" t="s">
        <v>137</v>
      </c>
      <c r="C3693" s="30" t="s">
        <v>1006</v>
      </c>
      <c r="D3693" s="266" t="s">
        <v>4911</v>
      </c>
      <c r="E3693" s="30" t="s">
        <v>4916</v>
      </c>
      <c r="F3693" s="30">
        <v>1</v>
      </c>
      <c r="G3693" s="44">
        <v>26412</v>
      </c>
      <c r="H3693" s="30"/>
      <c r="I3693" s="44"/>
      <c r="J3693" s="44"/>
      <c r="K3693" s="44">
        <f t="shared" si="122"/>
        <v>26412</v>
      </c>
      <c r="L3693" s="51">
        <v>20251024</v>
      </c>
    </row>
    <row r="3694" spans="1:12" x14ac:dyDescent="0.25">
      <c r="A3694" s="50" t="s">
        <v>4910</v>
      </c>
      <c r="B3694" s="30" t="s">
        <v>137</v>
      </c>
      <c r="C3694" s="30" t="s">
        <v>1006</v>
      </c>
      <c r="D3694" s="266" t="s">
        <v>4911</v>
      </c>
      <c r="E3694" s="30" t="s">
        <v>4912</v>
      </c>
      <c r="F3694" s="30">
        <v>1</v>
      </c>
      <c r="G3694" s="44">
        <v>26412</v>
      </c>
      <c r="H3694" s="30"/>
      <c r="I3694" s="44"/>
      <c r="J3694" s="44"/>
      <c r="K3694" s="44">
        <f t="shared" si="122"/>
        <v>26412</v>
      </c>
      <c r="L3694" s="51">
        <v>20251024</v>
      </c>
    </row>
    <row r="3695" spans="1:12" x14ac:dyDescent="0.25">
      <c r="A3695" s="50" t="s">
        <v>4906</v>
      </c>
      <c r="B3695" s="30" t="s">
        <v>137</v>
      </c>
      <c r="C3695" s="30" t="s">
        <v>94</v>
      </c>
      <c r="D3695" s="266" t="s">
        <v>95</v>
      </c>
      <c r="E3695" s="30" t="s">
        <v>3699</v>
      </c>
      <c r="F3695" s="30">
        <v>1</v>
      </c>
      <c r="G3695" s="44">
        <v>26412</v>
      </c>
      <c r="H3695" s="30"/>
      <c r="I3695" s="44"/>
      <c r="J3695" s="44"/>
      <c r="K3695" s="44">
        <f t="shared" si="122"/>
        <v>26412</v>
      </c>
      <c r="L3695" s="51">
        <v>20251025</v>
      </c>
    </row>
    <row r="3696" spans="1:12" x14ac:dyDescent="0.25">
      <c r="A3696" s="50" t="s">
        <v>4905</v>
      </c>
      <c r="B3696" s="30" t="s">
        <v>137</v>
      </c>
      <c r="C3696" s="30" t="s">
        <v>94</v>
      </c>
      <c r="D3696" s="266" t="s">
        <v>95</v>
      </c>
      <c r="E3696" s="30" t="s">
        <v>4051</v>
      </c>
      <c r="F3696" s="30">
        <v>1</v>
      </c>
      <c r="G3696" s="44">
        <v>26412</v>
      </c>
      <c r="H3696" s="30"/>
      <c r="I3696" s="44"/>
      <c r="J3696" s="44"/>
      <c r="K3696" s="44">
        <f t="shared" si="122"/>
        <v>26412</v>
      </c>
      <c r="L3696" s="51">
        <v>20251025</v>
      </c>
    </row>
    <row r="3697" spans="1:12" x14ac:dyDescent="0.25">
      <c r="A3697" s="50" t="s">
        <v>4904</v>
      </c>
      <c r="B3697" s="30" t="s">
        <v>137</v>
      </c>
      <c r="C3697" s="30" t="s">
        <v>94</v>
      </c>
      <c r="D3697" s="266" t="s">
        <v>95</v>
      </c>
      <c r="E3697" s="30" t="s">
        <v>458</v>
      </c>
      <c r="F3697" s="30">
        <v>1</v>
      </c>
      <c r="G3697" s="44">
        <v>26412</v>
      </c>
      <c r="H3697" s="30"/>
      <c r="I3697" s="44"/>
      <c r="J3697" s="44"/>
      <c r="K3697" s="44">
        <f t="shared" si="122"/>
        <v>26412</v>
      </c>
      <c r="L3697" s="51">
        <v>20251025</v>
      </c>
    </row>
    <row r="3698" spans="1:12" x14ac:dyDescent="0.25">
      <c r="A3698" s="50" t="s">
        <v>4903</v>
      </c>
      <c r="B3698" s="30" t="s">
        <v>137</v>
      </c>
      <c r="C3698" s="30" t="s">
        <v>94</v>
      </c>
      <c r="D3698" s="266" t="s">
        <v>95</v>
      </c>
      <c r="E3698" s="30" t="s">
        <v>1085</v>
      </c>
      <c r="F3698" s="30">
        <v>1</v>
      </c>
      <c r="G3698" s="44">
        <v>26412</v>
      </c>
      <c r="H3698" s="30"/>
      <c r="I3698" s="44"/>
      <c r="J3698" s="44"/>
      <c r="K3698" s="44">
        <f t="shared" si="122"/>
        <v>26412</v>
      </c>
      <c r="L3698" s="51">
        <v>20251025</v>
      </c>
    </row>
    <row r="3699" spans="1:12" x14ac:dyDescent="0.25">
      <c r="A3699" s="50" t="s">
        <v>4937</v>
      </c>
      <c r="B3699" s="30" t="s">
        <v>137</v>
      </c>
      <c r="C3699" s="30" t="s">
        <v>1006</v>
      </c>
      <c r="D3699" s="266" t="s">
        <v>4911</v>
      </c>
      <c r="E3699" s="30" t="s">
        <v>4938</v>
      </c>
      <c r="F3699" s="30">
        <v>1</v>
      </c>
      <c r="G3699" s="44">
        <v>26412</v>
      </c>
      <c r="H3699" s="30"/>
      <c r="I3699" s="44"/>
      <c r="J3699" s="44"/>
      <c r="K3699" s="44">
        <f t="shared" si="122"/>
        <v>26412</v>
      </c>
      <c r="L3699" s="51">
        <v>20251027</v>
      </c>
    </row>
    <row r="3700" spans="1:12" x14ac:dyDescent="0.25">
      <c r="A3700" s="50" t="s">
        <v>4929</v>
      </c>
      <c r="B3700" s="30" t="s">
        <v>137</v>
      </c>
      <c r="C3700" s="30" t="s">
        <v>1006</v>
      </c>
      <c r="D3700" s="266" t="s">
        <v>4911</v>
      </c>
      <c r="E3700" s="30" t="s">
        <v>4930</v>
      </c>
      <c r="F3700" s="30">
        <v>1</v>
      </c>
      <c r="G3700" s="44">
        <v>26412</v>
      </c>
      <c r="H3700" s="30"/>
      <c r="I3700" s="44"/>
      <c r="J3700" s="44"/>
      <c r="K3700" s="44">
        <f t="shared" si="122"/>
        <v>26412</v>
      </c>
      <c r="L3700" s="51">
        <v>20251027</v>
      </c>
    </row>
    <row r="3701" spans="1:12" x14ac:dyDescent="0.25">
      <c r="A3701" s="50" t="s">
        <v>4925</v>
      </c>
      <c r="B3701" s="30" t="s">
        <v>137</v>
      </c>
      <c r="C3701" s="30" t="s">
        <v>1006</v>
      </c>
      <c r="D3701" s="266" t="s">
        <v>4911</v>
      </c>
      <c r="E3701" s="30" t="s">
        <v>4926</v>
      </c>
      <c r="F3701" s="30">
        <v>1</v>
      </c>
      <c r="G3701" s="44">
        <v>26412</v>
      </c>
      <c r="H3701" s="30"/>
      <c r="I3701" s="44"/>
      <c r="J3701" s="44"/>
      <c r="K3701" s="44">
        <f t="shared" si="122"/>
        <v>26412</v>
      </c>
      <c r="L3701" s="51">
        <v>20251027</v>
      </c>
    </row>
    <row r="3702" spans="1:12" x14ac:dyDescent="0.25">
      <c r="A3702" s="50" t="s">
        <v>4923</v>
      </c>
      <c r="B3702" s="30" t="s">
        <v>137</v>
      </c>
      <c r="C3702" s="30" t="s">
        <v>1006</v>
      </c>
      <c r="D3702" s="266" t="s">
        <v>4911</v>
      </c>
      <c r="E3702" s="30" t="s">
        <v>4924</v>
      </c>
      <c r="F3702" s="30">
        <v>1</v>
      </c>
      <c r="G3702" s="44">
        <v>26412</v>
      </c>
      <c r="H3702" s="30"/>
      <c r="I3702" s="44"/>
      <c r="J3702" s="44"/>
      <c r="K3702" s="44">
        <f t="shared" si="122"/>
        <v>26412</v>
      </c>
      <c r="L3702" s="51">
        <v>20251027</v>
      </c>
    </row>
    <row r="3703" spans="1:12" x14ac:dyDescent="0.25">
      <c r="A3703" s="50" t="s">
        <v>4921</v>
      </c>
      <c r="B3703" s="30" t="s">
        <v>137</v>
      </c>
      <c r="C3703" s="30" t="s">
        <v>1006</v>
      </c>
      <c r="D3703" s="266" t="s">
        <v>4911</v>
      </c>
      <c r="E3703" s="30" t="s">
        <v>4922</v>
      </c>
      <c r="F3703" s="30">
        <v>1</v>
      </c>
      <c r="G3703" s="44">
        <v>26412</v>
      </c>
      <c r="H3703" s="30"/>
      <c r="I3703" s="44"/>
      <c r="J3703" s="44"/>
      <c r="K3703" s="44">
        <f t="shared" si="122"/>
        <v>26412</v>
      </c>
      <c r="L3703" s="51">
        <v>20251027</v>
      </c>
    </row>
    <row r="3704" spans="1:12" x14ac:dyDescent="0.25">
      <c r="A3704" s="50" t="s">
        <v>4919</v>
      </c>
      <c r="B3704" s="30" t="s">
        <v>137</v>
      </c>
      <c r="C3704" s="30" t="s">
        <v>1006</v>
      </c>
      <c r="D3704" s="266" t="s">
        <v>4911</v>
      </c>
      <c r="E3704" s="30" t="s">
        <v>4920</v>
      </c>
      <c r="F3704" s="30">
        <v>1</v>
      </c>
      <c r="G3704" s="44">
        <v>26412</v>
      </c>
      <c r="H3704" s="30"/>
      <c r="I3704" s="44"/>
      <c r="J3704" s="44"/>
      <c r="K3704" s="44">
        <f t="shared" si="122"/>
        <v>26412</v>
      </c>
      <c r="L3704" s="51">
        <v>20251027</v>
      </c>
    </row>
    <row r="3705" spans="1:12" x14ac:dyDescent="0.25">
      <c r="A3705" s="50" t="s">
        <v>4917</v>
      </c>
      <c r="B3705" s="30" t="s">
        <v>137</v>
      </c>
      <c r="C3705" s="30" t="s">
        <v>1006</v>
      </c>
      <c r="D3705" s="266" t="s">
        <v>4911</v>
      </c>
      <c r="E3705" s="30" t="s">
        <v>4918</v>
      </c>
      <c r="F3705" s="30">
        <v>1</v>
      </c>
      <c r="G3705" s="44">
        <v>26412</v>
      </c>
      <c r="H3705" s="30"/>
      <c r="I3705" s="44"/>
      <c r="J3705" s="44"/>
      <c r="K3705" s="44">
        <f t="shared" si="122"/>
        <v>26412</v>
      </c>
      <c r="L3705" s="51">
        <v>20251027</v>
      </c>
    </row>
    <row r="3706" spans="1:12" x14ac:dyDescent="0.25">
      <c r="A3706" s="50" t="s">
        <v>4913</v>
      </c>
      <c r="B3706" s="30" t="s">
        <v>137</v>
      </c>
      <c r="C3706" s="30" t="s">
        <v>1006</v>
      </c>
      <c r="D3706" s="266" t="s">
        <v>4911</v>
      </c>
      <c r="E3706" s="30" t="s">
        <v>4914</v>
      </c>
      <c r="F3706" s="30">
        <v>1</v>
      </c>
      <c r="G3706" s="44">
        <v>26412</v>
      </c>
      <c r="H3706" s="30"/>
      <c r="I3706" s="44"/>
      <c r="J3706" s="44"/>
      <c r="K3706" s="44">
        <f t="shared" si="122"/>
        <v>26412</v>
      </c>
      <c r="L3706" s="51">
        <v>20251027</v>
      </c>
    </row>
    <row r="3707" spans="1:12" x14ac:dyDescent="0.25">
      <c r="A3707" s="50" t="s">
        <v>4898</v>
      </c>
      <c r="B3707" s="30" t="s">
        <v>137</v>
      </c>
      <c r="C3707" s="30" t="s">
        <v>28</v>
      </c>
      <c r="D3707" s="266" t="s">
        <v>1703</v>
      </c>
      <c r="E3707" s="30" t="s">
        <v>2436</v>
      </c>
      <c r="F3707" s="30">
        <v>1</v>
      </c>
      <c r="G3707" s="44">
        <v>26412</v>
      </c>
      <c r="H3707" s="30"/>
      <c r="I3707" s="44"/>
      <c r="J3707" s="44"/>
      <c r="K3707" s="44">
        <f t="shared" si="122"/>
        <v>26412</v>
      </c>
      <c r="L3707" s="51">
        <v>20251028</v>
      </c>
    </row>
    <row r="3708" spans="1:12" x14ac:dyDescent="0.25">
      <c r="A3708" s="50" t="s">
        <v>5084</v>
      </c>
      <c r="B3708" s="30" t="s">
        <v>137</v>
      </c>
      <c r="C3708" s="30" t="s">
        <v>1006</v>
      </c>
      <c r="D3708" s="266" t="s">
        <v>1007</v>
      </c>
      <c r="E3708" s="30" t="s">
        <v>5085</v>
      </c>
      <c r="F3708" s="30">
        <v>1</v>
      </c>
      <c r="G3708" s="44">
        <v>26412</v>
      </c>
      <c r="H3708" s="30"/>
      <c r="I3708" s="44"/>
      <c r="J3708" s="44"/>
      <c r="K3708" s="44">
        <f t="shared" si="122"/>
        <v>26412</v>
      </c>
      <c r="L3708" s="51">
        <v>20251028</v>
      </c>
    </row>
    <row r="3709" spans="1:12" x14ac:dyDescent="0.25">
      <c r="A3709" s="50" t="s">
        <v>4885</v>
      </c>
      <c r="B3709" s="30" t="s">
        <v>137</v>
      </c>
      <c r="C3709" s="30" t="s">
        <v>28</v>
      </c>
      <c r="D3709" s="266" t="s">
        <v>4886</v>
      </c>
      <c r="E3709" s="30" t="s">
        <v>4887</v>
      </c>
      <c r="F3709" s="30">
        <v>1</v>
      </c>
      <c r="G3709" s="44">
        <v>26412</v>
      </c>
      <c r="H3709" s="30"/>
      <c r="I3709" s="44"/>
      <c r="J3709" s="44"/>
      <c r="K3709" s="44">
        <f t="shared" si="122"/>
        <v>26412</v>
      </c>
      <c r="L3709" s="51">
        <v>20251030</v>
      </c>
    </row>
    <row r="3710" spans="1:12" x14ac:dyDescent="0.25">
      <c r="A3710" s="50" t="s">
        <v>4896</v>
      </c>
      <c r="B3710" s="30" t="s">
        <v>137</v>
      </c>
      <c r="C3710" s="30" t="s">
        <v>3085</v>
      </c>
      <c r="D3710" s="266" t="s">
        <v>4889</v>
      </c>
      <c r="E3710" s="30" t="s">
        <v>4897</v>
      </c>
      <c r="F3710" s="30">
        <v>1</v>
      </c>
      <c r="G3710" s="44">
        <v>26412</v>
      </c>
      <c r="H3710" s="30"/>
      <c r="I3710" s="44"/>
      <c r="J3710" s="44"/>
      <c r="K3710" s="44">
        <f t="shared" si="122"/>
        <v>26412</v>
      </c>
      <c r="L3710" s="51">
        <v>20251030</v>
      </c>
    </row>
    <row r="3711" spans="1:12" x14ac:dyDescent="0.25">
      <c r="A3711" s="50" t="s">
        <v>4891</v>
      </c>
      <c r="B3711" s="30" t="s">
        <v>137</v>
      </c>
      <c r="C3711" s="30" t="s">
        <v>1513</v>
      </c>
      <c r="D3711" s="266" t="s">
        <v>4889</v>
      </c>
      <c r="E3711" s="30" t="s">
        <v>4892</v>
      </c>
      <c r="F3711" s="30">
        <v>1</v>
      </c>
      <c r="G3711" s="44">
        <v>26412</v>
      </c>
      <c r="H3711" s="30"/>
      <c r="I3711" s="44"/>
      <c r="J3711" s="44"/>
      <c r="K3711" s="44">
        <f t="shared" ref="K3711:K3716" si="123">J3711+G3711</f>
        <v>26412</v>
      </c>
      <c r="L3711" s="51">
        <v>20251030</v>
      </c>
    </row>
    <row r="3712" spans="1:12" x14ac:dyDescent="0.25">
      <c r="A3712" s="50" t="s">
        <v>4888</v>
      </c>
      <c r="B3712" s="30" t="s">
        <v>137</v>
      </c>
      <c r="C3712" s="30" t="s">
        <v>1513</v>
      </c>
      <c r="D3712" s="266" t="s">
        <v>4889</v>
      </c>
      <c r="E3712" s="30" t="s">
        <v>4890</v>
      </c>
      <c r="F3712" s="30">
        <v>1</v>
      </c>
      <c r="G3712" s="44">
        <v>26412</v>
      </c>
      <c r="H3712" s="30"/>
      <c r="I3712" s="44"/>
      <c r="J3712" s="44"/>
      <c r="K3712" s="44">
        <f t="shared" si="123"/>
        <v>26412</v>
      </c>
      <c r="L3712" s="51">
        <v>20251030</v>
      </c>
    </row>
    <row r="3713" spans="1:12" x14ac:dyDescent="0.25">
      <c r="A3713" s="50" t="s">
        <v>4884</v>
      </c>
      <c r="B3713" s="30" t="s">
        <v>137</v>
      </c>
      <c r="C3713" s="30" t="s">
        <v>28</v>
      </c>
      <c r="D3713" s="266" t="s">
        <v>3393</v>
      </c>
      <c r="E3713" s="30" t="s">
        <v>3394</v>
      </c>
      <c r="F3713" s="30">
        <v>1</v>
      </c>
      <c r="G3713" s="44">
        <v>26412</v>
      </c>
      <c r="H3713" s="30"/>
      <c r="I3713" s="44"/>
      <c r="J3713" s="44"/>
      <c r="K3713" s="44">
        <f t="shared" si="123"/>
        <v>26412</v>
      </c>
      <c r="L3713" s="51">
        <v>20251031</v>
      </c>
    </row>
    <row r="3714" spans="1:12" x14ac:dyDescent="0.25">
      <c r="A3714" s="50" t="s">
        <v>4895</v>
      </c>
      <c r="B3714" s="30" t="s">
        <v>137</v>
      </c>
      <c r="C3714" s="30" t="s">
        <v>29</v>
      </c>
      <c r="D3714" s="266" t="s">
        <v>1656</v>
      </c>
      <c r="E3714" s="30" t="s">
        <v>2324</v>
      </c>
      <c r="F3714" s="30">
        <v>1</v>
      </c>
      <c r="G3714" s="44">
        <v>26412</v>
      </c>
      <c r="H3714" s="30"/>
      <c r="I3714" s="44"/>
      <c r="J3714" s="44"/>
      <c r="K3714" s="44">
        <f t="shared" si="123"/>
        <v>26412</v>
      </c>
      <c r="L3714" s="51">
        <v>20251031</v>
      </c>
    </row>
    <row r="3715" spans="1:12" x14ac:dyDescent="0.25">
      <c r="A3715" s="50" t="s">
        <v>4894</v>
      </c>
      <c r="B3715" s="30" t="s">
        <v>137</v>
      </c>
      <c r="C3715" s="30" t="s">
        <v>29</v>
      </c>
      <c r="D3715" s="266" t="s">
        <v>1656</v>
      </c>
      <c r="E3715" s="30" t="s">
        <v>2300</v>
      </c>
      <c r="F3715" s="30">
        <v>1</v>
      </c>
      <c r="G3715" s="44">
        <v>26412</v>
      </c>
      <c r="H3715" s="30"/>
      <c r="I3715" s="44"/>
      <c r="J3715" s="44"/>
      <c r="K3715" s="44">
        <f t="shared" si="123"/>
        <v>26412</v>
      </c>
      <c r="L3715" s="51">
        <v>20251031</v>
      </c>
    </row>
    <row r="3716" spans="1:12" ht="15.75" thickBot="1" x14ac:dyDescent="0.3">
      <c r="A3716" s="54" t="s">
        <v>4893</v>
      </c>
      <c r="B3716" s="36" t="s">
        <v>137</v>
      </c>
      <c r="C3716" s="36" t="s">
        <v>29</v>
      </c>
      <c r="D3716" s="267" t="s">
        <v>1656</v>
      </c>
      <c r="E3716" s="36" t="s">
        <v>4311</v>
      </c>
      <c r="F3716" s="36">
        <v>1</v>
      </c>
      <c r="G3716" s="65">
        <v>26412</v>
      </c>
      <c r="H3716" s="36"/>
      <c r="I3716" s="65"/>
      <c r="J3716" s="65"/>
      <c r="K3716" s="65">
        <f t="shared" si="123"/>
        <v>26412</v>
      </c>
      <c r="L3716" s="55">
        <v>20251031</v>
      </c>
    </row>
    <row r="3717" spans="1:12" x14ac:dyDescent="0.25">
      <c r="D3717" s="259"/>
    </row>
    <row r="3718" spans="1:12" x14ac:dyDescent="0.25">
      <c r="D3718" s="259"/>
    </row>
    <row r="3719" spans="1:12" ht="15.75" thickBot="1" x14ac:dyDescent="0.3">
      <c r="D3719" s="259"/>
    </row>
    <row r="3720" spans="1:12" x14ac:dyDescent="0.25">
      <c r="A3720" s="48" t="s">
        <v>0</v>
      </c>
      <c r="B3720" s="34" t="s">
        <v>1</v>
      </c>
      <c r="C3720" s="34" t="s">
        <v>2</v>
      </c>
      <c r="D3720" s="269" t="s">
        <v>3</v>
      </c>
      <c r="E3720" s="34" t="s">
        <v>4</v>
      </c>
      <c r="F3720" s="270"/>
      <c r="G3720" s="34" t="s">
        <v>6</v>
      </c>
      <c r="H3720" s="64" t="s">
        <v>7</v>
      </c>
      <c r="I3720" s="64" t="s">
        <v>8</v>
      </c>
      <c r="J3720" s="64" t="s">
        <v>9</v>
      </c>
      <c r="K3720" s="34" t="s">
        <v>10</v>
      </c>
      <c r="L3720" s="271" t="s">
        <v>5</v>
      </c>
    </row>
    <row r="3721" spans="1:12" x14ac:dyDescent="0.25">
      <c r="A3721" s="50" t="s">
        <v>5095</v>
      </c>
      <c r="B3721" s="30" t="s">
        <v>11</v>
      </c>
      <c r="C3721" s="30" t="s">
        <v>29</v>
      </c>
      <c r="D3721" s="268" t="s">
        <v>3494</v>
      </c>
      <c r="E3721" s="30" t="s">
        <v>4526</v>
      </c>
      <c r="F3721" s="268">
        <v>1</v>
      </c>
      <c r="G3721" s="30" t="s">
        <v>5096</v>
      </c>
      <c r="H3721" s="44"/>
      <c r="I3721" s="44"/>
      <c r="J3721" s="44"/>
      <c r="K3721" s="30" t="s">
        <v>5096</v>
      </c>
      <c r="L3721" s="51">
        <v>20251128</v>
      </c>
    </row>
    <row r="3722" spans="1:12" x14ac:dyDescent="0.25">
      <c r="A3722" s="50" t="s">
        <v>5097</v>
      </c>
      <c r="B3722" s="30" t="s">
        <v>11</v>
      </c>
      <c r="C3722" s="30" t="s">
        <v>3085</v>
      </c>
      <c r="D3722" s="268" t="s">
        <v>5098</v>
      </c>
      <c r="E3722" s="30" t="s">
        <v>5099</v>
      </c>
      <c r="F3722" s="268">
        <v>1</v>
      </c>
      <c r="G3722" s="30" t="s">
        <v>5096</v>
      </c>
      <c r="H3722" s="44"/>
      <c r="I3722" s="44"/>
      <c r="J3722" s="44"/>
      <c r="K3722" s="30" t="s">
        <v>5096</v>
      </c>
      <c r="L3722" s="51">
        <v>20251128</v>
      </c>
    </row>
    <row r="3723" spans="1:12" x14ac:dyDescent="0.25">
      <c r="A3723" s="52" t="s">
        <v>5112</v>
      </c>
      <c r="B3723" s="32" t="s">
        <v>11</v>
      </c>
      <c r="C3723" s="32" t="s">
        <v>3085</v>
      </c>
      <c r="D3723" s="273" t="s">
        <v>5098</v>
      </c>
      <c r="E3723" s="32" t="s">
        <v>5113</v>
      </c>
      <c r="F3723" s="273">
        <v>1</v>
      </c>
      <c r="G3723" s="32" t="s">
        <v>5096</v>
      </c>
      <c r="H3723" s="45" t="s">
        <v>5114</v>
      </c>
      <c r="I3723" s="45" t="s">
        <v>5092</v>
      </c>
      <c r="J3723" s="45" t="s">
        <v>5115</v>
      </c>
      <c r="K3723" s="32" t="s">
        <v>5116</v>
      </c>
      <c r="L3723" s="53">
        <v>20251128</v>
      </c>
    </row>
    <row r="3724" spans="1:12" x14ac:dyDescent="0.25">
      <c r="A3724" s="52" t="s">
        <v>5132</v>
      </c>
      <c r="B3724" s="32" t="s">
        <v>1209</v>
      </c>
      <c r="C3724" s="32" t="s">
        <v>26</v>
      </c>
      <c r="D3724" s="273" t="s">
        <v>3037</v>
      </c>
      <c r="E3724" s="32" t="s">
        <v>3046</v>
      </c>
      <c r="F3724" s="273">
        <v>1</v>
      </c>
      <c r="G3724" s="32" t="s">
        <v>5096</v>
      </c>
      <c r="H3724" s="45" t="s">
        <v>5133</v>
      </c>
      <c r="I3724" s="45" t="s">
        <v>5092</v>
      </c>
      <c r="J3724" s="45" t="s">
        <v>5134</v>
      </c>
      <c r="K3724" s="32" t="s">
        <v>5135</v>
      </c>
      <c r="L3724" s="53">
        <v>20251128</v>
      </c>
    </row>
    <row r="3725" spans="1:12" x14ac:dyDescent="0.25">
      <c r="A3725" s="50" t="s">
        <v>5136</v>
      </c>
      <c r="B3725" s="30" t="s">
        <v>1209</v>
      </c>
      <c r="C3725" s="30" t="s">
        <v>26</v>
      </c>
      <c r="D3725" s="268" t="s">
        <v>3037</v>
      </c>
      <c r="E3725" s="30" t="s">
        <v>3038</v>
      </c>
      <c r="F3725" s="268">
        <v>1</v>
      </c>
      <c r="G3725" s="30" t="s">
        <v>5096</v>
      </c>
      <c r="H3725" s="44"/>
      <c r="I3725" s="44"/>
      <c r="J3725" s="44"/>
      <c r="K3725" s="30" t="s">
        <v>5096</v>
      </c>
      <c r="L3725" s="51">
        <v>20251128</v>
      </c>
    </row>
    <row r="3726" spans="1:12" x14ac:dyDescent="0.25">
      <c r="A3726" s="50" t="s">
        <v>5137</v>
      </c>
      <c r="B3726" s="30" t="s">
        <v>1209</v>
      </c>
      <c r="C3726" s="30" t="s">
        <v>26</v>
      </c>
      <c r="D3726" s="268" t="s">
        <v>3037</v>
      </c>
      <c r="E3726" s="30" t="s">
        <v>5138</v>
      </c>
      <c r="F3726" s="268">
        <v>1</v>
      </c>
      <c r="G3726" s="30" t="s">
        <v>5096</v>
      </c>
      <c r="H3726" s="44"/>
      <c r="I3726" s="44"/>
      <c r="J3726" s="44"/>
      <c r="K3726" s="30" t="s">
        <v>5096</v>
      </c>
      <c r="L3726" s="51">
        <v>20251128</v>
      </c>
    </row>
    <row r="3727" spans="1:12" x14ac:dyDescent="0.25">
      <c r="A3727" s="50" t="s">
        <v>5139</v>
      </c>
      <c r="B3727" s="30" t="s">
        <v>1209</v>
      </c>
      <c r="C3727" s="30" t="s">
        <v>26</v>
      </c>
      <c r="D3727" s="268" t="s">
        <v>3037</v>
      </c>
      <c r="E3727" s="30" t="s">
        <v>5140</v>
      </c>
      <c r="F3727" s="268">
        <v>1</v>
      </c>
      <c r="G3727" s="30" t="s">
        <v>5096</v>
      </c>
      <c r="H3727" s="44"/>
      <c r="I3727" s="44"/>
      <c r="J3727" s="44"/>
      <c r="K3727" s="30" t="s">
        <v>5096</v>
      </c>
      <c r="L3727" s="51">
        <v>20251128</v>
      </c>
    </row>
    <row r="3728" spans="1:12" x14ac:dyDescent="0.25">
      <c r="A3728" s="50" t="s">
        <v>5159</v>
      </c>
      <c r="B3728" s="30" t="s">
        <v>1209</v>
      </c>
      <c r="C3728" s="30" t="s">
        <v>26</v>
      </c>
      <c r="D3728" s="268" t="s">
        <v>497</v>
      </c>
      <c r="E3728" s="30" t="s">
        <v>5160</v>
      </c>
      <c r="F3728" s="268">
        <v>1</v>
      </c>
      <c r="G3728" s="30" t="s">
        <v>5096</v>
      </c>
      <c r="H3728" s="44"/>
      <c r="I3728" s="44"/>
      <c r="J3728" s="44"/>
      <c r="K3728" s="30" t="s">
        <v>5096</v>
      </c>
      <c r="L3728" s="51">
        <v>20251128</v>
      </c>
    </row>
    <row r="3729" spans="1:12" x14ac:dyDescent="0.25">
      <c r="A3729" s="50" t="s">
        <v>5161</v>
      </c>
      <c r="B3729" s="30" t="s">
        <v>1209</v>
      </c>
      <c r="C3729" s="30" t="s">
        <v>26</v>
      </c>
      <c r="D3729" s="268" t="s">
        <v>497</v>
      </c>
      <c r="E3729" s="30" t="s">
        <v>5162</v>
      </c>
      <c r="F3729" s="268">
        <v>1</v>
      </c>
      <c r="G3729" s="30" t="s">
        <v>5096</v>
      </c>
      <c r="H3729" s="44"/>
      <c r="I3729" s="44"/>
      <c r="J3729" s="44"/>
      <c r="K3729" s="30" t="s">
        <v>5096</v>
      </c>
      <c r="L3729" s="51">
        <v>20251128</v>
      </c>
    </row>
    <row r="3730" spans="1:12" x14ac:dyDescent="0.25">
      <c r="A3730" s="52" t="s">
        <v>5163</v>
      </c>
      <c r="B3730" s="32" t="s">
        <v>1209</v>
      </c>
      <c r="C3730" s="32" t="s">
        <v>26</v>
      </c>
      <c r="D3730" s="273" t="s">
        <v>497</v>
      </c>
      <c r="E3730" s="32" t="s">
        <v>5164</v>
      </c>
      <c r="F3730" s="273">
        <v>1</v>
      </c>
      <c r="G3730" s="32" t="s">
        <v>5096</v>
      </c>
      <c r="H3730" s="45" t="s">
        <v>5165</v>
      </c>
      <c r="I3730" s="45" t="s">
        <v>5092</v>
      </c>
      <c r="J3730" s="45" t="s">
        <v>5166</v>
      </c>
      <c r="K3730" s="32" t="s">
        <v>5167</v>
      </c>
      <c r="L3730" s="53">
        <v>20251128</v>
      </c>
    </row>
    <row r="3731" spans="1:12" x14ac:dyDescent="0.25">
      <c r="A3731" s="50" t="s">
        <v>5100</v>
      </c>
      <c r="B3731" s="30" t="s">
        <v>11</v>
      </c>
      <c r="C3731" s="30" t="s">
        <v>29</v>
      </c>
      <c r="D3731" s="268" t="s">
        <v>1385</v>
      </c>
      <c r="E3731" s="30" t="s">
        <v>3335</v>
      </c>
      <c r="F3731" s="268">
        <v>1</v>
      </c>
      <c r="G3731" s="30" t="s">
        <v>5096</v>
      </c>
      <c r="H3731" s="44"/>
      <c r="I3731" s="44"/>
      <c r="J3731" s="44"/>
      <c r="K3731" s="30" t="s">
        <v>5096</v>
      </c>
      <c r="L3731" s="51">
        <v>20251127</v>
      </c>
    </row>
    <row r="3732" spans="1:12" x14ac:dyDescent="0.25">
      <c r="A3732" s="50" t="s">
        <v>5117</v>
      </c>
      <c r="B3732" s="30" t="s">
        <v>1209</v>
      </c>
      <c r="C3732" s="30" t="s">
        <v>251</v>
      </c>
      <c r="D3732" s="268" t="s">
        <v>1202</v>
      </c>
      <c r="E3732" s="30" t="s">
        <v>1203</v>
      </c>
      <c r="F3732" s="268">
        <v>1</v>
      </c>
      <c r="G3732" s="30" t="s">
        <v>5096</v>
      </c>
      <c r="H3732" s="44"/>
      <c r="I3732" s="44"/>
      <c r="J3732" s="44"/>
      <c r="K3732" s="30" t="s">
        <v>5096</v>
      </c>
      <c r="L3732" s="51">
        <v>20251127</v>
      </c>
    </row>
    <row r="3733" spans="1:12" x14ac:dyDescent="0.25">
      <c r="A3733" s="50" t="s">
        <v>5101</v>
      </c>
      <c r="B3733" s="30" t="s">
        <v>11</v>
      </c>
      <c r="C3733" s="30" t="s">
        <v>28</v>
      </c>
      <c r="D3733" s="268" t="s">
        <v>759</v>
      </c>
      <c r="E3733" s="30" t="s">
        <v>1106</v>
      </c>
      <c r="F3733" s="268">
        <v>1</v>
      </c>
      <c r="G3733" s="30" t="s">
        <v>5096</v>
      </c>
      <c r="H3733" s="44"/>
      <c r="I3733" s="44"/>
      <c r="J3733" s="44"/>
      <c r="K3733" s="30" t="s">
        <v>5096</v>
      </c>
      <c r="L3733" s="51">
        <v>20251126</v>
      </c>
    </row>
    <row r="3734" spans="1:12" x14ac:dyDescent="0.25">
      <c r="A3734" s="50" t="s">
        <v>5144</v>
      </c>
      <c r="B3734" s="30" t="s">
        <v>1209</v>
      </c>
      <c r="C3734" s="30" t="s">
        <v>26</v>
      </c>
      <c r="D3734" s="268" t="s">
        <v>582</v>
      </c>
      <c r="E3734" s="30" t="s">
        <v>5145</v>
      </c>
      <c r="F3734" s="268">
        <v>1</v>
      </c>
      <c r="G3734" s="30" t="s">
        <v>5096</v>
      </c>
      <c r="H3734" s="44"/>
      <c r="I3734" s="44"/>
      <c r="J3734" s="44"/>
      <c r="K3734" s="30" t="s">
        <v>5096</v>
      </c>
      <c r="L3734" s="51">
        <v>20251125</v>
      </c>
    </row>
    <row r="3735" spans="1:12" x14ac:dyDescent="0.25">
      <c r="A3735" s="50" t="s">
        <v>5146</v>
      </c>
      <c r="B3735" s="30" t="s">
        <v>1209</v>
      </c>
      <c r="C3735" s="30" t="s">
        <v>26</v>
      </c>
      <c r="D3735" s="268" t="s">
        <v>582</v>
      </c>
      <c r="E3735" s="30" t="s">
        <v>5147</v>
      </c>
      <c r="F3735" s="268">
        <v>1</v>
      </c>
      <c r="G3735" s="30" t="s">
        <v>5096</v>
      </c>
      <c r="H3735" s="44"/>
      <c r="I3735" s="44"/>
      <c r="J3735" s="44"/>
      <c r="K3735" s="30" t="s">
        <v>5096</v>
      </c>
      <c r="L3735" s="51">
        <v>20251125</v>
      </c>
    </row>
    <row r="3736" spans="1:12" x14ac:dyDescent="0.25">
      <c r="A3736" s="50" t="s">
        <v>5148</v>
      </c>
      <c r="B3736" s="30" t="s">
        <v>1209</v>
      </c>
      <c r="C3736" s="30" t="s">
        <v>26</v>
      </c>
      <c r="D3736" s="268" t="s">
        <v>582</v>
      </c>
      <c r="E3736" s="30" t="s">
        <v>5149</v>
      </c>
      <c r="F3736" s="268">
        <v>1</v>
      </c>
      <c r="G3736" s="30" t="s">
        <v>5096</v>
      </c>
      <c r="H3736" s="44"/>
      <c r="I3736" s="44"/>
      <c r="J3736" s="44"/>
      <c r="K3736" s="30" t="s">
        <v>5096</v>
      </c>
      <c r="L3736" s="51">
        <v>20251125</v>
      </c>
    </row>
    <row r="3737" spans="1:12" x14ac:dyDescent="0.25">
      <c r="A3737" s="50" t="s">
        <v>5142</v>
      </c>
      <c r="B3737" s="30" t="s">
        <v>11</v>
      </c>
      <c r="C3737" s="30" t="s">
        <v>5119</v>
      </c>
      <c r="D3737" s="268" t="s">
        <v>5120</v>
      </c>
      <c r="E3737" s="30" t="s">
        <v>5143</v>
      </c>
      <c r="F3737" s="268">
        <v>1</v>
      </c>
      <c r="G3737" s="30" t="s">
        <v>5096</v>
      </c>
      <c r="H3737" s="44"/>
      <c r="I3737" s="44"/>
      <c r="J3737" s="44"/>
      <c r="K3737" s="30" t="s">
        <v>5096</v>
      </c>
      <c r="L3737" s="51">
        <v>20251118</v>
      </c>
    </row>
    <row r="3738" spans="1:12" x14ac:dyDescent="0.25">
      <c r="A3738" s="52" t="s">
        <v>5168</v>
      </c>
      <c r="B3738" s="32" t="s">
        <v>11</v>
      </c>
      <c r="C3738" s="32" t="s">
        <v>5119</v>
      </c>
      <c r="D3738" s="273" t="s">
        <v>5120</v>
      </c>
      <c r="E3738" s="32" t="s">
        <v>5169</v>
      </c>
      <c r="F3738" s="273">
        <v>1</v>
      </c>
      <c r="G3738" s="32" t="s">
        <v>5096</v>
      </c>
      <c r="H3738" s="45">
        <v>88</v>
      </c>
      <c r="I3738" s="45" t="s">
        <v>5092</v>
      </c>
      <c r="J3738" s="45" t="s">
        <v>5170</v>
      </c>
      <c r="K3738" s="32" t="s">
        <v>5171</v>
      </c>
      <c r="L3738" s="53">
        <v>20251118</v>
      </c>
    </row>
    <row r="3739" spans="1:12" x14ac:dyDescent="0.25">
      <c r="A3739" s="50" t="s">
        <v>5151</v>
      </c>
      <c r="B3739" s="30" t="s">
        <v>1209</v>
      </c>
      <c r="C3739" s="30" t="s">
        <v>26</v>
      </c>
      <c r="D3739" s="268" t="s">
        <v>556</v>
      </c>
      <c r="E3739" s="30" t="s">
        <v>5152</v>
      </c>
      <c r="F3739" s="268">
        <v>1</v>
      </c>
      <c r="G3739" s="30" t="s">
        <v>5096</v>
      </c>
      <c r="H3739" s="44"/>
      <c r="I3739" s="44"/>
      <c r="J3739" s="44"/>
      <c r="K3739" s="30" t="s">
        <v>5096</v>
      </c>
      <c r="L3739" s="51">
        <v>20251118</v>
      </c>
    </row>
    <row r="3740" spans="1:12" x14ac:dyDescent="0.25">
      <c r="A3740" s="50" t="s">
        <v>5153</v>
      </c>
      <c r="B3740" s="30" t="s">
        <v>1209</v>
      </c>
      <c r="C3740" s="30" t="s">
        <v>26</v>
      </c>
      <c r="D3740" s="268" t="s">
        <v>556</v>
      </c>
      <c r="E3740" s="30" t="s">
        <v>5154</v>
      </c>
      <c r="F3740" s="268">
        <v>1</v>
      </c>
      <c r="G3740" s="30" t="s">
        <v>5096</v>
      </c>
      <c r="H3740" s="44"/>
      <c r="I3740" s="44"/>
      <c r="J3740" s="44"/>
      <c r="K3740" s="30" t="s">
        <v>5096</v>
      </c>
      <c r="L3740" s="51">
        <v>20251118</v>
      </c>
    </row>
    <row r="3741" spans="1:12" x14ac:dyDescent="0.25">
      <c r="A3741" s="50" t="s">
        <v>5155</v>
      </c>
      <c r="B3741" s="30" t="s">
        <v>1209</v>
      </c>
      <c r="C3741" s="30" t="s">
        <v>26</v>
      </c>
      <c r="D3741" s="268" t="s">
        <v>556</v>
      </c>
      <c r="E3741" s="30" t="s">
        <v>5156</v>
      </c>
      <c r="F3741" s="268">
        <v>1</v>
      </c>
      <c r="G3741" s="30" t="s">
        <v>5096</v>
      </c>
      <c r="H3741" s="44"/>
      <c r="I3741" s="44"/>
      <c r="J3741" s="44"/>
      <c r="K3741" s="30" t="s">
        <v>5096</v>
      </c>
      <c r="L3741" s="51">
        <v>20251118</v>
      </c>
    </row>
    <row r="3742" spans="1:12" x14ac:dyDescent="0.25">
      <c r="A3742" s="50" t="s">
        <v>5141</v>
      </c>
      <c r="B3742" s="30" t="s">
        <v>11</v>
      </c>
      <c r="C3742" s="30" t="s">
        <v>134</v>
      </c>
      <c r="D3742" s="268" t="s">
        <v>135</v>
      </c>
      <c r="E3742" s="30" t="s">
        <v>3513</v>
      </c>
      <c r="F3742" s="268">
        <v>1</v>
      </c>
      <c r="G3742" s="30" t="s">
        <v>5096</v>
      </c>
      <c r="H3742" s="44"/>
      <c r="I3742" s="44"/>
      <c r="J3742" s="44"/>
      <c r="K3742" s="30" t="s">
        <v>5096</v>
      </c>
      <c r="L3742" s="51">
        <v>20251117</v>
      </c>
    </row>
    <row r="3743" spans="1:12" x14ac:dyDescent="0.25">
      <c r="A3743" s="50" t="s">
        <v>5150</v>
      </c>
      <c r="B3743" s="30" t="s">
        <v>11</v>
      </c>
      <c r="C3743" s="30" t="s">
        <v>29</v>
      </c>
      <c r="D3743" s="268" t="s">
        <v>4900</v>
      </c>
      <c r="E3743" s="30" t="s">
        <v>4948</v>
      </c>
      <c r="F3743" s="268">
        <v>1</v>
      </c>
      <c r="G3743" s="30" t="s">
        <v>5096</v>
      </c>
      <c r="H3743" s="44"/>
      <c r="I3743" s="44"/>
      <c r="J3743" s="44"/>
      <c r="K3743" s="30" t="s">
        <v>5096</v>
      </c>
      <c r="L3743" s="51">
        <v>20251114</v>
      </c>
    </row>
    <row r="3744" spans="1:12" x14ac:dyDescent="0.25">
      <c r="A3744" s="52" t="s">
        <v>5203</v>
      </c>
      <c r="B3744" s="32" t="s">
        <v>11</v>
      </c>
      <c r="C3744" s="32" t="s">
        <v>1006</v>
      </c>
      <c r="D3744" s="273" t="s">
        <v>1007</v>
      </c>
      <c r="E3744" s="32" t="s">
        <v>1008</v>
      </c>
      <c r="F3744" s="273">
        <v>1</v>
      </c>
      <c r="G3744" s="32" t="s">
        <v>5096</v>
      </c>
      <c r="H3744" s="45" t="s">
        <v>5204</v>
      </c>
      <c r="I3744" s="45" t="s">
        <v>5092</v>
      </c>
      <c r="J3744" s="45" t="s">
        <v>5205</v>
      </c>
      <c r="K3744" s="32" t="s">
        <v>5206</v>
      </c>
      <c r="L3744" s="53">
        <v>20251113</v>
      </c>
    </row>
    <row r="3745" spans="1:12" x14ac:dyDescent="0.25">
      <c r="A3745" s="50" t="s">
        <v>5157</v>
      </c>
      <c r="B3745" s="30" t="s">
        <v>1209</v>
      </c>
      <c r="C3745" s="30" t="s">
        <v>1006</v>
      </c>
      <c r="D3745" s="268" t="s">
        <v>4911</v>
      </c>
      <c r="E3745" s="30" t="s">
        <v>5158</v>
      </c>
      <c r="F3745" s="268">
        <v>1</v>
      </c>
      <c r="G3745" s="30" t="s">
        <v>5096</v>
      </c>
      <c r="H3745" s="44"/>
      <c r="I3745" s="44"/>
      <c r="J3745" s="44"/>
      <c r="K3745" s="30" t="s">
        <v>5096</v>
      </c>
      <c r="L3745" s="51">
        <v>20251113</v>
      </c>
    </row>
    <row r="3746" spans="1:12" x14ac:dyDescent="0.25">
      <c r="A3746" s="50" t="s">
        <v>5189</v>
      </c>
      <c r="B3746" s="30" t="s">
        <v>1209</v>
      </c>
      <c r="C3746" s="30" t="s">
        <v>505</v>
      </c>
      <c r="D3746" s="268" t="s">
        <v>24</v>
      </c>
      <c r="E3746" s="30" t="s">
        <v>506</v>
      </c>
      <c r="F3746" s="268">
        <v>1</v>
      </c>
      <c r="G3746" s="30" t="s">
        <v>5096</v>
      </c>
      <c r="H3746" s="44"/>
      <c r="I3746" s="44"/>
      <c r="J3746" s="44"/>
      <c r="K3746" s="30" t="s">
        <v>5096</v>
      </c>
      <c r="L3746" s="51">
        <v>20251112</v>
      </c>
    </row>
    <row r="3747" spans="1:12" x14ac:dyDescent="0.25">
      <c r="A3747" s="50" t="s">
        <v>5180</v>
      </c>
      <c r="B3747" s="30" t="s">
        <v>1209</v>
      </c>
      <c r="C3747" s="30" t="s">
        <v>26</v>
      </c>
      <c r="D3747" s="268" t="s">
        <v>224</v>
      </c>
      <c r="E3747" s="30" t="s">
        <v>5181</v>
      </c>
      <c r="F3747" s="268">
        <v>1</v>
      </c>
      <c r="G3747" s="30" t="s">
        <v>5096</v>
      </c>
      <c r="H3747" s="44"/>
      <c r="I3747" s="44"/>
      <c r="J3747" s="44"/>
      <c r="K3747" s="30" t="s">
        <v>5096</v>
      </c>
      <c r="L3747" s="51">
        <v>20251111</v>
      </c>
    </row>
    <row r="3748" spans="1:12" x14ac:dyDescent="0.25">
      <c r="A3748" s="50" t="s">
        <v>5182</v>
      </c>
      <c r="B3748" s="30" t="s">
        <v>1209</v>
      </c>
      <c r="C3748" s="30" t="s">
        <v>26</v>
      </c>
      <c r="D3748" s="268" t="s">
        <v>224</v>
      </c>
      <c r="E3748" s="30" t="s">
        <v>5183</v>
      </c>
      <c r="F3748" s="268">
        <v>1</v>
      </c>
      <c r="G3748" s="30" t="s">
        <v>5096</v>
      </c>
      <c r="H3748" s="44"/>
      <c r="I3748" s="44"/>
      <c r="J3748" s="44"/>
      <c r="K3748" s="30" t="s">
        <v>5096</v>
      </c>
      <c r="L3748" s="51">
        <v>20251111</v>
      </c>
    </row>
    <row r="3749" spans="1:12" x14ac:dyDescent="0.25">
      <c r="A3749" s="52" t="s">
        <v>5184</v>
      </c>
      <c r="B3749" s="32" t="s">
        <v>1209</v>
      </c>
      <c r="C3749" s="32" t="s">
        <v>26</v>
      </c>
      <c r="D3749" s="273" t="s">
        <v>224</v>
      </c>
      <c r="E3749" s="32" t="s">
        <v>5185</v>
      </c>
      <c r="F3749" s="273">
        <v>1</v>
      </c>
      <c r="G3749" s="32" t="s">
        <v>5096</v>
      </c>
      <c r="H3749" s="45" t="s">
        <v>5186</v>
      </c>
      <c r="I3749" s="45" t="s">
        <v>5092</v>
      </c>
      <c r="J3749" s="45" t="s">
        <v>5187</v>
      </c>
      <c r="K3749" s="32" t="s">
        <v>5188</v>
      </c>
      <c r="L3749" s="53">
        <v>20251111</v>
      </c>
    </row>
    <row r="3750" spans="1:12" x14ac:dyDescent="0.25">
      <c r="A3750" s="50" t="s">
        <v>5190</v>
      </c>
      <c r="B3750" s="30" t="s">
        <v>11</v>
      </c>
      <c r="C3750" s="30" t="s">
        <v>337</v>
      </c>
      <c r="D3750" s="268" t="s">
        <v>162</v>
      </c>
      <c r="E3750" s="30" t="s">
        <v>239</v>
      </c>
      <c r="F3750" s="268">
        <v>1</v>
      </c>
      <c r="G3750" s="30" t="s">
        <v>5096</v>
      </c>
      <c r="H3750" s="44"/>
      <c r="I3750" s="44"/>
      <c r="J3750" s="44"/>
      <c r="K3750" s="30" t="s">
        <v>5096</v>
      </c>
      <c r="L3750" s="51">
        <v>20251110</v>
      </c>
    </row>
    <row r="3751" spans="1:12" x14ac:dyDescent="0.25">
      <c r="A3751" s="52" t="s">
        <v>5192</v>
      </c>
      <c r="B3751" s="32" t="s">
        <v>11</v>
      </c>
      <c r="C3751" s="32" t="s">
        <v>28</v>
      </c>
      <c r="D3751" s="273" t="s">
        <v>5193</v>
      </c>
      <c r="E3751" s="32" t="s">
        <v>5194</v>
      </c>
      <c r="F3751" s="273">
        <v>1</v>
      </c>
      <c r="G3751" s="32" t="s">
        <v>5096</v>
      </c>
      <c r="H3751" s="45" t="s">
        <v>5195</v>
      </c>
      <c r="I3751" s="45" t="s">
        <v>5092</v>
      </c>
      <c r="J3751" s="45" t="s">
        <v>5196</v>
      </c>
      <c r="K3751" s="32" t="s">
        <v>5197</v>
      </c>
      <c r="L3751" s="53">
        <v>20251110</v>
      </c>
    </row>
    <row r="3752" spans="1:12" x14ac:dyDescent="0.25">
      <c r="A3752" s="50" t="s">
        <v>5207</v>
      </c>
      <c r="B3752" s="30" t="s">
        <v>11</v>
      </c>
      <c r="C3752" s="30" t="s">
        <v>1021</v>
      </c>
      <c r="D3752" s="268" t="s">
        <v>95</v>
      </c>
      <c r="E3752" s="30" t="s">
        <v>1022</v>
      </c>
      <c r="F3752" s="268">
        <v>1</v>
      </c>
      <c r="G3752" s="30" t="s">
        <v>5096</v>
      </c>
      <c r="H3752" s="44"/>
      <c r="I3752" s="44"/>
      <c r="J3752" s="44"/>
      <c r="K3752" s="30" t="s">
        <v>5096</v>
      </c>
      <c r="L3752" s="51">
        <v>20251110</v>
      </c>
    </row>
    <row r="3753" spans="1:12" x14ac:dyDescent="0.25">
      <c r="A3753" s="52" t="s">
        <v>5225</v>
      </c>
      <c r="B3753" s="32" t="s">
        <v>11</v>
      </c>
      <c r="C3753" s="32" t="s">
        <v>337</v>
      </c>
      <c r="D3753" s="273" t="s">
        <v>162</v>
      </c>
      <c r="E3753" s="32" t="s">
        <v>3741</v>
      </c>
      <c r="F3753" s="273">
        <v>1</v>
      </c>
      <c r="G3753" s="32" t="s">
        <v>5096</v>
      </c>
      <c r="H3753" s="45" t="s">
        <v>5226</v>
      </c>
      <c r="I3753" s="45" t="s">
        <v>5092</v>
      </c>
      <c r="J3753" s="45" t="s">
        <v>5227</v>
      </c>
      <c r="K3753" s="32" t="s">
        <v>5228</v>
      </c>
      <c r="L3753" s="53">
        <v>20251110</v>
      </c>
    </row>
    <row r="3754" spans="1:12" x14ac:dyDescent="0.25">
      <c r="A3754" s="50" t="s">
        <v>5191</v>
      </c>
      <c r="B3754" s="30" t="s">
        <v>11</v>
      </c>
      <c r="C3754" s="30" t="s">
        <v>251</v>
      </c>
      <c r="D3754" s="268" t="s">
        <v>1202</v>
      </c>
      <c r="E3754" s="30" t="s">
        <v>1203</v>
      </c>
      <c r="F3754" s="268">
        <v>1</v>
      </c>
      <c r="G3754" s="30" t="s">
        <v>5096</v>
      </c>
      <c r="H3754" s="44"/>
      <c r="I3754" s="44"/>
      <c r="J3754" s="44"/>
      <c r="K3754" s="30" t="s">
        <v>5096</v>
      </c>
      <c r="L3754" s="51">
        <v>20251107</v>
      </c>
    </row>
    <row r="3755" spans="1:12" x14ac:dyDescent="0.25">
      <c r="A3755" s="50" t="s">
        <v>5224</v>
      </c>
      <c r="B3755" s="30" t="s">
        <v>11</v>
      </c>
      <c r="C3755" s="30" t="s">
        <v>337</v>
      </c>
      <c r="D3755" s="268" t="s">
        <v>35</v>
      </c>
      <c r="E3755" s="30" t="s">
        <v>4866</v>
      </c>
      <c r="F3755" s="268">
        <v>1</v>
      </c>
      <c r="G3755" s="30" t="s">
        <v>5096</v>
      </c>
      <c r="H3755" s="44"/>
      <c r="I3755" s="44"/>
      <c r="J3755" s="44"/>
      <c r="K3755" s="30" t="s">
        <v>5096</v>
      </c>
      <c r="L3755" s="51">
        <v>20251107</v>
      </c>
    </row>
    <row r="3756" spans="1:12" x14ac:dyDescent="0.25">
      <c r="A3756" s="50" t="s">
        <v>5208</v>
      </c>
      <c r="B3756" s="30" t="s">
        <v>1209</v>
      </c>
      <c r="C3756" s="30" t="s">
        <v>4748</v>
      </c>
      <c r="D3756" s="268" t="s">
        <v>5209</v>
      </c>
      <c r="E3756" s="30" t="s">
        <v>5210</v>
      </c>
      <c r="F3756" s="268">
        <v>1</v>
      </c>
      <c r="G3756" s="30" t="s">
        <v>5096</v>
      </c>
      <c r="H3756" s="44"/>
      <c r="I3756" s="44"/>
      <c r="J3756" s="44"/>
      <c r="K3756" s="30" t="s">
        <v>5096</v>
      </c>
      <c r="L3756" s="51">
        <v>20251107</v>
      </c>
    </row>
    <row r="3757" spans="1:12" x14ac:dyDescent="0.25">
      <c r="A3757" s="52" t="s">
        <v>5211</v>
      </c>
      <c r="B3757" s="32" t="s">
        <v>1209</v>
      </c>
      <c r="C3757" s="32" t="s">
        <v>4748</v>
      </c>
      <c r="D3757" s="273" t="s">
        <v>5212</v>
      </c>
      <c r="E3757" s="32" t="s">
        <v>5213</v>
      </c>
      <c r="F3757" s="273">
        <v>1</v>
      </c>
      <c r="G3757" s="32" t="s">
        <v>5096</v>
      </c>
      <c r="H3757" s="45">
        <v>206</v>
      </c>
      <c r="I3757" s="45" t="s">
        <v>5092</v>
      </c>
      <c r="J3757" s="45" t="s">
        <v>5214</v>
      </c>
      <c r="K3757" s="32" t="s">
        <v>5215</v>
      </c>
      <c r="L3757" s="53">
        <v>20251107</v>
      </c>
    </row>
    <row r="3758" spans="1:12" x14ac:dyDescent="0.25">
      <c r="A3758" s="50" t="s">
        <v>5229</v>
      </c>
      <c r="B3758" s="30" t="s">
        <v>11</v>
      </c>
      <c r="C3758" s="30" t="s">
        <v>1006</v>
      </c>
      <c r="D3758" s="268" t="s">
        <v>4911</v>
      </c>
      <c r="E3758" s="30" t="s">
        <v>5230</v>
      </c>
      <c r="F3758" s="268">
        <v>1</v>
      </c>
      <c r="G3758" s="30" t="s">
        <v>5096</v>
      </c>
      <c r="H3758" s="44"/>
      <c r="I3758" s="44"/>
      <c r="J3758" s="44"/>
      <c r="K3758" s="30" t="s">
        <v>5096</v>
      </c>
      <c r="L3758" s="51">
        <v>20251106</v>
      </c>
    </row>
    <row r="3759" spans="1:12" x14ac:dyDescent="0.25">
      <c r="A3759" s="50" t="s">
        <v>5216</v>
      </c>
      <c r="B3759" s="30" t="s">
        <v>11</v>
      </c>
      <c r="C3759" s="30" t="s">
        <v>3137</v>
      </c>
      <c r="D3759" s="268" t="s">
        <v>24</v>
      </c>
      <c r="E3759" s="30" t="s">
        <v>5217</v>
      </c>
      <c r="F3759" s="268">
        <v>1</v>
      </c>
      <c r="G3759" s="30" t="s">
        <v>5096</v>
      </c>
      <c r="H3759" s="44"/>
      <c r="I3759" s="44"/>
      <c r="J3759" s="44"/>
      <c r="K3759" s="30" t="s">
        <v>5096</v>
      </c>
      <c r="L3759" s="51">
        <v>20251105</v>
      </c>
    </row>
    <row r="3760" spans="1:12" x14ac:dyDescent="0.25">
      <c r="A3760" s="52" t="s">
        <v>5198</v>
      </c>
      <c r="B3760" s="32" t="s">
        <v>11</v>
      </c>
      <c r="C3760" s="32" t="s">
        <v>28</v>
      </c>
      <c r="D3760" s="273" t="s">
        <v>1300</v>
      </c>
      <c r="E3760" s="32" t="s">
        <v>1301</v>
      </c>
      <c r="F3760" s="273">
        <v>1</v>
      </c>
      <c r="G3760" s="32" t="s">
        <v>5096</v>
      </c>
      <c r="H3760" s="45" t="s">
        <v>5199</v>
      </c>
      <c r="I3760" s="45" t="s">
        <v>5092</v>
      </c>
      <c r="J3760" s="45" t="s">
        <v>5200</v>
      </c>
      <c r="K3760" s="32" t="s">
        <v>5201</v>
      </c>
      <c r="L3760" s="53">
        <v>20251104</v>
      </c>
    </row>
    <row r="3761" spans="1:12" x14ac:dyDescent="0.25">
      <c r="A3761" s="50" t="s">
        <v>5202</v>
      </c>
      <c r="B3761" s="30" t="s">
        <v>11</v>
      </c>
      <c r="C3761" s="30" t="s">
        <v>26</v>
      </c>
      <c r="D3761" s="268" t="s">
        <v>556</v>
      </c>
      <c r="E3761" s="30" t="s">
        <v>563</v>
      </c>
      <c r="F3761" s="268">
        <v>1</v>
      </c>
      <c r="G3761" s="30" t="s">
        <v>5096</v>
      </c>
      <c r="H3761" s="44"/>
      <c r="I3761" s="44"/>
      <c r="J3761" s="44"/>
      <c r="K3761" s="30" t="s">
        <v>5096</v>
      </c>
      <c r="L3761" s="51">
        <v>20251103</v>
      </c>
    </row>
    <row r="3762" spans="1:12" x14ac:dyDescent="0.25">
      <c r="A3762" s="50" t="s">
        <v>5218</v>
      </c>
      <c r="B3762" s="30" t="s">
        <v>1209</v>
      </c>
      <c r="C3762" s="30" t="s">
        <v>26</v>
      </c>
      <c r="D3762" s="268" t="s">
        <v>307</v>
      </c>
      <c r="E3762" s="30" t="s">
        <v>5219</v>
      </c>
      <c r="F3762" s="268">
        <v>1</v>
      </c>
      <c r="G3762" s="30" t="s">
        <v>5096</v>
      </c>
      <c r="H3762" s="44"/>
      <c r="I3762" s="44"/>
      <c r="J3762" s="44"/>
      <c r="K3762" s="30" t="s">
        <v>5096</v>
      </c>
      <c r="L3762" s="51">
        <v>20251103</v>
      </c>
    </row>
    <row r="3763" spans="1:12" x14ac:dyDescent="0.25">
      <c r="A3763" s="50" t="s">
        <v>5220</v>
      </c>
      <c r="B3763" s="30" t="s">
        <v>1209</v>
      </c>
      <c r="C3763" s="30" t="s">
        <v>26</v>
      </c>
      <c r="D3763" s="268" t="s">
        <v>307</v>
      </c>
      <c r="E3763" s="30" t="s">
        <v>5221</v>
      </c>
      <c r="F3763" s="268">
        <v>1</v>
      </c>
      <c r="G3763" s="30" t="s">
        <v>5096</v>
      </c>
      <c r="H3763" s="44"/>
      <c r="I3763" s="44"/>
      <c r="J3763" s="44"/>
      <c r="K3763" s="30" t="s">
        <v>5096</v>
      </c>
      <c r="L3763" s="51">
        <v>20251103</v>
      </c>
    </row>
    <row r="3764" spans="1:12" ht="15.75" thickBot="1" x14ac:dyDescent="0.3">
      <c r="A3764" s="54" t="s">
        <v>5222</v>
      </c>
      <c r="B3764" s="36" t="s">
        <v>1209</v>
      </c>
      <c r="C3764" s="36" t="s">
        <v>26</v>
      </c>
      <c r="D3764" s="272" t="s">
        <v>307</v>
      </c>
      <c r="E3764" s="36" t="s">
        <v>5223</v>
      </c>
      <c r="F3764" s="272">
        <v>1</v>
      </c>
      <c r="G3764" s="36" t="s">
        <v>5096</v>
      </c>
      <c r="H3764" s="65"/>
      <c r="I3764" s="65"/>
      <c r="J3764" s="65"/>
      <c r="K3764" s="36" t="s">
        <v>5096</v>
      </c>
      <c r="L3764" s="55">
        <v>20251103</v>
      </c>
    </row>
    <row r="3765" spans="1:12" ht="15.75" thickBot="1" x14ac:dyDescent="0.3">
      <c r="A3765" s="69"/>
      <c r="B3765" s="70"/>
      <c r="C3765" s="70"/>
      <c r="D3765"/>
      <c r="E3765" s="70"/>
      <c r="G3765" s="70"/>
      <c r="H3765" s="71"/>
      <c r="I3765" s="71"/>
      <c r="J3765" s="71"/>
      <c r="K3765" s="72"/>
      <c r="L3765" s="72"/>
    </row>
    <row r="3766" spans="1:12" x14ac:dyDescent="0.25">
      <c r="A3766" s="48" t="s">
        <v>5090</v>
      </c>
      <c r="B3766" s="34" t="s">
        <v>137</v>
      </c>
      <c r="C3766" s="34" t="s">
        <v>29</v>
      </c>
      <c r="D3766" s="270" t="s">
        <v>1656</v>
      </c>
      <c r="E3766" s="34" t="s">
        <v>4311</v>
      </c>
      <c r="F3766" s="270">
        <v>1</v>
      </c>
      <c r="G3766" s="34" t="s">
        <v>5091</v>
      </c>
      <c r="H3766" s="64"/>
      <c r="I3766" s="64"/>
      <c r="J3766" s="64"/>
      <c r="K3766" s="34" t="s">
        <v>5091</v>
      </c>
      <c r="L3766" s="49">
        <v>20251128</v>
      </c>
    </row>
    <row r="3767" spans="1:12" x14ac:dyDescent="0.25">
      <c r="A3767" s="50" t="s">
        <v>5093</v>
      </c>
      <c r="B3767" s="30" t="s">
        <v>137</v>
      </c>
      <c r="C3767" s="30" t="s">
        <v>29</v>
      </c>
      <c r="D3767" s="268" t="s">
        <v>1656</v>
      </c>
      <c r="E3767" s="30" t="s">
        <v>2300</v>
      </c>
      <c r="F3767" s="268">
        <v>1</v>
      </c>
      <c r="G3767" s="30" t="s">
        <v>5091</v>
      </c>
      <c r="H3767" s="44"/>
      <c r="I3767" s="44"/>
      <c r="J3767" s="44"/>
      <c r="K3767" s="30" t="s">
        <v>5091</v>
      </c>
      <c r="L3767" s="51">
        <v>20251128</v>
      </c>
    </row>
    <row r="3768" spans="1:12" x14ac:dyDescent="0.25">
      <c r="A3768" s="50" t="s">
        <v>5094</v>
      </c>
      <c r="B3768" s="30" t="s">
        <v>137</v>
      </c>
      <c r="C3768" s="30" t="s">
        <v>29</v>
      </c>
      <c r="D3768" s="268" t="s">
        <v>1656</v>
      </c>
      <c r="E3768" s="30" t="s">
        <v>2324</v>
      </c>
      <c r="F3768" s="268">
        <v>1</v>
      </c>
      <c r="G3768" s="30" t="s">
        <v>5091</v>
      </c>
      <c r="H3768" s="44"/>
      <c r="I3768" s="44"/>
      <c r="J3768" s="44"/>
      <c r="K3768" s="30" t="s">
        <v>5091</v>
      </c>
      <c r="L3768" s="51">
        <v>20251128</v>
      </c>
    </row>
    <row r="3769" spans="1:12" x14ac:dyDescent="0.25">
      <c r="A3769" s="50" t="s">
        <v>5173</v>
      </c>
      <c r="B3769" s="30" t="s">
        <v>137</v>
      </c>
      <c r="C3769" s="30" t="s">
        <v>505</v>
      </c>
      <c r="D3769" s="268" t="s">
        <v>95</v>
      </c>
      <c r="E3769" s="30" t="s">
        <v>3860</v>
      </c>
      <c r="F3769" s="268">
        <v>1</v>
      </c>
      <c r="G3769" s="30" t="s">
        <v>5091</v>
      </c>
      <c r="H3769" s="44"/>
      <c r="I3769" s="44"/>
      <c r="J3769" s="44"/>
      <c r="K3769" s="30" t="s">
        <v>5091</v>
      </c>
      <c r="L3769" s="51">
        <v>20251128</v>
      </c>
    </row>
    <row r="3770" spans="1:12" x14ac:dyDescent="0.25">
      <c r="A3770" s="50" t="s">
        <v>5177</v>
      </c>
      <c r="B3770" s="30" t="s">
        <v>137</v>
      </c>
      <c r="C3770" s="30" t="s">
        <v>505</v>
      </c>
      <c r="D3770" s="268" t="s">
        <v>95</v>
      </c>
      <c r="E3770" s="30" t="s">
        <v>3397</v>
      </c>
      <c r="F3770" s="268">
        <v>1</v>
      </c>
      <c r="G3770" s="30" t="s">
        <v>5091</v>
      </c>
      <c r="H3770" s="44"/>
      <c r="I3770" s="44"/>
      <c r="J3770" s="44"/>
      <c r="K3770" s="30" t="s">
        <v>5091</v>
      </c>
      <c r="L3770" s="51">
        <v>20251128</v>
      </c>
    </row>
    <row r="3771" spans="1:12" x14ac:dyDescent="0.25">
      <c r="A3771" s="50" t="s">
        <v>5179</v>
      </c>
      <c r="B3771" s="30" t="s">
        <v>137</v>
      </c>
      <c r="C3771" s="30" t="s">
        <v>505</v>
      </c>
      <c r="D3771" s="268" t="s">
        <v>95</v>
      </c>
      <c r="E3771" s="30" t="s">
        <v>3862</v>
      </c>
      <c r="F3771" s="268">
        <v>1</v>
      </c>
      <c r="G3771" s="30" t="s">
        <v>5091</v>
      </c>
      <c r="H3771" s="44"/>
      <c r="I3771" s="44"/>
      <c r="J3771" s="44"/>
      <c r="K3771" s="30" t="s">
        <v>5091</v>
      </c>
      <c r="L3771" s="51">
        <v>20251128</v>
      </c>
    </row>
    <row r="3772" spans="1:12" x14ac:dyDescent="0.25">
      <c r="A3772" s="50" t="s">
        <v>5102</v>
      </c>
      <c r="B3772" s="30" t="s">
        <v>137</v>
      </c>
      <c r="C3772" s="30" t="s">
        <v>29</v>
      </c>
      <c r="D3772" s="268" t="s">
        <v>24</v>
      </c>
      <c r="E3772" s="30" t="s">
        <v>1003</v>
      </c>
      <c r="F3772" s="268">
        <v>1</v>
      </c>
      <c r="G3772" s="30" t="s">
        <v>5091</v>
      </c>
      <c r="H3772" s="44"/>
      <c r="I3772" s="44"/>
      <c r="J3772" s="44"/>
      <c r="K3772" s="30" t="s">
        <v>5091</v>
      </c>
      <c r="L3772" s="51">
        <v>20251127</v>
      </c>
    </row>
    <row r="3773" spans="1:12" x14ac:dyDescent="0.25">
      <c r="A3773" s="50" t="s">
        <v>5103</v>
      </c>
      <c r="B3773" s="30" t="s">
        <v>137</v>
      </c>
      <c r="C3773" s="30" t="s">
        <v>29</v>
      </c>
      <c r="D3773" s="268" t="s">
        <v>1385</v>
      </c>
      <c r="E3773" s="30" t="s">
        <v>2051</v>
      </c>
      <c r="F3773" s="268">
        <v>1</v>
      </c>
      <c r="G3773" s="30" t="s">
        <v>5091</v>
      </c>
      <c r="H3773" s="44"/>
      <c r="I3773" s="44"/>
      <c r="J3773" s="44"/>
      <c r="K3773" s="30" t="s">
        <v>5091</v>
      </c>
      <c r="L3773" s="51">
        <v>20251127</v>
      </c>
    </row>
    <row r="3774" spans="1:12" x14ac:dyDescent="0.25">
      <c r="A3774" s="50" t="s">
        <v>5104</v>
      </c>
      <c r="B3774" s="30" t="s">
        <v>137</v>
      </c>
      <c r="C3774" s="30" t="s">
        <v>29</v>
      </c>
      <c r="D3774" s="268" t="s">
        <v>1385</v>
      </c>
      <c r="E3774" s="30" t="s">
        <v>628</v>
      </c>
      <c r="F3774" s="268">
        <v>1</v>
      </c>
      <c r="G3774" s="30" t="s">
        <v>5091</v>
      </c>
      <c r="H3774" s="44"/>
      <c r="I3774" s="44"/>
      <c r="J3774" s="44"/>
      <c r="K3774" s="30" t="s">
        <v>5091</v>
      </c>
      <c r="L3774" s="51">
        <v>20251127</v>
      </c>
    </row>
    <row r="3775" spans="1:12" x14ac:dyDescent="0.25">
      <c r="A3775" s="50" t="s">
        <v>5105</v>
      </c>
      <c r="B3775" s="30" t="s">
        <v>137</v>
      </c>
      <c r="C3775" s="30" t="s">
        <v>29</v>
      </c>
      <c r="D3775" s="268" t="s">
        <v>1385</v>
      </c>
      <c r="E3775" s="30" t="s">
        <v>209</v>
      </c>
      <c r="F3775" s="268">
        <v>1</v>
      </c>
      <c r="G3775" s="30" t="s">
        <v>5091</v>
      </c>
      <c r="H3775" s="44"/>
      <c r="I3775" s="44"/>
      <c r="J3775" s="44"/>
      <c r="K3775" s="30" t="s">
        <v>5091</v>
      </c>
      <c r="L3775" s="51">
        <v>20251127</v>
      </c>
    </row>
    <row r="3776" spans="1:12" x14ac:dyDescent="0.25">
      <c r="A3776" s="50" t="s">
        <v>5106</v>
      </c>
      <c r="B3776" s="30" t="s">
        <v>137</v>
      </c>
      <c r="C3776" s="30" t="s">
        <v>29</v>
      </c>
      <c r="D3776" s="268" t="s">
        <v>1385</v>
      </c>
      <c r="E3776" s="30" t="s">
        <v>4125</v>
      </c>
      <c r="F3776" s="268">
        <v>1</v>
      </c>
      <c r="G3776" s="30" t="s">
        <v>5091</v>
      </c>
      <c r="H3776" s="44"/>
      <c r="I3776" s="44"/>
      <c r="J3776" s="44"/>
      <c r="K3776" s="30" t="s">
        <v>5091</v>
      </c>
      <c r="L3776" s="51">
        <v>20251127</v>
      </c>
    </row>
    <row r="3777" spans="1:12" x14ac:dyDescent="0.25">
      <c r="A3777" s="50" t="s">
        <v>5107</v>
      </c>
      <c r="B3777" s="30" t="s">
        <v>137</v>
      </c>
      <c r="C3777" s="30" t="s">
        <v>29</v>
      </c>
      <c r="D3777" s="268" t="s">
        <v>1385</v>
      </c>
      <c r="E3777" s="30" t="s">
        <v>2101</v>
      </c>
      <c r="F3777" s="268">
        <v>1</v>
      </c>
      <c r="G3777" s="30" t="s">
        <v>5091</v>
      </c>
      <c r="H3777" s="44"/>
      <c r="I3777" s="44"/>
      <c r="J3777" s="44"/>
      <c r="K3777" s="30" t="s">
        <v>5091</v>
      </c>
      <c r="L3777" s="51">
        <v>20251127</v>
      </c>
    </row>
    <row r="3778" spans="1:12" x14ac:dyDescent="0.25">
      <c r="A3778" s="50" t="s">
        <v>5108</v>
      </c>
      <c r="B3778" s="30" t="s">
        <v>137</v>
      </c>
      <c r="C3778" s="30" t="s">
        <v>29</v>
      </c>
      <c r="D3778" s="268" t="s">
        <v>1385</v>
      </c>
      <c r="E3778" s="30" t="s">
        <v>4373</v>
      </c>
      <c r="F3778" s="268">
        <v>1</v>
      </c>
      <c r="G3778" s="30" t="s">
        <v>5091</v>
      </c>
      <c r="H3778" s="44"/>
      <c r="I3778" s="44"/>
      <c r="J3778" s="44"/>
      <c r="K3778" s="30" t="s">
        <v>5091</v>
      </c>
      <c r="L3778" s="51">
        <v>20251127</v>
      </c>
    </row>
    <row r="3779" spans="1:12" x14ac:dyDescent="0.25">
      <c r="A3779" s="50" t="s">
        <v>5109</v>
      </c>
      <c r="B3779" s="30" t="s">
        <v>137</v>
      </c>
      <c r="C3779" s="30" t="s">
        <v>29</v>
      </c>
      <c r="D3779" s="268" t="s">
        <v>1385</v>
      </c>
      <c r="E3779" s="30" t="s">
        <v>3889</v>
      </c>
      <c r="F3779" s="268">
        <v>1</v>
      </c>
      <c r="G3779" s="30" t="s">
        <v>5091</v>
      </c>
      <c r="H3779" s="44"/>
      <c r="I3779" s="44"/>
      <c r="J3779" s="44"/>
      <c r="K3779" s="30" t="s">
        <v>5091</v>
      </c>
      <c r="L3779" s="51">
        <v>20251127</v>
      </c>
    </row>
    <row r="3780" spans="1:12" x14ac:dyDescent="0.25">
      <c r="A3780" s="50" t="s">
        <v>5110</v>
      </c>
      <c r="B3780" s="30" t="s">
        <v>137</v>
      </c>
      <c r="C3780" s="30" t="s">
        <v>29</v>
      </c>
      <c r="D3780" s="268" t="s">
        <v>1385</v>
      </c>
      <c r="E3780" s="30" t="s">
        <v>1127</v>
      </c>
      <c r="F3780" s="268">
        <v>1</v>
      </c>
      <c r="G3780" s="30" t="s">
        <v>5091</v>
      </c>
      <c r="H3780" s="44"/>
      <c r="I3780" s="44"/>
      <c r="J3780" s="44"/>
      <c r="K3780" s="30" t="s">
        <v>5091</v>
      </c>
      <c r="L3780" s="51">
        <v>20251127</v>
      </c>
    </row>
    <row r="3781" spans="1:12" x14ac:dyDescent="0.25">
      <c r="A3781" s="50" t="s">
        <v>5111</v>
      </c>
      <c r="B3781" s="30" t="s">
        <v>137</v>
      </c>
      <c r="C3781" s="30" t="s">
        <v>29</v>
      </c>
      <c r="D3781" s="268" t="s">
        <v>1385</v>
      </c>
      <c r="E3781" s="30" t="s">
        <v>1320</v>
      </c>
      <c r="F3781" s="268">
        <v>1</v>
      </c>
      <c r="G3781" s="30" t="s">
        <v>5091</v>
      </c>
      <c r="H3781" s="44"/>
      <c r="I3781" s="44"/>
      <c r="J3781" s="44"/>
      <c r="K3781" s="30" t="s">
        <v>5091</v>
      </c>
      <c r="L3781" s="51">
        <v>20251127</v>
      </c>
    </row>
    <row r="3782" spans="1:12" x14ac:dyDescent="0.25">
      <c r="A3782" s="50" t="s">
        <v>5118</v>
      </c>
      <c r="B3782" s="30" t="s">
        <v>137</v>
      </c>
      <c r="C3782" s="30" t="s">
        <v>5119</v>
      </c>
      <c r="D3782" s="268" t="s">
        <v>5120</v>
      </c>
      <c r="E3782" s="30" t="s">
        <v>5121</v>
      </c>
      <c r="F3782" s="268">
        <v>1</v>
      </c>
      <c r="G3782" s="30" t="s">
        <v>5091</v>
      </c>
      <c r="H3782" s="44"/>
      <c r="I3782" s="44"/>
      <c r="J3782" s="44"/>
      <c r="K3782" s="30" t="s">
        <v>5091</v>
      </c>
      <c r="L3782" s="51">
        <v>20251118</v>
      </c>
    </row>
    <row r="3783" spans="1:12" x14ac:dyDescent="0.25">
      <c r="A3783" s="50" t="s">
        <v>5122</v>
      </c>
      <c r="B3783" s="30" t="s">
        <v>137</v>
      </c>
      <c r="C3783" s="30" t="s">
        <v>5119</v>
      </c>
      <c r="D3783" s="268" t="s">
        <v>5120</v>
      </c>
      <c r="E3783" s="30" t="s">
        <v>5123</v>
      </c>
      <c r="F3783" s="268">
        <v>1</v>
      </c>
      <c r="G3783" s="30" t="s">
        <v>5091</v>
      </c>
      <c r="H3783" s="44"/>
      <c r="I3783" s="44"/>
      <c r="J3783" s="44"/>
      <c r="K3783" s="30" t="s">
        <v>5091</v>
      </c>
      <c r="L3783" s="51">
        <v>20251118</v>
      </c>
    </row>
    <row r="3784" spans="1:12" x14ac:dyDescent="0.25">
      <c r="A3784" s="50" t="s">
        <v>5124</v>
      </c>
      <c r="B3784" s="30" t="s">
        <v>137</v>
      </c>
      <c r="C3784" s="30" t="s">
        <v>5119</v>
      </c>
      <c r="D3784" s="268" t="s">
        <v>5120</v>
      </c>
      <c r="E3784" s="30" t="s">
        <v>5125</v>
      </c>
      <c r="F3784" s="268">
        <v>1</v>
      </c>
      <c r="G3784" s="30" t="s">
        <v>5091</v>
      </c>
      <c r="H3784" s="44"/>
      <c r="I3784" s="44"/>
      <c r="J3784" s="44"/>
      <c r="K3784" s="30" t="s">
        <v>5091</v>
      </c>
      <c r="L3784" s="51">
        <v>20251118</v>
      </c>
    </row>
    <row r="3785" spans="1:12" x14ac:dyDescent="0.25">
      <c r="A3785" s="50" t="s">
        <v>5126</v>
      </c>
      <c r="B3785" s="30" t="s">
        <v>137</v>
      </c>
      <c r="C3785" s="30" t="s">
        <v>5119</v>
      </c>
      <c r="D3785" s="268" t="s">
        <v>5120</v>
      </c>
      <c r="E3785" s="30" t="s">
        <v>5127</v>
      </c>
      <c r="F3785" s="268">
        <v>1</v>
      </c>
      <c r="G3785" s="30" t="s">
        <v>5091</v>
      </c>
      <c r="H3785" s="44"/>
      <c r="I3785" s="44"/>
      <c r="J3785" s="44"/>
      <c r="K3785" s="30" t="s">
        <v>5091</v>
      </c>
      <c r="L3785" s="51">
        <v>20251118</v>
      </c>
    </row>
    <row r="3786" spans="1:12" x14ac:dyDescent="0.25">
      <c r="A3786" s="50" t="s">
        <v>5128</v>
      </c>
      <c r="B3786" s="30" t="s">
        <v>137</v>
      </c>
      <c r="C3786" s="30" t="s">
        <v>5119</v>
      </c>
      <c r="D3786" s="268" t="s">
        <v>5120</v>
      </c>
      <c r="E3786" s="30" t="s">
        <v>5129</v>
      </c>
      <c r="F3786" s="268">
        <v>1</v>
      </c>
      <c r="G3786" s="30" t="s">
        <v>5091</v>
      </c>
      <c r="H3786" s="44"/>
      <c r="I3786" s="44"/>
      <c r="J3786" s="44"/>
      <c r="K3786" s="30" t="s">
        <v>5091</v>
      </c>
      <c r="L3786" s="51">
        <v>20251118</v>
      </c>
    </row>
    <row r="3787" spans="1:12" x14ac:dyDescent="0.25">
      <c r="A3787" s="50" t="s">
        <v>5130</v>
      </c>
      <c r="B3787" s="30" t="s">
        <v>137</v>
      </c>
      <c r="C3787" s="30" t="s">
        <v>5119</v>
      </c>
      <c r="D3787" s="268" t="s">
        <v>5120</v>
      </c>
      <c r="E3787" s="30" t="s">
        <v>5131</v>
      </c>
      <c r="F3787" s="268">
        <v>1</v>
      </c>
      <c r="G3787" s="30" t="s">
        <v>5091</v>
      </c>
      <c r="H3787" s="44"/>
      <c r="I3787" s="44"/>
      <c r="J3787" s="44"/>
      <c r="K3787" s="30" t="s">
        <v>5091</v>
      </c>
      <c r="L3787" s="51">
        <v>20251118</v>
      </c>
    </row>
    <row r="3788" spans="1:12" x14ac:dyDescent="0.25">
      <c r="A3788" s="50" t="s">
        <v>5231</v>
      </c>
      <c r="B3788" s="30" t="s">
        <v>137</v>
      </c>
      <c r="C3788" s="30" t="s">
        <v>251</v>
      </c>
      <c r="D3788" s="268" t="s">
        <v>744</v>
      </c>
      <c r="E3788" s="30" t="s">
        <v>745</v>
      </c>
      <c r="F3788" s="268">
        <v>1</v>
      </c>
      <c r="G3788" s="30" t="s">
        <v>5091</v>
      </c>
      <c r="H3788" s="44"/>
      <c r="I3788" s="44"/>
      <c r="J3788" s="44"/>
      <c r="K3788" s="30" t="s">
        <v>5091</v>
      </c>
      <c r="L3788" s="51">
        <v>20251118</v>
      </c>
    </row>
    <row r="3789" spans="1:12" x14ac:dyDescent="0.25">
      <c r="A3789" s="50" t="s">
        <v>5232</v>
      </c>
      <c r="B3789" s="30" t="s">
        <v>137</v>
      </c>
      <c r="C3789" s="30" t="s">
        <v>251</v>
      </c>
      <c r="D3789" s="268" t="s">
        <v>767</v>
      </c>
      <c r="E3789" s="30" t="s">
        <v>2150</v>
      </c>
      <c r="F3789" s="268">
        <v>1</v>
      </c>
      <c r="G3789" s="30" t="s">
        <v>5091</v>
      </c>
      <c r="H3789" s="44"/>
      <c r="I3789" s="44"/>
      <c r="J3789" s="44"/>
      <c r="K3789" s="30" t="s">
        <v>5091</v>
      </c>
      <c r="L3789" s="51">
        <v>20251118</v>
      </c>
    </row>
    <row r="3790" spans="1:12" x14ac:dyDescent="0.25">
      <c r="A3790" s="50" t="s">
        <v>5172</v>
      </c>
      <c r="B3790" s="30" t="s">
        <v>137</v>
      </c>
      <c r="C3790" s="30" t="s">
        <v>505</v>
      </c>
      <c r="D3790" s="268" t="s">
        <v>24</v>
      </c>
      <c r="E3790" s="30" t="s">
        <v>1355</v>
      </c>
      <c r="F3790" s="268">
        <v>1</v>
      </c>
      <c r="G3790" s="30" t="s">
        <v>5091</v>
      </c>
      <c r="H3790" s="44"/>
      <c r="I3790" s="44"/>
      <c r="J3790" s="44"/>
      <c r="K3790" s="30" t="s">
        <v>5091</v>
      </c>
      <c r="L3790" s="51">
        <v>20251112</v>
      </c>
    </row>
    <row r="3791" spans="1:12" x14ac:dyDescent="0.25">
      <c r="A3791" s="50" t="s">
        <v>5174</v>
      </c>
      <c r="B3791" s="30" t="s">
        <v>137</v>
      </c>
      <c r="C3791" s="30" t="s">
        <v>505</v>
      </c>
      <c r="D3791" s="268" t="s">
        <v>24</v>
      </c>
      <c r="E3791" s="30" t="s">
        <v>925</v>
      </c>
      <c r="F3791" s="268">
        <v>1</v>
      </c>
      <c r="G3791" s="30" t="s">
        <v>5091</v>
      </c>
      <c r="H3791" s="44"/>
      <c r="I3791" s="44"/>
      <c r="J3791" s="44"/>
      <c r="K3791" s="30" t="s">
        <v>5091</v>
      </c>
      <c r="L3791" s="51">
        <v>20251112</v>
      </c>
    </row>
    <row r="3792" spans="1:12" x14ac:dyDescent="0.25">
      <c r="A3792" s="50" t="s">
        <v>5175</v>
      </c>
      <c r="B3792" s="30" t="s">
        <v>137</v>
      </c>
      <c r="C3792" s="30" t="s">
        <v>505</v>
      </c>
      <c r="D3792" s="268" t="s">
        <v>24</v>
      </c>
      <c r="E3792" s="30" t="s">
        <v>927</v>
      </c>
      <c r="F3792" s="268">
        <v>1</v>
      </c>
      <c r="G3792" s="30" t="s">
        <v>5091</v>
      </c>
      <c r="H3792" s="44"/>
      <c r="I3792" s="44"/>
      <c r="J3792" s="44"/>
      <c r="K3792" s="30" t="s">
        <v>5091</v>
      </c>
      <c r="L3792" s="51">
        <v>20251112</v>
      </c>
    </row>
    <row r="3793" spans="1:12" x14ac:dyDescent="0.25">
      <c r="A3793" s="50" t="s">
        <v>5176</v>
      </c>
      <c r="B3793" s="30" t="s">
        <v>137</v>
      </c>
      <c r="C3793" s="30" t="s">
        <v>505</v>
      </c>
      <c r="D3793" s="268" t="s">
        <v>24</v>
      </c>
      <c r="E3793" s="30" t="s">
        <v>929</v>
      </c>
      <c r="F3793" s="268">
        <v>1</v>
      </c>
      <c r="G3793" s="30" t="s">
        <v>5091</v>
      </c>
      <c r="H3793" s="44"/>
      <c r="I3793" s="44"/>
      <c r="J3793" s="44"/>
      <c r="K3793" s="30" t="s">
        <v>5091</v>
      </c>
      <c r="L3793" s="51">
        <v>20251112</v>
      </c>
    </row>
    <row r="3794" spans="1:12" ht="15.75" thickBot="1" x14ac:dyDescent="0.3">
      <c r="A3794" s="54" t="s">
        <v>5178</v>
      </c>
      <c r="B3794" s="36" t="s">
        <v>137</v>
      </c>
      <c r="C3794" s="36" t="s">
        <v>505</v>
      </c>
      <c r="D3794" s="272" t="s">
        <v>24</v>
      </c>
      <c r="E3794" s="36" t="s">
        <v>931</v>
      </c>
      <c r="F3794" s="272">
        <v>1</v>
      </c>
      <c r="G3794" s="36" t="s">
        <v>5091</v>
      </c>
      <c r="H3794" s="65"/>
      <c r="I3794" s="65"/>
      <c r="J3794" s="65"/>
      <c r="K3794" s="36" t="s">
        <v>5091</v>
      </c>
      <c r="L3794" s="55">
        <v>20251112</v>
      </c>
    </row>
    <row r="3795" spans="1:12" x14ac:dyDescent="0.25">
      <c r="L3795" s="76"/>
    </row>
    <row r="3798" spans="1:12" ht="15.75" thickBot="1" x14ac:dyDescent="0.3">
      <c r="A3798" s="69" t="s">
        <v>0</v>
      </c>
      <c r="B3798" s="70" t="s">
        <v>1</v>
      </c>
      <c r="C3798" s="70" t="s">
        <v>2</v>
      </c>
      <c r="D3798" s="274" t="s">
        <v>3</v>
      </c>
      <c r="E3798" s="70" t="s">
        <v>4</v>
      </c>
      <c r="F3798" s="70"/>
      <c r="G3798" s="71" t="s">
        <v>6</v>
      </c>
      <c r="H3798" s="70" t="s">
        <v>7</v>
      </c>
      <c r="I3798" s="71" t="s">
        <v>8</v>
      </c>
      <c r="J3798" s="71" t="s">
        <v>9</v>
      </c>
      <c r="K3798" s="71" t="s">
        <v>10</v>
      </c>
      <c r="L3798" s="72" t="s">
        <v>5</v>
      </c>
    </row>
    <row r="3799" spans="1:12" x14ac:dyDescent="0.25">
      <c r="A3799" s="48" t="s">
        <v>5393</v>
      </c>
      <c r="B3799" s="34" t="s">
        <v>11</v>
      </c>
      <c r="C3799" s="34" t="s">
        <v>28</v>
      </c>
      <c r="D3799" s="275" t="s">
        <v>753</v>
      </c>
      <c r="E3799" s="34" t="s">
        <v>2637</v>
      </c>
      <c r="F3799" s="34">
        <v>1</v>
      </c>
      <c r="G3799" s="64">
        <v>52844</v>
      </c>
      <c r="H3799" s="34"/>
      <c r="I3799" s="64"/>
      <c r="J3799" s="64"/>
      <c r="K3799" s="64">
        <f t="shared" ref="K3799:K3836" si="124">J3799+G3799</f>
        <v>52844</v>
      </c>
      <c r="L3799" s="49">
        <v>20251201</v>
      </c>
    </row>
    <row r="3800" spans="1:12" x14ac:dyDescent="0.25">
      <c r="A3800" s="50" t="s">
        <v>5394</v>
      </c>
      <c r="B3800" s="30" t="s">
        <v>11</v>
      </c>
      <c r="C3800" s="30" t="s">
        <v>28</v>
      </c>
      <c r="D3800" s="266" t="s">
        <v>753</v>
      </c>
      <c r="E3800" s="30" t="s">
        <v>754</v>
      </c>
      <c r="F3800" s="30">
        <v>1</v>
      </c>
      <c r="G3800" s="44">
        <v>52844</v>
      </c>
      <c r="H3800" s="30"/>
      <c r="I3800" s="44"/>
      <c r="J3800" s="44"/>
      <c r="K3800" s="44">
        <f t="shared" si="124"/>
        <v>52844</v>
      </c>
      <c r="L3800" s="51">
        <v>20251201</v>
      </c>
    </row>
    <row r="3801" spans="1:12" x14ac:dyDescent="0.25">
      <c r="A3801" s="50" t="s">
        <v>5388</v>
      </c>
      <c r="B3801" s="30" t="s">
        <v>11</v>
      </c>
      <c r="C3801" s="30" t="s">
        <v>94</v>
      </c>
      <c r="D3801" s="266" t="s">
        <v>95</v>
      </c>
      <c r="E3801" s="30" t="s">
        <v>3699</v>
      </c>
      <c r="F3801" s="30">
        <v>1</v>
      </c>
      <c r="G3801" s="44">
        <v>52844</v>
      </c>
      <c r="H3801" s="30"/>
      <c r="I3801" s="44"/>
      <c r="J3801" s="44"/>
      <c r="K3801" s="44">
        <f t="shared" si="124"/>
        <v>52844</v>
      </c>
      <c r="L3801" s="51">
        <v>20251201</v>
      </c>
    </row>
    <row r="3802" spans="1:12" x14ac:dyDescent="0.25">
      <c r="A3802" s="50" t="s">
        <v>5369</v>
      </c>
      <c r="B3802" s="30" t="s">
        <v>11</v>
      </c>
      <c r="C3802" s="30" t="s">
        <v>53</v>
      </c>
      <c r="D3802" s="266" t="s">
        <v>24</v>
      </c>
      <c r="E3802" s="30" t="s">
        <v>1281</v>
      </c>
      <c r="F3802" s="30">
        <v>1</v>
      </c>
      <c r="G3802" s="44">
        <v>52844</v>
      </c>
      <c r="H3802" s="30"/>
      <c r="I3802" s="44"/>
      <c r="J3802" s="44"/>
      <c r="K3802" s="44">
        <f t="shared" si="124"/>
        <v>52844</v>
      </c>
      <c r="L3802" s="51">
        <v>20251203</v>
      </c>
    </row>
    <row r="3803" spans="1:12" x14ac:dyDescent="0.25">
      <c r="A3803" s="50" t="s">
        <v>5366</v>
      </c>
      <c r="B3803" s="30" t="s">
        <v>892</v>
      </c>
      <c r="C3803" s="30" t="s">
        <v>865</v>
      </c>
      <c r="D3803" s="266" t="s">
        <v>24</v>
      </c>
      <c r="E3803" s="30" t="s">
        <v>866</v>
      </c>
      <c r="F3803" s="30">
        <v>1</v>
      </c>
      <c r="G3803" s="44">
        <v>52844</v>
      </c>
      <c r="H3803" s="30"/>
      <c r="I3803" s="44"/>
      <c r="J3803" s="44"/>
      <c r="K3803" s="44">
        <f t="shared" si="124"/>
        <v>52844</v>
      </c>
      <c r="L3803" s="51">
        <v>20251204</v>
      </c>
    </row>
    <row r="3804" spans="1:12" x14ac:dyDescent="0.25">
      <c r="A3804" s="50" t="s">
        <v>5387</v>
      </c>
      <c r="B3804" s="30" t="s">
        <v>11</v>
      </c>
      <c r="C3804" s="30" t="s">
        <v>251</v>
      </c>
      <c r="D3804" s="266" t="s">
        <v>764</v>
      </c>
      <c r="E3804" s="30" t="s">
        <v>1210</v>
      </c>
      <c r="F3804" s="30">
        <v>1</v>
      </c>
      <c r="G3804" s="44">
        <v>52844</v>
      </c>
      <c r="H3804" s="30"/>
      <c r="I3804" s="44"/>
      <c r="J3804" s="44"/>
      <c r="K3804" s="44">
        <f t="shared" si="124"/>
        <v>52844</v>
      </c>
      <c r="L3804" s="51">
        <v>20251209</v>
      </c>
    </row>
    <row r="3805" spans="1:12" x14ac:dyDescent="0.25">
      <c r="A3805" s="50" t="s">
        <v>5372</v>
      </c>
      <c r="B3805" s="30" t="s">
        <v>11</v>
      </c>
      <c r="C3805" s="30" t="s">
        <v>505</v>
      </c>
      <c r="D3805" s="266" t="s">
        <v>95</v>
      </c>
      <c r="E3805" s="30" t="s">
        <v>3860</v>
      </c>
      <c r="F3805" s="30">
        <v>1</v>
      </c>
      <c r="G3805" s="44">
        <v>52844</v>
      </c>
      <c r="H3805" s="30"/>
      <c r="I3805" s="44"/>
      <c r="J3805" s="44"/>
      <c r="K3805" s="44">
        <f t="shared" si="124"/>
        <v>52844</v>
      </c>
      <c r="L3805" s="51">
        <v>20251209</v>
      </c>
    </row>
    <row r="3806" spans="1:12" x14ac:dyDescent="0.25">
      <c r="A3806" s="50" t="s">
        <v>5357</v>
      </c>
      <c r="B3806" s="30" t="s">
        <v>11</v>
      </c>
      <c r="C3806" s="30" t="s">
        <v>29</v>
      </c>
      <c r="D3806" s="266" t="s">
        <v>5262</v>
      </c>
      <c r="E3806" s="30" t="s">
        <v>4526</v>
      </c>
      <c r="F3806" s="30">
        <v>1</v>
      </c>
      <c r="G3806" s="44">
        <v>52844</v>
      </c>
      <c r="H3806" s="30"/>
      <c r="I3806" s="44"/>
      <c r="J3806" s="44"/>
      <c r="K3806" s="44">
        <f t="shared" si="124"/>
        <v>52844</v>
      </c>
      <c r="L3806" s="51">
        <v>20251209</v>
      </c>
    </row>
    <row r="3807" spans="1:12" x14ac:dyDescent="0.25">
      <c r="A3807" s="50" t="s">
        <v>5356</v>
      </c>
      <c r="B3807" s="30" t="s">
        <v>11</v>
      </c>
      <c r="C3807" s="30" t="s">
        <v>94</v>
      </c>
      <c r="D3807" s="266" t="s">
        <v>95</v>
      </c>
      <c r="E3807" s="30" t="s">
        <v>3699</v>
      </c>
      <c r="F3807" s="30">
        <v>1</v>
      </c>
      <c r="G3807" s="44">
        <v>52844</v>
      </c>
      <c r="H3807" s="30"/>
      <c r="I3807" s="44"/>
      <c r="J3807" s="44"/>
      <c r="K3807" s="44">
        <f t="shared" si="124"/>
        <v>52844</v>
      </c>
      <c r="L3807" s="51">
        <v>20251209</v>
      </c>
    </row>
    <row r="3808" spans="1:12" x14ac:dyDescent="0.25">
      <c r="A3808" s="50" t="s">
        <v>5367</v>
      </c>
      <c r="B3808" s="30" t="s">
        <v>1209</v>
      </c>
      <c r="C3808" s="30" t="s">
        <v>3984</v>
      </c>
      <c r="D3808" s="266" t="s">
        <v>713</v>
      </c>
      <c r="E3808" s="30" t="s">
        <v>714</v>
      </c>
      <c r="F3808" s="30">
        <v>1</v>
      </c>
      <c r="G3808" s="44">
        <v>52844</v>
      </c>
      <c r="H3808" s="30"/>
      <c r="I3808" s="44"/>
      <c r="J3808" s="44"/>
      <c r="K3808" s="44">
        <f t="shared" si="124"/>
        <v>52844</v>
      </c>
      <c r="L3808" s="51">
        <v>20251210</v>
      </c>
    </row>
    <row r="3809" spans="1:12" x14ac:dyDescent="0.25">
      <c r="A3809" s="50" t="s">
        <v>5368</v>
      </c>
      <c r="B3809" s="30" t="s">
        <v>1209</v>
      </c>
      <c r="C3809" s="30" t="s">
        <v>3984</v>
      </c>
      <c r="D3809" s="266" t="s">
        <v>713</v>
      </c>
      <c r="E3809" s="30" t="s">
        <v>716</v>
      </c>
      <c r="F3809" s="30">
        <v>1</v>
      </c>
      <c r="G3809" s="44">
        <v>52844</v>
      </c>
      <c r="H3809" s="30"/>
      <c r="I3809" s="44"/>
      <c r="J3809" s="44"/>
      <c r="K3809" s="44">
        <f t="shared" si="124"/>
        <v>52844</v>
      </c>
      <c r="L3809" s="51">
        <v>20251210</v>
      </c>
    </row>
    <row r="3810" spans="1:12" x14ac:dyDescent="0.25">
      <c r="A3810" s="50" t="s">
        <v>5327</v>
      </c>
      <c r="B3810" s="30" t="s">
        <v>11</v>
      </c>
      <c r="C3810" s="30" t="s">
        <v>636</v>
      </c>
      <c r="D3810" s="266" t="s">
        <v>4889</v>
      </c>
      <c r="E3810" s="30" t="s">
        <v>5328</v>
      </c>
      <c r="F3810" s="30">
        <v>1</v>
      </c>
      <c r="G3810" s="44">
        <v>52844</v>
      </c>
      <c r="H3810" s="30"/>
      <c r="I3810" s="44"/>
      <c r="J3810" s="44"/>
      <c r="K3810" s="44">
        <f t="shared" si="124"/>
        <v>52844</v>
      </c>
      <c r="L3810" s="51">
        <v>20251212</v>
      </c>
    </row>
    <row r="3811" spans="1:12" x14ac:dyDescent="0.25">
      <c r="A3811" s="50" t="s">
        <v>5284</v>
      </c>
      <c r="B3811" s="30" t="s">
        <v>11</v>
      </c>
      <c r="C3811" s="30" t="s">
        <v>29</v>
      </c>
      <c r="D3811" s="266" t="s">
        <v>1385</v>
      </c>
      <c r="E3811" s="30" t="s">
        <v>4125</v>
      </c>
      <c r="F3811" s="30">
        <v>1</v>
      </c>
      <c r="G3811" s="44">
        <v>52844</v>
      </c>
      <c r="H3811" s="30"/>
      <c r="I3811" s="44"/>
      <c r="J3811" s="44"/>
      <c r="K3811" s="44">
        <f t="shared" si="124"/>
        <v>52844</v>
      </c>
      <c r="L3811" s="51">
        <v>20251216</v>
      </c>
    </row>
    <row r="3812" spans="1:12" x14ac:dyDescent="0.25">
      <c r="A3812" s="50" t="s">
        <v>5275</v>
      </c>
      <c r="B3812" s="30" t="s">
        <v>11</v>
      </c>
      <c r="C3812" s="30" t="s">
        <v>28</v>
      </c>
      <c r="D3812" s="266" t="s">
        <v>1026</v>
      </c>
      <c r="E3812" s="30" t="s">
        <v>1027</v>
      </c>
      <c r="F3812" s="30">
        <v>1</v>
      </c>
      <c r="G3812" s="44">
        <v>52844</v>
      </c>
      <c r="H3812" s="30"/>
      <c r="I3812" s="44"/>
      <c r="J3812" s="44"/>
      <c r="K3812" s="44">
        <f t="shared" si="124"/>
        <v>52844</v>
      </c>
      <c r="L3812" s="51">
        <v>20251217</v>
      </c>
    </row>
    <row r="3813" spans="1:12" x14ac:dyDescent="0.25">
      <c r="A3813" s="50" t="s">
        <v>5271</v>
      </c>
      <c r="B3813" s="30" t="s">
        <v>11</v>
      </c>
      <c r="C3813" s="30" t="s">
        <v>1006</v>
      </c>
      <c r="D3813" s="266" t="s">
        <v>24</v>
      </c>
      <c r="E3813" s="30" t="s">
        <v>2362</v>
      </c>
      <c r="F3813" s="30">
        <v>1</v>
      </c>
      <c r="G3813" s="44">
        <v>52844</v>
      </c>
      <c r="H3813" s="30"/>
      <c r="I3813" s="44"/>
      <c r="J3813" s="44"/>
      <c r="K3813" s="44">
        <f t="shared" si="124"/>
        <v>52844</v>
      </c>
      <c r="L3813" s="51">
        <v>20251218</v>
      </c>
    </row>
    <row r="3814" spans="1:12" x14ac:dyDescent="0.25">
      <c r="A3814" s="50" t="s">
        <v>5396</v>
      </c>
      <c r="B3814" s="30" t="s">
        <v>11</v>
      </c>
      <c r="C3814" s="30" t="s">
        <v>3137</v>
      </c>
      <c r="D3814" s="266" t="s">
        <v>24</v>
      </c>
      <c r="E3814" s="30" t="s">
        <v>3344</v>
      </c>
      <c r="F3814" s="30">
        <v>1</v>
      </c>
      <c r="G3814" s="44">
        <v>52844</v>
      </c>
      <c r="H3814" s="30"/>
      <c r="I3814" s="44"/>
      <c r="J3814" s="44"/>
      <c r="K3814" s="44">
        <f t="shared" si="124"/>
        <v>52844</v>
      </c>
      <c r="L3814" s="51">
        <v>20251218</v>
      </c>
    </row>
    <row r="3815" spans="1:12" x14ac:dyDescent="0.25">
      <c r="A3815" s="50" t="s">
        <v>5276</v>
      </c>
      <c r="B3815" s="30" t="s">
        <v>11</v>
      </c>
      <c r="C3815" s="30" t="s">
        <v>865</v>
      </c>
      <c r="D3815" s="266" t="s">
        <v>24</v>
      </c>
      <c r="E3815" s="30" t="s">
        <v>866</v>
      </c>
      <c r="F3815" s="30">
        <v>1</v>
      </c>
      <c r="G3815" s="44">
        <v>52844</v>
      </c>
      <c r="H3815" s="30"/>
      <c r="I3815" s="44"/>
      <c r="J3815" s="44"/>
      <c r="K3815" s="44">
        <f t="shared" si="124"/>
        <v>52844</v>
      </c>
      <c r="L3815" s="51">
        <v>20251218</v>
      </c>
    </row>
    <row r="3816" spans="1:12" x14ac:dyDescent="0.25">
      <c r="A3816" s="50" t="s">
        <v>5272</v>
      </c>
      <c r="B3816" s="30" t="s">
        <v>11</v>
      </c>
      <c r="C3816" s="30" t="s">
        <v>29</v>
      </c>
      <c r="D3816" s="266" t="s">
        <v>1656</v>
      </c>
      <c r="E3816" s="30" t="s">
        <v>4311</v>
      </c>
      <c r="F3816" s="30">
        <v>1</v>
      </c>
      <c r="G3816" s="44">
        <v>52844</v>
      </c>
      <c r="H3816" s="30"/>
      <c r="I3816" s="44"/>
      <c r="J3816" s="44"/>
      <c r="K3816" s="44">
        <f t="shared" si="124"/>
        <v>52844</v>
      </c>
      <c r="L3816" s="51">
        <v>20251219</v>
      </c>
    </row>
    <row r="3817" spans="1:12" x14ac:dyDescent="0.25">
      <c r="A3817" s="52" t="s">
        <v>5273</v>
      </c>
      <c r="B3817" s="32" t="s">
        <v>11</v>
      </c>
      <c r="C3817" s="32" t="s">
        <v>29</v>
      </c>
      <c r="D3817" s="32" t="s">
        <v>5262</v>
      </c>
      <c r="E3817" s="32" t="s">
        <v>4526</v>
      </c>
      <c r="F3817" s="32">
        <v>1</v>
      </c>
      <c r="G3817" s="45">
        <v>52844</v>
      </c>
      <c r="H3817" s="32">
        <v>27</v>
      </c>
      <c r="I3817" s="45">
        <v>627.1</v>
      </c>
      <c r="J3817" s="45">
        <f>I3817*H3817</f>
        <v>16931.7</v>
      </c>
      <c r="K3817" s="45">
        <f t="shared" si="124"/>
        <v>69775.7</v>
      </c>
      <c r="L3817" s="53">
        <v>20251219</v>
      </c>
    </row>
    <row r="3818" spans="1:12" x14ac:dyDescent="0.25">
      <c r="A3818" s="50" t="s">
        <v>5267</v>
      </c>
      <c r="B3818" s="30" t="s">
        <v>11</v>
      </c>
      <c r="C3818" s="30" t="s">
        <v>94</v>
      </c>
      <c r="D3818" s="266" t="s">
        <v>95</v>
      </c>
      <c r="E3818" s="30" t="s">
        <v>436</v>
      </c>
      <c r="F3818" s="30">
        <v>1</v>
      </c>
      <c r="G3818" s="44">
        <v>52844</v>
      </c>
      <c r="H3818" s="30"/>
      <c r="I3818" s="44"/>
      <c r="J3818" s="44"/>
      <c r="K3818" s="44">
        <f t="shared" si="124"/>
        <v>52844</v>
      </c>
      <c r="L3818" s="51">
        <v>20251219</v>
      </c>
    </row>
    <row r="3819" spans="1:12" x14ac:dyDescent="0.25">
      <c r="A3819" s="50" t="s">
        <v>5265</v>
      </c>
      <c r="B3819" s="30" t="s">
        <v>11</v>
      </c>
      <c r="C3819" s="30" t="s">
        <v>1006</v>
      </c>
      <c r="D3819" s="266" t="s">
        <v>4911</v>
      </c>
      <c r="E3819" s="30" t="s">
        <v>5266</v>
      </c>
      <c r="F3819" s="30">
        <v>1</v>
      </c>
      <c r="G3819" s="44">
        <v>52844</v>
      </c>
      <c r="H3819" s="30"/>
      <c r="I3819" s="44"/>
      <c r="J3819" s="44"/>
      <c r="K3819" s="44">
        <f t="shared" si="124"/>
        <v>52844</v>
      </c>
      <c r="L3819" s="51">
        <v>20251223</v>
      </c>
    </row>
    <row r="3820" spans="1:12" x14ac:dyDescent="0.25">
      <c r="A3820" s="50" t="s">
        <v>5268</v>
      </c>
      <c r="B3820" s="30" t="s">
        <v>11</v>
      </c>
      <c r="C3820" s="30" t="s">
        <v>1006</v>
      </c>
      <c r="D3820" s="266" t="s">
        <v>4911</v>
      </c>
      <c r="E3820" s="30" t="s">
        <v>5269</v>
      </c>
      <c r="F3820" s="30">
        <v>1</v>
      </c>
      <c r="G3820" s="44">
        <v>52844</v>
      </c>
      <c r="H3820" s="30"/>
      <c r="I3820" s="44"/>
      <c r="J3820" s="44"/>
      <c r="K3820" s="44">
        <f t="shared" si="124"/>
        <v>52844</v>
      </c>
      <c r="L3820" s="51">
        <v>20251223</v>
      </c>
    </row>
    <row r="3821" spans="1:12" x14ac:dyDescent="0.25">
      <c r="A3821" s="50" t="s">
        <v>5270</v>
      </c>
      <c r="B3821" s="30" t="s">
        <v>11</v>
      </c>
      <c r="C3821" s="30" t="s">
        <v>5119</v>
      </c>
      <c r="D3821" s="266" t="s">
        <v>5120</v>
      </c>
      <c r="E3821" s="30" t="s">
        <v>5125</v>
      </c>
      <c r="F3821" s="30">
        <v>1</v>
      </c>
      <c r="G3821" s="44">
        <v>52844</v>
      </c>
      <c r="H3821" s="30"/>
      <c r="I3821" s="44"/>
      <c r="J3821" s="44"/>
      <c r="K3821" s="44">
        <f t="shared" si="124"/>
        <v>52844</v>
      </c>
      <c r="L3821" s="51">
        <v>20251224</v>
      </c>
    </row>
    <row r="3822" spans="1:12" x14ac:dyDescent="0.25">
      <c r="A3822" s="52" t="s">
        <v>5274</v>
      </c>
      <c r="B3822" s="32" t="s">
        <v>11</v>
      </c>
      <c r="C3822" s="32" t="s">
        <v>5119</v>
      </c>
      <c r="D3822" s="32" t="s">
        <v>5120</v>
      </c>
      <c r="E3822" s="32" t="s">
        <v>5129</v>
      </c>
      <c r="F3822" s="32">
        <v>1</v>
      </c>
      <c r="G3822" s="45">
        <v>52844</v>
      </c>
      <c r="H3822" s="32">
        <v>90</v>
      </c>
      <c r="I3822" s="45">
        <v>627.1</v>
      </c>
      <c r="J3822" s="45">
        <f>I3822*H3822</f>
        <v>56439</v>
      </c>
      <c r="K3822" s="45">
        <f t="shared" si="124"/>
        <v>109283</v>
      </c>
      <c r="L3822" s="53">
        <v>20251224</v>
      </c>
    </row>
    <row r="3823" spans="1:12" x14ac:dyDescent="0.25">
      <c r="A3823" s="50" t="s">
        <v>5254</v>
      </c>
      <c r="B3823" s="30" t="s">
        <v>11</v>
      </c>
      <c r="C3823" s="30" t="s">
        <v>94</v>
      </c>
      <c r="D3823" s="266" t="s">
        <v>95</v>
      </c>
      <c r="E3823" s="30" t="s">
        <v>1083</v>
      </c>
      <c r="F3823" s="30">
        <v>1</v>
      </c>
      <c r="G3823" s="44">
        <v>52844</v>
      </c>
      <c r="H3823" s="30"/>
      <c r="I3823" s="44"/>
      <c r="J3823" s="44"/>
      <c r="K3823" s="44">
        <f t="shared" si="124"/>
        <v>52844</v>
      </c>
      <c r="L3823" s="51">
        <v>20251224</v>
      </c>
    </row>
    <row r="3824" spans="1:12" x14ac:dyDescent="0.25">
      <c r="A3824" s="50" t="s">
        <v>5258</v>
      </c>
      <c r="B3824" s="30" t="s">
        <v>11</v>
      </c>
      <c r="C3824" s="30" t="s">
        <v>94</v>
      </c>
      <c r="D3824" s="266" t="s">
        <v>95</v>
      </c>
      <c r="E3824" s="30" t="s">
        <v>4051</v>
      </c>
      <c r="F3824" s="30">
        <v>1</v>
      </c>
      <c r="G3824" s="44">
        <v>52844</v>
      </c>
      <c r="H3824" s="30"/>
      <c r="I3824" s="44"/>
      <c r="J3824" s="44"/>
      <c r="K3824" s="44">
        <f t="shared" si="124"/>
        <v>52844</v>
      </c>
      <c r="L3824" s="51">
        <v>20251224</v>
      </c>
    </row>
    <row r="3825" spans="1:12" x14ac:dyDescent="0.25">
      <c r="A3825" s="50" t="s">
        <v>5257</v>
      </c>
      <c r="B3825" s="30" t="s">
        <v>11</v>
      </c>
      <c r="C3825" s="30" t="s">
        <v>28</v>
      </c>
      <c r="D3825" s="266" t="s">
        <v>412</v>
      </c>
      <c r="E3825" s="30" t="s">
        <v>413</v>
      </c>
      <c r="F3825" s="30">
        <v>1</v>
      </c>
      <c r="G3825" s="44">
        <v>52844</v>
      </c>
      <c r="H3825" s="30"/>
      <c r="I3825" s="44"/>
      <c r="J3825" s="44"/>
      <c r="K3825" s="44">
        <f t="shared" si="124"/>
        <v>52844</v>
      </c>
      <c r="L3825" s="51">
        <v>20251226</v>
      </c>
    </row>
    <row r="3826" spans="1:12" x14ac:dyDescent="0.25">
      <c r="A3826" s="50" t="s">
        <v>5283</v>
      </c>
      <c r="B3826" s="30" t="s">
        <v>11</v>
      </c>
      <c r="C3826" s="30" t="s">
        <v>29</v>
      </c>
      <c r="D3826" s="266" t="s">
        <v>1385</v>
      </c>
      <c r="E3826" s="30" t="s">
        <v>628</v>
      </c>
      <c r="F3826" s="30">
        <v>1</v>
      </c>
      <c r="G3826" s="44">
        <v>52844</v>
      </c>
      <c r="H3826" s="30"/>
      <c r="I3826" s="44"/>
      <c r="J3826" s="44"/>
      <c r="K3826" s="44">
        <f t="shared" si="124"/>
        <v>52844</v>
      </c>
      <c r="L3826" s="51">
        <v>20251226</v>
      </c>
    </row>
    <row r="3827" spans="1:12" x14ac:dyDescent="0.25">
      <c r="A3827" s="50" t="s">
        <v>5251</v>
      </c>
      <c r="B3827" s="30" t="s">
        <v>11</v>
      </c>
      <c r="C3827" s="30" t="s">
        <v>53</v>
      </c>
      <c r="D3827" s="266" t="s">
        <v>24</v>
      </c>
      <c r="E3827" s="30" t="s">
        <v>1281</v>
      </c>
      <c r="F3827" s="30">
        <v>1</v>
      </c>
      <c r="G3827" s="44">
        <v>52844</v>
      </c>
      <c r="H3827" s="30"/>
      <c r="I3827" s="44"/>
      <c r="J3827" s="44"/>
      <c r="K3827" s="44">
        <f t="shared" si="124"/>
        <v>52844</v>
      </c>
      <c r="L3827" s="51">
        <v>20251226</v>
      </c>
    </row>
    <row r="3828" spans="1:12" x14ac:dyDescent="0.25">
      <c r="A3828" s="50" t="s">
        <v>5255</v>
      </c>
      <c r="B3828" s="30" t="s">
        <v>1209</v>
      </c>
      <c r="C3828" s="30" t="s">
        <v>4330</v>
      </c>
      <c r="D3828" s="266" t="s">
        <v>4889</v>
      </c>
      <c r="E3828" s="30" t="s">
        <v>5256</v>
      </c>
      <c r="F3828" s="30">
        <v>1</v>
      </c>
      <c r="G3828" s="44">
        <v>52844</v>
      </c>
      <c r="H3828" s="30"/>
      <c r="I3828" s="44"/>
      <c r="J3828" s="44"/>
      <c r="K3828" s="44">
        <f t="shared" si="124"/>
        <v>52844</v>
      </c>
      <c r="L3828" s="51">
        <v>20251229</v>
      </c>
    </row>
    <row r="3829" spans="1:12" x14ac:dyDescent="0.25">
      <c r="A3829" s="50" t="s">
        <v>5342</v>
      </c>
      <c r="B3829" s="30" t="s">
        <v>11</v>
      </c>
      <c r="C3829" s="30" t="s">
        <v>134</v>
      </c>
      <c r="D3829" s="266" t="s">
        <v>135</v>
      </c>
      <c r="E3829" s="30" t="s">
        <v>1178</v>
      </c>
      <c r="F3829" s="30">
        <v>1</v>
      </c>
      <c r="G3829" s="44">
        <v>52844</v>
      </c>
      <c r="H3829" s="30"/>
      <c r="I3829" s="44"/>
      <c r="J3829" s="44"/>
      <c r="K3829" s="44">
        <f t="shared" si="124"/>
        <v>52844</v>
      </c>
      <c r="L3829" s="51">
        <v>20251229</v>
      </c>
    </row>
    <row r="3830" spans="1:12" x14ac:dyDescent="0.25">
      <c r="A3830" s="50" t="s">
        <v>5249</v>
      </c>
      <c r="B3830" s="30" t="s">
        <v>11</v>
      </c>
      <c r="C3830" s="30" t="s">
        <v>29</v>
      </c>
      <c r="D3830" s="266" t="s">
        <v>1656</v>
      </c>
      <c r="E3830" s="30" t="s">
        <v>4311</v>
      </c>
      <c r="F3830" s="30">
        <v>1</v>
      </c>
      <c r="G3830" s="44">
        <v>52844</v>
      </c>
      <c r="H3830" s="30"/>
      <c r="I3830" s="44"/>
      <c r="J3830" s="44"/>
      <c r="K3830" s="44">
        <f t="shared" si="124"/>
        <v>52844</v>
      </c>
      <c r="L3830" s="51">
        <v>20251229</v>
      </c>
    </row>
    <row r="3831" spans="1:12" x14ac:dyDescent="0.25">
      <c r="A3831" s="50" t="s">
        <v>5250</v>
      </c>
      <c r="B3831" s="30" t="s">
        <v>11</v>
      </c>
      <c r="C3831" s="30" t="s">
        <v>251</v>
      </c>
      <c r="D3831" s="266" t="s">
        <v>767</v>
      </c>
      <c r="E3831" s="30" t="s">
        <v>2150</v>
      </c>
      <c r="F3831" s="30">
        <v>1</v>
      </c>
      <c r="G3831" s="44">
        <v>52844</v>
      </c>
      <c r="H3831" s="30"/>
      <c r="I3831" s="44"/>
      <c r="J3831" s="44"/>
      <c r="K3831" s="44">
        <f t="shared" si="124"/>
        <v>52844</v>
      </c>
      <c r="L3831" s="51">
        <v>20251230</v>
      </c>
    </row>
    <row r="3832" spans="1:12" x14ac:dyDescent="0.25">
      <c r="A3832" s="52" t="s">
        <v>5389</v>
      </c>
      <c r="B3832" s="32" t="s">
        <v>11</v>
      </c>
      <c r="C3832" s="32" t="s">
        <v>5390</v>
      </c>
      <c r="D3832" s="32" t="s">
        <v>5391</v>
      </c>
      <c r="E3832" s="32" t="s">
        <v>5392</v>
      </c>
      <c r="F3832" s="32">
        <v>1</v>
      </c>
      <c r="G3832" s="45">
        <v>52844</v>
      </c>
      <c r="H3832" s="32">
        <v>90</v>
      </c>
      <c r="I3832" s="45">
        <v>627.1</v>
      </c>
      <c r="J3832" s="45">
        <f>I3832*H3832</f>
        <v>56439</v>
      </c>
      <c r="K3832" s="45">
        <f t="shared" si="124"/>
        <v>109283</v>
      </c>
      <c r="L3832" s="53">
        <v>20251230</v>
      </c>
    </row>
    <row r="3833" spans="1:12" x14ac:dyDescent="0.25">
      <c r="A3833" s="50" t="s">
        <v>5252</v>
      </c>
      <c r="B3833" s="30" t="s">
        <v>11</v>
      </c>
      <c r="C3833" s="30" t="s">
        <v>5119</v>
      </c>
      <c r="D3833" s="266" t="s">
        <v>5120</v>
      </c>
      <c r="E3833" s="30" t="s">
        <v>5129</v>
      </c>
      <c r="F3833" s="30">
        <v>1</v>
      </c>
      <c r="G3833" s="44">
        <v>52844</v>
      </c>
      <c r="H3833" s="30"/>
      <c r="I3833" s="44"/>
      <c r="J3833" s="44"/>
      <c r="K3833" s="44">
        <f t="shared" si="124"/>
        <v>52844</v>
      </c>
      <c r="L3833" s="51">
        <v>20251230</v>
      </c>
    </row>
    <row r="3834" spans="1:12" x14ac:dyDescent="0.25">
      <c r="A3834" s="52" t="s">
        <v>5253</v>
      </c>
      <c r="B3834" s="32" t="s">
        <v>11</v>
      </c>
      <c r="C3834" s="32" t="s">
        <v>5119</v>
      </c>
      <c r="D3834" s="32" t="s">
        <v>5120</v>
      </c>
      <c r="E3834" s="32" t="s">
        <v>5143</v>
      </c>
      <c r="F3834" s="32">
        <v>1</v>
      </c>
      <c r="G3834" s="45">
        <v>52844</v>
      </c>
      <c r="H3834" s="32">
        <v>90</v>
      </c>
      <c r="I3834" s="45">
        <v>627.1</v>
      </c>
      <c r="J3834" s="45">
        <f>I3834*H3834</f>
        <v>56439</v>
      </c>
      <c r="K3834" s="45">
        <f t="shared" si="124"/>
        <v>109283</v>
      </c>
      <c r="L3834" s="53">
        <v>20251230</v>
      </c>
    </row>
    <row r="3835" spans="1:12" x14ac:dyDescent="0.25">
      <c r="A3835" s="50" t="s">
        <v>5247</v>
      </c>
      <c r="B3835" s="30" t="s">
        <v>11</v>
      </c>
      <c r="C3835" s="30" t="s">
        <v>94</v>
      </c>
      <c r="D3835" s="266" t="s">
        <v>95</v>
      </c>
      <c r="E3835" s="30" t="s">
        <v>458</v>
      </c>
      <c r="F3835" s="30">
        <v>1</v>
      </c>
      <c r="G3835" s="44">
        <v>52844</v>
      </c>
      <c r="H3835" s="30"/>
      <c r="I3835" s="44"/>
      <c r="J3835" s="44"/>
      <c r="K3835" s="44">
        <f t="shared" si="124"/>
        <v>52844</v>
      </c>
      <c r="L3835" s="51">
        <v>20251231</v>
      </c>
    </row>
    <row r="3836" spans="1:12" ht="15.75" thickBot="1" x14ac:dyDescent="0.3">
      <c r="A3836" s="54" t="s">
        <v>5248</v>
      </c>
      <c r="B3836" s="36" t="s">
        <v>11</v>
      </c>
      <c r="C3836" s="36" t="s">
        <v>94</v>
      </c>
      <c r="D3836" s="267" t="s">
        <v>95</v>
      </c>
      <c r="E3836" s="36" t="s">
        <v>262</v>
      </c>
      <c r="F3836" s="36">
        <v>1</v>
      </c>
      <c r="G3836" s="65">
        <v>52844</v>
      </c>
      <c r="H3836" s="36"/>
      <c r="I3836" s="65"/>
      <c r="J3836" s="65"/>
      <c r="K3836" s="65">
        <f t="shared" si="124"/>
        <v>52844</v>
      </c>
      <c r="L3836" s="55">
        <v>20251231</v>
      </c>
    </row>
    <row r="3837" spans="1:12" x14ac:dyDescent="0.25">
      <c r="A3837" s="73"/>
      <c r="B3837" s="74"/>
      <c r="C3837" s="74"/>
      <c r="D3837" s="276"/>
      <c r="E3837" s="74"/>
      <c r="F3837" s="74"/>
      <c r="G3837" s="75"/>
      <c r="H3837" s="74"/>
      <c r="I3837" s="75"/>
      <c r="J3837" s="75"/>
      <c r="K3837" s="75"/>
      <c r="L3837" s="76"/>
    </row>
    <row r="3838" spans="1:12" ht="15.75" thickBot="1" x14ac:dyDescent="0.3">
      <c r="A3838" s="69"/>
      <c r="B3838" s="70"/>
      <c r="C3838" s="70"/>
      <c r="D3838" s="274"/>
      <c r="E3838" s="70"/>
      <c r="F3838" s="70"/>
      <c r="G3838" s="71"/>
      <c r="H3838" s="70"/>
      <c r="I3838" s="71"/>
      <c r="J3838" s="71"/>
      <c r="K3838" s="71"/>
      <c r="L3838" s="72"/>
    </row>
    <row r="3839" spans="1:12" x14ac:dyDescent="0.25">
      <c r="A3839" s="48" t="s">
        <v>5400</v>
      </c>
      <c r="B3839" s="34" t="s">
        <v>137</v>
      </c>
      <c r="C3839" s="34" t="s">
        <v>251</v>
      </c>
      <c r="D3839" s="275" t="s">
        <v>375</v>
      </c>
      <c r="E3839" s="34" t="s">
        <v>376</v>
      </c>
      <c r="F3839" s="34">
        <v>1</v>
      </c>
      <c r="G3839" s="64">
        <v>26412</v>
      </c>
      <c r="H3839" s="34"/>
      <c r="I3839" s="64"/>
      <c r="J3839" s="64"/>
      <c r="K3839" s="64">
        <f t="shared" ref="K3839:K3870" si="125">J3839+G3839</f>
        <v>26412</v>
      </c>
      <c r="L3839" s="49">
        <v>20251201</v>
      </c>
    </row>
    <row r="3840" spans="1:12" x14ac:dyDescent="0.25">
      <c r="A3840" s="50" t="s">
        <v>5403</v>
      </c>
      <c r="B3840" s="30" t="s">
        <v>137</v>
      </c>
      <c r="C3840" s="30" t="s">
        <v>28</v>
      </c>
      <c r="D3840" s="266" t="s">
        <v>470</v>
      </c>
      <c r="E3840" s="30" t="s">
        <v>471</v>
      </c>
      <c r="F3840" s="30">
        <v>1</v>
      </c>
      <c r="G3840" s="44">
        <v>26412</v>
      </c>
      <c r="H3840" s="30"/>
      <c r="I3840" s="44"/>
      <c r="J3840" s="44"/>
      <c r="K3840" s="44">
        <f t="shared" si="125"/>
        <v>26412</v>
      </c>
      <c r="L3840" s="51">
        <v>20251201</v>
      </c>
    </row>
    <row r="3841" spans="1:12" x14ac:dyDescent="0.25">
      <c r="A3841" s="50" t="s">
        <v>5370</v>
      </c>
      <c r="B3841" s="30" t="s">
        <v>137</v>
      </c>
      <c r="C3841" s="30" t="s">
        <v>29</v>
      </c>
      <c r="D3841" s="266" t="s">
        <v>5371</v>
      </c>
      <c r="E3841" s="30" t="s">
        <v>3660</v>
      </c>
      <c r="F3841" s="30">
        <v>1</v>
      </c>
      <c r="G3841" s="44">
        <v>26412</v>
      </c>
      <c r="H3841" s="30"/>
      <c r="I3841" s="44"/>
      <c r="J3841" s="44"/>
      <c r="K3841" s="44">
        <f t="shared" si="125"/>
        <v>26412</v>
      </c>
      <c r="L3841" s="51">
        <v>20251201</v>
      </c>
    </row>
    <row r="3842" spans="1:12" x14ac:dyDescent="0.25">
      <c r="A3842" s="50" t="s">
        <v>5385</v>
      </c>
      <c r="B3842" s="30" t="s">
        <v>137</v>
      </c>
      <c r="C3842" s="30" t="s">
        <v>899</v>
      </c>
      <c r="D3842" s="266" t="s">
        <v>24</v>
      </c>
      <c r="E3842" s="30" t="s">
        <v>900</v>
      </c>
      <c r="F3842" s="30">
        <v>1</v>
      </c>
      <c r="G3842" s="44">
        <v>26412</v>
      </c>
      <c r="H3842" s="30"/>
      <c r="I3842" s="44"/>
      <c r="J3842" s="44"/>
      <c r="K3842" s="44">
        <f t="shared" si="125"/>
        <v>26412</v>
      </c>
      <c r="L3842" s="51">
        <v>20251201</v>
      </c>
    </row>
    <row r="3843" spans="1:12" x14ac:dyDescent="0.25">
      <c r="A3843" s="50" t="s">
        <v>5386</v>
      </c>
      <c r="B3843" s="30" t="s">
        <v>137</v>
      </c>
      <c r="C3843" s="30" t="s">
        <v>899</v>
      </c>
      <c r="D3843" s="266" t="s">
        <v>24</v>
      </c>
      <c r="E3843" s="30" t="s">
        <v>902</v>
      </c>
      <c r="F3843" s="30">
        <v>1</v>
      </c>
      <c r="G3843" s="44">
        <v>26412</v>
      </c>
      <c r="H3843" s="30"/>
      <c r="I3843" s="44"/>
      <c r="J3843" s="44"/>
      <c r="K3843" s="44">
        <f t="shared" si="125"/>
        <v>26412</v>
      </c>
      <c r="L3843" s="51">
        <v>20251201</v>
      </c>
    </row>
    <row r="3844" spans="1:12" x14ac:dyDescent="0.25">
      <c r="A3844" s="50" t="s">
        <v>5381</v>
      </c>
      <c r="B3844" s="30" t="s">
        <v>137</v>
      </c>
      <c r="C3844" s="30" t="s">
        <v>53</v>
      </c>
      <c r="D3844" s="266" t="s">
        <v>24</v>
      </c>
      <c r="E3844" s="30" t="s">
        <v>1998</v>
      </c>
      <c r="F3844" s="30">
        <v>1</v>
      </c>
      <c r="G3844" s="44">
        <v>26412</v>
      </c>
      <c r="H3844" s="30"/>
      <c r="I3844" s="44"/>
      <c r="J3844" s="44"/>
      <c r="K3844" s="44">
        <f t="shared" si="125"/>
        <v>26412</v>
      </c>
      <c r="L3844" s="51">
        <v>20251201</v>
      </c>
    </row>
    <row r="3845" spans="1:12" x14ac:dyDescent="0.25">
      <c r="A3845" s="50" t="s">
        <v>5382</v>
      </c>
      <c r="B3845" s="30" t="s">
        <v>137</v>
      </c>
      <c r="C3845" s="30" t="s">
        <v>53</v>
      </c>
      <c r="D3845" s="266" t="s">
        <v>24</v>
      </c>
      <c r="E3845" s="30" t="s">
        <v>1132</v>
      </c>
      <c r="F3845" s="30">
        <v>1</v>
      </c>
      <c r="G3845" s="44">
        <v>26412</v>
      </c>
      <c r="H3845" s="30"/>
      <c r="I3845" s="44"/>
      <c r="J3845" s="44"/>
      <c r="K3845" s="44">
        <f t="shared" si="125"/>
        <v>26412</v>
      </c>
      <c r="L3845" s="51">
        <v>20251201</v>
      </c>
    </row>
    <row r="3846" spans="1:12" x14ac:dyDescent="0.25">
      <c r="A3846" s="50" t="s">
        <v>5383</v>
      </c>
      <c r="B3846" s="30" t="s">
        <v>137</v>
      </c>
      <c r="C3846" s="30" t="s">
        <v>53</v>
      </c>
      <c r="D3846" s="266" t="s">
        <v>24</v>
      </c>
      <c r="E3846" s="30" t="s">
        <v>2289</v>
      </c>
      <c r="F3846" s="30">
        <v>1</v>
      </c>
      <c r="G3846" s="44">
        <v>26412</v>
      </c>
      <c r="H3846" s="30"/>
      <c r="I3846" s="44"/>
      <c r="J3846" s="44"/>
      <c r="K3846" s="44">
        <f t="shared" si="125"/>
        <v>26412</v>
      </c>
      <c r="L3846" s="51">
        <v>20251201</v>
      </c>
    </row>
    <row r="3847" spans="1:12" x14ac:dyDescent="0.25">
      <c r="A3847" s="50" t="s">
        <v>5384</v>
      </c>
      <c r="B3847" s="30" t="s">
        <v>137</v>
      </c>
      <c r="C3847" s="30" t="s">
        <v>53</v>
      </c>
      <c r="D3847" s="266" t="s">
        <v>24</v>
      </c>
      <c r="E3847" s="30" t="s">
        <v>1281</v>
      </c>
      <c r="F3847" s="30">
        <v>1</v>
      </c>
      <c r="G3847" s="44">
        <v>26412</v>
      </c>
      <c r="H3847" s="30"/>
      <c r="I3847" s="44"/>
      <c r="J3847" s="44"/>
      <c r="K3847" s="44">
        <f t="shared" si="125"/>
        <v>26412</v>
      </c>
      <c r="L3847" s="51">
        <v>20251201</v>
      </c>
    </row>
    <row r="3848" spans="1:12" x14ac:dyDescent="0.25">
      <c r="A3848" s="50" t="s">
        <v>5373</v>
      </c>
      <c r="B3848" s="30" t="s">
        <v>137</v>
      </c>
      <c r="C3848" s="30" t="s">
        <v>2111</v>
      </c>
      <c r="D3848" s="266" t="s">
        <v>2244</v>
      </c>
      <c r="E3848" s="30" t="s">
        <v>2245</v>
      </c>
      <c r="F3848" s="30">
        <v>1</v>
      </c>
      <c r="G3848" s="44">
        <v>26412</v>
      </c>
      <c r="H3848" s="30"/>
      <c r="I3848" s="44"/>
      <c r="J3848" s="44"/>
      <c r="K3848" s="44">
        <f t="shared" si="125"/>
        <v>26412</v>
      </c>
      <c r="L3848" s="51">
        <v>20251202</v>
      </c>
    </row>
    <row r="3849" spans="1:12" x14ac:dyDescent="0.25">
      <c r="A3849" s="50" t="s">
        <v>5374</v>
      </c>
      <c r="B3849" s="30" t="s">
        <v>137</v>
      </c>
      <c r="C3849" s="30" t="s">
        <v>2111</v>
      </c>
      <c r="D3849" s="266" t="s">
        <v>2244</v>
      </c>
      <c r="E3849" s="30" t="s">
        <v>2247</v>
      </c>
      <c r="F3849" s="30">
        <v>1</v>
      </c>
      <c r="G3849" s="44">
        <v>26412</v>
      </c>
      <c r="H3849" s="30"/>
      <c r="I3849" s="44"/>
      <c r="J3849" s="44"/>
      <c r="K3849" s="44">
        <f t="shared" si="125"/>
        <v>26412</v>
      </c>
      <c r="L3849" s="51">
        <v>20251202</v>
      </c>
    </row>
    <row r="3850" spans="1:12" x14ac:dyDescent="0.25">
      <c r="A3850" s="50" t="s">
        <v>5358</v>
      </c>
      <c r="B3850" s="30" t="s">
        <v>137</v>
      </c>
      <c r="C3850" s="30" t="s">
        <v>364</v>
      </c>
      <c r="D3850" s="266" t="s">
        <v>24</v>
      </c>
      <c r="E3850" s="30" t="s">
        <v>2702</v>
      </c>
      <c r="F3850" s="30">
        <v>1</v>
      </c>
      <c r="G3850" s="44">
        <v>26412</v>
      </c>
      <c r="H3850" s="30"/>
      <c r="I3850" s="44"/>
      <c r="J3850" s="44"/>
      <c r="K3850" s="44">
        <f t="shared" si="125"/>
        <v>26412</v>
      </c>
      <c r="L3850" s="51">
        <v>20251205</v>
      </c>
    </row>
    <row r="3851" spans="1:12" x14ac:dyDescent="0.25">
      <c r="A3851" s="50" t="s">
        <v>5359</v>
      </c>
      <c r="B3851" s="30" t="s">
        <v>137</v>
      </c>
      <c r="C3851" s="30" t="s">
        <v>364</v>
      </c>
      <c r="D3851" s="266" t="s">
        <v>24</v>
      </c>
      <c r="E3851" s="30" t="s">
        <v>4165</v>
      </c>
      <c r="F3851" s="30">
        <v>1</v>
      </c>
      <c r="G3851" s="44">
        <v>26412</v>
      </c>
      <c r="H3851" s="30"/>
      <c r="I3851" s="44"/>
      <c r="J3851" s="44"/>
      <c r="K3851" s="44">
        <f t="shared" si="125"/>
        <v>26412</v>
      </c>
      <c r="L3851" s="51">
        <v>20251205</v>
      </c>
    </row>
    <row r="3852" spans="1:12" x14ac:dyDescent="0.25">
      <c r="A3852" s="50" t="s">
        <v>5360</v>
      </c>
      <c r="B3852" s="30" t="s">
        <v>137</v>
      </c>
      <c r="C3852" s="30" t="s">
        <v>364</v>
      </c>
      <c r="D3852" s="266" t="s">
        <v>24</v>
      </c>
      <c r="E3852" s="30" t="s">
        <v>2075</v>
      </c>
      <c r="F3852" s="30">
        <v>1</v>
      </c>
      <c r="G3852" s="44">
        <v>26412</v>
      </c>
      <c r="H3852" s="30"/>
      <c r="I3852" s="44"/>
      <c r="J3852" s="44"/>
      <c r="K3852" s="44">
        <f t="shared" si="125"/>
        <v>26412</v>
      </c>
      <c r="L3852" s="51">
        <v>20251205</v>
      </c>
    </row>
    <row r="3853" spans="1:12" x14ac:dyDescent="0.25">
      <c r="A3853" s="50" t="s">
        <v>5361</v>
      </c>
      <c r="B3853" s="30" t="s">
        <v>137</v>
      </c>
      <c r="C3853" s="30" t="s">
        <v>364</v>
      </c>
      <c r="D3853" s="266" t="s">
        <v>24</v>
      </c>
      <c r="E3853" s="30" t="s">
        <v>532</v>
      </c>
      <c r="F3853" s="30">
        <v>1</v>
      </c>
      <c r="G3853" s="44">
        <v>26412</v>
      </c>
      <c r="H3853" s="30"/>
      <c r="I3853" s="44"/>
      <c r="J3853" s="44"/>
      <c r="K3853" s="44">
        <f t="shared" si="125"/>
        <v>26412</v>
      </c>
      <c r="L3853" s="51">
        <v>20251205</v>
      </c>
    </row>
    <row r="3854" spans="1:12" x14ac:dyDescent="0.25">
      <c r="A3854" s="50" t="s">
        <v>5362</v>
      </c>
      <c r="B3854" s="30" t="s">
        <v>137</v>
      </c>
      <c r="C3854" s="30" t="s">
        <v>364</v>
      </c>
      <c r="D3854" s="266" t="s">
        <v>24</v>
      </c>
      <c r="E3854" s="30" t="s">
        <v>1134</v>
      </c>
      <c r="F3854" s="30">
        <v>1</v>
      </c>
      <c r="G3854" s="44">
        <v>26412</v>
      </c>
      <c r="H3854" s="30"/>
      <c r="I3854" s="44"/>
      <c r="J3854" s="44"/>
      <c r="K3854" s="44">
        <f t="shared" si="125"/>
        <v>26412</v>
      </c>
      <c r="L3854" s="51">
        <v>20251205</v>
      </c>
    </row>
    <row r="3855" spans="1:12" x14ac:dyDescent="0.25">
      <c r="A3855" s="50" t="s">
        <v>5363</v>
      </c>
      <c r="B3855" s="30" t="s">
        <v>137</v>
      </c>
      <c r="C3855" s="30" t="s">
        <v>364</v>
      </c>
      <c r="D3855" s="266" t="s">
        <v>24</v>
      </c>
      <c r="E3855" s="30" t="s">
        <v>1136</v>
      </c>
      <c r="F3855" s="30">
        <v>1</v>
      </c>
      <c r="G3855" s="44">
        <v>26412</v>
      </c>
      <c r="H3855" s="30"/>
      <c r="I3855" s="44"/>
      <c r="J3855" s="44"/>
      <c r="K3855" s="44">
        <f t="shared" si="125"/>
        <v>26412</v>
      </c>
      <c r="L3855" s="51">
        <v>20251205</v>
      </c>
    </row>
    <row r="3856" spans="1:12" x14ac:dyDescent="0.25">
      <c r="A3856" s="50" t="s">
        <v>5364</v>
      </c>
      <c r="B3856" s="30" t="s">
        <v>137</v>
      </c>
      <c r="C3856" s="30" t="s">
        <v>364</v>
      </c>
      <c r="D3856" s="266" t="s">
        <v>24</v>
      </c>
      <c r="E3856" s="30" t="s">
        <v>3554</v>
      </c>
      <c r="F3856" s="30">
        <v>1</v>
      </c>
      <c r="G3856" s="44">
        <v>26412</v>
      </c>
      <c r="H3856" s="30"/>
      <c r="I3856" s="44"/>
      <c r="J3856" s="44"/>
      <c r="K3856" s="44">
        <f t="shared" si="125"/>
        <v>26412</v>
      </c>
      <c r="L3856" s="51">
        <v>20251205</v>
      </c>
    </row>
    <row r="3857" spans="1:12" x14ac:dyDescent="0.25">
      <c r="A3857" s="50" t="s">
        <v>5365</v>
      </c>
      <c r="B3857" s="30" t="s">
        <v>137</v>
      </c>
      <c r="C3857" s="30" t="s">
        <v>364</v>
      </c>
      <c r="D3857" s="266" t="s">
        <v>24</v>
      </c>
      <c r="E3857" s="30" t="s">
        <v>4853</v>
      </c>
      <c r="F3857" s="30">
        <v>1</v>
      </c>
      <c r="G3857" s="44">
        <v>26412</v>
      </c>
      <c r="H3857" s="30"/>
      <c r="I3857" s="44"/>
      <c r="J3857" s="44"/>
      <c r="K3857" s="44">
        <f t="shared" si="125"/>
        <v>26412</v>
      </c>
      <c r="L3857" s="51">
        <v>20251205</v>
      </c>
    </row>
    <row r="3858" spans="1:12" x14ac:dyDescent="0.25">
      <c r="A3858" s="50" t="s">
        <v>5375</v>
      </c>
      <c r="B3858" s="30" t="s">
        <v>137</v>
      </c>
      <c r="C3858" s="30" t="s">
        <v>76</v>
      </c>
      <c r="D3858" s="266" t="s">
        <v>2913</v>
      </c>
      <c r="E3858" s="30" t="s">
        <v>77</v>
      </c>
      <c r="F3858" s="30">
        <v>1</v>
      </c>
      <c r="G3858" s="44">
        <v>26412</v>
      </c>
      <c r="H3858" s="30"/>
      <c r="I3858" s="44"/>
      <c r="J3858" s="44"/>
      <c r="K3858" s="44">
        <f t="shared" si="125"/>
        <v>26412</v>
      </c>
      <c r="L3858" s="51">
        <v>20251205</v>
      </c>
    </row>
    <row r="3859" spans="1:12" x14ac:dyDescent="0.25">
      <c r="A3859" s="50" t="s">
        <v>5376</v>
      </c>
      <c r="B3859" s="30" t="s">
        <v>137</v>
      </c>
      <c r="C3859" s="30" t="s">
        <v>76</v>
      </c>
      <c r="D3859" s="266" t="s">
        <v>2913</v>
      </c>
      <c r="E3859" s="30" t="s">
        <v>1156</v>
      </c>
      <c r="F3859" s="30">
        <v>1</v>
      </c>
      <c r="G3859" s="44">
        <v>26412</v>
      </c>
      <c r="H3859" s="30"/>
      <c r="I3859" s="44"/>
      <c r="J3859" s="44"/>
      <c r="K3859" s="44">
        <f t="shared" si="125"/>
        <v>26412</v>
      </c>
      <c r="L3859" s="51">
        <v>20251205</v>
      </c>
    </row>
    <row r="3860" spans="1:12" x14ac:dyDescent="0.25">
      <c r="A3860" s="50" t="s">
        <v>5343</v>
      </c>
      <c r="B3860" s="30" t="s">
        <v>137</v>
      </c>
      <c r="C3860" s="30" t="s">
        <v>202</v>
      </c>
      <c r="D3860" s="266" t="s">
        <v>203</v>
      </c>
      <c r="E3860" s="30" t="s">
        <v>4084</v>
      </c>
      <c r="F3860" s="30">
        <v>1</v>
      </c>
      <c r="G3860" s="44">
        <v>26412</v>
      </c>
      <c r="H3860" s="30"/>
      <c r="I3860" s="44"/>
      <c r="J3860" s="44"/>
      <c r="K3860" s="44">
        <f t="shared" si="125"/>
        <v>26412</v>
      </c>
      <c r="L3860" s="51">
        <v>20251209</v>
      </c>
    </row>
    <row r="3861" spans="1:12" x14ac:dyDescent="0.25">
      <c r="A3861" s="50" t="s">
        <v>5344</v>
      </c>
      <c r="B3861" s="30" t="s">
        <v>137</v>
      </c>
      <c r="C3861" s="30" t="s">
        <v>202</v>
      </c>
      <c r="D3861" s="266" t="s">
        <v>203</v>
      </c>
      <c r="E3861" s="30" t="s">
        <v>2196</v>
      </c>
      <c r="F3861" s="30">
        <v>1</v>
      </c>
      <c r="G3861" s="44">
        <v>26412</v>
      </c>
      <c r="H3861" s="30"/>
      <c r="I3861" s="44"/>
      <c r="J3861" s="44"/>
      <c r="K3861" s="44">
        <f t="shared" si="125"/>
        <v>26412</v>
      </c>
      <c r="L3861" s="51">
        <v>20251209</v>
      </c>
    </row>
    <row r="3862" spans="1:12" x14ac:dyDescent="0.25">
      <c r="A3862" s="50" t="s">
        <v>5345</v>
      </c>
      <c r="B3862" s="30" t="s">
        <v>137</v>
      </c>
      <c r="C3862" s="30" t="s">
        <v>202</v>
      </c>
      <c r="D3862" s="266" t="s">
        <v>203</v>
      </c>
      <c r="E3862" s="30" t="s">
        <v>2198</v>
      </c>
      <c r="F3862" s="30">
        <v>1</v>
      </c>
      <c r="G3862" s="44">
        <v>26412</v>
      </c>
      <c r="H3862" s="30"/>
      <c r="I3862" s="44"/>
      <c r="J3862" s="44"/>
      <c r="K3862" s="44">
        <f t="shared" si="125"/>
        <v>26412</v>
      </c>
      <c r="L3862" s="51">
        <v>20251209</v>
      </c>
    </row>
    <row r="3863" spans="1:12" x14ac:dyDescent="0.25">
      <c r="A3863" s="52" t="s">
        <v>5346</v>
      </c>
      <c r="B3863" s="32" t="s">
        <v>137</v>
      </c>
      <c r="C3863" s="32" t="s">
        <v>202</v>
      </c>
      <c r="D3863" s="32" t="s">
        <v>203</v>
      </c>
      <c r="E3863" s="32" t="s">
        <v>2200</v>
      </c>
      <c r="F3863" s="32">
        <v>1</v>
      </c>
      <c r="G3863" s="45">
        <v>26412</v>
      </c>
      <c r="H3863" s="32">
        <v>100</v>
      </c>
      <c r="I3863" s="45">
        <v>627.1</v>
      </c>
      <c r="J3863" s="45">
        <f>I3863*H3863</f>
        <v>62710</v>
      </c>
      <c r="K3863" s="45">
        <f t="shared" si="125"/>
        <v>89122</v>
      </c>
      <c r="L3863" s="53">
        <v>20251209</v>
      </c>
    </row>
    <row r="3864" spans="1:12" x14ac:dyDescent="0.25">
      <c r="A3864" s="50" t="s">
        <v>5347</v>
      </c>
      <c r="B3864" s="30" t="s">
        <v>137</v>
      </c>
      <c r="C3864" s="30" t="s">
        <v>202</v>
      </c>
      <c r="D3864" s="266" t="s">
        <v>203</v>
      </c>
      <c r="E3864" s="30" t="s">
        <v>214</v>
      </c>
      <c r="F3864" s="30">
        <v>1</v>
      </c>
      <c r="G3864" s="44">
        <v>26412</v>
      </c>
      <c r="H3864" s="30"/>
      <c r="I3864" s="44"/>
      <c r="J3864" s="44"/>
      <c r="K3864" s="44">
        <f t="shared" si="125"/>
        <v>26412</v>
      </c>
      <c r="L3864" s="51">
        <v>20251209</v>
      </c>
    </row>
    <row r="3865" spans="1:12" x14ac:dyDescent="0.25">
      <c r="A3865" s="50" t="s">
        <v>5348</v>
      </c>
      <c r="B3865" s="30" t="s">
        <v>137</v>
      </c>
      <c r="C3865" s="30" t="s">
        <v>202</v>
      </c>
      <c r="D3865" s="266" t="s">
        <v>203</v>
      </c>
      <c r="E3865" s="30" t="s">
        <v>4547</v>
      </c>
      <c r="F3865" s="30">
        <v>1</v>
      </c>
      <c r="G3865" s="44">
        <v>26412</v>
      </c>
      <c r="H3865" s="30"/>
      <c r="I3865" s="44"/>
      <c r="J3865" s="44"/>
      <c r="K3865" s="44">
        <f t="shared" si="125"/>
        <v>26412</v>
      </c>
      <c r="L3865" s="51">
        <v>20251209</v>
      </c>
    </row>
    <row r="3866" spans="1:12" x14ac:dyDescent="0.25">
      <c r="A3866" s="50" t="s">
        <v>5349</v>
      </c>
      <c r="B3866" s="30" t="s">
        <v>137</v>
      </c>
      <c r="C3866" s="30" t="s">
        <v>202</v>
      </c>
      <c r="D3866" s="266" t="s">
        <v>203</v>
      </c>
      <c r="E3866" s="30" t="s">
        <v>2203</v>
      </c>
      <c r="F3866" s="30">
        <v>1</v>
      </c>
      <c r="G3866" s="44">
        <v>26412</v>
      </c>
      <c r="H3866" s="30"/>
      <c r="I3866" s="44"/>
      <c r="J3866" s="44"/>
      <c r="K3866" s="44">
        <f t="shared" si="125"/>
        <v>26412</v>
      </c>
      <c r="L3866" s="51">
        <v>20251209</v>
      </c>
    </row>
    <row r="3867" spans="1:12" x14ac:dyDescent="0.25">
      <c r="A3867" s="50" t="s">
        <v>5350</v>
      </c>
      <c r="B3867" s="30" t="s">
        <v>137</v>
      </c>
      <c r="C3867" s="30" t="s">
        <v>202</v>
      </c>
      <c r="D3867" s="266" t="s">
        <v>203</v>
      </c>
      <c r="E3867" s="30" t="s">
        <v>2206</v>
      </c>
      <c r="F3867" s="30">
        <v>1</v>
      </c>
      <c r="G3867" s="44">
        <v>26412</v>
      </c>
      <c r="H3867" s="30"/>
      <c r="I3867" s="44"/>
      <c r="J3867" s="44"/>
      <c r="K3867" s="44">
        <f t="shared" si="125"/>
        <v>26412</v>
      </c>
      <c r="L3867" s="51">
        <v>20251209</v>
      </c>
    </row>
    <row r="3868" spans="1:12" x14ac:dyDescent="0.25">
      <c r="A3868" s="50" t="s">
        <v>5351</v>
      </c>
      <c r="B3868" s="30" t="s">
        <v>137</v>
      </c>
      <c r="C3868" s="30" t="s">
        <v>202</v>
      </c>
      <c r="D3868" s="266" t="s">
        <v>203</v>
      </c>
      <c r="E3868" s="30" t="s">
        <v>2208</v>
      </c>
      <c r="F3868" s="30">
        <v>1</v>
      </c>
      <c r="G3868" s="44">
        <v>26412</v>
      </c>
      <c r="H3868" s="30"/>
      <c r="I3868" s="44"/>
      <c r="J3868" s="44"/>
      <c r="K3868" s="44">
        <f t="shared" si="125"/>
        <v>26412</v>
      </c>
      <c r="L3868" s="51">
        <v>20251209</v>
      </c>
    </row>
    <row r="3869" spans="1:12" x14ac:dyDescent="0.25">
      <c r="A3869" s="50" t="s">
        <v>5352</v>
      </c>
      <c r="B3869" s="30" t="s">
        <v>137</v>
      </c>
      <c r="C3869" s="30" t="s">
        <v>202</v>
      </c>
      <c r="D3869" s="266" t="s">
        <v>203</v>
      </c>
      <c r="E3869" s="30" t="s">
        <v>2210</v>
      </c>
      <c r="F3869" s="30">
        <v>1</v>
      </c>
      <c r="G3869" s="44">
        <v>26412</v>
      </c>
      <c r="H3869" s="30"/>
      <c r="I3869" s="44"/>
      <c r="J3869" s="44"/>
      <c r="K3869" s="44">
        <f t="shared" si="125"/>
        <v>26412</v>
      </c>
      <c r="L3869" s="51">
        <v>20251209</v>
      </c>
    </row>
    <row r="3870" spans="1:12" x14ac:dyDescent="0.25">
      <c r="A3870" s="50" t="s">
        <v>5353</v>
      </c>
      <c r="B3870" s="30" t="s">
        <v>137</v>
      </c>
      <c r="C3870" s="30" t="s">
        <v>202</v>
      </c>
      <c r="D3870" s="266" t="s">
        <v>203</v>
      </c>
      <c r="E3870" s="30" t="s">
        <v>2212</v>
      </c>
      <c r="F3870" s="30">
        <v>1</v>
      </c>
      <c r="G3870" s="44">
        <v>26412</v>
      </c>
      <c r="H3870" s="30"/>
      <c r="I3870" s="44"/>
      <c r="J3870" s="44"/>
      <c r="K3870" s="44">
        <f t="shared" si="125"/>
        <v>26412</v>
      </c>
      <c r="L3870" s="51">
        <v>20251209</v>
      </c>
    </row>
    <row r="3871" spans="1:12" x14ac:dyDescent="0.25">
      <c r="A3871" s="50" t="s">
        <v>5354</v>
      </c>
      <c r="B3871" s="30" t="s">
        <v>137</v>
      </c>
      <c r="C3871" s="30" t="s">
        <v>202</v>
      </c>
      <c r="D3871" s="266" t="s">
        <v>203</v>
      </c>
      <c r="E3871" s="30" t="s">
        <v>2214</v>
      </c>
      <c r="F3871" s="30">
        <v>1</v>
      </c>
      <c r="G3871" s="44">
        <v>26412</v>
      </c>
      <c r="H3871" s="30"/>
      <c r="I3871" s="44"/>
      <c r="J3871" s="44"/>
      <c r="K3871" s="44">
        <f t="shared" ref="K3871:K3902" si="126">J3871+G3871</f>
        <v>26412</v>
      </c>
      <c r="L3871" s="51">
        <v>20251209</v>
      </c>
    </row>
    <row r="3872" spans="1:12" x14ac:dyDescent="0.25">
      <c r="A3872" s="50" t="s">
        <v>5355</v>
      </c>
      <c r="B3872" s="30" t="s">
        <v>137</v>
      </c>
      <c r="C3872" s="30" t="s">
        <v>202</v>
      </c>
      <c r="D3872" s="266" t="s">
        <v>203</v>
      </c>
      <c r="E3872" s="30" t="s">
        <v>626</v>
      </c>
      <c r="F3872" s="30">
        <v>1</v>
      </c>
      <c r="G3872" s="44">
        <v>26412</v>
      </c>
      <c r="H3872" s="30"/>
      <c r="I3872" s="44"/>
      <c r="J3872" s="44"/>
      <c r="K3872" s="44">
        <f t="shared" si="126"/>
        <v>26412</v>
      </c>
      <c r="L3872" s="51">
        <v>20251209</v>
      </c>
    </row>
    <row r="3873" spans="1:12" x14ac:dyDescent="0.25">
      <c r="A3873" s="50" t="s">
        <v>5337</v>
      </c>
      <c r="B3873" s="30" t="s">
        <v>137</v>
      </c>
      <c r="C3873" s="30" t="s">
        <v>251</v>
      </c>
      <c r="D3873" s="266" t="s">
        <v>740</v>
      </c>
      <c r="E3873" s="30" t="s">
        <v>741</v>
      </c>
      <c r="F3873" s="30">
        <v>1</v>
      </c>
      <c r="G3873" s="44">
        <v>26412</v>
      </c>
      <c r="H3873" s="30"/>
      <c r="I3873" s="44"/>
      <c r="J3873" s="44"/>
      <c r="K3873" s="44">
        <f t="shared" si="126"/>
        <v>26412</v>
      </c>
      <c r="L3873" s="51">
        <v>20251210</v>
      </c>
    </row>
    <row r="3874" spans="1:12" x14ac:dyDescent="0.25">
      <c r="A3874" s="50" t="s">
        <v>5338</v>
      </c>
      <c r="B3874" s="30" t="s">
        <v>137</v>
      </c>
      <c r="C3874" s="30" t="s">
        <v>29</v>
      </c>
      <c r="D3874" s="266" t="s">
        <v>5339</v>
      </c>
      <c r="E3874" s="30" t="s">
        <v>208</v>
      </c>
      <c r="F3874" s="30">
        <v>1</v>
      </c>
      <c r="G3874" s="44">
        <v>26412</v>
      </c>
      <c r="H3874" s="30"/>
      <c r="I3874" s="44"/>
      <c r="J3874" s="44"/>
      <c r="K3874" s="44">
        <f t="shared" si="126"/>
        <v>26412</v>
      </c>
      <c r="L3874" s="51">
        <v>20251210</v>
      </c>
    </row>
    <row r="3875" spans="1:12" x14ac:dyDescent="0.25">
      <c r="A3875" s="50" t="s">
        <v>5340</v>
      </c>
      <c r="B3875" s="30" t="s">
        <v>137</v>
      </c>
      <c r="C3875" s="30" t="s">
        <v>29</v>
      </c>
      <c r="D3875" s="266" t="s">
        <v>2548</v>
      </c>
      <c r="E3875" s="30" t="s">
        <v>390</v>
      </c>
      <c r="F3875" s="30">
        <v>1</v>
      </c>
      <c r="G3875" s="44">
        <v>26412</v>
      </c>
      <c r="H3875" s="30"/>
      <c r="I3875" s="44"/>
      <c r="J3875" s="44"/>
      <c r="K3875" s="44">
        <f t="shared" si="126"/>
        <v>26412</v>
      </c>
      <c r="L3875" s="51">
        <v>20251210</v>
      </c>
    </row>
    <row r="3876" spans="1:12" x14ac:dyDescent="0.25">
      <c r="A3876" s="50" t="s">
        <v>5341</v>
      </c>
      <c r="B3876" s="30" t="s">
        <v>137</v>
      </c>
      <c r="C3876" s="30" t="s">
        <v>29</v>
      </c>
      <c r="D3876" s="266" t="s">
        <v>2548</v>
      </c>
      <c r="E3876" s="30" t="s">
        <v>1497</v>
      </c>
      <c r="F3876" s="30">
        <v>1</v>
      </c>
      <c r="G3876" s="44">
        <v>26412</v>
      </c>
      <c r="H3876" s="30"/>
      <c r="I3876" s="44"/>
      <c r="J3876" s="44"/>
      <c r="K3876" s="44">
        <f t="shared" si="126"/>
        <v>26412</v>
      </c>
      <c r="L3876" s="51">
        <v>20251210</v>
      </c>
    </row>
    <row r="3877" spans="1:12" x14ac:dyDescent="0.25">
      <c r="A3877" s="50" t="s">
        <v>5395</v>
      </c>
      <c r="B3877" s="30" t="s">
        <v>137</v>
      </c>
      <c r="C3877" s="30" t="s">
        <v>29</v>
      </c>
      <c r="D3877" s="266" t="s">
        <v>1385</v>
      </c>
      <c r="E3877" s="30" t="s">
        <v>733</v>
      </c>
      <c r="F3877" s="30">
        <v>1</v>
      </c>
      <c r="G3877" s="44">
        <v>26412</v>
      </c>
      <c r="H3877" s="30"/>
      <c r="I3877" s="44"/>
      <c r="J3877" s="44"/>
      <c r="K3877" s="44">
        <f t="shared" si="126"/>
        <v>26412</v>
      </c>
      <c r="L3877" s="51">
        <v>20251210</v>
      </c>
    </row>
    <row r="3878" spans="1:12" x14ac:dyDescent="0.25">
      <c r="A3878" s="50" t="s">
        <v>5377</v>
      </c>
      <c r="B3878" s="30" t="s">
        <v>137</v>
      </c>
      <c r="C3878" s="30" t="s">
        <v>636</v>
      </c>
      <c r="D3878" s="266" t="s">
        <v>24</v>
      </c>
      <c r="E3878" s="30" t="s">
        <v>2934</v>
      </c>
      <c r="F3878" s="30">
        <v>1</v>
      </c>
      <c r="G3878" s="44">
        <v>26412</v>
      </c>
      <c r="H3878" s="30"/>
      <c r="I3878" s="44"/>
      <c r="J3878" s="44"/>
      <c r="K3878" s="44">
        <f t="shared" si="126"/>
        <v>26412</v>
      </c>
      <c r="L3878" s="51">
        <v>20251210</v>
      </c>
    </row>
    <row r="3879" spans="1:12" x14ac:dyDescent="0.25">
      <c r="A3879" s="50" t="s">
        <v>5378</v>
      </c>
      <c r="B3879" s="30" t="s">
        <v>137</v>
      </c>
      <c r="C3879" s="30" t="s">
        <v>636</v>
      </c>
      <c r="D3879" s="266" t="s">
        <v>24</v>
      </c>
      <c r="E3879" s="30" t="s">
        <v>637</v>
      </c>
      <c r="F3879" s="30">
        <v>1</v>
      </c>
      <c r="G3879" s="44">
        <v>26412</v>
      </c>
      <c r="H3879" s="30"/>
      <c r="I3879" s="44"/>
      <c r="J3879" s="44"/>
      <c r="K3879" s="44">
        <f t="shared" si="126"/>
        <v>26412</v>
      </c>
      <c r="L3879" s="51">
        <v>20251210</v>
      </c>
    </row>
    <row r="3880" spans="1:12" x14ac:dyDescent="0.25">
      <c r="A3880" s="50" t="s">
        <v>5401</v>
      </c>
      <c r="B3880" s="30" t="s">
        <v>137</v>
      </c>
      <c r="C3880" s="30" t="s">
        <v>251</v>
      </c>
      <c r="D3880" s="266" t="s">
        <v>933</v>
      </c>
      <c r="E3880" s="30" t="s">
        <v>934</v>
      </c>
      <c r="F3880" s="30">
        <v>1</v>
      </c>
      <c r="G3880" s="44">
        <v>26412</v>
      </c>
      <c r="H3880" s="30"/>
      <c r="I3880" s="44"/>
      <c r="J3880" s="44"/>
      <c r="K3880" s="44">
        <f t="shared" si="126"/>
        <v>26412</v>
      </c>
      <c r="L3880" s="51">
        <v>20251211</v>
      </c>
    </row>
    <row r="3881" spans="1:12" x14ac:dyDescent="0.25">
      <c r="A3881" s="50" t="s">
        <v>5402</v>
      </c>
      <c r="B3881" s="30" t="s">
        <v>137</v>
      </c>
      <c r="C3881" s="30" t="s">
        <v>28</v>
      </c>
      <c r="D3881" s="266" t="s">
        <v>371</v>
      </c>
      <c r="E3881" s="30" t="s">
        <v>372</v>
      </c>
      <c r="F3881" s="30">
        <v>1</v>
      </c>
      <c r="G3881" s="44">
        <v>26412</v>
      </c>
      <c r="H3881" s="30"/>
      <c r="I3881" s="44"/>
      <c r="J3881" s="44"/>
      <c r="K3881" s="44">
        <f t="shared" si="126"/>
        <v>26412</v>
      </c>
      <c r="L3881" s="51">
        <v>20251211</v>
      </c>
    </row>
    <row r="3882" spans="1:12" x14ac:dyDescent="0.25">
      <c r="A3882" s="50" t="s">
        <v>5399</v>
      </c>
      <c r="B3882" s="30" t="s">
        <v>137</v>
      </c>
      <c r="C3882" s="30" t="s">
        <v>936</v>
      </c>
      <c r="D3882" s="266" t="s">
        <v>937</v>
      </c>
      <c r="E3882" s="30" t="s">
        <v>3821</v>
      </c>
      <c r="F3882" s="30">
        <v>1</v>
      </c>
      <c r="G3882" s="44">
        <v>26412</v>
      </c>
      <c r="H3882" s="30"/>
      <c r="I3882" s="44"/>
      <c r="J3882" s="44"/>
      <c r="K3882" s="44">
        <f t="shared" si="126"/>
        <v>26412</v>
      </c>
      <c r="L3882" s="51">
        <v>20251211</v>
      </c>
    </row>
    <row r="3883" spans="1:12" x14ac:dyDescent="0.25">
      <c r="A3883" s="50" t="s">
        <v>5329</v>
      </c>
      <c r="B3883" s="30" t="s">
        <v>137</v>
      </c>
      <c r="C3883" s="30" t="s">
        <v>474</v>
      </c>
      <c r="D3883" s="266" t="s">
        <v>475</v>
      </c>
      <c r="E3883" s="30" t="s">
        <v>940</v>
      </c>
      <c r="F3883" s="30">
        <v>1</v>
      </c>
      <c r="G3883" s="44">
        <v>26412</v>
      </c>
      <c r="H3883" s="30"/>
      <c r="I3883" s="44"/>
      <c r="J3883" s="44"/>
      <c r="K3883" s="44">
        <f t="shared" si="126"/>
        <v>26412</v>
      </c>
      <c r="L3883" s="51">
        <v>20251211</v>
      </c>
    </row>
    <row r="3884" spans="1:12" x14ac:dyDescent="0.25">
      <c r="A3884" s="50" t="s">
        <v>5330</v>
      </c>
      <c r="B3884" s="30" t="s">
        <v>137</v>
      </c>
      <c r="C3884" s="30" t="s">
        <v>474</v>
      </c>
      <c r="D3884" s="266" t="s">
        <v>475</v>
      </c>
      <c r="E3884" s="30" t="s">
        <v>476</v>
      </c>
      <c r="F3884" s="30">
        <v>1</v>
      </c>
      <c r="G3884" s="44">
        <v>26412</v>
      </c>
      <c r="H3884" s="30"/>
      <c r="I3884" s="44"/>
      <c r="J3884" s="44"/>
      <c r="K3884" s="44">
        <f t="shared" si="126"/>
        <v>26412</v>
      </c>
      <c r="L3884" s="51">
        <v>20251211</v>
      </c>
    </row>
    <row r="3885" spans="1:12" x14ac:dyDescent="0.25">
      <c r="A3885" s="50" t="s">
        <v>5331</v>
      </c>
      <c r="B3885" s="30" t="s">
        <v>137</v>
      </c>
      <c r="C3885" s="30" t="s">
        <v>474</v>
      </c>
      <c r="D3885" s="266" t="s">
        <v>475</v>
      </c>
      <c r="E3885" s="30" t="s">
        <v>3826</v>
      </c>
      <c r="F3885" s="30">
        <v>1</v>
      </c>
      <c r="G3885" s="44">
        <v>26412</v>
      </c>
      <c r="H3885" s="30"/>
      <c r="I3885" s="44"/>
      <c r="J3885" s="44"/>
      <c r="K3885" s="44">
        <f t="shared" si="126"/>
        <v>26412</v>
      </c>
      <c r="L3885" s="51">
        <v>20251211</v>
      </c>
    </row>
    <row r="3886" spans="1:12" x14ac:dyDescent="0.25">
      <c r="A3886" s="50" t="s">
        <v>5379</v>
      </c>
      <c r="B3886" s="30" t="s">
        <v>137</v>
      </c>
      <c r="C3886" s="30" t="s">
        <v>1234</v>
      </c>
      <c r="D3886" s="266" t="s">
        <v>24</v>
      </c>
      <c r="E3886" s="30" t="s">
        <v>1235</v>
      </c>
      <c r="F3886" s="30">
        <v>1</v>
      </c>
      <c r="G3886" s="44">
        <v>26412</v>
      </c>
      <c r="H3886" s="30"/>
      <c r="I3886" s="44"/>
      <c r="J3886" s="44"/>
      <c r="K3886" s="44">
        <f t="shared" si="126"/>
        <v>26412</v>
      </c>
      <c r="L3886" s="51">
        <v>20251211</v>
      </c>
    </row>
    <row r="3887" spans="1:12" x14ac:dyDescent="0.25">
      <c r="A3887" s="50" t="s">
        <v>5380</v>
      </c>
      <c r="B3887" s="30" t="s">
        <v>137</v>
      </c>
      <c r="C3887" s="30" t="s">
        <v>1234</v>
      </c>
      <c r="D3887" s="266" t="s">
        <v>24</v>
      </c>
      <c r="E3887" s="30" t="s">
        <v>2045</v>
      </c>
      <c r="F3887" s="30">
        <v>1</v>
      </c>
      <c r="G3887" s="44">
        <v>26412</v>
      </c>
      <c r="H3887" s="30"/>
      <c r="I3887" s="44"/>
      <c r="J3887" s="44"/>
      <c r="K3887" s="44">
        <f t="shared" si="126"/>
        <v>26412</v>
      </c>
      <c r="L3887" s="51">
        <v>20251211</v>
      </c>
    </row>
    <row r="3888" spans="1:12" x14ac:dyDescent="0.25">
      <c r="A3888" s="50" t="s">
        <v>5333</v>
      </c>
      <c r="B3888" s="30" t="s">
        <v>137</v>
      </c>
      <c r="C3888" s="30" t="s">
        <v>28</v>
      </c>
      <c r="D3888" s="266" t="s">
        <v>759</v>
      </c>
      <c r="E3888" s="30" t="s">
        <v>1106</v>
      </c>
      <c r="F3888" s="30">
        <v>1</v>
      </c>
      <c r="G3888" s="44">
        <v>26412</v>
      </c>
      <c r="H3888" s="30"/>
      <c r="I3888" s="44"/>
      <c r="J3888" s="44"/>
      <c r="K3888" s="44">
        <f t="shared" si="126"/>
        <v>26412</v>
      </c>
      <c r="L3888" s="51">
        <v>20251215</v>
      </c>
    </row>
    <row r="3889" spans="1:12" x14ac:dyDescent="0.25">
      <c r="A3889" s="50" t="s">
        <v>5334</v>
      </c>
      <c r="B3889" s="30" t="s">
        <v>137</v>
      </c>
      <c r="C3889" s="30" t="s">
        <v>28</v>
      </c>
      <c r="D3889" s="266" t="s">
        <v>759</v>
      </c>
      <c r="E3889" s="30" t="s">
        <v>760</v>
      </c>
      <c r="F3889" s="30">
        <v>1</v>
      </c>
      <c r="G3889" s="44">
        <v>26412</v>
      </c>
      <c r="H3889" s="30"/>
      <c r="I3889" s="44"/>
      <c r="J3889" s="44"/>
      <c r="K3889" s="44">
        <f t="shared" si="126"/>
        <v>26412</v>
      </c>
      <c r="L3889" s="51">
        <v>20251215</v>
      </c>
    </row>
    <row r="3890" spans="1:12" x14ac:dyDescent="0.25">
      <c r="A3890" s="50" t="s">
        <v>5335</v>
      </c>
      <c r="B3890" s="30" t="s">
        <v>137</v>
      </c>
      <c r="C3890" s="30" t="s">
        <v>28</v>
      </c>
      <c r="D3890" s="266" t="s">
        <v>759</v>
      </c>
      <c r="E3890" s="30" t="s">
        <v>762</v>
      </c>
      <c r="F3890" s="30">
        <v>1</v>
      </c>
      <c r="G3890" s="44">
        <v>26412</v>
      </c>
      <c r="H3890" s="30"/>
      <c r="I3890" s="44"/>
      <c r="J3890" s="44"/>
      <c r="K3890" s="44">
        <f t="shared" si="126"/>
        <v>26412</v>
      </c>
      <c r="L3890" s="51">
        <v>20251215</v>
      </c>
    </row>
    <row r="3891" spans="1:12" x14ac:dyDescent="0.25">
      <c r="A3891" s="50" t="s">
        <v>5332</v>
      </c>
      <c r="B3891" s="30" t="s">
        <v>137</v>
      </c>
      <c r="C3891" s="30" t="s">
        <v>28</v>
      </c>
      <c r="D3891" s="266" t="s">
        <v>753</v>
      </c>
      <c r="E3891" s="30" t="s">
        <v>754</v>
      </c>
      <c r="F3891" s="30">
        <v>1</v>
      </c>
      <c r="G3891" s="44">
        <v>26412</v>
      </c>
      <c r="H3891" s="30"/>
      <c r="I3891" s="44"/>
      <c r="J3891" s="44"/>
      <c r="K3891" s="44">
        <f t="shared" si="126"/>
        <v>26412</v>
      </c>
      <c r="L3891" s="51">
        <v>20251215</v>
      </c>
    </row>
    <row r="3892" spans="1:12" x14ac:dyDescent="0.25">
      <c r="A3892" s="50" t="s">
        <v>5336</v>
      </c>
      <c r="B3892" s="30" t="s">
        <v>137</v>
      </c>
      <c r="C3892" s="30" t="s">
        <v>28</v>
      </c>
      <c r="D3892" s="266" t="s">
        <v>753</v>
      </c>
      <c r="E3892" s="30" t="s">
        <v>2637</v>
      </c>
      <c r="F3892" s="30">
        <v>1</v>
      </c>
      <c r="G3892" s="44">
        <v>26412</v>
      </c>
      <c r="H3892" s="30"/>
      <c r="I3892" s="44"/>
      <c r="J3892" s="44"/>
      <c r="K3892" s="44">
        <f t="shared" si="126"/>
        <v>26412</v>
      </c>
      <c r="L3892" s="51">
        <v>20251215</v>
      </c>
    </row>
    <row r="3893" spans="1:12" x14ac:dyDescent="0.25">
      <c r="A3893" s="50" t="s">
        <v>5281</v>
      </c>
      <c r="B3893" s="30" t="s">
        <v>137</v>
      </c>
      <c r="C3893" s="30" t="s">
        <v>646</v>
      </c>
      <c r="D3893" s="266" t="s">
        <v>24</v>
      </c>
      <c r="E3893" s="30" t="s">
        <v>3677</v>
      </c>
      <c r="F3893" s="30">
        <v>1</v>
      </c>
      <c r="G3893" s="44">
        <v>26412</v>
      </c>
      <c r="H3893" s="30"/>
      <c r="I3893" s="44"/>
      <c r="J3893" s="44"/>
      <c r="K3893" s="44">
        <f t="shared" si="126"/>
        <v>26412</v>
      </c>
      <c r="L3893" s="51">
        <v>20251216</v>
      </c>
    </row>
    <row r="3894" spans="1:12" x14ac:dyDescent="0.25">
      <c r="A3894" s="50" t="s">
        <v>5282</v>
      </c>
      <c r="B3894" s="30" t="s">
        <v>137</v>
      </c>
      <c r="C3894" s="30" t="s">
        <v>646</v>
      </c>
      <c r="D3894" s="266" t="s">
        <v>24</v>
      </c>
      <c r="E3894" s="30" t="s">
        <v>670</v>
      </c>
      <c r="F3894" s="30">
        <v>1</v>
      </c>
      <c r="G3894" s="44">
        <v>26412</v>
      </c>
      <c r="H3894" s="30"/>
      <c r="I3894" s="44"/>
      <c r="J3894" s="44"/>
      <c r="K3894" s="44">
        <f t="shared" si="126"/>
        <v>26412</v>
      </c>
      <c r="L3894" s="51">
        <v>20251216</v>
      </c>
    </row>
    <row r="3895" spans="1:12" x14ac:dyDescent="0.25">
      <c r="A3895" s="50" t="s">
        <v>5277</v>
      </c>
      <c r="B3895" s="30" t="s">
        <v>137</v>
      </c>
      <c r="C3895" s="30" t="s">
        <v>770</v>
      </c>
      <c r="D3895" s="266" t="s">
        <v>2764</v>
      </c>
      <c r="E3895" s="30" t="s">
        <v>771</v>
      </c>
      <c r="F3895" s="30">
        <v>1</v>
      </c>
      <c r="G3895" s="44">
        <v>26412</v>
      </c>
      <c r="H3895" s="30"/>
      <c r="I3895" s="44"/>
      <c r="J3895" s="44"/>
      <c r="K3895" s="44">
        <f t="shared" si="126"/>
        <v>26412</v>
      </c>
      <c r="L3895" s="51">
        <v>20251216</v>
      </c>
    </row>
    <row r="3896" spans="1:12" x14ac:dyDescent="0.25">
      <c r="A3896" s="50" t="s">
        <v>5278</v>
      </c>
      <c r="B3896" s="30" t="s">
        <v>137</v>
      </c>
      <c r="C3896" s="30" t="s">
        <v>770</v>
      </c>
      <c r="D3896" s="266" t="s">
        <v>2764</v>
      </c>
      <c r="E3896" s="30" t="s">
        <v>3389</v>
      </c>
      <c r="F3896" s="30">
        <v>1</v>
      </c>
      <c r="G3896" s="44">
        <v>26412</v>
      </c>
      <c r="H3896" s="30"/>
      <c r="I3896" s="44"/>
      <c r="J3896" s="44"/>
      <c r="K3896" s="44">
        <f t="shared" si="126"/>
        <v>26412</v>
      </c>
      <c r="L3896" s="51">
        <v>20251216</v>
      </c>
    </row>
    <row r="3897" spans="1:12" x14ac:dyDescent="0.25">
      <c r="A3897" s="50" t="s">
        <v>5279</v>
      </c>
      <c r="B3897" s="30" t="s">
        <v>137</v>
      </c>
      <c r="C3897" s="30" t="s">
        <v>770</v>
      </c>
      <c r="D3897" s="266" t="s">
        <v>2764</v>
      </c>
      <c r="E3897" s="30" t="s">
        <v>773</v>
      </c>
      <c r="F3897" s="30">
        <v>1</v>
      </c>
      <c r="G3897" s="44">
        <v>26412</v>
      </c>
      <c r="H3897" s="30"/>
      <c r="I3897" s="44"/>
      <c r="J3897" s="44"/>
      <c r="K3897" s="44">
        <f t="shared" si="126"/>
        <v>26412</v>
      </c>
      <c r="L3897" s="51">
        <v>20251216</v>
      </c>
    </row>
    <row r="3898" spans="1:12" x14ac:dyDescent="0.25">
      <c r="A3898" s="50" t="s">
        <v>5280</v>
      </c>
      <c r="B3898" s="30" t="s">
        <v>137</v>
      </c>
      <c r="C3898" s="30" t="s">
        <v>770</v>
      </c>
      <c r="D3898" s="266" t="s">
        <v>2764</v>
      </c>
      <c r="E3898" s="30" t="s">
        <v>2944</v>
      </c>
      <c r="F3898" s="30">
        <v>1</v>
      </c>
      <c r="G3898" s="44">
        <v>26412</v>
      </c>
      <c r="H3898" s="30"/>
      <c r="I3898" s="44"/>
      <c r="J3898" s="44"/>
      <c r="K3898" s="44">
        <f t="shared" si="126"/>
        <v>26412</v>
      </c>
      <c r="L3898" s="51">
        <v>20251216</v>
      </c>
    </row>
    <row r="3899" spans="1:12" x14ac:dyDescent="0.25">
      <c r="A3899" s="50" t="s">
        <v>5397</v>
      </c>
      <c r="B3899" s="30" t="s">
        <v>137</v>
      </c>
      <c r="C3899" s="30" t="s">
        <v>4330</v>
      </c>
      <c r="D3899" s="266" t="s">
        <v>95</v>
      </c>
      <c r="E3899" s="30" t="s">
        <v>3776</v>
      </c>
      <c r="F3899" s="30">
        <v>1</v>
      </c>
      <c r="G3899" s="44">
        <v>26412</v>
      </c>
      <c r="H3899" s="30"/>
      <c r="I3899" s="44"/>
      <c r="J3899" s="44"/>
      <c r="K3899" s="44">
        <f t="shared" si="126"/>
        <v>26412</v>
      </c>
      <c r="L3899" s="51">
        <v>20251216</v>
      </c>
    </row>
    <row r="3900" spans="1:12" x14ac:dyDescent="0.25">
      <c r="A3900" s="50" t="s">
        <v>5398</v>
      </c>
      <c r="B3900" s="30" t="s">
        <v>137</v>
      </c>
      <c r="C3900" s="30" t="s">
        <v>4330</v>
      </c>
      <c r="D3900" s="266" t="s">
        <v>95</v>
      </c>
      <c r="E3900" s="30" t="s">
        <v>3773</v>
      </c>
      <c r="F3900" s="30">
        <v>1</v>
      </c>
      <c r="G3900" s="44">
        <v>26412</v>
      </c>
      <c r="H3900" s="30"/>
      <c r="I3900" s="44"/>
      <c r="J3900" s="44"/>
      <c r="K3900" s="44">
        <f t="shared" si="126"/>
        <v>26412</v>
      </c>
      <c r="L3900" s="51">
        <v>20251216</v>
      </c>
    </row>
    <row r="3901" spans="1:12" x14ac:dyDescent="0.25">
      <c r="A3901" s="50" t="s">
        <v>5304</v>
      </c>
      <c r="B3901" s="30" t="s">
        <v>137</v>
      </c>
      <c r="C3901" s="30" t="s">
        <v>636</v>
      </c>
      <c r="D3901" s="266" t="s">
        <v>4889</v>
      </c>
      <c r="E3901" s="30" t="s">
        <v>5305</v>
      </c>
      <c r="F3901" s="30">
        <v>1</v>
      </c>
      <c r="G3901" s="44">
        <v>26412</v>
      </c>
      <c r="H3901" s="30"/>
      <c r="I3901" s="44"/>
      <c r="J3901" s="44"/>
      <c r="K3901" s="44">
        <f t="shared" si="126"/>
        <v>26412</v>
      </c>
      <c r="L3901" s="51">
        <v>20251216</v>
      </c>
    </row>
    <row r="3902" spans="1:12" x14ac:dyDescent="0.25">
      <c r="A3902" s="50" t="s">
        <v>5306</v>
      </c>
      <c r="B3902" s="30" t="s">
        <v>137</v>
      </c>
      <c r="C3902" s="30" t="s">
        <v>636</v>
      </c>
      <c r="D3902" s="266" t="s">
        <v>4889</v>
      </c>
      <c r="E3902" s="30" t="s">
        <v>5307</v>
      </c>
      <c r="F3902" s="30">
        <v>1</v>
      </c>
      <c r="G3902" s="44">
        <v>26412</v>
      </c>
      <c r="H3902" s="30"/>
      <c r="I3902" s="44"/>
      <c r="J3902" s="44"/>
      <c r="K3902" s="44">
        <f t="shared" si="126"/>
        <v>26412</v>
      </c>
      <c r="L3902" s="51">
        <v>20251216</v>
      </c>
    </row>
    <row r="3903" spans="1:12" x14ac:dyDescent="0.25">
      <c r="A3903" s="50" t="s">
        <v>5308</v>
      </c>
      <c r="B3903" s="30" t="s">
        <v>137</v>
      </c>
      <c r="C3903" s="30" t="s">
        <v>636</v>
      </c>
      <c r="D3903" s="266" t="s">
        <v>4889</v>
      </c>
      <c r="E3903" s="30" t="s">
        <v>5309</v>
      </c>
      <c r="F3903" s="30">
        <v>1</v>
      </c>
      <c r="G3903" s="44">
        <v>26412</v>
      </c>
      <c r="H3903" s="30"/>
      <c r="I3903" s="44"/>
      <c r="J3903" s="44"/>
      <c r="K3903" s="44">
        <f t="shared" ref="K3903:K3933" si="127">J3903+G3903</f>
        <v>26412</v>
      </c>
      <c r="L3903" s="51">
        <v>20251216</v>
      </c>
    </row>
    <row r="3904" spans="1:12" x14ac:dyDescent="0.25">
      <c r="A3904" s="50" t="s">
        <v>5310</v>
      </c>
      <c r="B3904" s="30" t="s">
        <v>137</v>
      </c>
      <c r="C3904" s="30" t="s">
        <v>636</v>
      </c>
      <c r="D3904" s="266" t="s">
        <v>4889</v>
      </c>
      <c r="E3904" s="30" t="s">
        <v>5311</v>
      </c>
      <c r="F3904" s="30">
        <v>1</v>
      </c>
      <c r="G3904" s="44">
        <v>26412</v>
      </c>
      <c r="H3904" s="30"/>
      <c r="I3904" s="44"/>
      <c r="J3904" s="44"/>
      <c r="K3904" s="44">
        <f t="shared" si="127"/>
        <v>26412</v>
      </c>
      <c r="L3904" s="51">
        <v>20251216</v>
      </c>
    </row>
    <row r="3905" spans="1:12" x14ac:dyDescent="0.25">
      <c r="A3905" s="50" t="s">
        <v>5316</v>
      </c>
      <c r="B3905" s="30" t="s">
        <v>137</v>
      </c>
      <c r="C3905" s="30" t="s">
        <v>636</v>
      </c>
      <c r="D3905" s="266" t="s">
        <v>4889</v>
      </c>
      <c r="E3905" s="30" t="s">
        <v>5317</v>
      </c>
      <c r="F3905" s="30">
        <v>1</v>
      </c>
      <c r="G3905" s="44">
        <v>26412</v>
      </c>
      <c r="H3905" s="30"/>
      <c r="I3905" s="44"/>
      <c r="J3905" s="44"/>
      <c r="K3905" s="44">
        <f t="shared" si="127"/>
        <v>26412</v>
      </c>
      <c r="L3905" s="51">
        <v>20251216</v>
      </c>
    </row>
    <row r="3906" spans="1:12" x14ac:dyDescent="0.25">
      <c r="A3906" s="50" t="s">
        <v>5318</v>
      </c>
      <c r="B3906" s="30" t="s">
        <v>137</v>
      </c>
      <c r="C3906" s="30" t="s">
        <v>636</v>
      </c>
      <c r="D3906" s="266" t="s">
        <v>4889</v>
      </c>
      <c r="E3906" s="30" t="s">
        <v>2459</v>
      </c>
      <c r="F3906" s="30">
        <v>1</v>
      </c>
      <c r="G3906" s="44">
        <v>26412</v>
      </c>
      <c r="H3906" s="30"/>
      <c r="I3906" s="44"/>
      <c r="J3906" s="44"/>
      <c r="K3906" s="44">
        <f t="shared" si="127"/>
        <v>26412</v>
      </c>
      <c r="L3906" s="51">
        <v>20251216</v>
      </c>
    </row>
    <row r="3907" spans="1:12" x14ac:dyDescent="0.25">
      <c r="A3907" s="50" t="s">
        <v>5319</v>
      </c>
      <c r="B3907" s="30" t="s">
        <v>137</v>
      </c>
      <c r="C3907" s="30" t="s">
        <v>636</v>
      </c>
      <c r="D3907" s="266" t="s">
        <v>4889</v>
      </c>
      <c r="E3907" s="30" t="s">
        <v>5320</v>
      </c>
      <c r="F3907" s="30">
        <v>1</v>
      </c>
      <c r="G3907" s="44">
        <v>26412</v>
      </c>
      <c r="H3907" s="30"/>
      <c r="I3907" s="44"/>
      <c r="J3907" s="44"/>
      <c r="K3907" s="44">
        <f t="shared" si="127"/>
        <v>26412</v>
      </c>
      <c r="L3907" s="51">
        <v>20251216</v>
      </c>
    </row>
    <row r="3908" spans="1:12" x14ac:dyDescent="0.25">
      <c r="A3908" s="50" t="s">
        <v>5321</v>
      </c>
      <c r="B3908" s="30" t="s">
        <v>137</v>
      </c>
      <c r="C3908" s="30" t="s">
        <v>636</v>
      </c>
      <c r="D3908" s="266" t="s">
        <v>4889</v>
      </c>
      <c r="E3908" s="30" t="s">
        <v>5322</v>
      </c>
      <c r="F3908" s="30">
        <v>1</v>
      </c>
      <c r="G3908" s="44">
        <v>26412</v>
      </c>
      <c r="H3908" s="30"/>
      <c r="I3908" s="44"/>
      <c r="J3908" s="44"/>
      <c r="K3908" s="44">
        <f t="shared" si="127"/>
        <v>26412</v>
      </c>
      <c r="L3908" s="51">
        <v>20251216</v>
      </c>
    </row>
    <row r="3909" spans="1:12" x14ac:dyDescent="0.25">
      <c r="A3909" s="50" t="s">
        <v>5323</v>
      </c>
      <c r="B3909" s="30" t="s">
        <v>137</v>
      </c>
      <c r="C3909" s="30" t="s">
        <v>636</v>
      </c>
      <c r="D3909" s="266" t="s">
        <v>4889</v>
      </c>
      <c r="E3909" s="30" t="s">
        <v>5324</v>
      </c>
      <c r="F3909" s="30">
        <v>1</v>
      </c>
      <c r="G3909" s="44">
        <v>26412</v>
      </c>
      <c r="H3909" s="30"/>
      <c r="I3909" s="44"/>
      <c r="J3909" s="44"/>
      <c r="K3909" s="44">
        <f t="shared" si="127"/>
        <v>26412</v>
      </c>
      <c r="L3909" s="51">
        <v>20251216</v>
      </c>
    </row>
    <row r="3910" spans="1:12" x14ac:dyDescent="0.25">
      <c r="A3910" s="50" t="s">
        <v>5285</v>
      </c>
      <c r="B3910" s="30" t="s">
        <v>137</v>
      </c>
      <c r="C3910" s="30" t="s">
        <v>4655</v>
      </c>
      <c r="D3910" s="266" t="s">
        <v>5286</v>
      </c>
      <c r="E3910" s="30" t="s">
        <v>5287</v>
      </c>
      <c r="F3910" s="30">
        <v>1</v>
      </c>
      <c r="G3910" s="44">
        <v>26412</v>
      </c>
      <c r="H3910" s="30"/>
      <c r="I3910" s="44"/>
      <c r="J3910" s="44"/>
      <c r="K3910" s="44">
        <f t="shared" si="127"/>
        <v>26412</v>
      </c>
      <c r="L3910" s="51">
        <v>20251216</v>
      </c>
    </row>
    <row r="3911" spans="1:12" x14ac:dyDescent="0.25">
      <c r="A3911" s="52" t="s">
        <v>5288</v>
      </c>
      <c r="B3911" s="32" t="s">
        <v>137</v>
      </c>
      <c r="C3911" s="32" t="s">
        <v>4655</v>
      </c>
      <c r="D3911" s="32" t="s">
        <v>5286</v>
      </c>
      <c r="E3911" s="32" t="s">
        <v>5289</v>
      </c>
      <c r="F3911" s="32">
        <v>1</v>
      </c>
      <c r="G3911" s="45">
        <v>26412</v>
      </c>
      <c r="H3911" s="32">
        <v>32</v>
      </c>
      <c r="I3911" s="45">
        <v>627.1</v>
      </c>
      <c r="J3911" s="45">
        <f>I3911*H3911</f>
        <v>20067.2</v>
      </c>
      <c r="K3911" s="45">
        <f t="shared" si="127"/>
        <v>46479.199999999997</v>
      </c>
      <c r="L3911" s="53">
        <v>20251216</v>
      </c>
    </row>
    <row r="3912" spans="1:12" x14ac:dyDescent="0.25">
      <c r="A3912" s="50" t="s">
        <v>5298</v>
      </c>
      <c r="B3912" s="30" t="s">
        <v>137</v>
      </c>
      <c r="C3912" s="30" t="s">
        <v>636</v>
      </c>
      <c r="D3912" s="266" t="s">
        <v>4889</v>
      </c>
      <c r="E3912" s="30" t="s">
        <v>5299</v>
      </c>
      <c r="F3912" s="30">
        <v>1</v>
      </c>
      <c r="G3912" s="44">
        <v>26412</v>
      </c>
      <c r="H3912" s="30"/>
      <c r="I3912" s="44"/>
      <c r="J3912" s="44"/>
      <c r="K3912" s="44">
        <f t="shared" si="127"/>
        <v>26412</v>
      </c>
      <c r="L3912" s="51">
        <v>20251218</v>
      </c>
    </row>
    <row r="3913" spans="1:12" x14ac:dyDescent="0.25">
      <c r="A3913" s="50" t="s">
        <v>5300</v>
      </c>
      <c r="B3913" s="30" t="s">
        <v>137</v>
      </c>
      <c r="C3913" s="30" t="s">
        <v>636</v>
      </c>
      <c r="D3913" s="266" t="s">
        <v>4889</v>
      </c>
      <c r="E3913" s="30" t="s">
        <v>5301</v>
      </c>
      <c r="F3913" s="30">
        <v>1</v>
      </c>
      <c r="G3913" s="44">
        <v>26412</v>
      </c>
      <c r="H3913" s="30"/>
      <c r="I3913" s="44"/>
      <c r="J3913" s="44"/>
      <c r="K3913" s="44">
        <f t="shared" si="127"/>
        <v>26412</v>
      </c>
      <c r="L3913" s="51">
        <v>20251218</v>
      </c>
    </row>
    <row r="3914" spans="1:12" x14ac:dyDescent="0.25">
      <c r="A3914" s="50" t="s">
        <v>5302</v>
      </c>
      <c r="B3914" s="30" t="s">
        <v>137</v>
      </c>
      <c r="C3914" s="30" t="s">
        <v>636</v>
      </c>
      <c r="D3914" s="266" t="s">
        <v>4889</v>
      </c>
      <c r="E3914" s="30" t="s">
        <v>5303</v>
      </c>
      <c r="F3914" s="30">
        <v>1</v>
      </c>
      <c r="G3914" s="44">
        <v>26412</v>
      </c>
      <c r="H3914" s="30"/>
      <c r="I3914" s="44"/>
      <c r="J3914" s="44"/>
      <c r="K3914" s="44">
        <f t="shared" si="127"/>
        <v>26412</v>
      </c>
      <c r="L3914" s="51">
        <v>20251218</v>
      </c>
    </row>
    <row r="3915" spans="1:12" x14ac:dyDescent="0.25">
      <c r="A3915" s="50" t="s">
        <v>5312</v>
      </c>
      <c r="B3915" s="30" t="s">
        <v>137</v>
      </c>
      <c r="C3915" s="30" t="s">
        <v>636</v>
      </c>
      <c r="D3915" s="266" t="s">
        <v>4889</v>
      </c>
      <c r="E3915" s="30" t="s">
        <v>5313</v>
      </c>
      <c r="F3915" s="30">
        <v>1</v>
      </c>
      <c r="G3915" s="44">
        <v>26412</v>
      </c>
      <c r="H3915" s="30"/>
      <c r="I3915" s="44"/>
      <c r="J3915" s="44"/>
      <c r="K3915" s="44">
        <f t="shared" si="127"/>
        <v>26412</v>
      </c>
      <c r="L3915" s="51">
        <v>20251218</v>
      </c>
    </row>
    <row r="3916" spans="1:12" x14ac:dyDescent="0.25">
      <c r="A3916" s="50" t="s">
        <v>5314</v>
      </c>
      <c r="B3916" s="30" t="s">
        <v>137</v>
      </c>
      <c r="C3916" s="30" t="s">
        <v>636</v>
      </c>
      <c r="D3916" s="266" t="s">
        <v>4889</v>
      </c>
      <c r="E3916" s="30" t="s">
        <v>5315</v>
      </c>
      <c r="F3916" s="30">
        <v>1</v>
      </c>
      <c r="G3916" s="44">
        <v>26412</v>
      </c>
      <c r="H3916" s="30"/>
      <c r="I3916" s="44"/>
      <c r="J3916" s="44"/>
      <c r="K3916" s="44">
        <f t="shared" si="127"/>
        <v>26412</v>
      </c>
      <c r="L3916" s="51">
        <v>20251218</v>
      </c>
    </row>
    <row r="3917" spans="1:12" x14ac:dyDescent="0.25">
      <c r="A3917" s="50" t="s">
        <v>5325</v>
      </c>
      <c r="B3917" s="30" t="s">
        <v>137</v>
      </c>
      <c r="C3917" s="30" t="s">
        <v>636</v>
      </c>
      <c r="D3917" s="266" t="s">
        <v>4889</v>
      </c>
      <c r="E3917" s="30" t="s">
        <v>5326</v>
      </c>
      <c r="F3917" s="30">
        <v>1</v>
      </c>
      <c r="G3917" s="44">
        <v>26412</v>
      </c>
      <c r="H3917" s="30"/>
      <c r="I3917" s="44"/>
      <c r="J3917" s="44"/>
      <c r="K3917" s="44">
        <f t="shared" si="127"/>
        <v>26412</v>
      </c>
      <c r="L3917" s="51">
        <v>20251218</v>
      </c>
    </row>
    <row r="3918" spans="1:12" x14ac:dyDescent="0.25">
      <c r="A3918" s="50" t="s">
        <v>5292</v>
      </c>
      <c r="B3918" s="30" t="s">
        <v>137</v>
      </c>
      <c r="C3918" s="30" t="s">
        <v>654</v>
      </c>
      <c r="D3918" s="266" t="s">
        <v>1470</v>
      </c>
      <c r="E3918" s="30" t="s">
        <v>3913</v>
      </c>
      <c r="F3918" s="30">
        <v>1</v>
      </c>
      <c r="G3918" s="44">
        <v>26412</v>
      </c>
      <c r="H3918" s="30"/>
      <c r="I3918" s="44"/>
      <c r="J3918" s="44"/>
      <c r="K3918" s="44">
        <f t="shared" si="127"/>
        <v>26412</v>
      </c>
      <c r="L3918" s="51">
        <v>20251219</v>
      </c>
    </row>
    <row r="3919" spans="1:12" x14ac:dyDescent="0.25">
      <c r="A3919" s="50" t="s">
        <v>5293</v>
      </c>
      <c r="B3919" s="30" t="s">
        <v>137</v>
      </c>
      <c r="C3919" s="30" t="s">
        <v>654</v>
      </c>
      <c r="D3919" s="266" t="s">
        <v>1470</v>
      </c>
      <c r="E3919" s="30" t="s">
        <v>3917</v>
      </c>
      <c r="F3919" s="30">
        <v>1</v>
      </c>
      <c r="G3919" s="44">
        <v>26412</v>
      </c>
      <c r="H3919" s="30"/>
      <c r="I3919" s="44"/>
      <c r="J3919" s="44"/>
      <c r="K3919" s="44">
        <f t="shared" si="127"/>
        <v>26412</v>
      </c>
      <c r="L3919" s="51">
        <v>20251219</v>
      </c>
    </row>
    <row r="3920" spans="1:12" x14ac:dyDescent="0.25">
      <c r="A3920" s="50" t="s">
        <v>5294</v>
      </c>
      <c r="B3920" s="30" t="s">
        <v>137</v>
      </c>
      <c r="C3920" s="30" t="s">
        <v>654</v>
      </c>
      <c r="D3920" s="266" t="s">
        <v>1470</v>
      </c>
      <c r="E3920" s="30" t="s">
        <v>3915</v>
      </c>
      <c r="F3920" s="30">
        <v>1</v>
      </c>
      <c r="G3920" s="44">
        <v>26412</v>
      </c>
      <c r="H3920" s="30"/>
      <c r="I3920" s="44"/>
      <c r="J3920" s="44"/>
      <c r="K3920" s="44">
        <f t="shared" si="127"/>
        <v>26412</v>
      </c>
      <c r="L3920" s="51">
        <v>20251219</v>
      </c>
    </row>
    <row r="3921" spans="1:12" x14ac:dyDescent="0.25">
      <c r="A3921" s="50" t="s">
        <v>5295</v>
      </c>
      <c r="B3921" s="30" t="s">
        <v>137</v>
      </c>
      <c r="C3921" s="30" t="s">
        <v>654</v>
      </c>
      <c r="D3921" s="266" t="s">
        <v>1470</v>
      </c>
      <c r="E3921" s="30" t="s">
        <v>3907</v>
      </c>
      <c r="F3921" s="30">
        <v>1</v>
      </c>
      <c r="G3921" s="44">
        <v>26412</v>
      </c>
      <c r="H3921" s="30"/>
      <c r="I3921" s="44"/>
      <c r="J3921" s="44"/>
      <c r="K3921" s="44">
        <f t="shared" si="127"/>
        <v>26412</v>
      </c>
      <c r="L3921" s="51">
        <v>20251219</v>
      </c>
    </row>
    <row r="3922" spans="1:12" x14ac:dyDescent="0.25">
      <c r="A3922" s="50" t="s">
        <v>5296</v>
      </c>
      <c r="B3922" s="30" t="s">
        <v>137</v>
      </c>
      <c r="C3922" s="30" t="s">
        <v>654</v>
      </c>
      <c r="D3922" s="266" t="s">
        <v>1470</v>
      </c>
      <c r="E3922" s="30" t="s">
        <v>3911</v>
      </c>
      <c r="F3922" s="30">
        <v>1</v>
      </c>
      <c r="G3922" s="44">
        <v>26412</v>
      </c>
      <c r="H3922" s="30"/>
      <c r="I3922" s="44"/>
      <c r="J3922" s="44"/>
      <c r="K3922" s="44">
        <f t="shared" si="127"/>
        <v>26412</v>
      </c>
      <c r="L3922" s="51">
        <v>20251219</v>
      </c>
    </row>
    <row r="3923" spans="1:12" x14ac:dyDescent="0.25">
      <c r="A3923" s="52" t="s">
        <v>5297</v>
      </c>
      <c r="B3923" s="32" t="s">
        <v>137</v>
      </c>
      <c r="C3923" s="32" t="s">
        <v>654</v>
      </c>
      <c r="D3923" s="32" t="s">
        <v>1470</v>
      </c>
      <c r="E3923" s="32" t="s">
        <v>3909</v>
      </c>
      <c r="F3923" s="32">
        <v>1</v>
      </c>
      <c r="G3923" s="45">
        <v>26412</v>
      </c>
      <c r="H3923" s="32">
        <v>37</v>
      </c>
      <c r="I3923" s="45">
        <v>627.1</v>
      </c>
      <c r="J3923" s="45">
        <f>I3923*H3923</f>
        <v>23202.7</v>
      </c>
      <c r="K3923" s="45">
        <f t="shared" si="127"/>
        <v>49614.7</v>
      </c>
      <c r="L3923" s="53">
        <v>20251219</v>
      </c>
    </row>
    <row r="3924" spans="1:12" x14ac:dyDescent="0.25">
      <c r="A3924" s="50" t="s">
        <v>5290</v>
      </c>
      <c r="B3924" s="30" t="s">
        <v>137</v>
      </c>
      <c r="C3924" s="30" t="s">
        <v>2111</v>
      </c>
      <c r="D3924" s="266" t="s">
        <v>2112</v>
      </c>
      <c r="E3924" s="30" t="s">
        <v>2113</v>
      </c>
      <c r="F3924" s="30">
        <v>1</v>
      </c>
      <c r="G3924" s="44">
        <v>26412</v>
      </c>
      <c r="H3924" s="30"/>
      <c r="I3924" s="44"/>
      <c r="J3924" s="44"/>
      <c r="K3924" s="44">
        <f t="shared" si="127"/>
        <v>26412</v>
      </c>
      <c r="L3924" s="51">
        <v>20251223</v>
      </c>
    </row>
    <row r="3925" spans="1:12" x14ac:dyDescent="0.25">
      <c r="A3925" s="50" t="s">
        <v>5291</v>
      </c>
      <c r="B3925" s="30" t="s">
        <v>137</v>
      </c>
      <c r="C3925" s="30" t="s">
        <v>2111</v>
      </c>
      <c r="D3925" s="266" t="s">
        <v>2112</v>
      </c>
      <c r="E3925" s="30" t="s">
        <v>2115</v>
      </c>
      <c r="F3925" s="30">
        <v>1</v>
      </c>
      <c r="G3925" s="44">
        <v>26412</v>
      </c>
      <c r="H3925" s="30"/>
      <c r="I3925" s="44"/>
      <c r="J3925" s="44"/>
      <c r="K3925" s="44">
        <f t="shared" si="127"/>
        <v>26412</v>
      </c>
      <c r="L3925" s="51">
        <v>20251223</v>
      </c>
    </row>
    <row r="3926" spans="1:12" x14ac:dyDescent="0.25">
      <c r="A3926" s="50" t="s">
        <v>5259</v>
      </c>
      <c r="B3926" s="30" t="s">
        <v>137</v>
      </c>
      <c r="C3926" s="30" t="s">
        <v>29</v>
      </c>
      <c r="D3926" s="266" t="s">
        <v>1656</v>
      </c>
      <c r="E3926" s="30" t="s">
        <v>2300</v>
      </c>
      <c r="F3926" s="30">
        <v>1</v>
      </c>
      <c r="G3926" s="44">
        <v>26412</v>
      </c>
      <c r="H3926" s="30"/>
      <c r="I3926" s="44"/>
      <c r="J3926" s="44"/>
      <c r="K3926" s="44">
        <f t="shared" si="127"/>
        <v>26412</v>
      </c>
      <c r="L3926" s="51">
        <v>20251229</v>
      </c>
    </row>
    <row r="3927" spans="1:12" x14ac:dyDescent="0.25">
      <c r="A3927" s="50" t="s">
        <v>5260</v>
      </c>
      <c r="B3927" s="30" t="s">
        <v>137</v>
      </c>
      <c r="C3927" s="30" t="s">
        <v>29</v>
      </c>
      <c r="D3927" s="266" t="s">
        <v>1656</v>
      </c>
      <c r="E3927" s="30" t="s">
        <v>2324</v>
      </c>
      <c r="F3927" s="30">
        <v>1</v>
      </c>
      <c r="G3927" s="44">
        <v>26412</v>
      </c>
      <c r="H3927" s="30"/>
      <c r="I3927" s="44"/>
      <c r="J3927" s="44"/>
      <c r="K3927" s="44">
        <f t="shared" si="127"/>
        <v>26412</v>
      </c>
      <c r="L3927" s="51">
        <v>20251229</v>
      </c>
    </row>
    <row r="3928" spans="1:12" x14ac:dyDescent="0.25">
      <c r="A3928" s="50" t="s">
        <v>5261</v>
      </c>
      <c r="B3928" s="30" t="s">
        <v>137</v>
      </c>
      <c r="C3928" s="30" t="s">
        <v>29</v>
      </c>
      <c r="D3928" s="266" t="s">
        <v>5262</v>
      </c>
      <c r="E3928" s="30" t="s">
        <v>3631</v>
      </c>
      <c r="F3928" s="30">
        <v>1</v>
      </c>
      <c r="G3928" s="44">
        <v>26412</v>
      </c>
      <c r="H3928" s="30"/>
      <c r="I3928" s="44"/>
      <c r="J3928" s="44"/>
      <c r="K3928" s="44">
        <f t="shared" si="127"/>
        <v>26412</v>
      </c>
      <c r="L3928" s="51">
        <v>20251229</v>
      </c>
    </row>
    <row r="3929" spans="1:12" x14ac:dyDescent="0.25">
      <c r="A3929" s="50" t="s">
        <v>5263</v>
      </c>
      <c r="B3929" s="30" t="s">
        <v>137</v>
      </c>
      <c r="C3929" s="30" t="s">
        <v>29</v>
      </c>
      <c r="D3929" s="266" t="s">
        <v>5262</v>
      </c>
      <c r="E3929" s="30" t="s">
        <v>2348</v>
      </c>
      <c r="F3929" s="30">
        <v>1</v>
      </c>
      <c r="G3929" s="44">
        <v>26412</v>
      </c>
      <c r="H3929" s="30"/>
      <c r="I3929" s="44"/>
      <c r="J3929" s="44"/>
      <c r="K3929" s="44">
        <f t="shared" si="127"/>
        <v>26412</v>
      </c>
      <c r="L3929" s="51">
        <v>20251229</v>
      </c>
    </row>
    <row r="3930" spans="1:12" x14ac:dyDescent="0.25">
      <c r="A3930" s="52" t="s">
        <v>5264</v>
      </c>
      <c r="B3930" s="32" t="s">
        <v>137</v>
      </c>
      <c r="C3930" s="32" t="s">
        <v>29</v>
      </c>
      <c r="D3930" s="32" t="s">
        <v>5262</v>
      </c>
      <c r="E3930" s="32" t="s">
        <v>4526</v>
      </c>
      <c r="F3930" s="32">
        <v>1</v>
      </c>
      <c r="G3930" s="45">
        <v>26412</v>
      </c>
      <c r="H3930" s="32">
        <v>27</v>
      </c>
      <c r="I3930" s="45">
        <v>627.1</v>
      </c>
      <c r="J3930" s="45">
        <f>I3930*H3930</f>
        <v>16931.7</v>
      </c>
      <c r="K3930" s="45">
        <f t="shared" si="127"/>
        <v>43343.7</v>
      </c>
      <c r="L3930" s="53">
        <v>20251229</v>
      </c>
    </row>
    <row r="3931" spans="1:12" x14ac:dyDescent="0.25">
      <c r="A3931" s="50" t="s">
        <v>5245</v>
      </c>
      <c r="B3931" s="30" t="s">
        <v>137</v>
      </c>
      <c r="C3931" s="30" t="s">
        <v>636</v>
      </c>
      <c r="D3931" s="266" t="s">
        <v>4889</v>
      </c>
      <c r="E3931" s="30" t="s">
        <v>5246</v>
      </c>
      <c r="F3931" s="30">
        <v>1</v>
      </c>
      <c r="G3931" s="44">
        <v>26412</v>
      </c>
      <c r="H3931" s="30"/>
      <c r="I3931" s="44"/>
      <c r="J3931" s="44"/>
      <c r="K3931" s="44">
        <f t="shared" si="127"/>
        <v>26412</v>
      </c>
      <c r="L3931" s="51">
        <v>20251230</v>
      </c>
    </row>
    <row r="3932" spans="1:12" x14ac:dyDescent="0.25">
      <c r="A3932" s="50" t="s">
        <v>5244</v>
      </c>
      <c r="B3932" s="30" t="s">
        <v>137</v>
      </c>
      <c r="C3932" s="30" t="s">
        <v>5119</v>
      </c>
      <c r="D3932" s="266" t="s">
        <v>5120</v>
      </c>
      <c r="E3932" s="30" t="s">
        <v>5169</v>
      </c>
      <c r="F3932" s="30">
        <v>1</v>
      </c>
      <c r="G3932" s="44">
        <v>26412</v>
      </c>
      <c r="H3932" s="30"/>
      <c r="I3932" s="44"/>
      <c r="J3932" s="44"/>
      <c r="K3932" s="44">
        <f t="shared" si="127"/>
        <v>26412</v>
      </c>
      <c r="L3932" s="51">
        <v>20251230</v>
      </c>
    </row>
    <row r="3933" spans="1:12" ht="15.75" thickBot="1" x14ac:dyDescent="0.3">
      <c r="A3933" s="54" t="s">
        <v>5404</v>
      </c>
      <c r="B3933" s="36" t="s">
        <v>137</v>
      </c>
      <c r="C3933" s="36" t="s">
        <v>2861</v>
      </c>
      <c r="D3933" s="267" t="s">
        <v>2892</v>
      </c>
      <c r="E3933" s="36" t="s">
        <v>2893</v>
      </c>
      <c r="F3933" s="36">
        <v>1</v>
      </c>
      <c r="G3933" s="65">
        <v>26412</v>
      </c>
      <c r="H3933" s="36"/>
      <c r="I3933" s="65"/>
      <c r="J3933" s="65"/>
      <c r="K3933" s="65">
        <f t="shared" si="127"/>
        <v>26412</v>
      </c>
      <c r="L3933" s="55">
        <v>20251231</v>
      </c>
    </row>
    <row r="3936" spans="1:12" ht="15.75" thickBot="1" x14ac:dyDescent="0.3">
      <c r="A3936" s="69" t="s">
        <v>0</v>
      </c>
      <c r="B3936" s="70" t="s">
        <v>1</v>
      </c>
      <c r="C3936" s="70" t="s">
        <v>2</v>
      </c>
      <c r="D3936" s="274" t="s">
        <v>3</v>
      </c>
      <c r="E3936" s="70" t="s">
        <v>4</v>
      </c>
      <c r="F3936" s="70"/>
      <c r="G3936" s="71" t="s">
        <v>6</v>
      </c>
      <c r="H3936" s="70" t="s">
        <v>7</v>
      </c>
      <c r="I3936" s="71" t="s">
        <v>8</v>
      </c>
      <c r="J3936" s="71" t="s">
        <v>9</v>
      </c>
      <c r="K3936" s="71" t="s">
        <v>10</v>
      </c>
      <c r="L3936" s="72" t="s">
        <v>5</v>
      </c>
    </row>
    <row r="3937" spans="1:12" x14ac:dyDescent="0.25">
      <c r="A3937" s="77" t="s">
        <v>5504</v>
      </c>
      <c r="B3937" s="78" t="s">
        <v>11</v>
      </c>
      <c r="C3937" s="78" t="s">
        <v>29</v>
      </c>
      <c r="D3937" s="78" t="s">
        <v>4778</v>
      </c>
      <c r="E3937" s="78" t="s">
        <v>1248</v>
      </c>
      <c r="F3937" s="78">
        <v>1</v>
      </c>
      <c r="G3937" s="277">
        <v>52844</v>
      </c>
      <c r="H3937" s="78">
        <v>56</v>
      </c>
      <c r="I3937" s="277">
        <v>627.1</v>
      </c>
      <c r="J3937" s="79">
        <f>I3937*H3937</f>
        <v>35117.599999999999</v>
      </c>
      <c r="K3937" s="79">
        <f t="shared" ref="K3937:K3973" si="128">J3937+G3937</f>
        <v>87961.600000000006</v>
      </c>
      <c r="L3937" s="80">
        <v>20260105</v>
      </c>
    </row>
    <row r="3938" spans="1:12" x14ac:dyDescent="0.25">
      <c r="A3938" s="52" t="s">
        <v>5487</v>
      </c>
      <c r="B3938" s="32" t="s">
        <v>11</v>
      </c>
      <c r="C3938" s="32" t="s">
        <v>26</v>
      </c>
      <c r="D3938" s="32" t="s">
        <v>3037</v>
      </c>
      <c r="E3938" s="32" t="s">
        <v>5138</v>
      </c>
      <c r="F3938" s="32">
        <v>1</v>
      </c>
      <c r="G3938" s="45">
        <v>56596</v>
      </c>
      <c r="H3938" s="32">
        <v>76</v>
      </c>
      <c r="I3938" s="45">
        <v>684.2</v>
      </c>
      <c r="J3938" s="45">
        <f>I3938*H3938</f>
        <v>51999.200000000004</v>
      </c>
      <c r="K3938" s="45">
        <f t="shared" si="128"/>
        <v>108595.20000000001</v>
      </c>
      <c r="L3938" s="53">
        <v>20260106</v>
      </c>
    </row>
    <row r="3939" spans="1:12" x14ac:dyDescent="0.25">
      <c r="A3939" s="50" t="s">
        <v>5484</v>
      </c>
      <c r="B3939" s="30" t="s">
        <v>11</v>
      </c>
      <c r="C3939" s="30" t="s">
        <v>1006</v>
      </c>
      <c r="D3939" s="266" t="s">
        <v>24</v>
      </c>
      <c r="E3939" s="30" t="s">
        <v>2364</v>
      </c>
      <c r="F3939" s="30">
        <v>1</v>
      </c>
      <c r="G3939" s="44">
        <v>56596</v>
      </c>
      <c r="H3939" s="30"/>
      <c r="I3939" s="44"/>
      <c r="J3939" s="44"/>
      <c r="K3939" s="44">
        <f t="shared" si="128"/>
        <v>56596</v>
      </c>
      <c r="L3939" s="51">
        <v>20260107</v>
      </c>
    </row>
    <row r="3940" spans="1:12" x14ac:dyDescent="0.25">
      <c r="A3940" s="50" t="s">
        <v>5481</v>
      </c>
      <c r="B3940" s="30" t="s">
        <v>11</v>
      </c>
      <c r="C3940" s="30" t="s">
        <v>26</v>
      </c>
      <c r="D3940" s="266" t="s">
        <v>544</v>
      </c>
      <c r="E3940" s="30" t="s">
        <v>551</v>
      </c>
      <c r="F3940" s="30">
        <v>1</v>
      </c>
      <c r="G3940" s="44">
        <v>56596</v>
      </c>
      <c r="H3940" s="30"/>
      <c r="I3940" s="44"/>
      <c r="J3940" s="44"/>
      <c r="K3940" s="44">
        <f t="shared" si="128"/>
        <v>56596</v>
      </c>
      <c r="L3940" s="51">
        <v>20260108</v>
      </c>
    </row>
    <row r="3941" spans="1:12" x14ac:dyDescent="0.25">
      <c r="A3941" s="50" t="s">
        <v>5483</v>
      </c>
      <c r="B3941" s="30" t="s">
        <v>11</v>
      </c>
      <c r="C3941" s="30" t="s">
        <v>134</v>
      </c>
      <c r="D3941" s="266" t="s">
        <v>135</v>
      </c>
      <c r="E3941" s="30" t="s">
        <v>136</v>
      </c>
      <c r="F3941" s="30">
        <v>1</v>
      </c>
      <c r="G3941" s="44">
        <v>56596</v>
      </c>
      <c r="H3941" s="30"/>
      <c r="I3941" s="44"/>
      <c r="J3941" s="44"/>
      <c r="K3941" s="44">
        <f t="shared" si="128"/>
        <v>56596</v>
      </c>
      <c r="L3941" s="51">
        <v>20260108</v>
      </c>
    </row>
    <row r="3942" spans="1:12" x14ac:dyDescent="0.25">
      <c r="A3942" s="50" t="s">
        <v>5493</v>
      </c>
      <c r="B3942" s="30" t="s">
        <v>11</v>
      </c>
      <c r="C3942" s="30" t="s">
        <v>134</v>
      </c>
      <c r="D3942" s="266" t="s">
        <v>135</v>
      </c>
      <c r="E3942" s="30" t="s">
        <v>1178</v>
      </c>
      <c r="F3942" s="30">
        <v>1</v>
      </c>
      <c r="G3942" s="44">
        <v>56596</v>
      </c>
      <c r="H3942" s="30"/>
      <c r="I3942" s="44"/>
      <c r="J3942" s="44"/>
      <c r="K3942" s="44">
        <f t="shared" si="128"/>
        <v>56596</v>
      </c>
      <c r="L3942" s="51">
        <v>20260108</v>
      </c>
    </row>
    <row r="3943" spans="1:12" x14ac:dyDescent="0.25">
      <c r="A3943" s="50" t="s">
        <v>5469</v>
      </c>
      <c r="B3943" s="30" t="s">
        <v>11</v>
      </c>
      <c r="C3943" s="30" t="s">
        <v>251</v>
      </c>
      <c r="D3943" s="266" t="s">
        <v>1202</v>
      </c>
      <c r="E3943" s="30" t="s">
        <v>5470</v>
      </c>
      <c r="F3943" s="30">
        <v>1</v>
      </c>
      <c r="G3943" s="44">
        <v>56596</v>
      </c>
      <c r="H3943" s="30"/>
      <c r="I3943" s="44"/>
      <c r="J3943" s="44"/>
      <c r="K3943" s="44">
        <f t="shared" si="128"/>
        <v>56596</v>
      </c>
      <c r="L3943" s="51">
        <v>20260112</v>
      </c>
    </row>
    <row r="3944" spans="1:12" x14ac:dyDescent="0.25">
      <c r="A3944" s="50" t="s">
        <v>5468</v>
      </c>
      <c r="B3944" s="30" t="s">
        <v>11</v>
      </c>
      <c r="C3944" s="30" t="s">
        <v>134</v>
      </c>
      <c r="D3944" s="266" t="s">
        <v>135</v>
      </c>
      <c r="E3944" s="30" t="s">
        <v>136</v>
      </c>
      <c r="F3944" s="30">
        <v>1</v>
      </c>
      <c r="G3944" s="44">
        <v>56596</v>
      </c>
      <c r="H3944" s="30"/>
      <c r="I3944" s="44"/>
      <c r="J3944" s="44"/>
      <c r="K3944" s="44">
        <f t="shared" si="128"/>
        <v>56596</v>
      </c>
      <c r="L3944" s="51">
        <v>20260113</v>
      </c>
    </row>
    <row r="3945" spans="1:12" x14ac:dyDescent="0.25">
      <c r="A3945" s="50" t="s">
        <v>5485</v>
      </c>
      <c r="B3945" s="30" t="s">
        <v>11</v>
      </c>
      <c r="C3945" s="30" t="s">
        <v>337</v>
      </c>
      <c r="D3945" s="266" t="s">
        <v>162</v>
      </c>
      <c r="E3945" s="30" t="s">
        <v>1530</v>
      </c>
      <c r="F3945" s="30">
        <v>1</v>
      </c>
      <c r="G3945" s="44">
        <v>56596</v>
      </c>
      <c r="H3945" s="30"/>
      <c r="I3945" s="44"/>
      <c r="J3945" s="44"/>
      <c r="K3945" s="44">
        <f t="shared" si="128"/>
        <v>56596</v>
      </c>
      <c r="L3945" s="51">
        <v>20260114</v>
      </c>
    </row>
    <row r="3946" spans="1:12" x14ac:dyDescent="0.25">
      <c r="A3946" s="52" t="s">
        <v>5486</v>
      </c>
      <c r="B3946" s="32" t="s">
        <v>11</v>
      </c>
      <c r="C3946" s="32" t="s">
        <v>337</v>
      </c>
      <c r="D3946" s="32" t="s">
        <v>162</v>
      </c>
      <c r="E3946" s="32" t="s">
        <v>3741</v>
      </c>
      <c r="F3946" s="32">
        <v>1</v>
      </c>
      <c r="G3946" s="45">
        <v>56596</v>
      </c>
      <c r="H3946" s="32">
        <v>69</v>
      </c>
      <c r="I3946" s="45">
        <v>684.2</v>
      </c>
      <c r="J3946" s="45">
        <f>I3946*H3946</f>
        <v>47209.8</v>
      </c>
      <c r="K3946" s="45">
        <f t="shared" si="128"/>
        <v>103805.8</v>
      </c>
      <c r="L3946" s="53">
        <v>20260114</v>
      </c>
    </row>
    <row r="3947" spans="1:12" x14ac:dyDescent="0.25">
      <c r="A3947" s="50" t="s">
        <v>5518</v>
      </c>
      <c r="B3947" s="30" t="s">
        <v>1209</v>
      </c>
      <c r="C3947" s="30" t="s">
        <v>26</v>
      </c>
      <c r="D3947" s="266" t="s">
        <v>616</v>
      </c>
      <c r="E3947" s="30" t="s">
        <v>5519</v>
      </c>
      <c r="F3947" s="30">
        <v>1</v>
      </c>
      <c r="G3947" s="44">
        <v>56596</v>
      </c>
      <c r="H3947" s="30"/>
      <c r="I3947" s="44"/>
      <c r="J3947" s="44"/>
      <c r="K3947" s="44">
        <f t="shared" si="128"/>
        <v>56596</v>
      </c>
      <c r="L3947" s="51">
        <v>20260116</v>
      </c>
    </row>
    <row r="3948" spans="1:12" x14ac:dyDescent="0.25">
      <c r="A3948" s="50" t="s">
        <v>5520</v>
      </c>
      <c r="B3948" s="30" t="s">
        <v>1209</v>
      </c>
      <c r="C3948" s="30" t="s">
        <v>26</v>
      </c>
      <c r="D3948" s="266" t="s">
        <v>616</v>
      </c>
      <c r="E3948" s="30" t="s">
        <v>5521</v>
      </c>
      <c r="F3948" s="30">
        <v>1</v>
      </c>
      <c r="G3948" s="44">
        <v>56596</v>
      </c>
      <c r="H3948" s="30"/>
      <c r="I3948" s="44"/>
      <c r="J3948" s="44"/>
      <c r="K3948" s="44">
        <f t="shared" si="128"/>
        <v>56596</v>
      </c>
      <c r="L3948" s="51">
        <v>20260116</v>
      </c>
    </row>
    <row r="3949" spans="1:12" x14ac:dyDescent="0.25">
      <c r="A3949" s="50" t="s">
        <v>5522</v>
      </c>
      <c r="B3949" s="30" t="s">
        <v>1209</v>
      </c>
      <c r="C3949" s="30" t="s">
        <v>26</v>
      </c>
      <c r="D3949" s="266" t="s">
        <v>616</v>
      </c>
      <c r="E3949" s="30" t="s">
        <v>5523</v>
      </c>
      <c r="F3949" s="30">
        <v>1</v>
      </c>
      <c r="G3949" s="44">
        <v>56596</v>
      </c>
      <c r="H3949" s="30"/>
      <c r="I3949" s="44"/>
      <c r="J3949" s="44"/>
      <c r="K3949" s="44">
        <f t="shared" si="128"/>
        <v>56596</v>
      </c>
      <c r="L3949" s="51">
        <v>20260116</v>
      </c>
    </row>
    <row r="3950" spans="1:12" x14ac:dyDescent="0.25">
      <c r="A3950" s="50" t="s">
        <v>5445</v>
      </c>
      <c r="B3950" s="30" t="s">
        <v>11</v>
      </c>
      <c r="C3950" s="30" t="s">
        <v>94</v>
      </c>
      <c r="D3950" s="266" t="s">
        <v>95</v>
      </c>
      <c r="E3950" s="30" t="s">
        <v>2674</v>
      </c>
      <c r="F3950" s="30">
        <v>1</v>
      </c>
      <c r="G3950" s="44">
        <v>56596</v>
      </c>
      <c r="H3950" s="30"/>
      <c r="I3950" s="44"/>
      <c r="J3950" s="44"/>
      <c r="K3950" s="44">
        <f t="shared" si="128"/>
        <v>56596</v>
      </c>
      <c r="L3950" s="51">
        <v>20260119</v>
      </c>
    </row>
    <row r="3951" spans="1:12" x14ac:dyDescent="0.25">
      <c r="A3951" s="50" t="s">
        <v>5446</v>
      </c>
      <c r="B3951" s="30" t="s">
        <v>11</v>
      </c>
      <c r="C3951" s="30" t="s">
        <v>94</v>
      </c>
      <c r="D3951" s="266" t="s">
        <v>95</v>
      </c>
      <c r="E3951" s="30" t="s">
        <v>4051</v>
      </c>
      <c r="F3951" s="30">
        <v>1</v>
      </c>
      <c r="G3951" s="44">
        <v>56596</v>
      </c>
      <c r="H3951" s="30"/>
      <c r="I3951" s="44"/>
      <c r="J3951" s="44"/>
      <c r="K3951" s="44">
        <f t="shared" si="128"/>
        <v>56596</v>
      </c>
      <c r="L3951" s="51">
        <v>20260119</v>
      </c>
    </row>
    <row r="3952" spans="1:12" x14ac:dyDescent="0.25">
      <c r="A3952" s="50" t="s">
        <v>5482</v>
      </c>
      <c r="B3952" s="30" t="s">
        <v>11</v>
      </c>
      <c r="C3952" s="30" t="s">
        <v>53</v>
      </c>
      <c r="D3952" s="266" t="s">
        <v>24</v>
      </c>
      <c r="E3952" s="30" t="s">
        <v>1281</v>
      </c>
      <c r="F3952" s="30">
        <v>1</v>
      </c>
      <c r="G3952" s="44">
        <v>56596</v>
      </c>
      <c r="H3952" s="30"/>
      <c r="I3952" s="44"/>
      <c r="J3952" s="44"/>
      <c r="K3952" s="44">
        <f t="shared" si="128"/>
        <v>56596</v>
      </c>
      <c r="L3952" s="51">
        <v>20260119</v>
      </c>
    </row>
    <row r="3953" spans="1:12" x14ac:dyDescent="0.25">
      <c r="A3953" s="50" t="s">
        <v>5503</v>
      </c>
      <c r="B3953" s="30" t="s">
        <v>1209</v>
      </c>
      <c r="C3953" s="30" t="s">
        <v>94</v>
      </c>
      <c r="D3953" s="266" t="s">
        <v>95</v>
      </c>
      <c r="E3953" s="30" t="s">
        <v>3699</v>
      </c>
      <c r="F3953" s="30">
        <v>1</v>
      </c>
      <c r="G3953" s="44">
        <v>56596</v>
      </c>
      <c r="H3953" s="30"/>
      <c r="I3953" s="44"/>
      <c r="J3953" s="44"/>
      <c r="K3953" s="44">
        <f t="shared" si="128"/>
        <v>56596</v>
      </c>
      <c r="L3953" s="51">
        <v>20260119</v>
      </c>
    </row>
    <row r="3954" spans="1:12" x14ac:dyDescent="0.25">
      <c r="A3954" s="50" t="s">
        <v>5447</v>
      </c>
      <c r="B3954" s="30" t="s">
        <v>11</v>
      </c>
      <c r="C3954" s="30" t="s">
        <v>134</v>
      </c>
      <c r="D3954" s="266" t="s">
        <v>135</v>
      </c>
      <c r="E3954" s="30" t="s">
        <v>264</v>
      </c>
      <c r="F3954" s="30">
        <v>1</v>
      </c>
      <c r="G3954" s="44">
        <v>56596</v>
      </c>
      <c r="H3954" s="30"/>
      <c r="I3954" s="44"/>
      <c r="J3954" s="44"/>
      <c r="K3954" s="44">
        <f t="shared" si="128"/>
        <v>56596</v>
      </c>
      <c r="L3954" s="51">
        <v>20260120</v>
      </c>
    </row>
    <row r="3955" spans="1:12" x14ac:dyDescent="0.25">
      <c r="A3955" s="52" t="s">
        <v>5479</v>
      </c>
      <c r="B3955" s="32" t="s">
        <v>11</v>
      </c>
      <c r="C3955" s="32" t="s">
        <v>5390</v>
      </c>
      <c r="D3955" s="32" t="s">
        <v>5391</v>
      </c>
      <c r="E3955" s="32" t="s">
        <v>5480</v>
      </c>
      <c r="F3955" s="32">
        <v>1</v>
      </c>
      <c r="G3955" s="45">
        <v>56596</v>
      </c>
      <c r="H3955" s="32">
        <v>90</v>
      </c>
      <c r="I3955" s="45">
        <v>684.2</v>
      </c>
      <c r="J3955" s="45">
        <f>I3955*H3955</f>
        <v>61578.000000000007</v>
      </c>
      <c r="K3955" s="45">
        <f t="shared" si="128"/>
        <v>118174</v>
      </c>
      <c r="L3955" s="53">
        <v>20260120</v>
      </c>
    </row>
    <row r="3956" spans="1:12" x14ac:dyDescent="0.25">
      <c r="A3956" s="50" t="s">
        <v>5435</v>
      </c>
      <c r="B3956" s="30" t="s">
        <v>11</v>
      </c>
      <c r="C3956" s="30" t="s">
        <v>505</v>
      </c>
      <c r="D3956" s="266" t="s">
        <v>24</v>
      </c>
      <c r="E3956" s="30" t="s">
        <v>931</v>
      </c>
      <c r="F3956" s="30">
        <v>1</v>
      </c>
      <c r="G3956" s="44">
        <v>56596</v>
      </c>
      <c r="H3956" s="30"/>
      <c r="I3956" s="44"/>
      <c r="J3956" s="44"/>
      <c r="K3956" s="44">
        <f t="shared" si="128"/>
        <v>56596</v>
      </c>
      <c r="L3956" s="51">
        <v>20260121</v>
      </c>
    </row>
    <row r="3957" spans="1:12" x14ac:dyDescent="0.25">
      <c r="A3957" s="52" t="s">
        <v>5457</v>
      </c>
      <c r="B3957" s="32" t="s">
        <v>11</v>
      </c>
      <c r="C3957" s="32" t="s">
        <v>29</v>
      </c>
      <c r="D3957" s="32" t="s">
        <v>5262</v>
      </c>
      <c r="E3957" s="32" t="s">
        <v>4526</v>
      </c>
      <c r="F3957" s="32">
        <v>1</v>
      </c>
      <c r="G3957" s="45">
        <v>56596</v>
      </c>
      <c r="H3957" s="32">
        <v>32</v>
      </c>
      <c r="I3957" s="45">
        <v>684.2</v>
      </c>
      <c r="J3957" s="45">
        <f>I3957*H3957</f>
        <v>21894.400000000001</v>
      </c>
      <c r="K3957" s="45">
        <f t="shared" si="128"/>
        <v>78490.399999999994</v>
      </c>
      <c r="L3957" s="53">
        <v>20260121</v>
      </c>
    </row>
    <row r="3958" spans="1:12" x14ac:dyDescent="0.25">
      <c r="A3958" s="50" t="s">
        <v>5458</v>
      </c>
      <c r="B3958" s="30" t="s">
        <v>11</v>
      </c>
      <c r="C3958" s="30" t="s">
        <v>29</v>
      </c>
      <c r="D3958" s="266" t="s">
        <v>2548</v>
      </c>
      <c r="E3958" s="30" t="s">
        <v>1497</v>
      </c>
      <c r="F3958" s="30">
        <v>1</v>
      </c>
      <c r="G3958" s="44">
        <v>56596</v>
      </c>
      <c r="H3958" s="30"/>
      <c r="I3958" s="44"/>
      <c r="J3958" s="44"/>
      <c r="K3958" s="44">
        <f t="shared" si="128"/>
        <v>56596</v>
      </c>
      <c r="L3958" s="51">
        <v>20260122</v>
      </c>
    </row>
    <row r="3959" spans="1:12" x14ac:dyDescent="0.25">
      <c r="A3959" s="50" t="s">
        <v>5419</v>
      </c>
      <c r="B3959" s="30" t="s">
        <v>11</v>
      </c>
      <c r="C3959" s="30" t="s">
        <v>636</v>
      </c>
      <c r="D3959" s="266" t="s">
        <v>5420</v>
      </c>
      <c r="E3959" s="30" t="s">
        <v>5421</v>
      </c>
      <c r="F3959" s="30">
        <v>1</v>
      </c>
      <c r="G3959" s="44">
        <v>56596</v>
      </c>
      <c r="H3959" s="30"/>
      <c r="I3959" s="44"/>
      <c r="J3959" s="44"/>
      <c r="K3959" s="44">
        <f t="shared" si="128"/>
        <v>56596</v>
      </c>
      <c r="L3959" s="51">
        <v>20260123</v>
      </c>
    </row>
    <row r="3960" spans="1:12" x14ac:dyDescent="0.25">
      <c r="A3960" s="50" t="s">
        <v>5501</v>
      </c>
      <c r="B3960" s="30" t="s">
        <v>11</v>
      </c>
      <c r="C3960" s="30" t="s">
        <v>636</v>
      </c>
      <c r="D3960" s="266" t="s">
        <v>4889</v>
      </c>
      <c r="E3960" s="30" t="s">
        <v>5502</v>
      </c>
      <c r="F3960" s="30">
        <v>1</v>
      </c>
      <c r="G3960" s="44">
        <v>56596</v>
      </c>
      <c r="H3960" s="30"/>
      <c r="I3960" s="44"/>
      <c r="J3960" s="44"/>
      <c r="K3960" s="44">
        <f t="shared" si="128"/>
        <v>56596</v>
      </c>
      <c r="L3960" s="51">
        <v>20260123</v>
      </c>
    </row>
    <row r="3961" spans="1:12" x14ac:dyDescent="0.25">
      <c r="A3961" s="50" t="s">
        <v>5436</v>
      </c>
      <c r="B3961" s="30" t="s">
        <v>1209</v>
      </c>
      <c r="C3961" s="30" t="s">
        <v>26</v>
      </c>
      <c r="D3961" s="266" t="s">
        <v>226</v>
      </c>
      <c r="E3961" s="30" t="s">
        <v>227</v>
      </c>
      <c r="F3961" s="30">
        <v>1</v>
      </c>
      <c r="G3961" s="44">
        <v>56596</v>
      </c>
      <c r="H3961" s="30"/>
      <c r="I3961" s="44"/>
      <c r="J3961" s="44"/>
      <c r="K3961" s="44">
        <f t="shared" si="128"/>
        <v>56596</v>
      </c>
      <c r="L3961" s="51">
        <v>20260128</v>
      </c>
    </row>
    <row r="3962" spans="1:12" x14ac:dyDescent="0.25">
      <c r="A3962" s="50" t="s">
        <v>5437</v>
      </c>
      <c r="B3962" s="30" t="s">
        <v>1209</v>
      </c>
      <c r="C3962" s="30" t="s">
        <v>26</v>
      </c>
      <c r="D3962" s="266" t="s">
        <v>226</v>
      </c>
      <c r="E3962" s="30" t="s">
        <v>730</v>
      </c>
      <c r="F3962" s="30">
        <v>1</v>
      </c>
      <c r="G3962" s="44">
        <v>56596</v>
      </c>
      <c r="H3962" s="30"/>
      <c r="I3962" s="44"/>
      <c r="J3962" s="44"/>
      <c r="K3962" s="44">
        <f t="shared" si="128"/>
        <v>56596</v>
      </c>
      <c r="L3962" s="51">
        <v>20260128</v>
      </c>
    </row>
    <row r="3963" spans="1:12" x14ac:dyDescent="0.25">
      <c r="A3963" s="50" t="s">
        <v>5438</v>
      </c>
      <c r="B3963" s="30" t="s">
        <v>1209</v>
      </c>
      <c r="C3963" s="30" t="s">
        <v>26</v>
      </c>
      <c r="D3963" s="266" t="s">
        <v>226</v>
      </c>
      <c r="E3963" s="30" t="s">
        <v>5439</v>
      </c>
      <c r="F3963" s="30">
        <v>1</v>
      </c>
      <c r="G3963" s="44">
        <v>56596</v>
      </c>
      <c r="H3963" s="30"/>
      <c r="I3963" s="44"/>
      <c r="J3963" s="44"/>
      <c r="K3963" s="44">
        <f t="shared" si="128"/>
        <v>56596</v>
      </c>
      <c r="L3963" s="51">
        <v>20260128</v>
      </c>
    </row>
    <row r="3964" spans="1:12" x14ac:dyDescent="0.25">
      <c r="A3964" s="50" t="s">
        <v>5440</v>
      </c>
      <c r="B3964" s="30" t="s">
        <v>1209</v>
      </c>
      <c r="C3964" s="30" t="s">
        <v>26</v>
      </c>
      <c r="D3964" s="266" t="s">
        <v>226</v>
      </c>
      <c r="E3964" s="30" t="s">
        <v>5441</v>
      </c>
      <c r="F3964" s="30">
        <v>1</v>
      </c>
      <c r="G3964" s="44">
        <v>56596</v>
      </c>
      <c r="H3964" s="30"/>
      <c r="I3964" s="44"/>
      <c r="J3964" s="44"/>
      <c r="K3964" s="44">
        <f t="shared" si="128"/>
        <v>56596</v>
      </c>
      <c r="L3964" s="51">
        <v>20260128</v>
      </c>
    </row>
    <row r="3965" spans="1:12" x14ac:dyDescent="0.25">
      <c r="A3965" s="52" t="s">
        <v>5442</v>
      </c>
      <c r="B3965" s="32" t="s">
        <v>1209</v>
      </c>
      <c r="C3965" s="32" t="s">
        <v>26</v>
      </c>
      <c r="D3965" s="32" t="s">
        <v>226</v>
      </c>
      <c r="E3965" s="32" t="s">
        <v>5443</v>
      </c>
      <c r="F3965" s="32">
        <v>1</v>
      </c>
      <c r="G3965" s="45">
        <v>56596</v>
      </c>
      <c r="H3965" s="32">
        <v>149</v>
      </c>
      <c r="I3965" s="45">
        <v>684.2</v>
      </c>
      <c r="J3965" s="45">
        <f>I3965*H3965</f>
        <v>101945.8</v>
      </c>
      <c r="K3965" s="45">
        <f t="shared" si="128"/>
        <v>158541.79999999999</v>
      </c>
      <c r="L3965" s="53">
        <v>20260128</v>
      </c>
    </row>
    <row r="3966" spans="1:12" x14ac:dyDescent="0.25">
      <c r="A3966" s="50" t="s">
        <v>5471</v>
      </c>
      <c r="B3966" s="30" t="s">
        <v>1209</v>
      </c>
      <c r="C3966" s="30" t="s">
        <v>26</v>
      </c>
      <c r="D3966" s="266" t="s">
        <v>226</v>
      </c>
      <c r="E3966" s="30" t="s">
        <v>728</v>
      </c>
      <c r="F3966" s="30">
        <v>1</v>
      </c>
      <c r="G3966" s="44">
        <v>56596</v>
      </c>
      <c r="H3966" s="30"/>
      <c r="I3966" s="44"/>
      <c r="J3966" s="44"/>
      <c r="K3966" s="44">
        <f t="shared" si="128"/>
        <v>56596</v>
      </c>
      <c r="L3966" s="51">
        <v>20260128</v>
      </c>
    </row>
    <row r="3967" spans="1:12" x14ac:dyDescent="0.25">
      <c r="A3967" s="50" t="s">
        <v>5427</v>
      </c>
      <c r="B3967" s="30" t="s">
        <v>1209</v>
      </c>
      <c r="C3967" s="30" t="s">
        <v>26</v>
      </c>
      <c r="D3967" s="266" t="s">
        <v>544</v>
      </c>
      <c r="E3967" s="30" t="s">
        <v>549</v>
      </c>
      <c r="F3967" s="30">
        <v>1</v>
      </c>
      <c r="G3967" s="44">
        <v>56596</v>
      </c>
      <c r="H3967" s="30"/>
      <c r="I3967" s="44"/>
      <c r="J3967" s="44"/>
      <c r="K3967" s="44">
        <f t="shared" si="128"/>
        <v>56596</v>
      </c>
      <c r="L3967" s="51">
        <v>20260129</v>
      </c>
    </row>
    <row r="3968" spans="1:12" x14ac:dyDescent="0.25">
      <c r="A3968" s="50" t="s">
        <v>5428</v>
      </c>
      <c r="B3968" s="30" t="s">
        <v>1209</v>
      </c>
      <c r="C3968" s="30" t="s">
        <v>26</v>
      </c>
      <c r="D3968" s="266" t="s">
        <v>544</v>
      </c>
      <c r="E3968" s="30" t="s">
        <v>551</v>
      </c>
      <c r="F3968" s="30">
        <v>1</v>
      </c>
      <c r="G3968" s="44">
        <v>56596</v>
      </c>
      <c r="H3968" s="30"/>
      <c r="I3968" s="44"/>
      <c r="J3968" s="44"/>
      <c r="K3968" s="44">
        <f t="shared" si="128"/>
        <v>56596</v>
      </c>
      <c r="L3968" s="51">
        <v>20260129</v>
      </c>
    </row>
    <row r="3969" spans="1:12" x14ac:dyDescent="0.25">
      <c r="A3969" s="50" t="s">
        <v>5429</v>
      </c>
      <c r="B3969" s="30" t="s">
        <v>1209</v>
      </c>
      <c r="C3969" s="30" t="s">
        <v>26</v>
      </c>
      <c r="D3969" s="266" t="s">
        <v>544</v>
      </c>
      <c r="E3969" s="30" t="s">
        <v>5430</v>
      </c>
      <c r="F3969" s="30">
        <v>1</v>
      </c>
      <c r="G3969" s="44">
        <v>56596</v>
      </c>
      <c r="H3969" s="30"/>
      <c r="I3969" s="44"/>
      <c r="J3969" s="44"/>
      <c r="K3969" s="44">
        <f t="shared" si="128"/>
        <v>56596</v>
      </c>
      <c r="L3969" s="51">
        <v>20260129</v>
      </c>
    </row>
    <row r="3970" spans="1:12" x14ac:dyDescent="0.25">
      <c r="A3970" s="50" t="s">
        <v>5431</v>
      </c>
      <c r="B3970" s="30" t="s">
        <v>1209</v>
      </c>
      <c r="C3970" s="30" t="s">
        <v>26</v>
      </c>
      <c r="D3970" s="266" t="s">
        <v>544</v>
      </c>
      <c r="E3970" s="30" t="s">
        <v>5432</v>
      </c>
      <c r="F3970" s="30">
        <v>1</v>
      </c>
      <c r="G3970" s="44">
        <v>56596</v>
      </c>
      <c r="H3970" s="30"/>
      <c r="I3970" s="44"/>
      <c r="J3970" s="44"/>
      <c r="K3970" s="44">
        <f t="shared" si="128"/>
        <v>56596</v>
      </c>
      <c r="L3970" s="51">
        <v>20260129</v>
      </c>
    </row>
    <row r="3971" spans="1:12" x14ac:dyDescent="0.25">
      <c r="A3971" s="50" t="s">
        <v>5433</v>
      </c>
      <c r="B3971" s="30" t="s">
        <v>11</v>
      </c>
      <c r="C3971" s="30" t="s">
        <v>1006</v>
      </c>
      <c r="D3971" s="266" t="s">
        <v>4911</v>
      </c>
      <c r="E3971" s="30" t="s">
        <v>5434</v>
      </c>
      <c r="F3971" s="30">
        <v>1</v>
      </c>
      <c r="G3971" s="44">
        <v>56596</v>
      </c>
      <c r="H3971" s="30"/>
      <c r="I3971" s="44"/>
      <c r="J3971" s="44"/>
      <c r="K3971" s="44">
        <f t="shared" si="128"/>
        <v>56596</v>
      </c>
      <c r="L3971" s="51">
        <v>20260129</v>
      </c>
    </row>
    <row r="3972" spans="1:12" x14ac:dyDescent="0.25">
      <c r="A3972" s="52" t="s">
        <v>5411</v>
      </c>
      <c r="B3972" s="32" t="s">
        <v>11</v>
      </c>
      <c r="C3972" s="32" t="s">
        <v>337</v>
      </c>
      <c r="D3972" s="32" t="s">
        <v>162</v>
      </c>
      <c r="E3972" s="32" t="s">
        <v>3741</v>
      </c>
      <c r="F3972" s="32">
        <v>1</v>
      </c>
      <c r="G3972" s="45">
        <v>56596</v>
      </c>
      <c r="H3972" s="32">
        <v>69</v>
      </c>
      <c r="I3972" s="45">
        <v>684.2</v>
      </c>
      <c r="J3972" s="45">
        <f>I3972*H3972</f>
        <v>47209.8</v>
      </c>
      <c r="K3972" s="45">
        <f t="shared" si="128"/>
        <v>103805.8</v>
      </c>
      <c r="L3972" s="53">
        <v>20260130</v>
      </c>
    </row>
    <row r="3973" spans="1:12" ht="15.75" thickBot="1" x14ac:dyDescent="0.3">
      <c r="A3973" s="54" t="s">
        <v>5425</v>
      </c>
      <c r="B3973" s="36" t="s">
        <v>1209</v>
      </c>
      <c r="C3973" s="36" t="s">
        <v>94</v>
      </c>
      <c r="D3973" s="267" t="s">
        <v>95</v>
      </c>
      <c r="E3973" s="36" t="s">
        <v>5426</v>
      </c>
      <c r="F3973" s="36">
        <v>1</v>
      </c>
      <c r="G3973" s="65">
        <v>56596</v>
      </c>
      <c r="H3973" s="36"/>
      <c r="I3973" s="65"/>
      <c r="J3973" s="65"/>
      <c r="K3973" s="65">
        <f t="shared" si="128"/>
        <v>56596</v>
      </c>
      <c r="L3973" s="55">
        <v>20260131</v>
      </c>
    </row>
    <row r="3974" spans="1:12" ht="15.75" thickBot="1" x14ac:dyDescent="0.3">
      <c r="A3974" s="99"/>
      <c r="B3974" s="100"/>
      <c r="C3974" s="100"/>
      <c r="D3974" s="100"/>
      <c r="E3974" s="100"/>
      <c r="F3974" s="100"/>
      <c r="G3974" s="101"/>
      <c r="H3974" s="100"/>
      <c r="I3974" s="101"/>
      <c r="J3974" s="101"/>
      <c r="K3974" s="101"/>
      <c r="L3974" s="102"/>
    </row>
    <row r="3975" spans="1:12" x14ac:dyDescent="0.25">
      <c r="A3975" s="48" t="s">
        <v>5488</v>
      </c>
      <c r="B3975" s="34" t="s">
        <v>137</v>
      </c>
      <c r="C3975" s="34" t="s">
        <v>4687</v>
      </c>
      <c r="D3975" s="275" t="s">
        <v>4688</v>
      </c>
      <c r="E3975" s="34" t="s">
        <v>4691</v>
      </c>
      <c r="F3975" s="34">
        <v>1</v>
      </c>
      <c r="G3975" s="212">
        <v>26412</v>
      </c>
      <c r="H3975" s="34"/>
      <c r="I3975" s="64"/>
      <c r="J3975" s="64"/>
      <c r="K3975" s="64">
        <f t="shared" ref="K3975:K4006" si="129">J3975+G3975</f>
        <v>26412</v>
      </c>
      <c r="L3975" s="49">
        <v>20260102</v>
      </c>
    </row>
    <row r="3976" spans="1:12" x14ac:dyDescent="0.25">
      <c r="A3976" s="50" t="s">
        <v>5489</v>
      </c>
      <c r="B3976" s="30" t="s">
        <v>137</v>
      </c>
      <c r="C3976" s="30" t="s">
        <v>4687</v>
      </c>
      <c r="D3976" s="266" t="s">
        <v>4688</v>
      </c>
      <c r="E3976" s="30" t="s">
        <v>4689</v>
      </c>
      <c r="F3976" s="30">
        <v>1</v>
      </c>
      <c r="G3976" s="123">
        <v>26412</v>
      </c>
      <c r="H3976" s="30"/>
      <c r="I3976" s="44"/>
      <c r="J3976" s="44"/>
      <c r="K3976" s="44">
        <f t="shared" si="129"/>
        <v>26412</v>
      </c>
      <c r="L3976" s="51">
        <v>20260102</v>
      </c>
    </row>
    <row r="3977" spans="1:12" x14ac:dyDescent="0.25">
      <c r="A3977" s="50" t="s">
        <v>5490</v>
      </c>
      <c r="B3977" s="30" t="s">
        <v>137</v>
      </c>
      <c r="C3977" s="30" t="s">
        <v>4687</v>
      </c>
      <c r="D3977" s="266" t="s">
        <v>4688</v>
      </c>
      <c r="E3977" s="30" t="s">
        <v>4693</v>
      </c>
      <c r="F3977" s="30">
        <v>1</v>
      </c>
      <c r="G3977" s="123">
        <v>26412</v>
      </c>
      <c r="H3977" s="30"/>
      <c r="I3977" s="44"/>
      <c r="J3977" s="44"/>
      <c r="K3977" s="44">
        <f t="shared" si="129"/>
        <v>26412</v>
      </c>
      <c r="L3977" s="51">
        <v>20260102</v>
      </c>
    </row>
    <row r="3978" spans="1:12" x14ac:dyDescent="0.25">
      <c r="A3978" s="50" t="s">
        <v>5511</v>
      </c>
      <c r="B3978" s="30" t="s">
        <v>137</v>
      </c>
      <c r="C3978" s="30" t="s">
        <v>4490</v>
      </c>
      <c r="D3978" s="266" t="s">
        <v>368</v>
      </c>
      <c r="E3978" s="30" t="s">
        <v>3955</v>
      </c>
      <c r="F3978" s="30">
        <v>1</v>
      </c>
      <c r="G3978" s="44">
        <v>28287</v>
      </c>
      <c r="H3978" s="30"/>
      <c r="I3978" s="44"/>
      <c r="J3978" s="44"/>
      <c r="K3978" s="44">
        <f t="shared" si="129"/>
        <v>28287</v>
      </c>
      <c r="L3978" s="51">
        <v>20260107</v>
      </c>
    </row>
    <row r="3979" spans="1:12" x14ac:dyDescent="0.25">
      <c r="A3979" s="50" t="s">
        <v>5512</v>
      </c>
      <c r="B3979" s="30" t="s">
        <v>137</v>
      </c>
      <c r="C3979" s="30" t="s">
        <v>4490</v>
      </c>
      <c r="D3979" s="266" t="s">
        <v>368</v>
      </c>
      <c r="E3979" s="30" t="s">
        <v>736</v>
      </c>
      <c r="F3979" s="30">
        <v>1</v>
      </c>
      <c r="G3979" s="44">
        <v>28287</v>
      </c>
      <c r="H3979" s="30"/>
      <c r="I3979" s="44"/>
      <c r="J3979" s="44"/>
      <c r="K3979" s="44">
        <f t="shared" si="129"/>
        <v>28287</v>
      </c>
      <c r="L3979" s="51">
        <v>20260107</v>
      </c>
    </row>
    <row r="3980" spans="1:12" x14ac:dyDescent="0.25">
      <c r="A3980" s="50" t="s">
        <v>5513</v>
      </c>
      <c r="B3980" s="30" t="s">
        <v>137</v>
      </c>
      <c r="C3980" s="30" t="s">
        <v>4490</v>
      </c>
      <c r="D3980" s="266" t="s">
        <v>368</v>
      </c>
      <c r="E3980" s="30" t="s">
        <v>1218</v>
      </c>
      <c r="F3980" s="30">
        <v>1</v>
      </c>
      <c r="G3980" s="44">
        <v>28287</v>
      </c>
      <c r="H3980" s="30"/>
      <c r="I3980" s="44"/>
      <c r="J3980" s="44"/>
      <c r="K3980" s="44">
        <f t="shared" si="129"/>
        <v>28287</v>
      </c>
      <c r="L3980" s="51">
        <v>20260107</v>
      </c>
    </row>
    <row r="3981" spans="1:12" x14ac:dyDescent="0.25">
      <c r="A3981" s="50" t="s">
        <v>5514</v>
      </c>
      <c r="B3981" s="30" t="s">
        <v>137</v>
      </c>
      <c r="C3981" s="30" t="s">
        <v>4490</v>
      </c>
      <c r="D3981" s="266" t="s">
        <v>494</v>
      </c>
      <c r="E3981" s="30" t="s">
        <v>1212</v>
      </c>
      <c r="F3981" s="30">
        <v>1</v>
      </c>
      <c r="G3981" s="44">
        <v>28287</v>
      </c>
      <c r="H3981" s="30"/>
      <c r="I3981" s="44"/>
      <c r="J3981" s="44"/>
      <c r="K3981" s="44">
        <f t="shared" si="129"/>
        <v>28287</v>
      </c>
      <c r="L3981" s="51">
        <v>20260107</v>
      </c>
    </row>
    <row r="3982" spans="1:12" x14ac:dyDescent="0.25">
      <c r="A3982" s="50" t="s">
        <v>5515</v>
      </c>
      <c r="B3982" s="30" t="s">
        <v>137</v>
      </c>
      <c r="C3982" s="30" t="s">
        <v>4490</v>
      </c>
      <c r="D3982" s="266" t="s">
        <v>494</v>
      </c>
      <c r="E3982" s="30" t="s">
        <v>495</v>
      </c>
      <c r="F3982" s="30">
        <v>1</v>
      </c>
      <c r="G3982" s="44">
        <v>28287</v>
      </c>
      <c r="H3982" s="30"/>
      <c r="I3982" s="44"/>
      <c r="J3982" s="44"/>
      <c r="K3982" s="44">
        <f t="shared" si="129"/>
        <v>28287</v>
      </c>
      <c r="L3982" s="51">
        <v>20260107</v>
      </c>
    </row>
    <row r="3983" spans="1:12" x14ac:dyDescent="0.25">
      <c r="A3983" s="50" t="s">
        <v>5516</v>
      </c>
      <c r="B3983" s="30" t="s">
        <v>137</v>
      </c>
      <c r="C3983" s="30" t="s">
        <v>4490</v>
      </c>
      <c r="D3983" s="266" t="s">
        <v>494</v>
      </c>
      <c r="E3983" s="30" t="s">
        <v>1215</v>
      </c>
      <c r="F3983" s="30">
        <v>1</v>
      </c>
      <c r="G3983" s="44">
        <v>28287</v>
      </c>
      <c r="H3983" s="30"/>
      <c r="I3983" s="44"/>
      <c r="J3983" s="44"/>
      <c r="K3983" s="44">
        <f t="shared" si="129"/>
        <v>28287</v>
      </c>
      <c r="L3983" s="51">
        <v>20260107</v>
      </c>
    </row>
    <row r="3984" spans="1:12" x14ac:dyDescent="0.25">
      <c r="A3984" s="52" t="s">
        <v>5517</v>
      </c>
      <c r="B3984" s="32" t="s">
        <v>137</v>
      </c>
      <c r="C3984" s="32" t="s">
        <v>4490</v>
      </c>
      <c r="D3984" s="32" t="s">
        <v>494</v>
      </c>
      <c r="E3984" s="32" t="s">
        <v>596</v>
      </c>
      <c r="F3984" s="32">
        <v>1</v>
      </c>
      <c r="G3984" s="45">
        <v>28287</v>
      </c>
      <c r="H3984" s="32">
        <v>111</v>
      </c>
      <c r="I3984" s="45">
        <v>684.2</v>
      </c>
      <c r="J3984" s="45">
        <f>I3984*H3984</f>
        <v>75946.200000000012</v>
      </c>
      <c r="K3984" s="45">
        <f t="shared" si="129"/>
        <v>104233.20000000001</v>
      </c>
      <c r="L3984" s="53">
        <v>20260107</v>
      </c>
    </row>
    <row r="3985" spans="1:12" x14ac:dyDescent="0.25">
      <c r="A3985" s="50" t="s">
        <v>5472</v>
      </c>
      <c r="B3985" s="30" t="s">
        <v>137</v>
      </c>
      <c r="C3985" s="30" t="s">
        <v>919</v>
      </c>
      <c r="D3985" s="266" t="s">
        <v>24</v>
      </c>
      <c r="E3985" s="30" t="s">
        <v>4594</v>
      </c>
      <c r="F3985" s="30">
        <v>1</v>
      </c>
      <c r="G3985" s="44">
        <v>28287</v>
      </c>
      <c r="H3985" s="30"/>
      <c r="I3985" s="44"/>
      <c r="J3985" s="44"/>
      <c r="K3985" s="44">
        <f t="shared" si="129"/>
        <v>28287</v>
      </c>
      <c r="L3985" s="51">
        <v>20260109</v>
      </c>
    </row>
    <row r="3986" spans="1:12" x14ac:dyDescent="0.25">
      <c r="A3986" s="50" t="s">
        <v>5473</v>
      </c>
      <c r="B3986" s="30" t="s">
        <v>137</v>
      </c>
      <c r="C3986" s="30" t="s">
        <v>5474</v>
      </c>
      <c r="D3986" s="266" t="s">
        <v>24</v>
      </c>
      <c r="E3986" s="30" t="s">
        <v>4153</v>
      </c>
      <c r="F3986" s="30">
        <v>1</v>
      </c>
      <c r="G3986" s="44">
        <v>28287</v>
      </c>
      <c r="H3986" s="30"/>
      <c r="I3986" s="44"/>
      <c r="J3986" s="44"/>
      <c r="K3986" s="44">
        <f t="shared" si="129"/>
        <v>28287</v>
      </c>
      <c r="L3986" s="51">
        <v>20260109</v>
      </c>
    </row>
    <row r="3987" spans="1:12" x14ac:dyDescent="0.25">
      <c r="A3987" s="52" t="s">
        <v>5476</v>
      </c>
      <c r="B3987" s="32" t="s">
        <v>137</v>
      </c>
      <c r="C3987" s="32" t="s">
        <v>4149</v>
      </c>
      <c r="D3987" s="32" t="s">
        <v>4150</v>
      </c>
      <c r="E3987" s="32" t="s">
        <v>4151</v>
      </c>
      <c r="F3987" s="32">
        <v>1</v>
      </c>
      <c r="G3987" s="45">
        <v>28287</v>
      </c>
      <c r="H3987" s="32">
        <v>39</v>
      </c>
      <c r="I3987" s="45">
        <v>684.2</v>
      </c>
      <c r="J3987" s="45">
        <f>I3987*H3987</f>
        <v>26683.800000000003</v>
      </c>
      <c r="K3987" s="45">
        <f t="shared" si="129"/>
        <v>54970.8</v>
      </c>
      <c r="L3987" s="53">
        <v>20260109</v>
      </c>
    </row>
    <row r="3988" spans="1:12" x14ac:dyDescent="0.25">
      <c r="A3988" s="50" t="s">
        <v>5491</v>
      </c>
      <c r="B3988" s="30" t="s">
        <v>137</v>
      </c>
      <c r="C3988" s="30" t="s">
        <v>91</v>
      </c>
      <c r="D3988" s="266" t="s">
        <v>24</v>
      </c>
      <c r="E3988" s="30" t="s">
        <v>92</v>
      </c>
      <c r="F3988" s="30">
        <v>1</v>
      </c>
      <c r="G3988" s="44">
        <v>28287</v>
      </c>
      <c r="H3988" s="30"/>
      <c r="I3988" s="44"/>
      <c r="J3988" s="44"/>
      <c r="K3988" s="44">
        <f t="shared" si="129"/>
        <v>28287</v>
      </c>
      <c r="L3988" s="51">
        <v>20260109</v>
      </c>
    </row>
    <row r="3989" spans="1:12" x14ac:dyDescent="0.25">
      <c r="A3989" s="50" t="s">
        <v>5492</v>
      </c>
      <c r="B3989" s="30" t="s">
        <v>137</v>
      </c>
      <c r="C3989" s="30" t="s">
        <v>607</v>
      </c>
      <c r="D3989" s="266" t="s">
        <v>24</v>
      </c>
      <c r="E3989" s="30" t="s">
        <v>3792</v>
      </c>
      <c r="F3989" s="30">
        <v>1</v>
      </c>
      <c r="G3989" s="44">
        <v>28287</v>
      </c>
      <c r="H3989" s="30"/>
      <c r="I3989" s="44"/>
      <c r="J3989" s="44"/>
      <c r="K3989" s="44">
        <f t="shared" si="129"/>
        <v>28287</v>
      </c>
      <c r="L3989" s="51">
        <v>20260109</v>
      </c>
    </row>
    <row r="3990" spans="1:12" x14ac:dyDescent="0.25">
      <c r="A3990" s="50" t="s">
        <v>5477</v>
      </c>
      <c r="B3990" s="30" t="s">
        <v>137</v>
      </c>
      <c r="C3990" s="30" t="s">
        <v>251</v>
      </c>
      <c r="D3990" s="266" t="s">
        <v>764</v>
      </c>
      <c r="E3990" s="30" t="s">
        <v>1210</v>
      </c>
      <c r="F3990" s="30">
        <v>1</v>
      </c>
      <c r="G3990" s="44">
        <v>28287</v>
      </c>
      <c r="H3990" s="30"/>
      <c r="I3990" s="44"/>
      <c r="J3990" s="44"/>
      <c r="K3990" s="44">
        <f t="shared" si="129"/>
        <v>28287</v>
      </c>
      <c r="L3990" s="51">
        <v>20260112</v>
      </c>
    </row>
    <row r="3991" spans="1:12" x14ac:dyDescent="0.25">
      <c r="A3991" s="50" t="s">
        <v>5459</v>
      </c>
      <c r="B3991" s="30" t="s">
        <v>137</v>
      </c>
      <c r="C3991" s="30" t="s">
        <v>1006</v>
      </c>
      <c r="D3991" s="266" t="s">
        <v>24</v>
      </c>
      <c r="E3991" s="30" t="s">
        <v>2362</v>
      </c>
      <c r="F3991" s="30">
        <v>1</v>
      </c>
      <c r="G3991" s="44">
        <v>28287</v>
      </c>
      <c r="H3991" s="30"/>
      <c r="I3991" s="44"/>
      <c r="J3991" s="44"/>
      <c r="K3991" s="44">
        <f t="shared" si="129"/>
        <v>28287</v>
      </c>
      <c r="L3991" s="51">
        <v>20260113</v>
      </c>
    </row>
    <row r="3992" spans="1:12" x14ac:dyDescent="0.25">
      <c r="A3992" s="50" t="s">
        <v>5460</v>
      </c>
      <c r="B3992" s="30" t="s">
        <v>137</v>
      </c>
      <c r="C3992" s="30" t="s">
        <v>1006</v>
      </c>
      <c r="D3992" s="266" t="s">
        <v>24</v>
      </c>
      <c r="E3992" s="30" t="s">
        <v>2364</v>
      </c>
      <c r="F3992" s="30">
        <v>1</v>
      </c>
      <c r="G3992" s="44">
        <v>28287</v>
      </c>
      <c r="H3992" s="30"/>
      <c r="I3992" s="44"/>
      <c r="J3992" s="44"/>
      <c r="K3992" s="44">
        <f t="shared" si="129"/>
        <v>28287</v>
      </c>
      <c r="L3992" s="51">
        <v>20260113</v>
      </c>
    </row>
    <row r="3993" spans="1:12" x14ac:dyDescent="0.25">
      <c r="A3993" s="50" t="s">
        <v>5467</v>
      </c>
      <c r="B3993" s="30" t="s">
        <v>137</v>
      </c>
      <c r="C3993" s="30" t="s">
        <v>865</v>
      </c>
      <c r="D3993" s="266" t="s">
        <v>24</v>
      </c>
      <c r="E3993" s="30" t="s">
        <v>866</v>
      </c>
      <c r="F3993" s="30">
        <v>1</v>
      </c>
      <c r="G3993" s="44">
        <v>28287</v>
      </c>
      <c r="H3993" s="30"/>
      <c r="I3993" s="44"/>
      <c r="J3993" s="44"/>
      <c r="K3993" s="44">
        <f t="shared" si="129"/>
        <v>28287</v>
      </c>
      <c r="L3993" s="51">
        <v>20260113</v>
      </c>
    </row>
    <row r="3994" spans="1:12" x14ac:dyDescent="0.25">
      <c r="A3994" s="50" t="s">
        <v>5475</v>
      </c>
      <c r="B3994" s="30" t="s">
        <v>137</v>
      </c>
      <c r="C3994" s="30" t="s">
        <v>2861</v>
      </c>
      <c r="D3994" s="266" t="s">
        <v>2862</v>
      </c>
      <c r="E3994" s="30" t="s">
        <v>2863</v>
      </c>
      <c r="F3994" s="30">
        <v>1</v>
      </c>
      <c r="G3994" s="44">
        <v>28287</v>
      </c>
      <c r="H3994" s="30"/>
      <c r="I3994" s="44"/>
      <c r="J3994" s="44"/>
      <c r="K3994" s="44">
        <f t="shared" si="129"/>
        <v>28287</v>
      </c>
      <c r="L3994" s="51">
        <v>20260113</v>
      </c>
    </row>
    <row r="3995" spans="1:12" x14ac:dyDescent="0.25">
      <c r="A3995" s="50" t="s">
        <v>5478</v>
      </c>
      <c r="B3995" s="30" t="s">
        <v>137</v>
      </c>
      <c r="C3995" s="30" t="s">
        <v>251</v>
      </c>
      <c r="D3995" s="266" t="s">
        <v>2985</v>
      </c>
      <c r="E3995" s="30" t="s">
        <v>2986</v>
      </c>
      <c r="F3995" s="30">
        <v>1</v>
      </c>
      <c r="G3995" s="44">
        <v>28287</v>
      </c>
      <c r="H3995" s="30"/>
      <c r="I3995" s="44"/>
      <c r="J3995" s="44"/>
      <c r="K3995" s="44">
        <f t="shared" si="129"/>
        <v>28287</v>
      </c>
      <c r="L3995" s="51">
        <v>20260113</v>
      </c>
    </row>
    <row r="3996" spans="1:12" x14ac:dyDescent="0.25">
      <c r="A3996" s="50" t="s">
        <v>5448</v>
      </c>
      <c r="B3996" s="30" t="s">
        <v>137</v>
      </c>
      <c r="C3996" s="30" t="s">
        <v>29</v>
      </c>
      <c r="D3996" s="266" t="s">
        <v>5339</v>
      </c>
      <c r="E3996" s="30" t="s">
        <v>1003</v>
      </c>
      <c r="F3996" s="30">
        <v>1</v>
      </c>
      <c r="G3996" s="44">
        <v>28287</v>
      </c>
      <c r="H3996" s="30"/>
      <c r="I3996" s="44"/>
      <c r="J3996" s="44"/>
      <c r="K3996" s="44">
        <f t="shared" si="129"/>
        <v>28287</v>
      </c>
      <c r="L3996" s="51">
        <v>20260119</v>
      </c>
    </row>
    <row r="3997" spans="1:12" x14ac:dyDescent="0.25">
      <c r="A3997" s="50" t="s">
        <v>5449</v>
      </c>
      <c r="B3997" s="30" t="s">
        <v>137</v>
      </c>
      <c r="C3997" s="30" t="s">
        <v>29</v>
      </c>
      <c r="D3997" s="266" t="s">
        <v>5339</v>
      </c>
      <c r="E3997" s="30" t="s">
        <v>2051</v>
      </c>
      <c r="F3997" s="30">
        <v>1</v>
      </c>
      <c r="G3997" s="44">
        <v>28287</v>
      </c>
      <c r="H3997" s="30"/>
      <c r="I3997" s="44"/>
      <c r="J3997" s="44"/>
      <c r="K3997" s="44">
        <f t="shared" si="129"/>
        <v>28287</v>
      </c>
      <c r="L3997" s="51">
        <v>20260119</v>
      </c>
    </row>
    <row r="3998" spans="1:12" x14ac:dyDescent="0.25">
      <c r="A3998" s="50" t="s">
        <v>5450</v>
      </c>
      <c r="B3998" s="30" t="s">
        <v>137</v>
      </c>
      <c r="C3998" s="30" t="s">
        <v>29</v>
      </c>
      <c r="D3998" s="266" t="s">
        <v>5339</v>
      </c>
      <c r="E3998" s="30" t="s">
        <v>3335</v>
      </c>
      <c r="F3998" s="30">
        <v>1</v>
      </c>
      <c r="G3998" s="44">
        <v>28287</v>
      </c>
      <c r="H3998" s="30"/>
      <c r="I3998" s="44"/>
      <c r="J3998" s="44"/>
      <c r="K3998" s="44">
        <f t="shared" si="129"/>
        <v>28287</v>
      </c>
      <c r="L3998" s="51">
        <v>20260119</v>
      </c>
    </row>
    <row r="3999" spans="1:12" x14ac:dyDescent="0.25">
      <c r="A3999" s="50" t="s">
        <v>5451</v>
      </c>
      <c r="B3999" s="30" t="s">
        <v>137</v>
      </c>
      <c r="C3999" s="30" t="s">
        <v>29</v>
      </c>
      <c r="D3999" s="266" t="s">
        <v>5339</v>
      </c>
      <c r="E3999" s="30" t="s">
        <v>628</v>
      </c>
      <c r="F3999" s="30">
        <v>1</v>
      </c>
      <c r="G3999" s="44">
        <v>28287</v>
      </c>
      <c r="H3999" s="30"/>
      <c r="I3999" s="44"/>
      <c r="J3999" s="44"/>
      <c r="K3999" s="44">
        <f t="shared" si="129"/>
        <v>28287</v>
      </c>
      <c r="L3999" s="51">
        <v>20260119</v>
      </c>
    </row>
    <row r="4000" spans="1:12" x14ac:dyDescent="0.25">
      <c r="A4000" s="50" t="s">
        <v>5452</v>
      </c>
      <c r="B4000" s="30" t="s">
        <v>137</v>
      </c>
      <c r="C4000" s="30" t="s">
        <v>29</v>
      </c>
      <c r="D4000" s="266" t="s">
        <v>5339</v>
      </c>
      <c r="E4000" s="30" t="s">
        <v>4125</v>
      </c>
      <c r="F4000" s="30">
        <v>1</v>
      </c>
      <c r="G4000" s="44">
        <v>28287</v>
      </c>
      <c r="H4000" s="30"/>
      <c r="I4000" s="44"/>
      <c r="J4000" s="44"/>
      <c r="K4000" s="44">
        <f t="shared" si="129"/>
        <v>28287</v>
      </c>
      <c r="L4000" s="51">
        <v>20260119</v>
      </c>
    </row>
    <row r="4001" spans="1:12" x14ac:dyDescent="0.25">
      <c r="A4001" s="50" t="s">
        <v>5453</v>
      </c>
      <c r="B4001" s="30" t="s">
        <v>137</v>
      </c>
      <c r="C4001" s="30" t="s">
        <v>29</v>
      </c>
      <c r="D4001" s="266" t="s">
        <v>5339</v>
      </c>
      <c r="E4001" s="30" t="s">
        <v>2101</v>
      </c>
      <c r="F4001" s="30">
        <v>1</v>
      </c>
      <c r="G4001" s="44">
        <v>28287</v>
      </c>
      <c r="H4001" s="30"/>
      <c r="I4001" s="44"/>
      <c r="J4001" s="44"/>
      <c r="K4001" s="44">
        <f t="shared" si="129"/>
        <v>28287</v>
      </c>
      <c r="L4001" s="51">
        <v>20260119</v>
      </c>
    </row>
    <row r="4002" spans="1:12" x14ac:dyDescent="0.25">
      <c r="A4002" s="50" t="s">
        <v>5454</v>
      </c>
      <c r="B4002" s="30" t="s">
        <v>137</v>
      </c>
      <c r="C4002" s="30" t="s">
        <v>29</v>
      </c>
      <c r="D4002" s="266" t="s">
        <v>5339</v>
      </c>
      <c r="E4002" s="30" t="s">
        <v>4373</v>
      </c>
      <c r="F4002" s="30">
        <v>1</v>
      </c>
      <c r="G4002" s="44">
        <v>28287</v>
      </c>
      <c r="H4002" s="30"/>
      <c r="I4002" s="44"/>
      <c r="J4002" s="44"/>
      <c r="K4002" s="44">
        <f t="shared" si="129"/>
        <v>28287</v>
      </c>
      <c r="L4002" s="51">
        <v>20260119</v>
      </c>
    </row>
    <row r="4003" spans="1:12" x14ac:dyDescent="0.25">
      <c r="A4003" s="50" t="s">
        <v>5455</v>
      </c>
      <c r="B4003" s="30" t="s">
        <v>137</v>
      </c>
      <c r="C4003" s="30" t="s">
        <v>29</v>
      </c>
      <c r="D4003" s="266" t="s">
        <v>5339</v>
      </c>
      <c r="E4003" s="30" t="s">
        <v>1127</v>
      </c>
      <c r="F4003" s="30">
        <v>1</v>
      </c>
      <c r="G4003" s="44">
        <v>28287</v>
      </c>
      <c r="H4003" s="30"/>
      <c r="I4003" s="44"/>
      <c r="J4003" s="44"/>
      <c r="K4003" s="44">
        <f t="shared" si="129"/>
        <v>28287</v>
      </c>
      <c r="L4003" s="51">
        <v>20260119</v>
      </c>
    </row>
    <row r="4004" spans="1:12" x14ac:dyDescent="0.25">
      <c r="A4004" s="50" t="s">
        <v>5456</v>
      </c>
      <c r="B4004" s="30" t="s">
        <v>137</v>
      </c>
      <c r="C4004" s="30" t="s">
        <v>29</v>
      </c>
      <c r="D4004" s="266" t="s">
        <v>5339</v>
      </c>
      <c r="E4004" s="30" t="s">
        <v>1320</v>
      </c>
      <c r="F4004" s="30">
        <v>1</v>
      </c>
      <c r="G4004" s="44">
        <v>28287</v>
      </c>
      <c r="H4004" s="30"/>
      <c r="I4004" s="44"/>
      <c r="J4004" s="44"/>
      <c r="K4004" s="44">
        <f t="shared" si="129"/>
        <v>28287</v>
      </c>
      <c r="L4004" s="51">
        <v>20260119</v>
      </c>
    </row>
    <row r="4005" spans="1:12" x14ac:dyDescent="0.25">
      <c r="A4005" s="50" t="s">
        <v>5462</v>
      </c>
      <c r="B4005" s="30" t="s">
        <v>137</v>
      </c>
      <c r="C4005" s="30" t="s">
        <v>4655</v>
      </c>
      <c r="D4005" s="266" t="s">
        <v>4656</v>
      </c>
      <c r="E4005" s="30" t="s">
        <v>4657</v>
      </c>
      <c r="F4005" s="30">
        <v>1</v>
      </c>
      <c r="G4005" s="44">
        <v>28287</v>
      </c>
      <c r="H4005" s="30"/>
      <c r="I4005" s="44"/>
      <c r="J4005" s="44"/>
      <c r="K4005" s="44">
        <f t="shared" si="129"/>
        <v>28287</v>
      </c>
      <c r="L4005" s="51">
        <v>20260119</v>
      </c>
    </row>
    <row r="4006" spans="1:12" x14ac:dyDescent="0.25">
      <c r="A4006" s="50" t="s">
        <v>5463</v>
      </c>
      <c r="B4006" s="30" t="s">
        <v>137</v>
      </c>
      <c r="C4006" s="30" t="s">
        <v>4655</v>
      </c>
      <c r="D4006" s="266" t="s">
        <v>4656</v>
      </c>
      <c r="E4006" s="30" t="s">
        <v>4659</v>
      </c>
      <c r="F4006" s="30">
        <v>1</v>
      </c>
      <c r="G4006" s="44">
        <v>28287</v>
      </c>
      <c r="H4006" s="30"/>
      <c r="I4006" s="44"/>
      <c r="J4006" s="44"/>
      <c r="K4006" s="44">
        <f t="shared" si="129"/>
        <v>28287</v>
      </c>
      <c r="L4006" s="51">
        <v>20260119</v>
      </c>
    </row>
    <row r="4007" spans="1:12" x14ac:dyDescent="0.25">
      <c r="A4007" s="50" t="s">
        <v>5464</v>
      </c>
      <c r="B4007" s="30" t="s">
        <v>137</v>
      </c>
      <c r="C4007" s="30" t="s">
        <v>865</v>
      </c>
      <c r="D4007" s="266" t="s">
        <v>5465</v>
      </c>
      <c r="E4007" s="30" t="s">
        <v>5466</v>
      </c>
      <c r="F4007" s="30">
        <v>1</v>
      </c>
      <c r="G4007" s="44">
        <v>28287</v>
      </c>
      <c r="H4007" s="30"/>
      <c r="I4007" s="44"/>
      <c r="J4007" s="44"/>
      <c r="K4007" s="44">
        <f t="shared" ref="K4007:K4026" si="130">J4007+G4007</f>
        <v>28287</v>
      </c>
      <c r="L4007" s="51">
        <v>20260120</v>
      </c>
    </row>
    <row r="4008" spans="1:12" x14ac:dyDescent="0.25">
      <c r="A4008" s="50" t="s">
        <v>5422</v>
      </c>
      <c r="B4008" s="30" t="s">
        <v>137</v>
      </c>
      <c r="C4008" s="30" t="s">
        <v>29</v>
      </c>
      <c r="D4008" s="266" t="s">
        <v>4900</v>
      </c>
      <c r="E4008" s="30" t="s">
        <v>4979</v>
      </c>
      <c r="F4008" s="30">
        <v>1</v>
      </c>
      <c r="G4008" s="44">
        <v>28287</v>
      </c>
      <c r="H4008" s="30"/>
      <c r="I4008" s="44"/>
      <c r="J4008" s="44"/>
      <c r="K4008" s="44">
        <f t="shared" si="130"/>
        <v>28287</v>
      </c>
      <c r="L4008" s="51">
        <v>20260122</v>
      </c>
    </row>
    <row r="4009" spans="1:12" x14ac:dyDescent="0.25">
      <c r="A4009" s="50" t="s">
        <v>5423</v>
      </c>
      <c r="B4009" s="30" t="s">
        <v>137</v>
      </c>
      <c r="C4009" s="30" t="s">
        <v>29</v>
      </c>
      <c r="D4009" s="266" t="s">
        <v>4900</v>
      </c>
      <c r="E4009" s="30" t="s">
        <v>4948</v>
      </c>
      <c r="F4009" s="30">
        <v>1</v>
      </c>
      <c r="G4009" s="44">
        <v>28287</v>
      </c>
      <c r="H4009" s="30"/>
      <c r="I4009" s="44"/>
      <c r="J4009" s="44"/>
      <c r="K4009" s="44">
        <f t="shared" si="130"/>
        <v>28287</v>
      </c>
      <c r="L4009" s="51">
        <v>20260122</v>
      </c>
    </row>
    <row r="4010" spans="1:12" x14ac:dyDescent="0.25">
      <c r="A4010" s="50" t="s">
        <v>5424</v>
      </c>
      <c r="B4010" s="30" t="s">
        <v>137</v>
      </c>
      <c r="C4010" s="30" t="s">
        <v>29</v>
      </c>
      <c r="D4010" s="266" t="s">
        <v>4900</v>
      </c>
      <c r="E4010" s="30" t="s">
        <v>4950</v>
      </c>
      <c r="F4010" s="30">
        <v>1</v>
      </c>
      <c r="G4010" s="44">
        <v>28287</v>
      </c>
      <c r="H4010" s="30"/>
      <c r="I4010" s="44"/>
      <c r="J4010" s="44"/>
      <c r="K4010" s="44">
        <f t="shared" si="130"/>
        <v>28287</v>
      </c>
      <c r="L4010" s="51">
        <v>20260122</v>
      </c>
    </row>
    <row r="4011" spans="1:12" x14ac:dyDescent="0.25">
      <c r="A4011" s="50" t="s">
        <v>5507</v>
      </c>
      <c r="B4011" s="30" t="s">
        <v>137</v>
      </c>
      <c r="C4011" s="30" t="s">
        <v>636</v>
      </c>
      <c r="D4011" s="266" t="s">
        <v>5420</v>
      </c>
      <c r="E4011" s="30" t="s">
        <v>5508</v>
      </c>
      <c r="F4011" s="30">
        <v>1</v>
      </c>
      <c r="G4011" s="44">
        <v>28287</v>
      </c>
      <c r="H4011" s="30"/>
      <c r="I4011" s="44"/>
      <c r="J4011" s="44"/>
      <c r="K4011" s="44">
        <f t="shared" si="130"/>
        <v>28287</v>
      </c>
      <c r="L4011" s="51">
        <v>20260123</v>
      </c>
    </row>
    <row r="4012" spans="1:12" x14ac:dyDescent="0.25">
      <c r="A4012" s="50" t="s">
        <v>5509</v>
      </c>
      <c r="B4012" s="30" t="s">
        <v>137</v>
      </c>
      <c r="C4012" s="30" t="s">
        <v>636</v>
      </c>
      <c r="D4012" s="266" t="s">
        <v>5420</v>
      </c>
      <c r="E4012" s="30" t="s">
        <v>5510</v>
      </c>
      <c r="F4012" s="30">
        <v>1</v>
      </c>
      <c r="G4012" s="44">
        <v>28287</v>
      </c>
      <c r="H4012" s="30"/>
      <c r="I4012" s="44"/>
      <c r="J4012" s="44"/>
      <c r="K4012" s="44">
        <f t="shared" si="130"/>
        <v>28287</v>
      </c>
      <c r="L4012" s="51">
        <v>20260123</v>
      </c>
    </row>
    <row r="4013" spans="1:12" x14ac:dyDescent="0.25">
      <c r="A4013" s="50" t="s">
        <v>5412</v>
      </c>
      <c r="B4013" s="30" t="s">
        <v>137</v>
      </c>
      <c r="C4013" s="30" t="s">
        <v>28</v>
      </c>
      <c r="D4013" s="266" t="s">
        <v>1733</v>
      </c>
      <c r="E4013" s="30" t="s">
        <v>2808</v>
      </c>
      <c r="F4013" s="30">
        <v>1</v>
      </c>
      <c r="G4013" s="44">
        <v>28287</v>
      </c>
      <c r="H4013" s="30"/>
      <c r="I4013" s="44"/>
      <c r="J4013" s="44"/>
      <c r="K4013" s="44">
        <f t="shared" si="130"/>
        <v>28287</v>
      </c>
      <c r="L4013" s="51">
        <v>20260127</v>
      </c>
    </row>
    <row r="4014" spans="1:12" x14ac:dyDescent="0.25">
      <c r="A4014" s="50" t="s">
        <v>5444</v>
      </c>
      <c r="B4014" s="30" t="s">
        <v>137</v>
      </c>
      <c r="C4014" s="30" t="s">
        <v>251</v>
      </c>
      <c r="D4014" s="266" t="s">
        <v>1231</v>
      </c>
      <c r="E4014" s="30" t="s">
        <v>1232</v>
      </c>
      <c r="F4014" s="30">
        <v>1</v>
      </c>
      <c r="G4014" s="44">
        <v>28287</v>
      </c>
      <c r="H4014" s="30"/>
      <c r="I4014" s="44"/>
      <c r="J4014" s="44"/>
      <c r="K4014" s="44">
        <f t="shared" si="130"/>
        <v>28287</v>
      </c>
      <c r="L4014" s="51">
        <v>20260127</v>
      </c>
    </row>
    <row r="4015" spans="1:12" x14ac:dyDescent="0.25">
      <c r="A4015" s="50" t="s">
        <v>5461</v>
      </c>
      <c r="B4015" s="30" t="s">
        <v>137</v>
      </c>
      <c r="C4015" s="30" t="s">
        <v>28</v>
      </c>
      <c r="D4015" s="266" t="s">
        <v>1742</v>
      </c>
      <c r="E4015" s="30" t="s">
        <v>2226</v>
      </c>
      <c r="F4015" s="30">
        <v>1</v>
      </c>
      <c r="G4015" s="44">
        <v>28287</v>
      </c>
      <c r="H4015" s="30"/>
      <c r="I4015" s="44"/>
      <c r="J4015" s="44"/>
      <c r="K4015" s="44">
        <f t="shared" si="130"/>
        <v>28287</v>
      </c>
      <c r="L4015" s="51">
        <v>20260127</v>
      </c>
    </row>
    <row r="4016" spans="1:12" x14ac:dyDescent="0.25">
      <c r="A4016" s="50" t="s">
        <v>5494</v>
      </c>
      <c r="B4016" s="30" t="s">
        <v>137</v>
      </c>
      <c r="C4016" s="30" t="s">
        <v>1006</v>
      </c>
      <c r="D4016" s="266" t="s">
        <v>4911</v>
      </c>
      <c r="E4016" s="30" t="s">
        <v>5495</v>
      </c>
      <c r="F4016" s="30">
        <v>1</v>
      </c>
      <c r="G4016" s="44">
        <v>28287</v>
      </c>
      <c r="H4016" s="30"/>
      <c r="I4016" s="44"/>
      <c r="J4016" s="44"/>
      <c r="K4016" s="44">
        <f t="shared" si="130"/>
        <v>28287</v>
      </c>
      <c r="L4016" s="51">
        <v>20260127</v>
      </c>
    </row>
    <row r="4017" spans="1:12" x14ac:dyDescent="0.25">
      <c r="A4017" s="50" t="s">
        <v>5496</v>
      </c>
      <c r="B4017" s="30" t="s">
        <v>137</v>
      </c>
      <c r="C4017" s="30" t="s">
        <v>1006</v>
      </c>
      <c r="D4017" s="266" t="s">
        <v>4911</v>
      </c>
      <c r="E4017" s="30" t="s">
        <v>5269</v>
      </c>
      <c r="F4017" s="30">
        <v>1</v>
      </c>
      <c r="G4017" s="44">
        <v>28287</v>
      </c>
      <c r="H4017" s="30"/>
      <c r="I4017" s="44"/>
      <c r="J4017" s="44"/>
      <c r="K4017" s="44">
        <f t="shared" si="130"/>
        <v>28287</v>
      </c>
      <c r="L4017" s="51">
        <v>20260127</v>
      </c>
    </row>
    <row r="4018" spans="1:12" x14ac:dyDescent="0.25">
      <c r="A4018" s="50" t="s">
        <v>5497</v>
      </c>
      <c r="B4018" s="30" t="s">
        <v>137</v>
      </c>
      <c r="C4018" s="30" t="s">
        <v>1006</v>
      </c>
      <c r="D4018" s="266" t="s">
        <v>4911</v>
      </c>
      <c r="E4018" s="30" t="s">
        <v>5498</v>
      </c>
      <c r="F4018" s="30">
        <v>1</v>
      </c>
      <c r="G4018" s="44">
        <v>28287</v>
      </c>
      <c r="H4018" s="30"/>
      <c r="I4018" s="44"/>
      <c r="J4018" s="44"/>
      <c r="K4018" s="44">
        <f t="shared" si="130"/>
        <v>28287</v>
      </c>
      <c r="L4018" s="51">
        <v>20260127</v>
      </c>
    </row>
    <row r="4019" spans="1:12" x14ac:dyDescent="0.25">
      <c r="A4019" s="50" t="s">
        <v>5499</v>
      </c>
      <c r="B4019" s="30" t="s">
        <v>137</v>
      </c>
      <c r="C4019" s="30" t="s">
        <v>1006</v>
      </c>
      <c r="D4019" s="266" t="s">
        <v>4911</v>
      </c>
      <c r="E4019" s="30" t="s">
        <v>5500</v>
      </c>
      <c r="F4019" s="30">
        <v>1</v>
      </c>
      <c r="G4019" s="44">
        <v>28287</v>
      </c>
      <c r="H4019" s="30"/>
      <c r="I4019" s="44"/>
      <c r="J4019" s="44"/>
      <c r="K4019" s="44">
        <f t="shared" si="130"/>
        <v>28287</v>
      </c>
      <c r="L4019" s="51">
        <v>20260127</v>
      </c>
    </row>
    <row r="4020" spans="1:12" x14ac:dyDescent="0.25">
      <c r="A4020" s="50" t="s">
        <v>5505</v>
      </c>
      <c r="B4020" s="30" t="s">
        <v>137</v>
      </c>
      <c r="C4020" s="30" t="s">
        <v>636</v>
      </c>
      <c r="D4020" s="266" t="s">
        <v>5420</v>
      </c>
      <c r="E4020" s="30" t="s">
        <v>5506</v>
      </c>
      <c r="F4020" s="30">
        <v>1</v>
      </c>
      <c r="G4020" s="44">
        <v>28287</v>
      </c>
      <c r="H4020" s="30"/>
      <c r="I4020" s="44"/>
      <c r="J4020" s="44"/>
      <c r="K4020" s="44">
        <f t="shared" si="130"/>
        <v>28287</v>
      </c>
      <c r="L4020" s="51">
        <v>20260129</v>
      </c>
    </row>
    <row r="4021" spans="1:12" x14ac:dyDescent="0.25">
      <c r="A4021" s="50" t="s">
        <v>5413</v>
      </c>
      <c r="B4021" s="30" t="s">
        <v>137</v>
      </c>
      <c r="C4021" s="30" t="s">
        <v>94</v>
      </c>
      <c r="D4021" s="266" t="s">
        <v>95</v>
      </c>
      <c r="E4021" s="30" t="s">
        <v>262</v>
      </c>
      <c r="F4021" s="30">
        <v>1</v>
      </c>
      <c r="G4021" s="44">
        <v>28287</v>
      </c>
      <c r="H4021" s="30"/>
      <c r="I4021" s="44"/>
      <c r="J4021" s="44"/>
      <c r="K4021" s="44">
        <f t="shared" si="130"/>
        <v>28287</v>
      </c>
      <c r="L4021" s="51">
        <v>20260131</v>
      </c>
    </row>
    <row r="4022" spans="1:12" x14ac:dyDescent="0.25">
      <c r="A4022" s="50" t="s">
        <v>5414</v>
      </c>
      <c r="B4022" s="30" t="s">
        <v>137</v>
      </c>
      <c r="C4022" s="30" t="s">
        <v>94</v>
      </c>
      <c r="D4022" s="266" t="s">
        <v>95</v>
      </c>
      <c r="E4022" s="30" t="s">
        <v>436</v>
      </c>
      <c r="F4022" s="30">
        <v>1</v>
      </c>
      <c r="G4022" s="44">
        <v>28287</v>
      </c>
      <c r="H4022" s="30"/>
      <c r="I4022" s="44"/>
      <c r="J4022" s="44"/>
      <c r="K4022" s="44">
        <f t="shared" si="130"/>
        <v>28287</v>
      </c>
      <c r="L4022" s="51">
        <v>20260131</v>
      </c>
    </row>
    <row r="4023" spans="1:12" x14ac:dyDescent="0.25">
      <c r="A4023" s="50" t="s">
        <v>5415</v>
      </c>
      <c r="B4023" s="30" t="s">
        <v>137</v>
      </c>
      <c r="C4023" s="30" t="s">
        <v>94</v>
      </c>
      <c r="D4023" s="266" t="s">
        <v>95</v>
      </c>
      <c r="E4023" s="30" t="s">
        <v>1083</v>
      </c>
      <c r="F4023" s="30">
        <v>1</v>
      </c>
      <c r="G4023" s="44">
        <v>28287</v>
      </c>
      <c r="H4023" s="30"/>
      <c r="I4023" s="44"/>
      <c r="J4023" s="44"/>
      <c r="K4023" s="44">
        <f t="shared" si="130"/>
        <v>28287</v>
      </c>
      <c r="L4023" s="51">
        <v>20260131</v>
      </c>
    </row>
    <row r="4024" spans="1:12" x14ac:dyDescent="0.25">
      <c r="A4024" s="50" t="s">
        <v>5416</v>
      </c>
      <c r="B4024" s="30" t="s">
        <v>137</v>
      </c>
      <c r="C4024" s="30" t="s">
        <v>94</v>
      </c>
      <c r="D4024" s="266" t="s">
        <v>95</v>
      </c>
      <c r="E4024" s="30" t="s">
        <v>2674</v>
      </c>
      <c r="F4024" s="30">
        <v>1</v>
      </c>
      <c r="G4024" s="44">
        <v>28287</v>
      </c>
      <c r="H4024" s="30"/>
      <c r="I4024" s="44"/>
      <c r="J4024" s="44"/>
      <c r="K4024" s="44">
        <f t="shared" si="130"/>
        <v>28287</v>
      </c>
      <c r="L4024" s="51">
        <v>20260131</v>
      </c>
    </row>
    <row r="4025" spans="1:12" x14ac:dyDescent="0.25">
      <c r="A4025" s="50" t="s">
        <v>5417</v>
      </c>
      <c r="B4025" s="30" t="s">
        <v>137</v>
      </c>
      <c r="C4025" s="30" t="s">
        <v>29</v>
      </c>
      <c r="D4025" s="266" t="s">
        <v>1656</v>
      </c>
      <c r="E4025" s="30" t="s">
        <v>4311</v>
      </c>
      <c r="F4025" s="30">
        <v>1</v>
      </c>
      <c r="G4025" s="44">
        <v>28287</v>
      </c>
      <c r="H4025" s="30"/>
      <c r="I4025" s="44"/>
      <c r="J4025" s="44"/>
      <c r="K4025" s="44">
        <f t="shared" si="130"/>
        <v>28287</v>
      </c>
      <c r="L4025" s="51">
        <v>20260131</v>
      </c>
    </row>
    <row r="4026" spans="1:12" ht="15.75" thickBot="1" x14ac:dyDescent="0.3">
      <c r="A4026" s="54" t="s">
        <v>5418</v>
      </c>
      <c r="B4026" s="36" t="s">
        <v>137</v>
      </c>
      <c r="C4026" s="36" t="s">
        <v>29</v>
      </c>
      <c r="D4026" s="267" t="s">
        <v>1656</v>
      </c>
      <c r="E4026" s="36" t="s">
        <v>2300</v>
      </c>
      <c r="F4026" s="36">
        <v>1</v>
      </c>
      <c r="G4026" s="65">
        <v>28287</v>
      </c>
      <c r="H4026" s="36"/>
      <c r="I4026" s="65"/>
      <c r="J4026" s="65"/>
      <c r="K4026" s="65">
        <f t="shared" si="130"/>
        <v>28287</v>
      </c>
      <c r="L4026" s="55">
        <v>20260131</v>
      </c>
    </row>
    <row r="4030" spans="1:12" ht="15.75" thickBot="1" x14ac:dyDescent="0.3">
      <c r="A4030" s="69" t="s">
        <v>0</v>
      </c>
      <c r="B4030" s="70" t="s">
        <v>1</v>
      </c>
      <c r="C4030" s="70" t="s">
        <v>2</v>
      </c>
      <c r="D4030" s="274" t="s">
        <v>3</v>
      </c>
      <c r="E4030" s="70" t="s">
        <v>4</v>
      </c>
      <c r="F4030" s="70"/>
      <c r="G4030" s="71" t="s">
        <v>6</v>
      </c>
      <c r="H4030" s="70" t="s">
        <v>7</v>
      </c>
      <c r="I4030" s="71" t="s">
        <v>8</v>
      </c>
      <c r="J4030" s="71" t="s">
        <v>9</v>
      </c>
      <c r="K4030" s="71" t="s">
        <v>10</v>
      </c>
      <c r="L4030" s="72" t="s">
        <v>5</v>
      </c>
    </row>
    <row r="4031" spans="1:12" x14ac:dyDescent="0.25">
      <c r="A4031" s="48" t="s">
        <v>5620</v>
      </c>
      <c r="B4031" s="34" t="s">
        <v>11</v>
      </c>
      <c r="C4031" s="34" t="s">
        <v>1006</v>
      </c>
      <c r="D4031" s="275" t="s">
        <v>4911</v>
      </c>
      <c r="E4031" s="34" t="s">
        <v>4938</v>
      </c>
      <c r="F4031" s="34">
        <v>1</v>
      </c>
      <c r="G4031" s="64">
        <v>56596</v>
      </c>
      <c r="H4031" s="34"/>
      <c r="I4031" s="64"/>
      <c r="J4031" s="64"/>
      <c r="K4031" s="64">
        <f t="shared" ref="K4031:K4048" si="131">J4031+G4031</f>
        <v>56596</v>
      </c>
      <c r="L4031" s="49">
        <v>20260202</v>
      </c>
    </row>
    <row r="4032" spans="1:12" x14ac:dyDescent="0.25">
      <c r="A4032" s="50" t="s">
        <v>5597</v>
      </c>
      <c r="B4032" s="30" t="s">
        <v>11</v>
      </c>
      <c r="C4032" s="30" t="s">
        <v>1006</v>
      </c>
      <c r="D4032" s="266" t="s">
        <v>4911</v>
      </c>
      <c r="E4032" s="30" t="s">
        <v>4912</v>
      </c>
      <c r="F4032" s="30">
        <v>1</v>
      </c>
      <c r="G4032" s="44">
        <v>56596</v>
      </c>
      <c r="H4032" s="30"/>
      <c r="I4032" s="44"/>
      <c r="J4032" s="44"/>
      <c r="K4032" s="44">
        <f t="shared" si="131"/>
        <v>56596</v>
      </c>
      <c r="L4032" s="51">
        <v>20260205</v>
      </c>
    </row>
    <row r="4033" spans="1:12" x14ac:dyDescent="0.25">
      <c r="A4033" s="50" t="s">
        <v>5592</v>
      </c>
      <c r="B4033" s="30" t="s">
        <v>11</v>
      </c>
      <c r="C4033" s="30" t="s">
        <v>28</v>
      </c>
      <c r="D4033" s="266" t="s">
        <v>5593</v>
      </c>
      <c r="E4033" s="30" t="s">
        <v>5594</v>
      </c>
      <c r="F4033" s="30">
        <v>1</v>
      </c>
      <c r="G4033" s="123">
        <v>42308</v>
      </c>
      <c r="H4033" s="30"/>
      <c r="I4033" s="44"/>
      <c r="J4033" s="44"/>
      <c r="K4033" s="44">
        <f t="shared" si="131"/>
        <v>42308</v>
      </c>
      <c r="L4033" s="51">
        <v>20260206</v>
      </c>
    </row>
    <row r="4034" spans="1:12" x14ac:dyDescent="0.25">
      <c r="A4034" s="50" t="s">
        <v>5590</v>
      </c>
      <c r="B4034" s="30" t="s">
        <v>11</v>
      </c>
      <c r="C4034" s="30" t="s">
        <v>29</v>
      </c>
      <c r="D4034" s="266" t="s">
        <v>2548</v>
      </c>
      <c r="E4034" s="30" t="s">
        <v>1497</v>
      </c>
      <c r="F4034" s="30">
        <v>1</v>
      </c>
      <c r="G4034" s="44">
        <v>56596</v>
      </c>
      <c r="H4034" s="30"/>
      <c r="I4034" s="44"/>
      <c r="J4034" s="44"/>
      <c r="K4034" s="44">
        <f t="shared" si="131"/>
        <v>56596</v>
      </c>
      <c r="L4034" s="51">
        <v>20260210</v>
      </c>
    </row>
    <row r="4035" spans="1:12" x14ac:dyDescent="0.25">
      <c r="A4035" s="50" t="s">
        <v>5595</v>
      </c>
      <c r="B4035" s="30" t="s">
        <v>11</v>
      </c>
      <c r="C4035" s="30" t="s">
        <v>29</v>
      </c>
      <c r="D4035" s="266" t="s">
        <v>2548</v>
      </c>
      <c r="E4035" s="30" t="s">
        <v>733</v>
      </c>
      <c r="F4035" s="30">
        <v>1</v>
      </c>
      <c r="G4035" s="44">
        <v>56596</v>
      </c>
      <c r="H4035" s="30"/>
      <c r="I4035" s="44"/>
      <c r="J4035" s="44"/>
      <c r="K4035" s="44">
        <f t="shared" si="131"/>
        <v>56596</v>
      </c>
      <c r="L4035" s="51">
        <v>20260210</v>
      </c>
    </row>
    <row r="4036" spans="1:12" x14ac:dyDescent="0.25">
      <c r="A4036" s="52" t="s">
        <v>5591</v>
      </c>
      <c r="B4036" s="32" t="s">
        <v>11</v>
      </c>
      <c r="C4036" s="32" t="s">
        <v>29</v>
      </c>
      <c r="D4036" s="32" t="s">
        <v>5262</v>
      </c>
      <c r="E4036" s="32" t="s">
        <v>4526</v>
      </c>
      <c r="F4036" s="32">
        <v>1</v>
      </c>
      <c r="G4036" s="45">
        <v>56596</v>
      </c>
      <c r="H4036" s="32">
        <v>32</v>
      </c>
      <c r="I4036" s="45">
        <v>684.2</v>
      </c>
      <c r="J4036" s="45">
        <f>I4036*H4036</f>
        <v>21894.400000000001</v>
      </c>
      <c r="K4036" s="45">
        <f t="shared" si="131"/>
        <v>78490.399999999994</v>
      </c>
      <c r="L4036" s="53">
        <v>20260210</v>
      </c>
    </row>
    <row r="4037" spans="1:12" x14ac:dyDescent="0.25">
      <c r="A4037" s="50" t="s">
        <v>5616</v>
      </c>
      <c r="B4037" s="30" t="s">
        <v>11</v>
      </c>
      <c r="C4037" s="30" t="s">
        <v>29</v>
      </c>
      <c r="D4037" s="266" t="s">
        <v>5339</v>
      </c>
      <c r="E4037" s="30" t="s">
        <v>628</v>
      </c>
      <c r="F4037" s="30">
        <v>1</v>
      </c>
      <c r="G4037" s="44">
        <v>56596</v>
      </c>
      <c r="H4037" s="30"/>
      <c r="I4037" s="44"/>
      <c r="J4037" s="44"/>
      <c r="K4037" s="44">
        <f t="shared" si="131"/>
        <v>56596</v>
      </c>
      <c r="L4037" s="51">
        <v>20260211</v>
      </c>
    </row>
    <row r="4038" spans="1:12" x14ac:dyDescent="0.25">
      <c r="A4038" s="50" t="s">
        <v>5588</v>
      </c>
      <c r="B4038" s="30" t="s">
        <v>11</v>
      </c>
      <c r="C4038" s="30" t="s">
        <v>29</v>
      </c>
      <c r="D4038" s="266" t="s">
        <v>1656</v>
      </c>
      <c r="E4038" s="30" t="s">
        <v>4311</v>
      </c>
      <c r="F4038" s="30">
        <v>1</v>
      </c>
      <c r="G4038" s="44">
        <v>56596</v>
      </c>
      <c r="H4038" s="30"/>
      <c r="I4038" s="44"/>
      <c r="J4038" s="44"/>
      <c r="K4038" s="44">
        <f t="shared" si="131"/>
        <v>56596</v>
      </c>
      <c r="L4038" s="51">
        <v>20260213</v>
      </c>
    </row>
    <row r="4039" spans="1:12" x14ac:dyDescent="0.25">
      <c r="A4039" s="52" t="s">
        <v>5553</v>
      </c>
      <c r="B4039" s="32" t="s">
        <v>11</v>
      </c>
      <c r="C4039" s="32" t="s">
        <v>29</v>
      </c>
      <c r="D4039" s="32" t="s">
        <v>5262</v>
      </c>
      <c r="E4039" s="32" t="s">
        <v>4526</v>
      </c>
      <c r="F4039" s="32">
        <v>1</v>
      </c>
      <c r="G4039" s="45">
        <v>56596</v>
      </c>
      <c r="H4039" s="32">
        <v>32</v>
      </c>
      <c r="I4039" s="45">
        <v>684.2</v>
      </c>
      <c r="J4039" s="45">
        <f>I4039*H4039</f>
        <v>21894.400000000001</v>
      </c>
      <c r="K4039" s="45">
        <f t="shared" si="131"/>
        <v>78490.399999999994</v>
      </c>
      <c r="L4039" s="53">
        <v>20260213</v>
      </c>
    </row>
    <row r="4040" spans="1:12" x14ac:dyDescent="0.25">
      <c r="A4040" s="50" t="s">
        <v>5622</v>
      </c>
      <c r="B4040" s="30" t="s">
        <v>11</v>
      </c>
      <c r="C4040" s="30" t="s">
        <v>29</v>
      </c>
      <c r="D4040" s="266" t="s">
        <v>5262</v>
      </c>
      <c r="E4040" s="30" t="s">
        <v>3631</v>
      </c>
      <c r="F4040" s="30">
        <v>1</v>
      </c>
      <c r="G4040" s="44">
        <v>56596</v>
      </c>
      <c r="H4040" s="30"/>
      <c r="I4040" s="44"/>
      <c r="J4040" s="44"/>
      <c r="K4040" s="44">
        <f t="shared" si="131"/>
        <v>56596</v>
      </c>
      <c r="L4040" s="51">
        <v>20260213</v>
      </c>
    </row>
    <row r="4041" spans="1:12" x14ac:dyDescent="0.25">
      <c r="A4041" s="50" t="s">
        <v>5617</v>
      </c>
      <c r="B4041" s="30" t="s">
        <v>1209</v>
      </c>
      <c r="C4041" s="30" t="s">
        <v>2861</v>
      </c>
      <c r="D4041" s="266" t="s">
        <v>5618</v>
      </c>
      <c r="E4041" s="30" t="s">
        <v>5619</v>
      </c>
      <c r="F4041" s="30">
        <v>1</v>
      </c>
      <c r="G4041" s="44">
        <v>56596</v>
      </c>
      <c r="H4041" s="30"/>
      <c r="I4041" s="44"/>
      <c r="J4041" s="44"/>
      <c r="K4041" s="44">
        <f t="shared" si="131"/>
        <v>56596</v>
      </c>
      <c r="L4041" s="51">
        <v>20260213</v>
      </c>
    </row>
    <row r="4042" spans="1:12" x14ac:dyDescent="0.25">
      <c r="A4042" s="52" t="s">
        <v>5598</v>
      </c>
      <c r="B4042" s="32" t="s">
        <v>11</v>
      </c>
      <c r="C4042" s="32" t="s">
        <v>28</v>
      </c>
      <c r="D4042" s="32" t="s">
        <v>1183</v>
      </c>
      <c r="E4042" s="32" t="s">
        <v>1184</v>
      </c>
      <c r="F4042" s="32">
        <v>1</v>
      </c>
      <c r="G4042" s="45">
        <v>56596</v>
      </c>
      <c r="H4042" s="32">
        <v>276</v>
      </c>
      <c r="I4042" s="45">
        <v>684.2</v>
      </c>
      <c r="J4042" s="45">
        <f>I4042*H4042</f>
        <v>188839.2</v>
      </c>
      <c r="K4042" s="45">
        <f t="shared" si="131"/>
        <v>245435.2</v>
      </c>
      <c r="L4042" s="53">
        <v>20260218</v>
      </c>
    </row>
    <row r="4043" spans="1:12" x14ac:dyDescent="0.25">
      <c r="A4043" s="50" t="s">
        <v>5596</v>
      </c>
      <c r="B4043" s="30" t="s">
        <v>11</v>
      </c>
      <c r="C4043" s="30" t="s">
        <v>337</v>
      </c>
      <c r="D4043" s="266" t="s">
        <v>35</v>
      </c>
      <c r="E4043" s="30" t="s">
        <v>3011</v>
      </c>
      <c r="F4043" s="30">
        <v>1</v>
      </c>
      <c r="G4043" s="44">
        <v>56596</v>
      </c>
      <c r="H4043" s="30"/>
      <c r="I4043" s="44"/>
      <c r="J4043" s="44"/>
      <c r="K4043" s="44">
        <f t="shared" si="131"/>
        <v>56596</v>
      </c>
      <c r="L4043" s="51">
        <v>20260220</v>
      </c>
    </row>
    <row r="4044" spans="1:12" x14ac:dyDescent="0.25">
      <c r="A4044" s="50" t="s">
        <v>5589</v>
      </c>
      <c r="B4044" s="30" t="s">
        <v>11</v>
      </c>
      <c r="C4044" s="30" t="s">
        <v>337</v>
      </c>
      <c r="D4044" s="266" t="s">
        <v>162</v>
      </c>
      <c r="E4044" s="30" t="s">
        <v>3741</v>
      </c>
      <c r="F4044" s="30">
        <v>1</v>
      </c>
      <c r="G4044" s="44">
        <v>56596</v>
      </c>
      <c r="H4044" s="30"/>
      <c r="I4044" s="44"/>
      <c r="J4044" s="44"/>
      <c r="K4044" s="44">
        <f t="shared" si="131"/>
        <v>56596</v>
      </c>
      <c r="L4044" s="51">
        <v>20260223</v>
      </c>
    </row>
    <row r="4045" spans="1:12" x14ac:dyDescent="0.25">
      <c r="A4045" s="52" t="s">
        <v>5533</v>
      </c>
      <c r="B4045" s="32" t="s">
        <v>11</v>
      </c>
      <c r="C4045" s="32" t="s">
        <v>29</v>
      </c>
      <c r="D4045" s="32" t="s">
        <v>5262</v>
      </c>
      <c r="E4045" s="32" t="s">
        <v>4526</v>
      </c>
      <c r="F4045" s="32">
        <v>1</v>
      </c>
      <c r="G4045" s="45">
        <v>56596</v>
      </c>
      <c r="H4045" s="32">
        <v>32</v>
      </c>
      <c r="I4045" s="45">
        <v>684.2</v>
      </c>
      <c r="J4045" s="45">
        <f>I4045*H4045</f>
        <v>21894.400000000001</v>
      </c>
      <c r="K4045" s="45">
        <f t="shared" si="131"/>
        <v>78490.399999999994</v>
      </c>
      <c r="L4045" s="53">
        <v>20260223</v>
      </c>
    </row>
    <row r="4046" spans="1:12" x14ac:dyDescent="0.25">
      <c r="A4046" s="50" t="s">
        <v>5551</v>
      </c>
      <c r="B4046" s="30" t="s">
        <v>11</v>
      </c>
      <c r="C4046" s="30" t="s">
        <v>636</v>
      </c>
      <c r="D4046" s="266" t="s">
        <v>4889</v>
      </c>
      <c r="E4046" s="30" t="s">
        <v>5328</v>
      </c>
      <c r="F4046" s="30">
        <v>1</v>
      </c>
      <c r="G4046" s="44">
        <v>56596</v>
      </c>
      <c r="H4046" s="30"/>
      <c r="I4046" s="44"/>
      <c r="J4046" s="44"/>
      <c r="K4046" s="44">
        <f t="shared" si="131"/>
        <v>56596</v>
      </c>
      <c r="L4046" s="51">
        <v>20260223</v>
      </c>
    </row>
    <row r="4047" spans="1:12" x14ac:dyDescent="0.25">
      <c r="A4047" s="50" t="s">
        <v>5552</v>
      </c>
      <c r="B4047" s="30" t="s">
        <v>11</v>
      </c>
      <c r="C4047" s="30" t="s">
        <v>94</v>
      </c>
      <c r="D4047" s="266" t="s">
        <v>95</v>
      </c>
      <c r="E4047" s="30" t="s">
        <v>436</v>
      </c>
      <c r="F4047" s="30">
        <v>1</v>
      </c>
      <c r="G4047" s="44">
        <v>56596</v>
      </c>
      <c r="H4047" s="30"/>
      <c r="I4047" s="44"/>
      <c r="J4047" s="44"/>
      <c r="K4047" s="44">
        <f t="shared" si="131"/>
        <v>56596</v>
      </c>
      <c r="L4047" s="51">
        <v>20260223</v>
      </c>
    </row>
    <row r="4048" spans="1:12" ht="15.75" thickBot="1" x14ac:dyDescent="0.3">
      <c r="A4048" s="54" t="s">
        <v>5526</v>
      </c>
      <c r="B4048" s="36" t="s">
        <v>11</v>
      </c>
      <c r="C4048" s="36" t="s">
        <v>636</v>
      </c>
      <c r="D4048" s="267" t="s">
        <v>4889</v>
      </c>
      <c r="E4048" s="36" t="s">
        <v>5309</v>
      </c>
      <c r="F4048" s="36">
        <v>1</v>
      </c>
      <c r="G4048" s="65">
        <v>56596</v>
      </c>
      <c r="H4048" s="36"/>
      <c r="I4048" s="65"/>
      <c r="J4048" s="65"/>
      <c r="K4048" s="65">
        <f t="shared" si="131"/>
        <v>56596</v>
      </c>
      <c r="L4048" s="55">
        <v>20260226</v>
      </c>
    </row>
    <row r="4049" spans="1:12" x14ac:dyDescent="0.25">
      <c r="A4049" s="73"/>
      <c r="B4049" s="74"/>
      <c r="C4049" s="74"/>
      <c r="D4049" s="276"/>
      <c r="E4049" s="74"/>
      <c r="F4049" s="74"/>
      <c r="G4049" s="75"/>
      <c r="H4049" s="74"/>
      <c r="I4049" s="75"/>
      <c r="J4049" s="75"/>
      <c r="K4049" s="75"/>
      <c r="L4049" s="76"/>
    </row>
    <row r="4050" spans="1:12" ht="15.75" thickBot="1" x14ac:dyDescent="0.3">
      <c r="A4050" s="69"/>
      <c r="B4050" s="70"/>
      <c r="C4050" s="70"/>
      <c r="D4050" s="274"/>
      <c r="E4050" s="70"/>
      <c r="F4050" s="70"/>
      <c r="G4050" s="71"/>
      <c r="H4050" s="70"/>
      <c r="I4050" s="71"/>
      <c r="J4050" s="71"/>
      <c r="K4050" s="71"/>
      <c r="L4050" s="72"/>
    </row>
    <row r="4051" spans="1:12" x14ac:dyDescent="0.25">
      <c r="A4051" s="48" t="s">
        <v>5602</v>
      </c>
      <c r="B4051" s="34" t="s">
        <v>137</v>
      </c>
      <c r="C4051" s="34" t="s">
        <v>1006</v>
      </c>
      <c r="D4051" s="275" t="s">
        <v>4911</v>
      </c>
      <c r="E4051" s="34" t="s">
        <v>5603</v>
      </c>
      <c r="F4051" s="34">
        <v>1</v>
      </c>
      <c r="G4051" s="64">
        <v>28287</v>
      </c>
      <c r="H4051" s="34"/>
      <c r="I4051" s="64"/>
      <c r="J4051" s="64"/>
      <c r="K4051" s="64">
        <f t="shared" ref="K4051:K4082" si="132">J4051+G4051</f>
        <v>28287</v>
      </c>
      <c r="L4051" s="49">
        <v>20260203</v>
      </c>
    </row>
    <row r="4052" spans="1:12" x14ac:dyDescent="0.25">
      <c r="A4052" s="50" t="s">
        <v>5604</v>
      </c>
      <c r="B4052" s="30" t="s">
        <v>137</v>
      </c>
      <c r="C4052" s="30" t="s">
        <v>1006</v>
      </c>
      <c r="D4052" s="266" t="s">
        <v>4911</v>
      </c>
      <c r="E4052" s="30" t="s">
        <v>5605</v>
      </c>
      <c r="F4052" s="30">
        <v>1</v>
      </c>
      <c r="G4052" s="44">
        <v>28287</v>
      </c>
      <c r="H4052" s="30"/>
      <c r="I4052" s="44"/>
      <c r="J4052" s="44"/>
      <c r="K4052" s="44">
        <f t="shared" si="132"/>
        <v>28287</v>
      </c>
      <c r="L4052" s="51">
        <v>20260203</v>
      </c>
    </row>
    <row r="4053" spans="1:12" x14ac:dyDescent="0.25">
      <c r="A4053" s="50" t="s">
        <v>5606</v>
      </c>
      <c r="B4053" s="30" t="s">
        <v>137</v>
      </c>
      <c r="C4053" s="30" t="s">
        <v>1006</v>
      </c>
      <c r="D4053" s="266" t="s">
        <v>4911</v>
      </c>
      <c r="E4053" s="30" t="s">
        <v>5607</v>
      </c>
      <c r="F4053" s="30">
        <v>1</v>
      </c>
      <c r="G4053" s="44">
        <v>28287</v>
      </c>
      <c r="H4053" s="30"/>
      <c r="I4053" s="44"/>
      <c r="J4053" s="44"/>
      <c r="K4053" s="44">
        <f t="shared" si="132"/>
        <v>28287</v>
      </c>
      <c r="L4053" s="51">
        <v>20260203</v>
      </c>
    </row>
    <row r="4054" spans="1:12" x14ac:dyDescent="0.25">
      <c r="A4054" s="50" t="s">
        <v>5612</v>
      </c>
      <c r="B4054" s="30" t="s">
        <v>137</v>
      </c>
      <c r="C4054" s="30" t="s">
        <v>1006</v>
      </c>
      <c r="D4054" s="266" t="s">
        <v>4911</v>
      </c>
      <c r="E4054" s="30" t="s">
        <v>5613</v>
      </c>
      <c r="F4054" s="30">
        <v>1</v>
      </c>
      <c r="G4054" s="44">
        <v>28287</v>
      </c>
      <c r="H4054" s="30"/>
      <c r="I4054" s="44"/>
      <c r="J4054" s="44"/>
      <c r="K4054" s="44">
        <f t="shared" si="132"/>
        <v>28287</v>
      </c>
      <c r="L4054" s="51">
        <v>20260203</v>
      </c>
    </row>
    <row r="4055" spans="1:12" x14ac:dyDescent="0.25">
      <c r="A4055" s="50" t="s">
        <v>5614</v>
      </c>
      <c r="B4055" s="30" t="s">
        <v>137</v>
      </c>
      <c r="C4055" s="30" t="s">
        <v>1006</v>
      </c>
      <c r="D4055" s="266" t="s">
        <v>4911</v>
      </c>
      <c r="E4055" s="30" t="s">
        <v>1598</v>
      </c>
      <c r="F4055" s="30">
        <v>1</v>
      </c>
      <c r="G4055" s="44">
        <v>28287</v>
      </c>
      <c r="H4055" s="30"/>
      <c r="I4055" s="44"/>
      <c r="J4055" s="44"/>
      <c r="K4055" s="44">
        <f t="shared" si="132"/>
        <v>28287</v>
      </c>
      <c r="L4055" s="51">
        <v>20260203</v>
      </c>
    </row>
    <row r="4056" spans="1:12" x14ac:dyDescent="0.25">
      <c r="A4056" s="50" t="s">
        <v>5615</v>
      </c>
      <c r="B4056" s="30" t="s">
        <v>137</v>
      </c>
      <c r="C4056" s="30" t="s">
        <v>1006</v>
      </c>
      <c r="D4056" s="266" t="s">
        <v>4911</v>
      </c>
      <c r="E4056" s="30" t="s">
        <v>5266</v>
      </c>
      <c r="F4056" s="30">
        <v>1</v>
      </c>
      <c r="G4056" s="44">
        <v>28287</v>
      </c>
      <c r="H4056" s="30"/>
      <c r="I4056" s="44"/>
      <c r="J4056" s="44"/>
      <c r="K4056" s="44">
        <f t="shared" si="132"/>
        <v>28287</v>
      </c>
      <c r="L4056" s="51">
        <v>20260203</v>
      </c>
    </row>
    <row r="4057" spans="1:12" x14ac:dyDescent="0.25">
      <c r="A4057" s="50" t="s">
        <v>5600</v>
      </c>
      <c r="B4057" s="30" t="s">
        <v>137</v>
      </c>
      <c r="C4057" s="30" t="s">
        <v>1006</v>
      </c>
      <c r="D4057" s="266" t="s">
        <v>4911</v>
      </c>
      <c r="E4057" s="30" t="s">
        <v>5601</v>
      </c>
      <c r="F4057" s="30">
        <v>1</v>
      </c>
      <c r="G4057" s="44">
        <v>28287</v>
      </c>
      <c r="H4057" s="30"/>
      <c r="I4057" s="44"/>
      <c r="J4057" s="44"/>
      <c r="K4057" s="44">
        <f t="shared" si="132"/>
        <v>28287</v>
      </c>
      <c r="L4057" s="51">
        <v>20260205</v>
      </c>
    </row>
    <row r="4058" spans="1:12" x14ac:dyDescent="0.25">
      <c r="A4058" s="50" t="s">
        <v>5608</v>
      </c>
      <c r="B4058" s="30" t="s">
        <v>137</v>
      </c>
      <c r="C4058" s="30" t="s">
        <v>1006</v>
      </c>
      <c r="D4058" s="266" t="s">
        <v>4911</v>
      </c>
      <c r="E4058" s="30" t="s">
        <v>5609</v>
      </c>
      <c r="F4058" s="30">
        <v>1</v>
      </c>
      <c r="G4058" s="44">
        <v>28287</v>
      </c>
      <c r="H4058" s="30"/>
      <c r="I4058" s="44"/>
      <c r="J4058" s="44"/>
      <c r="K4058" s="44">
        <f t="shared" si="132"/>
        <v>28287</v>
      </c>
      <c r="L4058" s="51">
        <v>20260205</v>
      </c>
    </row>
    <row r="4059" spans="1:12" x14ac:dyDescent="0.25">
      <c r="A4059" s="50" t="s">
        <v>5610</v>
      </c>
      <c r="B4059" s="30" t="s">
        <v>137</v>
      </c>
      <c r="C4059" s="30" t="s">
        <v>1006</v>
      </c>
      <c r="D4059" s="266" t="s">
        <v>4911</v>
      </c>
      <c r="E4059" s="30" t="s">
        <v>5611</v>
      </c>
      <c r="F4059" s="30">
        <v>1</v>
      </c>
      <c r="G4059" s="44">
        <v>28287</v>
      </c>
      <c r="H4059" s="30"/>
      <c r="I4059" s="44"/>
      <c r="J4059" s="44"/>
      <c r="K4059" s="44">
        <f t="shared" si="132"/>
        <v>28287</v>
      </c>
      <c r="L4059" s="51">
        <v>20260205</v>
      </c>
    </row>
    <row r="4060" spans="1:12" x14ac:dyDescent="0.25">
      <c r="A4060" s="50" t="s">
        <v>5599</v>
      </c>
      <c r="B4060" s="30" t="s">
        <v>137</v>
      </c>
      <c r="C4060" s="30" t="s">
        <v>1006</v>
      </c>
      <c r="D4060" s="266" t="s">
        <v>4911</v>
      </c>
      <c r="E4060" s="30" t="s">
        <v>5434</v>
      </c>
      <c r="F4060" s="30">
        <v>1</v>
      </c>
      <c r="G4060" s="44">
        <v>28287</v>
      </c>
      <c r="H4060" s="30"/>
      <c r="I4060" s="44"/>
      <c r="J4060" s="44"/>
      <c r="K4060" s="44">
        <f t="shared" si="132"/>
        <v>28287</v>
      </c>
      <c r="L4060" s="51">
        <v>20260206</v>
      </c>
    </row>
    <row r="4061" spans="1:12" x14ac:dyDescent="0.25">
      <c r="A4061" s="50" t="s">
        <v>5542</v>
      </c>
      <c r="B4061" s="30" t="s">
        <v>137</v>
      </c>
      <c r="C4061" s="30" t="s">
        <v>337</v>
      </c>
      <c r="D4061" s="266" t="s">
        <v>35</v>
      </c>
      <c r="E4061" s="30" t="s">
        <v>1481</v>
      </c>
      <c r="F4061" s="30">
        <v>1</v>
      </c>
      <c r="G4061" s="44">
        <v>28287</v>
      </c>
      <c r="H4061" s="30"/>
      <c r="I4061" s="44"/>
      <c r="J4061" s="44"/>
      <c r="K4061" s="44">
        <f t="shared" si="132"/>
        <v>28287</v>
      </c>
      <c r="L4061" s="51">
        <v>20260220</v>
      </c>
    </row>
    <row r="4062" spans="1:12" x14ac:dyDescent="0.25">
      <c r="A4062" s="50" t="s">
        <v>5543</v>
      </c>
      <c r="B4062" s="30" t="s">
        <v>137</v>
      </c>
      <c r="C4062" s="30" t="s">
        <v>337</v>
      </c>
      <c r="D4062" s="266" t="s">
        <v>35</v>
      </c>
      <c r="E4062" s="30" t="s">
        <v>1477</v>
      </c>
      <c r="F4062" s="30">
        <v>1</v>
      </c>
      <c r="G4062" s="44">
        <v>28287</v>
      </c>
      <c r="H4062" s="30"/>
      <c r="I4062" s="44"/>
      <c r="J4062" s="44"/>
      <c r="K4062" s="44">
        <f t="shared" si="132"/>
        <v>28287</v>
      </c>
      <c r="L4062" s="51">
        <v>20260220</v>
      </c>
    </row>
    <row r="4063" spans="1:12" x14ac:dyDescent="0.25">
      <c r="A4063" s="50" t="s">
        <v>5544</v>
      </c>
      <c r="B4063" s="30" t="s">
        <v>137</v>
      </c>
      <c r="C4063" s="30" t="s">
        <v>337</v>
      </c>
      <c r="D4063" s="266" t="s">
        <v>35</v>
      </c>
      <c r="E4063" s="30" t="s">
        <v>1484</v>
      </c>
      <c r="F4063" s="30">
        <v>1</v>
      </c>
      <c r="G4063" s="44">
        <v>28287</v>
      </c>
      <c r="H4063" s="30"/>
      <c r="I4063" s="44"/>
      <c r="J4063" s="44"/>
      <c r="K4063" s="44">
        <f t="shared" si="132"/>
        <v>28287</v>
      </c>
      <c r="L4063" s="51">
        <v>20260220</v>
      </c>
    </row>
    <row r="4064" spans="1:12" x14ac:dyDescent="0.25">
      <c r="A4064" s="50" t="s">
        <v>5545</v>
      </c>
      <c r="B4064" s="30" t="s">
        <v>137</v>
      </c>
      <c r="C4064" s="30" t="s">
        <v>337</v>
      </c>
      <c r="D4064" s="266" t="s">
        <v>35</v>
      </c>
      <c r="E4064" s="30" t="s">
        <v>1479</v>
      </c>
      <c r="F4064" s="30">
        <v>1</v>
      </c>
      <c r="G4064" s="44">
        <v>28287</v>
      </c>
      <c r="H4064" s="30"/>
      <c r="I4064" s="44"/>
      <c r="J4064" s="44"/>
      <c r="K4064" s="44">
        <f t="shared" si="132"/>
        <v>28287</v>
      </c>
      <c r="L4064" s="51">
        <v>20260220</v>
      </c>
    </row>
    <row r="4065" spans="1:12" x14ac:dyDescent="0.25">
      <c r="A4065" s="50" t="s">
        <v>5546</v>
      </c>
      <c r="B4065" s="30" t="s">
        <v>137</v>
      </c>
      <c r="C4065" s="30" t="s">
        <v>337</v>
      </c>
      <c r="D4065" s="266" t="s">
        <v>35</v>
      </c>
      <c r="E4065" s="30" t="s">
        <v>38</v>
      </c>
      <c r="F4065" s="30">
        <v>1</v>
      </c>
      <c r="G4065" s="44">
        <v>28287</v>
      </c>
      <c r="H4065" s="30"/>
      <c r="I4065" s="44"/>
      <c r="J4065" s="44"/>
      <c r="K4065" s="44">
        <f t="shared" si="132"/>
        <v>28287</v>
      </c>
      <c r="L4065" s="51">
        <v>20260220</v>
      </c>
    </row>
    <row r="4066" spans="1:12" x14ac:dyDescent="0.25">
      <c r="A4066" s="50" t="s">
        <v>5547</v>
      </c>
      <c r="B4066" s="30" t="s">
        <v>137</v>
      </c>
      <c r="C4066" s="30" t="s">
        <v>337</v>
      </c>
      <c r="D4066" s="266" t="s">
        <v>35</v>
      </c>
      <c r="E4066" s="30" t="s">
        <v>1318</v>
      </c>
      <c r="F4066" s="30">
        <v>1</v>
      </c>
      <c r="G4066" s="44">
        <v>28287</v>
      </c>
      <c r="H4066" s="30"/>
      <c r="I4066" s="44"/>
      <c r="J4066" s="44"/>
      <c r="K4066" s="44">
        <f t="shared" si="132"/>
        <v>28287</v>
      </c>
      <c r="L4066" s="51">
        <v>20260220</v>
      </c>
    </row>
    <row r="4067" spans="1:12" x14ac:dyDescent="0.25">
      <c r="A4067" s="50" t="s">
        <v>5548</v>
      </c>
      <c r="B4067" s="30" t="s">
        <v>137</v>
      </c>
      <c r="C4067" s="30" t="s">
        <v>337</v>
      </c>
      <c r="D4067" s="266" t="s">
        <v>35</v>
      </c>
      <c r="E4067" s="30" t="s">
        <v>5549</v>
      </c>
      <c r="F4067" s="30">
        <v>1</v>
      </c>
      <c r="G4067" s="44">
        <v>28287</v>
      </c>
      <c r="H4067" s="30"/>
      <c r="I4067" s="44"/>
      <c r="J4067" s="44"/>
      <c r="K4067" s="44">
        <f t="shared" si="132"/>
        <v>28287</v>
      </c>
      <c r="L4067" s="51">
        <v>20260220</v>
      </c>
    </row>
    <row r="4068" spans="1:12" x14ac:dyDescent="0.25">
      <c r="A4068" s="52" t="s">
        <v>5550</v>
      </c>
      <c r="B4068" s="32" t="s">
        <v>137</v>
      </c>
      <c r="C4068" s="32" t="s">
        <v>337</v>
      </c>
      <c r="D4068" s="32" t="s">
        <v>35</v>
      </c>
      <c r="E4068" s="32" t="s">
        <v>4866</v>
      </c>
      <c r="F4068" s="32">
        <v>1</v>
      </c>
      <c r="G4068" s="45">
        <v>28287</v>
      </c>
      <c r="H4068" s="32">
        <v>77</v>
      </c>
      <c r="I4068" s="45">
        <v>684.2</v>
      </c>
      <c r="J4068" s="45">
        <f>I4068*H4068</f>
        <v>52683.4</v>
      </c>
      <c r="K4068" s="45">
        <f t="shared" si="132"/>
        <v>80970.399999999994</v>
      </c>
      <c r="L4068" s="53">
        <v>20260220</v>
      </c>
    </row>
    <row r="4069" spans="1:12" x14ac:dyDescent="0.25">
      <c r="A4069" s="50" t="s">
        <v>5561</v>
      </c>
      <c r="B4069" s="30" t="s">
        <v>137</v>
      </c>
      <c r="C4069" s="30" t="s">
        <v>5390</v>
      </c>
      <c r="D4069" s="266" t="s">
        <v>5391</v>
      </c>
      <c r="E4069" s="30" t="s">
        <v>5562</v>
      </c>
      <c r="F4069" s="30">
        <v>1</v>
      </c>
      <c r="G4069" s="44">
        <v>28287</v>
      </c>
      <c r="H4069" s="30"/>
      <c r="I4069" s="44"/>
      <c r="J4069" s="44"/>
      <c r="K4069" s="44">
        <f t="shared" si="132"/>
        <v>28287</v>
      </c>
      <c r="L4069" s="51">
        <v>20260220</v>
      </c>
    </row>
    <row r="4070" spans="1:12" x14ac:dyDescent="0.25">
      <c r="A4070" s="50" t="s">
        <v>5563</v>
      </c>
      <c r="B4070" s="30" t="s">
        <v>137</v>
      </c>
      <c r="C4070" s="30" t="s">
        <v>5390</v>
      </c>
      <c r="D4070" s="266" t="s">
        <v>5391</v>
      </c>
      <c r="E4070" s="30" t="s">
        <v>5564</v>
      </c>
      <c r="F4070" s="30">
        <v>1</v>
      </c>
      <c r="G4070" s="44">
        <v>28287</v>
      </c>
      <c r="H4070" s="30"/>
      <c r="I4070" s="44"/>
      <c r="J4070" s="44"/>
      <c r="K4070" s="44">
        <f t="shared" si="132"/>
        <v>28287</v>
      </c>
      <c r="L4070" s="51">
        <v>20260220</v>
      </c>
    </row>
    <row r="4071" spans="1:12" x14ac:dyDescent="0.25">
      <c r="A4071" s="50" t="s">
        <v>5565</v>
      </c>
      <c r="B4071" s="30" t="s">
        <v>137</v>
      </c>
      <c r="C4071" s="30" t="s">
        <v>5390</v>
      </c>
      <c r="D4071" s="266" t="s">
        <v>5391</v>
      </c>
      <c r="E4071" s="30" t="s">
        <v>5566</v>
      </c>
      <c r="F4071" s="30">
        <v>1</v>
      </c>
      <c r="G4071" s="44">
        <v>28287</v>
      </c>
      <c r="H4071" s="30"/>
      <c r="I4071" s="44"/>
      <c r="J4071" s="44"/>
      <c r="K4071" s="44">
        <f t="shared" si="132"/>
        <v>28287</v>
      </c>
      <c r="L4071" s="51">
        <v>20260220</v>
      </c>
    </row>
    <row r="4072" spans="1:12" x14ac:dyDescent="0.25">
      <c r="A4072" s="50" t="s">
        <v>5567</v>
      </c>
      <c r="B4072" s="30" t="s">
        <v>137</v>
      </c>
      <c r="C4072" s="30" t="s">
        <v>5390</v>
      </c>
      <c r="D4072" s="266" t="s">
        <v>5391</v>
      </c>
      <c r="E4072" s="30" t="s">
        <v>5568</v>
      </c>
      <c r="F4072" s="30">
        <v>1</v>
      </c>
      <c r="G4072" s="44">
        <v>28287</v>
      </c>
      <c r="H4072" s="30"/>
      <c r="I4072" s="44"/>
      <c r="J4072" s="44"/>
      <c r="K4072" s="44">
        <f t="shared" si="132"/>
        <v>28287</v>
      </c>
      <c r="L4072" s="51">
        <v>20260220</v>
      </c>
    </row>
    <row r="4073" spans="1:12" x14ac:dyDescent="0.25">
      <c r="A4073" s="50" t="s">
        <v>5569</v>
      </c>
      <c r="B4073" s="30" t="s">
        <v>137</v>
      </c>
      <c r="C4073" s="30" t="s">
        <v>5390</v>
      </c>
      <c r="D4073" s="266" t="s">
        <v>5391</v>
      </c>
      <c r="E4073" s="30" t="s">
        <v>5570</v>
      </c>
      <c r="F4073" s="30">
        <v>1</v>
      </c>
      <c r="G4073" s="44">
        <v>28287</v>
      </c>
      <c r="H4073" s="30"/>
      <c r="I4073" s="44"/>
      <c r="J4073" s="44"/>
      <c r="K4073" s="44">
        <f t="shared" si="132"/>
        <v>28287</v>
      </c>
      <c r="L4073" s="51">
        <v>20260220</v>
      </c>
    </row>
    <row r="4074" spans="1:12" x14ac:dyDescent="0.25">
      <c r="A4074" s="50" t="s">
        <v>5571</v>
      </c>
      <c r="B4074" s="30" t="s">
        <v>137</v>
      </c>
      <c r="C4074" s="30" t="s">
        <v>5390</v>
      </c>
      <c r="D4074" s="266" t="s">
        <v>5391</v>
      </c>
      <c r="E4074" s="30" t="s">
        <v>5392</v>
      </c>
      <c r="F4074" s="30">
        <v>1</v>
      </c>
      <c r="G4074" s="44">
        <v>28287</v>
      </c>
      <c r="H4074" s="30"/>
      <c r="I4074" s="44"/>
      <c r="J4074" s="44"/>
      <c r="K4074" s="44">
        <f t="shared" si="132"/>
        <v>28287</v>
      </c>
      <c r="L4074" s="51">
        <v>20260220</v>
      </c>
    </row>
    <row r="4075" spans="1:12" x14ac:dyDescent="0.25">
      <c r="A4075" s="52" t="s">
        <v>5572</v>
      </c>
      <c r="B4075" s="32" t="s">
        <v>137</v>
      </c>
      <c r="C4075" s="32" t="s">
        <v>5390</v>
      </c>
      <c r="D4075" s="32" t="s">
        <v>5391</v>
      </c>
      <c r="E4075" s="32" t="s">
        <v>5573</v>
      </c>
      <c r="F4075" s="32">
        <v>1</v>
      </c>
      <c r="G4075" s="45">
        <v>28287</v>
      </c>
      <c r="H4075" s="32">
        <v>84</v>
      </c>
      <c r="I4075" s="45">
        <v>684.2</v>
      </c>
      <c r="J4075" s="45">
        <f>I4075*H4075</f>
        <v>57472.800000000003</v>
      </c>
      <c r="K4075" s="45">
        <f t="shared" si="132"/>
        <v>85759.8</v>
      </c>
      <c r="L4075" s="53">
        <v>20260220</v>
      </c>
    </row>
    <row r="4076" spans="1:12" x14ac:dyDescent="0.25">
      <c r="A4076" s="50" t="s">
        <v>5574</v>
      </c>
      <c r="B4076" s="30" t="s">
        <v>137</v>
      </c>
      <c r="C4076" s="30" t="s">
        <v>5390</v>
      </c>
      <c r="D4076" s="266" t="s">
        <v>5391</v>
      </c>
      <c r="E4076" s="30" t="s">
        <v>5575</v>
      </c>
      <c r="F4076" s="30">
        <v>1</v>
      </c>
      <c r="G4076" s="44">
        <v>28287</v>
      </c>
      <c r="H4076" s="30"/>
      <c r="I4076" s="44"/>
      <c r="J4076" s="44"/>
      <c r="K4076" s="44">
        <f t="shared" si="132"/>
        <v>28287</v>
      </c>
      <c r="L4076" s="51">
        <v>20260220</v>
      </c>
    </row>
    <row r="4077" spans="1:12" x14ac:dyDescent="0.25">
      <c r="A4077" s="50" t="s">
        <v>5576</v>
      </c>
      <c r="B4077" s="30" t="s">
        <v>137</v>
      </c>
      <c r="C4077" s="30" t="s">
        <v>5390</v>
      </c>
      <c r="D4077" s="266" t="s">
        <v>5391</v>
      </c>
      <c r="E4077" s="30" t="s">
        <v>5480</v>
      </c>
      <c r="F4077" s="30">
        <v>1</v>
      </c>
      <c r="G4077" s="44">
        <v>28287</v>
      </c>
      <c r="H4077" s="30"/>
      <c r="I4077" s="44"/>
      <c r="J4077" s="44"/>
      <c r="K4077" s="44">
        <f t="shared" si="132"/>
        <v>28287</v>
      </c>
      <c r="L4077" s="51">
        <v>20260220</v>
      </c>
    </row>
    <row r="4078" spans="1:12" x14ac:dyDescent="0.25">
      <c r="A4078" s="50" t="s">
        <v>5577</v>
      </c>
      <c r="B4078" s="30" t="s">
        <v>137</v>
      </c>
      <c r="C4078" s="30" t="s">
        <v>5390</v>
      </c>
      <c r="D4078" s="266" t="s">
        <v>5391</v>
      </c>
      <c r="E4078" s="30" t="s">
        <v>5578</v>
      </c>
      <c r="F4078" s="30">
        <v>1</v>
      </c>
      <c r="G4078" s="44">
        <v>28287</v>
      </c>
      <c r="H4078" s="30"/>
      <c r="I4078" s="44"/>
      <c r="J4078" s="44"/>
      <c r="K4078" s="44">
        <f t="shared" si="132"/>
        <v>28287</v>
      </c>
      <c r="L4078" s="51">
        <v>20260220</v>
      </c>
    </row>
    <row r="4079" spans="1:12" x14ac:dyDescent="0.25">
      <c r="A4079" s="50" t="s">
        <v>5579</v>
      </c>
      <c r="B4079" s="30" t="s">
        <v>137</v>
      </c>
      <c r="C4079" s="30" t="s">
        <v>5390</v>
      </c>
      <c r="D4079" s="266" t="s">
        <v>5391</v>
      </c>
      <c r="E4079" s="30" t="s">
        <v>5580</v>
      </c>
      <c r="F4079" s="30">
        <v>1</v>
      </c>
      <c r="G4079" s="44">
        <v>28287</v>
      </c>
      <c r="H4079" s="30"/>
      <c r="I4079" s="44"/>
      <c r="J4079" s="44"/>
      <c r="K4079" s="44">
        <f t="shared" si="132"/>
        <v>28287</v>
      </c>
      <c r="L4079" s="51">
        <v>20260220</v>
      </c>
    </row>
    <row r="4080" spans="1:12" x14ac:dyDescent="0.25">
      <c r="A4080" s="50" t="s">
        <v>5556</v>
      </c>
      <c r="B4080" s="30" t="s">
        <v>137</v>
      </c>
      <c r="C4080" s="30" t="s">
        <v>5390</v>
      </c>
      <c r="D4080" s="266" t="s">
        <v>5557</v>
      </c>
      <c r="E4080" s="30" t="s">
        <v>5558</v>
      </c>
      <c r="F4080" s="30">
        <v>1</v>
      </c>
      <c r="G4080" s="44">
        <v>28287</v>
      </c>
      <c r="H4080" s="30"/>
      <c r="I4080" s="44"/>
      <c r="J4080" s="44"/>
      <c r="K4080" s="44">
        <f t="shared" si="132"/>
        <v>28287</v>
      </c>
      <c r="L4080" s="51">
        <v>20260220</v>
      </c>
    </row>
    <row r="4081" spans="1:12" x14ac:dyDescent="0.25">
      <c r="A4081" s="50" t="s">
        <v>5559</v>
      </c>
      <c r="B4081" s="30" t="s">
        <v>137</v>
      </c>
      <c r="C4081" s="30" t="s">
        <v>5390</v>
      </c>
      <c r="D4081" s="266" t="s">
        <v>5557</v>
      </c>
      <c r="E4081" s="30" t="s">
        <v>5560</v>
      </c>
      <c r="F4081" s="30">
        <v>1</v>
      </c>
      <c r="G4081" s="44">
        <v>28287</v>
      </c>
      <c r="H4081" s="30"/>
      <c r="I4081" s="44"/>
      <c r="J4081" s="44"/>
      <c r="K4081" s="44">
        <f t="shared" si="132"/>
        <v>28287</v>
      </c>
      <c r="L4081" s="51">
        <v>20260220</v>
      </c>
    </row>
    <row r="4082" spans="1:12" x14ac:dyDescent="0.25">
      <c r="A4082" s="50" t="s">
        <v>5538</v>
      </c>
      <c r="B4082" s="30" t="s">
        <v>137</v>
      </c>
      <c r="C4082" s="30" t="s">
        <v>29</v>
      </c>
      <c r="D4082" s="266" t="s">
        <v>5339</v>
      </c>
      <c r="E4082" s="30" t="s">
        <v>208</v>
      </c>
      <c r="F4082" s="30">
        <v>1</v>
      </c>
      <c r="G4082" s="44">
        <v>28287</v>
      </c>
      <c r="H4082" s="30"/>
      <c r="I4082" s="44"/>
      <c r="J4082" s="44"/>
      <c r="K4082" s="44">
        <f t="shared" si="132"/>
        <v>28287</v>
      </c>
      <c r="L4082" s="51">
        <v>20260220</v>
      </c>
    </row>
    <row r="4083" spans="1:12" x14ac:dyDescent="0.25">
      <c r="A4083" s="50" t="s">
        <v>5539</v>
      </c>
      <c r="B4083" s="30" t="s">
        <v>137</v>
      </c>
      <c r="C4083" s="30" t="s">
        <v>29</v>
      </c>
      <c r="D4083" s="266" t="s">
        <v>2548</v>
      </c>
      <c r="E4083" s="30" t="s">
        <v>390</v>
      </c>
      <c r="F4083" s="30">
        <v>1</v>
      </c>
      <c r="G4083" s="44">
        <v>28287</v>
      </c>
      <c r="H4083" s="30"/>
      <c r="I4083" s="44"/>
      <c r="J4083" s="44"/>
      <c r="K4083" s="44">
        <f t="shared" ref="K4083:K4107" si="133">J4083+G4083</f>
        <v>28287</v>
      </c>
      <c r="L4083" s="51">
        <v>20260220</v>
      </c>
    </row>
    <row r="4084" spans="1:12" x14ac:dyDescent="0.25">
      <c r="A4084" s="50" t="s">
        <v>5540</v>
      </c>
      <c r="B4084" s="30" t="s">
        <v>137</v>
      </c>
      <c r="C4084" s="30" t="s">
        <v>29</v>
      </c>
      <c r="D4084" s="266" t="s">
        <v>2548</v>
      </c>
      <c r="E4084" s="30" t="s">
        <v>733</v>
      </c>
      <c r="F4084" s="30">
        <v>1</v>
      </c>
      <c r="G4084" s="44">
        <v>28287</v>
      </c>
      <c r="H4084" s="30"/>
      <c r="I4084" s="44"/>
      <c r="J4084" s="44"/>
      <c r="K4084" s="44">
        <f t="shared" si="133"/>
        <v>28287</v>
      </c>
      <c r="L4084" s="51">
        <v>20260220</v>
      </c>
    </row>
    <row r="4085" spans="1:12" x14ac:dyDescent="0.25">
      <c r="A4085" s="50" t="s">
        <v>5541</v>
      </c>
      <c r="B4085" s="30" t="s">
        <v>137</v>
      </c>
      <c r="C4085" s="30" t="s">
        <v>29</v>
      </c>
      <c r="D4085" s="266" t="s">
        <v>2548</v>
      </c>
      <c r="E4085" s="30" t="s">
        <v>1497</v>
      </c>
      <c r="F4085" s="30">
        <v>1</v>
      </c>
      <c r="G4085" s="44">
        <v>28287</v>
      </c>
      <c r="H4085" s="30"/>
      <c r="I4085" s="44"/>
      <c r="J4085" s="44"/>
      <c r="K4085" s="44">
        <f t="shared" si="133"/>
        <v>28287</v>
      </c>
      <c r="L4085" s="51">
        <v>20260220</v>
      </c>
    </row>
    <row r="4086" spans="1:12" x14ac:dyDescent="0.25">
      <c r="A4086" s="50" t="s">
        <v>5530</v>
      </c>
      <c r="B4086" s="30" t="s">
        <v>137</v>
      </c>
      <c r="C4086" s="30" t="s">
        <v>337</v>
      </c>
      <c r="D4086" s="266" t="s">
        <v>162</v>
      </c>
      <c r="E4086" s="30" t="s">
        <v>1532</v>
      </c>
      <c r="F4086" s="30">
        <v>1</v>
      </c>
      <c r="G4086" s="44">
        <v>28287</v>
      </c>
      <c r="H4086" s="30"/>
      <c r="I4086" s="44"/>
      <c r="J4086" s="44"/>
      <c r="K4086" s="44">
        <f t="shared" si="133"/>
        <v>28287</v>
      </c>
      <c r="L4086" s="51">
        <v>20260223</v>
      </c>
    </row>
    <row r="4087" spans="1:12" x14ac:dyDescent="0.25">
      <c r="A4087" s="50" t="s">
        <v>5531</v>
      </c>
      <c r="B4087" s="30" t="s">
        <v>137</v>
      </c>
      <c r="C4087" s="30" t="s">
        <v>337</v>
      </c>
      <c r="D4087" s="266" t="s">
        <v>162</v>
      </c>
      <c r="E4087" s="30" t="s">
        <v>1534</v>
      </c>
      <c r="F4087" s="30">
        <v>1</v>
      </c>
      <c r="G4087" s="44">
        <v>28287</v>
      </c>
      <c r="H4087" s="30"/>
      <c r="I4087" s="44"/>
      <c r="J4087" s="44"/>
      <c r="K4087" s="44">
        <f t="shared" si="133"/>
        <v>28287</v>
      </c>
      <c r="L4087" s="51">
        <v>20260223</v>
      </c>
    </row>
    <row r="4088" spans="1:12" x14ac:dyDescent="0.25">
      <c r="A4088" s="52" t="s">
        <v>5532</v>
      </c>
      <c r="B4088" s="32" t="s">
        <v>137</v>
      </c>
      <c r="C4088" s="32" t="s">
        <v>337</v>
      </c>
      <c r="D4088" s="32" t="s">
        <v>162</v>
      </c>
      <c r="E4088" s="32" t="s">
        <v>2316</v>
      </c>
      <c r="F4088" s="32">
        <v>1</v>
      </c>
      <c r="G4088" s="45">
        <v>28287</v>
      </c>
      <c r="H4088" s="32">
        <v>69</v>
      </c>
      <c r="I4088" s="45">
        <v>684.2</v>
      </c>
      <c r="J4088" s="45">
        <f>I4088*H4088</f>
        <v>47209.8</v>
      </c>
      <c r="K4088" s="45">
        <f t="shared" si="133"/>
        <v>75496.800000000003</v>
      </c>
      <c r="L4088" s="53">
        <v>20260223</v>
      </c>
    </row>
    <row r="4089" spans="1:12" x14ac:dyDescent="0.25">
      <c r="A4089" s="50" t="s">
        <v>5527</v>
      </c>
      <c r="B4089" s="30" t="s">
        <v>137</v>
      </c>
      <c r="C4089" s="30" t="s">
        <v>134</v>
      </c>
      <c r="D4089" s="266" t="s">
        <v>354</v>
      </c>
      <c r="E4089" s="30" t="s">
        <v>831</v>
      </c>
      <c r="F4089" s="30">
        <v>1</v>
      </c>
      <c r="G4089" s="44">
        <v>28287</v>
      </c>
      <c r="H4089" s="30"/>
      <c r="I4089" s="44"/>
      <c r="J4089" s="44"/>
      <c r="K4089" s="44">
        <f t="shared" si="133"/>
        <v>28287</v>
      </c>
      <c r="L4089" s="51">
        <v>20260224</v>
      </c>
    </row>
    <row r="4090" spans="1:12" x14ac:dyDescent="0.25">
      <c r="A4090" s="50" t="s">
        <v>5528</v>
      </c>
      <c r="B4090" s="30" t="s">
        <v>137</v>
      </c>
      <c r="C4090" s="30" t="s">
        <v>134</v>
      </c>
      <c r="D4090" s="266" t="s">
        <v>354</v>
      </c>
      <c r="E4090" s="30" t="s">
        <v>833</v>
      </c>
      <c r="F4090" s="30">
        <v>1</v>
      </c>
      <c r="G4090" s="44">
        <v>28287</v>
      </c>
      <c r="H4090" s="30"/>
      <c r="I4090" s="44"/>
      <c r="J4090" s="44"/>
      <c r="K4090" s="44">
        <f t="shared" si="133"/>
        <v>28287</v>
      </c>
      <c r="L4090" s="51">
        <v>20260224</v>
      </c>
    </row>
    <row r="4091" spans="1:12" x14ac:dyDescent="0.25">
      <c r="A4091" s="50" t="s">
        <v>5529</v>
      </c>
      <c r="B4091" s="30" t="s">
        <v>137</v>
      </c>
      <c r="C4091" s="30" t="s">
        <v>134</v>
      </c>
      <c r="D4091" s="266" t="s">
        <v>354</v>
      </c>
      <c r="E4091" s="30" t="s">
        <v>2166</v>
      </c>
      <c r="F4091" s="30">
        <v>1</v>
      </c>
      <c r="G4091" s="44">
        <v>28287</v>
      </c>
      <c r="H4091" s="30"/>
      <c r="I4091" s="44"/>
      <c r="J4091" s="44"/>
      <c r="K4091" s="44">
        <f t="shared" si="133"/>
        <v>28287</v>
      </c>
      <c r="L4091" s="51">
        <v>20260224</v>
      </c>
    </row>
    <row r="4092" spans="1:12" x14ac:dyDescent="0.25">
      <c r="A4092" s="50" t="s">
        <v>5581</v>
      </c>
      <c r="B4092" s="30" t="s">
        <v>137</v>
      </c>
      <c r="C4092" s="30" t="s">
        <v>5119</v>
      </c>
      <c r="D4092" s="266" t="s">
        <v>5120</v>
      </c>
      <c r="E4092" s="30" t="s">
        <v>5121</v>
      </c>
      <c r="F4092" s="30">
        <v>1</v>
      </c>
      <c r="G4092" s="44">
        <v>28287</v>
      </c>
      <c r="H4092" s="30"/>
      <c r="I4092" s="44"/>
      <c r="J4092" s="44"/>
      <c r="K4092" s="44">
        <f t="shared" si="133"/>
        <v>28287</v>
      </c>
      <c r="L4092" s="51">
        <v>20260224</v>
      </c>
    </row>
    <row r="4093" spans="1:12" x14ac:dyDescent="0.25">
      <c r="A4093" s="50" t="s">
        <v>5582</v>
      </c>
      <c r="B4093" s="30" t="s">
        <v>137</v>
      </c>
      <c r="C4093" s="30" t="s">
        <v>5119</v>
      </c>
      <c r="D4093" s="266" t="s">
        <v>5120</v>
      </c>
      <c r="E4093" s="30" t="s">
        <v>5123</v>
      </c>
      <c r="F4093" s="30">
        <v>1</v>
      </c>
      <c r="G4093" s="44">
        <v>28287</v>
      </c>
      <c r="H4093" s="30"/>
      <c r="I4093" s="44"/>
      <c r="J4093" s="44"/>
      <c r="K4093" s="44">
        <f t="shared" si="133"/>
        <v>28287</v>
      </c>
      <c r="L4093" s="51">
        <v>20260224</v>
      </c>
    </row>
    <row r="4094" spans="1:12" x14ac:dyDescent="0.25">
      <c r="A4094" s="50" t="s">
        <v>5583</v>
      </c>
      <c r="B4094" s="30" t="s">
        <v>137</v>
      </c>
      <c r="C4094" s="30" t="s">
        <v>5119</v>
      </c>
      <c r="D4094" s="266" t="s">
        <v>5120</v>
      </c>
      <c r="E4094" s="30" t="s">
        <v>5125</v>
      </c>
      <c r="F4094" s="30">
        <v>1</v>
      </c>
      <c r="G4094" s="44">
        <v>28287</v>
      </c>
      <c r="H4094" s="30"/>
      <c r="I4094" s="44"/>
      <c r="J4094" s="44"/>
      <c r="K4094" s="44">
        <f t="shared" si="133"/>
        <v>28287</v>
      </c>
      <c r="L4094" s="51">
        <v>20260224</v>
      </c>
    </row>
    <row r="4095" spans="1:12" x14ac:dyDescent="0.25">
      <c r="A4095" s="50" t="s">
        <v>5584</v>
      </c>
      <c r="B4095" s="30" t="s">
        <v>137</v>
      </c>
      <c r="C4095" s="30" t="s">
        <v>5119</v>
      </c>
      <c r="D4095" s="266" t="s">
        <v>5120</v>
      </c>
      <c r="E4095" s="30" t="s">
        <v>5127</v>
      </c>
      <c r="F4095" s="30">
        <v>1</v>
      </c>
      <c r="G4095" s="44">
        <v>28287</v>
      </c>
      <c r="H4095" s="30"/>
      <c r="I4095" s="44"/>
      <c r="J4095" s="44"/>
      <c r="K4095" s="44">
        <f t="shared" si="133"/>
        <v>28287</v>
      </c>
      <c r="L4095" s="51">
        <v>20260224</v>
      </c>
    </row>
    <row r="4096" spans="1:12" x14ac:dyDescent="0.25">
      <c r="A4096" s="52" t="s">
        <v>5585</v>
      </c>
      <c r="B4096" s="32" t="s">
        <v>137</v>
      </c>
      <c r="C4096" s="32" t="s">
        <v>5119</v>
      </c>
      <c r="D4096" s="32" t="s">
        <v>5120</v>
      </c>
      <c r="E4096" s="32" t="s">
        <v>5131</v>
      </c>
      <c r="F4096" s="32">
        <v>1</v>
      </c>
      <c r="G4096" s="45">
        <v>28287</v>
      </c>
      <c r="H4096" s="32">
        <v>90</v>
      </c>
      <c r="I4096" s="45">
        <v>684.2</v>
      </c>
      <c r="J4096" s="45">
        <f>I4096*H4096</f>
        <v>61578.000000000007</v>
      </c>
      <c r="K4096" s="45">
        <f t="shared" si="133"/>
        <v>89865</v>
      </c>
      <c r="L4096" s="53">
        <v>20260224</v>
      </c>
    </row>
    <row r="4097" spans="1:12" x14ac:dyDescent="0.25">
      <c r="A4097" s="50" t="s">
        <v>5586</v>
      </c>
      <c r="B4097" s="30" t="s">
        <v>137</v>
      </c>
      <c r="C4097" s="30" t="s">
        <v>5119</v>
      </c>
      <c r="D4097" s="266" t="s">
        <v>5120</v>
      </c>
      <c r="E4097" s="30" t="s">
        <v>5587</v>
      </c>
      <c r="F4097" s="30">
        <v>1</v>
      </c>
      <c r="G4097" s="44">
        <v>28287</v>
      </c>
      <c r="H4097" s="30"/>
      <c r="I4097" s="44"/>
      <c r="J4097" s="44"/>
      <c r="K4097" s="44">
        <f t="shared" si="133"/>
        <v>28287</v>
      </c>
      <c r="L4097" s="51">
        <v>20260224</v>
      </c>
    </row>
    <row r="4098" spans="1:12" x14ac:dyDescent="0.25">
      <c r="A4098" s="50" t="s">
        <v>5621</v>
      </c>
      <c r="B4098" s="30" t="s">
        <v>137</v>
      </c>
      <c r="C4098" s="30" t="s">
        <v>5474</v>
      </c>
      <c r="D4098" s="266" t="s">
        <v>3708</v>
      </c>
      <c r="E4098" s="30" t="s">
        <v>3709</v>
      </c>
      <c r="F4098" s="30">
        <v>1</v>
      </c>
      <c r="G4098" s="44">
        <v>28287</v>
      </c>
      <c r="H4098" s="30"/>
      <c r="I4098" s="44"/>
      <c r="J4098" s="44"/>
      <c r="K4098" s="44">
        <f t="shared" si="133"/>
        <v>28287</v>
      </c>
      <c r="L4098" s="51">
        <v>20260225</v>
      </c>
    </row>
    <row r="4099" spans="1:12" x14ac:dyDescent="0.25">
      <c r="A4099" s="50" t="s">
        <v>5624</v>
      </c>
      <c r="B4099" s="30" t="s">
        <v>137</v>
      </c>
      <c r="C4099" s="30" t="s">
        <v>251</v>
      </c>
      <c r="D4099" s="266" t="s">
        <v>95</v>
      </c>
      <c r="E4099" s="30" t="s">
        <v>4786</v>
      </c>
      <c r="F4099" s="30">
        <v>1</v>
      </c>
      <c r="G4099" s="44">
        <v>28287</v>
      </c>
      <c r="H4099" s="30"/>
      <c r="I4099" s="44"/>
      <c r="J4099" s="44"/>
      <c r="K4099" s="44">
        <f t="shared" si="133"/>
        <v>28287</v>
      </c>
      <c r="L4099" s="51">
        <v>20260225</v>
      </c>
    </row>
    <row r="4100" spans="1:12" x14ac:dyDescent="0.25">
      <c r="A4100" s="50" t="s">
        <v>5555</v>
      </c>
      <c r="B4100" s="30" t="s">
        <v>137</v>
      </c>
      <c r="C4100" s="30" t="s">
        <v>1021</v>
      </c>
      <c r="D4100" s="266" t="s">
        <v>95</v>
      </c>
      <c r="E4100" s="30" t="s">
        <v>1022</v>
      </c>
      <c r="F4100" s="30">
        <v>1</v>
      </c>
      <c r="G4100" s="44">
        <v>28287</v>
      </c>
      <c r="H4100" s="30"/>
      <c r="I4100" s="44"/>
      <c r="J4100" s="44"/>
      <c r="K4100" s="44">
        <f t="shared" si="133"/>
        <v>28287</v>
      </c>
      <c r="L4100" s="51">
        <v>20260225</v>
      </c>
    </row>
    <row r="4101" spans="1:12" x14ac:dyDescent="0.25">
      <c r="A4101" s="50" t="s">
        <v>5623</v>
      </c>
      <c r="B4101" s="30" t="s">
        <v>137</v>
      </c>
      <c r="C4101" s="30" t="s">
        <v>919</v>
      </c>
      <c r="D4101" s="266" t="s">
        <v>95</v>
      </c>
      <c r="E4101" s="30" t="s">
        <v>4596</v>
      </c>
      <c r="F4101" s="30">
        <v>1</v>
      </c>
      <c r="G4101" s="44">
        <v>28287</v>
      </c>
      <c r="H4101" s="30"/>
      <c r="I4101" s="44"/>
      <c r="J4101" s="44"/>
      <c r="K4101" s="44">
        <f t="shared" si="133"/>
        <v>28287</v>
      </c>
      <c r="L4101" s="51">
        <v>20260225</v>
      </c>
    </row>
    <row r="4102" spans="1:12" x14ac:dyDescent="0.25">
      <c r="A4102" s="50" t="s">
        <v>5554</v>
      </c>
      <c r="B4102" s="30" t="s">
        <v>137</v>
      </c>
      <c r="C4102" s="30" t="s">
        <v>29</v>
      </c>
      <c r="D4102" s="266" t="s">
        <v>1656</v>
      </c>
      <c r="E4102" s="30" t="s">
        <v>2324</v>
      </c>
      <c r="F4102" s="30">
        <v>1</v>
      </c>
      <c r="G4102" s="44">
        <v>28287</v>
      </c>
      <c r="H4102" s="30"/>
      <c r="I4102" s="44"/>
      <c r="J4102" s="44"/>
      <c r="K4102" s="44">
        <f t="shared" si="133"/>
        <v>28287</v>
      </c>
      <c r="L4102" s="51">
        <v>20260225</v>
      </c>
    </row>
    <row r="4103" spans="1:12" x14ac:dyDescent="0.25">
      <c r="A4103" s="50" t="s">
        <v>5534</v>
      </c>
      <c r="B4103" s="30" t="s">
        <v>137</v>
      </c>
      <c r="C4103" s="30" t="s">
        <v>654</v>
      </c>
      <c r="D4103" s="266" t="s">
        <v>655</v>
      </c>
      <c r="E4103" s="30" t="s">
        <v>3575</v>
      </c>
      <c r="F4103" s="30">
        <v>1</v>
      </c>
      <c r="G4103" s="44">
        <v>28287</v>
      </c>
      <c r="H4103" s="30"/>
      <c r="I4103" s="44"/>
      <c r="J4103" s="44"/>
      <c r="K4103" s="44">
        <f t="shared" si="133"/>
        <v>28287</v>
      </c>
      <c r="L4103" s="51">
        <v>20260226</v>
      </c>
    </row>
    <row r="4104" spans="1:12" x14ac:dyDescent="0.25">
      <c r="A4104" s="50" t="s">
        <v>5535</v>
      </c>
      <c r="B4104" s="30" t="s">
        <v>137</v>
      </c>
      <c r="C4104" s="30" t="s">
        <v>654</v>
      </c>
      <c r="D4104" s="266" t="s">
        <v>655</v>
      </c>
      <c r="E4104" s="30" t="s">
        <v>3573</v>
      </c>
      <c r="F4104" s="30">
        <v>1</v>
      </c>
      <c r="G4104" s="44">
        <v>28287</v>
      </c>
      <c r="H4104" s="30"/>
      <c r="I4104" s="44"/>
      <c r="J4104" s="44"/>
      <c r="K4104" s="44">
        <f t="shared" si="133"/>
        <v>28287</v>
      </c>
      <c r="L4104" s="51">
        <v>20260226</v>
      </c>
    </row>
    <row r="4105" spans="1:12" x14ac:dyDescent="0.25">
      <c r="A4105" s="50" t="s">
        <v>5536</v>
      </c>
      <c r="B4105" s="30" t="s">
        <v>137</v>
      </c>
      <c r="C4105" s="30" t="s">
        <v>654</v>
      </c>
      <c r="D4105" s="266" t="s">
        <v>655</v>
      </c>
      <c r="E4105" s="30" t="s">
        <v>3571</v>
      </c>
      <c r="F4105" s="30">
        <v>1</v>
      </c>
      <c r="G4105" s="44">
        <v>28287</v>
      </c>
      <c r="H4105" s="30"/>
      <c r="I4105" s="44"/>
      <c r="J4105" s="44"/>
      <c r="K4105" s="44">
        <f t="shared" si="133"/>
        <v>28287</v>
      </c>
      <c r="L4105" s="51">
        <v>20260226</v>
      </c>
    </row>
    <row r="4106" spans="1:12" x14ac:dyDescent="0.25">
      <c r="A4106" s="50" t="s">
        <v>5537</v>
      </c>
      <c r="B4106" s="30" t="s">
        <v>137</v>
      </c>
      <c r="C4106" s="30" t="s">
        <v>654</v>
      </c>
      <c r="D4106" s="266" t="s">
        <v>655</v>
      </c>
      <c r="E4106" s="30" t="s">
        <v>3569</v>
      </c>
      <c r="F4106" s="30">
        <v>1</v>
      </c>
      <c r="G4106" s="44">
        <v>28287</v>
      </c>
      <c r="H4106" s="30"/>
      <c r="I4106" s="44"/>
      <c r="J4106" s="44"/>
      <c r="K4106" s="44">
        <f t="shared" si="133"/>
        <v>28287</v>
      </c>
      <c r="L4106" s="51">
        <v>20260226</v>
      </c>
    </row>
    <row r="4107" spans="1:12" ht="15.75" thickBot="1" x14ac:dyDescent="0.3">
      <c r="A4107" s="54" t="s">
        <v>5625</v>
      </c>
      <c r="B4107" s="36" t="s">
        <v>137</v>
      </c>
      <c r="C4107" s="36" t="s">
        <v>654</v>
      </c>
      <c r="D4107" s="267" t="s">
        <v>655</v>
      </c>
      <c r="E4107" s="36" t="s">
        <v>2516</v>
      </c>
      <c r="F4107" s="36">
        <v>1</v>
      </c>
      <c r="G4107" s="65">
        <v>28287</v>
      </c>
      <c r="H4107" s="36"/>
      <c r="I4107" s="65"/>
      <c r="J4107" s="65"/>
      <c r="K4107" s="65">
        <f t="shared" si="133"/>
        <v>28287</v>
      </c>
      <c r="L4107" s="55">
        <v>20260226</v>
      </c>
    </row>
    <row r="4111" spans="1:12" ht="15.75" thickBot="1" x14ac:dyDescent="0.3">
      <c r="A4111" s="69" t="s">
        <v>0</v>
      </c>
      <c r="B4111" s="70" t="s">
        <v>1</v>
      </c>
      <c r="C4111" s="70" t="s">
        <v>2</v>
      </c>
      <c r="D4111" s="274" t="s">
        <v>3</v>
      </c>
      <c r="E4111" s="70" t="s">
        <v>4</v>
      </c>
      <c r="F4111" s="70"/>
      <c r="G4111" s="71" t="s">
        <v>6</v>
      </c>
      <c r="H4111" s="70" t="s">
        <v>7</v>
      </c>
      <c r="I4111" s="71" t="s">
        <v>8</v>
      </c>
      <c r="J4111" s="71" t="s">
        <v>9</v>
      </c>
      <c r="K4111" s="71" t="s">
        <v>10</v>
      </c>
      <c r="L4111" s="72" t="s">
        <v>5</v>
      </c>
    </row>
    <row r="4112" spans="1:12" x14ac:dyDescent="0.25">
      <c r="A4112" s="77" t="s">
        <v>5720</v>
      </c>
      <c r="B4112" s="78" t="s">
        <v>11</v>
      </c>
      <c r="C4112" s="78" t="s">
        <v>5390</v>
      </c>
      <c r="D4112" s="78" t="s">
        <v>5557</v>
      </c>
      <c r="E4112" s="78" t="s">
        <v>5721</v>
      </c>
      <c r="F4112" s="78">
        <v>1</v>
      </c>
      <c r="G4112" s="79">
        <v>56596</v>
      </c>
      <c r="H4112" s="78">
        <v>84</v>
      </c>
      <c r="I4112" s="79">
        <v>684.2</v>
      </c>
      <c r="J4112" s="79">
        <f>I4112*H4112</f>
        <v>57472.800000000003</v>
      </c>
      <c r="K4112" s="79">
        <f t="shared" ref="K4112:K4159" si="134">J4112+G4112</f>
        <v>114068.8</v>
      </c>
      <c r="L4112" s="80">
        <v>20260304</v>
      </c>
    </row>
    <row r="4113" spans="1:12" x14ac:dyDescent="0.25">
      <c r="A4113" s="50" t="s">
        <v>5695</v>
      </c>
      <c r="B4113" s="30" t="s">
        <v>11</v>
      </c>
      <c r="C4113" s="30" t="s">
        <v>134</v>
      </c>
      <c r="D4113" s="266" t="s">
        <v>135</v>
      </c>
      <c r="E4113" s="30" t="s">
        <v>1178</v>
      </c>
      <c r="F4113" s="30">
        <v>1</v>
      </c>
      <c r="G4113" s="44">
        <v>56596</v>
      </c>
      <c r="H4113" s="30"/>
      <c r="I4113" s="44"/>
      <c r="J4113" s="44"/>
      <c r="K4113" s="44">
        <f t="shared" si="134"/>
        <v>56596</v>
      </c>
      <c r="L4113" s="51">
        <v>20260306</v>
      </c>
    </row>
    <row r="4114" spans="1:12" x14ac:dyDescent="0.25">
      <c r="A4114" s="50" t="s">
        <v>5711</v>
      </c>
      <c r="B4114" s="30" t="s">
        <v>11</v>
      </c>
      <c r="C4114" s="30" t="s">
        <v>636</v>
      </c>
      <c r="D4114" s="266" t="s">
        <v>5420</v>
      </c>
      <c r="E4114" s="30" t="s">
        <v>5421</v>
      </c>
      <c r="F4114" s="30">
        <v>1</v>
      </c>
      <c r="G4114" s="44">
        <v>56596</v>
      </c>
      <c r="H4114" s="30"/>
      <c r="I4114" s="44"/>
      <c r="J4114" s="44"/>
      <c r="K4114" s="44">
        <f t="shared" si="134"/>
        <v>56596</v>
      </c>
      <c r="L4114" s="51">
        <v>20260306</v>
      </c>
    </row>
    <row r="4115" spans="1:12" x14ac:dyDescent="0.25">
      <c r="A4115" s="50" t="s">
        <v>5712</v>
      </c>
      <c r="B4115" s="30" t="s">
        <v>11</v>
      </c>
      <c r="C4115" s="30" t="s">
        <v>636</v>
      </c>
      <c r="D4115" s="266" t="s">
        <v>5420</v>
      </c>
      <c r="E4115" s="30" t="s">
        <v>5508</v>
      </c>
      <c r="F4115" s="30">
        <v>1</v>
      </c>
      <c r="G4115" s="44">
        <v>56596</v>
      </c>
      <c r="H4115" s="30"/>
      <c r="I4115" s="44"/>
      <c r="J4115" s="44"/>
      <c r="K4115" s="44">
        <f t="shared" si="134"/>
        <v>56596</v>
      </c>
      <c r="L4115" s="51">
        <v>20260306</v>
      </c>
    </row>
    <row r="4116" spans="1:12" x14ac:dyDescent="0.25">
      <c r="A4116" s="50" t="s">
        <v>5694</v>
      </c>
      <c r="B4116" s="30" t="s">
        <v>11</v>
      </c>
      <c r="C4116" s="30" t="s">
        <v>29</v>
      </c>
      <c r="D4116" s="266" t="s">
        <v>5339</v>
      </c>
      <c r="E4116" s="30" t="s">
        <v>1320</v>
      </c>
      <c r="F4116" s="30">
        <v>1</v>
      </c>
      <c r="G4116" s="44">
        <v>56596</v>
      </c>
      <c r="H4116" s="30"/>
      <c r="I4116" s="44"/>
      <c r="J4116" s="44"/>
      <c r="K4116" s="44">
        <f t="shared" si="134"/>
        <v>56596</v>
      </c>
      <c r="L4116" s="51">
        <v>20260309</v>
      </c>
    </row>
    <row r="4117" spans="1:12" x14ac:dyDescent="0.25">
      <c r="A4117" s="50" t="s">
        <v>5713</v>
      </c>
      <c r="B4117" s="30" t="s">
        <v>11</v>
      </c>
      <c r="C4117" s="30" t="s">
        <v>29</v>
      </c>
      <c r="D4117" s="266" t="s">
        <v>5339</v>
      </c>
      <c r="E4117" s="30" t="s">
        <v>2101</v>
      </c>
      <c r="F4117" s="30">
        <v>1</v>
      </c>
      <c r="G4117" s="44">
        <v>56596</v>
      </c>
      <c r="H4117" s="30"/>
      <c r="I4117" s="44"/>
      <c r="J4117" s="44"/>
      <c r="K4117" s="44">
        <f t="shared" si="134"/>
        <v>56596</v>
      </c>
      <c r="L4117" s="51">
        <v>20260309</v>
      </c>
    </row>
    <row r="4118" spans="1:12" x14ac:dyDescent="0.25">
      <c r="A4118" s="50" t="s">
        <v>5687</v>
      </c>
      <c r="B4118" s="30" t="s">
        <v>11</v>
      </c>
      <c r="C4118" s="30" t="s">
        <v>53</v>
      </c>
      <c r="D4118" s="266" t="s">
        <v>24</v>
      </c>
      <c r="E4118" s="30" t="s">
        <v>2289</v>
      </c>
      <c r="F4118" s="30">
        <v>1</v>
      </c>
      <c r="G4118" s="44">
        <v>56596</v>
      </c>
      <c r="H4118" s="30"/>
      <c r="I4118" s="44"/>
      <c r="J4118" s="44"/>
      <c r="K4118" s="44">
        <f t="shared" si="134"/>
        <v>56596</v>
      </c>
      <c r="L4118" s="51">
        <v>20260309</v>
      </c>
    </row>
    <row r="4119" spans="1:12" x14ac:dyDescent="0.25">
      <c r="A4119" s="50" t="s">
        <v>5688</v>
      </c>
      <c r="B4119" s="30" t="s">
        <v>11</v>
      </c>
      <c r="C4119" s="30" t="s">
        <v>53</v>
      </c>
      <c r="D4119" s="266" t="s">
        <v>24</v>
      </c>
      <c r="E4119" s="30" t="s">
        <v>1281</v>
      </c>
      <c r="F4119" s="30">
        <v>1</v>
      </c>
      <c r="G4119" s="44">
        <v>56596</v>
      </c>
      <c r="H4119" s="30"/>
      <c r="I4119" s="44"/>
      <c r="J4119" s="44"/>
      <c r="K4119" s="44">
        <f t="shared" si="134"/>
        <v>56596</v>
      </c>
      <c r="L4119" s="51">
        <v>20260309</v>
      </c>
    </row>
    <row r="4120" spans="1:12" x14ac:dyDescent="0.25">
      <c r="A4120" s="50" t="s">
        <v>5685</v>
      </c>
      <c r="B4120" s="30" t="s">
        <v>11</v>
      </c>
      <c r="C4120" s="30" t="s">
        <v>5390</v>
      </c>
      <c r="D4120" s="266" t="s">
        <v>5391</v>
      </c>
      <c r="E4120" s="30" t="s">
        <v>5480</v>
      </c>
      <c r="F4120" s="30">
        <v>1</v>
      </c>
      <c r="G4120" s="44">
        <v>56596</v>
      </c>
      <c r="H4120" s="30"/>
      <c r="I4120" s="44"/>
      <c r="J4120" s="44"/>
      <c r="K4120" s="44">
        <f t="shared" si="134"/>
        <v>56596</v>
      </c>
      <c r="L4120" s="51">
        <v>20260310</v>
      </c>
    </row>
    <row r="4121" spans="1:12" x14ac:dyDescent="0.25">
      <c r="A4121" s="50" t="s">
        <v>5719</v>
      </c>
      <c r="B4121" s="30" t="s">
        <v>11</v>
      </c>
      <c r="C4121" s="30" t="s">
        <v>5390</v>
      </c>
      <c r="D4121" s="266" t="s">
        <v>5557</v>
      </c>
      <c r="E4121" s="30" t="s">
        <v>5646</v>
      </c>
      <c r="F4121" s="30">
        <v>1</v>
      </c>
      <c r="G4121" s="44">
        <v>56596</v>
      </c>
      <c r="H4121" s="30"/>
      <c r="I4121" s="44"/>
      <c r="J4121" s="44"/>
      <c r="K4121" s="44">
        <f t="shared" si="134"/>
        <v>56596</v>
      </c>
      <c r="L4121" s="51">
        <v>20260310</v>
      </c>
    </row>
    <row r="4122" spans="1:12" x14ac:dyDescent="0.25">
      <c r="A4122" s="52" t="s">
        <v>5716</v>
      </c>
      <c r="B4122" s="32" t="s">
        <v>11</v>
      </c>
      <c r="C4122" s="32" t="s">
        <v>5119</v>
      </c>
      <c r="D4122" s="32" t="s">
        <v>5120</v>
      </c>
      <c r="E4122" s="32" t="s">
        <v>5717</v>
      </c>
      <c r="F4122" s="32">
        <v>1</v>
      </c>
      <c r="G4122" s="45">
        <v>56596</v>
      </c>
      <c r="H4122" s="32">
        <v>174</v>
      </c>
      <c r="I4122" s="45">
        <v>684.2</v>
      </c>
      <c r="J4122" s="45">
        <f>I4122*H4122</f>
        <v>119050.8</v>
      </c>
      <c r="K4122" s="45">
        <f t="shared" si="134"/>
        <v>175646.8</v>
      </c>
      <c r="L4122" s="53">
        <v>20260310</v>
      </c>
    </row>
    <row r="4123" spans="1:12" x14ac:dyDescent="0.25">
      <c r="A4123" s="50" t="s">
        <v>5726</v>
      </c>
      <c r="B4123" s="30" t="s">
        <v>1209</v>
      </c>
      <c r="C4123" s="30" t="s">
        <v>26</v>
      </c>
      <c r="D4123" s="266" t="s">
        <v>544</v>
      </c>
      <c r="E4123" s="30" t="s">
        <v>545</v>
      </c>
      <c r="F4123" s="30">
        <v>1</v>
      </c>
      <c r="G4123" s="44">
        <v>56596</v>
      </c>
      <c r="H4123" s="30"/>
      <c r="I4123" s="44"/>
      <c r="J4123" s="44"/>
      <c r="K4123" s="44">
        <f t="shared" si="134"/>
        <v>56596</v>
      </c>
      <c r="L4123" s="51">
        <v>20260310</v>
      </c>
    </row>
    <row r="4124" spans="1:12" x14ac:dyDescent="0.25">
      <c r="A4124" s="50" t="s">
        <v>5727</v>
      </c>
      <c r="B4124" s="30" t="s">
        <v>1209</v>
      </c>
      <c r="C4124" s="30" t="s">
        <v>26</v>
      </c>
      <c r="D4124" s="266" t="s">
        <v>544</v>
      </c>
      <c r="E4124" s="30" t="s">
        <v>5728</v>
      </c>
      <c r="F4124" s="30">
        <v>1</v>
      </c>
      <c r="G4124" s="44">
        <v>56596</v>
      </c>
      <c r="H4124" s="30"/>
      <c r="I4124" s="44"/>
      <c r="J4124" s="44"/>
      <c r="K4124" s="44">
        <f t="shared" si="134"/>
        <v>56596</v>
      </c>
      <c r="L4124" s="51">
        <v>20260310</v>
      </c>
    </row>
    <row r="4125" spans="1:12" x14ac:dyDescent="0.25">
      <c r="A4125" s="50" t="s">
        <v>5675</v>
      </c>
      <c r="B4125" s="30" t="s">
        <v>11</v>
      </c>
      <c r="C4125" s="30" t="s">
        <v>364</v>
      </c>
      <c r="D4125" s="266" t="s">
        <v>24</v>
      </c>
      <c r="E4125" s="30" t="s">
        <v>4165</v>
      </c>
      <c r="F4125" s="30">
        <v>1</v>
      </c>
      <c r="G4125" s="44">
        <v>56596</v>
      </c>
      <c r="H4125" s="30"/>
      <c r="I4125" s="44"/>
      <c r="J4125" s="44"/>
      <c r="K4125" s="44">
        <f t="shared" si="134"/>
        <v>56596</v>
      </c>
      <c r="L4125" s="51">
        <v>20260312</v>
      </c>
    </row>
    <row r="4126" spans="1:12" x14ac:dyDescent="0.25">
      <c r="A4126" s="50" t="s">
        <v>5674</v>
      </c>
      <c r="B4126" s="30" t="s">
        <v>11</v>
      </c>
      <c r="C4126" s="30" t="s">
        <v>134</v>
      </c>
      <c r="D4126" s="266" t="s">
        <v>135</v>
      </c>
      <c r="E4126" s="30" t="s">
        <v>3513</v>
      </c>
      <c r="F4126" s="30">
        <v>1</v>
      </c>
      <c r="G4126" s="44">
        <v>56596</v>
      </c>
      <c r="H4126" s="30"/>
      <c r="I4126" s="44"/>
      <c r="J4126" s="44"/>
      <c r="K4126" s="44">
        <f t="shared" si="134"/>
        <v>56596</v>
      </c>
      <c r="L4126" s="51">
        <v>20260312</v>
      </c>
    </row>
    <row r="4127" spans="1:12" x14ac:dyDescent="0.25">
      <c r="A4127" s="50" t="s">
        <v>5715</v>
      </c>
      <c r="B4127" s="30" t="s">
        <v>1209</v>
      </c>
      <c r="C4127" s="30" t="s">
        <v>94</v>
      </c>
      <c r="D4127" s="266" t="s">
        <v>95</v>
      </c>
      <c r="E4127" s="30" t="s">
        <v>436</v>
      </c>
      <c r="F4127" s="30">
        <v>1</v>
      </c>
      <c r="G4127" s="44">
        <v>56596</v>
      </c>
      <c r="H4127" s="30"/>
      <c r="I4127" s="44"/>
      <c r="J4127" s="44"/>
      <c r="K4127" s="44">
        <f t="shared" si="134"/>
        <v>56596</v>
      </c>
      <c r="L4127" s="51">
        <v>20260315</v>
      </c>
    </row>
    <row r="4128" spans="1:12" x14ac:dyDescent="0.25">
      <c r="A4128" s="52" t="s">
        <v>5686</v>
      </c>
      <c r="B4128" s="32" t="s">
        <v>11</v>
      </c>
      <c r="C4128" s="32" t="s">
        <v>28</v>
      </c>
      <c r="D4128" s="32" t="s">
        <v>1729</v>
      </c>
      <c r="E4128" s="32" t="s">
        <v>3593</v>
      </c>
      <c r="F4128" s="32">
        <v>1</v>
      </c>
      <c r="G4128" s="45">
        <v>56596</v>
      </c>
      <c r="H4128" s="32">
        <v>258</v>
      </c>
      <c r="I4128" s="45">
        <v>684.2</v>
      </c>
      <c r="J4128" s="45">
        <f>I4128*H4128</f>
        <v>176523.6</v>
      </c>
      <c r="K4128" s="45">
        <f t="shared" si="134"/>
        <v>233119.6</v>
      </c>
      <c r="L4128" s="53">
        <v>20260316</v>
      </c>
    </row>
    <row r="4129" spans="1:12" x14ac:dyDescent="0.25">
      <c r="A4129" s="50" t="s">
        <v>5666</v>
      </c>
      <c r="B4129" s="30" t="s">
        <v>11</v>
      </c>
      <c r="C4129" s="30" t="s">
        <v>865</v>
      </c>
      <c r="D4129" s="266" t="s">
        <v>5465</v>
      </c>
      <c r="E4129" s="30" t="s">
        <v>5466</v>
      </c>
      <c r="F4129" s="30">
        <v>1</v>
      </c>
      <c r="G4129" s="44">
        <v>56596</v>
      </c>
      <c r="H4129" s="30"/>
      <c r="I4129" s="44"/>
      <c r="J4129" s="44"/>
      <c r="K4129" s="44">
        <f t="shared" si="134"/>
        <v>56596</v>
      </c>
      <c r="L4129" s="51">
        <v>20260316</v>
      </c>
    </row>
    <row r="4130" spans="1:12" x14ac:dyDescent="0.25">
      <c r="A4130" s="50" t="s">
        <v>5696</v>
      </c>
      <c r="B4130" s="30" t="s">
        <v>1209</v>
      </c>
      <c r="C4130" s="30" t="s">
        <v>26</v>
      </c>
      <c r="D4130" s="266" t="s">
        <v>5697</v>
      </c>
      <c r="E4130" s="30" t="s">
        <v>5698</v>
      </c>
      <c r="F4130" s="30">
        <v>1</v>
      </c>
      <c r="G4130" s="44">
        <v>56596</v>
      </c>
      <c r="H4130" s="30"/>
      <c r="I4130" s="44"/>
      <c r="J4130" s="44"/>
      <c r="K4130" s="44">
        <f t="shared" si="134"/>
        <v>56596</v>
      </c>
      <c r="L4130" s="51">
        <v>20260316</v>
      </c>
    </row>
    <row r="4131" spans="1:12" x14ac:dyDescent="0.25">
      <c r="A4131" s="50" t="s">
        <v>5699</v>
      </c>
      <c r="B4131" s="30" t="s">
        <v>1209</v>
      </c>
      <c r="C4131" s="30" t="s">
        <v>26</v>
      </c>
      <c r="D4131" s="266" t="s">
        <v>5697</v>
      </c>
      <c r="E4131" s="30" t="s">
        <v>5700</v>
      </c>
      <c r="F4131" s="30">
        <v>1</v>
      </c>
      <c r="G4131" s="44">
        <v>56596</v>
      </c>
      <c r="H4131" s="30"/>
      <c r="I4131" s="44"/>
      <c r="J4131" s="44"/>
      <c r="K4131" s="44">
        <f t="shared" si="134"/>
        <v>56596</v>
      </c>
      <c r="L4131" s="51">
        <v>20260316</v>
      </c>
    </row>
    <row r="4132" spans="1:12" x14ac:dyDescent="0.25">
      <c r="A4132" s="50" t="s">
        <v>5701</v>
      </c>
      <c r="B4132" s="30" t="s">
        <v>1209</v>
      </c>
      <c r="C4132" s="30" t="s">
        <v>26</v>
      </c>
      <c r="D4132" s="266" t="s">
        <v>5697</v>
      </c>
      <c r="E4132" s="30" t="s">
        <v>5702</v>
      </c>
      <c r="F4132" s="30">
        <v>1</v>
      </c>
      <c r="G4132" s="44">
        <v>56596</v>
      </c>
      <c r="H4132" s="30"/>
      <c r="I4132" s="44"/>
      <c r="J4132" s="44"/>
      <c r="K4132" s="44">
        <f t="shared" si="134"/>
        <v>56596</v>
      </c>
      <c r="L4132" s="51">
        <v>20260316</v>
      </c>
    </row>
    <row r="4133" spans="1:12" x14ac:dyDescent="0.25">
      <c r="A4133" s="50" t="s">
        <v>5703</v>
      </c>
      <c r="B4133" s="30" t="s">
        <v>1209</v>
      </c>
      <c r="C4133" s="30" t="s">
        <v>26</v>
      </c>
      <c r="D4133" s="266" t="s">
        <v>5697</v>
      </c>
      <c r="E4133" s="30" t="s">
        <v>5704</v>
      </c>
      <c r="F4133" s="30">
        <v>1</v>
      </c>
      <c r="G4133" s="44">
        <v>56596</v>
      </c>
      <c r="H4133" s="30"/>
      <c r="I4133" s="44"/>
      <c r="J4133" s="44"/>
      <c r="K4133" s="44">
        <f t="shared" si="134"/>
        <v>56596</v>
      </c>
      <c r="L4133" s="51">
        <v>20260316</v>
      </c>
    </row>
    <row r="4134" spans="1:12" x14ac:dyDescent="0.25">
      <c r="A4134" s="50" t="s">
        <v>5705</v>
      </c>
      <c r="B4134" s="30" t="s">
        <v>1209</v>
      </c>
      <c r="C4134" s="30" t="s">
        <v>26</v>
      </c>
      <c r="D4134" s="266" t="s">
        <v>5697</v>
      </c>
      <c r="E4134" s="30" t="s">
        <v>5706</v>
      </c>
      <c r="F4134" s="30">
        <v>1</v>
      </c>
      <c r="G4134" s="44">
        <v>56596</v>
      </c>
      <c r="H4134" s="30"/>
      <c r="I4134" s="44"/>
      <c r="J4134" s="44"/>
      <c r="K4134" s="44">
        <f t="shared" si="134"/>
        <v>56596</v>
      </c>
      <c r="L4134" s="51">
        <v>20260316</v>
      </c>
    </row>
    <row r="4135" spans="1:12" x14ac:dyDescent="0.25">
      <c r="A4135" s="52" t="s">
        <v>5707</v>
      </c>
      <c r="B4135" s="32" t="s">
        <v>1209</v>
      </c>
      <c r="C4135" s="32" t="s">
        <v>26</v>
      </c>
      <c r="D4135" s="32" t="s">
        <v>5697</v>
      </c>
      <c r="E4135" s="32" t="s">
        <v>5708</v>
      </c>
      <c r="F4135" s="32">
        <v>1</v>
      </c>
      <c r="G4135" s="45">
        <v>56596</v>
      </c>
      <c r="H4135" s="32">
        <v>286</v>
      </c>
      <c r="I4135" s="45">
        <v>684.2</v>
      </c>
      <c r="J4135" s="45">
        <f>I4135*H4135</f>
        <v>195681.2</v>
      </c>
      <c r="K4135" s="45">
        <f t="shared" si="134"/>
        <v>252277.2</v>
      </c>
      <c r="L4135" s="53">
        <v>20260316</v>
      </c>
    </row>
    <row r="4136" spans="1:12" x14ac:dyDescent="0.25">
      <c r="A4136" s="52" t="s">
        <v>5718</v>
      </c>
      <c r="B4136" s="32" t="s">
        <v>11</v>
      </c>
      <c r="C4136" s="32" t="s">
        <v>337</v>
      </c>
      <c r="D4136" s="32" t="s">
        <v>35</v>
      </c>
      <c r="E4136" s="32" t="s">
        <v>1318</v>
      </c>
      <c r="F4136" s="32">
        <v>1</v>
      </c>
      <c r="G4136" s="45">
        <v>56596</v>
      </c>
      <c r="H4136" s="32">
        <v>77</v>
      </c>
      <c r="I4136" s="45">
        <v>684.2</v>
      </c>
      <c r="J4136" s="45">
        <f>I4136*H4136</f>
        <v>52683.4</v>
      </c>
      <c r="K4136" s="45">
        <f t="shared" si="134"/>
        <v>109279.4</v>
      </c>
      <c r="L4136" s="53">
        <v>20260317</v>
      </c>
    </row>
    <row r="4137" spans="1:12" x14ac:dyDescent="0.25">
      <c r="A4137" s="50" t="s">
        <v>5667</v>
      </c>
      <c r="B4137" s="30" t="s">
        <v>11</v>
      </c>
      <c r="C4137" s="30" t="s">
        <v>251</v>
      </c>
      <c r="D4137" s="266" t="s">
        <v>744</v>
      </c>
      <c r="E4137" s="30" t="s">
        <v>745</v>
      </c>
      <c r="F4137" s="30">
        <v>1</v>
      </c>
      <c r="G4137" s="44">
        <v>56596</v>
      </c>
      <c r="H4137" s="30"/>
      <c r="I4137" s="44"/>
      <c r="J4137" s="44"/>
      <c r="K4137" s="44">
        <f t="shared" si="134"/>
        <v>56596</v>
      </c>
      <c r="L4137" s="51">
        <v>20260317</v>
      </c>
    </row>
    <row r="4138" spans="1:12" x14ac:dyDescent="0.25">
      <c r="A4138" s="50" t="s">
        <v>5664</v>
      </c>
      <c r="B4138" s="30" t="s">
        <v>11</v>
      </c>
      <c r="C4138" s="30" t="s">
        <v>4149</v>
      </c>
      <c r="D4138" s="266" t="s">
        <v>4150</v>
      </c>
      <c r="E4138" s="30" t="s">
        <v>4151</v>
      </c>
      <c r="F4138" s="30">
        <v>1</v>
      </c>
      <c r="G4138" s="44">
        <v>56596</v>
      </c>
      <c r="H4138" s="30"/>
      <c r="I4138" s="44"/>
      <c r="J4138" s="44"/>
      <c r="K4138" s="44">
        <f t="shared" si="134"/>
        <v>56596</v>
      </c>
      <c r="L4138" s="51">
        <v>20260317</v>
      </c>
    </row>
    <row r="4139" spans="1:12" x14ac:dyDescent="0.25">
      <c r="A4139" s="52" t="s">
        <v>5714</v>
      </c>
      <c r="B4139" s="32" t="s">
        <v>11</v>
      </c>
      <c r="C4139" s="32" t="s">
        <v>1053</v>
      </c>
      <c r="D4139" s="32" t="s">
        <v>1054</v>
      </c>
      <c r="E4139" s="32" t="s">
        <v>3297</v>
      </c>
      <c r="F4139" s="32">
        <v>1</v>
      </c>
      <c r="G4139" s="45">
        <v>56596</v>
      </c>
      <c r="H4139" s="32">
        <v>73</v>
      </c>
      <c r="I4139" s="45">
        <v>684.2</v>
      </c>
      <c r="J4139" s="45">
        <f>I4139*H4139</f>
        <v>49946.600000000006</v>
      </c>
      <c r="K4139" s="45">
        <f t="shared" si="134"/>
        <v>106542.6</v>
      </c>
      <c r="L4139" s="53">
        <v>20260317</v>
      </c>
    </row>
    <row r="4140" spans="1:12" x14ac:dyDescent="0.25">
      <c r="A4140" s="50" t="s">
        <v>5710</v>
      </c>
      <c r="B4140" s="30" t="s">
        <v>11</v>
      </c>
      <c r="C4140" s="30" t="s">
        <v>636</v>
      </c>
      <c r="D4140" s="266" t="s">
        <v>5420</v>
      </c>
      <c r="E4140" s="30" t="s">
        <v>5510</v>
      </c>
      <c r="F4140" s="30">
        <v>1</v>
      </c>
      <c r="G4140" s="44">
        <v>56596</v>
      </c>
      <c r="H4140" s="30"/>
      <c r="I4140" s="44"/>
      <c r="J4140" s="44"/>
      <c r="K4140" s="44">
        <f t="shared" si="134"/>
        <v>56596</v>
      </c>
      <c r="L4140" s="51">
        <v>20260318</v>
      </c>
    </row>
    <row r="4141" spans="1:12" x14ac:dyDescent="0.25">
      <c r="A4141" s="50" t="s">
        <v>5673</v>
      </c>
      <c r="B4141" s="30" t="s">
        <v>11</v>
      </c>
      <c r="C4141" s="30" t="s">
        <v>636</v>
      </c>
      <c r="D4141" s="266" t="s">
        <v>4889</v>
      </c>
      <c r="E4141" s="30" t="s">
        <v>5502</v>
      </c>
      <c r="F4141" s="30">
        <v>1</v>
      </c>
      <c r="G4141" s="44">
        <v>56596</v>
      </c>
      <c r="H4141" s="30"/>
      <c r="I4141" s="44"/>
      <c r="J4141" s="44"/>
      <c r="K4141" s="44">
        <f t="shared" si="134"/>
        <v>56596</v>
      </c>
      <c r="L4141" s="51">
        <v>20260318</v>
      </c>
    </row>
    <row r="4142" spans="1:12" x14ac:dyDescent="0.25">
      <c r="A4142" s="50" t="s">
        <v>5709</v>
      </c>
      <c r="B4142" s="30" t="s">
        <v>11</v>
      </c>
      <c r="C4142" s="30" t="s">
        <v>636</v>
      </c>
      <c r="D4142" s="266" t="s">
        <v>4889</v>
      </c>
      <c r="E4142" s="30" t="s">
        <v>5328</v>
      </c>
      <c r="F4142" s="30">
        <v>1</v>
      </c>
      <c r="G4142" s="44">
        <v>56596</v>
      </c>
      <c r="H4142" s="30"/>
      <c r="I4142" s="44"/>
      <c r="J4142" s="44"/>
      <c r="K4142" s="44">
        <f t="shared" si="134"/>
        <v>56596</v>
      </c>
      <c r="L4142" s="51">
        <v>20260318</v>
      </c>
    </row>
    <row r="4143" spans="1:12" x14ac:dyDescent="0.25">
      <c r="A4143" s="50" t="s">
        <v>5671</v>
      </c>
      <c r="B4143" s="30" t="s">
        <v>11</v>
      </c>
      <c r="C4143" s="30" t="s">
        <v>1006</v>
      </c>
      <c r="D4143" s="266" t="s">
        <v>4911</v>
      </c>
      <c r="E4143" s="30" t="s">
        <v>4938</v>
      </c>
      <c r="F4143" s="30">
        <v>1</v>
      </c>
      <c r="G4143" s="44">
        <v>56596</v>
      </c>
      <c r="H4143" s="30"/>
      <c r="I4143" s="44"/>
      <c r="J4143" s="44"/>
      <c r="K4143" s="44">
        <f t="shared" si="134"/>
        <v>56596</v>
      </c>
      <c r="L4143" s="51">
        <v>20260319</v>
      </c>
    </row>
    <row r="4144" spans="1:12" x14ac:dyDescent="0.25">
      <c r="A4144" s="50" t="s">
        <v>5649</v>
      </c>
      <c r="B4144" s="30" t="s">
        <v>11</v>
      </c>
      <c r="C4144" s="30" t="s">
        <v>3085</v>
      </c>
      <c r="D4144" s="266" t="s">
        <v>4889</v>
      </c>
      <c r="E4144" s="30" t="s">
        <v>5650</v>
      </c>
      <c r="F4144" s="30">
        <v>1</v>
      </c>
      <c r="G4144" s="44">
        <v>56596</v>
      </c>
      <c r="H4144" s="30"/>
      <c r="I4144" s="44"/>
      <c r="J4144" s="44"/>
      <c r="K4144" s="44">
        <f t="shared" si="134"/>
        <v>56596</v>
      </c>
      <c r="L4144" s="51">
        <v>20260325</v>
      </c>
    </row>
    <row r="4145" spans="1:12" x14ac:dyDescent="0.25">
      <c r="A4145" s="50" t="s">
        <v>5648</v>
      </c>
      <c r="B4145" s="30" t="s">
        <v>11</v>
      </c>
      <c r="C4145" s="30" t="s">
        <v>1006</v>
      </c>
      <c r="D4145" s="266" t="s">
        <v>4900</v>
      </c>
      <c r="E4145" s="30" t="s">
        <v>4940</v>
      </c>
      <c r="F4145" s="30">
        <v>1</v>
      </c>
      <c r="G4145" s="44">
        <v>56596</v>
      </c>
      <c r="H4145" s="30"/>
      <c r="I4145" s="44"/>
      <c r="J4145" s="44"/>
      <c r="K4145" s="44">
        <f t="shared" si="134"/>
        <v>56596</v>
      </c>
      <c r="L4145" s="51">
        <v>20260325</v>
      </c>
    </row>
    <row r="4146" spans="1:12" x14ac:dyDescent="0.25">
      <c r="A4146" s="50" t="s">
        <v>5642</v>
      </c>
      <c r="B4146" s="30" t="s">
        <v>11</v>
      </c>
      <c r="C4146" s="30" t="s">
        <v>636</v>
      </c>
      <c r="D4146" s="266" t="s">
        <v>4889</v>
      </c>
      <c r="E4146" s="30" t="s">
        <v>5635</v>
      </c>
      <c r="F4146" s="30">
        <v>1</v>
      </c>
      <c r="G4146" s="44">
        <v>56596</v>
      </c>
      <c r="H4146" s="30"/>
      <c r="I4146" s="44"/>
      <c r="J4146" s="44"/>
      <c r="K4146" s="44">
        <f t="shared" si="134"/>
        <v>56596</v>
      </c>
      <c r="L4146" s="51">
        <v>20260325</v>
      </c>
    </row>
    <row r="4147" spans="1:12" x14ac:dyDescent="0.25">
      <c r="A4147" s="50" t="s">
        <v>5665</v>
      </c>
      <c r="B4147" s="30" t="s">
        <v>11</v>
      </c>
      <c r="C4147" s="30" t="s">
        <v>607</v>
      </c>
      <c r="D4147" s="266" t="s">
        <v>24</v>
      </c>
      <c r="E4147" s="30" t="s">
        <v>3792</v>
      </c>
      <c r="F4147" s="30">
        <v>1</v>
      </c>
      <c r="G4147" s="44">
        <v>56596</v>
      </c>
      <c r="H4147" s="30"/>
      <c r="I4147" s="44"/>
      <c r="J4147" s="44"/>
      <c r="K4147" s="44">
        <f t="shared" si="134"/>
        <v>56596</v>
      </c>
      <c r="L4147" s="51">
        <v>20260326</v>
      </c>
    </row>
    <row r="4148" spans="1:12" x14ac:dyDescent="0.25">
      <c r="A4148" s="50" t="s">
        <v>5672</v>
      </c>
      <c r="B4148" s="30" t="s">
        <v>11</v>
      </c>
      <c r="C4148" s="30" t="s">
        <v>134</v>
      </c>
      <c r="D4148" s="266" t="s">
        <v>354</v>
      </c>
      <c r="E4148" s="30" t="s">
        <v>831</v>
      </c>
      <c r="F4148" s="30">
        <v>1</v>
      </c>
      <c r="G4148" s="44">
        <v>56596</v>
      </c>
      <c r="H4148" s="30"/>
      <c r="I4148" s="44"/>
      <c r="J4148" s="44"/>
      <c r="K4148" s="44">
        <f t="shared" si="134"/>
        <v>56596</v>
      </c>
      <c r="L4148" s="51">
        <v>20260326</v>
      </c>
    </row>
    <row r="4149" spans="1:12" x14ac:dyDescent="0.25">
      <c r="A4149" s="50" t="s">
        <v>5647</v>
      </c>
      <c r="B4149" s="30" t="s">
        <v>11</v>
      </c>
      <c r="C4149" s="30" t="s">
        <v>29</v>
      </c>
      <c r="D4149" s="266" t="s">
        <v>5339</v>
      </c>
      <c r="E4149" s="30" t="s">
        <v>209</v>
      </c>
      <c r="F4149" s="30">
        <v>1</v>
      </c>
      <c r="G4149" s="44">
        <v>56596</v>
      </c>
      <c r="H4149" s="30"/>
      <c r="I4149" s="44"/>
      <c r="J4149" s="44"/>
      <c r="K4149" s="44">
        <f t="shared" si="134"/>
        <v>56596</v>
      </c>
      <c r="L4149" s="51">
        <v>20260326</v>
      </c>
    </row>
    <row r="4150" spans="1:12" x14ac:dyDescent="0.25">
      <c r="A4150" s="50" t="s">
        <v>5651</v>
      </c>
      <c r="B4150" s="30" t="s">
        <v>11</v>
      </c>
      <c r="C4150" s="30" t="s">
        <v>51</v>
      </c>
      <c r="D4150" s="266" t="s">
        <v>24</v>
      </c>
      <c r="E4150" s="30" t="s">
        <v>52</v>
      </c>
      <c r="F4150" s="30">
        <v>1</v>
      </c>
      <c r="G4150" s="44">
        <v>56596</v>
      </c>
      <c r="H4150" s="30"/>
      <c r="I4150" s="44"/>
      <c r="J4150" s="44"/>
      <c r="K4150" s="44">
        <f t="shared" si="134"/>
        <v>56596</v>
      </c>
      <c r="L4150" s="51">
        <v>20260326</v>
      </c>
    </row>
    <row r="4151" spans="1:12" x14ac:dyDescent="0.25">
      <c r="A4151" s="50" t="s">
        <v>5643</v>
      </c>
      <c r="B4151" s="30" t="s">
        <v>11</v>
      </c>
      <c r="C4151" s="30" t="s">
        <v>94</v>
      </c>
      <c r="D4151" s="266" t="s">
        <v>95</v>
      </c>
      <c r="E4151" s="30" t="s">
        <v>458</v>
      </c>
      <c r="F4151" s="30">
        <v>1</v>
      </c>
      <c r="G4151" s="44">
        <v>56596</v>
      </c>
      <c r="H4151" s="30"/>
      <c r="I4151" s="44"/>
      <c r="J4151" s="44"/>
      <c r="K4151" s="44">
        <f t="shared" si="134"/>
        <v>56596</v>
      </c>
      <c r="L4151" s="51">
        <v>20260326</v>
      </c>
    </row>
    <row r="4152" spans="1:12" x14ac:dyDescent="0.25">
      <c r="A4152" s="52" t="s">
        <v>5668</v>
      </c>
      <c r="B4152" s="32" t="s">
        <v>11</v>
      </c>
      <c r="C4152" s="32" t="s">
        <v>5390</v>
      </c>
      <c r="D4152" s="32" t="s">
        <v>5669</v>
      </c>
      <c r="E4152" s="32" t="s">
        <v>5670</v>
      </c>
      <c r="F4152" s="32">
        <v>1</v>
      </c>
      <c r="G4152" s="45">
        <v>56596</v>
      </c>
      <c r="H4152" s="32">
        <v>84</v>
      </c>
      <c r="I4152" s="45">
        <v>684.2</v>
      </c>
      <c r="J4152" s="45">
        <f>I4152*H4152</f>
        <v>57472.800000000003</v>
      </c>
      <c r="K4152" s="45">
        <f t="shared" si="134"/>
        <v>114068.8</v>
      </c>
      <c r="L4152" s="53">
        <v>20260327</v>
      </c>
    </row>
    <row r="4153" spans="1:12" x14ac:dyDescent="0.25">
      <c r="A4153" s="50" t="s">
        <v>5632</v>
      </c>
      <c r="B4153" s="30" t="s">
        <v>11</v>
      </c>
      <c r="C4153" s="30" t="s">
        <v>94</v>
      </c>
      <c r="D4153" s="266" t="s">
        <v>95</v>
      </c>
      <c r="E4153" s="30" t="s">
        <v>458</v>
      </c>
      <c r="F4153" s="30">
        <v>1</v>
      </c>
      <c r="G4153" s="44">
        <v>56596</v>
      </c>
      <c r="H4153" s="30"/>
      <c r="I4153" s="44"/>
      <c r="J4153" s="44"/>
      <c r="K4153" s="44">
        <f t="shared" si="134"/>
        <v>56596</v>
      </c>
      <c r="L4153" s="51">
        <v>20260328</v>
      </c>
    </row>
    <row r="4154" spans="1:12" x14ac:dyDescent="0.25">
      <c r="A4154" s="52" t="s">
        <v>5633</v>
      </c>
      <c r="B4154" s="32" t="s">
        <v>11</v>
      </c>
      <c r="C4154" s="32" t="s">
        <v>28</v>
      </c>
      <c r="D4154" s="32" t="s">
        <v>1297</v>
      </c>
      <c r="E4154" s="32" t="s">
        <v>1298</v>
      </c>
      <c r="F4154" s="32">
        <v>1</v>
      </c>
      <c r="G4154" s="45">
        <v>56596</v>
      </c>
      <c r="H4154" s="32">
        <v>32</v>
      </c>
      <c r="I4154" s="45">
        <v>684.2</v>
      </c>
      <c r="J4154" s="45">
        <f>I4154*H4154</f>
        <v>21894.400000000001</v>
      </c>
      <c r="K4154" s="45">
        <f t="shared" si="134"/>
        <v>78490.399999999994</v>
      </c>
      <c r="L4154" s="53">
        <v>20260330</v>
      </c>
    </row>
    <row r="4155" spans="1:12" x14ac:dyDescent="0.25">
      <c r="A4155" s="50" t="s">
        <v>5631</v>
      </c>
      <c r="B4155" s="30" t="s">
        <v>11</v>
      </c>
      <c r="C4155" s="30" t="s">
        <v>474</v>
      </c>
      <c r="D4155" s="266" t="s">
        <v>24</v>
      </c>
      <c r="E4155" s="30" t="s">
        <v>554</v>
      </c>
      <c r="F4155" s="30">
        <v>1</v>
      </c>
      <c r="G4155" s="44">
        <v>56596</v>
      </c>
      <c r="H4155" s="30"/>
      <c r="I4155" s="44"/>
      <c r="J4155" s="44"/>
      <c r="K4155" s="44">
        <f t="shared" si="134"/>
        <v>56596</v>
      </c>
      <c r="L4155" s="51">
        <v>20260330</v>
      </c>
    </row>
    <row r="4156" spans="1:12" x14ac:dyDescent="0.25">
      <c r="A4156" s="50" t="s">
        <v>5634</v>
      </c>
      <c r="B4156" s="30" t="s">
        <v>11</v>
      </c>
      <c r="C4156" s="30" t="s">
        <v>636</v>
      </c>
      <c r="D4156" s="266" t="s">
        <v>4889</v>
      </c>
      <c r="E4156" s="30" t="s">
        <v>5635</v>
      </c>
      <c r="F4156" s="30">
        <v>1</v>
      </c>
      <c r="G4156" s="44">
        <v>56596</v>
      </c>
      <c r="H4156" s="30"/>
      <c r="I4156" s="44"/>
      <c r="J4156" s="44"/>
      <c r="K4156" s="44">
        <f t="shared" si="134"/>
        <v>56596</v>
      </c>
      <c r="L4156" s="51">
        <v>20260330</v>
      </c>
    </row>
    <row r="4157" spans="1:12" x14ac:dyDescent="0.25">
      <c r="A4157" s="50" t="s">
        <v>5644</v>
      </c>
      <c r="B4157" s="30" t="s">
        <v>11</v>
      </c>
      <c r="C4157" s="30" t="s">
        <v>5390</v>
      </c>
      <c r="D4157" s="266" t="s">
        <v>5645</v>
      </c>
      <c r="E4157" s="30" t="s">
        <v>5646</v>
      </c>
      <c r="F4157" s="30">
        <v>1</v>
      </c>
      <c r="G4157" s="44">
        <v>56596</v>
      </c>
      <c r="H4157" s="30"/>
      <c r="I4157" s="44"/>
      <c r="J4157" s="44"/>
      <c r="K4157" s="44">
        <f t="shared" si="134"/>
        <v>56596</v>
      </c>
      <c r="L4157" s="51">
        <v>20260331</v>
      </c>
    </row>
    <row r="4158" spans="1:12" x14ac:dyDescent="0.25">
      <c r="A4158" s="52" t="s">
        <v>5663</v>
      </c>
      <c r="B4158" s="32" t="s">
        <v>11</v>
      </c>
      <c r="C4158" s="32" t="s">
        <v>5390</v>
      </c>
      <c r="D4158" s="32" t="s">
        <v>5391</v>
      </c>
      <c r="E4158" s="32" t="s">
        <v>5480</v>
      </c>
      <c r="F4158" s="32">
        <v>1</v>
      </c>
      <c r="G4158" s="45">
        <v>56596</v>
      </c>
      <c r="H4158" s="32">
        <v>84</v>
      </c>
      <c r="I4158" s="45">
        <v>684.2</v>
      </c>
      <c r="J4158" s="45">
        <f>I4158*H4158</f>
        <v>57472.800000000003</v>
      </c>
      <c r="K4158" s="45">
        <f t="shared" si="134"/>
        <v>114068.8</v>
      </c>
      <c r="L4158" s="53">
        <v>20260331</v>
      </c>
    </row>
    <row r="4159" spans="1:12" ht="15.75" thickBot="1" x14ac:dyDescent="0.3">
      <c r="A4159" s="54" t="s">
        <v>5630</v>
      </c>
      <c r="B4159" s="36" t="s">
        <v>11</v>
      </c>
      <c r="C4159" s="36" t="s">
        <v>29</v>
      </c>
      <c r="D4159" s="267" t="s">
        <v>1656</v>
      </c>
      <c r="E4159" s="36" t="s">
        <v>2300</v>
      </c>
      <c r="F4159" s="36">
        <v>1</v>
      </c>
      <c r="G4159" s="65">
        <v>56596</v>
      </c>
      <c r="H4159" s="36"/>
      <c r="I4159" s="65"/>
      <c r="J4159" s="65"/>
      <c r="K4159" s="65">
        <f t="shared" si="134"/>
        <v>56596</v>
      </c>
      <c r="L4159" s="55">
        <v>20260331</v>
      </c>
    </row>
    <row r="4160" spans="1:12" x14ac:dyDescent="0.25">
      <c r="A4160" s="73"/>
      <c r="B4160" s="74"/>
      <c r="C4160" s="74"/>
      <c r="D4160" s="276"/>
      <c r="E4160" s="74"/>
      <c r="F4160" s="74"/>
      <c r="G4160" s="75"/>
      <c r="H4160" s="74"/>
      <c r="I4160" s="75"/>
      <c r="J4160" s="75"/>
      <c r="K4160" s="75"/>
      <c r="L4160" s="76"/>
    </row>
    <row r="4161" spans="1:12" ht="15.75" thickBot="1" x14ac:dyDescent="0.3">
      <c r="A4161" s="69"/>
      <c r="B4161" s="70"/>
      <c r="C4161" s="70"/>
      <c r="D4161" s="274"/>
      <c r="E4161" s="70"/>
      <c r="F4161" s="70"/>
      <c r="G4161" s="71"/>
      <c r="H4161" s="70"/>
      <c r="I4161" s="71"/>
      <c r="J4161" s="71"/>
      <c r="K4161" s="71"/>
      <c r="L4161" s="72"/>
    </row>
    <row r="4162" spans="1:12" x14ac:dyDescent="0.25">
      <c r="A4162" s="278" t="s">
        <v>5731</v>
      </c>
      <c r="B4162" s="279" t="s">
        <v>137</v>
      </c>
      <c r="C4162" s="279" t="s">
        <v>337</v>
      </c>
      <c r="D4162" s="280" t="s">
        <v>162</v>
      </c>
      <c r="E4162" s="279" t="s">
        <v>1532</v>
      </c>
      <c r="F4162" s="279">
        <v>1</v>
      </c>
      <c r="G4162" s="212">
        <v>4435</v>
      </c>
      <c r="H4162" s="279"/>
      <c r="I4162" s="212"/>
      <c r="J4162" s="212"/>
      <c r="K4162" s="212">
        <f t="shared" ref="K4162:K4196" si="135">J4162+G4162</f>
        <v>4435</v>
      </c>
      <c r="L4162" s="281">
        <v>20231027</v>
      </c>
    </row>
    <row r="4163" spans="1:12" x14ac:dyDescent="0.25">
      <c r="A4163" s="50" t="s">
        <v>5724</v>
      </c>
      <c r="B4163" s="30" t="s">
        <v>137</v>
      </c>
      <c r="C4163" s="30" t="s">
        <v>5390</v>
      </c>
      <c r="D4163" s="266" t="s">
        <v>5669</v>
      </c>
      <c r="E4163" s="30" t="s">
        <v>5725</v>
      </c>
      <c r="F4163" s="30">
        <v>1</v>
      </c>
      <c r="G4163" s="44">
        <v>28287</v>
      </c>
      <c r="H4163" s="30"/>
      <c r="I4163" s="44"/>
      <c r="J4163" s="44"/>
      <c r="K4163" s="44">
        <f t="shared" si="135"/>
        <v>28287</v>
      </c>
      <c r="L4163" s="51">
        <v>20260304</v>
      </c>
    </row>
    <row r="4164" spans="1:12" x14ac:dyDescent="0.25">
      <c r="A4164" s="50" t="s">
        <v>5722</v>
      </c>
      <c r="B4164" s="30" t="s">
        <v>137</v>
      </c>
      <c r="C4164" s="30" t="s">
        <v>5390</v>
      </c>
      <c r="D4164" s="266" t="s">
        <v>5645</v>
      </c>
      <c r="E4164" s="30" t="s">
        <v>5723</v>
      </c>
      <c r="F4164" s="30">
        <v>1</v>
      </c>
      <c r="G4164" s="44">
        <v>28287</v>
      </c>
      <c r="H4164" s="30"/>
      <c r="I4164" s="44"/>
      <c r="J4164" s="44"/>
      <c r="K4164" s="44">
        <f t="shared" si="135"/>
        <v>28287</v>
      </c>
      <c r="L4164" s="51">
        <v>20260304</v>
      </c>
    </row>
    <row r="4165" spans="1:12" x14ac:dyDescent="0.25">
      <c r="A4165" s="50" t="s">
        <v>5689</v>
      </c>
      <c r="B4165" s="30" t="s">
        <v>137</v>
      </c>
      <c r="C4165" s="30" t="s">
        <v>134</v>
      </c>
      <c r="D4165" s="266" t="s">
        <v>135</v>
      </c>
      <c r="E4165" s="30" t="s">
        <v>3513</v>
      </c>
      <c r="F4165" s="30">
        <v>1</v>
      </c>
      <c r="G4165" s="44">
        <v>28287</v>
      </c>
      <c r="H4165" s="30"/>
      <c r="I4165" s="44"/>
      <c r="J4165" s="44"/>
      <c r="K4165" s="44">
        <f t="shared" si="135"/>
        <v>28287</v>
      </c>
      <c r="L4165" s="51">
        <v>20260306</v>
      </c>
    </row>
    <row r="4166" spans="1:12" x14ac:dyDescent="0.25">
      <c r="A4166" s="50" t="s">
        <v>5690</v>
      </c>
      <c r="B4166" s="30" t="s">
        <v>137</v>
      </c>
      <c r="C4166" s="30" t="s">
        <v>134</v>
      </c>
      <c r="D4166" s="266" t="s">
        <v>135</v>
      </c>
      <c r="E4166" s="30" t="s">
        <v>183</v>
      </c>
      <c r="F4166" s="30">
        <v>1</v>
      </c>
      <c r="G4166" s="44">
        <v>28287</v>
      </c>
      <c r="H4166" s="30"/>
      <c r="I4166" s="44"/>
      <c r="J4166" s="44"/>
      <c r="K4166" s="44">
        <f t="shared" si="135"/>
        <v>28287</v>
      </c>
      <c r="L4166" s="51">
        <v>20260306</v>
      </c>
    </row>
    <row r="4167" spans="1:12" x14ac:dyDescent="0.25">
      <c r="A4167" s="50" t="s">
        <v>5691</v>
      </c>
      <c r="B4167" s="30" t="s">
        <v>137</v>
      </c>
      <c r="C4167" s="30" t="s">
        <v>134</v>
      </c>
      <c r="D4167" s="266" t="s">
        <v>135</v>
      </c>
      <c r="E4167" s="30" t="s">
        <v>264</v>
      </c>
      <c r="F4167" s="30">
        <v>1</v>
      </c>
      <c r="G4167" s="44">
        <v>28287</v>
      </c>
      <c r="H4167" s="30"/>
      <c r="I4167" s="44"/>
      <c r="J4167" s="44"/>
      <c r="K4167" s="44">
        <f t="shared" si="135"/>
        <v>28287</v>
      </c>
      <c r="L4167" s="51">
        <v>20260306</v>
      </c>
    </row>
    <row r="4168" spans="1:12" x14ac:dyDescent="0.25">
      <c r="A4168" s="50" t="s">
        <v>5692</v>
      </c>
      <c r="B4168" s="30" t="s">
        <v>137</v>
      </c>
      <c r="C4168" s="30" t="s">
        <v>134</v>
      </c>
      <c r="D4168" s="266" t="s">
        <v>135</v>
      </c>
      <c r="E4168" s="30" t="s">
        <v>4997</v>
      </c>
      <c r="F4168" s="30">
        <v>1</v>
      </c>
      <c r="G4168" s="44">
        <v>28287</v>
      </c>
      <c r="H4168" s="30"/>
      <c r="I4168" s="44"/>
      <c r="J4168" s="44"/>
      <c r="K4168" s="44">
        <f t="shared" si="135"/>
        <v>28287</v>
      </c>
      <c r="L4168" s="51">
        <v>20260306</v>
      </c>
    </row>
    <row r="4169" spans="1:12" x14ac:dyDescent="0.25">
      <c r="A4169" s="50" t="s">
        <v>5693</v>
      </c>
      <c r="B4169" s="30" t="s">
        <v>137</v>
      </c>
      <c r="C4169" s="30" t="s">
        <v>134</v>
      </c>
      <c r="D4169" s="266" t="s">
        <v>135</v>
      </c>
      <c r="E4169" s="30" t="s">
        <v>136</v>
      </c>
      <c r="F4169" s="30">
        <v>1</v>
      </c>
      <c r="G4169" s="44">
        <v>28287</v>
      </c>
      <c r="H4169" s="30"/>
      <c r="I4169" s="44"/>
      <c r="J4169" s="44"/>
      <c r="K4169" s="44">
        <f t="shared" si="135"/>
        <v>28287</v>
      </c>
      <c r="L4169" s="51">
        <v>20260306</v>
      </c>
    </row>
    <row r="4170" spans="1:12" x14ac:dyDescent="0.25">
      <c r="A4170" s="50" t="s">
        <v>5678</v>
      </c>
      <c r="B4170" s="30" t="s">
        <v>137</v>
      </c>
      <c r="C4170" s="30" t="s">
        <v>364</v>
      </c>
      <c r="D4170" s="266" t="s">
        <v>24</v>
      </c>
      <c r="E4170" s="30" t="s">
        <v>2702</v>
      </c>
      <c r="F4170" s="30">
        <v>1</v>
      </c>
      <c r="G4170" s="44">
        <v>28287</v>
      </c>
      <c r="H4170" s="30"/>
      <c r="I4170" s="44"/>
      <c r="J4170" s="44"/>
      <c r="K4170" s="44">
        <f t="shared" si="135"/>
        <v>28287</v>
      </c>
      <c r="L4170" s="51">
        <v>20260312</v>
      </c>
    </row>
    <row r="4171" spans="1:12" x14ac:dyDescent="0.25">
      <c r="A4171" s="50" t="s">
        <v>5679</v>
      </c>
      <c r="B4171" s="30" t="s">
        <v>137</v>
      </c>
      <c r="C4171" s="30" t="s">
        <v>364</v>
      </c>
      <c r="D4171" s="266" t="s">
        <v>24</v>
      </c>
      <c r="E4171" s="30" t="s">
        <v>2075</v>
      </c>
      <c r="F4171" s="30">
        <v>1</v>
      </c>
      <c r="G4171" s="44">
        <v>28287</v>
      </c>
      <c r="H4171" s="30"/>
      <c r="I4171" s="44"/>
      <c r="J4171" s="44"/>
      <c r="K4171" s="44">
        <f t="shared" si="135"/>
        <v>28287</v>
      </c>
      <c r="L4171" s="51">
        <v>20260312</v>
      </c>
    </row>
    <row r="4172" spans="1:12" x14ac:dyDescent="0.25">
      <c r="A4172" s="50" t="s">
        <v>5680</v>
      </c>
      <c r="B4172" s="30" t="s">
        <v>137</v>
      </c>
      <c r="C4172" s="30" t="s">
        <v>364</v>
      </c>
      <c r="D4172" s="266" t="s">
        <v>24</v>
      </c>
      <c r="E4172" s="30" t="s">
        <v>532</v>
      </c>
      <c r="F4172" s="30">
        <v>1</v>
      </c>
      <c r="G4172" s="44">
        <v>28287</v>
      </c>
      <c r="H4172" s="30"/>
      <c r="I4172" s="44"/>
      <c r="J4172" s="44"/>
      <c r="K4172" s="44">
        <f t="shared" si="135"/>
        <v>28287</v>
      </c>
      <c r="L4172" s="51">
        <v>20260312</v>
      </c>
    </row>
    <row r="4173" spans="1:12" x14ac:dyDescent="0.25">
      <c r="A4173" s="50" t="s">
        <v>5681</v>
      </c>
      <c r="B4173" s="30" t="s">
        <v>137</v>
      </c>
      <c r="C4173" s="30" t="s">
        <v>364</v>
      </c>
      <c r="D4173" s="266" t="s">
        <v>24</v>
      </c>
      <c r="E4173" s="30" t="s">
        <v>1134</v>
      </c>
      <c r="F4173" s="30">
        <v>1</v>
      </c>
      <c r="G4173" s="44">
        <v>28287</v>
      </c>
      <c r="H4173" s="30"/>
      <c r="I4173" s="44"/>
      <c r="J4173" s="44"/>
      <c r="K4173" s="44">
        <f t="shared" si="135"/>
        <v>28287</v>
      </c>
      <c r="L4173" s="51">
        <v>20260312</v>
      </c>
    </row>
    <row r="4174" spans="1:12" x14ac:dyDescent="0.25">
      <c r="A4174" s="50" t="s">
        <v>5682</v>
      </c>
      <c r="B4174" s="30" t="s">
        <v>137</v>
      </c>
      <c r="C4174" s="30" t="s">
        <v>364</v>
      </c>
      <c r="D4174" s="266" t="s">
        <v>24</v>
      </c>
      <c r="E4174" s="30" t="s">
        <v>1136</v>
      </c>
      <c r="F4174" s="30">
        <v>1</v>
      </c>
      <c r="G4174" s="44">
        <v>28287</v>
      </c>
      <c r="H4174" s="30"/>
      <c r="I4174" s="44"/>
      <c r="J4174" s="44"/>
      <c r="K4174" s="44">
        <f t="shared" si="135"/>
        <v>28287</v>
      </c>
      <c r="L4174" s="51">
        <v>20260312</v>
      </c>
    </row>
    <row r="4175" spans="1:12" x14ac:dyDescent="0.25">
      <c r="A4175" s="50" t="s">
        <v>5683</v>
      </c>
      <c r="B4175" s="30" t="s">
        <v>137</v>
      </c>
      <c r="C4175" s="30" t="s">
        <v>364</v>
      </c>
      <c r="D4175" s="266" t="s">
        <v>24</v>
      </c>
      <c r="E4175" s="30" t="s">
        <v>3554</v>
      </c>
      <c r="F4175" s="30">
        <v>1</v>
      </c>
      <c r="G4175" s="44">
        <v>28287</v>
      </c>
      <c r="H4175" s="30"/>
      <c r="I4175" s="44"/>
      <c r="J4175" s="44"/>
      <c r="K4175" s="44">
        <f t="shared" si="135"/>
        <v>28287</v>
      </c>
      <c r="L4175" s="51">
        <v>20260312</v>
      </c>
    </row>
    <row r="4176" spans="1:12" x14ac:dyDescent="0.25">
      <c r="A4176" s="50" t="s">
        <v>5684</v>
      </c>
      <c r="B4176" s="30" t="s">
        <v>137</v>
      </c>
      <c r="C4176" s="30" t="s">
        <v>364</v>
      </c>
      <c r="D4176" s="266" t="s">
        <v>24</v>
      </c>
      <c r="E4176" s="30" t="s">
        <v>4853</v>
      </c>
      <c r="F4176" s="30">
        <v>1</v>
      </c>
      <c r="G4176" s="44">
        <v>28287</v>
      </c>
      <c r="H4176" s="30"/>
      <c r="I4176" s="44"/>
      <c r="J4176" s="44"/>
      <c r="K4176" s="44">
        <f t="shared" si="135"/>
        <v>28287</v>
      </c>
      <c r="L4176" s="51">
        <v>20260312</v>
      </c>
    </row>
    <row r="4177" spans="1:12" x14ac:dyDescent="0.25">
      <c r="A4177" s="50" t="s">
        <v>5676</v>
      </c>
      <c r="B4177" s="30" t="s">
        <v>137</v>
      </c>
      <c r="C4177" s="30" t="s">
        <v>76</v>
      </c>
      <c r="D4177" s="266" t="s">
        <v>2913</v>
      </c>
      <c r="E4177" s="30" t="s">
        <v>77</v>
      </c>
      <c r="F4177" s="30">
        <v>1</v>
      </c>
      <c r="G4177" s="44">
        <v>28287</v>
      </c>
      <c r="H4177" s="30"/>
      <c r="I4177" s="44"/>
      <c r="J4177" s="44"/>
      <c r="K4177" s="44">
        <f t="shared" si="135"/>
        <v>28287</v>
      </c>
      <c r="L4177" s="51">
        <v>20260312</v>
      </c>
    </row>
    <row r="4178" spans="1:12" x14ac:dyDescent="0.25">
      <c r="A4178" s="50" t="s">
        <v>5677</v>
      </c>
      <c r="B4178" s="30" t="s">
        <v>137</v>
      </c>
      <c r="C4178" s="30" t="s">
        <v>76</v>
      </c>
      <c r="D4178" s="266" t="s">
        <v>2913</v>
      </c>
      <c r="E4178" s="30" t="s">
        <v>1156</v>
      </c>
      <c r="F4178" s="30">
        <v>1</v>
      </c>
      <c r="G4178" s="44">
        <v>28287</v>
      </c>
      <c r="H4178" s="30"/>
      <c r="I4178" s="44"/>
      <c r="J4178" s="44"/>
      <c r="K4178" s="44">
        <f t="shared" si="135"/>
        <v>28287</v>
      </c>
      <c r="L4178" s="51">
        <v>20260312</v>
      </c>
    </row>
    <row r="4179" spans="1:12" x14ac:dyDescent="0.25">
      <c r="A4179" s="50" t="s">
        <v>5729</v>
      </c>
      <c r="B4179" s="30" t="s">
        <v>137</v>
      </c>
      <c r="C4179" s="30" t="s">
        <v>1053</v>
      </c>
      <c r="D4179" s="266" t="s">
        <v>1054</v>
      </c>
      <c r="E4179" s="30" t="s">
        <v>5730</v>
      </c>
      <c r="F4179" s="30">
        <v>1</v>
      </c>
      <c r="G4179" s="44">
        <v>28287</v>
      </c>
      <c r="H4179" s="30"/>
      <c r="I4179" s="44"/>
      <c r="J4179" s="44"/>
      <c r="K4179" s="44">
        <f t="shared" si="135"/>
        <v>28287</v>
      </c>
      <c r="L4179" s="51">
        <v>20260317</v>
      </c>
    </row>
    <row r="4180" spans="1:12" x14ac:dyDescent="0.25">
      <c r="A4180" s="50" t="s">
        <v>5652</v>
      </c>
      <c r="B4180" s="30" t="s">
        <v>137</v>
      </c>
      <c r="C4180" s="30" t="s">
        <v>29</v>
      </c>
      <c r="D4180" s="266" t="s">
        <v>5339</v>
      </c>
      <c r="E4180" s="30" t="s">
        <v>1003</v>
      </c>
      <c r="F4180" s="30">
        <v>1</v>
      </c>
      <c r="G4180" s="44">
        <v>28287</v>
      </c>
      <c r="H4180" s="30"/>
      <c r="I4180" s="44"/>
      <c r="J4180" s="44"/>
      <c r="K4180" s="44">
        <f t="shared" si="135"/>
        <v>28287</v>
      </c>
      <c r="L4180" s="51">
        <v>20260319</v>
      </c>
    </row>
    <row r="4181" spans="1:12" x14ac:dyDescent="0.25">
      <c r="A4181" s="50" t="s">
        <v>5653</v>
      </c>
      <c r="B4181" s="30" t="s">
        <v>137</v>
      </c>
      <c r="C4181" s="30" t="s">
        <v>29</v>
      </c>
      <c r="D4181" s="266" t="s">
        <v>5339</v>
      </c>
      <c r="E4181" s="30" t="s">
        <v>2051</v>
      </c>
      <c r="F4181" s="30">
        <v>1</v>
      </c>
      <c r="G4181" s="44">
        <v>28287</v>
      </c>
      <c r="H4181" s="30"/>
      <c r="I4181" s="44"/>
      <c r="J4181" s="44"/>
      <c r="K4181" s="44">
        <f t="shared" si="135"/>
        <v>28287</v>
      </c>
      <c r="L4181" s="51">
        <v>20260319</v>
      </c>
    </row>
    <row r="4182" spans="1:12" x14ac:dyDescent="0.25">
      <c r="A4182" s="50" t="s">
        <v>5654</v>
      </c>
      <c r="B4182" s="30" t="s">
        <v>137</v>
      </c>
      <c r="C4182" s="30" t="s">
        <v>29</v>
      </c>
      <c r="D4182" s="266" t="s">
        <v>5339</v>
      </c>
      <c r="E4182" s="30" t="s">
        <v>628</v>
      </c>
      <c r="F4182" s="30">
        <v>1</v>
      </c>
      <c r="G4182" s="44">
        <v>28287</v>
      </c>
      <c r="H4182" s="30"/>
      <c r="I4182" s="44"/>
      <c r="J4182" s="44"/>
      <c r="K4182" s="44">
        <f t="shared" si="135"/>
        <v>28287</v>
      </c>
      <c r="L4182" s="51">
        <v>20260319</v>
      </c>
    </row>
    <row r="4183" spans="1:12" x14ac:dyDescent="0.25">
      <c r="A4183" s="50" t="s">
        <v>5655</v>
      </c>
      <c r="B4183" s="30" t="s">
        <v>137</v>
      </c>
      <c r="C4183" s="30" t="s">
        <v>29</v>
      </c>
      <c r="D4183" s="266" t="s">
        <v>5339</v>
      </c>
      <c r="E4183" s="30" t="s">
        <v>209</v>
      </c>
      <c r="F4183" s="30">
        <v>1</v>
      </c>
      <c r="G4183" s="44">
        <v>28287</v>
      </c>
      <c r="H4183" s="30"/>
      <c r="I4183" s="44"/>
      <c r="J4183" s="44"/>
      <c r="K4183" s="44">
        <f t="shared" si="135"/>
        <v>28287</v>
      </c>
      <c r="L4183" s="51">
        <v>20260319</v>
      </c>
    </row>
    <row r="4184" spans="1:12" x14ac:dyDescent="0.25">
      <c r="A4184" s="50" t="s">
        <v>5656</v>
      </c>
      <c r="B4184" s="30" t="s">
        <v>137</v>
      </c>
      <c r="C4184" s="30" t="s">
        <v>29</v>
      </c>
      <c r="D4184" s="266" t="s">
        <v>5339</v>
      </c>
      <c r="E4184" s="30" t="s">
        <v>4125</v>
      </c>
      <c r="F4184" s="30">
        <v>1</v>
      </c>
      <c r="G4184" s="44">
        <v>28287</v>
      </c>
      <c r="H4184" s="30"/>
      <c r="I4184" s="44"/>
      <c r="J4184" s="44"/>
      <c r="K4184" s="44">
        <f t="shared" si="135"/>
        <v>28287</v>
      </c>
      <c r="L4184" s="51">
        <v>20260319</v>
      </c>
    </row>
    <row r="4185" spans="1:12" x14ac:dyDescent="0.25">
      <c r="A4185" s="50" t="s">
        <v>5657</v>
      </c>
      <c r="B4185" s="30" t="s">
        <v>137</v>
      </c>
      <c r="C4185" s="30" t="s">
        <v>29</v>
      </c>
      <c r="D4185" s="266" t="s">
        <v>5339</v>
      </c>
      <c r="E4185" s="30" t="s">
        <v>2101</v>
      </c>
      <c r="F4185" s="30">
        <v>1</v>
      </c>
      <c r="G4185" s="44">
        <v>28287</v>
      </c>
      <c r="H4185" s="30"/>
      <c r="I4185" s="44"/>
      <c r="J4185" s="44"/>
      <c r="K4185" s="44">
        <f t="shared" si="135"/>
        <v>28287</v>
      </c>
      <c r="L4185" s="51">
        <v>20260319</v>
      </c>
    </row>
    <row r="4186" spans="1:12" x14ac:dyDescent="0.25">
      <c r="A4186" s="50" t="s">
        <v>5658</v>
      </c>
      <c r="B4186" s="30" t="s">
        <v>137</v>
      </c>
      <c r="C4186" s="30" t="s">
        <v>29</v>
      </c>
      <c r="D4186" s="266" t="s">
        <v>5339</v>
      </c>
      <c r="E4186" s="30" t="s">
        <v>4373</v>
      </c>
      <c r="F4186" s="30">
        <v>1</v>
      </c>
      <c r="G4186" s="44">
        <v>28287</v>
      </c>
      <c r="H4186" s="30"/>
      <c r="I4186" s="44"/>
      <c r="J4186" s="44"/>
      <c r="K4186" s="44">
        <f t="shared" si="135"/>
        <v>28287</v>
      </c>
      <c r="L4186" s="51">
        <v>20260319</v>
      </c>
    </row>
    <row r="4187" spans="1:12" x14ac:dyDescent="0.25">
      <c r="A4187" s="50" t="s">
        <v>5659</v>
      </c>
      <c r="B4187" s="30" t="s">
        <v>137</v>
      </c>
      <c r="C4187" s="30" t="s">
        <v>29</v>
      </c>
      <c r="D4187" s="266" t="s">
        <v>5339</v>
      </c>
      <c r="E4187" s="30" t="s">
        <v>3889</v>
      </c>
      <c r="F4187" s="30">
        <v>1</v>
      </c>
      <c r="G4187" s="44">
        <v>28287</v>
      </c>
      <c r="H4187" s="30"/>
      <c r="I4187" s="44"/>
      <c r="J4187" s="44"/>
      <c r="K4187" s="44">
        <f t="shared" si="135"/>
        <v>28287</v>
      </c>
      <c r="L4187" s="51">
        <v>20260319</v>
      </c>
    </row>
    <row r="4188" spans="1:12" x14ac:dyDescent="0.25">
      <c r="A4188" s="50" t="s">
        <v>5660</v>
      </c>
      <c r="B4188" s="30" t="s">
        <v>137</v>
      </c>
      <c r="C4188" s="30" t="s">
        <v>29</v>
      </c>
      <c r="D4188" s="266" t="s">
        <v>5339</v>
      </c>
      <c r="E4188" s="30" t="s">
        <v>3335</v>
      </c>
      <c r="F4188" s="30">
        <v>1</v>
      </c>
      <c r="G4188" s="44">
        <v>28287</v>
      </c>
      <c r="H4188" s="30"/>
      <c r="I4188" s="44"/>
      <c r="J4188" s="44"/>
      <c r="K4188" s="44">
        <f t="shared" si="135"/>
        <v>28287</v>
      </c>
      <c r="L4188" s="51">
        <v>20260319</v>
      </c>
    </row>
    <row r="4189" spans="1:12" x14ac:dyDescent="0.25">
      <c r="A4189" s="50" t="s">
        <v>5661</v>
      </c>
      <c r="B4189" s="30" t="s">
        <v>137</v>
      </c>
      <c r="C4189" s="30" t="s">
        <v>29</v>
      </c>
      <c r="D4189" s="266" t="s">
        <v>5339</v>
      </c>
      <c r="E4189" s="30" t="s">
        <v>1127</v>
      </c>
      <c r="F4189" s="30">
        <v>1</v>
      </c>
      <c r="G4189" s="44">
        <v>28287</v>
      </c>
      <c r="H4189" s="30"/>
      <c r="I4189" s="44"/>
      <c r="J4189" s="44"/>
      <c r="K4189" s="44">
        <f t="shared" si="135"/>
        <v>28287</v>
      </c>
      <c r="L4189" s="51">
        <v>20260319</v>
      </c>
    </row>
    <row r="4190" spans="1:12" x14ac:dyDescent="0.25">
      <c r="A4190" s="50" t="s">
        <v>5662</v>
      </c>
      <c r="B4190" s="30" t="s">
        <v>137</v>
      </c>
      <c r="C4190" s="30" t="s">
        <v>29</v>
      </c>
      <c r="D4190" s="266" t="s">
        <v>5339</v>
      </c>
      <c r="E4190" s="30" t="s">
        <v>1320</v>
      </c>
      <c r="F4190" s="30">
        <v>1</v>
      </c>
      <c r="G4190" s="44">
        <v>28287</v>
      </c>
      <c r="H4190" s="30"/>
      <c r="I4190" s="44"/>
      <c r="J4190" s="44"/>
      <c r="K4190" s="44">
        <f t="shared" si="135"/>
        <v>28287</v>
      </c>
      <c r="L4190" s="51">
        <v>20260319</v>
      </c>
    </row>
    <row r="4191" spans="1:12" x14ac:dyDescent="0.25">
      <c r="A4191" s="50" t="s">
        <v>5636</v>
      </c>
      <c r="B4191" s="30" t="s">
        <v>137</v>
      </c>
      <c r="C4191" s="30" t="s">
        <v>29</v>
      </c>
      <c r="D4191" s="266" t="s">
        <v>5262</v>
      </c>
      <c r="E4191" s="30" t="s">
        <v>3631</v>
      </c>
      <c r="F4191" s="30">
        <v>1</v>
      </c>
      <c r="G4191" s="44">
        <v>28287</v>
      </c>
      <c r="H4191" s="30"/>
      <c r="I4191" s="44"/>
      <c r="J4191" s="44"/>
      <c r="K4191" s="44">
        <f t="shared" si="135"/>
        <v>28287</v>
      </c>
      <c r="L4191" s="51">
        <v>20260326</v>
      </c>
    </row>
    <row r="4192" spans="1:12" x14ac:dyDescent="0.25">
      <c r="A4192" s="50" t="s">
        <v>5637</v>
      </c>
      <c r="B4192" s="30" t="s">
        <v>137</v>
      </c>
      <c r="C4192" s="30" t="s">
        <v>29</v>
      </c>
      <c r="D4192" s="266" t="s">
        <v>5262</v>
      </c>
      <c r="E4192" s="30" t="s">
        <v>2348</v>
      </c>
      <c r="F4192" s="30">
        <v>1</v>
      </c>
      <c r="G4192" s="44">
        <v>28287</v>
      </c>
      <c r="H4192" s="30"/>
      <c r="I4192" s="44"/>
      <c r="J4192" s="44"/>
      <c r="K4192" s="44">
        <f t="shared" si="135"/>
        <v>28287</v>
      </c>
      <c r="L4192" s="51">
        <v>20260326</v>
      </c>
    </row>
    <row r="4193" spans="1:12" x14ac:dyDescent="0.25">
      <c r="A4193" s="52" t="s">
        <v>5638</v>
      </c>
      <c r="B4193" s="32" t="s">
        <v>137</v>
      </c>
      <c r="C4193" s="32" t="s">
        <v>29</v>
      </c>
      <c r="D4193" s="32" t="s">
        <v>5262</v>
      </c>
      <c r="E4193" s="32" t="s">
        <v>4526</v>
      </c>
      <c r="F4193" s="32">
        <v>1</v>
      </c>
      <c r="G4193" s="45">
        <v>28287</v>
      </c>
      <c r="H4193" s="32">
        <v>32</v>
      </c>
      <c r="I4193" s="45">
        <v>684.2</v>
      </c>
      <c r="J4193" s="45">
        <f>I4193*H4193</f>
        <v>21894.400000000001</v>
      </c>
      <c r="K4193" s="45">
        <f t="shared" si="135"/>
        <v>50181.4</v>
      </c>
      <c r="L4193" s="53">
        <v>20260326</v>
      </c>
    </row>
    <row r="4194" spans="1:12" x14ac:dyDescent="0.25">
      <c r="A4194" s="50" t="s">
        <v>5639</v>
      </c>
      <c r="B4194" s="30" t="s">
        <v>137</v>
      </c>
      <c r="C4194" s="30" t="s">
        <v>29</v>
      </c>
      <c r="D4194" s="266" t="s">
        <v>1656</v>
      </c>
      <c r="E4194" s="30" t="s">
        <v>4311</v>
      </c>
      <c r="F4194" s="30">
        <v>1</v>
      </c>
      <c r="G4194" s="44">
        <v>28287</v>
      </c>
      <c r="H4194" s="30"/>
      <c r="I4194" s="44"/>
      <c r="J4194" s="44"/>
      <c r="K4194" s="44">
        <f t="shared" si="135"/>
        <v>28287</v>
      </c>
      <c r="L4194" s="51">
        <v>20260327</v>
      </c>
    </row>
    <row r="4195" spans="1:12" x14ac:dyDescent="0.25">
      <c r="A4195" s="50" t="s">
        <v>5640</v>
      </c>
      <c r="B4195" s="30" t="s">
        <v>137</v>
      </c>
      <c r="C4195" s="30" t="s">
        <v>29</v>
      </c>
      <c r="D4195" s="266" t="s">
        <v>1656</v>
      </c>
      <c r="E4195" s="30" t="s">
        <v>2300</v>
      </c>
      <c r="F4195" s="30">
        <v>1</v>
      </c>
      <c r="G4195" s="44">
        <v>28287</v>
      </c>
      <c r="H4195" s="30"/>
      <c r="I4195" s="44"/>
      <c r="J4195" s="44"/>
      <c r="K4195" s="44">
        <f t="shared" si="135"/>
        <v>28287</v>
      </c>
      <c r="L4195" s="51">
        <v>20260327</v>
      </c>
    </row>
    <row r="4196" spans="1:12" ht="15.75" thickBot="1" x14ac:dyDescent="0.3">
      <c r="A4196" s="54" t="s">
        <v>5641</v>
      </c>
      <c r="B4196" s="36" t="s">
        <v>137</v>
      </c>
      <c r="C4196" s="36" t="s">
        <v>29</v>
      </c>
      <c r="D4196" s="267" t="s">
        <v>1656</v>
      </c>
      <c r="E4196" s="36" t="s">
        <v>2324</v>
      </c>
      <c r="F4196" s="36">
        <v>1</v>
      </c>
      <c r="G4196" s="65">
        <v>28287</v>
      </c>
      <c r="H4196" s="36"/>
      <c r="I4196" s="65"/>
      <c r="J4196" s="65"/>
      <c r="K4196" s="65">
        <f t="shared" si="135"/>
        <v>28287</v>
      </c>
      <c r="L4196" s="55">
        <v>20260328</v>
      </c>
    </row>
    <row r="4199" spans="1:12" ht="15.75" thickBot="1" x14ac:dyDescent="0.3">
      <c r="A4199" s="69" t="s">
        <v>0</v>
      </c>
      <c r="B4199" s="70" t="s">
        <v>1</v>
      </c>
      <c r="C4199" s="70" t="s">
        <v>2</v>
      </c>
      <c r="D4199" s="274" t="s">
        <v>3</v>
      </c>
      <c r="E4199" s="70" t="s">
        <v>4</v>
      </c>
      <c r="F4199" s="70"/>
      <c r="G4199" s="71" t="s">
        <v>6</v>
      </c>
      <c r="H4199" s="70" t="s">
        <v>7</v>
      </c>
      <c r="I4199" s="71" t="s">
        <v>8</v>
      </c>
      <c r="J4199" s="71" t="s">
        <v>9</v>
      </c>
      <c r="K4199" s="71" t="s">
        <v>10</v>
      </c>
      <c r="L4199" s="72" t="s">
        <v>5</v>
      </c>
    </row>
    <row r="4200" spans="1:12" x14ac:dyDescent="0.25">
      <c r="A4200" s="48" t="s">
        <v>5814</v>
      </c>
      <c r="B4200" s="34" t="s">
        <v>11</v>
      </c>
      <c r="C4200" s="34" t="s">
        <v>936</v>
      </c>
      <c r="D4200" s="275" t="s">
        <v>5815</v>
      </c>
      <c r="E4200" s="34" t="s">
        <v>5816</v>
      </c>
      <c r="F4200" s="34">
        <v>1</v>
      </c>
      <c r="G4200" s="64">
        <v>61633</v>
      </c>
      <c r="H4200" s="34"/>
      <c r="I4200" s="64"/>
      <c r="J4200" s="64"/>
      <c r="K4200" s="64">
        <f>J4200+G4200</f>
        <v>61633</v>
      </c>
      <c r="L4200" s="49">
        <v>20260406</v>
      </c>
    </row>
    <row r="4201" spans="1:12" x14ac:dyDescent="0.25">
      <c r="A4201" s="50" t="s">
        <v>5804</v>
      </c>
      <c r="B4201" s="30" t="s">
        <v>11</v>
      </c>
      <c r="C4201" s="30" t="s">
        <v>29</v>
      </c>
      <c r="D4201" s="266" t="s">
        <v>5339</v>
      </c>
      <c r="E4201" s="30" t="s">
        <v>2101</v>
      </c>
      <c r="F4201" s="30">
        <v>1</v>
      </c>
      <c r="G4201" s="44">
        <v>61633</v>
      </c>
      <c r="H4201" s="30"/>
      <c r="I4201" s="44"/>
      <c r="J4201" s="44"/>
      <c r="K4201" s="44">
        <f t="shared" ref="K4201:K4265" si="136">J4201+G4201</f>
        <v>61633</v>
      </c>
      <c r="L4201" s="51">
        <v>20260407</v>
      </c>
    </row>
    <row r="4202" spans="1:12" x14ac:dyDescent="0.25">
      <c r="A4202" s="50" t="s">
        <v>5813</v>
      </c>
      <c r="B4202" s="30" t="s">
        <v>11</v>
      </c>
      <c r="C4202" s="30" t="s">
        <v>29</v>
      </c>
      <c r="D4202" s="266" t="s">
        <v>5339</v>
      </c>
      <c r="E4202" s="30" t="s">
        <v>4373</v>
      </c>
      <c r="F4202" s="30">
        <v>1</v>
      </c>
      <c r="G4202" s="44">
        <v>61633</v>
      </c>
      <c r="H4202" s="30"/>
      <c r="I4202" s="44"/>
      <c r="J4202" s="44"/>
      <c r="K4202" s="44">
        <f t="shared" si="136"/>
        <v>61633</v>
      </c>
      <c r="L4202" s="51">
        <v>20260407</v>
      </c>
    </row>
    <row r="4203" spans="1:12" x14ac:dyDescent="0.25">
      <c r="A4203" s="50" t="s">
        <v>5801</v>
      </c>
      <c r="B4203" s="30" t="s">
        <v>11</v>
      </c>
      <c r="C4203" s="30" t="s">
        <v>251</v>
      </c>
      <c r="D4203" s="266" t="s">
        <v>933</v>
      </c>
      <c r="E4203" s="30" t="s">
        <v>934</v>
      </c>
      <c r="F4203" s="30">
        <v>1</v>
      </c>
      <c r="G4203" s="44">
        <v>61633</v>
      </c>
      <c r="H4203" s="30"/>
      <c r="I4203" s="44"/>
      <c r="J4203" s="44"/>
      <c r="K4203" s="44">
        <f t="shared" si="136"/>
        <v>61633</v>
      </c>
      <c r="L4203" s="51">
        <v>20260409</v>
      </c>
    </row>
    <row r="4204" spans="1:12" x14ac:dyDescent="0.25">
      <c r="A4204" s="50" t="s">
        <v>5819</v>
      </c>
      <c r="B4204" s="30" t="s">
        <v>11</v>
      </c>
      <c r="C4204" s="30" t="s">
        <v>26</v>
      </c>
      <c r="D4204" s="266" t="s">
        <v>5060</v>
      </c>
      <c r="E4204" s="30" t="s">
        <v>5066</v>
      </c>
      <c r="F4204" s="30">
        <v>1</v>
      </c>
      <c r="G4204" s="44">
        <v>61633</v>
      </c>
      <c r="H4204" s="30"/>
      <c r="I4204" s="44"/>
      <c r="J4204" s="44"/>
      <c r="K4204" s="44">
        <f t="shared" si="136"/>
        <v>61633</v>
      </c>
      <c r="L4204" s="51">
        <v>20260409</v>
      </c>
    </row>
    <row r="4205" spans="1:12" x14ac:dyDescent="0.25">
      <c r="A4205" s="50" t="s">
        <v>5805</v>
      </c>
      <c r="B4205" s="30" t="s">
        <v>11</v>
      </c>
      <c r="C4205" s="30" t="s">
        <v>94</v>
      </c>
      <c r="D4205" s="266" t="s">
        <v>95</v>
      </c>
      <c r="E4205" s="30" t="s">
        <v>458</v>
      </c>
      <c r="F4205" s="30">
        <v>1</v>
      </c>
      <c r="G4205" s="44">
        <v>61633</v>
      </c>
      <c r="H4205" s="30"/>
      <c r="I4205" s="44"/>
      <c r="J4205" s="44"/>
      <c r="K4205" s="44">
        <f t="shared" si="136"/>
        <v>61633</v>
      </c>
      <c r="L4205" s="51">
        <v>20260409</v>
      </c>
    </row>
    <row r="4206" spans="1:12" x14ac:dyDescent="0.25">
      <c r="A4206" s="50" t="s">
        <v>5799</v>
      </c>
      <c r="B4206" s="30" t="s">
        <v>11</v>
      </c>
      <c r="C4206" s="30" t="s">
        <v>94</v>
      </c>
      <c r="D4206" s="266" t="s">
        <v>95</v>
      </c>
      <c r="E4206" s="30" t="s">
        <v>1085</v>
      </c>
      <c r="F4206" s="30">
        <v>1</v>
      </c>
      <c r="G4206" s="44">
        <v>61633</v>
      </c>
      <c r="H4206" s="30"/>
      <c r="I4206" s="44"/>
      <c r="J4206" s="44"/>
      <c r="K4206" s="44">
        <f t="shared" si="136"/>
        <v>61633</v>
      </c>
      <c r="L4206" s="51">
        <v>20260410</v>
      </c>
    </row>
    <row r="4207" spans="1:12" x14ac:dyDescent="0.25">
      <c r="A4207" s="50" t="s">
        <v>5786</v>
      </c>
      <c r="B4207" s="30" t="s">
        <v>11</v>
      </c>
      <c r="C4207" s="30" t="s">
        <v>474</v>
      </c>
      <c r="D4207" s="266" t="s">
        <v>24</v>
      </c>
      <c r="E4207" s="30" t="s">
        <v>554</v>
      </c>
      <c r="F4207" s="30">
        <v>1</v>
      </c>
      <c r="G4207" s="44">
        <v>61633</v>
      </c>
      <c r="H4207" s="30"/>
      <c r="I4207" s="44"/>
      <c r="J4207" s="44"/>
      <c r="K4207" s="44">
        <f t="shared" si="136"/>
        <v>61633</v>
      </c>
      <c r="L4207" s="51">
        <v>20260413</v>
      </c>
    </row>
    <row r="4208" spans="1:12" x14ac:dyDescent="0.25">
      <c r="A4208" s="52" t="s">
        <v>5800</v>
      </c>
      <c r="B4208" s="32" t="s">
        <v>11</v>
      </c>
      <c r="C4208" s="32" t="s">
        <v>28</v>
      </c>
      <c r="D4208" s="32" t="s">
        <v>1703</v>
      </c>
      <c r="E4208" s="32" t="s">
        <v>2436</v>
      </c>
      <c r="F4208" s="32">
        <v>1</v>
      </c>
      <c r="G4208" s="45">
        <v>61633</v>
      </c>
      <c r="H4208" s="32">
        <v>242</v>
      </c>
      <c r="I4208" s="45">
        <v>776.6</v>
      </c>
      <c r="J4208" s="45">
        <f t="shared" ref="J4208:J4213" si="137">I4208*H4208</f>
        <v>187937.2</v>
      </c>
      <c r="K4208" s="45">
        <f t="shared" si="136"/>
        <v>249570.2</v>
      </c>
      <c r="L4208" s="53">
        <v>20260414</v>
      </c>
    </row>
    <row r="4209" spans="1:12" x14ac:dyDescent="0.25">
      <c r="A4209" s="50" t="s">
        <v>5803</v>
      </c>
      <c r="B4209" s="30" t="s">
        <v>11</v>
      </c>
      <c r="C4209" s="30" t="s">
        <v>1021</v>
      </c>
      <c r="D4209" s="266" t="s">
        <v>24</v>
      </c>
      <c r="E4209" s="30" t="s">
        <v>1337</v>
      </c>
      <c r="F4209" s="30">
        <v>1</v>
      </c>
      <c r="G4209" s="44">
        <v>61633</v>
      </c>
      <c r="H4209" s="30"/>
      <c r="I4209" s="44"/>
      <c r="J4209" s="44"/>
      <c r="K4209" s="44">
        <f t="shared" si="136"/>
        <v>61633</v>
      </c>
      <c r="L4209" s="51">
        <v>20260414</v>
      </c>
    </row>
    <row r="4210" spans="1:12" x14ac:dyDescent="0.25">
      <c r="A4210" s="50" t="s">
        <v>5770</v>
      </c>
      <c r="B4210" s="30" t="s">
        <v>11</v>
      </c>
      <c r="C4210" s="30" t="s">
        <v>28</v>
      </c>
      <c r="D4210" s="266" t="s">
        <v>371</v>
      </c>
      <c r="E4210" s="30" t="s">
        <v>372</v>
      </c>
      <c r="F4210" s="30">
        <v>1</v>
      </c>
      <c r="G4210" s="44">
        <v>61633</v>
      </c>
      <c r="H4210" s="30"/>
      <c r="I4210" s="44"/>
      <c r="J4210" s="44"/>
      <c r="K4210" s="44">
        <f t="shared" si="136"/>
        <v>61633</v>
      </c>
      <c r="L4210" s="51">
        <v>20260415</v>
      </c>
    </row>
    <row r="4211" spans="1:12" x14ac:dyDescent="0.25">
      <c r="A4211" s="50" t="s">
        <v>5802</v>
      </c>
      <c r="B4211" s="30" t="s">
        <v>11</v>
      </c>
      <c r="C4211" s="30" t="s">
        <v>134</v>
      </c>
      <c r="D4211" s="266" t="s">
        <v>135</v>
      </c>
      <c r="E4211" s="30" t="s">
        <v>1178</v>
      </c>
      <c r="F4211" s="30">
        <v>1</v>
      </c>
      <c r="G4211" s="44">
        <v>61633</v>
      </c>
      <c r="H4211" s="30"/>
      <c r="I4211" s="44"/>
      <c r="J4211" s="44"/>
      <c r="K4211" s="44">
        <f t="shared" si="136"/>
        <v>61633</v>
      </c>
      <c r="L4211" s="51">
        <v>20260416</v>
      </c>
    </row>
    <row r="4212" spans="1:12" x14ac:dyDescent="0.25">
      <c r="A4212" s="52" t="s">
        <v>5763</v>
      </c>
      <c r="B4212" s="32" t="s">
        <v>11</v>
      </c>
      <c r="C4212" s="32" t="s">
        <v>337</v>
      </c>
      <c r="D4212" s="32" t="s">
        <v>162</v>
      </c>
      <c r="E4212" s="32" t="s">
        <v>3073</v>
      </c>
      <c r="F4212" s="32">
        <v>1</v>
      </c>
      <c r="G4212" s="45">
        <v>61633</v>
      </c>
      <c r="H4212" s="32">
        <v>69</v>
      </c>
      <c r="I4212" s="45">
        <v>776.6</v>
      </c>
      <c r="J4212" s="45">
        <f t="shared" si="137"/>
        <v>53585.4</v>
      </c>
      <c r="K4212" s="45">
        <f t="shared" si="136"/>
        <v>115218.4</v>
      </c>
      <c r="L4212" s="53">
        <v>20260417</v>
      </c>
    </row>
    <row r="4213" spans="1:12" x14ac:dyDescent="0.25">
      <c r="A4213" s="52" t="s">
        <v>5779</v>
      </c>
      <c r="B4213" s="32" t="s">
        <v>11</v>
      </c>
      <c r="C4213" s="32" t="s">
        <v>337</v>
      </c>
      <c r="D4213" s="32" t="s">
        <v>35</v>
      </c>
      <c r="E4213" s="32" t="s">
        <v>3011</v>
      </c>
      <c r="F4213" s="32">
        <v>1</v>
      </c>
      <c r="G4213" s="45">
        <v>61633</v>
      </c>
      <c r="H4213" s="32">
        <v>77</v>
      </c>
      <c r="I4213" s="45">
        <v>776.6</v>
      </c>
      <c r="J4213" s="45">
        <f t="shared" si="137"/>
        <v>59798.200000000004</v>
      </c>
      <c r="K4213" s="45">
        <f t="shared" si="136"/>
        <v>121431.20000000001</v>
      </c>
      <c r="L4213" s="53">
        <v>20260420</v>
      </c>
    </row>
    <row r="4214" spans="1:12" x14ac:dyDescent="0.25">
      <c r="A4214" s="50" t="s">
        <v>5817</v>
      </c>
      <c r="B4214" s="30" t="s">
        <v>11</v>
      </c>
      <c r="C4214" s="30" t="s">
        <v>34</v>
      </c>
      <c r="D4214" s="266" t="s">
        <v>35</v>
      </c>
      <c r="E4214" s="30" t="s">
        <v>1369</v>
      </c>
      <c r="F4214" s="30">
        <v>1</v>
      </c>
      <c r="G4214" s="44">
        <v>61633</v>
      </c>
      <c r="H4214" s="30"/>
      <c r="I4214" s="44"/>
      <c r="J4214" s="44"/>
      <c r="K4214" s="44">
        <f t="shared" si="136"/>
        <v>61633</v>
      </c>
      <c r="L4214" s="51">
        <v>20260420</v>
      </c>
    </row>
    <row r="4215" spans="1:12" x14ac:dyDescent="0.25">
      <c r="A4215" s="50" t="s">
        <v>5820</v>
      </c>
      <c r="B4215" s="30" t="s">
        <v>11</v>
      </c>
      <c r="C4215" s="30" t="s">
        <v>34</v>
      </c>
      <c r="D4215" s="266" t="s">
        <v>35</v>
      </c>
      <c r="E4215" s="30" t="s">
        <v>3747</v>
      </c>
      <c r="F4215" s="30">
        <v>1</v>
      </c>
      <c r="G4215" s="44">
        <v>61633</v>
      </c>
      <c r="H4215" s="30"/>
      <c r="I4215" s="44"/>
      <c r="J4215" s="44"/>
      <c r="K4215" s="44">
        <f t="shared" si="136"/>
        <v>61633</v>
      </c>
      <c r="L4215" s="51">
        <v>20260420</v>
      </c>
    </row>
    <row r="4216" spans="1:12" x14ac:dyDescent="0.25">
      <c r="A4216" s="50" t="s">
        <v>5748</v>
      </c>
      <c r="B4216" s="30" t="s">
        <v>11</v>
      </c>
      <c r="C4216" s="30" t="s">
        <v>94</v>
      </c>
      <c r="D4216" s="266" t="s">
        <v>95</v>
      </c>
      <c r="E4216" s="30" t="s">
        <v>458</v>
      </c>
      <c r="F4216" s="30">
        <v>1</v>
      </c>
      <c r="G4216" s="44">
        <v>61633</v>
      </c>
      <c r="H4216" s="30"/>
      <c r="I4216" s="44"/>
      <c r="J4216" s="44"/>
      <c r="K4216" s="44">
        <f t="shared" si="136"/>
        <v>61633</v>
      </c>
      <c r="L4216" s="51">
        <v>20260420</v>
      </c>
    </row>
    <row r="4217" spans="1:12" x14ac:dyDescent="0.25">
      <c r="A4217" s="50" t="s">
        <v>5742</v>
      </c>
      <c r="B4217" s="30" t="s">
        <v>11</v>
      </c>
      <c r="C4217" s="30" t="s">
        <v>251</v>
      </c>
      <c r="D4217" s="266" t="s">
        <v>764</v>
      </c>
      <c r="E4217" s="30" t="s">
        <v>1210</v>
      </c>
      <c r="F4217" s="30">
        <v>1</v>
      </c>
      <c r="G4217" s="44">
        <v>61633</v>
      </c>
      <c r="H4217" s="30"/>
      <c r="I4217" s="44"/>
      <c r="J4217" s="44"/>
      <c r="K4217" s="44">
        <f t="shared" si="136"/>
        <v>61633</v>
      </c>
      <c r="L4217" s="51">
        <v>20260422</v>
      </c>
    </row>
    <row r="4218" spans="1:12" x14ac:dyDescent="0.25">
      <c r="A4218" s="50" t="s">
        <v>5743</v>
      </c>
      <c r="B4218" s="30" t="s">
        <v>11</v>
      </c>
      <c r="C4218" s="30" t="s">
        <v>26</v>
      </c>
      <c r="D4218" s="266" t="s">
        <v>2874</v>
      </c>
      <c r="E4218" s="30" t="s">
        <v>5077</v>
      </c>
      <c r="F4218" s="30">
        <v>1</v>
      </c>
      <c r="G4218" s="44">
        <v>61633</v>
      </c>
      <c r="H4218" s="30"/>
      <c r="I4218" s="44"/>
      <c r="J4218" s="44"/>
      <c r="K4218" s="44">
        <f t="shared" si="136"/>
        <v>61633</v>
      </c>
      <c r="L4218" s="51">
        <v>20260422</v>
      </c>
    </row>
    <row r="4219" spans="1:12" x14ac:dyDescent="0.25">
      <c r="A4219" s="50" t="s">
        <v>5747</v>
      </c>
      <c r="B4219" s="30" t="s">
        <v>11</v>
      </c>
      <c r="C4219" s="30" t="s">
        <v>172</v>
      </c>
      <c r="D4219" s="266" t="s">
        <v>703</v>
      </c>
      <c r="E4219" s="30" t="s">
        <v>704</v>
      </c>
      <c r="F4219" s="30">
        <v>1</v>
      </c>
      <c r="G4219" s="44">
        <v>61633</v>
      </c>
      <c r="H4219" s="30"/>
      <c r="I4219" s="44"/>
      <c r="J4219" s="44"/>
      <c r="K4219" s="44">
        <f t="shared" si="136"/>
        <v>61633</v>
      </c>
      <c r="L4219" s="51">
        <v>20260422</v>
      </c>
    </row>
    <row r="4220" spans="1:12" x14ac:dyDescent="0.25">
      <c r="A4220" s="50" t="s">
        <v>5740</v>
      </c>
      <c r="B4220" s="30" t="s">
        <v>11</v>
      </c>
      <c r="C4220" s="30" t="s">
        <v>636</v>
      </c>
      <c r="D4220" s="266" t="s">
        <v>5420</v>
      </c>
      <c r="E4220" s="30" t="s">
        <v>5508</v>
      </c>
      <c r="F4220" s="30">
        <v>1</v>
      </c>
      <c r="G4220" s="44">
        <v>61633</v>
      </c>
      <c r="H4220" s="30"/>
      <c r="I4220" s="44"/>
      <c r="J4220" s="44"/>
      <c r="K4220" s="44">
        <f t="shared" si="136"/>
        <v>61633</v>
      </c>
      <c r="L4220" s="51">
        <v>20260424</v>
      </c>
    </row>
    <row r="4221" spans="1:12" x14ac:dyDescent="0.25">
      <c r="A4221" s="50" t="s">
        <v>5755</v>
      </c>
      <c r="B4221" s="30" t="s">
        <v>11</v>
      </c>
      <c r="C4221" s="30" t="s">
        <v>134</v>
      </c>
      <c r="D4221" s="266" t="s">
        <v>135</v>
      </c>
      <c r="E4221" s="30" t="s">
        <v>136</v>
      </c>
      <c r="F4221" s="30">
        <v>1</v>
      </c>
      <c r="G4221" s="44">
        <v>61633</v>
      </c>
      <c r="H4221" s="30"/>
      <c r="I4221" s="44"/>
      <c r="J4221" s="44"/>
      <c r="K4221" s="44">
        <f t="shared" si="136"/>
        <v>61633</v>
      </c>
      <c r="L4221" s="51">
        <v>20260427</v>
      </c>
    </row>
    <row r="4222" spans="1:12" ht="15.75" thickBot="1" x14ac:dyDescent="0.3">
      <c r="A4222" s="54" t="s">
        <v>5736</v>
      </c>
      <c r="B4222" s="36" t="s">
        <v>11</v>
      </c>
      <c r="C4222" s="36" t="s">
        <v>364</v>
      </c>
      <c r="D4222" s="267" t="s">
        <v>24</v>
      </c>
      <c r="E4222" s="36" t="s">
        <v>4165</v>
      </c>
      <c r="F4222" s="36">
        <v>1</v>
      </c>
      <c r="G4222" s="65">
        <v>61633</v>
      </c>
      <c r="H4222" s="36"/>
      <c r="I4222" s="65"/>
      <c r="J4222" s="65"/>
      <c r="K4222" s="65">
        <f t="shared" si="136"/>
        <v>61633</v>
      </c>
      <c r="L4222" s="55">
        <v>20260430</v>
      </c>
    </row>
    <row r="4223" spans="1:12" ht="15.75" thickBot="1" x14ac:dyDescent="0.3">
      <c r="A4223" s="99"/>
      <c r="B4223" s="100"/>
      <c r="C4223" s="100"/>
      <c r="D4223" s="298"/>
      <c r="E4223" s="100"/>
      <c r="F4223" s="100"/>
      <c r="G4223" s="101"/>
      <c r="H4223" s="100"/>
      <c r="I4223" s="101"/>
      <c r="J4223" s="101"/>
      <c r="K4223" s="101"/>
      <c r="L4223" s="102"/>
    </row>
    <row r="4224" spans="1:12" x14ac:dyDescent="0.25">
      <c r="A4224" s="48" t="s">
        <v>5809</v>
      </c>
      <c r="B4224" s="34" t="s">
        <v>137</v>
      </c>
      <c r="C4224" s="34" t="s">
        <v>172</v>
      </c>
      <c r="D4224" s="275" t="s">
        <v>703</v>
      </c>
      <c r="E4224" s="34" t="s">
        <v>704</v>
      </c>
      <c r="F4224" s="34">
        <v>1</v>
      </c>
      <c r="G4224" s="64">
        <v>30805</v>
      </c>
      <c r="H4224" s="34"/>
      <c r="I4224" s="64"/>
      <c r="J4224" s="64"/>
      <c r="K4224" s="64">
        <f t="shared" si="136"/>
        <v>30805</v>
      </c>
      <c r="L4224" s="49">
        <v>20260406</v>
      </c>
    </row>
    <row r="4225" spans="1:12" x14ac:dyDescent="0.25">
      <c r="A4225" s="50" t="s">
        <v>5810</v>
      </c>
      <c r="B4225" s="30" t="s">
        <v>137</v>
      </c>
      <c r="C4225" s="30" t="s">
        <v>172</v>
      </c>
      <c r="D4225" s="266" t="s">
        <v>703</v>
      </c>
      <c r="E4225" s="30" t="s">
        <v>706</v>
      </c>
      <c r="F4225" s="30">
        <v>1</v>
      </c>
      <c r="G4225" s="44">
        <v>30805</v>
      </c>
      <c r="H4225" s="30"/>
      <c r="I4225" s="44"/>
      <c r="J4225" s="44"/>
      <c r="K4225" s="44">
        <f t="shared" si="136"/>
        <v>30805</v>
      </c>
      <c r="L4225" s="51">
        <v>20260406</v>
      </c>
    </row>
    <row r="4226" spans="1:12" x14ac:dyDescent="0.25">
      <c r="A4226" s="50" t="s">
        <v>5811</v>
      </c>
      <c r="B4226" s="30" t="s">
        <v>137</v>
      </c>
      <c r="C4226" s="30" t="s">
        <v>172</v>
      </c>
      <c r="D4226" s="266" t="s">
        <v>703</v>
      </c>
      <c r="E4226" s="30" t="s">
        <v>708</v>
      </c>
      <c r="F4226" s="30">
        <v>1</v>
      </c>
      <c r="G4226" s="44">
        <v>30805</v>
      </c>
      <c r="H4226" s="30"/>
      <c r="I4226" s="44"/>
      <c r="J4226" s="44"/>
      <c r="K4226" s="44">
        <f t="shared" si="136"/>
        <v>30805</v>
      </c>
      <c r="L4226" s="51">
        <v>20260406</v>
      </c>
    </row>
    <row r="4227" spans="1:12" x14ac:dyDescent="0.25">
      <c r="A4227" s="50" t="s">
        <v>5812</v>
      </c>
      <c r="B4227" s="30" t="s">
        <v>137</v>
      </c>
      <c r="C4227" s="30" t="s">
        <v>172</v>
      </c>
      <c r="D4227" s="266" t="s">
        <v>703</v>
      </c>
      <c r="E4227" s="30" t="s">
        <v>710</v>
      </c>
      <c r="F4227" s="30">
        <v>1</v>
      </c>
      <c r="G4227" s="44">
        <v>30805</v>
      </c>
      <c r="H4227" s="30"/>
      <c r="I4227" s="44"/>
      <c r="J4227" s="44"/>
      <c r="K4227" s="44">
        <f t="shared" si="136"/>
        <v>30805</v>
      </c>
      <c r="L4227" s="51">
        <v>20260406</v>
      </c>
    </row>
    <row r="4228" spans="1:12" x14ac:dyDescent="0.25">
      <c r="A4228" s="50" t="s">
        <v>5818</v>
      </c>
      <c r="B4228" s="30" t="s">
        <v>137</v>
      </c>
      <c r="C4228" s="30" t="s">
        <v>29</v>
      </c>
      <c r="D4228" s="266" t="s">
        <v>5339</v>
      </c>
      <c r="E4228" s="30" t="s">
        <v>208</v>
      </c>
      <c r="F4228" s="30">
        <v>1</v>
      </c>
      <c r="G4228" s="44">
        <v>30805</v>
      </c>
      <c r="H4228" s="30"/>
      <c r="I4228" s="44"/>
      <c r="J4228" s="44"/>
      <c r="K4228" s="44">
        <f t="shared" si="136"/>
        <v>30805</v>
      </c>
      <c r="L4228" s="51">
        <v>20260406</v>
      </c>
    </row>
    <row r="4229" spans="1:12" x14ac:dyDescent="0.25">
      <c r="A4229" s="50" t="s">
        <v>5806</v>
      </c>
      <c r="B4229" s="30" t="s">
        <v>137</v>
      </c>
      <c r="C4229" s="30" t="s">
        <v>29</v>
      </c>
      <c r="D4229" s="266" t="s">
        <v>2548</v>
      </c>
      <c r="E4229" s="30" t="s">
        <v>390</v>
      </c>
      <c r="F4229" s="30">
        <v>1</v>
      </c>
      <c r="G4229" s="44">
        <v>30805</v>
      </c>
      <c r="H4229" s="30"/>
      <c r="I4229" s="44"/>
      <c r="J4229" s="44"/>
      <c r="K4229" s="44">
        <f t="shared" si="136"/>
        <v>30805</v>
      </c>
      <c r="L4229" s="51">
        <v>20260406</v>
      </c>
    </row>
    <row r="4230" spans="1:12" x14ac:dyDescent="0.25">
      <c r="A4230" s="50" t="s">
        <v>5807</v>
      </c>
      <c r="B4230" s="30" t="s">
        <v>137</v>
      </c>
      <c r="C4230" s="30" t="s">
        <v>29</v>
      </c>
      <c r="D4230" s="266" t="s">
        <v>2548</v>
      </c>
      <c r="E4230" s="30" t="s">
        <v>733</v>
      </c>
      <c r="F4230" s="30">
        <v>1</v>
      </c>
      <c r="G4230" s="44">
        <v>30805</v>
      </c>
      <c r="H4230" s="30"/>
      <c r="I4230" s="44"/>
      <c r="J4230" s="44"/>
      <c r="K4230" s="44">
        <f t="shared" si="136"/>
        <v>30805</v>
      </c>
      <c r="L4230" s="51">
        <v>20260406</v>
      </c>
    </row>
    <row r="4231" spans="1:12" x14ac:dyDescent="0.25">
      <c r="A4231" s="50" t="s">
        <v>5808</v>
      </c>
      <c r="B4231" s="30" t="s">
        <v>137</v>
      </c>
      <c r="C4231" s="30" t="s">
        <v>29</v>
      </c>
      <c r="D4231" s="266" t="s">
        <v>2548</v>
      </c>
      <c r="E4231" s="30" t="s">
        <v>1497</v>
      </c>
      <c r="F4231" s="30">
        <v>1</v>
      </c>
      <c r="G4231" s="44">
        <v>30805</v>
      </c>
      <c r="H4231" s="30"/>
      <c r="I4231" s="44"/>
      <c r="J4231" s="44"/>
      <c r="K4231" s="44">
        <f t="shared" si="136"/>
        <v>30805</v>
      </c>
      <c r="L4231" s="51">
        <v>20260406</v>
      </c>
    </row>
    <row r="4232" spans="1:12" x14ac:dyDescent="0.25">
      <c r="A4232" s="50" t="s">
        <v>5787</v>
      </c>
      <c r="B4232" s="30" t="s">
        <v>137</v>
      </c>
      <c r="C4232" s="30" t="s">
        <v>1006</v>
      </c>
      <c r="D4232" s="266" t="s">
        <v>4911</v>
      </c>
      <c r="E4232" s="30" t="s">
        <v>4914</v>
      </c>
      <c r="F4232" s="30">
        <v>1</v>
      </c>
      <c r="G4232" s="44">
        <v>30805</v>
      </c>
      <c r="H4232" s="30"/>
      <c r="I4232" s="44"/>
      <c r="J4232" s="44"/>
      <c r="K4232" s="44">
        <f t="shared" si="136"/>
        <v>30805</v>
      </c>
      <c r="L4232" s="51">
        <v>20260410</v>
      </c>
    </row>
    <row r="4233" spans="1:12" x14ac:dyDescent="0.25">
      <c r="A4233" s="50" t="s">
        <v>5789</v>
      </c>
      <c r="B4233" s="30" t="s">
        <v>137</v>
      </c>
      <c r="C4233" s="30" t="s">
        <v>1006</v>
      </c>
      <c r="D4233" s="266" t="s">
        <v>4911</v>
      </c>
      <c r="E4233" s="30" t="s">
        <v>4918</v>
      </c>
      <c r="F4233" s="30">
        <v>1</v>
      </c>
      <c r="G4233" s="44">
        <v>30805</v>
      </c>
      <c r="H4233" s="30"/>
      <c r="I4233" s="44"/>
      <c r="J4233" s="44"/>
      <c r="K4233" s="44">
        <f t="shared" si="136"/>
        <v>30805</v>
      </c>
      <c r="L4233" s="51">
        <v>20260410</v>
      </c>
    </row>
    <row r="4234" spans="1:12" x14ac:dyDescent="0.25">
      <c r="A4234" s="50" t="s">
        <v>5790</v>
      </c>
      <c r="B4234" s="30" t="s">
        <v>137</v>
      </c>
      <c r="C4234" s="30" t="s">
        <v>1006</v>
      </c>
      <c r="D4234" s="266" t="s">
        <v>4911</v>
      </c>
      <c r="E4234" s="30" t="s">
        <v>4920</v>
      </c>
      <c r="F4234" s="30">
        <v>1</v>
      </c>
      <c r="G4234" s="44">
        <v>30805</v>
      </c>
      <c r="H4234" s="30"/>
      <c r="I4234" s="44"/>
      <c r="J4234" s="44"/>
      <c r="K4234" s="44">
        <f t="shared" si="136"/>
        <v>30805</v>
      </c>
      <c r="L4234" s="51">
        <v>20260410</v>
      </c>
    </row>
    <row r="4235" spans="1:12" x14ac:dyDescent="0.25">
      <c r="A4235" s="50" t="s">
        <v>5791</v>
      </c>
      <c r="B4235" s="30" t="s">
        <v>137</v>
      </c>
      <c r="C4235" s="30" t="s">
        <v>1006</v>
      </c>
      <c r="D4235" s="266" t="s">
        <v>4911</v>
      </c>
      <c r="E4235" s="30" t="s">
        <v>4922</v>
      </c>
      <c r="F4235" s="30">
        <v>1</v>
      </c>
      <c r="G4235" s="44">
        <v>30805</v>
      </c>
      <c r="H4235" s="30"/>
      <c r="I4235" s="44"/>
      <c r="J4235" s="44"/>
      <c r="K4235" s="44">
        <f t="shared" si="136"/>
        <v>30805</v>
      </c>
      <c r="L4235" s="51">
        <v>20260410</v>
      </c>
    </row>
    <row r="4236" spans="1:12" x14ac:dyDescent="0.25">
      <c r="A4236" s="50" t="s">
        <v>5792</v>
      </c>
      <c r="B4236" s="30" t="s">
        <v>137</v>
      </c>
      <c r="C4236" s="30" t="s">
        <v>1006</v>
      </c>
      <c r="D4236" s="266" t="s">
        <v>4911</v>
      </c>
      <c r="E4236" s="30" t="s">
        <v>4924</v>
      </c>
      <c r="F4236" s="30">
        <v>1</v>
      </c>
      <c r="G4236" s="44">
        <v>30805</v>
      </c>
      <c r="H4236" s="30"/>
      <c r="I4236" s="44"/>
      <c r="J4236" s="44"/>
      <c r="K4236" s="44">
        <f t="shared" si="136"/>
        <v>30805</v>
      </c>
      <c r="L4236" s="51">
        <v>20260410</v>
      </c>
    </row>
    <row r="4237" spans="1:12" x14ac:dyDescent="0.25">
      <c r="A4237" s="50" t="s">
        <v>5794</v>
      </c>
      <c r="B4237" s="30" t="s">
        <v>137</v>
      </c>
      <c r="C4237" s="30" t="s">
        <v>1006</v>
      </c>
      <c r="D4237" s="266" t="s">
        <v>4911</v>
      </c>
      <c r="E4237" s="30" t="s">
        <v>4928</v>
      </c>
      <c r="F4237" s="30">
        <v>1</v>
      </c>
      <c r="G4237" s="44">
        <v>30805</v>
      </c>
      <c r="H4237" s="30"/>
      <c r="I4237" s="44"/>
      <c r="J4237" s="44"/>
      <c r="K4237" s="44">
        <f t="shared" si="136"/>
        <v>30805</v>
      </c>
      <c r="L4237" s="51">
        <v>20260410</v>
      </c>
    </row>
    <row r="4238" spans="1:12" x14ac:dyDescent="0.25">
      <c r="A4238" s="50" t="s">
        <v>5796</v>
      </c>
      <c r="B4238" s="30" t="s">
        <v>137</v>
      </c>
      <c r="C4238" s="30" t="s">
        <v>1006</v>
      </c>
      <c r="D4238" s="266" t="s">
        <v>4911</v>
      </c>
      <c r="E4238" s="30" t="s">
        <v>4932</v>
      </c>
      <c r="F4238" s="30">
        <v>1</v>
      </c>
      <c r="G4238" s="44">
        <v>30805</v>
      </c>
      <c r="H4238" s="30"/>
      <c r="I4238" s="44"/>
      <c r="J4238" s="44"/>
      <c r="K4238" s="44">
        <f t="shared" si="136"/>
        <v>30805</v>
      </c>
      <c r="L4238" s="51">
        <v>20260410</v>
      </c>
    </row>
    <row r="4239" spans="1:12" x14ac:dyDescent="0.25">
      <c r="A4239" s="50" t="s">
        <v>5797</v>
      </c>
      <c r="B4239" s="30" t="s">
        <v>137</v>
      </c>
      <c r="C4239" s="30" t="s">
        <v>1006</v>
      </c>
      <c r="D4239" s="266" t="s">
        <v>4911</v>
      </c>
      <c r="E4239" s="30" t="s">
        <v>4934</v>
      </c>
      <c r="F4239" s="30">
        <v>1</v>
      </c>
      <c r="G4239" s="44">
        <v>30805</v>
      </c>
      <c r="H4239" s="30"/>
      <c r="I4239" s="44"/>
      <c r="J4239" s="44"/>
      <c r="K4239" s="44">
        <f t="shared" si="136"/>
        <v>30805</v>
      </c>
      <c r="L4239" s="51">
        <v>20260410</v>
      </c>
    </row>
    <row r="4240" spans="1:12" x14ac:dyDescent="0.25">
      <c r="A4240" s="50" t="s">
        <v>5798</v>
      </c>
      <c r="B4240" s="30" t="s">
        <v>137</v>
      </c>
      <c r="C4240" s="30" t="s">
        <v>1006</v>
      </c>
      <c r="D4240" s="266" t="s">
        <v>4911</v>
      </c>
      <c r="E4240" s="30" t="s">
        <v>4936</v>
      </c>
      <c r="F4240" s="30">
        <v>1</v>
      </c>
      <c r="G4240" s="44">
        <v>30805</v>
      </c>
      <c r="H4240" s="30"/>
      <c r="I4240" s="44"/>
      <c r="J4240" s="44"/>
      <c r="K4240" s="44">
        <f t="shared" si="136"/>
        <v>30805</v>
      </c>
      <c r="L4240" s="51">
        <v>20260410</v>
      </c>
    </row>
    <row r="4241" spans="1:12" x14ac:dyDescent="0.25">
      <c r="A4241" s="50" t="s">
        <v>5780</v>
      </c>
      <c r="B4241" s="30" t="s">
        <v>137</v>
      </c>
      <c r="C4241" s="30" t="s">
        <v>505</v>
      </c>
      <c r="D4241" s="266" t="s">
        <v>24</v>
      </c>
      <c r="E4241" s="30" t="s">
        <v>402</v>
      </c>
      <c r="F4241" s="30">
        <v>1</v>
      </c>
      <c r="G4241" s="44">
        <v>30805</v>
      </c>
      <c r="H4241" s="30"/>
      <c r="I4241" s="44"/>
      <c r="J4241" s="44"/>
      <c r="K4241" s="44">
        <f t="shared" si="136"/>
        <v>30805</v>
      </c>
      <c r="L4241" s="51">
        <v>20260413</v>
      </c>
    </row>
    <row r="4242" spans="1:12" x14ac:dyDescent="0.25">
      <c r="A4242" s="50" t="s">
        <v>5781</v>
      </c>
      <c r="B4242" s="30" t="s">
        <v>137</v>
      </c>
      <c r="C4242" s="30" t="s">
        <v>505</v>
      </c>
      <c r="D4242" s="266" t="s">
        <v>24</v>
      </c>
      <c r="E4242" s="30" t="s">
        <v>1355</v>
      </c>
      <c r="F4242" s="30">
        <v>1</v>
      </c>
      <c r="G4242" s="44">
        <v>30805</v>
      </c>
      <c r="H4242" s="30"/>
      <c r="I4242" s="44"/>
      <c r="J4242" s="44"/>
      <c r="K4242" s="44">
        <f t="shared" si="136"/>
        <v>30805</v>
      </c>
      <c r="L4242" s="51">
        <v>20260413</v>
      </c>
    </row>
    <row r="4243" spans="1:12" x14ac:dyDescent="0.25">
      <c r="A4243" s="50" t="s">
        <v>5782</v>
      </c>
      <c r="B4243" s="30" t="s">
        <v>137</v>
      </c>
      <c r="C4243" s="30" t="s">
        <v>505</v>
      </c>
      <c r="D4243" s="266" t="s">
        <v>24</v>
      </c>
      <c r="E4243" s="30" t="s">
        <v>925</v>
      </c>
      <c r="F4243" s="30">
        <v>1</v>
      </c>
      <c r="G4243" s="44">
        <v>30805</v>
      </c>
      <c r="H4243" s="30"/>
      <c r="I4243" s="44"/>
      <c r="J4243" s="44"/>
      <c r="K4243" s="44">
        <f t="shared" si="136"/>
        <v>30805</v>
      </c>
      <c r="L4243" s="51">
        <v>20260413</v>
      </c>
    </row>
    <row r="4244" spans="1:12" x14ac:dyDescent="0.25">
      <c r="A4244" s="50" t="s">
        <v>5783</v>
      </c>
      <c r="B4244" s="30" t="s">
        <v>137</v>
      </c>
      <c r="C4244" s="30" t="s">
        <v>505</v>
      </c>
      <c r="D4244" s="266" t="s">
        <v>24</v>
      </c>
      <c r="E4244" s="30" t="s">
        <v>927</v>
      </c>
      <c r="F4244" s="30">
        <v>1</v>
      </c>
      <c r="G4244" s="44">
        <v>30805</v>
      </c>
      <c r="H4244" s="30"/>
      <c r="I4244" s="44"/>
      <c r="J4244" s="44"/>
      <c r="K4244" s="44">
        <f t="shared" si="136"/>
        <v>30805</v>
      </c>
      <c r="L4244" s="51">
        <v>20260413</v>
      </c>
    </row>
    <row r="4245" spans="1:12" x14ac:dyDescent="0.25">
      <c r="A4245" s="50" t="s">
        <v>5784</v>
      </c>
      <c r="B4245" s="30" t="s">
        <v>137</v>
      </c>
      <c r="C4245" s="30" t="s">
        <v>505</v>
      </c>
      <c r="D4245" s="266" t="s">
        <v>24</v>
      </c>
      <c r="E4245" s="30" t="s">
        <v>929</v>
      </c>
      <c r="F4245" s="30">
        <v>1</v>
      </c>
      <c r="G4245" s="44">
        <v>30805</v>
      </c>
      <c r="H4245" s="30"/>
      <c r="I4245" s="44"/>
      <c r="J4245" s="44"/>
      <c r="K4245" s="44">
        <f t="shared" si="136"/>
        <v>30805</v>
      </c>
      <c r="L4245" s="51">
        <v>20260413</v>
      </c>
    </row>
    <row r="4246" spans="1:12" x14ac:dyDescent="0.25">
      <c r="A4246" s="50" t="s">
        <v>5785</v>
      </c>
      <c r="B4246" s="30" t="s">
        <v>137</v>
      </c>
      <c r="C4246" s="30" t="s">
        <v>505</v>
      </c>
      <c r="D4246" s="266" t="s">
        <v>24</v>
      </c>
      <c r="E4246" s="30" t="s">
        <v>931</v>
      </c>
      <c r="F4246" s="30">
        <v>1</v>
      </c>
      <c r="G4246" s="44">
        <v>30805</v>
      </c>
      <c r="H4246" s="30"/>
      <c r="I4246" s="44"/>
      <c r="J4246" s="44"/>
      <c r="K4246" s="44">
        <f t="shared" si="136"/>
        <v>30805</v>
      </c>
      <c r="L4246" s="51">
        <v>20260413</v>
      </c>
    </row>
    <row r="4247" spans="1:12" x14ac:dyDescent="0.25">
      <c r="A4247" s="50" t="s">
        <v>5821</v>
      </c>
      <c r="B4247" s="30" t="s">
        <v>137</v>
      </c>
      <c r="C4247" s="30" t="s">
        <v>29</v>
      </c>
      <c r="D4247" s="266" t="s">
        <v>5371</v>
      </c>
      <c r="E4247" s="30" t="s">
        <v>3660</v>
      </c>
      <c r="F4247" s="30">
        <v>1</v>
      </c>
      <c r="G4247" s="44">
        <v>30805</v>
      </c>
      <c r="H4247" s="30"/>
      <c r="I4247" s="44"/>
      <c r="J4247" s="44"/>
      <c r="K4247" s="44">
        <f t="shared" si="136"/>
        <v>30805</v>
      </c>
      <c r="L4247" s="51">
        <v>20260413</v>
      </c>
    </row>
    <row r="4248" spans="1:12" x14ac:dyDescent="0.25">
      <c r="A4248" s="50" t="s">
        <v>5771</v>
      </c>
      <c r="B4248" s="30" t="s">
        <v>137</v>
      </c>
      <c r="C4248" s="30" t="s">
        <v>337</v>
      </c>
      <c r="D4248" s="266" t="s">
        <v>162</v>
      </c>
      <c r="E4248" s="30" t="s">
        <v>5772</v>
      </c>
      <c r="F4248" s="30">
        <v>1</v>
      </c>
      <c r="G4248" s="44">
        <v>30805</v>
      </c>
      <c r="H4248" s="30"/>
      <c r="I4248" s="44"/>
      <c r="J4248" s="44"/>
      <c r="K4248" s="44">
        <f t="shared" si="136"/>
        <v>30805</v>
      </c>
      <c r="L4248" s="51">
        <v>20260414</v>
      </c>
    </row>
    <row r="4249" spans="1:12" x14ac:dyDescent="0.25">
      <c r="A4249" s="50" t="s">
        <v>5823</v>
      </c>
      <c r="B4249" s="30" t="s">
        <v>137</v>
      </c>
      <c r="C4249" s="30" t="s">
        <v>337</v>
      </c>
      <c r="D4249" s="266" t="s">
        <v>1630</v>
      </c>
      <c r="E4249" s="30" t="s">
        <v>4238</v>
      </c>
      <c r="F4249" s="30">
        <v>1</v>
      </c>
      <c r="G4249" s="44">
        <v>30805</v>
      </c>
      <c r="H4249" s="30"/>
      <c r="I4249" s="44"/>
      <c r="J4249" s="44"/>
      <c r="K4249" s="44">
        <f t="shared" si="136"/>
        <v>30805</v>
      </c>
      <c r="L4249" s="51">
        <v>20260414</v>
      </c>
    </row>
    <row r="4250" spans="1:12" x14ac:dyDescent="0.25">
      <c r="A4250" s="50" t="s">
        <v>5778</v>
      </c>
      <c r="B4250" s="30" t="s">
        <v>137</v>
      </c>
      <c r="C4250" s="30" t="s">
        <v>1006</v>
      </c>
      <c r="D4250" s="266" t="s">
        <v>1007</v>
      </c>
      <c r="E4250" s="30" t="s">
        <v>5085</v>
      </c>
      <c r="F4250" s="30">
        <v>1</v>
      </c>
      <c r="G4250" s="44">
        <v>30805</v>
      </c>
      <c r="H4250" s="30"/>
      <c r="I4250" s="44"/>
      <c r="J4250" s="44"/>
      <c r="K4250" s="44">
        <f t="shared" si="136"/>
        <v>30805</v>
      </c>
      <c r="L4250" s="51">
        <v>20260414</v>
      </c>
    </row>
    <row r="4251" spans="1:12" x14ac:dyDescent="0.25">
      <c r="A4251" s="50" t="s">
        <v>5776</v>
      </c>
      <c r="B4251" s="30" t="s">
        <v>137</v>
      </c>
      <c r="C4251" s="30" t="s">
        <v>3137</v>
      </c>
      <c r="D4251" s="266" t="s">
        <v>24</v>
      </c>
      <c r="E4251" s="30" t="s">
        <v>5217</v>
      </c>
      <c r="F4251" s="30">
        <v>1</v>
      </c>
      <c r="G4251" s="44">
        <v>30805</v>
      </c>
      <c r="H4251" s="30"/>
      <c r="I4251" s="44"/>
      <c r="J4251" s="44"/>
      <c r="K4251" s="44">
        <f t="shared" si="136"/>
        <v>30805</v>
      </c>
      <c r="L4251" s="51">
        <v>20260414</v>
      </c>
    </row>
    <row r="4252" spans="1:12" x14ac:dyDescent="0.25">
      <c r="A4252" s="50" t="s">
        <v>5777</v>
      </c>
      <c r="B4252" s="30" t="s">
        <v>137</v>
      </c>
      <c r="C4252" s="30" t="s">
        <v>3137</v>
      </c>
      <c r="D4252" s="266" t="s">
        <v>24</v>
      </c>
      <c r="E4252" s="30" t="s">
        <v>3344</v>
      </c>
      <c r="F4252" s="30">
        <v>1</v>
      </c>
      <c r="G4252" s="44">
        <v>30805</v>
      </c>
      <c r="H4252" s="30"/>
      <c r="I4252" s="44"/>
      <c r="J4252" s="44"/>
      <c r="K4252" s="44">
        <f t="shared" si="136"/>
        <v>30805</v>
      </c>
      <c r="L4252" s="51">
        <v>20260414</v>
      </c>
    </row>
    <row r="4253" spans="1:12" x14ac:dyDescent="0.25">
      <c r="A4253" s="50" t="s">
        <v>5773</v>
      </c>
      <c r="B4253" s="30" t="s">
        <v>137</v>
      </c>
      <c r="C4253" s="30" t="s">
        <v>51</v>
      </c>
      <c r="D4253" s="266" t="s">
        <v>24</v>
      </c>
      <c r="E4253" s="30" t="s">
        <v>52</v>
      </c>
      <c r="F4253" s="30">
        <v>1</v>
      </c>
      <c r="G4253" s="44">
        <v>30805</v>
      </c>
      <c r="H4253" s="30"/>
      <c r="I4253" s="44"/>
      <c r="J4253" s="44"/>
      <c r="K4253" s="44">
        <f t="shared" si="136"/>
        <v>30805</v>
      </c>
      <c r="L4253" s="51">
        <v>20260414</v>
      </c>
    </row>
    <row r="4254" spans="1:12" x14ac:dyDescent="0.25">
      <c r="A4254" s="50" t="s">
        <v>5774</v>
      </c>
      <c r="B4254" s="30" t="s">
        <v>137</v>
      </c>
      <c r="C4254" s="30" t="s">
        <v>899</v>
      </c>
      <c r="D4254" s="266" t="s">
        <v>24</v>
      </c>
      <c r="E4254" s="30" t="s">
        <v>900</v>
      </c>
      <c r="F4254" s="30">
        <v>1</v>
      </c>
      <c r="G4254" s="44">
        <v>30805</v>
      </c>
      <c r="H4254" s="30"/>
      <c r="I4254" s="44"/>
      <c r="J4254" s="44"/>
      <c r="K4254" s="44">
        <f t="shared" si="136"/>
        <v>30805</v>
      </c>
      <c r="L4254" s="51">
        <v>20260414</v>
      </c>
    </row>
    <row r="4255" spans="1:12" x14ac:dyDescent="0.25">
      <c r="A4255" s="50" t="s">
        <v>5775</v>
      </c>
      <c r="B4255" s="30" t="s">
        <v>137</v>
      </c>
      <c r="C4255" s="30" t="s">
        <v>899</v>
      </c>
      <c r="D4255" s="266" t="s">
        <v>24</v>
      </c>
      <c r="E4255" s="30" t="s">
        <v>902</v>
      </c>
      <c r="F4255" s="30">
        <v>1</v>
      </c>
      <c r="G4255" s="44">
        <v>30805</v>
      </c>
      <c r="H4255" s="30"/>
      <c r="I4255" s="44"/>
      <c r="J4255" s="44"/>
      <c r="K4255" s="44">
        <f t="shared" si="136"/>
        <v>30805</v>
      </c>
      <c r="L4255" s="51">
        <v>20260414</v>
      </c>
    </row>
    <row r="4256" spans="1:12" x14ac:dyDescent="0.25">
      <c r="A4256" s="50" t="s">
        <v>5769</v>
      </c>
      <c r="B4256" s="30" t="s">
        <v>137</v>
      </c>
      <c r="C4256" s="30" t="s">
        <v>3085</v>
      </c>
      <c r="D4256" s="266" t="s">
        <v>4889</v>
      </c>
      <c r="E4256" s="30" t="s">
        <v>4897</v>
      </c>
      <c r="F4256" s="30">
        <v>1</v>
      </c>
      <c r="G4256" s="44">
        <v>30805</v>
      </c>
      <c r="H4256" s="30"/>
      <c r="I4256" s="44"/>
      <c r="J4256" s="44"/>
      <c r="K4256" s="44">
        <f t="shared" si="136"/>
        <v>30805</v>
      </c>
      <c r="L4256" s="51">
        <v>20260415</v>
      </c>
    </row>
    <row r="4257" spans="1:12" x14ac:dyDescent="0.25">
      <c r="A4257" s="50" t="s">
        <v>5767</v>
      </c>
      <c r="B4257" s="30" t="s">
        <v>137</v>
      </c>
      <c r="C4257" s="30" t="s">
        <v>1513</v>
      </c>
      <c r="D4257" s="266" t="s">
        <v>4889</v>
      </c>
      <c r="E4257" s="30" t="s">
        <v>4890</v>
      </c>
      <c r="F4257" s="30">
        <v>1</v>
      </c>
      <c r="G4257" s="44">
        <v>30805</v>
      </c>
      <c r="H4257" s="30"/>
      <c r="I4257" s="44"/>
      <c r="J4257" s="44"/>
      <c r="K4257" s="44">
        <f t="shared" si="136"/>
        <v>30805</v>
      </c>
      <c r="L4257" s="51">
        <v>20260415</v>
      </c>
    </row>
    <row r="4258" spans="1:12" x14ac:dyDescent="0.25">
      <c r="A4258" s="50" t="s">
        <v>5764</v>
      </c>
      <c r="B4258" s="30" t="s">
        <v>137</v>
      </c>
      <c r="C4258" s="30" t="s">
        <v>29</v>
      </c>
      <c r="D4258" s="266" t="s">
        <v>4900</v>
      </c>
      <c r="E4258" s="30" t="s">
        <v>4979</v>
      </c>
      <c r="F4258" s="30">
        <v>1</v>
      </c>
      <c r="G4258" s="44">
        <v>30805</v>
      </c>
      <c r="H4258" s="30"/>
      <c r="I4258" s="44"/>
      <c r="J4258" s="44"/>
      <c r="K4258" s="44">
        <f t="shared" si="136"/>
        <v>30805</v>
      </c>
      <c r="L4258" s="51">
        <v>20260415</v>
      </c>
    </row>
    <row r="4259" spans="1:12" x14ac:dyDescent="0.25">
      <c r="A4259" s="50" t="s">
        <v>5765</v>
      </c>
      <c r="B4259" s="30" t="s">
        <v>137</v>
      </c>
      <c r="C4259" s="30" t="s">
        <v>29</v>
      </c>
      <c r="D4259" s="266" t="s">
        <v>4900</v>
      </c>
      <c r="E4259" s="30" t="s">
        <v>4948</v>
      </c>
      <c r="F4259" s="30">
        <v>1</v>
      </c>
      <c r="G4259" s="44">
        <v>30805</v>
      </c>
      <c r="H4259" s="30"/>
      <c r="I4259" s="44"/>
      <c r="J4259" s="44"/>
      <c r="K4259" s="44">
        <f t="shared" si="136"/>
        <v>30805</v>
      </c>
      <c r="L4259" s="51">
        <v>20260415</v>
      </c>
    </row>
    <row r="4260" spans="1:12" x14ac:dyDescent="0.25">
      <c r="A4260" s="50" t="s">
        <v>5766</v>
      </c>
      <c r="B4260" s="30" t="s">
        <v>137</v>
      </c>
      <c r="C4260" s="30" t="s">
        <v>29</v>
      </c>
      <c r="D4260" s="266" t="s">
        <v>4900</v>
      </c>
      <c r="E4260" s="30" t="s">
        <v>4950</v>
      </c>
      <c r="F4260" s="30">
        <v>1</v>
      </c>
      <c r="G4260" s="44">
        <v>30805</v>
      </c>
      <c r="H4260" s="30"/>
      <c r="I4260" s="44"/>
      <c r="J4260" s="44"/>
      <c r="K4260" s="44">
        <f t="shared" si="136"/>
        <v>30805</v>
      </c>
      <c r="L4260" s="51">
        <v>20260415</v>
      </c>
    </row>
    <row r="4261" spans="1:12" x14ac:dyDescent="0.25">
      <c r="A4261" s="50" t="s">
        <v>5754</v>
      </c>
      <c r="B4261" s="30" t="s">
        <v>137</v>
      </c>
      <c r="C4261" s="30" t="s">
        <v>337</v>
      </c>
      <c r="D4261" s="266" t="s">
        <v>162</v>
      </c>
      <c r="E4261" s="30" t="s">
        <v>230</v>
      </c>
      <c r="F4261" s="30">
        <v>1</v>
      </c>
      <c r="G4261" s="44">
        <v>30805</v>
      </c>
      <c r="H4261" s="30"/>
      <c r="I4261" s="44"/>
      <c r="J4261" s="44"/>
      <c r="K4261" s="44">
        <f t="shared" si="136"/>
        <v>30805</v>
      </c>
      <c r="L4261" s="51">
        <v>20260417</v>
      </c>
    </row>
    <row r="4262" spans="1:12" x14ac:dyDescent="0.25">
      <c r="A4262" s="50" t="s">
        <v>5756</v>
      </c>
      <c r="B4262" s="30" t="s">
        <v>137</v>
      </c>
      <c r="C4262" s="30" t="s">
        <v>337</v>
      </c>
      <c r="D4262" s="266" t="s">
        <v>162</v>
      </c>
      <c r="E4262" s="30" t="s">
        <v>178</v>
      </c>
      <c r="F4262" s="30">
        <v>1</v>
      </c>
      <c r="G4262" s="44">
        <v>30805</v>
      </c>
      <c r="H4262" s="30"/>
      <c r="I4262" s="44"/>
      <c r="J4262" s="44"/>
      <c r="K4262" s="44">
        <f t="shared" si="136"/>
        <v>30805</v>
      </c>
      <c r="L4262" s="51">
        <v>20260417</v>
      </c>
    </row>
    <row r="4263" spans="1:12" x14ac:dyDescent="0.25">
      <c r="A4263" s="50" t="s">
        <v>5757</v>
      </c>
      <c r="B4263" s="30" t="s">
        <v>137</v>
      </c>
      <c r="C4263" s="30" t="s">
        <v>337</v>
      </c>
      <c r="D4263" s="266" t="s">
        <v>162</v>
      </c>
      <c r="E4263" s="30" t="s">
        <v>237</v>
      </c>
      <c r="F4263" s="30">
        <v>1</v>
      </c>
      <c r="G4263" s="44">
        <v>30805</v>
      </c>
      <c r="H4263" s="30"/>
      <c r="I4263" s="44"/>
      <c r="J4263" s="44"/>
      <c r="K4263" s="44">
        <f t="shared" si="136"/>
        <v>30805</v>
      </c>
      <c r="L4263" s="51">
        <v>20260417</v>
      </c>
    </row>
    <row r="4264" spans="1:12" x14ac:dyDescent="0.25">
      <c r="A4264" s="50" t="s">
        <v>5758</v>
      </c>
      <c r="B4264" s="30" t="s">
        <v>137</v>
      </c>
      <c r="C4264" s="30" t="s">
        <v>337</v>
      </c>
      <c r="D4264" s="266" t="s">
        <v>162</v>
      </c>
      <c r="E4264" s="30" t="s">
        <v>219</v>
      </c>
      <c r="F4264" s="30">
        <v>1</v>
      </c>
      <c r="G4264" s="44">
        <v>30805</v>
      </c>
      <c r="H4264" s="30"/>
      <c r="I4264" s="44"/>
      <c r="J4264" s="44"/>
      <c r="K4264" s="44">
        <f t="shared" si="136"/>
        <v>30805</v>
      </c>
      <c r="L4264" s="51">
        <v>20260417</v>
      </c>
    </row>
    <row r="4265" spans="1:12" x14ac:dyDescent="0.25">
      <c r="A4265" s="50" t="s">
        <v>5759</v>
      </c>
      <c r="B4265" s="30" t="s">
        <v>137</v>
      </c>
      <c r="C4265" s="30" t="s">
        <v>337</v>
      </c>
      <c r="D4265" s="266" t="s">
        <v>162</v>
      </c>
      <c r="E4265" s="30" t="s">
        <v>2312</v>
      </c>
      <c r="F4265" s="30">
        <v>1</v>
      </c>
      <c r="G4265" s="44">
        <v>30805</v>
      </c>
      <c r="H4265" s="30"/>
      <c r="I4265" s="44"/>
      <c r="J4265" s="44"/>
      <c r="K4265" s="44">
        <f t="shared" si="136"/>
        <v>30805</v>
      </c>
      <c r="L4265" s="51">
        <v>20260417</v>
      </c>
    </row>
    <row r="4266" spans="1:12" x14ac:dyDescent="0.25">
      <c r="A4266" s="50" t="s">
        <v>5760</v>
      </c>
      <c r="B4266" s="30" t="s">
        <v>137</v>
      </c>
      <c r="C4266" s="30" t="s">
        <v>337</v>
      </c>
      <c r="D4266" s="266" t="s">
        <v>162</v>
      </c>
      <c r="E4266" s="30" t="s">
        <v>2314</v>
      </c>
      <c r="F4266" s="30">
        <v>1</v>
      </c>
      <c r="G4266" s="44">
        <v>30805</v>
      </c>
      <c r="H4266" s="30"/>
      <c r="I4266" s="44"/>
      <c r="J4266" s="44"/>
      <c r="K4266" s="44">
        <f t="shared" ref="K4266:K4287" si="138">J4266+G4266</f>
        <v>30805</v>
      </c>
      <c r="L4266" s="51">
        <v>20260417</v>
      </c>
    </row>
    <row r="4267" spans="1:12" x14ac:dyDescent="0.25">
      <c r="A4267" s="50" t="s">
        <v>5761</v>
      </c>
      <c r="B4267" s="30" t="s">
        <v>137</v>
      </c>
      <c r="C4267" s="30" t="s">
        <v>337</v>
      </c>
      <c r="D4267" s="266" t="s">
        <v>162</v>
      </c>
      <c r="E4267" s="30" t="s">
        <v>239</v>
      </c>
      <c r="F4267" s="30">
        <v>1</v>
      </c>
      <c r="G4267" s="44">
        <v>30805</v>
      </c>
      <c r="H4267" s="30"/>
      <c r="I4267" s="44"/>
      <c r="J4267" s="44"/>
      <c r="K4267" s="44">
        <f t="shared" si="138"/>
        <v>30805</v>
      </c>
      <c r="L4267" s="51">
        <v>20260417</v>
      </c>
    </row>
    <row r="4268" spans="1:12" x14ac:dyDescent="0.25">
      <c r="A4268" s="50" t="s">
        <v>5762</v>
      </c>
      <c r="B4268" s="30" t="s">
        <v>137</v>
      </c>
      <c r="C4268" s="30" t="s">
        <v>337</v>
      </c>
      <c r="D4268" s="266" t="s">
        <v>162</v>
      </c>
      <c r="E4268" s="30" t="s">
        <v>3563</v>
      </c>
      <c r="F4268" s="30">
        <v>1</v>
      </c>
      <c r="G4268" s="44">
        <v>30805</v>
      </c>
      <c r="H4268" s="30"/>
      <c r="I4268" s="44"/>
      <c r="J4268" s="44"/>
      <c r="K4268" s="44">
        <f t="shared" si="138"/>
        <v>30805</v>
      </c>
      <c r="L4268" s="51">
        <v>20260417</v>
      </c>
    </row>
    <row r="4269" spans="1:12" x14ac:dyDescent="0.25">
      <c r="A4269" s="50" t="s">
        <v>5768</v>
      </c>
      <c r="B4269" s="30" t="s">
        <v>137</v>
      </c>
      <c r="C4269" s="30" t="s">
        <v>1513</v>
      </c>
      <c r="D4269" s="266" t="s">
        <v>4889</v>
      </c>
      <c r="E4269" s="30" t="s">
        <v>4892</v>
      </c>
      <c r="F4269" s="30">
        <v>1</v>
      </c>
      <c r="G4269" s="44">
        <v>30805</v>
      </c>
      <c r="H4269" s="30"/>
      <c r="I4269" s="44"/>
      <c r="J4269" s="44"/>
      <c r="K4269" s="44">
        <f t="shared" si="138"/>
        <v>30805</v>
      </c>
      <c r="L4269" s="51">
        <v>20260420</v>
      </c>
    </row>
    <row r="4270" spans="1:12" x14ac:dyDescent="0.25">
      <c r="A4270" s="50" t="s">
        <v>5749</v>
      </c>
      <c r="B4270" s="30" t="s">
        <v>137</v>
      </c>
      <c r="C4270" s="30" t="s">
        <v>34</v>
      </c>
      <c r="D4270" s="266" t="s">
        <v>35</v>
      </c>
      <c r="E4270" s="30" t="s">
        <v>1367</v>
      </c>
      <c r="F4270" s="30">
        <v>1</v>
      </c>
      <c r="G4270" s="44">
        <v>30805</v>
      </c>
      <c r="H4270" s="30"/>
      <c r="I4270" s="44"/>
      <c r="J4270" s="44"/>
      <c r="K4270" s="44">
        <f t="shared" si="138"/>
        <v>30805</v>
      </c>
      <c r="L4270" s="51">
        <v>20260420</v>
      </c>
    </row>
    <row r="4271" spans="1:12" x14ac:dyDescent="0.25">
      <c r="A4271" s="50" t="s">
        <v>5750</v>
      </c>
      <c r="B4271" s="30" t="s">
        <v>137</v>
      </c>
      <c r="C4271" s="30" t="s">
        <v>34</v>
      </c>
      <c r="D4271" s="266" t="s">
        <v>35</v>
      </c>
      <c r="E4271" s="30" t="s">
        <v>968</v>
      </c>
      <c r="F4271" s="30">
        <v>1</v>
      </c>
      <c r="G4271" s="44">
        <v>30805</v>
      </c>
      <c r="H4271" s="30"/>
      <c r="I4271" s="44"/>
      <c r="J4271" s="44"/>
      <c r="K4271" s="44">
        <f t="shared" si="138"/>
        <v>30805</v>
      </c>
      <c r="L4271" s="51">
        <v>20260420</v>
      </c>
    </row>
    <row r="4272" spans="1:12" x14ac:dyDescent="0.25">
      <c r="A4272" s="50" t="s">
        <v>5751</v>
      </c>
      <c r="B4272" s="30" t="s">
        <v>137</v>
      </c>
      <c r="C4272" s="30" t="s">
        <v>34</v>
      </c>
      <c r="D4272" s="266" t="s">
        <v>35</v>
      </c>
      <c r="E4272" s="30" t="s">
        <v>1373</v>
      </c>
      <c r="F4272" s="30">
        <v>1</v>
      </c>
      <c r="G4272" s="44">
        <v>30805</v>
      </c>
      <c r="H4272" s="30"/>
      <c r="I4272" s="44"/>
      <c r="J4272" s="44"/>
      <c r="K4272" s="44">
        <f t="shared" si="138"/>
        <v>30805</v>
      </c>
      <c r="L4272" s="51">
        <v>20260420</v>
      </c>
    </row>
    <row r="4273" spans="1:12" x14ac:dyDescent="0.25">
      <c r="A4273" s="50" t="s">
        <v>5752</v>
      </c>
      <c r="B4273" s="30" t="s">
        <v>137</v>
      </c>
      <c r="C4273" s="30" t="s">
        <v>34</v>
      </c>
      <c r="D4273" s="266" t="s">
        <v>35</v>
      </c>
      <c r="E4273" s="30" t="s">
        <v>2925</v>
      </c>
      <c r="F4273" s="30">
        <v>1</v>
      </c>
      <c r="G4273" s="44">
        <v>30805</v>
      </c>
      <c r="H4273" s="30"/>
      <c r="I4273" s="44"/>
      <c r="J4273" s="44"/>
      <c r="K4273" s="44">
        <f t="shared" si="138"/>
        <v>30805</v>
      </c>
      <c r="L4273" s="51">
        <v>20260420</v>
      </c>
    </row>
    <row r="4274" spans="1:12" x14ac:dyDescent="0.25">
      <c r="A4274" s="50" t="s">
        <v>5753</v>
      </c>
      <c r="B4274" s="30" t="s">
        <v>137</v>
      </c>
      <c r="C4274" s="30" t="s">
        <v>34</v>
      </c>
      <c r="D4274" s="266" t="s">
        <v>35</v>
      </c>
      <c r="E4274" s="30" t="s">
        <v>2681</v>
      </c>
      <c r="F4274" s="30">
        <v>1</v>
      </c>
      <c r="G4274" s="44">
        <v>30805</v>
      </c>
      <c r="H4274" s="30"/>
      <c r="I4274" s="44"/>
      <c r="J4274" s="44"/>
      <c r="K4274" s="44">
        <f t="shared" si="138"/>
        <v>30805</v>
      </c>
      <c r="L4274" s="51">
        <v>20260420</v>
      </c>
    </row>
    <row r="4275" spans="1:12" x14ac:dyDescent="0.25">
      <c r="A4275" s="50" t="s">
        <v>5822</v>
      </c>
      <c r="B4275" s="30" t="s">
        <v>137</v>
      </c>
      <c r="C4275" s="30" t="s">
        <v>1513</v>
      </c>
      <c r="D4275" s="266" t="s">
        <v>1514</v>
      </c>
      <c r="E4275" s="30" t="s">
        <v>1515</v>
      </c>
      <c r="F4275" s="30">
        <v>1</v>
      </c>
      <c r="G4275" s="44">
        <v>30805</v>
      </c>
      <c r="H4275" s="30"/>
      <c r="I4275" s="44"/>
      <c r="J4275" s="44"/>
      <c r="K4275" s="44">
        <f t="shared" si="138"/>
        <v>30805</v>
      </c>
      <c r="L4275" s="51">
        <v>20260421</v>
      </c>
    </row>
    <row r="4276" spans="1:12" x14ac:dyDescent="0.25">
      <c r="A4276" s="50" t="s">
        <v>5788</v>
      </c>
      <c r="B4276" s="30" t="s">
        <v>137</v>
      </c>
      <c r="C4276" s="30" t="s">
        <v>1006</v>
      </c>
      <c r="D4276" s="266" t="s">
        <v>4911</v>
      </c>
      <c r="E4276" s="30" t="s">
        <v>4916</v>
      </c>
      <c r="F4276" s="30">
        <v>1</v>
      </c>
      <c r="G4276" s="44">
        <v>30805</v>
      </c>
      <c r="H4276" s="30"/>
      <c r="I4276" s="44"/>
      <c r="J4276" s="44"/>
      <c r="K4276" s="44">
        <f t="shared" si="138"/>
        <v>30805</v>
      </c>
      <c r="L4276" s="51">
        <v>20260423</v>
      </c>
    </row>
    <row r="4277" spans="1:12" x14ac:dyDescent="0.25">
      <c r="A4277" s="50" t="s">
        <v>5793</v>
      </c>
      <c r="B4277" s="30" t="s">
        <v>137</v>
      </c>
      <c r="C4277" s="30" t="s">
        <v>1006</v>
      </c>
      <c r="D4277" s="266" t="s">
        <v>4911</v>
      </c>
      <c r="E4277" s="30" t="s">
        <v>4926</v>
      </c>
      <c r="F4277" s="30">
        <v>1</v>
      </c>
      <c r="G4277" s="44">
        <v>30805</v>
      </c>
      <c r="H4277" s="30"/>
      <c r="I4277" s="44"/>
      <c r="J4277" s="44"/>
      <c r="K4277" s="44">
        <f t="shared" si="138"/>
        <v>30805</v>
      </c>
      <c r="L4277" s="51">
        <v>20260423</v>
      </c>
    </row>
    <row r="4278" spans="1:12" x14ac:dyDescent="0.25">
      <c r="A4278" s="50" t="s">
        <v>5795</v>
      </c>
      <c r="B4278" s="30" t="s">
        <v>137</v>
      </c>
      <c r="C4278" s="30" t="s">
        <v>1006</v>
      </c>
      <c r="D4278" s="266" t="s">
        <v>4911</v>
      </c>
      <c r="E4278" s="30" t="s">
        <v>4930</v>
      </c>
      <c r="F4278" s="30">
        <v>1</v>
      </c>
      <c r="G4278" s="44">
        <v>30805</v>
      </c>
      <c r="H4278" s="30"/>
      <c r="I4278" s="44"/>
      <c r="J4278" s="44"/>
      <c r="K4278" s="44">
        <f t="shared" si="138"/>
        <v>30805</v>
      </c>
      <c r="L4278" s="51">
        <v>20260423</v>
      </c>
    </row>
    <row r="4279" spans="1:12" x14ac:dyDescent="0.25">
      <c r="A4279" s="50" t="s">
        <v>5744</v>
      </c>
      <c r="B4279" s="30" t="s">
        <v>137</v>
      </c>
      <c r="C4279" s="30" t="s">
        <v>1513</v>
      </c>
      <c r="D4279" s="266" t="s">
        <v>5745</v>
      </c>
      <c r="E4279" s="30" t="s">
        <v>5746</v>
      </c>
      <c r="F4279" s="30">
        <v>1</v>
      </c>
      <c r="G4279" s="44">
        <v>30805</v>
      </c>
      <c r="H4279" s="30"/>
      <c r="I4279" s="44"/>
      <c r="J4279" s="44"/>
      <c r="K4279" s="44">
        <f t="shared" si="138"/>
        <v>30805</v>
      </c>
      <c r="L4279" s="51">
        <v>20260423</v>
      </c>
    </row>
    <row r="4280" spans="1:12" x14ac:dyDescent="0.25">
      <c r="A4280" s="50" t="s">
        <v>5741</v>
      </c>
      <c r="B4280" s="30" t="s">
        <v>137</v>
      </c>
      <c r="C4280" s="30" t="s">
        <v>28</v>
      </c>
      <c r="D4280" s="266" t="s">
        <v>1714</v>
      </c>
      <c r="E4280" s="30" t="s">
        <v>2434</v>
      </c>
      <c r="F4280" s="30">
        <v>1</v>
      </c>
      <c r="G4280" s="44">
        <v>30805</v>
      </c>
      <c r="H4280" s="30"/>
      <c r="I4280" s="44"/>
      <c r="J4280" s="44"/>
      <c r="K4280" s="44">
        <f t="shared" si="138"/>
        <v>30805</v>
      </c>
      <c r="L4280" s="51">
        <v>20260428</v>
      </c>
    </row>
    <row r="4281" spans="1:12" x14ac:dyDescent="0.25">
      <c r="A4281" s="50" t="s">
        <v>5737</v>
      </c>
      <c r="B4281" s="30" t="s">
        <v>137</v>
      </c>
      <c r="C4281" s="30" t="s">
        <v>29</v>
      </c>
      <c r="D4281" s="266" t="s">
        <v>1656</v>
      </c>
      <c r="E4281" s="30" t="s">
        <v>4311</v>
      </c>
      <c r="F4281" s="30">
        <v>1</v>
      </c>
      <c r="G4281" s="44">
        <v>30805</v>
      </c>
      <c r="H4281" s="30"/>
      <c r="I4281" s="44"/>
      <c r="J4281" s="44"/>
      <c r="K4281" s="44">
        <f t="shared" si="138"/>
        <v>30805</v>
      </c>
      <c r="L4281" s="51">
        <v>20260430</v>
      </c>
    </row>
    <row r="4282" spans="1:12" x14ac:dyDescent="0.25">
      <c r="A4282" s="50" t="s">
        <v>5738</v>
      </c>
      <c r="B4282" s="30" t="s">
        <v>137</v>
      </c>
      <c r="C4282" s="30" t="s">
        <v>29</v>
      </c>
      <c r="D4282" s="266" t="s">
        <v>1656</v>
      </c>
      <c r="E4282" s="30" t="s">
        <v>2300</v>
      </c>
      <c r="F4282" s="30">
        <v>1</v>
      </c>
      <c r="G4282" s="44">
        <v>30805</v>
      </c>
      <c r="H4282" s="30"/>
      <c r="I4282" s="44"/>
      <c r="J4282" s="44"/>
      <c r="K4282" s="44">
        <f t="shared" si="138"/>
        <v>30805</v>
      </c>
      <c r="L4282" s="51">
        <v>20260430</v>
      </c>
    </row>
    <row r="4283" spans="1:12" x14ac:dyDescent="0.25">
      <c r="A4283" s="50" t="s">
        <v>5739</v>
      </c>
      <c r="B4283" s="30" t="s">
        <v>137</v>
      </c>
      <c r="C4283" s="30" t="s">
        <v>29</v>
      </c>
      <c r="D4283" s="266" t="s">
        <v>1656</v>
      </c>
      <c r="E4283" s="30" t="s">
        <v>2324</v>
      </c>
      <c r="F4283" s="30">
        <v>1</v>
      </c>
      <c r="G4283" s="44">
        <v>30805</v>
      </c>
      <c r="H4283" s="30"/>
      <c r="I4283" s="44"/>
      <c r="J4283" s="44"/>
      <c r="K4283" s="44">
        <f t="shared" si="138"/>
        <v>30805</v>
      </c>
      <c r="L4283" s="51">
        <v>20260430</v>
      </c>
    </row>
    <row r="4284" spans="1:12" x14ac:dyDescent="0.25">
      <c r="A4284" s="50" t="s">
        <v>5732</v>
      </c>
      <c r="B4284" s="30" t="s">
        <v>137</v>
      </c>
      <c r="C4284" s="30" t="s">
        <v>53</v>
      </c>
      <c r="D4284" s="266" t="s">
        <v>24</v>
      </c>
      <c r="E4284" s="30" t="s">
        <v>1998</v>
      </c>
      <c r="F4284" s="30">
        <v>1</v>
      </c>
      <c r="G4284" s="44">
        <v>30805</v>
      </c>
      <c r="H4284" s="30"/>
      <c r="I4284" s="44"/>
      <c r="J4284" s="44"/>
      <c r="K4284" s="44">
        <f t="shared" si="138"/>
        <v>30805</v>
      </c>
      <c r="L4284" s="51">
        <v>20260430</v>
      </c>
    </row>
    <row r="4285" spans="1:12" x14ac:dyDescent="0.25">
      <c r="A4285" s="50" t="s">
        <v>5733</v>
      </c>
      <c r="B4285" s="30" t="s">
        <v>137</v>
      </c>
      <c r="C4285" s="30" t="s">
        <v>53</v>
      </c>
      <c r="D4285" s="266" t="s">
        <v>24</v>
      </c>
      <c r="E4285" s="30" t="s">
        <v>1132</v>
      </c>
      <c r="F4285" s="30">
        <v>1</v>
      </c>
      <c r="G4285" s="44">
        <v>30805</v>
      </c>
      <c r="H4285" s="30"/>
      <c r="I4285" s="44"/>
      <c r="J4285" s="44"/>
      <c r="K4285" s="44">
        <f t="shared" si="138"/>
        <v>30805</v>
      </c>
      <c r="L4285" s="51">
        <v>20260430</v>
      </c>
    </row>
    <row r="4286" spans="1:12" x14ac:dyDescent="0.25">
      <c r="A4286" s="50" t="s">
        <v>5734</v>
      </c>
      <c r="B4286" s="30" t="s">
        <v>137</v>
      </c>
      <c r="C4286" s="30" t="s">
        <v>53</v>
      </c>
      <c r="D4286" s="266" t="s">
        <v>24</v>
      </c>
      <c r="E4286" s="30" t="s">
        <v>2289</v>
      </c>
      <c r="F4286" s="30">
        <v>1</v>
      </c>
      <c r="G4286" s="44">
        <v>30805</v>
      </c>
      <c r="H4286" s="30"/>
      <c r="I4286" s="44"/>
      <c r="J4286" s="44"/>
      <c r="K4286" s="44">
        <f t="shared" si="138"/>
        <v>30805</v>
      </c>
      <c r="L4286" s="51">
        <v>20260430</v>
      </c>
    </row>
    <row r="4287" spans="1:12" ht="15.75" thickBot="1" x14ac:dyDescent="0.3">
      <c r="A4287" s="54" t="s">
        <v>5735</v>
      </c>
      <c r="B4287" s="36" t="s">
        <v>137</v>
      </c>
      <c r="C4287" s="36" t="s">
        <v>53</v>
      </c>
      <c r="D4287" s="267" t="s">
        <v>24</v>
      </c>
      <c r="E4287" s="36" t="s">
        <v>1281</v>
      </c>
      <c r="F4287" s="36">
        <v>1</v>
      </c>
      <c r="G4287" s="65">
        <v>30805</v>
      </c>
      <c r="H4287" s="36"/>
      <c r="I4287" s="65"/>
      <c r="J4287" s="65"/>
      <c r="K4287" s="65">
        <f t="shared" si="138"/>
        <v>30805</v>
      </c>
      <c r="L4287" s="55">
        <v>20260430</v>
      </c>
    </row>
  </sheetData>
  <sortState xmlns:xlrd2="http://schemas.microsoft.com/office/spreadsheetml/2017/richdata2" ref="A4200:N4287">
    <sortCondition descending="1" ref="G4200:G4287"/>
    <sortCondition ref="L4200:L4287"/>
    <sortCondition ref="B4200:B4287"/>
    <sortCondition ref="C4200:C4287"/>
    <sortCondition ref="D4200:D4287"/>
  </sortState>
  <hyperlinks>
    <hyperlink ref="A38" r:id="rId1" display="https://webagentes.canaldirecto.com.ar/incidents/view/663989-5" xr:uid="{00000000-0004-0000-0300-000000000000}"/>
    <hyperlink ref="A35" r:id="rId2" display="https://webagentes.canaldirecto.com.ar/incidents/view/663594-1" xr:uid="{00000000-0004-0000-0300-000001000000}"/>
    <hyperlink ref="A32" r:id="rId3" display="https://webagentes.canaldirecto.com.ar/incidents/view/663357-2" xr:uid="{00000000-0004-0000-0300-000002000000}"/>
    <hyperlink ref="A33" r:id="rId4" display="https://webagentes.canaldirecto.com.ar/incidents/view/663096-4" xr:uid="{00000000-0004-0000-0300-000003000000}"/>
    <hyperlink ref="A34" r:id="rId5" display="https://webagentes.canaldirecto.com.ar/incidents/view/663072-4" xr:uid="{00000000-0004-0000-0300-000004000000}"/>
    <hyperlink ref="A26" r:id="rId6" display="https://webagentes.canaldirecto.com.ar/incidents/view/662860-4" xr:uid="{00000000-0004-0000-0300-000005000000}"/>
    <hyperlink ref="A28" r:id="rId7" display="https://webagentes.canaldirecto.com.ar/incidents/view/662840-0" xr:uid="{00000000-0004-0000-0300-000006000000}"/>
    <hyperlink ref="A27" r:id="rId8" display="https://webagentes.canaldirecto.com.ar/incidents/view/662828-8" xr:uid="{00000000-0004-0000-0300-000007000000}"/>
    <hyperlink ref="A23" r:id="rId9" display="https://webagentes.canaldirecto.com.ar/incidents/view/662775-7" xr:uid="{00000000-0004-0000-0300-000008000000}"/>
    <hyperlink ref="A54" r:id="rId10" display="https://webagentes.canaldirecto.com.ar/incidents/view/662714-6" xr:uid="{00000000-0004-0000-0300-000009000000}"/>
    <hyperlink ref="A53" r:id="rId11" display="https://webagentes.canaldirecto.com.ar/incidents/view/662713-7" xr:uid="{00000000-0004-0000-0300-00000A000000}"/>
    <hyperlink ref="A52" r:id="rId12" display="https://webagentes.canaldirecto.com.ar/incidents/view/662712-8" xr:uid="{00000000-0004-0000-0300-00000B000000}"/>
    <hyperlink ref="A51" r:id="rId13" display="https://webagentes.canaldirecto.com.ar/incidents/view/662711-9" xr:uid="{00000000-0004-0000-0300-00000C000000}"/>
    <hyperlink ref="A58" r:id="rId14" display="https://webagentes.canaldirecto.com.ar/incidents/view/662710-0" xr:uid="{00000000-0004-0000-0300-00000D000000}"/>
    <hyperlink ref="A57" r:id="rId15" display="https://webagentes.canaldirecto.com.ar/incidents/view/662709-4" xr:uid="{00000000-0004-0000-0300-00000E000000}"/>
    <hyperlink ref="A56" r:id="rId16" display="https://webagentes.canaldirecto.com.ar/incidents/view/662708-5" xr:uid="{00000000-0004-0000-0300-00000F000000}"/>
    <hyperlink ref="A55" r:id="rId17" display="https://webagentes.canaldirecto.com.ar/incidents/view/662707-6" xr:uid="{00000000-0004-0000-0300-000010000000}"/>
    <hyperlink ref="A20" r:id="rId18" display="https://webagentes.canaldirecto.com.ar/incidents/view/662705-8" xr:uid="{00000000-0004-0000-0300-000011000000}"/>
    <hyperlink ref="A24" r:id="rId19" display="https://webagentes.canaldirecto.com.ar/incidents/view/662691-6" xr:uid="{00000000-0004-0000-0300-000012000000}"/>
    <hyperlink ref="A21" r:id="rId20" display="https://webagentes.canaldirecto.com.ar/incidents/view/662636-9" xr:uid="{00000000-0004-0000-0300-000013000000}"/>
    <hyperlink ref="A36" r:id="rId21" display="https://webagentes.canaldirecto.com.ar/incidents/view/662602-2" xr:uid="{00000000-0004-0000-0300-000014000000}"/>
    <hyperlink ref="A37" r:id="rId22" display="https://webagentes.canaldirecto.com.ar/incidents/view/662601-3" xr:uid="{00000000-0004-0000-0300-000015000000}"/>
    <hyperlink ref="A19" r:id="rId23" display="https://webagentes.canaldirecto.com.ar/incidents/view/662594-4" xr:uid="{00000000-0004-0000-0300-000016000000}"/>
    <hyperlink ref="A22" r:id="rId24" display="https://webagentes.canaldirecto.com.ar/incidents/view/662562-5" xr:uid="{00000000-0004-0000-0300-000017000000}"/>
    <hyperlink ref="A31" r:id="rId25" display="https://webagentes.canaldirecto.com.ar/incidents/view/662515-7" xr:uid="{00000000-0004-0000-0300-000018000000}"/>
    <hyperlink ref="A30" r:id="rId26" display="https://webagentes.canaldirecto.com.ar/incidents/view/662514-8" xr:uid="{00000000-0004-0000-0300-000019000000}"/>
    <hyperlink ref="A29" r:id="rId27" display="https://webagentes.canaldirecto.com.ar/incidents/view/662513-9" xr:uid="{00000000-0004-0000-0300-00001A000000}"/>
    <hyperlink ref="A25" r:id="rId28" display="https://webagentes.canaldirecto.com.ar/incidents/view/662504-1" xr:uid="{00000000-0004-0000-0300-00001B000000}"/>
    <hyperlink ref="A44" r:id="rId29" display="https://webagentes.canaldirecto.com.ar/incidents/view/662424-6" xr:uid="{00000000-0004-0000-0300-00001C000000}"/>
    <hyperlink ref="A43" r:id="rId30" display="https://webagentes.canaldirecto.com.ar/incidents/view/662423-7" xr:uid="{00000000-0004-0000-0300-00001D000000}"/>
    <hyperlink ref="A42" r:id="rId31" display="https://webagentes.canaldirecto.com.ar/incidents/view/662422-8" xr:uid="{00000000-0004-0000-0300-00001E000000}"/>
    <hyperlink ref="A41" r:id="rId32" display="https://webagentes.canaldirecto.com.ar/incidents/view/662421-9" xr:uid="{00000000-0004-0000-0300-00001F000000}"/>
    <hyperlink ref="A15" r:id="rId33" display="https://webagentes.canaldirecto.com.ar/incidents/view/662375-1" xr:uid="{00000000-0004-0000-0300-000020000000}"/>
    <hyperlink ref="A50" r:id="rId34" display="https://webagentes.canaldirecto.com.ar/incidents/view/662363-6" xr:uid="{00000000-0004-0000-0300-000021000000}"/>
    <hyperlink ref="A49" r:id="rId35" display="https://webagentes.canaldirecto.com.ar/incidents/view/662361-8" xr:uid="{00000000-0004-0000-0300-000022000000}"/>
    <hyperlink ref="A48" r:id="rId36" display="https://webagentes.canaldirecto.com.ar/incidents/view/662358-4" xr:uid="{00000000-0004-0000-0300-000023000000}"/>
    <hyperlink ref="A47" r:id="rId37" display="https://webagentes.canaldirecto.com.ar/incidents/view/662357-5" xr:uid="{00000000-0004-0000-0300-000024000000}"/>
    <hyperlink ref="A46" r:id="rId38" display="https://webagentes.canaldirecto.com.ar/incidents/view/662356-6" xr:uid="{00000000-0004-0000-0300-000025000000}"/>
    <hyperlink ref="A45" r:id="rId39" display="https://webagentes.canaldirecto.com.ar/incidents/view/662355-7" xr:uid="{00000000-0004-0000-0300-000026000000}"/>
    <hyperlink ref="A13" r:id="rId40" display="https://webagentes.canaldirecto.com.ar/incidents/view/662293-8" xr:uid="{00000000-0004-0000-0300-000027000000}"/>
    <hyperlink ref="A14" r:id="rId41" display="https://webagentes.canaldirecto.com.ar/incidents/view/662250-3" xr:uid="{00000000-0004-0000-0300-000028000000}"/>
    <hyperlink ref="A12" r:id="rId42" display="https://webagentes.canaldirecto.com.ar/incidents/view/662201-7" xr:uid="{00000000-0004-0000-0300-000029000000}"/>
    <hyperlink ref="A16" r:id="rId43" display="https://webagentes.canaldirecto.com.ar/incidents/view/662117-9" xr:uid="{00000000-0004-0000-0300-00002A000000}"/>
    <hyperlink ref="A17" r:id="rId44" display="https://webagentes.canaldirecto.com.ar/incidents/view/662116-0" xr:uid="{00000000-0004-0000-0300-00002B000000}"/>
    <hyperlink ref="A9" r:id="rId45" display="https://webagentes.canaldirecto.com.ar/incidents/view/661778-7" xr:uid="{00000000-0004-0000-0300-00002C000000}"/>
    <hyperlink ref="A8" r:id="rId46" display="https://webagentes.canaldirecto.com.ar/incidents/view/661777-8" xr:uid="{00000000-0004-0000-0300-00002D000000}"/>
    <hyperlink ref="A11" r:id="rId47" display="https://webagentes.canaldirecto.com.ar/incidents/view/661767-1" xr:uid="{00000000-0004-0000-0300-00002E000000}"/>
    <hyperlink ref="A10" r:id="rId48" display="https://webagentes.canaldirecto.com.ar/incidents/view/661717-6" xr:uid="{00000000-0004-0000-0300-00002F000000}"/>
    <hyperlink ref="A7" r:id="rId49" display="https://webagentes.canaldirecto.com.ar/incidents/view/661610-4" xr:uid="{00000000-0004-0000-0300-000030000000}"/>
    <hyperlink ref="A2" r:id="rId50" display="https://webagentes.canaldirecto.com.ar/incidents/view/661190-5" xr:uid="{00000000-0004-0000-0300-000031000000}"/>
    <hyperlink ref="A3" r:id="rId51" display="https://webagentes.canaldirecto.com.ar/incidents/view/661189-9" xr:uid="{00000000-0004-0000-0300-000032000000}"/>
    <hyperlink ref="A5" r:id="rId52" display="https://webagentes.canaldirecto.com.ar/incidents/view/661082-7" xr:uid="{00000000-0004-0000-0300-000033000000}"/>
    <hyperlink ref="A6" r:id="rId53" display="https://webagentes.canaldirecto.com.ar/incidents/view/660828-4" xr:uid="{00000000-0004-0000-0300-000034000000}"/>
    <hyperlink ref="A18" r:id="rId54" display="https://webagentes.canaldirecto.com.ar/incidents/view/660701-8" xr:uid="{00000000-0004-0000-0300-000035000000}"/>
    <hyperlink ref="A4" r:id="rId55" display="https://webagentes.canaldirecto.com.ar/incidents/view/655485-9" xr:uid="{00000000-0004-0000-0300-000036000000}"/>
    <hyperlink ref="A89" r:id="rId56" display="https://webagentes.canaldirecto.com.ar/incidents/view/667017-5" xr:uid="{00000000-0004-0000-0300-000037000000}"/>
    <hyperlink ref="A90" r:id="rId57" display="https://webagentes.canaldirecto.com.ar/incidents/view/666878-1" xr:uid="{00000000-0004-0000-0300-000038000000}"/>
    <hyperlink ref="A91" r:id="rId58" display="https://webagentes.canaldirecto.com.ar/incidents/view/666877-2" xr:uid="{00000000-0004-0000-0300-000039000000}"/>
    <hyperlink ref="A92" r:id="rId59" display="https://webagentes.canaldirecto.com.ar/incidents/view/666876-3" xr:uid="{00000000-0004-0000-0300-00003A000000}"/>
    <hyperlink ref="A87" r:id="rId60" display="https://webagentes.canaldirecto.com.ar/incidents/view/666822-2" xr:uid="{00000000-0004-0000-0300-00003B000000}"/>
    <hyperlink ref="A83" r:id="rId61" display="https://webagentes.canaldirecto.com.ar/incidents/view/666627-9" xr:uid="{00000000-0004-0000-0300-00003C000000}"/>
    <hyperlink ref="A84" r:id="rId62" display="https://webagentes.canaldirecto.com.ar/incidents/view/666606-6" xr:uid="{00000000-0004-0000-0300-00003D000000}"/>
    <hyperlink ref="A86" r:id="rId63" display="https://webagentes.canaldirecto.com.ar/incidents/view/666604-8" xr:uid="{00000000-0004-0000-0300-00003E000000}"/>
    <hyperlink ref="A88" r:id="rId64" display="https://webagentes.canaldirecto.com.ar/incidents/view/666593-3" xr:uid="{00000000-0004-0000-0300-00003F000000}"/>
    <hyperlink ref="A85" r:id="rId65" display="https://webagentes.canaldirecto.com.ar/incidents/view/666578-4" xr:uid="{00000000-0004-0000-0300-000040000000}"/>
    <hyperlink ref="A81" r:id="rId66" display="https://webagentes.canaldirecto.com.ar/incidents/view/665905-7" xr:uid="{00000000-0004-0000-0300-000041000000}"/>
    <hyperlink ref="A80" r:id="rId67" display="https://webagentes.canaldirecto.com.ar/incidents/view/665891-5" xr:uid="{00000000-0004-0000-0300-000042000000}"/>
    <hyperlink ref="A82" r:id="rId68" display="https://webagentes.canaldirecto.com.ar/incidents/view/665766-0" xr:uid="{00000000-0004-0000-0300-000043000000}"/>
    <hyperlink ref="A78" r:id="rId69" display="https://webagentes.canaldirecto.com.ar/incidents/view/665447-8" xr:uid="{00000000-0004-0000-0300-000044000000}"/>
    <hyperlink ref="A76" r:id="rId70" display="https://webagentes.canaldirecto.com.ar/incidents/view/665439-9" xr:uid="{00000000-0004-0000-0300-000045000000}"/>
    <hyperlink ref="A72" r:id="rId71" display="https://webagentes.canaldirecto.com.ar/incidents/view/665353-0" xr:uid="{00000000-0004-0000-0300-000046000000}"/>
    <hyperlink ref="A79" r:id="rId72" display="https://webagentes.canaldirecto.com.ar/incidents/view/665348-8" xr:uid="{00000000-0004-0000-0300-000047000000}"/>
    <hyperlink ref="A73" r:id="rId73" display="https://webagentes.canaldirecto.com.ar/incidents/view/665345-1" xr:uid="{00000000-0004-0000-0300-000048000000}"/>
    <hyperlink ref="A70" r:id="rId74" display="https://webagentes.canaldirecto.com.ar/incidents/view/665326-6" xr:uid="{00000000-0004-0000-0300-000049000000}"/>
    <hyperlink ref="A94" r:id="rId75" display="https://webagentes.canaldirecto.com.ar/incidents/view/665319-6" xr:uid="{00000000-0004-0000-0300-00004A000000}"/>
    <hyperlink ref="A71" r:id="rId76" display="https://webagentes.canaldirecto.com.ar/incidents/view/665260-1" xr:uid="{00000000-0004-0000-0300-00004B000000}"/>
    <hyperlink ref="A74" r:id="rId77" display="https://webagentes.canaldirecto.com.ar/incidents/view/665254-0" xr:uid="{00000000-0004-0000-0300-00004C000000}"/>
    <hyperlink ref="A75" r:id="rId78" display="https://webagentes.canaldirecto.com.ar/incidents/view/665197-6" xr:uid="{00000000-0004-0000-0300-00004D000000}"/>
    <hyperlink ref="A68" r:id="rId79" display="https://webagentes.canaldirecto.com.ar/incidents/view/665125-9" xr:uid="{00000000-0004-0000-0300-00004E000000}"/>
    <hyperlink ref="A77" r:id="rId80" display="https://webagentes.canaldirecto.com.ar/incidents/view/665123-1" xr:uid="{00000000-0004-0000-0300-00004F000000}"/>
    <hyperlink ref="A69" r:id="rId81" display="https://webagentes.canaldirecto.com.ar/incidents/view/665013-5" xr:uid="{00000000-0004-0000-0300-000050000000}"/>
    <hyperlink ref="A67" r:id="rId82" display="https://webagentes.canaldirecto.com.ar/incidents/view/664690-1" xr:uid="{00000000-0004-0000-0300-000051000000}"/>
    <hyperlink ref="A66" r:id="rId83" display="https://webagentes.canaldirecto.com.ar/incidents/view/664610-5" xr:uid="{00000000-0004-0000-0300-000052000000}"/>
    <hyperlink ref="A65" r:id="rId84" display="https://webagentes.canaldirecto.com.ar/incidents/view/664529-4" xr:uid="{00000000-0004-0000-0300-000053000000}"/>
    <hyperlink ref="A63" r:id="rId85" display="https://webagentes.canaldirecto.com.ar/incidents/view/664092-5" xr:uid="{00000000-0004-0000-0300-000054000000}"/>
    <hyperlink ref="A62" r:id="rId86" display="https://webagentes.canaldirecto.com.ar/incidents/view/664040-2" xr:uid="{00000000-0004-0000-0300-000055000000}"/>
    <hyperlink ref="A64" r:id="rId87" display="https://webagentes.canaldirecto.com.ar/incidents/view/663947-9" xr:uid="{00000000-0004-0000-0300-000056000000}"/>
    <hyperlink ref="A61" r:id="rId88" display="https://webagentes.canaldirecto.com.ar/incidents/view/662706-7" xr:uid="{00000000-0004-0000-0300-000057000000}"/>
    <hyperlink ref="A150" r:id="rId89" display="https://webagentes.canaldirecto.com.ar/incidents/view/670922-8" xr:uid="{00000000-0004-0000-0300-000058000000}"/>
    <hyperlink ref="A149" r:id="rId90" display="https://webagentes.canaldirecto.com.ar/incidents/view/670921-9" xr:uid="{00000000-0004-0000-0300-000059000000}"/>
    <hyperlink ref="A143" r:id="rId91" display="https://webagentes.canaldirecto.com.ar/incidents/view/670082-9" xr:uid="{00000000-0004-0000-0300-00005A000000}"/>
    <hyperlink ref="A145" r:id="rId92" display="https://webagentes.canaldirecto.com.ar/incidents/view/670043-0" xr:uid="{00000000-0004-0000-0300-00005B000000}"/>
    <hyperlink ref="A144" r:id="rId93" display="https://webagentes.canaldirecto.com.ar/incidents/view/669980-6" xr:uid="{00000000-0004-0000-0300-00005C000000}"/>
    <hyperlink ref="A141" r:id="rId94" display="https://webagentes.canaldirecto.com.ar/incidents/view/669893-1" xr:uid="{00000000-0004-0000-0300-00005D000000}"/>
    <hyperlink ref="A166" r:id="rId95" display="https://webagentes.canaldirecto.com.ar/incidents/view/669761-3" xr:uid="{00000000-0004-0000-0300-00005E000000}"/>
    <hyperlink ref="A165" r:id="rId96" display="https://webagentes.canaldirecto.com.ar/incidents/view/669760-4" xr:uid="{00000000-0004-0000-0300-00005F000000}"/>
    <hyperlink ref="A164" r:id="rId97" display="https://webagentes.canaldirecto.com.ar/incidents/view/669755-2" xr:uid="{00000000-0004-0000-0300-000060000000}"/>
    <hyperlink ref="A163" r:id="rId98" display="https://webagentes.canaldirecto.com.ar/incidents/view/669754-3" xr:uid="{00000000-0004-0000-0300-000061000000}"/>
    <hyperlink ref="A138" r:id="rId99" display="https://webagentes.canaldirecto.com.ar/incidents/view/669556-3" xr:uid="{00000000-0004-0000-0300-000062000000}"/>
    <hyperlink ref="A139" r:id="rId100" display="https://webagentes.canaldirecto.com.ar/incidents/view/669409-6" xr:uid="{00000000-0004-0000-0300-000063000000}"/>
    <hyperlink ref="A140" r:id="rId101" display="https://webagentes.canaldirecto.com.ar/incidents/view/669393-6" xr:uid="{00000000-0004-0000-0300-000064000000}"/>
    <hyperlink ref="A162" r:id="rId102" display="https://webagentes.canaldirecto.com.ar/incidents/view/669388-4" xr:uid="{00000000-0004-0000-0300-000065000000}"/>
    <hyperlink ref="A161" r:id="rId103" display="https://webagentes.canaldirecto.com.ar/incidents/view/669387-5" xr:uid="{00000000-0004-0000-0300-000066000000}"/>
    <hyperlink ref="A160" r:id="rId104" display="https://webagentes.canaldirecto.com.ar/incidents/view/669386-6" xr:uid="{00000000-0004-0000-0300-000067000000}"/>
    <hyperlink ref="A154" r:id="rId105" display="https://webagentes.canaldirecto.com.ar/incidents/view/669385-7" xr:uid="{00000000-0004-0000-0300-000068000000}"/>
    <hyperlink ref="A159" r:id="rId106" display="https://webagentes.canaldirecto.com.ar/incidents/view/669384-8" xr:uid="{00000000-0004-0000-0300-000069000000}"/>
    <hyperlink ref="A158" r:id="rId107" display="https://webagentes.canaldirecto.com.ar/incidents/view/669383-9" xr:uid="{00000000-0004-0000-0300-00006A000000}"/>
    <hyperlink ref="A157" r:id="rId108" display="https://webagentes.canaldirecto.com.ar/incidents/view/669382-0" xr:uid="{00000000-0004-0000-0300-00006B000000}"/>
    <hyperlink ref="A156" r:id="rId109" display="https://webagentes.canaldirecto.com.ar/incidents/view/669381-1" xr:uid="{00000000-0004-0000-0300-00006C000000}"/>
    <hyperlink ref="A155" r:id="rId110" display="https://webagentes.canaldirecto.com.ar/incidents/view/669380-2" xr:uid="{00000000-0004-0000-0300-00006D000000}"/>
    <hyperlink ref="A153" r:id="rId111" display="https://webagentes.canaldirecto.com.ar/incidents/view/669379-6" xr:uid="{00000000-0004-0000-0300-00006E000000}"/>
    <hyperlink ref="A152" r:id="rId112" display="https://webagentes.canaldirecto.com.ar/incidents/view/669378-7" xr:uid="{00000000-0004-0000-0300-00006F000000}"/>
    <hyperlink ref="A151" r:id="rId113" display="https://webagentes.canaldirecto.com.ar/incidents/view/669377-8" xr:uid="{00000000-0004-0000-0300-000070000000}"/>
    <hyperlink ref="A131" r:id="rId114" display="https://webagentes.canaldirecto.com.ar/incidents/view/669308-8" xr:uid="{00000000-0004-0000-0300-000071000000}"/>
    <hyperlink ref="A137" r:id="rId115" display="https://webagentes.canaldirecto.com.ar/incidents/view/669271-5" xr:uid="{00000000-0004-0000-0300-000072000000}"/>
    <hyperlink ref="A133" r:id="rId116" display="https://webagentes.canaldirecto.com.ar/incidents/view/669269-0" xr:uid="{00000000-0004-0000-0300-000073000000}"/>
    <hyperlink ref="A134" r:id="rId117" display="https://webagentes.canaldirecto.com.ar/incidents/view/669268-1" xr:uid="{00000000-0004-0000-0300-000074000000}"/>
    <hyperlink ref="A142" r:id="rId118" display="https://webagentes.canaldirecto.com.ar/incidents/view/669252-0" xr:uid="{00000000-0004-0000-0300-000075000000}"/>
    <hyperlink ref="A135" r:id="rId119" display="https://webagentes.canaldirecto.com.ar/incidents/view/669248-7" xr:uid="{00000000-0004-0000-0300-000076000000}"/>
    <hyperlink ref="A128" r:id="rId120" display="https://webagentes.canaldirecto.com.ar/incidents/view/669078-0" xr:uid="{00000000-0004-0000-0300-000077000000}"/>
    <hyperlink ref="A129" r:id="rId121" display="https://webagentes.canaldirecto.com.ar/incidents/view/669077-1" xr:uid="{00000000-0004-0000-0300-000078000000}"/>
    <hyperlink ref="A127" r:id="rId122" display="https://webagentes.canaldirecto.com.ar/incidents/view/669018-8" xr:uid="{00000000-0004-0000-0300-000079000000}"/>
    <hyperlink ref="A126" r:id="rId123" display="https://webagentes.canaldirecto.com.ar/incidents/view/669009-0" xr:uid="{00000000-0004-0000-0300-00007A000000}"/>
    <hyperlink ref="A123" r:id="rId124" display="https://webagentes.canaldirecto.com.ar/incidents/view/668871-2" xr:uid="{00000000-0004-0000-0300-00007B000000}"/>
    <hyperlink ref="A121" r:id="rId125" display="https://webagentes.canaldirecto.com.ar/incidents/view/668837-8" xr:uid="{00000000-0004-0000-0300-00007C000000}"/>
    <hyperlink ref="A125" r:id="rId126" display="https://webagentes.canaldirecto.com.ar/incidents/view/668789-2" xr:uid="{00000000-0004-0000-0300-00007D000000}"/>
    <hyperlink ref="A132" r:id="rId127" display="https://webagentes.canaldirecto.com.ar/incidents/view/668768-9" xr:uid="{00000000-0004-0000-0300-00007E000000}"/>
    <hyperlink ref="A122" r:id="rId128" display="https://webagentes.canaldirecto.com.ar/incidents/view/668746-7" xr:uid="{00000000-0004-0000-0300-00007F000000}"/>
    <hyperlink ref="A146" r:id="rId129" display="https://webagentes.canaldirecto.com.ar/incidents/view/668712-0" xr:uid="{00000000-0004-0000-0300-000080000000}"/>
    <hyperlink ref="A119" r:id="rId130" display="https://webagentes.canaldirecto.com.ar/incidents/view/668599-1" xr:uid="{00000000-0004-0000-0300-000081000000}"/>
    <hyperlink ref="A118" r:id="rId131" display="https://webagentes.canaldirecto.com.ar/incidents/view/668596-4" xr:uid="{00000000-0004-0000-0300-000082000000}"/>
    <hyperlink ref="A117" r:id="rId132" display="https://webagentes.canaldirecto.com.ar/incidents/view/668592-8" xr:uid="{00000000-0004-0000-0300-000083000000}"/>
    <hyperlink ref="A124" r:id="rId133" display="https://webagentes.canaldirecto.com.ar/incidents/view/668511-3" xr:uid="{00000000-0004-0000-0300-000084000000}"/>
    <hyperlink ref="A113" r:id="rId134" display="https://webagentes.canaldirecto.com.ar/incidents/view/668348-9" xr:uid="{00000000-0004-0000-0300-000085000000}"/>
    <hyperlink ref="A112" r:id="rId135" display="https://webagentes.canaldirecto.com.ar/incidents/view/668345-2" xr:uid="{00000000-0004-0000-0300-000086000000}"/>
    <hyperlink ref="A115" r:id="rId136" display="https://webagentes.canaldirecto.com.ar/incidents/view/668256-9" xr:uid="{00000000-0004-0000-0300-000087000000}"/>
    <hyperlink ref="A130" r:id="rId137" display="https://webagentes.canaldirecto.com.ar/incidents/view/668242-6" xr:uid="{00000000-0004-0000-0300-000088000000}"/>
    <hyperlink ref="A116" r:id="rId138" display="https://webagentes.canaldirecto.com.ar/incidents/view/668144-5" xr:uid="{00000000-0004-0000-0300-000089000000}"/>
    <hyperlink ref="A114" r:id="rId139" display="https://webagentes.canaldirecto.com.ar/incidents/view/668127-8" xr:uid="{00000000-0004-0000-0300-00008A000000}"/>
    <hyperlink ref="A111" r:id="rId140" display="https://webagentes.canaldirecto.com.ar/incidents/view/668108-3" xr:uid="{00000000-0004-0000-0300-00008B000000}"/>
    <hyperlink ref="A106" r:id="rId141" display="https://webagentes.canaldirecto.com.ar/incidents/view/667922-8" xr:uid="{00000000-0004-0000-0300-00008C000000}"/>
    <hyperlink ref="A136" r:id="rId142" display="https://webagentes.canaldirecto.com.ar/incidents/view/667805-2" xr:uid="{00000000-0004-0000-0300-00008D000000}"/>
    <hyperlink ref="A120" r:id="rId143" display="https://webagentes.canaldirecto.com.ar/incidents/view/667804-3" xr:uid="{00000000-0004-0000-0300-00008E000000}"/>
    <hyperlink ref="A110" r:id="rId144" display="https://webagentes.canaldirecto.com.ar/incidents/view/667719-6" xr:uid="{00000000-0004-0000-0300-00008F000000}"/>
    <hyperlink ref="A104" r:id="rId145" display="https://webagentes.canaldirecto.com.ar/incidents/view/667699-3" xr:uid="{00000000-0004-0000-0300-000090000000}"/>
    <hyperlink ref="A109" r:id="rId146" display="https://webagentes.canaldirecto.com.ar/incidents/view/667676-2" xr:uid="{00000000-0004-0000-0300-000091000000}"/>
    <hyperlink ref="A107" r:id="rId147" display="https://webagentes.canaldirecto.com.ar/incidents/view/667611-5" xr:uid="{00000000-0004-0000-0300-000092000000}"/>
    <hyperlink ref="A105" r:id="rId148" display="https://webagentes.canaldirecto.com.ar/incidents/view/667606-3" xr:uid="{00000000-0004-0000-0300-000093000000}"/>
    <hyperlink ref="A101" r:id="rId149" display="https://webagentes.canaldirecto.com.ar/incidents/view/667100-4" xr:uid="{00000000-0004-0000-0300-000094000000}"/>
    <hyperlink ref="A103" r:id="rId150" display="https://webagentes.canaldirecto.com.ar/incidents/view/666600-2" xr:uid="{00000000-0004-0000-0300-000095000000}"/>
    <hyperlink ref="A102" r:id="rId151" display="https://webagentes.canaldirecto.com.ar/incidents/view/665800-3" xr:uid="{00000000-0004-0000-0300-000096000000}"/>
    <hyperlink ref="A108" r:id="rId152" display="https://webagentes.canaldirecto.com.ar/incidents/view/665779-4" xr:uid="{00000000-0004-0000-0300-000097000000}"/>
    <hyperlink ref="A198" r:id="rId153" display="https://webagentes.canaldirecto.com.ar/incidents/view/674324-0" xr:uid="{00000000-0004-0000-0300-000098000000}"/>
    <hyperlink ref="A241" r:id="rId154" display="https://webagentes.canaldirecto.com.ar/incidents/view/673499-6" xr:uid="{00000000-0004-0000-0300-000099000000}"/>
    <hyperlink ref="A240" r:id="rId155" display="https://webagentes.canaldirecto.com.ar/incidents/view/673498-7" xr:uid="{00000000-0004-0000-0300-00009A000000}"/>
    <hyperlink ref="A239" r:id="rId156" display="https://webagentes.canaldirecto.com.ar/incidents/view/673497-8" xr:uid="{00000000-0004-0000-0300-00009B000000}"/>
    <hyperlink ref="A238" r:id="rId157" display="https://webagentes.canaldirecto.com.ar/incidents/view/673496-9" xr:uid="{00000000-0004-0000-0300-00009C000000}"/>
    <hyperlink ref="A196" r:id="rId158" display="https://webagentes.canaldirecto.com.ar/incidents/view/673339-5" xr:uid="{00000000-0004-0000-0300-00009D000000}"/>
    <hyperlink ref="A193" r:id="rId159" display="https://webagentes.canaldirecto.com.ar/incidents/view/673202-2" xr:uid="{00000000-0004-0000-0300-00009E000000}"/>
    <hyperlink ref="A194" r:id="rId160" display="https://webagentes.canaldirecto.com.ar/incidents/view/673123-6" xr:uid="{00000000-0004-0000-0300-00009F000000}"/>
    <hyperlink ref="A195" r:id="rId161" display="https://webagentes.canaldirecto.com.ar/incidents/view/673122-7" xr:uid="{00000000-0004-0000-0300-0000A0000000}"/>
    <hyperlink ref="A190" r:id="rId162" display="https://webagentes.canaldirecto.com.ar/incidents/view/672852-4" xr:uid="{00000000-0004-0000-0300-0000A1000000}"/>
    <hyperlink ref="A192" r:id="rId163" display="https://webagentes.canaldirecto.com.ar/incidents/view/672819-9" xr:uid="{00000000-0004-0000-0300-0000A2000000}"/>
    <hyperlink ref="A188" r:id="rId164" display="https://webagentes.canaldirecto.com.ar/incidents/view/672774-7" xr:uid="{00000000-0004-0000-0300-0000A3000000}"/>
    <hyperlink ref="A237" r:id="rId165" display="https://webagentes.canaldirecto.com.ar/incidents/view/672645-6" xr:uid="{00000000-0004-0000-0300-0000A4000000}"/>
    <hyperlink ref="A236" r:id="rId166" display="https://webagentes.canaldirecto.com.ar/incidents/view/672644-7" xr:uid="{00000000-0004-0000-0300-0000A5000000}"/>
    <hyperlink ref="A235" r:id="rId167" display="https://webagentes.canaldirecto.com.ar/incidents/view/672642-9" xr:uid="{00000000-0004-0000-0300-0000A6000000}"/>
    <hyperlink ref="A234" r:id="rId168" display="https://webagentes.canaldirecto.com.ar/incidents/view/672641-0" xr:uid="{00000000-0004-0000-0300-0000A7000000}"/>
    <hyperlink ref="A189" r:id="rId169" display="https://webagentes.canaldirecto.com.ar/incidents/view/672497-1" xr:uid="{00000000-0004-0000-0300-0000A8000000}"/>
    <hyperlink ref="A233" r:id="rId170" display="https://webagentes.canaldirecto.com.ar/incidents/view/672488-3" xr:uid="{00000000-0004-0000-0300-0000A9000000}"/>
    <hyperlink ref="A232" r:id="rId171" display="https://webagentes.canaldirecto.com.ar/incidents/view/672487-4" xr:uid="{00000000-0004-0000-0300-0000AA000000}"/>
    <hyperlink ref="A231" r:id="rId172" display="https://webagentes.canaldirecto.com.ar/incidents/view/672486-5" xr:uid="{00000000-0004-0000-0300-0000AB000000}"/>
    <hyperlink ref="A230" r:id="rId173" display="https://webagentes.canaldirecto.com.ar/incidents/view/672485-6" xr:uid="{00000000-0004-0000-0300-0000AC000000}"/>
    <hyperlink ref="A191" r:id="rId174" display="https://webagentes.canaldirecto.com.ar/incidents/view/672468-9" xr:uid="{00000000-0004-0000-0300-0000AD000000}"/>
    <hyperlink ref="A187" r:id="rId175" display="https://webagentes.canaldirecto.com.ar/incidents/view/672146-0" xr:uid="{00000000-0004-0000-0300-0000AE000000}"/>
    <hyperlink ref="A229" r:id="rId176" display="https://webagentes.canaldirecto.com.ar/incidents/view/672105-3" xr:uid="{00000000-0004-0000-0300-0000AF000000}"/>
    <hyperlink ref="A228" r:id="rId177" display="https://webagentes.canaldirecto.com.ar/incidents/view/672104-4" xr:uid="{00000000-0004-0000-0300-0000B0000000}"/>
    <hyperlink ref="A227" r:id="rId178" display="https://webagentes.canaldirecto.com.ar/incidents/view/672103-5" xr:uid="{00000000-0004-0000-0300-0000B1000000}"/>
    <hyperlink ref="A226" r:id="rId179" display="https://webagentes.canaldirecto.com.ar/incidents/view/672102-6" xr:uid="{00000000-0004-0000-0300-0000B2000000}"/>
    <hyperlink ref="A186" r:id="rId180" display="https://webagentes.canaldirecto.com.ar/incidents/view/672100-8" xr:uid="{00000000-0004-0000-0300-0000B3000000}"/>
    <hyperlink ref="A225" r:id="rId181" display="https://webagentes.canaldirecto.com.ar/incidents/view/671937-7" xr:uid="{00000000-0004-0000-0300-0000B4000000}"/>
    <hyperlink ref="A224" r:id="rId182" display="https://webagentes.canaldirecto.com.ar/incidents/view/671935-9" xr:uid="{00000000-0004-0000-0300-0000B5000000}"/>
    <hyperlink ref="A223" r:id="rId183" display="https://webagentes.canaldirecto.com.ar/incidents/view/671934-0" xr:uid="{00000000-0004-0000-0300-0000B6000000}"/>
    <hyperlink ref="A219" r:id="rId184" display="https://webagentes.canaldirecto.com.ar/incidents/view/670931-6" xr:uid="{00000000-0004-0000-0300-0000B7000000}"/>
    <hyperlink ref="A217" r:id="rId185" display="https://webagentes.canaldirecto.com.ar/incidents/view/670930-7" xr:uid="{00000000-0004-0000-0300-0000B8000000}"/>
    <hyperlink ref="A214" r:id="rId186" display="https://webagentes.canaldirecto.com.ar/incidents/view/670929-1" xr:uid="{00000000-0004-0000-0300-0000B9000000}"/>
    <hyperlink ref="A213" r:id="rId187" display="https://webagentes.canaldirecto.com.ar/incidents/view/670928-2" xr:uid="{00000000-0004-0000-0300-0000BA000000}"/>
    <hyperlink ref="A212" r:id="rId188" display="https://webagentes.canaldirecto.com.ar/incidents/view/670925-5" xr:uid="{00000000-0004-0000-0300-0000BB000000}"/>
    <hyperlink ref="A222" r:id="rId189" display="https://webagentes.canaldirecto.com.ar/incidents/view/670924-6" xr:uid="{00000000-0004-0000-0300-0000BC000000}"/>
    <hyperlink ref="A221" r:id="rId190" display="https://webagentes.canaldirecto.com.ar/incidents/view/670923-7" xr:uid="{00000000-0004-0000-0300-0000BD000000}"/>
    <hyperlink ref="A181" r:id="rId191" display="https://webagentes.canaldirecto.com.ar/incidents/view/670915-8" xr:uid="{00000000-0004-0000-0300-0000BE000000}"/>
    <hyperlink ref="A211" r:id="rId192" display="https://webagentes.canaldirecto.com.ar/incidents/view/670845-0" xr:uid="{00000000-0004-0000-0300-0000BF000000}"/>
    <hyperlink ref="A210" r:id="rId193" display="https://webagentes.canaldirecto.com.ar/incidents/view/670844-1" xr:uid="{00000000-0004-0000-0300-0000C0000000}"/>
    <hyperlink ref="A209" r:id="rId194" display="https://webagentes.canaldirecto.com.ar/incidents/view/670843-2" xr:uid="{00000000-0004-0000-0300-0000C1000000}"/>
    <hyperlink ref="A208" r:id="rId195" display="https://webagentes.canaldirecto.com.ar/incidents/view/670842-3" xr:uid="{00000000-0004-0000-0300-0000C2000000}"/>
    <hyperlink ref="A183" r:id="rId196" display="https://webagentes.canaldirecto.com.ar/incidents/view/670661-0" xr:uid="{00000000-0004-0000-0300-0000C3000000}"/>
    <hyperlink ref="A180" r:id="rId197" display="https://webagentes.canaldirecto.com.ar/incidents/view/670623-0" xr:uid="{00000000-0004-0000-0300-0000C4000000}"/>
    <hyperlink ref="A182" r:id="rId198" display="https://webagentes.canaldirecto.com.ar/incidents/view/670606-3" xr:uid="{00000000-0004-0000-0300-0000C5000000}"/>
    <hyperlink ref="A171" r:id="rId199" display="https://webagentes.canaldirecto.com.ar/incidents/view/670431-1" xr:uid="{00000000-0004-0000-0300-0000C6000000}"/>
    <hyperlink ref="A173" r:id="rId200" display="https://webagentes.canaldirecto.com.ar/incidents/view/670373-8" xr:uid="{00000000-0004-0000-0300-0000C7000000}"/>
    <hyperlink ref="A172" r:id="rId201" display="https://webagentes.canaldirecto.com.ar/incidents/view/670352-5" xr:uid="{00000000-0004-0000-0300-0000C8000000}"/>
    <hyperlink ref="A203" r:id="rId202" display="https://webagentes.canaldirecto.com.ar/incidents/view/670274-8" xr:uid="{00000000-0004-0000-0300-0000C9000000}"/>
    <hyperlink ref="A202" r:id="rId203" display="https://webagentes.canaldirecto.com.ar/incidents/view/670273-9" xr:uid="{00000000-0004-0000-0300-0000CA000000}"/>
    <hyperlink ref="A201" r:id="rId204" display="https://webagentes.canaldirecto.com.ar/incidents/view/670272-0" xr:uid="{00000000-0004-0000-0300-0000CB000000}"/>
    <hyperlink ref="A179" r:id="rId205" display="https://webagentes.canaldirecto.com.ar/incidents/view/670230-4" xr:uid="{00000000-0004-0000-0300-0000CC000000}"/>
    <hyperlink ref="A185" r:id="rId206" display="https://webagentes.canaldirecto.com.ar/incidents/view/670227-0" xr:uid="{00000000-0004-0000-0300-0000CD000000}"/>
    <hyperlink ref="A175" r:id="rId207" display="https://webagentes.canaldirecto.com.ar/incidents/view/670211-9" xr:uid="{00000000-0004-0000-0300-0000CE000000}"/>
    <hyperlink ref="A174" r:id="rId208" display="https://webagentes.canaldirecto.com.ar/incidents/view/670181-9" xr:uid="{00000000-0004-0000-0300-0000CF000000}"/>
    <hyperlink ref="A177" r:id="rId209" display="https://webagentes.canaldirecto.com.ar/incidents/view/670100-4" xr:uid="{00000000-0004-0000-0300-0000D0000000}"/>
    <hyperlink ref="A184" r:id="rId210" display="https://webagentes.canaldirecto.com.ar/incidents/view/670031-5" xr:uid="{00000000-0004-0000-0300-0000D1000000}"/>
    <hyperlink ref="A176" r:id="rId211" display="https://webagentes.canaldirecto.com.ar/incidents/view/670023-6" xr:uid="{00000000-0004-0000-0300-0000D2000000}"/>
    <hyperlink ref="A206" r:id="rId212" display="https://webagentes.canaldirecto.com.ar/incidents/view/669764-0" xr:uid="{00000000-0004-0000-0300-0000D3000000}"/>
    <hyperlink ref="A205" r:id="rId213" display="https://webagentes.canaldirecto.com.ar/incidents/view/669763-1" xr:uid="{00000000-0004-0000-0300-0000D4000000}"/>
    <hyperlink ref="A204" r:id="rId214" display="https://webagentes.canaldirecto.com.ar/incidents/view/669762-2" xr:uid="{00000000-0004-0000-0300-0000D5000000}"/>
    <hyperlink ref="A207" r:id="rId215" display="https://webagentes.canaldirecto.com.ar/incidents/view/669756-1" xr:uid="{00000000-0004-0000-0300-0000D6000000}"/>
    <hyperlink ref="A170" r:id="rId216" display="https://webagentes.canaldirecto.com.ar/incidents/view/669712-7" xr:uid="{00000000-0004-0000-0300-0000D7000000}"/>
    <hyperlink ref="A178" r:id="rId217" display="https://webagentes.canaldirecto.com.ar/incidents/view/669608-5" xr:uid="{00000000-0004-0000-0300-0000D8000000}"/>
    <hyperlink ref="A220" r:id="rId218" display="https://webagentes.canaldirecto.com.ar/incidents/view/662364-5" xr:uid="{00000000-0004-0000-0300-0000D9000000}"/>
    <hyperlink ref="A218" r:id="rId219" display="https://webagentes.canaldirecto.com.ar/incidents/view/662362-7" xr:uid="{00000000-0004-0000-0300-0000DA000000}"/>
    <hyperlink ref="A216" r:id="rId220" display="https://webagentes.canaldirecto.com.ar/incidents/view/662360-9" xr:uid="{00000000-0004-0000-0300-0000DB000000}"/>
    <hyperlink ref="A215" r:id="rId221" display="https://webagentes.canaldirecto.com.ar/incidents/view/662359-3" xr:uid="{00000000-0004-0000-0300-0000DC000000}"/>
    <hyperlink ref="A357" r:id="rId222" display="https://webagentes.canaldirecto.com.ar/incidents/view/677736-2" xr:uid="{00000000-0004-0000-0300-0000DD000000}"/>
    <hyperlink ref="A356" r:id="rId223" display="https://webagentes.canaldirecto.com.ar/incidents/view/677732-6" xr:uid="{00000000-0004-0000-0300-0000DE000000}"/>
    <hyperlink ref="A355" r:id="rId224" display="https://webagentes.canaldirecto.com.ar/incidents/view/677731-7" xr:uid="{00000000-0004-0000-0300-0000DF000000}"/>
    <hyperlink ref="A354" r:id="rId225" display="https://webagentes.canaldirecto.com.ar/incidents/view/677730-8" xr:uid="{00000000-0004-0000-0300-0000E0000000}"/>
    <hyperlink ref="A353" r:id="rId226" display="https://webagentes.canaldirecto.com.ar/incidents/view/677729-2" xr:uid="{00000000-0004-0000-0300-0000E1000000}"/>
    <hyperlink ref="A274" r:id="rId227" display="https://webagentes.canaldirecto.com.ar/incidents/view/677419-8" xr:uid="{00000000-0004-0000-0300-0000E2000000}"/>
    <hyperlink ref="A272" r:id="rId228" display="https://webagentes.canaldirecto.com.ar/incidents/view/677256-1" xr:uid="{00000000-0004-0000-0300-0000E3000000}"/>
    <hyperlink ref="A335" r:id="rId229" display="https://webagentes.canaldirecto.com.ar/incidents/view/676928-4" xr:uid="{00000000-0004-0000-0300-0000E4000000}"/>
    <hyperlink ref="A334" r:id="rId230" display="https://webagentes.canaldirecto.com.ar/incidents/view/676927-5" xr:uid="{00000000-0004-0000-0300-0000E5000000}"/>
    <hyperlink ref="A333" r:id="rId231" display="https://webagentes.canaldirecto.com.ar/incidents/view/676925-7" xr:uid="{00000000-0004-0000-0300-0000E6000000}"/>
    <hyperlink ref="A332" r:id="rId232" display="https://webagentes.canaldirecto.com.ar/incidents/view/676924-8" xr:uid="{00000000-0004-0000-0300-0000E7000000}"/>
    <hyperlink ref="A331" r:id="rId233" display="https://webagentes.canaldirecto.com.ar/incidents/view/676923-9" xr:uid="{00000000-0004-0000-0300-0000E8000000}"/>
    <hyperlink ref="A330" r:id="rId234" display="https://webagentes.canaldirecto.com.ar/incidents/view/676922-0" xr:uid="{00000000-0004-0000-0300-0000E9000000}"/>
    <hyperlink ref="A329" r:id="rId235" display="https://webagentes.canaldirecto.com.ar/incidents/view/676921-1" xr:uid="{00000000-0004-0000-0300-0000EA000000}"/>
    <hyperlink ref="A328" r:id="rId236" display="https://webagentes.canaldirecto.com.ar/incidents/view/676920-2" xr:uid="{00000000-0004-0000-0300-0000EB000000}"/>
    <hyperlink ref="A273" r:id="rId237" display="https://webagentes.canaldirecto.com.ar/incidents/view/676873-5" xr:uid="{00000000-0004-0000-0300-0000EC000000}"/>
    <hyperlink ref="A325" r:id="rId238" display="https://webagentes.canaldirecto.com.ar/incidents/view/676800-9" xr:uid="{00000000-0004-0000-0300-0000ED000000}"/>
    <hyperlink ref="A324" r:id="rId239" display="https://webagentes.canaldirecto.com.ar/incidents/view/676798-5" xr:uid="{00000000-0004-0000-0300-0000EE000000}"/>
    <hyperlink ref="A323" r:id="rId240" display="https://webagentes.canaldirecto.com.ar/incidents/view/676797-6" xr:uid="{00000000-0004-0000-0300-0000EF000000}"/>
    <hyperlink ref="A269" r:id="rId241" display="https://webagentes.canaldirecto.com.ar/incidents/view/676751-4" xr:uid="{00000000-0004-0000-0300-0000F0000000}"/>
    <hyperlink ref="A270" r:id="rId242" display="https://webagentes.canaldirecto.com.ar/incidents/view/676748-0" xr:uid="{00000000-0004-0000-0300-0000F1000000}"/>
    <hyperlink ref="A271" r:id="rId243" display="https://webagentes.canaldirecto.com.ar/incidents/view/676747-1" xr:uid="{00000000-0004-0000-0300-0000F2000000}"/>
    <hyperlink ref="A322" r:id="rId244" display="https://webagentes.canaldirecto.com.ar/incidents/view/676206-9" xr:uid="{00000000-0004-0000-0300-0000F3000000}"/>
    <hyperlink ref="A321" r:id="rId245" display="https://webagentes.canaldirecto.com.ar/incidents/view/676205-0" xr:uid="{00000000-0004-0000-0300-0000F4000000}"/>
    <hyperlink ref="A320" r:id="rId246" display="https://webagentes.canaldirecto.com.ar/incidents/view/676204-1" xr:uid="{00000000-0004-0000-0300-0000F5000000}"/>
    <hyperlink ref="A319" r:id="rId247" display="https://webagentes.canaldirecto.com.ar/incidents/view/676202-3" xr:uid="{00000000-0004-0000-0300-0000F6000000}"/>
    <hyperlink ref="A318" r:id="rId248" display="https://webagentes.canaldirecto.com.ar/incidents/view/676201-4" xr:uid="{00000000-0004-0000-0300-0000F7000000}"/>
    <hyperlink ref="A350" r:id="rId249" display="https://webagentes.canaldirecto.com.ar/incidents/view/676199-0" xr:uid="{00000000-0004-0000-0300-0000F8000000}"/>
    <hyperlink ref="A348" r:id="rId250" display="https://webagentes.canaldirecto.com.ar/incidents/view/676198-1" xr:uid="{00000000-0004-0000-0300-0000F9000000}"/>
    <hyperlink ref="A347" r:id="rId251" display="https://webagentes.canaldirecto.com.ar/incidents/view/676197-2" xr:uid="{00000000-0004-0000-0300-0000FA000000}"/>
    <hyperlink ref="A339" r:id="rId252" display="https://webagentes.canaldirecto.com.ar/incidents/view/676196-3" xr:uid="{00000000-0004-0000-0300-0000FB000000}"/>
    <hyperlink ref="A338" r:id="rId253" display="https://webagentes.canaldirecto.com.ar/incidents/view/675716-4" xr:uid="{00000000-0004-0000-0300-0000FC000000}"/>
    <hyperlink ref="A337" r:id="rId254" display="https://webagentes.canaldirecto.com.ar/incidents/view/675715-5" xr:uid="{00000000-0004-0000-0300-0000FD000000}"/>
    <hyperlink ref="A317" r:id="rId255" display="https://webagentes.canaldirecto.com.ar/incidents/view/675714-6" xr:uid="{00000000-0004-0000-0300-0000FE000000}"/>
    <hyperlink ref="A316" r:id="rId256" display="https://webagentes.canaldirecto.com.ar/incidents/view/675713-7" xr:uid="{00000000-0004-0000-0300-0000FF000000}"/>
    <hyperlink ref="A336" r:id="rId257" display="https://webagentes.canaldirecto.com.ar/incidents/view/675712-8" xr:uid="{00000000-0004-0000-0300-000000010000}"/>
    <hyperlink ref="A267" r:id="rId258" display="https://webagentes.canaldirecto.com.ar/incidents/view/675624-4" xr:uid="{00000000-0004-0000-0300-000001010000}"/>
    <hyperlink ref="A308" r:id="rId259" display="https://webagentes.canaldirecto.com.ar/incidents/view/675620-8" xr:uid="{00000000-0004-0000-0300-000002010000}"/>
    <hyperlink ref="A307" r:id="rId260" display="https://webagentes.canaldirecto.com.ar/incidents/view/675619-2" xr:uid="{00000000-0004-0000-0300-000003010000}"/>
    <hyperlink ref="A306" r:id="rId261" display="https://webagentes.canaldirecto.com.ar/incidents/view/675618-3" xr:uid="{00000000-0004-0000-0300-000004010000}"/>
    <hyperlink ref="A305" r:id="rId262" display="https://webagentes.canaldirecto.com.ar/incidents/view/675617-4" xr:uid="{00000000-0004-0000-0300-000005010000}"/>
    <hyperlink ref="A313" r:id="rId263" display="https://webagentes.canaldirecto.com.ar/incidents/view/675616-5" xr:uid="{00000000-0004-0000-0300-000006010000}"/>
    <hyperlink ref="A312" r:id="rId264" display="https://webagentes.canaldirecto.com.ar/incidents/view/675615-6" xr:uid="{00000000-0004-0000-0300-000007010000}"/>
    <hyperlink ref="A311" r:id="rId265" display="https://webagentes.canaldirecto.com.ar/incidents/view/675614-7" xr:uid="{00000000-0004-0000-0300-000008010000}"/>
    <hyperlink ref="A310" r:id="rId266" display="https://webagentes.canaldirecto.com.ar/incidents/view/675613-8" xr:uid="{00000000-0004-0000-0300-000009010000}"/>
    <hyperlink ref="A309" r:id="rId267" display="https://webagentes.canaldirecto.com.ar/incidents/view/675612-9" xr:uid="{00000000-0004-0000-0300-00000A010000}"/>
    <hyperlink ref="A302" r:id="rId268" display="https://webagentes.canaldirecto.com.ar/incidents/view/675608-6" xr:uid="{00000000-0004-0000-0300-00000B010000}"/>
    <hyperlink ref="A314" r:id="rId269" display="https://webagentes.canaldirecto.com.ar/incidents/view/675607-7" xr:uid="{00000000-0004-0000-0300-00000C010000}"/>
    <hyperlink ref="A304" r:id="rId270" display="https://webagentes.canaldirecto.com.ar/incidents/view/675605-9" xr:uid="{00000000-0004-0000-0300-00000D010000}"/>
    <hyperlink ref="A303" r:id="rId271" display="https://webagentes.canaldirecto.com.ar/incidents/view/675604-0" xr:uid="{00000000-0004-0000-0300-00000E010000}"/>
    <hyperlink ref="A268" r:id="rId272" display="https://webagentes.canaldirecto.com.ar/incidents/view/675555-5" xr:uid="{00000000-0004-0000-0300-00000F010000}"/>
    <hyperlink ref="A262" r:id="rId273" display="https://webagentes.canaldirecto.com.ar/incidents/view/675346-9" xr:uid="{00000000-0004-0000-0300-000010010000}"/>
    <hyperlink ref="A264" r:id="rId274" display="https://webagentes.canaldirecto.com.ar/incidents/view/675242-4" xr:uid="{00000000-0004-0000-0300-000011010000}"/>
    <hyperlink ref="A266" r:id="rId275" display="https://webagentes.canaldirecto.com.ar/incidents/view/675213-2" xr:uid="{00000000-0004-0000-0300-000012010000}"/>
    <hyperlink ref="A293" r:id="rId276" display="https://webagentes.canaldirecto.com.ar/incidents/view/675130-0" xr:uid="{00000000-0004-0000-0300-000013010000}"/>
    <hyperlink ref="A265" r:id="rId277" display="https://webagentes.canaldirecto.com.ar/incidents/view/674965-1" xr:uid="{00000000-0004-0000-0300-000014010000}"/>
    <hyperlink ref="A292" r:id="rId278" display="https://webagentes.canaldirecto.com.ar/incidents/view/674956-3" xr:uid="{00000000-0004-0000-0300-000015010000}"/>
    <hyperlink ref="A260" r:id="rId279" display="https://webagentes.canaldirecto.com.ar/incidents/view/674924-4" xr:uid="{00000000-0004-0000-0300-000016010000}"/>
    <hyperlink ref="A263" r:id="rId280" display="https://webagentes.canaldirecto.com.ar/incidents/view/674870-4" xr:uid="{00000000-0004-0000-0300-000017010000}"/>
    <hyperlink ref="A294" r:id="rId281" display="https://webagentes.canaldirecto.com.ar/incidents/view/674864-3" xr:uid="{00000000-0004-0000-0300-000018010000}"/>
    <hyperlink ref="A351" r:id="rId282" display="https://webagentes.canaldirecto.com.ar/incidents/view/674861-6" xr:uid="{00000000-0004-0000-0300-000019010000}"/>
    <hyperlink ref="A327" r:id="rId283" display="https://webagentes.canaldirecto.com.ar/incidents/view/674858-2" xr:uid="{00000000-0004-0000-0300-00001A010000}"/>
    <hyperlink ref="A326" r:id="rId284" display="https://webagentes.canaldirecto.com.ar/incidents/view/674857-3" xr:uid="{00000000-0004-0000-0300-00001B010000}"/>
    <hyperlink ref="A352" r:id="rId285" display="https://webagentes.canaldirecto.com.ar/incidents/view/674856-4" xr:uid="{00000000-0004-0000-0300-00001C010000}"/>
    <hyperlink ref="A301" r:id="rId286" display="https://webagentes.canaldirecto.com.ar/incidents/view/674855-5" xr:uid="{00000000-0004-0000-0300-00001D010000}"/>
    <hyperlink ref="A300" r:id="rId287" display="https://webagentes.canaldirecto.com.ar/incidents/view/674854-6" xr:uid="{00000000-0004-0000-0300-00001E010000}"/>
    <hyperlink ref="A315" r:id="rId288" display="https://webagentes.canaldirecto.com.ar/incidents/view/674853-7" xr:uid="{00000000-0004-0000-0300-00001F010000}"/>
    <hyperlink ref="A295" r:id="rId289" display="https://webagentes.canaldirecto.com.ar/incidents/view/674852-8" xr:uid="{00000000-0004-0000-0300-000020010000}"/>
    <hyperlink ref="A299" r:id="rId290" display="https://webagentes.canaldirecto.com.ar/incidents/view/674662-7" xr:uid="{00000000-0004-0000-0300-000021010000}"/>
    <hyperlink ref="A298" r:id="rId291" display="https://webagentes.canaldirecto.com.ar/incidents/view/674661-8" xr:uid="{00000000-0004-0000-0300-000022010000}"/>
    <hyperlink ref="A297" r:id="rId292" display="https://webagentes.canaldirecto.com.ar/incidents/view/674660-9" xr:uid="{00000000-0004-0000-0300-000023010000}"/>
    <hyperlink ref="A296" r:id="rId293" display="https://webagentes.canaldirecto.com.ar/incidents/view/674659-3" xr:uid="{00000000-0004-0000-0300-000024010000}"/>
    <hyperlink ref="A261" r:id="rId294" display="https://webagentes.canaldirecto.com.ar/incidents/view/674650-2" xr:uid="{00000000-0004-0000-0300-000025010000}"/>
    <hyperlink ref="A256" r:id="rId295" display="https://webagentes.canaldirecto.com.ar/incidents/view/674633-5" xr:uid="{00000000-0004-0000-0300-000026010000}"/>
    <hyperlink ref="A259" r:id="rId296" display="https://webagentes.canaldirecto.com.ar/incidents/view/674618-6" xr:uid="{00000000-0004-0000-0300-000027010000}"/>
    <hyperlink ref="A288" r:id="rId297" display="https://webagentes.canaldirecto.com.ar/incidents/view/674430-0" xr:uid="{00000000-0004-0000-0300-000028010000}"/>
    <hyperlink ref="A291" r:id="rId298" display="https://webagentes.canaldirecto.com.ar/incidents/view/674429-4" xr:uid="{00000000-0004-0000-0300-000029010000}"/>
    <hyperlink ref="A290" r:id="rId299" display="https://webagentes.canaldirecto.com.ar/incidents/view/674428-5" xr:uid="{00000000-0004-0000-0300-00002A010000}"/>
    <hyperlink ref="A289" r:id="rId300" display="https://webagentes.canaldirecto.com.ar/incidents/view/674427-6" xr:uid="{00000000-0004-0000-0300-00002B010000}"/>
    <hyperlink ref="A255" r:id="rId301" display="https://webagentes.canaldirecto.com.ar/incidents/view/674379-0" xr:uid="{00000000-0004-0000-0300-00002C010000}"/>
    <hyperlink ref="A254" r:id="rId302" display="https://webagentes.canaldirecto.com.ar/incidents/view/674324-0" xr:uid="{00000000-0004-0000-0300-00002D010000}"/>
    <hyperlink ref="A249" r:id="rId303" display="https://webagentes.canaldirecto.com.ar/incidents/view/674275-5" xr:uid="{00000000-0004-0000-0300-00002E010000}"/>
    <hyperlink ref="A250" r:id="rId304" display="https://webagentes.canaldirecto.com.ar/incidents/view/674200-1" xr:uid="{00000000-0004-0000-0300-00002F010000}"/>
    <hyperlink ref="A257" r:id="rId305" display="https://webagentes.canaldirecto.com.ar/incidents/view/674154-3" xr:uid="{00000000-0004-0000-0300-000030010000}"/>
    <hyperlink ref="A287" r:id="rId306" display="https://webagentes.canaldirecto.com.ar/incidents/view/674131-2" xr:uid="{00000000-0004-0000-0300-000031010000}"/>
    <hyperlink ref="A286" r:id="rId307" display="https://webagentes.canaldirecto.com.ar/incidents/view/674130-3" xr:uid="{00000000-0004-0000-0300-000032010000}"/>
    <hyperlink ref="A285" r:id="rId308" display="https://webagentes.canaldirecto.com.ar/incidents/view/674129-7" xr:uid="{00000000-0004-0000-0300-000033010000}"/>
    <hyperlink ref="A284" r:id="rId309" display="https://webagentes.canaldirecto.com.ar/incidents/view/674128-8" xr:uid="{00000000-0004-0000-0300-000034010000}"/>
    <hyperlink ref="A253" r:id="rId310" display="https://webagentes.canaldirecto.com.ar/incidents/view/674125-1" xr:uid="{00000000-0004-0000-0300-000035010000}"/>
    <hyperlink ref="A276" r:id="rId311" display="https://webagentes.canaldirecto.com.ar/incidents/view/674042-9" xr:uid="{00000000-0004-0000-0300-000036010000}"/>
    <hyperlink ref="A248" r:id="rId312" display="https://webagentes.canaldirecto.com.ar/incidents/view/674002-1" xr:uid="{00000000-0004-0000-0300-000037010000}"/>
    <hyperlink ref="A283" r:id="rId313" display="https://webagentes.canaldirecto.com.ar/incidents/view/673931-7" xr:uid="{00000000-0004-0000-0300-000038010000}"/>
    <hyperlink ref="A282" r:id="rId314" display="https://webagentes.canaldirecto.com.ar/incidents/view/673930-8" xr:uid="{00000000-0004-0000-0300-000039010000}"/>
    <hyperlink ref="A281" r:id="rId315" display="https://webagentes.canaldirecto.com.ar/incidents/view/673929-2" xr:uid="{00000000-0004-0000-0300-00003A010000}"/>
    <hyperlink ref="A280" r:id="rId316" display="https://webagentes.canaldirecto.com.ar/incidents/view/673928-3" xr:uid="{00000000-0004-0000-0300-00003B010000}"/>
    <hyperlink ref="A275" r:id="rId317" display="https://webagentes.canaldirecto.com.ar/incidents/view/673869-1" xr:uid="{00000000-0004-0000-0300-00003C010000}"/>
    <hyperlink ref="A258" r:id="rId318" display="https://webagentes.canaldirecto.com.ar/incidents/view/673686-0" xr:uid="{00000000-0004-0000-0300-00003D010000}"/>
    <hyperlink ref="A252" r:id="rId319" display="https://webagentes.canaldirecto.com.ar/incidents/view/673636-5" xr:uid="{00000000-0004-0000-0300-00003E010000}"/>
    <hyperlink ref="A251" r:id="rId320" display="https://webagentes.canaldirecto.com.ar/incidents/view/673635-6" xr:uid="{00000000-0004-0000-0300-00003F010000}"/>
    <hyperlink ref="A279" r:id="rId321" display="https://webagentes.canaldirecto.com.ar/incidents/view/673500-1" xr:uid="{00000000-0004-0000-0300-000040010000}"/>
    <hyperlink ref="A247" r:id="rId322" display="https://webagentes.canaldirecto.com.ar/incidents/view/673125-4" xr:uid="{00000000-0004-0000-0300-000041010000}"/>
    <hyperlink ref="A246" r:id="rId323" display="https://webagentes.canaldirecto.com.ar/incidents/view/672638-6" xr:uid="{00000000-0004-0000-0300-000042010000}"/>
    <hyperlink ref="A349" r:id="rId324" display="https://webagentes.canaldirecto.com.ar/incidents/view/664520-3" xr:uid="{00000000-0004-0000-0300-000043010000}"/>
    <hyperlink ref="A346" r:id="rId325" display="https://webagentes.canaldirecto.com.ar/incidents/view/664518-8" xr:uid="{00000000-0004-0000-0300-000044010000}"/>
    <hyperlink ref="A345" r:id="rId326" display="https://webagentes.canaldirecto.com.ar/incidents/view/664516-0" xr:uid="{00000000-0004-0000-0300-000045010000}"/>
    <hyperlink ref="A344" r:id="rId327" display="https://webagentes.canaldirecto.com.ar/incidents/view/664513-3" xr:uid="{00000000-0004-0000-0300-000046010000}"/>
    <hyperlink ref="A343" r:id="rId328" display="https://webagentes.canaldirecto.com.ar/incidents/view/664512-4" xr:uid="{00000000-0004-0000-0300-000047010000}"/>
    <hyperlink ref="A342" r:id="rId329" display="https://webagentes.canaldirecto.com.ar/incidents/view/664511-5" xr:uid="{00000000-0004-0000-0300-000048010000}"/>
    <hyperlink ref="A341" r:id="rId330" display="https://webagentes.canaldirecto.com.ar/incidents/view/664510-6" xr:uid="{00000000-0004-0000-0300-000049010000}"/>
    <hyperlink ref="A340" r:id="rId331" display="https://webagentes.canaldirecto.com.ar/incidents/view/664509-0" xr:uid="{00000000-0004-0000-0300-00004A010000}"/>
    <hyperlink ref="A386" r:id="rId332" display="https://webagentes.canaldirecto.com.ar/incidents/view/680661-9" xr:uid="{00000000-0004-0000-0300-00004B010000}"/>
    <hyperlink ref="A384" r:id="rId333" display="https://webagentes.canaldirecto.com.ar/incidents/view/680185-4" xr:uid="{00000000-0004-0000-0300-00004C010000}"/>
    <hyperlink ref="A385" r:id="rId334" display="https://webagentes.canaldirecto.com.ar/incidents/view/680004-0" xr:uid="{00000000-0004-0000-0300-00004D010000}"/>
    <hyperlink ref="A389" r:id="rId335" display="https://webagentes.canaldirecto.com.ar/incidents/view/679894-9" xr:uid="{00000000-0004-0000-0300-00004E010000}"/>
    <hyperlink ref="A387" r:id="rId336" display="https://webagentes.canaldirecto.com.ar/incidents/view/679891-2" xr:uid="{00000000-0004-0000-0300-00004F010000}"/>
    <hyperlink ref="A381" r:id="rId337" display="https://webagentes.canaldirecto.com.ar/incidents/view/679683-5" xr:uid="{00000000-0004-0000-0300-000050010000}"/>
    <hyperlink ref="A383" r:id="rId338" display="https://webagentes.canaldirecto.com.ar/incidents/view/679635-8" xr:uid="{00000000-0004-0000-0300-000051010000}"/>
    <hyperlink ref="A378" r:id="rId339" display="https://webagentes.canaldirecto.com.ar/incidents/view/679438-7" xr:uid="{00000000-0004-0000-0300-000052010000}"/>
    <hyperlink ref="A426" r:id="rId340" display="https://webagentes.canaldirecto.com.ar/incidents/view/679417-4" xr:uid="{00000000-0004-0000-0300-000053010000}"/>
    <hyperlink ref="A425" r:id="rId341" display="https://webagentes.canaldirecto.com.ar/incidents/view/679416-5" xr:uid="{00000000-0004-0000-0300-000054010000}"/>
    <hyperlink ref="A375" r:id="rId342" display="https://webagentes.canaldirecto.com.ar/incidents/view/679209-7" xr:uid="{00000000-0004-0000-0300-000055010000}"/>
    <hyperlink ref="A380" r:id="rId343" display="https://webagentes.canaldirecto.com.ar/incidents/view/679180-3" xr:uid="{00000000-0004-0000-0300-000056010000}"/>
    <hyperlink ref="A374" r:id="rId344" display="https://webagentes.canaldirecto.com.ar/incidents/view/679148-7" xr:uid="{00000000-0004-0000-0300-000057010000}"/>
    <hyperlink ref="A379" r:id="rId345" display="https://webagentes.canaldirecto.com.ar/incidents/view/679137-1" xr:uid="{00000000-0004-0000-0300-000058010000}"/>
    <hyperlink ref="A376" r:id="rId346" display="https://webagentes.canaldirecto.com.ar/incidents/view/679024-8" xr:uid="{00000000-0004-0000-0300-000059010000}"/>
    <hyperlink ref="A382" r:id="rId347" display="https://webagentes.canaldirecto.com.ar/incidents/view/678993-2" xr:uid="{00000000-0004-0000-0300-00005A010000}"/>
    <hyperlink ref="A377" r:id="rId348" display="https://webagentes.canaldirecto.com.ar/incidents/view/678962-2" xr:uid="{00000000-0004-0000-0300-00005B010000}"/>
    <hyperlink ref="A423" r:id="rId349" display="https://webagentes.canaldirecto.com.ar/incidents/view/678933-0" xr:uid="{00000000-0004-0000-0300-00005C010000}"/>
    <hyperlink ref="A424" r:id="rId350" display="https://webagentes.canaldirecto.com.ar/incidents/view/678930-3" xr:uid="{00000000-0004-0000-0300-00005D010000}"/>
    <hyperlink ref="A366" r:id="rId351" display="https://webagentes.canaldirecto.com.ar/incidents/view/678378-9" xr:uid="{00000000-0004-0000-0300-00005E010000}"/>
    <hyperlink ref="A390" r:id="rId352" display="https://webagentes.canaldirecto.com.ar/incidents/view/678376-1" xr:uid="{00000000-0004-0000-0300-00005F010000}"/>
    <hyperlink ref="A373" r:id="rId353" display="https://webagentes.canaldirecto.com.ar/incidents/view/678342-4" xr:uid="{00000000-0004-0000-0300-000060010000}"/>
    <hyperlink ref="A372" r:id="rId354" display="https://webagentes.canaldirecto.com.ar/incidents/view/678341-5" xr:uid="{00000000-0004-0000-0300-000061010000}"/>
    <hyperlink ref="A371" r:id="rId355" display="https://webagentes.canaldirecto.com.ar/incidents/view/678340-6" xr:uid="{00000000-0004-0000-0300-000062010000}"/>
    <hyperlink ref="A414" r:id="rId356" display="https://webagentes.canaldirecto.com.ar/incidents/view/678240-7" xr:uid="{00000000-0004-0000-0300-000063010000}"/>
    <hyperlink ref="A413" r:id="rId357" display="https://webagentes.canaldirecto.com.ar/incidents/view/678239-1" xr:uid="{00000000-0004-0000-0300-000064010000}"/>
    <hyperlink ref="A412" r:id="rId358" display="https://webagentes.canaldirecto.com.ar/incidents/view/678238-2" xr:uid="{00000000-0004-0000-0300-000065010000}"/>
    <hyperlink ref="A411" r:id="rId359" display="https://webagentes.canaldirecto.com.ar/incidents/view/678237-3" xr:uid="{00000000-0004-0000-0300-000066010000}"/>
    <hyperlink ref="A421" r:id="rId360" display="https://webagentes.canaldirecto.com.ar/incidents/view/678236-4" xr:uid="{00000000-0004-0000-0300-000067010000}"/>
    <hyperlink ref="A410" r:id="rId361" display="https://webagentes.canaldirecto.com.ar/incidents/view/678235-5" xr:uid="{00000000-0004-0000-0300-000068010000}"/>
    <hyperlink ref="A409" r:id="rId362" display="https://webagentes.canaldirecto.com.ar/incidents/view/678234-6" xr:uid="{00000000-0004-0000-0300-000069010000}"/>
    <hyperlink ref="A408" r:id="rId363" display="https://webagentes.canaldirecto.com.ar/incidents/view/678232-8" xr:uid="{00000000-0004-0000-0300-00006A010000}"/>
    <hyperlink ref="A407" r:id="rId364" display="https://webagentes.canaldirecto.com.ar/incidents/view/678231-9" xr:uid="{00000000-0004-0000-0300-00006B010000}"/>
    <hyperlink ref="A365" r:id="rId365" display="https://webagentes.canaldirecto.com.ar/incidents/view/678128-6" xr:uid="{00000000-0004-0000-0300-00006C010000}"/>
    <hyperlink ref="A368" r:id="rId366" display="https://webagentes.canaldirecto.com.ar/incidents/view/678114-3" xr:uid="{00000000-0004-0000-0300-00006D010000}"/>
    <hyperlink ref="A388" r:id="rId367" display="https://webagentes.canaldirecto.com.ar/incidents/view/678090-4" xr:uid="{00000000-0004-0000-0300-00006E010000}"/>
    <hyperlink ref="A406" r:id="rId368" display="https://webagentes.canaldirecto.com.ar/incidents/view/678088-9" xr:uid="{00000000-0004-0000-0300-00006F010000}"/>
    <hyperlink ref="A405" r:id="rId369" display="https://webagentes.canaldirecto.com.ar/incidents/view/678087-0" xr:uid="{00000000-0004-0000-0300-000070010000}"/>
    <hyperlink ref="A404" r:id="rId370" display="https://webagentes.canaldirecto.com.ar/incidents/view/678086-1" xr:uid="{00000000-0004-0000-0300-000071010000}"/>
    <hyperlink ref="A401" r:id="rId371" display="https://webagentes.canaldirecto.com.ar/incidents/view/678084-3" xr:uid="{00000000-0004-0000-0300-000072010000}"/>
    <hyperlink ref="A400" r:id="rId372" display="https://webagentes.canaldirecto.com.ar/incidents/view/678083-4" xr:uid="{00000000-0004-0000-0300-000073010000}"/>
    <hyperlink ref="A399" r:id="rId373" display="https://webagentes.canaldirecto.com.ar/incidents/view/678082-5" xr:uid="{00000000-0004-0000-0300-000074010000}"/>
    <hyperlink ref="A369" r:id="rId374" display="https://webagentes.canaldirecto.com.ar/incidents/view/678032-0" xr:uid="{00000000-0004-0000-0300-000075010000}"/>
    <hyperlink ref="A370" r:id="rId375" display="https://webagentes.canaldirecto.com.ar/incidents/view/677947-6" xr:uid="{00000000-0004-0000-0300-000076010000}"/>
    <hyperlink ref="A367" r:id="rId376" display="https://webagentes.canaldirecto.com.ar/incidents/view/677942-1" xr:uid="{00000000-0004-0000-0300-000077010000}"/>
    <hyperlink ref="A396" r:id="rId377" display="https://webagentes.canaldirecto.com.ar/incidents/view/677930-6" xr:uid="{00000000-0004-0000-0300-000078010000}"/>
    <hyperlink ref="A397" r:id="rId378" display="https://webagentes.canaldirecto.com.ar/incidents/view/677929-0" xr:uid="{00000000-0004-0000-0300-000079010000}"/>
    <hyperlink ref="A417" r:id="rId379" display="https://webagentes.canaldirecto.com.ar/incidents/view/677727-4" xr:uid="{00000000-0004-0000-0300-00007A010000}"/>
    <hyperlink ref="A416" r:id="rId380" display="https://webagentes.canaldirecto.com.ar/incidents/view/677726-5" xr:uid="{00000000-0004-0000-0300-00007B010000}"/>
    <hyperlink ref="A422" r:id="rId381" display="https://webagentes.canaldirecto.com.ar/incidents/view/677725-6" xr:uid="{00000000-0004-0000-0300-00007C010000}"/>
    <hyperlink ref="A415" r:id="rId382" display="https://webagentes.canaldirecto.com.ar/incidents/view/677724-7" xr:uid="{00000000-0004-0000-0300-00007D010000}"/>
    <hyperlink ref="A398" r:id="rId383" display="https://webagentes.canaldirecto.com.ar/incidents/view/677719-5" xr:uid="{00000000-0004-0000-0300-00007E010000}"/>
    <hyperlink ref="A402" r:id="rId384" display="https://webagentes.canaldirecto.com.ar/incidents/view/677718-6" xr:uid="{00000000-0004-0000-0300-00007F010000}"/>
    <hyperlink ref="A403" r:id="rId385" display="https://webagentes.canaldirecto.com.ar/incidents/view/677716-8" xr:uid="{00000000-0004-0000-0300-000080010000}"/>
    <hyperlink ref="A420" r:id="rId386" display="https://webagentes.canaldirecto.com.ar/incidents/view/677406-4" xr:uid="{00000000-0004-0000-0300-000081010000}"/>
    <hyperlink ref="A419" r:id="rId387" display="https://webagentes.canaldirecto.com.ar/incidents/view/677405-5" xr:uid="{00000000-0004-0000-0300-000082010000}"/>
    <hyperlink ref="A418" r:id="rId388" display="https://webagentes.canaldirecto.com.ar/incidents/view/677404-6" xr:uid="{00000000-0004-0000-0300-000083010000}"/>
    <hyperlink ref="A362" r:id="rId389" display="https://webagentes.canaldirecto.com.ar/incidents/view/677403-7" xr:uid="{00000000-0004-0000-0300-000084010000}"/>
    <hyperlink ref="A364" r:id="rId390" display="https://webagentes.canaldirecto.com.ar/incidents/view/676823-0" xr:uid="{00000000-0004-0000-0300-000085010000}"/>
    <hyperlink ref="A395" r:id="rId391" display="https://webagentes.canaldirecto.com.ar/incidents/view/676799-4" xr:uid="{00000000-0004-0000-0300-000086010000}"/>
    <hyperlink ref="A363" r:id="rId392" display="https://webagentes.canaldirecto.com.ar/incidents/view/676242-1" xr:uid="{00000000-0004-0000-0300-000087010000}"/>
    <hyperlink ref="A393" r:id="rId393" display="https://webagentes.canaldirecto.com.ar/incidents/view/670920-0" xr:uid="{00000000-0004-0000-0300-000088010000}"/>
    <hyperlink ref="A394" r:id="rId394" display="https://webagentes.canaldirecto.com.ar/incidents/view/670919-4" xr:uid="{00000000-0004-0000-0300-000089010000}"/>
    <hyperlink ref="A392" r:id="rId395" display="https://webagentes.canaldirecto.com.ar/incidents/view/669757-0" xr:uid="{00000000-0004-0000-0300-00008A010000}"/>
    <hyperlink ref="A427" r:id="rId396" display="https://webagentes.canaldirecto.com.ar/incidents/view/496259-5" xr:uid="{00000000-0004-0000-0300-00008B010000}"/>
    <hyperlink ref="A458" r:id="rId397" display="https://webagentes.canaldirecto.com.ar/incidents/view/684124-1" xr:uid="{00000000-0004-0000-0300-00008C010000}"/>
    <hyperlink ref="A455" r:id="rId398" display="https://webagentes.canaldirecto.com.ar/incidents/view/684096-9" xr:uid="{00000000-0004-0000-0300-00008D010000}"/>
    <hyperlink ref="A456" r:id="rId399" display="https://webagentes.canaldirecto.com.ar/incidents/view/683703-5" xr:uid="{00000000-0004-0000-0300-00008E010000}"/>
    <hyperlink ref="A457" r:id="rId400" display="https://webagentes.canaldirecto.com.ar/incidents/view/683692-0" xr:uid="{00000000-0004-0000-0300-00008F010000}"/>
    <hyperlink ref="A459" r:id="rId401" display="https://webagentes.canaldirecto.com.ar/incidents/view/683572-7" xr:uid="{00000000-0004-0000-0300-000090010000}"/>
    <hyperlink ref="A454" r:id="rId402" display="https://webagentes.canaldirecto.com.ar/incidents/view/683566-6" xr:uid="{00000000-0004-0000-0300-000091010000}"/>
    <hyperlink ref="A448" r:id="rId403" display="https://webagentes.canaldirecto.com.ar/incidents/view/683237-7" xr:uid="{00000000-0004-0000-0300-000092010000}"/>
    <hyperlink ref="A452" r:id="rId404" display="https://webagentes.canaldirecto.com.ar/incidents/view/683203-0" xr:uid="{00000000-0004-0000-0300-000093010000}"/>
    <hyperlink ref="A453" r:id="rId405" display="https://webagentes.canaldirecto.com.ar/incidents/view/683202-1" xr:uid="{00000000-0004-0000-0300-000094010000}"/>
    <hyperlink ref="A451" r:id="rId406" display="https://webagentes.canaldirecto.com.ar/incidents/view/682920-3" xr:uid="{00000000-0004-0000-0300-000095010000}"/>
    <hyperlink ref="A447" r:id="rId407" display="https://webagentes.canaldirecto.com.ar/incidents/view/682906-3" xr:uid="{00000000-0004-0000-0300-000096010000}"/>
    <hyperlink ref="A445" r:id="rId408" display="https://webagentes.canaldirecto.com.ar/incidents/view/682753-3" xr:uid="{00000000-0004-0000-0300-000097010000}"/>
    <hyperlink ref="A449" r:id="rId409" display="https://webagentes.canaldirecto.com.ar/incidents/view/682491-6" xr:uid="{00000000-0004-0000-0300-000098010000}"/>
    <hyperlink ref="A446" r:id="rId410" display="https://webagentes.canaldirecto.com.ar/incidents/view/682257-4" xr:uid="{00000000-0004-0000-0300-000099010000}"/>
    <hyperlink ref="A443" r:id="rId411" display="https://webagentes.canaldirecto.com.ar/incidents/view/682198-2" xr:uid="{00000000-0004-0000-0300-00009A010000}"/>
    <hyperlink ref="A441" r:id="rId412" display="https://webagentes.canaldirecto.com.ar/incidents/view/681984-4" xr:uid="{00000000-0004-0000-0300-00009B010000}"/>
    <hyperlink ref="A438" r:id="rId413" display="https://webagentes.canaldirecto.com.ar/incidents/view/681901-1" xr:uid="{00000000-0004-0000-0300-00009C010000}"/>
    <hyperlink ref="A439" r:id="rId414" display="https://webagentes.canaldirecto.com.ar/incidents/view/681863-2" xr:uid="{00000000-0004-0000-0300-00009D010000}"/>
    <hyperlink ref="A442" r:id="rId415" display="https://webagentes.canaldirecto.com.ar/incidents/view/681821-6" xr:uid="{00000000-0004-0000-0300-00009E010000}"/>
    <hyperlink ref="A450" r:id="rId416" display="https://webagentes.canaldirecto.com.ar/incidents/view/681785-5" xr:uid="{00000000-0004-0000-0300-00009F010000}"/>
    <hyperlink ref="A435" r:id="rId417" display="https://webagentes.canaldirecto.com.ar/incidents/view/681547-7" xr:uid="{00000000-0004-0000-0300-0000A0010000}"/>
    <hyperlink ref="A436" r:id="rId418" display="https://webagentes.canaldirecto.com.ar/incidents/view/681341-5" xr:uid="{00000000-0004-0000-0300-0000A1010000}"/>
    <hyperlink ref="A440" r:id="rId419" display="https://webagentes.canaldirecto.com.ar/incidents/view/680996-2" xr:uid="{00000000-0004-0000-0300-0000A2010000}"/>
    <hyperlink ref="A437" r:id="rId420" display="https://webagentes.canaldirecto.com.ar/incidents/view/680694-7" xr:uid="{00000000-0004-0000-0300-0000A3010000}"/>
    <hyperlink ref="A444" r:id="rId421" display="https://webagentes.canaldirecto.com.ar/incidents/view/679876-3" xr:uid="{00000000-0004-0000-0300-0000A4010000}"/>
    <hyperlink ref="A433" r:id="rId422" display="https://webagentes.canaldirecto.com.ar/incidents/view/679711-7" xr:uid="{00000000-0004-0000-0300-0000A5010000}"/>
    <hyperlink ref="A431" r:id="rId423" display="https://webagentes.canaldirecto.com.ar/incidents/view/679196-4" xr:uid="{00000000-0004-0000-0300-0000A6010000}"/>
    <hyperlink ref="A432" r:id="rId424" display="https://webagentes.canaldirecto.com.ar/incidents/view/679195-5" xr:uid="{00000000-0004-0000-0300-0000A7010000}"/>
    <hyperlink ref="A434" r:id="rId425" display="https://webagentes.canaldirecto.com.ar/incidents/view/671056-1" xr:uid="{00000000-0004-0000-0300-0000A8010000}"/>
    <hyperlink ref="A492" r:id="rId426" display="https://webagentes.canaldirecto.com.ar/incidents/view/687273-7" xr:uid="{00000000-0004-0000-0300-0000A9010000}"/>
    <hyperlink ref="A490" r:id="rId427" display="https://webagentes.canaldirecto.com.ar/incidents/view/687069-6" xr:uid="{00000000-0004-0000-0300-0000AA010000}"/>
    <hyperlink ref="A493" r:id="rId428" display="https://webagentes.canaldirecto.com.ar/incidents/view/687056-2" xr:uid="{00000000-0004-0000-0300-0000AB010000}"/>
    <hyperlink ref="A488" r:id="rId429" display="https://webagentes.canaldirecto.com.ar/incidents/view/686963-6" xr:uid="{00000000-0004-0000-0300-0000AC010000}"/>
    <hyperlink ref="A487" r:id="rId430" display="https://webagentes.canaldirecto.com.ar/incidents/view/686944-1" xr:uid="{00000000-0004-0000-0300-0000AD010000}"/>
    <hyperlink ref="A484" r:id="rId431" display="https://webagentes.canaldirecto.com.ar/incidents/view/686644-4" xr:uid="{00000000-0004-0000-0300-0000AE010000}"/>
    <hyperlink ref="A485" r:id="rId432" display="https://webagentes.canaldirecto.com.ar/incidents/view/686295-2" xr:uid="{00000000-0004-0000-0300-0000AF010000}"/>
    <hyperlink ref="A481" r:id="rId433" display="https://webagentes.canaldirecto.com.ar/incidents/view/686294-3" xr:uid="{00000000-0004-0000-0300-0000B0010000}"/>
    <hyperlink ref="A483" r:id="rId434" display="https://webagentes.canaldirecto.com.ar/incidents/view/686165-2" xr:uid="{00000000-0004-0000-0300-0000B1010000}"/>
    <hyperlink ref="A482" r:id="rId435" display="https://webagentes.canaldirecto.com.ar/incidents/view/686069-9" xr:uid="{00000000-0004-0000-0300-0000B2010000}"/>
    <hyperlink ref="A489" r:id="rId436" display="https://webagentes.canaldirecto.com.ar/incidents/view/686033-4" xr:uid="{00000000-0004-0000-0300-0000B3010000}"/>
    <hyperlink ref="A518" r:id="rId437" display="https://webagentes.canaldirecto.com.ar/incidents/view/686017-6" xr:uid="{00000000-0004-0000-0300-0000B4010000}"/>
    <hyperlink ref="A517" r:id="rId438" display="https://webagentes.canaldirecto.com.ar/incidents/view/686015-8" xr:uid="{00000000-0004-0000-0300-0000B5010000}"/>
    <hyperlink ref="A516" r:id="rId439" display="https://webagentes.canaldirecto.com.ar/incidents/view/686014-9" xr:uid="{00000000-0004-0000-0300-0000B6010000}"/>
    <hyperlink ref="A515" r:id="rId440" display="https://webagentes.canaldirecto.com.ar/incidents/view/686013-0" xr:uid="{00000000-0004-0000-0300-0000B7010000}"/>
    <hyperlink ref="A514" r:id="rId441" display="https://webagentes.canaldirecto.com.ar/incidents/view/686012-1" xr:uid="{00000000-0004-0000-0300-0000B8010000}"/>
    <hyperlink ref="A513" r:id="rId442" display="https://webagentes.canaldirecto.com.ar/incidents/view/686011-2" xr:uid="{00000000-0004-0000-0300-0000B9010000}"/>
    <hyperlink ref="A512" r:id="rId443" display="https://webagentes.canaldirecto.com.ar/incidents/view/686009-7" xr:uid="{00000000-0004-0000-0300-0000BA010000}"/>
    <hyperlink ref="A511" r:id="rId444" display="https://webagentes.canaldirecto.com.ar/incidents/view/686008-8" xr:uid="{00000000-0004-0000-0300-0000BB010000}"/>
    <hyperlink ref="A510" r:id="rId445" display="https://webagentes.canaldirecto.com.ar/incidents/view/686007-9" xr:uid="{00000000-0004-0000-0300-0000BC010000}"/>
    <hyperlink ref="A480" r:id="rId446" display="https://webagentes.canaldirecto.com.ar/incidents/view/685768-6" xr:uid="{00000000-0004-0000-0300-0000BD010000}"/>
    <hyperlink ref="A479" r:id="rId447" display="https://webagentes.canaldirecto.com.ar/incidents/view/685756-1" xr:uid="{00000000-0004-0000-0300-0000BE010000}"/>
    <hyperlink ref="A491" r:id="rId448" display="https://webagentes.canaldirecto.com.ar/incidents/view/685603-0" xr:uid="{00000000-0004-0000-0300-0000BF010000}"/>
    <hyperlink ref="A476" r:id="rId449" display="https://webagentes.canaldirecto.com.ar/incidents/view/685194-7" xr:uid="{00000000-0004-0000-0300-0000C0010000}"/>
    <hyperlink ref="A477" r:id="rId450" display="https://webagentes.canaldirecto.com.ar/incidents/view/685193-8" xr:uid="{00000000-0004-0000-0300-0000C1010000}"/>
    <hyperlink ref="A475" r:id="rId451" display="https://webagentes.canaldirecto.com.ar/incidents/view/685160-0" xr:uid="{00000000-0004-0000-0300-0000C2010000}"/>
    <hyperlink ref="A470" r:id="rId452" display="https://webagentes.canaldirecto.com.ar/incidents/view/685159-4" xr:uid="{00000000-0004-0000-0300-0000C3010000}"/>
    <hyperlink ref="A469" r:id="rId453" display="https://webagentes.canaldirecto.com.ar/incidents/view/685079-9" xr:uid="{00000000-0004-0000-0300-0000C4010000}"/>
    <hyperlink ref="A474" r:id="rId454" display="https://webagentes.canaldirecto.com.ar/incidents/view/684977-5" xr:uid="{00000000-0004-0000-0300-0000C5010000}"/>
    <hyperlink ref="A472" r:id="rId455" display="https://webagentes.canaldirecto.com.ar/incidents/view/684764-3" xr:uid="{00000000-0004-0000-0300-0000C6010000}"/>
    <hyperlink ref="A486" r:id="rId456" display="https://webagentes.canaldirecto.com.ar/incidents/view/684749-4" xr:uid="{00000000-0004-0000-0300-0000C7010000}"/>
    <hyperlink ref="A466" r:id="rId457" display="https://webagentes.canaldirecto.com.ar/incidents/view/684632-5" xr:uid="{00000000-0004-0000-0300-0000C8010000}"/>
    <hyperlink ref="A471" r:id="rId458" display="https://webagentes.canaldirecto.com.ar/incidents/view/684534-4" xr:uid="{00000000-0004-0000-0300-0000C9010000}"/>
    <hyperlink ref="A499" r:id="rId459" display="https://webagentes.canaldirecto.com.ar/incidents/view/684414-1" xr:uid="{00000000-0004-0000-0300-0000CA010000}"/>
    <hyperlink ref="A498" r:id="rId460" display="https://webagentes.canaldirecto.com.ar/incidents/view/684413-2" xr:uid="{00000000-0004-0000-0300-0000CB010000}"/>
    <hyperlink ref="A497" r:id="rId461" display="https://webagentes.canaldirecto.com.ar/incidents/view/684412-3" xr:uid="{00000000-0004-0000-0300-0000CC010000}"/>
    <hyperlink ref="A496" r:id="rId462" display="https://webagentes.canaldirecto.com.ar/incidents/view/684411-4" xr:uid="{00000000-0004-0000-0300-0000CD010000}"/>
    <hyperlink ref="A495" r:id="rId463" display="https://webagentes.canaldirecto.com.ar/incidents/view/684410-5" xr:uid="{00000000-0004-0000-0300-0000CE010000}"/>
    <hyperlink ref="A473" r:id="rId464" display="https://webagentes.canaldirecto.com.ar/incidents/view/684341-6" xr:uid="{00000000-0004-0000-0300-0000CF010000}"/>
    <hyperlink ref="A468" r:id="rId465" display="https://webagentes.canaldirecto.com.ar/incidents/view/684295-8" xr:uid="{00000000-0004-0000-0300-0000D0010000}"/>
    <hyperlink ref="A462" r:id="rId466" display="https://webagentes.canaldirecto.com.ar/incidents/view/684286-0" xr:uid="{00000000-0004-0000-0300-0000D1010000}"/>
    <hyperlink ref="A478" r:id="rId467" display="https://webagentes.canaldirecto.com.ar/incidents/view/684253-2" xr:uid="{00000000-0004-0000-0300-0000D2010000}"/>
    <hyperlink ref="A464" r:id="rId468" display="https://webagentes.canaldirecto.com.ar/incidents/view/684164-9" xr:uid="{00000000-0004-0000-0300-0000D3010000}"/>
    <hyperlink ref="A465" r:id="rId469" display="https://webagentes.canaldirecto.com.ar/incidents/view/683825-6" xr:uid="{00000000-0004-0000-0300-0000D4010000}"/>
    <hyperlink ref="A467" r:id="rId470" display="https://webagentes.canaldirecto.com.ar/incidents/view/683696-6" xr:uid="{00000000-0004-0000-0300-0000D5010000}"/>
    <hyperlink ref="A463" r:id="rId471" display="https://webagentes.canaldirecto.com.ar/incidents/view/683583-3" xr:uid="{00000000-0004-0000-0300-0000D6010000}"/>
    <hyperlink ref="A509" r:id="rId472" display="https://webagentes.canaldirecto.com.ar/incidents/view/683553-2" xr:uid="{00000000-0004-0000-0300-0000D7010000}"/>
    <hyperlink ref="A508" r:id="rId473" display="https://webagentes.canaldirecto.com.ar/incidents/view/683552-3" xr:uid="{00000000-0004-0000-0300-0000D8010000}"/>
    <hyperlink ref="A507" r:id="rId474" display="https://webagentes.canaldirecto.com.ar/incidents/view/683551-4" xr:uid="{00000000-0004-0000-0300-0000D9010000}"/>
    <hyperlink ref="A506" r:id="rId475" display="https://webagentes.canaldirecto.com.ar/incidents/view/683550-5" xr:uid="{00000000-0004-0000-0300-0000DA010000}"/>
    <hyperlink ref="A505" r:id="rId476" display="https://webagentes.canaldirecto.com.ar/incidents/view/683549-9" xr:uid="{00000000-0004-0000-0300-0000DB010000}"/>
    <hyperlink ref="A504" r:id="rId477" display="https://webagentes.canaldirecto.com.ar/incidents/view/683548-0" xr:uid="{00000000-0004-0000-0300-0000DC010000}"/>
    <hyperlink ref="A503" r:id="rId478" display="https://webagentes.canaldirecto.com.ar/incidents/view/683547-1" xr:uid="{00000000-0004-0000-0300-0000DD010000}"/>
    <hyperlink ref="A502" r:id="rId479" display="https://webagentes.canaldirecto.com.ar/incidents/view/683545-3" xr:uid="{00000000-0004-0000-0300-0000DE010000}"/>
    <hyperlink ref="A501" r:id="rId480" display="https://webagentes.canaldirecto.com.ar/incidents/view/683544-4" xr:uid="{00000000-0004-0000-0300-0000DF010000}"/>
    <hyperlink ref="A500" r:id="rId481" display="https://webagentes.canaldirecto.com.ar/incidents/view/683543-5" xr:uid="{00000000-0004-0000-0300-0000E0010000}"/>
    <hyperlink ref="A591" r:id="rId482" display="https://webagentes.canaldirecto.com.ar/incidents/view/690271-9" xr:uid="{00000000-0004-0000-0300-0000E1010000}"/>
    <hyperlink ref="A589" r:id="rId483" display="https://webagentes.canaldirecto.com.ar/incidents/view/690270-0" xr:uid="{00000000-0004-0000-0300-0000E2010000}"/>
    <hyperlink ref="A550" r:id="rId484" display="https://webagentes.canaldirecto.com.ar/incidents/view/690258-8" xr:uid="{00000000-0004-0000-0300-0000E3010000}"/>
    <hyperlink ref="A547" r:id="rId485" display="https://webagentes.canaldirecto.com.ar/incidents/view/689954-9" xr:uid="{00000000-0004-0000-0300-0000E4010000}"/>
    <hyperlink ref="A546" r:id="rId486" display="https://webagentes.canaldirecto.com.ar/incidents/view/689853-1" xr:uid="{00000000-0004-0000-0300-0000E5010000}"/>
    <hyperlink ref="A549" r:id="rId487" display="https://webagentes.canaldirecto.com.ar/incidents/view/689644-5" xr:uid="{00000000-0004-0000-0300-0000E6010000}"/>
    <hyperlink ref="A548" r:id="rId488" display="https://webagentes.canaldirecto.com.ar/incidents/view/689541-9" xr:uid="{00000000-0004-0000-0300-0000E7010000}"/>
    <hyperlink ref="A587" r:id="rId489" display="https://webagentes.canaldirecto.com.ar/incidents/view/689537-6" xr:uid="{00000000-0004-0000-0300-0000E8010000}"/>
    <hyperlink ref="A586" r:id="rId490" display="https://webagentes.canaldirecto.com.ar/incidents/view/689536-7" xr:uid="{00000000-0004-0000-0300-0000E9010000}"/>
    <hyperlink ref="A588" r:id="rId491" display="https://webagentes.canaldirecto.com.ar/incidents/view/689535-8" xr:uid="{00000000-0004-0000-0300-0000EA010000}"/>
    <hyperlink ref="A571" r:id="rId492" display="https://webagentes.canaldirecto.com.ar/incidents/view/689534-9" xr:uid="{00000000-0004-0000-0300-0000EB010000}"/>
    <hyperlink ref="A568" r:id="rId493" display="https://webagentes.canaldirecto.com.ar/incidents/view/689533-0" xr:uid="{00000000-0004-0000-0300-0000EC010000}"/>
    <hyperlink ref="A570" r:id="rId494" display="https://webagentes.canaldirecto.com.ar/incidents/view/689532-1" xr:uid="{00000000-0004-0000-0300-0000ED010000}"/>
    <hyperlink ref="A569" r:id="rId495" display="https://webagentes.canaldirecto.com.ar/incidents/view/689531-2" xr:uid="{00000000-0004-0000-0300-0000EE010000}"/>
    <hyperlink ref="A545" r:id="rId496" display="https://webagentes.canaldirecto.com.ar/incidents/view/689423-4" xr:uid="{00000000-0004-0000-0300-0000EF010000}"/>
    <hyperlink ref="A585" r:id="rId497" display="https://webagentes.canaldirecto.com.ar/incidents/view/689382-8" xr:uid="{00000000-0004-0000-0300-0000F0010000}"/>
    <hyperlink ref="A584" r:id="rId498" display="https://webagentes.canaldirecto.com.ar/incidents/view/689381-9" xr:uid="{00000000-0004-0000-0300-0000F1010000}"/>
    <hyperlink ref="A583" r:id="rId499" display="https://webagentes.canaldirecto.com.ar/incidents/view/689380-0" xr:uid="{00000000-0004-0000-0300-0000F2010000}"/>
    <hyperlink ref="A582" r:id="rId500" display="https://webagentes.canaldirecto.com.ar/incidents/view/689379-4" xr:uid="{00000000-0004-0000-0300-0000F3010000}"/>
    <hyperlink ref="A581" r:id="rId501" display="https://webagentes.canaldirecto.com.ar/incidents/view/689378-5" xr:uid="{00000000-0004-0000-0300-0000F4010000}"/>
    <hyperlink ref="A580" r:id="rId502" display="https://webagentes.canaldirecto.com.ar/incidents/view/689377-6" xr:uid="{00000000-0004-0000-0300-0000F5010000}"/>
    <hyperlink ref="A579" r:id="rId503" display="https://webagentes.canaldirecto.com.ar/incidents/view/689376-7" xr:uid="{00000000-0004-0000-0300-0000F6010000}"/>
    <hyperlink ref="A578" r:id="rId504" display="https://webagentes.canaldirecto.com.ar/incidents/view/689375-8" xr:uid="{00000000-0004-0000-0300-0000F7010000}"/>
    <hyperlink ref="A577" r:id="rId505" display="https://webagentes.canaldirecto.com.ar/incidents/view/689374-9" xr:uid="{00000000-0004-0000-0300-0000F8010000}"/>
    <hyperlink ref="A576" r:id="rId506" display="https://webagentes.canaldirecto.com.ar/incidents/view/689373-0" xr:uid="{00000000-0004-0000-0300-0000F9010000}"/>
    <hyperlink ref="A575" r:id="rId507" display="https://webagentes.canaldirecto.com.ar/incidents/view/689372-1" xr:uid="{00000000-0004-0000-0300-0000FA010000}"/>
    <hyperlink ref="A574" r:id="rId508" display="https://webagentes.canaldirecto.com.ar/incidents/view/689371-2" xr:uid="{00000000-0004-0000-0300-0000FB010000}"/>
    <hyperlink ref="A573" r:id="rId509" display="https://webagentes.canaldirecto.com.ar/incidents/view/689370-3" xr:uid="{00000000-0004-0000-0300-0000FC010000}"/>
    <hyperlink ref="A572" r:id="rId510" display="https://webagentes.canaldirecto.com.ar/incidents/view/689369-7" xr:uid="{00000000-0004-0000-0300-0000FD010000}"/>
    <hyperlink ref="A542" r:id="rId511" display="https://webagentes.canaldirecto.com.ar/incidents/view/689255-5" xr:uid="{00000000-0004-0000-0300-0000FE010000}"/>
    <hyperlink ref="A543" r:id="rId512" display="https://webagentes.canaldirecto.com.ar/incidents/view/689215-7" xr:uid="{00000000-0004-0000-0300-0000FF010000}"/>
    <hyperlink ref="A540" r:id="rId513" display="https://webagentes.canaldirecto.com.ar/incidents/view/689110-3" xr:uid="{00000000-0004-0000-0300-000000020000}"/>
    <hyperlink ref="A539" r:id="rId514" display="https://webagentes.canaldirecto.com.ar/incidents/view/688899-6" xr:uid="{00000000-0004-0000-0300-000001020000}"/>
    <hyperlink ref="A541" r:id="rId515" display="https://webagentes.canaldirecto.com.ar/incidents/view/688784-5" xr:uid="{00000000-0004-0000-0300-000002020000}"/>
    <hyperlink ref="A538" r:id="rId516" display="https://webagentes.canaldirecto.com.ar/incidents/view/688648-4" xr:uid="{00000000-0004-0000-0300-000003020000}"/>
    <hyperlink ref="A537" r:id="rId517" display="https://webagentes.canaldirecto.com.ar/incidents/view/688647-5" xr:uid="{00000000-0004-0000-0300-000004020000}"/>
    <hyperlink ref="A536" r:id="rId518" display="https://webagentes.canaldirecto.com.ar/incidents/view/688286-8" xr:uid="{00000000-0004-0000-0300-000005020000}"/>
    <hyperlink ref="A565" r:id="rId519" display="https://webagentes.canaldirecto.com.ar/incidents/view/688193-9" xr:uid="{00000000-0004-0000-0300-000006020000}"/>
    <hyperlink ref="A564" r:id="rId520" display="https://webagentes.canaldirecto.com.ar/incidents/view/688192-0" xr:uid="{00000000-0004-0000-0300-000007020000}"/>
    <hyperlink ref="A563" r:id="rId521" display="https://webagentes.canaldirecto.com.ar/incidents/view/688191-1" xr:uid="{00000000-0004-0000-0300-000008020000}"/>
    <hyperlink ref="A562" r:id="rId522" display="https://webagentes.canaldirecto.com.ar/incidents/view/688190-2" xr:uid="{00000000-0004-0000-0300-000009020000}"/>
    <hyperlink ref="A567" r:id="rId523" display="https://webagentes.canaldirecto.com.ar/incidents/view/688189-6" xr:uid="{00000000-0004-0000-0300-00000A020000}"/>
    <hyperlink ref="A566" r:id="rId524" display="https://webagentes.canaldirecto.com.ar/incidents/view/688187-8" xr:uid="{00000000-0004-0000-0300-00000B020000}"/>
    <hyperlink ref="A533" r:id="rId525" display="https://webagentes.canaldirecto.com.ar/incidents/view/688152-2" xr:uid="{00000000-0004-0000-0300-00000C020000}"/>
    <hyperlink ref="A556" r:id="rId526" display="https://webagentes.canaldirecto.com.ar/incidents/view/688078-1" xr:uid="{00000000-0004-0000-0300-00000D020000}"/>
    <hyperlink ref="A555" r:id="rId527" display="https://webagentes.canaldirecto.com.ar/incidents/view/688077-2" xr:uid="{00000000-0004-0000-0300-00000E020000}"/>
    <hyperlink ref="A554" r:id="rId528" display="https://webagentes.canaldirecto.com.ar/incidents/view/688076-3" xr:uid="{00000000-0004-0000-0300-00000F020000}"/>
    <hyperlink ref="A553" r:id="rId529" display="https://webagentes.canaldirecto.com.ar/incidents/view/688074-5" xr:uid="{00000000-0004-0000-0300-000010020000}"/>
    <hyperlink ref="A552" r:id="rId530" display="https://webagentes.canaldirecto.com.ar/incidents/view/688072-7" xr:uid="{00000000-0004-0000-0300-000011020000}"/>
    <hyperlink ref="A532" r:id="rId531" display="https://webagentes.canaldirecto.com.ar/incidents/view/688012-5" xr:uid="{00000000-0004-0000-0300-000012020000}"/>
    <hyperlink ref="A561" r:id="rId532" display="https://webagentes.canaldirecto.com.ar/incidents/view/687989-1" xr:uid="{00000000-0004-0000-0300-000013020000}"/>
    <hyperlink ref="A560" r:id="rId533" display="https://webagentes.canaldirecto.com.ar/incidents/view/687988-2" xr:uid="{00000000-0004-0000-0300-000014020000}"/>
    <hyperlink ref="A559" r:id="rId534" display="https://webagentes.canaldirecto.com.ar/incidents/view/687987-3" xr:uid="{00000000-0004-0000-0300-000015020000}"/>
    <hyperlink ref="A558" r:id="rId535" display="https://webagentes.canaldirecto.com.ar/incidents/view/687986-4" xr:uid="{00000000-0004-0000-0300-000016020000}"/>
    <hyperlink ref="A557" r:id="rId536" display="https://webagentes.canaldirecto.com.ar/incidents/view/687985-5" xr:uid="{00000000-0004-0000-0300-000017020000}"/>
    <hyperlink ref="A523" r:id="rId537" display="https://webagentes.canaldirecto.com.ar/incidents/view/687704-2" xr:uid="{00000000-0004-0000-0300-000018020000}"/>
    <hyperlink ref="A534" r:id="rId538" display="https://webagentes.canaldirecto.com.ar/incidents/view/687654-8" xr:uid="{00000000-0004-0000-0300-000019020000}"/>
    <hyperlink ref="A526" r:id="rId539" display="https://webagentes.canaldirecto.com.ar/incidents/view/687647-8" xr:uid="{00000000-0004-0000-0300-00001A020000}"/>
    <hyperlink ref="A528" r:id="rId540" display="https://webagentes.canaldirecto.com.ar/incidents/view/687583-1" xr:uid="{00000000-0004-0000-0300-00001B020000}"/>
    <hyperlink ref="A535" r:id="rId541" display="https://webagentes.canaldirecto.com.ar/incidents/view/687530-9" xr:uid="{00000000-0004-0000-0300-00001C020000}"/>
    <hyperlink ref="A530" r:id="rId542" display="https://webagentes.canaldirecto.com.ar/incidents/view/687519-6" xr:uid="{00000000-0004-0000-0300-00001D020000}"/>
    <hyperlink ref="A529" r:id="rId543" display="https://webagentes.canaldirecto.com.ar/incidents/view/687518-7" xr:uid="{00000000-0004-0000-0300-00001E020000}"/>
    <hyperlink ref="A531" r:id="rId544" display="https://webagentes.canaldirecto.com.ar/incidents/view/687415-1" xr:uid="{00000000-0004-0000-0300-00001F020000}"/>
    <hyperlink ref="A525" r:id="rId545" display="https://webagentes.canaldirecto.com.ar/incidents/view/687260-3" xr:uid="{00000000-0004-0000-0300-000020020000}"/>
    <hyperlink ref="A522" r:id="rId546" display="https://webagentes.canaldirecto.com.ar/incidents/view/686803-5" xr:uid="{00000000-0004-0000-0300-000021020000}"/>
    <hyperlink ref="A544" r:id="rId547" display="https://webagentes.canaldirecto.com.ar/incidents/view/686659-6" xr:uid="{00000000-0004-0000-0300-000022020000}"/>
    <hyperlink ref="A524" r:id="rId548" display="https://webagentes.canaldirecto.com.ar/incidents/view/686430-3" xr:uid="{00000000-0004-0000-0300-000023020000}"/>
    <hyperlink ref="A527" r:id="rId549" display="https://webagentes.canaldirecto.com.ar/incidents/view/685586-4" xr:uid="{00000000-0004-0000-0300-000024020000}"/>
    <hyperlink ref="A592" r:id="rId550" display="https://webagentes.canaldirecto.com.ar/incidents/view/660280-0" xr:uid="{00000000-0004-0000-0300-000025020000}"/>
    <hyperlink ref="A590" r:id="rId551" display="https://webagentes.canaldirecto.com.ar/incidents/view/660276-7" xr:uid="{00000000-0004-0000-0300-000026020000}"/>
    <hyperlink ref="A625" r:id="rId552" display="https://webagentes.canaldirecto.com.ar/incidents/view/692563-1" xr:uid="{00000000-0004-0000-0300-000027020000}"/>
    <hyperlink ref="A626" r:id="rId553" display="https://webagentes.canaldirecto.com.ar/incidents/view/692357-2" xr:uid="{00000000-0004-0000-0300-000028020000}"/>
    <hyperlink ref="A624" r:id="rId554" display="https://webagentes.canaldirecto.com.ar/incidents/view/692051-1" xr:uid="{00000000-0004-0000-0300-000029020000}"/>
    <hyperlink ref="A621" r:id="rId555" display="https://webagentes.canaldirecto.com.ar/incidents/view/692043-2" xr:uid="{00000000-0004-0000-0300-00002A020000}"/>
    <hyperlink ref="A623" r:id="rId556" display="https://webagentes.canaldirecto.com.ar/incidents/view/692030-8" xr:uid="{00000000-0004-0000-0300-00002B020000}"/>
    <hyperlink ref="A622" r:id="rId557" display="https://webagentes.canaldirecto.com.ar/incidents/view/692028-3" xr:uid="{00000000-0004-0000-0300-00002C020000}"/>
    <hyperlink ref="A620" r:id="rId558" display="https://webagentes.canaldirecto.com.ar/incidents/view/691978-2" xr:uid="{00000000-0004-0000-0300-00002D020000}"/>
    <hyperlink ref="A619" r:id="rId559" display="https://webagentes.canaldirecto.com.ar/incidents/view/691976-4" xr:uid="{00000000-0004-0000-0300-00002E020000}"/>
    <hyperlink ref="A617" r:id="rId560" display="https://webagentes.canaldirecto.com.ar/incidents/view/691841-9" xr:uid="{00000000-0004-0000-0300-00002F020000}"/>
    <hyperlink ref="A618" r:id="rId561" display="https://webagentes.canaldirecto.com.ar/incidents/view/691759-9" xr:uid="{00000000-0004-0000-0300-000030020000}"/>
    <hyperlink ref="A613" r:id="rId562" display="https://webagentes.canaldirecto.com.ar/incidents/view/691542-1" xr:uid="{00000000-0004-0000-0300-000031020000}"/>
    <hyperlink ref="A614" r:id="rId563" display="https://webagentes.canaldirecto.com.ar/incidents/view/691513-9" xr:uid="{00000000-0004-0000-0300-000032020000}"/>
    <hyperlink ref="A616" r:id="rId564" display="https://webagentes.canaldirecto.com.ar/incidents/view/691370-6" xr:uid="{00000000-0004-0000-0300-000033020000}"/>
    <hyperlink ref="A608" r:id="rId565" display="https://webagentes.canaldirecto.com.ar/incidents/view/691151-3" xr:uid="{00000000-0004-0000-0300-000034020000}"/>
    <hyperlink ref="A612" r:id="rId566" display="https://webagentes.canaldirecto.com.ar/incidents/view/691107-2" xr:uid="{00000000-0004-0000-0300-000035020000}"/>
    <hyperlink ref="A611" r:id="rId567" display="https://webagentes.canaldirecto.com.ar/incidents/view/691079-0" xr:uid="{00000000-0004-0000-0300-000036020000}"/>
    <hyperlink ref="A607" r:id="rId568" display="https://webagentes.canaldirecto.com.ar/incidents/view/691032-9" xr:uid="{00000000-0004-0000-0300-000037020000}"/>
    <hyperlink ref="A638" r:id="rId569" display="https://webagentes.canaldirecto.com.ar/incidents/view/690857-3" xr:uid="{00000000-0004-0000-0300-000038020000}"/>
    <hyperlink ref="A606" r:id="rId570" display="https://webagentes.canaldirecto.com.ar/incidents/view/690842-1" xr:uid="{00000000-0004-0000-0300-000039020000}"/>
    <hyperlink ref="A600" r:id="rId571" display="https://webagentes.canaldirecto.com.ar/incidents/view/690638-0" xr:uid="{00000000-0004-0000-0300-00003A020000}"/>
    <hyperlink ref="A609" r:id="rId572" display="https://webagentes.canaldirecto.com.ar/incidents/view/690636-2" xr:uid="{00000000-0004-0000-0300-00003B020000}"/>
    <hyperlink ref="A610" r:id="rId573" display="https://webagentes.canaldirecto.com.ar/incidents/view/690634-4" xr:uid="{00000000-0004-0000-0300-00003C020000}"/>
    <hyperlink ref="A605" r:id="rId574" display="https://webagentes.canaldirecto.com.ar/incidents/view/690631-7" xr:uid="{00000000-0004-0000-0300-00003D020000}"/>
    <hyperlink ref="A634" r:id="rId575" display="https://webagentes.canaldirecto.com.ar/incidents/view/690405-4" xr:uid="{00000000-0004-0000-0300-00003E020000}"/>
    <hyperlink ref="A633" r:id="rId576" display="https://webagentes.canaldirecto.com.ar/incidents/view/690404-5" xr:uid="{00000000-0004-0000-0300-00003F020000}"/>
    <hyperlink ref="A632" r:id="rId577" display="https://webagentes.canaldirecto.com.ar/incidents/view/690403-6" xr:uid="{00000000-0004-0000-0300-000040020000}"/>
    <hyperlink ref="A631" r:id="rId578" display="https://webagentes.canaldirecto.com.ar/incidents/view/690402-7" xr:uid="{00000000-0004-0000-0300-000041020000}"/>
    <hyperlink ref="A629" r:id="rId579" display="https://webagentes.canaldirecto.com.ar/incidents/view/690401-8" xr:uid="{00000000-0004-0000-0300-000042020000}"/>
    <hyperlink ref="A630" r:id="rId580" display="https://webagentes.canaldirecto.com.ar/incidents/view/690400-9" xr:uid="{00000000-0004-0000-0300-000043020000}"/>
    <hyperlink ref="A604" r:id="rId581" display="https://webagentes.canaldirecto.com.ar/incidents/view/690397-6" xr:uid="{00000000-0004-0000-0300-000044020000}"/>
    <hyperlink ref="A603" r:id="rId582" display="https://webagentes.canaldirecto.com.ar/incidents/view/690396-7" xr:uid="{00000000-0004-0000-0300-000045020000}"/>
    <hyperlink ref="A602" r:id="rId583" display="https://webagentes.canaldirecto.com.ar/incidents/view/690351-4" xr:uid="{00000000-0004-0000-0300-000046020000}"/>
    <hyperlink ref="A601" r:id="rId584" display="https://webagentes.canaldirecto.com.ar/incidents/view/690310-7" xr:uid="{00000000-0004-0000-0300-000047020000}"/>
    <hyperlink ref="A636" r:id="rId585" display="https://webagentes.canaldirecto.com.ar/incidents/view/690269-4" xr:uid="{00000000-0004-0000-0300-000048020000}"/>
    <hyperlink ref="A639" r:id="rId586" display="https://webagentes.canaldirecto.com.ar/incidents/view/690268-5" xr:uid="{00000000-0004-0000-0300-000049020000}"/>
    <hyperlink ref="A635" r:id="rId587" display="https://webagentes.canaldirecto.com.ar/incidents/view/690267-6" xr:uid="{00000000-0004-0000-0300-00004A020000}"/>
    <hyperlink ref="A640" r:id="rId588" display="https://webagentes.canaldirecto.com.ar/incidents/view/690266-7" xr:uid="{00000000-0004-0000-0300-00004B020000}"/>
    <hyperlink ref="A641" r:id="rId589" display="https://webagentes.canaldirecto.com.ar/incidents/view/690265-8" xr:uid="{00000000-0004-0000-0300-00004C020000}"/>
    <hyperlink ref="A637" r:id="rId590" display="https://webagentes.canaldirecto.com.ar/incidents/view/690263-0" xr:uid="{00000000-0004-0000-0300-00004D020000}"/>
    <hyperlink ref="A599" r:id="rId591" display="https://webagentes.canaldirecto.com.ar/incidents/view/690055-3" xr:uid="{00000000-0004-0000-0300-00004E020000}"/>
    <hyperlink ref="A615" r:id="rId592" display="https://webagentes.canaldirecto.com.ar/incidents/view/689600-1" xr:uid="{00000000-0004-0000-0300-00004F020000}"/>
    <hyperlink ref="A597" r:id="rId593" display="https://webagentes.canaldirecto.com.ar/incidents/view/689246-7" xr:uid="{00000000-0004-0000-0300-000050020000}"/>
    <hyperlink ref="A598" r:id="rId594" display="https://webagentes.canaldirecto.com.ar/incidents/view/688515-7" xr:uid="{00000000-0004-0000-0300-000051020000}"/>
    <hyperlink ref="A679" r:id="rId595" display="https://webagentes.canaldirecto.com.ar/incidents/view/695169-0" xr:uid="{00000000-0004-0000-0300-000052020000}"/>
    <hyperlink ref="A676" r:id="rId596" display="https://webagentes.canaldirecto.com.ar/incidents/view/695161-8" xr:uid="{00000000-0004-0000-0300-000053020000}"/>
    <hyperlink ref="A677" r:id="rId597" display="https://webagentes.canaldirecto.com.ar/incidents/view/695160-9" xr:uid="{00000000-0004-0000-0300-000054020000}"/>
    <hyperlink ref="A674" r:id="rId598" display="https://webagentes.canaldirecto.com.ar/incidents/view/695088-6" xr:uid="{00000000-0004-0000-0300-000055020000}"/>
    <hyperlink ref="A681" r:id="rId599" display="https://webagentes.canaldirecto.com.ar/incidents/view/695070-7" xr:uid="{00000000-0004-0000-0300-000056020000}"/>
    <hyperlink ref="A670" r:id="rId600" display="https://webagentes.canaldirecto.com.ar/incidents/view/695012-3" xr:uid="{00000000-0004-0000-0300-000057020000}"/>
    <hyperlink ref="A671" r:id="rId601" display="https://webagentes.canaldirecto.com.ar/incidents/view/694983-5" xr:uid="{00000000-0004-0000-0300-000058020000}"/>
    <hyperlink ref="A680" r:id="rId602" display="https://webagentes.canaldirecto.com.ar/incidents/view/694957-0" xr:uid="{00000000-0004-0000-0300-000059020000}"/>
    <hyperlink ref="A693" r:id="rId603" display="https://webagentes.canaldirecto.com.ar/incidents/view/694931-2" xr:uid="{00000000-0004-0000-0300-00005A020000}"/>
    <hyperlink ref="A666" r:id="rId604" display="https://webagentes.canaldirecto.com.ar/incidents/view/694914-5" xr:uid="{00000000-0004-0000-0300-00005B020000}"/>
    <hyperlink ref="A667" r:id="rId605" display="https://webagentes.canaldirecto.com.ar/incidents/view/694899-7" xr:uid="{00000000-0004-0000-0300-00005C020000}"/>
    <hyperlink ref="A668" r:id="rId606" display="https://webagentes.canaldirecto.com.ar/incidents/view/694896-0" xr:uid="{00000000-0004-0000-0300-00005D020000}"/>
    <hyperlink ref="A669" r:id="rId607" display="https://webagentes.canaldirecto.com.ar/incidents/view/694839-5" xr:uid="{00000000-0004-0000-0300-00005E020000}"/>
    <hyperlink ref="A678" r:id="rId608" display="https://webagentes.canaldirecto.com.ar/incidents/view/694765-1" xr:uid="{00000000-0004-0000-0300-00005F020000}"/>
    <hyperlink ref="A673" r:id="rId609" display="https://webagentes.canaldirecto.com.ar/incidents/view/694762-4" xr:uid="{00000000-0004-0000-0300-000060020000}"/>
    <hyperlink ref="A665" r:id="rId610" display="https://webagentes.canaldirecto.com.ar/incidents/view/694659-1" xr:uid="{00000000-0004-0000-0300-000061020000}"/>
    <hyperlink ref="A663" r:id="rId611" display="https://webagentes.canaldirecto.com.ar/incidents/view/694538-9" xr:uid="{00000000-0004-0000-0300-000062020000}"/>
    <hyperlink ref="A662" r:id="rId612" display="https://webagentes.canaldirecto.com.ar/incidents/view/694298-4" xr:uid="{00000000-0004-0000-0300-000063020000}"/>
    <hyperlink ref="A664" r:id="rId613" display="https://webagentes.canaldirecto.com.ar/incidents/view/694284-1" xr:uid="{00000000-0004-0000-0300-000064020000}"/>
    <hyperlink ref="A658" r:id="rId614" display="https://webagentes.canaldirecto.com.ar/incidents/view/694074-6" xr:uid="{00000000-0004-0000-0300-000065020000}"/>
    <hyperlink ref="A682" r:id="rId615" display="https://webagentes.canaldirecto.com.ar/incidents/view/693810-3" xr:uid="{00000000-0004-0000-0300-000066020000}"/>
    <hyperlink ref="A653" r:id="rId616" display="https://webagentes.canaldirecto.com.ar/incidents/view/693799-1" xr:uid="{00000000-0004-0000-0300-000067020000}"/>
    <hyperlink ref="A655" r:id="rId617" display="https://webagentes.canaldirecto.com.ar/incidents/view/693709-8" xr:uid="{00000000-0004-0000-0300-000068020000}"/>
    <hyperlink ref="A675" r:id="rId618" display="https://webagentes.canaldirecto.com.ar/incidents/view/693593-9" xr:uid="{00000000-0004-0000-0300-000069020000}"/>
    <hyperlink ref="A659" r:id="rId619" display="https://webagentes.canaldirecto.com.ar/incidents/view/693581-4" xr:uid="{00000000-0004-0000-0300-00006A020000}"/>
    <hyperlink ref="A652" r:id="rId620" display="https://webagentes.canaldirecto.com.ar/incidents/view/693578-0" xr:uid="{00000000-0004-0000-0300-00006B020000}"/>
    <hyperlink ref="A657" r:id="rId621" display="https://webagentes.canaldirecto.com.ar/incidents/view/693465-7" xr:uid="{00000000-0004-0000-0300-00006C020000}"/>
    <hyperlink ref="A661" r:id="rId622" display="https://webagentes.canaldirecto.com.ar/incidents/view/693386-1" xr:uid="{00000000-0004-0000-0300-00006D020000}"/>
    <hyperlink ref="A660" r:id="rId623" display="https://webagentes.canaldirecto.com.ar/incidents/view/693382-5" xr:uid="{00000000-0004-0000-0300-00006E020000}"/>
    <hyperlink ref="A654" r:id="rId624" display="https://webagentes.canaldirecto.com.ar/incidents/view/693194-2" xr:uid="{00000000-0004-0000-0300-00006F020000}"/>
    <hyperlink ref="A656" r:id="rId625" display="https://webagentes.canaldirecto.com.ar/incidents/view/693137-7" xr:uid="{00000000-0004-0000-0300-000070020000}"/>
    <hyperlink ref="A651" r:id="rId626" display="https://webagentes.canaldirecto.com.ar/incidents/view/693098-9" xr:uid="{00000000-0004-0000-0300-000071020000}"/>
    <hyperlink ref="A647" r:id="rId627" display="https://webagentes.canaldirecto.com.ar/incidents/view/692924-8" xr:uid="{00000000-0004-0000-0300-000072020000}"/>
    <hyperlink ref="A650" r:id="rId628" display="https://webagentes.canaldirecto.com.ar/incidents/view/692732-9" xr:uid="{00000000-0004-0000-0300-000073020000}"/>
    <hyperlink ref="A649" r:id="rId629" display="https://webagentes.canaldirecto.com.ar/incidents/view/692571-0" xr:uid="{00000000-0004-0000-0300-000074020000}"/>
    <hyperlink ref="A646" r:id="rId630" display="https://webagentes.canaldirecto.com.ar/incidents/view/692552-5" xr:uid="{00000000-0004-0000-0300-000075020000}"/>
    <hyperlink ref="A672" r:id="rId631" display="https://webagentes.canaldirecto.com.ar/incidents/view/692362-4" xr:uid="{00000000-0004-0000-0300-000076020000}"/>
    <hyperlink ref="A648" r:id="rId632" display="https://webagentes.canaldirecto.com.ar/incidents/view/691744-7" xr:uid="{00000000-0004-0000-0300-000077020000}"/>
    <hyperlink ref="A692" r:id="rId633" display="https://webagentes.canaldirecto.com.ar/incidents/view/691265-5" xr:uid="{00000000-0004-0000-0300-000078020000}"/>
    <hyperlink ref="A691" r:id="rId634" display="https://webagentes.canaldirecto.com.ar/incidents/view/691260-0" xr:uid="{00000000-0004-0000-0300-000079020000}"/>
    <hyperlink ref="A690" r:id="rId635" display="https://webagentes.canaldirecto.com.ar/incidents/view/691259-4" xr:uid="{00000000-0004-0000-0300-00007A020000}"/>
    <hyperlink ref="A689" r:id="rId636" display="https://webagentes.canaldirecto.com.ar/incidents/view/691258-5" xr:uid="{00000000-0004-0000-0300-00007B020000}"/>
    <hyperlink ref="A688" r:id="rId637" display="https://webagentes.canaldirecto.com.ar/incidents/view/691257-6" xr:uid="{00000000-0004-0000-0300-00007C020000}"/>
    <hyperlink ref="A687" r:id="rId638" display="https://webagentes.canaldirecto.com.ar/incidents/view/691256-7" xr:uid="{00000000-0004-0000-0300-00007D020000}"/>
    <hyperlink ref="A686" r:id="rId639" display="https://webagentes.canaldirecto.com.ar/incidents/view/691255-8" xr:uid="{00000000-0004-0000-0300-00007E020000}"/>
    <hyperlink ref="A685" r:id="rId640" display="https://webagentes.canaldirecto.com.ar/incidents/view/691254-9" xr:uid="{00000000-0004-0000-0300-00007F020000}"/>
    <hyperlink ref="A684" r:id="rId641" display="https://webagentes.canaldirecto.com.ar/incidents/view/691253-0" xr:uid="{00000000-0004-0000-0300-000080020000}"/>
    <hyperlink ref="A717" r:id="rId642" display="https://webagentes.canaldirecto.com.ar/incidents/view/698159-4" xr:uid="{00000000-0004-0000-0300-000081020000}"/>
    <hyperlink ref="A716" r:id="rId643" display="https://webagentes.canaldirecto.com.ar/incidents/view/697607-9" xr:uid="{00000000-0004-0000-0300-000082020000}"/>
    <hyperlink ref="A715" r:id="rId644" display="https://webagentes.canaldirecto.com.ar/incidents/view/697441-5" xr:uid="{00000000-0004-0000-0300-000083020000}"/>
    <hyperlink ref="A712" r:id="rId645" display="https://webagentes.canaldirecto.com.ar/incidents/view/697270-9" xr:uid="{00000000-0004-0000-0300-000084020000}"/>
    <hyperlink ref="A713" r:id="rId646" display="https://webagentes.canaldirecto.com.ar/incidents/view/697264-8" xr:uid="{00000000-0004-0000-0300-000085020000}"/>
    <hyperlink ref="A719" r:id="rId647" display="https://webagentes.canaldirecto.com.ar/incidents/view/697173-7" xr:uid="{00000000-0004-0000-0300-000086020000}"/>
    <hyperlink ref="A711" r:id="rId648" display="https://webagentes.canaldirecto.com.ar/incidents/view/696989-3" xr:uid="{00000000-0004-0000-0300-000087020000}"/>
    <hyperlink ref="A714" r:id="rId649" display="https://webagentes.canaldirecto.com.ar/incidents/view/696988-4" xr:uid="{00000000-0004-0000-0300-000088020000}"/>
    <hyperlink ref="A709" r:id="rId650" display="https://webagentes.canaldirecto.com.ar/incidents/view/696931-6" xr:uid="{00000000-0004-0000-0300-000089020000}"/>
    <hyperlink ref="A710" r:id="rId651" display="https://webagentes.canaldirecto.com.ar/incidents/view/696662-9" xr:uid="{00000000-0004-0000-0300-00008A020000}"/>
    <hyperlink ref="A704" r:id="rId652" display="https://webagentes.canaldirecto.com.ar/incidents/view/696568-4" xr:uid="{00000000-0004-0000-0300-00008B020000}"/>
    <hyperlink ref="A707" r:id="rId653" display="https://webagentes.canaldirecto.com.ar/incidents/view/696328-8" xr:uid="{00000000-0004-0000-0300-00008C020000}"/>
    <hyperlink ref="A703" r:id="rId654" display="https://webagentes.canaldirecto.com.ar/incidents/view/696257-1" xr:uid="{00000000-0004-0000-0300-00008D020000}"/>
    <hyperlink ref="A698" r:id="rId655" display="https://webagentes.canaldirecto.com.ar/incidents/view/696058-2" xr:uid="{00000000-0004-0000-0300-00008E020000}"/>
    <hyperlink ref="A705" r:id="rId656" display="https://webagentes.canaldirecto.com.ar/incidents/view/695927-6" xr:uid="{00000000-0004-0000-0300-00008F020000}"/>
    <hyperlink ref="A708" r:id="rId657" display="https://webagentes.canaldirecto.com.ar/incidents/view/695880-6" xr:uid="{00000000-0004-0000-0300-000090020000}"/>
    <hyperlink ref="A706" r:id="rId658" display="https://webagentes.canaldirecto.com.ar/incidents/view/695858-7" xr:uid="{00000000-0004-0000-0300-000091020000}"/>
    <hyperlink ref="A699" r:id="rId659" display="https://webagentes.canaldirecto.com.ar/incidents/view/695705-6" xr:uid="{00000000-0004-0000-0300-000092020000}"/>
    <hyperlink ref="A702" r:id="rId660" display="https://webagentes.canaldirecto.com.ar/incidents/view/695167-2" xr:uid="{00000000-0004-0000-0300-000093020000}"/>
    <hyperlink ref="A701" r:id="rId661" display="https://webagentes.canaldirecto.com.ar/incidents/view/695166-3" xr:uid="{00000000-0004-0000-0300-000094020000}"/>
    <hyperlink ref="A700" r:id="rId662" display="https://webagentes.canaldirecto.com.ar/incidents/view/693801-5" xr:uid="{00000000-0004-0000-0300-000095020000}"/>
    <hyperlink ref="A755" r:id="rId663" display="https://webagentes.canaldirecto.com.ar/incidents/view/701310-0" xr:uid="{00000000-0004-0000-0300-000096020000}"/>
    <hyperlink ref="A752" r:id="rId664" display="https://webagentes.canaldirecto.com.ar/incidents/view/701179-5" xr:uid="{00000000-0004-0000-0300-000097020000}"/>
    <hyperlink ref="A754" r:id="rId665" display="https://webagentes.canaldirecto.com.ar/incidents/view/701123-6" xr:uid="{00000000-0004-0000-0300-000098020000}"/>
    <hyperlink ref="A756" r:id="rId666" display="https://webagentes.canaldirecto.com.ar/incidents/view/700970-9" xr:uid="{00000000-0004-0000-0300-000099020000}"/>
    <hyperlink ref="A751" r:id="rId667" display="https://webagentes.canaldirecto.com.ar/incidents/view/700518-3" xr:uid="{00000000-0004-0000-0300-00009A020000}"/>
    <hyperlink ref="A744" r:id="rId668" display="https://webagentes.canaldirecto.com.ar/incidents/view/700495-3" xr:uid="{00000000-0004-0000-0300-00009B020000}"/>
    <hyperlink ref="A747" r:id="rId669" display="https://webagentes.canaldirecto.com.ar/incidents/view/700491-7" xr:uid="{00000000-0004-0000-0300-00009C020000}"/>
    <hyperlink ref="A749" r:id="rId670" display="https://webagentes.canaldirecto.com.ar/incidents/view/700441-2" xr:uid="{00000000-0004-0000-0300-00009D020000}"/>
    <hyperlink ref="A753" r:id="rId671" display="https://webagentes.canaldirecto.com.ar/incidents/view/700234-4" xr:uid="{00000000-0004-0000-0300-00009E020000}"/>
    <hyperlink ref="A746" r:id="rId672" display="https://webagentes.canaldirecto.com.ar/incidents/view/700111-4" xr:uid="{00000000-0004-0000-0300-00009F020000}"/>
    <hyperlink ref="A741" r:id="rId673" display="https://webagentes.canaldirecto.com.ar/incidents/view/700079-9" xr:uid="{00000000-0004-0000-0300-0000A0020000}"/>
    <hyperlink ref="A742" r:id="rId674" display="https://webagentes.canaldirecto.com.ar/incidents/view/700002-7" xr:uid="{00000000-0004-0000-0300-0000A1020000}"/>
    <hyperlink ref="A748" r:id="rId675" display="https://webagentes.canaldirecto.com.ar/incidents/view/699992-8" xr:uid="{00000000-0004-0000-0300-0000A2020000}"/>
    <hyperlink ref="A736" r:id="rId676" display="https://webagentes.canaldirecto.com.ar/incidents/view/699776-2" xr:uid="{00000000-0004-0000-0300-0000A3020000}"/>
    <hyperlink ref="A739" r:id="rId677" display="https://webagentes.canaldirecto.com.ar/incidents/view/699659-6" xr:uid="{00000000-0004-0000-0300-0000A4020000}"/>
    <hyperlink ref="A738" r:id="rId678" display="https://webagentes.canaldirecto.com.ar/incidents/view/699658-7" xr:uid="{00000000-0004-0000-0300-0000A5020000}"/>
    <hyperlink ref="A735" r:id="rId679" display="https://webagentes.canaldirecto.com.ar/incidents/view/699535-7" xr:uid="{00000000-0004-0000-0300-0000A6020000}"/>
    <hyperlink ref="A743" r:id="rId680" display="https://webagentes.canaldirecto.com.ar/incidents/view/699500-1" xr:uid="{00000000-0004-0000-0300-0000A7020000}"/>
    <hyperlink ref="A737" r:id="rId681" display="https://webagentes.canaldirecto.com.ar/incidents/view/699454-3" xr:uid="{00000000-0004-0000-0300-0000A8020000}"/>
    <hyperlink ref="A734" r:id="rId682" display="https://webagentes.canaldirecto.com.ar/incidents/view/699365-0" xr:uid="{00000000-0004-0000-0300-0000A9020000}"/>
    <hyperlink ref="A731" r:id="rId683" display="https://webagentes.canaldirecto.com.ar/incidents/view/699263-3" xr:uid="{00000000-0004-0000-0300-0000AA020000}"/>
    <hyperlink ref="A750" r:id="rId684" display="https://webagentes.canaldirecto.com.ar/incidents/view/699253-6" xr:uid="{00000000-0004-0000-0300-0000AB020000}"/>
    <hyperlink ref="A745" r:id="rId685" display="https://webagentes.canaldirecto.com.ar/incidents/view/699148-5" xr:uid="{00000000-0004-0000-0300-0000AC020000}"/>
    <hyperlink ref="A730" r:id="rId686" display="https://webagentes.canaldirecto.com.ar/incidents/view/698961-1" xr:uid="{00000000-0004-0000-0300-0000AD020000}"/>
    <hyperlink ref="A732" r:id="rId687" display="https://webagentes.canaldirecto.com.ar/incidents/view/698820-5" xr:uid="{00000000-0004-0000-0300-0000AE020000}"/>
    <hyperlink ref="A733" r:id="rId688" display="https://webagentes.canaldirecto.com.ar/incidents/view/698819-9" xr:uid="{00000000-0004-0000-0300-0000AF020000}"/>
    <hyperlink ref="A740" r:id="rId689" display="https://webagentes.canaldirecto.com.ar/incidents/view/698682-7" xr:uid="{00000000-0004-0000-0300-0000B0020000}"/>
    <hyperlink ref="A727" r:id="rId690" display="https://webagentes.canaldirecto.com.ar/incidents/view/698426-3" xr:uid="{00000000-0004-0000-0300-0000B1020000}"/>
    <hyperlink ref="A728" r:id="rId691" display="https://webagentes.canaldirecto.com.ar/incidents/view/698425-4" xr:uid="{00000000-0004-0000-0300-0000B2020000}"/>
    <hyperlink ref="A725" r:id="rId692" display="https://webagentes.canaldirecto.com.ar/incidents/view/698167-3" xr:uid="{00000000-0004-0000-0300-0000B3020000}"/>
    <hyperlink ref="A767" r:id="rId693" display="https://webagentes.canaldirecto.com.ar/incidents/view/697773-1" xr:uid="{00000000-0004-0000-0300-0000B4020000}"/>
    <hyperlink ref="A766" r:id="rId694" display="https://webagentes.canaldirecto.com.ar/incidents/view/697772-2" xr:uid="{00000000-0004-0000-0300-0000B5020000}"/>
    <hyperlink ref="A765" r:id="rId695" display="https://webagentes.canaldirecto.com.ar/incidents/view/697771-3" xr:uid="{00000000-0004-0000-0300-0000B6020000}"/>
    <hyperlink ref="A764" r:id="rId696" display="https://webagentes.canaldirecto.com.ar/incidents/view/697770-4" xr:uid="{00000000-0004-0000-0300-0000B7020000}"/>
    <hyperlink ref="A763" r:id="rId697" display="https://webagentes.canaldirecto.com.ar/incidents/view/697769-8" xr:uid="{00000000-0004-0000-0300-0000B8020000}"/>
    <hyperlink ref="A762" r:id="rId698" display="https://webagentes.canaldirecto.com.ar/incidents/view/697768-9" xr:uid="{00000000-0004-0000-0300-0000B9020000}"/>
    <hyperlink ref="A761" r:id="rId699" display="https://webagentes.canaldirecto.com.ar/incidents/view/697767-0" xr:uid="{00000000-0004-0000-0300-0000BA020000}"/>
    <hyperlink ref="A760" r:id="rId700" display="https://webagentes.canaldirecto.com.ar/incidents/view/697765-2" xr:uid="{00000000-0004-0000-0300-0000BB020000}"/>
    <hyperlink ref="A726" r:id="rId701" display="https://webagentes.canaldirecto.com.ar/incidents/view/697584-9" xr:uid="{00000000-0004-0000-0300-0000BC020000}"/>
    <hyperlink ref="A729" r:id="rId702" display="https://webagentes.canaldirecto.com.ar/incidents/view/696978-7" xr:uid="{00000000-0004-0000-0300-0000BD020000}"/>
    <hyperlink ref="A724" r:id="rId703" display="https://webagentes.canaldirecto.com.ar/incidents/view/692251-9" xr:uid="{00000000-0004-0000-0300-0000BE020000}"/>
    <hyperlink ref="A759" r:id="rId704" display="https://webagentes.canaldirecto.com.ar/incidents/view/688075-4" xr:uid="{00000000-0004-0000-0300-0000BF020000}"/>
    <hyperlink ref="A811" r:id="rId705" display="https://webagentes.canaldirecto.com.ar/incidents/view/703950-6" xr:uid="{00000000-0004-0000-0300-0000C0020000}"/>
    <hyperlink ref="A808" r:id="rId706" display="https://webagentes.canaldirecto.com.ar/incidents/view/703933-9" xr:uid="{00000000-0004-0000-0300-0000C1020000}"/>
    <hyperlink ref="A806" r:id="rId707" display="https://webagentes.canaldirecto.com.ar/incidents/view/703825-1" xr:uid="{00000000-0004-0000-0300-0000C2020000}"/>
    <hyperlink ref="A809" r:id="rId708" display="https://webagentes.canaldirecto.com.ar/incidents/view/703620-8" xr:uid="{00000000-0004-0000-0300-0000C3020000}"/>
    <hyperlink ref="A812" r:id="rId709" display="https://webagentes.canaldirecto.com.ar/incidents/view/703488-4" xr:uid="{00000000-0004-0000-0300-0000C4020000}"/>
    <hyperlink ref="A810" r:id="rId710" display="https://webagentes.canaldirecto.com.ar/incidents/view/703478-7" xr:uid="{00000000-0004-0000-0300-0000C5020000}"/>
    <hyperlink ref="A807" r:id="rId711" display="https://webagentes.canaldirecto.com.ar/incidents/view/703445-9" xr:uid="{00000000-0004-0000-0300-0000C6020000}"/>
    <hyperlink ref="A815" r:id="rId712" display="https://webagentes.canaldirecto.com.ar/incidents/view/703384-9" xr:uid="{00000000-0004-0000-0300-0000C7020000}"/>
    <hyperlink ref="A814" r:id="rId713" display="https://webagentes.canaldirecto.com.ar/incidents/view/703349-6" xr:uid="{00000000-0004-0000-0300-0000C8020000}"/>
    <hyperlink ref="A800" r:id="rId714" display="https://webagentes.canaldirecto.com.ar/incidents/view/703340-5" xr:uid="{00000000-0004-0000-0300-0000C9020000}"/>
    <hyperlink ref="A801" r:id="rId715" display="https://webagentes.canaldirecto.com.ar/incidents/view/703336-2" xr:uid="{00000000-0004-0000-0300-0000CA020000}"/>
    <hyperlink ref="A813" r:id="rId716" display="https://webagentes.canaldirecto.com.ar/incidents/view/703253-0" xr:uid="{00000000-0004-0000-0300-0000CB020000}"/>
    <hyperlink ref="A799" r:id="rId717" display="https://webagentes.canaldirecto.com.ar/incidents/view/703169-2" xr:uid="{00000000-0004-0000-0300-0000CC020000}"/>
    <hyperlink ref="A803" r:id="rId718" display="https://webagentes.canaldirecto.com.ar/incidents/view/703158-6" xr:uid="{00000000-0004-0000-0300-0000CD020000}"/>
    <hyperlink ref="A794" r:id="rId719" display="https://webagentes.canaldirecto.com.ar/incidents/view/702933-2" xr:uid="{00000000-0004-0000-0300-0000CE020000}"/>
    <hyperlink ref="A802" r:id="rId720" display="https://webagentes.canaldirecto.com.ar/incidents/view/702903-1" xr:uid="{00000000-0004-0000-0300-0000CF020000}"/>
    <hyperlink ref="A797" r:id="rId721" display="https://webagentes.canaldirecto.com.ar/incidents/view/702845-8" xr:uid="{00000000-0004-0000-0300-0000D0020000}"/>
    <hyperlink ref="A796" r:id="rId722" display="https://webagentes.canaldirecto.com.ar/incidents/view/702784-8" xr:uid="{00000000-0004-0000-0300-0000D1020000}"/>
    <hyperlink ref="A791" r:id="rId723" display="https://webagentes.canaldirecto.com.ar/incidents/view/702678-8" xr:uid="{00000000-0004-0000-0300-0000D2020000}"/>
    <hyperlink ref="A795" r:id="rId724" display="https://webagentes.canaldirecto.com.ar/incidents/view/702559-4" xr:uid="{00000000-0004-0000-0300-0000D3020000}"/>
    <hyperlink ref="A792" r:id="rId725" display="https://webagentes.canaldirecto.com.ar/incidents/view/702537-2" xr:uid="{00000000-0004-0000-0300-0000D4020000}"/>
    <hyperlink ref="A793" r:id="rId726" display="https://webagentes.canaldirecto.com.ar/incidents/view/702437-3" xr:uid="{00000000-0004-0000-0300-0000D5020000}"/>
    <hyperlink ref="A787" r:id="rId727" display="https://webagentes.canaldirecto.com.ar/incidents/view/702396-7" xr:uid="{00000000-0004-0000-0300-0000D6020000}"/>
    <hyperlink ref="A798" r:id="rId728" display="https://webagentes.canaldirecto.com.ar/incidents/view/702378-1" xr:uid="{00000000-0004-0000-0300-0000D7020000}"/>
    <hyperlink ref="A804" r:id="rId729" display="https://webagentes.canaldirecto.com.ar/incidents/view/702373-6" xr:uid="{00000000-0004-0000-0300-0000D8020000}"/>
    <hyperlink ref="A821" r:id="rId730" display="https://webagentes.canaldirecto.com.ar/incidents/view/702228-7" xr:uid="{00000000-0004-0000-0300-0000D9020000}"/>
    <hyperlink ref="A820" r:id="rId731" display="https://webagentes.canaldirecto.com.ar/incidents/view/702227-8" xr:uid="{00000000-0004-0000-0300-0000DA020000}"/>
    <hyperlink ref="A784" r:id="rId732" display="https://webagentes.canaldirecto.com.ar/incidents/view/702220-5" xr:uid="{00000000-0004-0000-0300-0000DB020000}"/>
    <hyperlink ref="A782" r:id="rId733" display="https://webagentes.canaldirecto.com.ar/incidents/view/701994-6" xr:uid="{00000000-0004-0000-0300-0000DC020000}"/>
    <hyperlink ref="A786" r:id="rId734" display="https://webagentes.canaldirecto.com.ar/incidents/view/701891-0" xr:uid="{00000000-0004-0000-0300-0000DD020000}"/>
    <hyperlink ref="A788" r:id="rId735" display="https://webagentes.canaldirecto.com.ar/incidents/view/701872-5" xr:uid="{00000000-0004-0000-0300-0000DE020000}"/>
    <hyperlink ref="A789" r:id="rId736" display="https://webagentes.canaldirecto.com.ar/incidents/view/701871-6" xr:uid="{00000000-0004-0000-0300-0000DF020000}"/>
    <hyperlink ref="A781" r:id="rId737" display="https://webagentes.canaldirecto.com.ar/incidents/view/701814-1" xr:uid="{00000000-0004-0000-0300-0000E0020000}"/>
    <hyperlink ref="A823" r:id="rId738" display="https://webagentes.canaldirecto.com.ar/incidents/view/701779-9" xr:uid="{00000000-0004-0000-0300-0000E1020000}"/>
    <hyperlink ref="A819" r:id="rId739" display="https://webagentes.canaldirecto.com.ar/incidents/view/701777-1" xr:uid="{00000000-0004-0000-0300-0000E2020000}"/>
    <hyperlink ref="A822" r:id="rId740" display="https://webagentes.canaldirecto.com.ar/incidents/view/701775-3" xr:uid="{00000000-0004-0000-0300-0000E3020000}"/>
    <hyperlink ref="A780" r:id="rId741" display="https://webagentes.canaldirecto.com.ar/incidents/view/701752-2" xr:uid="{00000000-0004-0000-0300-0000E4020000}"/>
    <hyperlink ref="A779" r:id="rId742" display="https://webagentes.canaldirecto.com.ar/incidents/view/701443-7" xr:uid="{00000000-0004-0000-0300-0000E5020000}"/>
    <hyperlink ref="A774" r:id="rId743" display="https://webagentes.canaldirecto.com.ar/incidents/view/701310-0" xr:uid="{00000000-0004-0000-0300-0000E6020000}"/>
    <hyperlink ref="A785" r:id="rId744" display="https://webagentes.canaldirecto.com.ar/incidents/view/701285-5" xr:uid="{00000000-0004-0000-0300-0000E7020000}"/>
    <hyperlink ref="A783" r:id="rId745" display="https://webagentes.canaldirecto.com.ar/incidents/view/701180-1" xr:uid="{00000000-0004-0000-0300-0000E8020000}"/>
    <hyperlink ref="A773" r:id="rId746" display="https://webagentes.canaldirecto.com.ar/incidents/view/701123-6" xr:uid="{00000000-0004-0000-0300-0000E9020000}"/>
    <hyperlink ref="A775" r:id="rId747" display="https://webagentes.canaldirecto.com.ar/incidents/view/700970-9" xr:uid="{00000000-0004-0000-0300-0000EA020000}"/>
    <hyperlink ref="A777" r:id="rId748" display="https://webagentes.canaldirecto.com.ar/incidents/view/700887-0" xr:uid="{00000000-0004-0000-0300-0000EB020000}"/>
    <hyperlink ref="A776" r:id="rId749" display="https://webagentes.canaldirecto.com.ar/incidents/view/700641-0" xr:uid="{00000000-0004-0000-0300-0000EC020000}"/>
    <hyperlink ref="A790" r:id="rId750" display="https://webagentes.canaldirecto.com.ar/incidents/view/700421-8" xr:uid="{00000000-0004-0000-0300-0000ED020000}"/>
    <hyperlink ref="A772" r:id="rId751" display="https://webagentes.canaldirecto.com.ar/incidents/view/700234-4" xr:uid="{00000000-0004-0000-0300-0000EE020000}"/>
    <hyperlink ref="A778" r:id="rId752" display="https://webagentes.canaldirecto.com.ar/incidents/view/700093-9" xr:uid="{00000000-0004-0000-0300-0000EF020000}"/>
    <hyperlink ref="A805" r:id="rId753" display="https://webagentes.canaldirecto.com.ar/incidents/view/699991-9" xr:uid="{00000000-0004-0000-0300-0000F0020000}"/>
    <hyperlink ref="A818" r:id="rId754" display="https://webagentes.canaldirecto.com.ar/incidents/view/692617-1" xr:uid="{00000000-0004-0000-0300-0000F1020000}"/>
    <hyperlink ref="A817" r:id="rId755" display="https://webagentes.canaldirecto.com.ar/incidents/view/692616-2" xr:uid="{00000000-0004-0000-0300-0000F2020000}"/>
    <hyperlink ref="A875" r:id="rId756" display="https://webagentes.canaldirecto.com.ar/incidents/view/706729-9" xr:uid="{00000000-0004-0000-0300-0000F3020000}"/>
    <hyperlink ref="A874" r:id="rId757" display="https://webagentes.canaldirecto.com.ar/incidents/view/706710-1" xr:uid="{00000000-0004-0000-0300-0000F4020000}"/>
    <hyperlink ref="A872" r:id="rId758" display="https://webagentes.canaldirecto.com.ar/incidents/view/706664-3" xr:uid="{00000000-0004-0000-0300-0000F5020000}"/>
    <hyperlink ref="A868" r:id="rId759" display="https://webagentes.canaldirecto.com.ar/incidents/view/706615-7" xr:uid="{00000000-0004-0000-0300-0000F6020000}"/>
    <hyperlink ref="A873" r:id="rId760" display="https://webagentes.canaldirecto.com.ar/incidents/view/706477-9" xr:uid="{00000000-0004-0000-0300-0000F7020000}"/>
    <hyperlink ref="A866" r:id="rId761" display="https://webagentes.canaldirecto.com.ar/incidents/view/706175-4" xr:uid="{00000000-0004-0000-0300-0000F8020000}"/>
    <hyperlink ref="A863" r:id="rId762" display="https://webagentes.canaldirecto.com.ar/incidents/view/706087-0" xr:uid="{00000000-0004-0000-0300-0000F9020000}"/>
    <hyperlink ref="A867" r:id="rId763" display="https://webagentes.canaldirecto.com.ar/incidents/view/706081-6" xr:uid="{00000000-0004-0000-0300-0000FA020000}"/>
    <hyperlink ref="A862" r:id="rId764" display="https://webagentes.canaldirecto.com.ar/incidents/view/706011-7" xr:uid="{00000000-0004-0000-0300-0000FB020000}"/>
    <hyperlink ref="A869" r:id="rId765" display="https://webagentes.canaldirecto.com.ar/incidents/view/705992-6" xr:uid="{00000000-0004-0000-0300-0000FC020000}"/>
    <hyperlink ref="A860" r:id="rId766" display="https://webagentes.canaldirecto.com.ar/incidents/view/705902-3" xr:uid="{00000000-0004-0000-0300-0000FD020000}"/>
    <hyperlink ref="A870" r:id="rId767" display="https://webagentes.canaldirecto.com.ar/incidents/view/705883-9" xr:uid="{00000000-0004-0000-0300-0000FE020000}"/>
    <hyperlink ref="A856" r:id="rId768" display="https://webagentes.canaldirecto.com.ar/incidents/view/705790-0" xr:uid="{00000000-0004-0000-0300-0000FF020000}"/>
    <hyperlink ref="A864" r:id="rId769" display="https://webagentes.canaldirecto.com.ar/incidents/view/705776-0" xr:uid="{00000000-0004-0000-0300-000000030000}"/>
    <hyperlink ref="A865" r:id="rId770" display="https://webagentes.canaldirecto.com.ar/incidents/view/705747-8" xr:uid="{00000000-0004-0000-0300-000001030000}"/>
    <hyperlink ref="A857" r:id="rId771" display="https://webagentes.canaldirecto.com.ar/incidents/view/705691-0" xr:uid="{00000000-0004-0000-0300-000002030000}"/>
    <hyperlink ref="A859" r:id="rId772" display="https://webagentes.canaldirecto.com.ar/incidents/view/705684-0" xr:uid="{00000000-0004-0000-0300-000003030000}"/>
    <hyperlink ref="A861" r:id="rId773" display="https://webagentes.canaldirecto.com.ar/incidents/view/705596-6" xr:uid="{00000000-0004-0000-0300-000004030000}"/>
    <hyperlink ref="A845" r:id="rId774" display="https://webagentes.canaldirecto.com.ar/incidents/view/705551-3" xr:uid="{00000000-0004-0000-0300-000005030000}"/>
    <hyperlink ref="A846" r:id="rId775" display="https://webagentes.canaldirecto.com.ar/incidents/view/705433-8" xr:uid="{00000000-0004-0000-0300-000006030000}"/>
    <hyperlink ref="A847" r:id="rId776" display="https://webagentes.canaldirecto.com.ar/incidents/view/705432-9" xr:uid="{00000000-0004-0000-0300-000007030000}"/>
    <hyperlink ref="A848" r:id="rId777" display="https://webagentes.canaldirecto.com.ar/incidents/view/705431-0" xr:uid="{00000000-0004-0000-0300-000008030000}"/>
    <hyperlink ref="A849" r:id="rId778" display="https://webagentes.canaldirecto.com.ar/incidents/view/705430-1" xr:uid="{00000000-0004-0000-0300-000009030000}"/>
    <hyperlink ref="A850" r:id="rId779" display="https://webagentes.canaldirecto.com.ar/incidents/view/705429-5" xr:uid="{00000000-0004-0000-0300-00000A030000}"/>
    <hyperlink ref="A851" r:id="rId780" display="https://webagentes.canaldirecto.com.ar/incidents/view/705428-6" xr:uid="{00000000-0004-0000-0300-00000B030000}"/>
    <hyperlink ref="A852" r:id="rId781" display="https://webagentes.canaldirecto.com.ar/incidents/view/705279-2" xr:uid="{00000000-0004-0000-0300-00000C030000}"/>
    <hyperlink ref="A844" r:id="rId782" display="https://webagentes.canaldirecto.com.ar/incidents/view/705230-3" xr:uid="{00000000-0004-0000-0300-00000D030000}"/>
    <hyperlink ref="A871" r:id="rId783" display="https://webagentes.canaldirecto.com.ar/incidents/view/705070-3" xr:uid="{00000000-0004-0000-0300-00000E030000}"/>
    <hyperlink ref="A854" r:id="rId784" display="https://webagentes.canaldirecto.com.ar/incidents/view/705058-1" xr:uid="{00000000-0004-0000-0300-00000F030000}"/>
    <hyperlink ref="A841" r:id="rId785" display="https://webagentes.canaldirecto.com.ar/incidents/view/704988-6" xr:uid="{00000000-0004-0000-0300-000010030000}"/>
    <hyperlink ref="A842" r:id="rId786" display="https://webagentes.canaldirecto.com.ar/incidents/view/704968-2" xr:uid="{00000000-0004-0000-0300-000011030000}"/>
    <hyperlink ref="A843" r:id="rId787" display="https://webagentes.canaldirecto.com.ar/incidents/view/704965-5" xr:uid="{00000000-0004-0000-0300-000012030000}"/>
    <hyperlink ref="A836" r:id="rId788" display="https://webagentes.canaldirecto.com.ar/incidents/view/704748-0" xr:uid="{00000000-0004-0000-0300-000013030000}"/>
    <hyperlink ref="A878" r:id="rId789" display="https://webagentes.canaldirecto.com.ar/incidents/view/704664-9" xr:uid="{00000000-0004-0000-0300-000014030000}"/>
    <hyperlink ref="A879" r:id="rId790" display="https://webagentes.canaldirecto.com.ar/incidents/view/704663-0" xr:uid="{00000000-0004-0000-0300-000015030000}"/>
    <hyperlink ref="A832" r:id="rId791" display="https://webagentes.canaldirecto.com.ar/incidents/view/704493-3" xr:uid="{00000000-0004-0000-0300-000016030000}"/>
    <hyperlink ref="A835" r:id="rId792" display="https://webagentes.canaldirecto.com.ar/incidents/view/704477-5" xr:uid="{00000000-0004-0000-0300-000017030000}"/>
    <hyperlink ref="A831" r:id="rId793" display="https://webagentes.canaldirecto.com.ar/incidents/view/704450-8" xr:uid="{00000000-0004-0000-0300-000018030000}"/>
    <hyperlink ref="A855" r:id="rId794" display="https://webagentes.canaldirecto.com.ar/incidents/view/704426-1" xr:uid="{00000000-0004-0000-0300-000019030000}"/>
    <hyperlink ref="A833" r:id="rId795" display="https://webagentes.canaldirecto.com.ar/incidents/view/704328-0" xr:uid="{00000000-0004-0000-0300-00001A030000}"/>
    <hyperlink ref="A829" r:id="rId796" display="https://webagentes.canaldirecto.com.ar/incidents/view/704291-7" xr:uid="{00000000-0004-0000-0300-00001B030000}"/>
    <hyperlink ref="A858" r:id="rId797" display="https://webagentes.canaldirecto.com.ar/incidents/view/704282-9" xr:uid="{00000000-0004-0000-0300-00001C030000}"/>
    <hyperlink ref="A853" r:id="rId798" display="https://webagentes.canaldirecto.com.ar/incidents/view/704195-4" xr:uid="{00000000-0004-0000-0300-00001D030000}"/>
    <hyperlink ref="A837" r:id="rId799" display="https://webagentes.canaldirecto.com.ar/incidents/view/704192-7" xr:uid="{00000000-0004-0000-0300-00001E030000}"/>
    <hyperlink ref="A838" r:id="rId800" display="https://webagentes.canaldirecto.com.ar/incidents/view/704191-8" xr:uid="{00000000-0004-0000-0300-00001F030000}"/>
    <hyperlink ref="A840" r:id="rId801" display="https://webagentes.canaldirecto.com.ar/incidents/view/704167-1" xr:uid="{00000000-0004-0000-0300-000020030000}"/>
    <hyperlink ref="A839" r:id="rId802" display="https://webagentes.canaldirecto.com.ar/incidents/view/703864-0" xr:uid="{00000000-0004-0000-0300-000021030000}"/>
    <hyperlink ref="A828" r:id="rId803" display="https://webagentes.canaldirecto.com.ar/incidents/view/703699-8" xr:uid="{00000000-0004-0000-0300-000022030000}"/>
    <hyperlink ref="A834" r:id="rId804" display="https://webagentes.canaldirecto.com.ar/incidents/view/703621-7" xr:uid="{00000000-0004-0000-0300-000023030000}"/>
    <hyperlink ref="A880" r:id="rId805" display="https://webagentes.canaldirecto.com.ar/incidents/view/701771-7" xr:uid="{00000000-0004-0000-0300-000024030000}"/>
    <hyperlink ref="A830" r:id="rId806" display="https://webagentes.canaldirecto.com.ar/incidents/view/698644-7" xr:uid="{00000000-0004-0000-0300-000025030000}"/>
    <hyperlink ref="A939" r:id="rId807" display="https://webagentes.canaldirecto.com.ar/incidents/view/711425-0" xr:uid="{00000000-0004-0000-0300-000026030000}"/>
    <hyperlink ref="A955" r:id="rId808" display="https://webagentes.canaldirecto.com.ar/incidents/view/711311-8" xr:uid="{00000000-0004-0000-0300-000027030000}"/>
    <hyperlink ref="A956" r:id="rId809" display="https://webagentes.canaldirecto.com.ar/incidents/view/711310-9" xr:uid="{00000000-0004-0000-0300-000028030000}"/>
    <hyperlink ref="A957" r:id="rId810" display="https://webagentes.canaldirecto.com.ar/incidents/view/711309-3" xr:uid="{00000000-0004-0000-0300-000029030000}"/>
    <hyperlink ref="A936" r:id="rId811" display="https://webagentes.canaldirecto.com.ar/incidents/view/711261-4" xr:uid="{00000000-0004-0000-0300-00002A030000}"/>
    <hyperlink ref="A937" r:id="rId812" display="https://webagentes.canaldirecto.com.ar/incidents/view/711241-0" xr:uid="{00000000-0004-0000-0300-00002B030000}"/>
    <hyperlink ref="A940" r:id="rId813" display="https://webagentes.canaldirecto.com.ar/incidents/view/710841-7" xr:uid="{00000000-0004-0000-0300-00002C030000}"/>
    <hyperlink ref="A933" r:id="rId814" display="https://webagentes.canaldirecto.com.ar/incidents/view/710617-2" xr:uid="{00000000-0004-0000-0300-00002D030000}"/>
    <hyperlink ref="A932" r:id="rId815" display="https://webagentes.canaldirecto.com.ar/incidents/view/710401-3" xr:uid="{00000000-0004-0000-0300-00002E030000}"/>
    <hyperlink ref="A934" r:id="rId816" display="https://webagentes.canaldirecto.com.ar/incidents/view/710396-2" xr:uid="{00000000-0004-0000-0300-00002F030000}"/>
    <hyperlink ref="A925" r:id="rId817" display="https://webagentes.canaldirecto.com.ar/incidents/view/710187-6" xr:uid="{00000000-0004-0000-0300-000030030000}"/>
    <hyperlink ref="A926" r:id="rId818" display="https://webagentes.canaldirecto.com.ar/incidents/view/710186-7" xr:uid="{00000000-0004-0000-0300-000031030000}"/>
    <hyperlink ref="A927" r:id="rId819" display="https://webagentes.canaldirecto.com.ar/incidents/view/710185-8" xr:uid="{00000000-0004-0000-0300-000032030000}"/>
    <hyperlink ref="A928" r:id="rId820" display="https://webagentes.canaldirecto.com.ar/incidents/view/710184-9" xr:uid="{00000000-0004-0000-0300-000033030000}"/>
    <hyperlink ref="A930" r:id="rId821" display="https://webagentes.canaldirecto.com.ar/incidents/view/710141-4" xr:uid="{00000000-0004-0000-0300-000034030000}"/>
    <hyperlink ref="A929" r:id="rId822" display="https://webagentes.canaldirecto.com.ar/incidents/view/710114-0" xr:uid="{00000000-0004-0000-0300-000035030000}"/>
    <hyperlink ref="A920" r:id="rId823" display="https://webagentes.canaldirecto.com.ar/incidents/view/710110-4" xr:uid="{00000000-0004-0000-0300-000036030000}"/>
    <hyperlink ref="A923" r:id="rId824" display="https://webagentes.canaldirecto.com.ar/incidents/view/709970-2" xr:uid="{00000000-0004-0000-0300-000037030000}"/>
    <hyperlink ref="A919" r:id="rId825" display="https://webagentes.canaldirecto.com.ar/incidents/view/709908-5" xr:uid="{00000000-0004-0000-0300-000038030000}"/>
    <hyperlink ref="A922" r:id="rId826" display="https://webagentes.canaldirecto.com.ar/incidents/view/709822-6" xr:uid="{00000000-0004-0000-0300-000039030000}"/>
    <hyperlink ref="A921" r:id="rId827" display="https://webagentes.canaldirecto.com.ar/incidents/view/709787-4" xr:uid="{00000000-0004-0000-0300-00003A030000}"/>
    <hyperlink ref="A916" r:id="rId828" display="https://webagentes.canaldirecto.com.ar/incidents/view/709738-8" xr:uid="{00000000-0004-0000-0300-00003B030000}"/>
    <hyperlink ref="A935" r:id="rId829" display="https://webagentes.canaldirecto.com.ar/incidents/view/709647-7" xr:uid="{00000000-0004-0000-0300-00003C030000}"/>
    <hyperlink ref="A915" r:id="rId830" display="https://webagentes.canaldirecto.com.ar/incidents/view/709596-4" xr:uid="{00000000-0004-0000-0300-00003D030000}"/>
    <hyperlink ref="A913" r:id="rId831" display="https://webagentes.canaldirecto.com.ar/incidents/view/709574-2" xr:uid="{00000000-0004-0000-0300-00003E030000}"/>
    <hyperlink ref="A914" r:id="rId832" display="https://webagentes.canaldirecto.com.ar/incidents/view/709472-5" xr:uid="{00000000-0004-0000-0300-00003F030000}"/>
    <hyperlink ref="A952" r:id="rId833" display="https://webagentes.canaldirecto.com.ar/incidents/view/709268-4" xr:uid="{00000000-0004-0000-0300-000040030000}"/>
    <hyperlink ref="A953" r:id="rId834" display="https://webagentes.canaldirecto.com.ar/incidents/view/709267-5" xr:uid="{00000000-0004-0000-0300-000041030000}"/>
    <hyperlink ref="A954" r:id="rId835" display="https://webagentes.canaldirecto.com.ar/incidents/view/709266-6" xr:uid="{00000000-0004-0000-0300-000042030000}"/>
    <hyperlink ref="A906" r:id="rId836" display="https://webagentes.canaldirecto.com.ar/incidents/view/709186-1" xr:uid="{00000000-0004-0000-0300-000043030000}"/>
    <hyperlink ref="A938" r:id="rId837" display="https://webagentes.canaldirecto.com.ar/incidents/view/709168-5" xr:uid="{00000000-0004-0000-0300-000044030000}"/>
    <hyperlink ref="A948" r:id="rId838" display="https://webagentes.canaldirecto.com.ar/incidents/view/709020-6" xr:uid="{00000000-0004-0000-0300-000045030000}"/>
    <hyperlink ref="A949" r:id="rId839" display="https://webagentes.canaldirecto.com.ar/incidents/view/709019-0" xr:uid="{00000000-0004-0000-0300-000046030000}"/>
    <hyperlink ref="A950" r:id="rId840" display="https://webagentes.canaldirecto.com.ar/incidents/view/709018-1" xr:uid="{00000000-0004-0000-0300-000047030000}"/>
    <hyperlink ref="A951" r:id="rId841" display="https://webagentes.canaldirecto.com.ar/incidents/view/709017-2" xr:uid="{00000000-0004-0000-0300-000048030000}"/>
    <hyperlink ref="A946" r:id="rId842" display="https://webagentes.canaldirecto.com.ar/incidents/view/709014-5" xr:uid="{00000000-0004-0000-0300-000049030000}"/>
    <hyperlink ref="A947" r:id="rId843" display="https://webagentes.canaldirecto.com.ar/incidents/view/709013-6" xr:uid="{00000000-0004-0000-0300-00004A030000}"/>
    <hyperlink ref="A902" r:id="rId844" display="https://webagentes.canaldirecto.com.ar/incidents/view/708939-8" xr:uid="{00000000-0004-0000-0300-00004B030000}"/>
    <hyperlink ref="A931" r:id="rId845" display="https://webagentes.canaldirecto.com.ar/incidents/view/708680-5" xr:uid="{00000000-0004-0000-0300-00004C030000}"/>
    <hyperlink ref="A918" r:id="rId846" display="https://webagentes.canaldirecto.com.ar/incidents/view/708670-8" xr:uid="{00000000-0004-0000-0300-00004D030000}"/>
    <hyperlink ref="A901" r:id="rId847" display="https://webagentes.canaldirecto.com.ar/incidents/view/708531-0" xr:uid="{00000000-0004-0000-0300-00004E030000}"/>
    <hyperlink ref="A917" r:id="rId848" display="https://webagentes.canaldirecto.com.ar/incidents/view/708529-5" xr:uid="{00000000-0004-0000-0300-00004F030000}"/>
    <hyperlink ref="A898" r:id="rId849" display="https://webagentes.canaldirecto.com.ar/incidents/view/708487-0" xr:uid="{00000000-0004-0000-0300-000050030000}"/>
    <hyperlink ref="A908" r:id="rId850" display="https://webagentes.canaldirecto.com.ar/incidents/view/708353-4" xr:uid="{00000000-0004-0000-0300-000051030000}"/>
    <hyperlink ref="A909" r:id="rId851" display="https://webagentes.canaldirecto.com.ar/incidents/view/708352-5" xr:uid="{00000000-0004-0000-0300-000052030000}"/>
    <hyperlink ref="A897" r:id="rId852" display="https://webagentes.canaldirecto.com.ar/incidents/view/708283-6" xr:uid="{00000000-0004-0000-0300-000053030000}"/>
    <hyperlink ref="A907" r:id="rId853" display="https://webagentes.canaldirecto.com.ar/incidents/view/708279-3" xr:uid="{00000000-0004-0000-0300-000054030000}"/>
    <hyperlink ref="A904" r:id="rId854" display="https://webagentes.canaldirecto.com.ar/incidents/view/708277-5" xr:uid="{00000000-0004-0000-0300-000055030000}"/>
    <hyperlink ref="A911" r:id="rId855" display="https://webagentes.canaldirecto.com.ar/incidents/view/708213-7" xr:uid="{00000000-0004-0000-0300-000056030000}"/>
    <hyperlink ref="A945" r:id="rId856" display="https://webagentes.canaldirecto.com.ar/incidents/view/708174-9" xr:uid="{00000000-0004-0000-0300-000057030000}"/>
    <hyperlink ref="A889" r:id="rId857" display="https://webagentes.canaldirecto.com.ar/incidents/view/708024-5" xr:uid="{00000000-0004-0000-0300-000058030000}"/>
    <hyperlink ref="A905" r:id="rId858" display="https://webagentes.canaldirecto.com.ar/incidents/view/708011-1" xr:uid="{00000000-0004-0000-0300-000059030000}"/>
    <hyperlink ref="A912" r:id="rId859" display="https://webagentes.canaldirecto.com.ar/incidents/view/708010-2" xr:uid="{00000000-0004-0000-0300-00005A030000}"/>
    <hyperlink ref="A903" r:id="rId860" display="https://webagentes.canaldirecto.com.ar/incidents/view/707855-0" xr:uid="{00000000-0004-0000-0300-00005B030000}"/>
    <hyperlink ref="A924" r:id="rId861" display="https://webagentes.canaldirecto.com.ar/incidents/view/707395-3" xr:uid="{00000000-0004-0000-0300-00005C030000}"/>
    <hyperlink ref="A899" r:id="rId862" display="https://webagentes.canaldirecto.com.ar/incidents/view/707355-5" xr:uid="{00000000-0004-0000-0300-00005D030000}"/>
    <hyperlink ref="A888" r:id="rId863" display="https://webagentes.canaldirecto.com.ar/incidents/view/707066-4" xr:uid="{00000000-0004-0000-0300-00005E030000}"/>
    <hyperlink ref="A890" r:id="rId864" display="https://webagentes.canaldirecto.com.ar/incidents/view/706864-1" xr:uid="{00000000-0004-0000-0300-00005F030000}"/>
    <hyperlink ref="A894" r:id="rId865" display="https://webagentes.canaldirecto.com.ar/incidents/view/706854-4" xr:uid="{00000000-0004-0000-0300-000060030000}"/>
    <hyperlink ref="A895" r:id="rId866" display="https://webagentes.canaldirecto.com.ar/incidents/view/706853-5" xr:uid="{00000000-0004-0000-0300-000061030000}"/>
    <hyperlink ref="A891" r:id="rId867" display="https://webagentes.canaldirecto.com.ar/incidents/view/706816-4" xr:uid="{00000000-0004-0000-0300-000062030000}"/>
    <hyperlink ref="A900" r:id="rId868" display="https://webagentes.canaldirecto.com.ar/incidents/view/706732-3" xr:uid="{00000000-0004-0000-0300-000063030000}"/>
    <hyperlink ref="A893" r:id="rId869" display="https://webagentes.canaldirecto.com.ar/incidents/view/706634-2" xr:uid="{00000000-0004-0000-0300-000064030000}"/>
    <hyperlink ref="A886" r:id="rId870" display="https://webagentes.canaldirecto.com.ar/incidents/view/706620-9" xr:uid="{00000000-0004-0000-0300-000065030000}"/>
    <hyperlink ref="A887" r:id="rId871" display="https://webagentes.canaldirecto.com.ar/incidents/view/706619-3" xr:uid="{00000000-0004-0000-0300-000066030000}"/>
    <hyperlink ref="A896" r:id="rId872" display="https://webagentes.canaldirecto.com.ar/incidents/view/706389-5" xr:uid="{00000000-0004-0000-0300-000067030000}"/>
    <hyperlink ref="A910" r:id="rId873" display="https://webagentes.canaldirecto.com.ar/incidents/view/706316-9" xr:uid="{00000000-0004-0000-0300-000068030000}"/>
    <hyperlink ref="A892" r:id="rId874" display="https://webagentes.canaldirecto.com.ar/incidents/view/705881-1" xr:uid="{00000000-0004-0000-0300-000069030000}"/>
    <hyperlink ref="A942" r:id="rId875" display="https://webagentes.canaldirecto.com.ar/incidents/view/704668-5" xr:uid="{00000000-0004-0000-0300-00006A030000}"/>
    <hyperlink ref="A943" r:id="rId876" display="https://webagentes.canaldirecto.com.ar/incidents/view/704667-6" xr:uid="{00000000-0004-0000-0300-00006B030000}"/>
    <hyperlink ref="A944" r:id="rId877" display="https://webagentes.canaldirecto.com.ar/incidents/view/704666-7" xr:uid="{00000000-0004-0000-0300-00006C030000}"/>
    <hyperlink ref="A885" r:id="rId878" display="https://webagentes.canaldirecto.com.ar/incidents/view/693396-8" xr:uid="{00000000-0004-0000-0300-00006D030000}"/>
    <hyperlink ref="A984" r:id="rId879" display="https://webagentes.canaldirecto.com.ar/incidents/view/714479-2" xr:uid="{00000000-0004-0000-0300-00006E030000}"/>
    <hyperlink ref="A981" r:id="rId880" display="https://webagentes.canaldirecto.com.ar/incidents/view/713899-5" xr:uid="{00000000-0004-0000-0300-00006F030000}"/>
    <hyperlink ref="A980" r:id="rId881" display="https://webagentes.canaldirecto.com.ar/incidents/view/713880-7" xr:uid="{00000000-0004-0000-0300-000070030000}"/>
    <hyperlink ref="A977" r:id="rId882" display="https://webagentes.canaldirecto.com.ar/incidents/view/713622-5" xr:uid="{00000000-0004-0000-0300-000071030000}"/>
    <hyperlink ref="A978" r:id="rId883" display="https://webagentes.canaldirecto.com.ar/incidents/view/713491-7" xr:uid="{00000000-0004-0000-0300-000072030000}"/>
    <hyperlink ref="A979" r:id="rId884" display="https://webagentes.canaldirecto.com.ar/incidents/view/713398-1" xr:uid="{00000000-0004-0000-0300-000073030000}"/>
    <hyperlink ref="A975" r:id="rId885" display="https://webagentes.canaldirecto.com.ar/incidents/view/713267-2" xr:uid="{00000000-0004-0000-0300-000074030000}"/>
    <hyperlink ref="A973" r:id="rId886" display="https://webagentes.canaldirecto.com.ar/incidents/view/712913-7" xr:uid="{00000000-0004-0000-0300-000075030000}"/>
    <hyperlink ref="A1056" r:id="rId887" display="https://webagentes.canaldirecto.com.ar/incidents/view/712868-8" xr:uid="{00000000-0004-0000-0300-000076030000}"/>
    <hyperlink ref="A1057" r:id="rId888" display="https://webagentes.canaldirecto.com.ar/incidents/view/712867-9" xr:uid="{00000000-0004-0000-0300-000077030000}"/>
    <hyperlink ref="A1058" r:id="rId889" display="https://webagentes.canaldirecto.com.ar/incidents/view/712866-0" xr:uid="{00000000-0004-0000-0300-000078030000}"/>
    <hyperlink ref="A1059" r:id="rId890" display="https://webagentes.canaldirecto.com.ar/incidents/view/712865-1" xr:uid="{00000000-0004-0000-0300-000079030000}"/>
    <hyperlink ref="A1060" r:id="rId891" display="https://webagentes.canaldirecto.com.ar/incidents/view/712864-2" xr:uid="{00000000-0004-0000-0300-00007A030000}"/>
    <hyperlink ref="A1061" r:id="rId892" display="https://webagentes.canaldirecto.com.ar/incidents/view/712863-3" xr:uid="{00000000-0004-0000-0300-00007B030000}"/>
    <hyperlink ref="A1062" r:id="rId893" display="https://webagentes.canaldirecto.com.ar/incidents/view/712862-4" xr:uid="{00000000-0004-0000-0300-00007C030000}"/>
    <hyperlink ref="A1063" r:id="rId894" display="https://webagentes.canaldirecto.com.ar/incidents/view/712861-5" xr:uid="{00000000-0004-0000-0300-00007D030000}"/>
    <hyperlink ref="A1064" r:id="rId895" display="https://webagentes.canaldirecto.com.ar/incidents/view/712860-6" xr:uid="{00000000-0004-0000-0300-00007E030000}"/>
    <hyperlink ref="A1065" r:id="rId896" display="https://webagentes.canaldirecto.com.ar/incidents/view/712859-0" xr:uid="{00000000-0004-0000-0300-00007F030000}"/>
    <hyperlink ref="A1072" r:id="rId897" display="https://webagentes.canaldirecto.com.ar/incidents/view/712763-4" xr:uid="{00000000-0004-0000-0300-000080030000}"/>
    <hyperlink ref="A1067" r:id="rId898" display="https://webagentes.canaldirecto.com.ar/incidents/view/712762-5" xr:uid="{00000000-0004-0000-0300-000081030000}"/>
    <hyperlink ref="A1068" r:id="rId899" display="https://webagentes.canaldirecto.com.ar/incidents/view/712761-6" xr:uid="{00000000-0004-0000-0300-000082030000}"/>
    <hyperlink ref="A1043" r:id="rId900" display="https://webagentes.canaldirecto.com.ar/incidents/view/712502-5" xr:uid="{00000000-0004-0000-0300-000083030000}"/>
    <hyperlink ref="A1050" r:id="rId901" display="https://webagentes.canaldirecto.com.ar/incidents/view/712501-6" xr:uid="{00000000-0004-0000-0300-000084030000}"/>
    <hyperlink ref="A1044" r:id="rId902" display="https://webagentes.canaldirecto.com.ar/incidents/view/712500-7" xr:uid="{00000000-0004-0000-0300-000085030000}"/>
    <hyperlink ref="A1045" r:id="rId903" display="https://webagentes.canaldirecto.com.ar/incidents/view/712499-2" xr:uid="{00000000-0004-0000-0300-000086030000}"/>
    <hyperlink ref="A1046" r:id="rId904" display="https://webagentes.canaldirecto.com.ar/incidents/view/712498-3" xr:uid="{00000000-0004-0000-0300-000087030000}"/>
    <hyperlink ref="A1051" r:id="rId905" display="https://webagentes.canaldirecto.com.ar/incidents/view/712497-4" xr:uid="{00000000-0004-0000-0300-000088030000}"/>
    <hyperlink ref="A1052" r:id="rId906" display="https://webagentes.canaldirecto.com.ar/incidents/view/712496-5" xr:uid="{00000000-0004-0000-0300-000089030000}"/>
    <hyperlink ref="A1047" r:id="rId907" display="https://webagentes.canaldirecto.com.ar/incidents/view/712495-6" xr:uid="{00000000-0004-0000-0300-00008A030000}"/>
    <hyperlink ref="A1048" r:id="rId908" display="https://webagentes.canaldirecto.com.ar/incidents/view/712491-0" xr:uid="{00000000-0004-0000-0300-00008B030000}"/>
    <hyperlink ref="A1049" r:id="rId909" display="https://webagentes.canaldirecto.com.ar/incidents/view/712490-1" xr:uid="{00000000-0004-0000-0300-00008C030000}"/>
    <hyperlink ref="A1033" r:id="rId910" display="https://webagentes.canaldirecto.com.ar/incidents/view/712489-5" xr:uid="{00000000-0004-0000-0300-00008D030000}"/>
    <hyperlink ref="A1034" r:id="rId911" display="https://webagentes.canaldirecto.com.ar/incidents/view/712488-6" xr:uid="{00000000-0004-0000-0300-00008E030000}"/>
    <hyperlink ref="A1035" r:id="rId912" display="https://webagentes.canaldirecto.com.ar/incidents/view/712486-8" xr:uid="{00000000-0004-0000-0300-00008F030000}"/>
    <hyperlink ref="A1036" r:id="rId913" display="https://webagentes.canaldirecto.com.ar/incidents/view/712483-1" xr:uid="{00000000-0004-0000-0300-000090030000}"/>
    <hyperlink ref="A1037" r:id="rId914" display="https://webagentes.canaldirecto.com.ar/incidents/view/712482-2" xr:uid="{00000000-0004-0000-0300-000091030000}"/>
    <hyperlink ref="A1038" r:id="rId915" display="https://webagentes.canaldirecto.com.ar/incidents/view/712481-3" xr:uid="{00000000-0004-0000-0300-000092030000}"/>
    <hyperlink ref="A1039" r:id="rId916" display="https://webagentes.canaldirecto.com.ar/incidents/view/712480-4" xr:uid="{00000000-0004-0000-0300-000093030000}"/>
    <hyperlink ref="A1040" r:id="rId917" display="https://webagentes.canaldirecto.com.ar/incidents/view/712477-0" xr:uid="{00000000-0004-0000-0300-000094030000}"/>
    <hyperlink ref="A1041" r:id="rId918" display="https://webagentes.canaldirecto.com.ar/incidents/view/712476-1" xr:uid="{00000000-0004-0000-0300-000095030000}"/>
    <hyperlink ref="A1042" r:id="rId919" display="https://webagentes.canaldirecto.com.ar/incidents/view/712475-2" xr:uid="{00000000-0004-0000-0300-000096030000}"/>
    <hyperlink ref="A971" r:id="rId920" display="https://webagentes.canaldirecto.com.ar/incidents/view/712401-7" xr:uid="{00000000-0004-0000-0300-000097030000}"/>
    <hyperlink ref="A1022" r:id="rId921" display="https://webagentes.canaldirecto.com.ar/incidents/view/712199-5" xr:uid="{00000000-0004-0000-0300-000098030000}"/>
    <hyperlink ref="A1071" r:id="rId922" display="https://webagentes.canaldirecto.com.ar/incidents/view/712196-8" xr:uid="{00000000-0004-0000-0300-000099030000}"/>
    <hyperlink ref="A1069" r:id="rId923" display="https://webagentes.canaldirecto.com.ar/incidents/view/712194-0" xr:uid="{00000000-0004-0000-0300-00009A030000}"/>
    <hyperlink ref="A1070" r:id="rId924" display="https://webagentes.canaldirecto.com.ar/incidents/view/712193-1" xr:uid="{00000000-0004-0000-0300-00009B030000}"/>
    <hyperlink ref="A1053" r:id="rId925" display="https://webagentes.canaldirecto.com.ar/incidents/view/712192-2" xr:uid="{00000000-0004-0000-0300-00009C030000}"/>
    <hyperlink ref="A1054" r:id="rId926" display="https://webagentes.canaldirecto.com.ar/incidents/view/712191-3" xr:uid="{00000000-0004-0000-0300-00009D030000}"/>
    <hyperlink ref="A1055" r:id="rId927" display="https://webagentes.canaldirecto.com.ar/incidents/view/712190-4" xr:uid="{00000000-0004-0000-0300-00009E030000}"/>
    <hyperlink ref="A1028" r:id="rId928" display="https://webagentes.canaldirecto.com.ar/incidents/view/712189-8" xr:uid="{00000000-0004-0000-0300-00009F030000}"/>
    <hyperlink ref="A1029" r:id="rId929" display="https://webagentes.canaldirecto.com.ar/incidents/view/712188-9" xr:uid="{00000000-0004-0000-0300-0000A0030000}"/>
    <hyperlink ref="A1030" r:id="rId930" display="https://webagentes.canaldirecto.com.ar/incidents/view/712187-0" xr:uid="{00000000-0004-0000-0300-0000A1030000}"/>
    <hyperlink ref="A974" r:id="rId931" display="https://webagentes.canaldirecto.com.ar/incidents/view/712091-4" xr:uid="{00000000-0004-0000-0300-0000A2030000}"/>
    <hyperlink ref="A1023" r:id="rId932" display="https://webagentes.canaldirecto.com.ar/incidents/view/712063-1" xr:uid="{00000000-0004-0000-0300-0000A3030000}"/>
    <hyperlink ref="A968" r:id="rId933" display="https://webagentes.canaldirecto.com.ar/incidents/view/712062-2" xr:uid="{00000000-0004-0000-0300-0000A4030000}"/>
    <hyperlink ref="A1010" r:id="rId934" display="https://webagentes.canaldirecto.com.ar/incidents/view/712046-4" xr:uid="{00000000-0004-0000-0300-0000A5030000}"/>
    <hyperlink ref="A1011" r:id="rId935" display="https://webagentes.canaldirecto.com.ar/incidents/view/712045-5" xr:uid="{00000000-0004-0000-0300-0000A6030000}"/>
    <hyperlink ref="A1012" r:id="rId936" display="https://webagentes.canaldirecto.com.ar/incidents/view/712044-6" xr:uid="{00000000-0004-0000-0300-0000A7030000}"/>
    <hyperlink ref="A1013" r:id="rId937" display="https://webagentes.canaldirecto.com.ar/incidents/view/712043-7" xr:uid="{00000000-0004-0000-0300-0000A8030000}"/>
    <hyperlink ref="A1014" r:id="rId938" display="https://webagentes.canaldirecto.com.ar/incidents/view/712042-8" xr:uid="{00000000-0004-0000-0300-0000A9030000}"/>
    <hyperlink ref="A1015" r:id="rId939" display="https://webagentes.canaldirecto.com.ar/incidents/view/712041-9" xr:uid="{00000000-0004-0000-0300-0000AA030000}"/>
    <hyperlink ref="A1016" r:id="rId940" display="https://webagentes.canaldirecto.com.ar/incidents/view/712040-0" xr:uid="{00000000-0004-0000-0300-0000AB030000}"/>
    <hyperlink ref="A1017" r:id="rId941" display="https://webagentes.canaldirecto.com.ar/incidents/view/712039-4" xr:uid="{00000000-0004-0000-0300-0000AC030000}"/>
    <hyperlink ref="A1018" r:id="rId942" display="https://webagentes.canaldirecto.com.ar/incidents/view/712038-5" xr:uid="{00000000-0004-0000-0300-0000AD030000}"/>
    <hyperlink ref="A1019" r:id="rId943" display="https://webagentes.canaldirecto.com.ar/incidents/view/712037-6" xr:uid="{00000000-0004-0000-0300-0000AE030000}"/>
    <hyperlink ref="A1020" r:id="rId944" display="https://webagentes.canaldirecto.com.ar/incidents/view/712036-7" xr:uid="{00000000-0004-0000-0300-0000AF030000}"/>
    <hyperlink ref="A1024" r:id="rId945" display="https://webagentes.canaldirecto.com.ar/incidents/view/712035-8" xr:uid="{00000000-0004-0000-0300-0000B0030000}"/>
    <hyperlink ref="A1021" r:id="rId946" display="https://webagentes.canaldirecto.com.ar/incidents/view/712034-9" xr:uid="{00000000-0004-0000-0300-0000B1030000}"/>
    <hyperlink ref="A1025" r:id="rId947" display="https://webagentes.canaldirecto.com.ar/incidents/view/712033-0" xr:uid="{00000000-0004-0000-0300-0000B2030000}"/>
    <hyperlink ref="A1026" r:id="rId948" display="https://webagentes.canaldirecto.com.ar/incidents/view/712032-1" xr:uid="{00000000-0004-0000-0300-0000B3030000}"/>
    <hyperlink ref="A1027" r:id="rId949" display="https://webagentes.canaldirecto.com.ar/incidents/view/712031-2" xr:uid="{00000000-0004-0000-0300-0000B4030000}"/>
    <hyperlink ref="A996" r:id="rId950" display="https://webagentes.canaldirecto.com.ar/incidents/view/711975-0" xr:uid="{00000000-0004-0000-0300-0000B5030000}"/>
    <hyperlink ref="A997" r:id="rId951" display="https://webagentes.canaldirecto.com.ar/incidents/view/711974-1" xr:uid="{00000000-0004-0000-0300-0000B6030000}"/>
    <hyperlink ref="A998" r:id="rId952" display="https://webagentes.canaldirecto.com.ar/incidents/view/711973-2" xr:uid="{00000000-0004-0000-0300-0000B7030000}"/>
    <hyperlink ref="A999" r:id="rId953" display="https://webagentes.canaldirecto.com.ar/incidents/view/711972-3" xr:uid="{00000000-0004-0000-0300-0000B8030000}"/>
    <hyperlink ref="A1000" r:id="rId954" display="https://webagentes.canaldirecto.com.ar/incidents/view/711971-4" xr:uid="{00000000-0004-0000-0300-0000B9030000}"/>
    <hyperlink ref="A1001" r:id="rId955" display="https://webagentes.canaldirecto.com.ar/incidents/view/711970-5" xr:uid="{00000000-0004-0000-0300-0000BA030000}"/>
    <hyperlink ref="A1002" r:id="rId956" display="https://webagentes.canaldirecto.com.ar/incidents/view/711969-9" xr:uid="{00000000-0004-0000-0300-0000BB030000}"/>
    <hyperlink ref="A1003" r:id="rId957" display="https://webagentes.canaldirecto.com.ar/incidents/view/711968-0" xr:uid="{00000000-0004-0000-0300-0000BC030000}"/>
    <hyperlink ref="A1004" r:id="rId958" display="https://webagentes.canaldirecto.com.ar/incidents/view/711967-1" xr:uid="{00000000-0004-0000-0300-0000BD030000}"/>
    <hyperlink ref="A970" r:id="rId959" display="https://webagentes.canaldirecto.com.ar/incidents/view/711947-7" xr:uid="{00000000-0004-0000-0300-0000BE030000}"/>
    <hyperlink ref="A967" r:id="rId960" display="https://webagentes.canaldirecto.com.ar/incidents/view/711891-9" xr:uid="{00000000-0004-0000-0300-0000BF030000}"/>
    <hyperlink ref="A969" r:id="rId961" display="https://webagentes.canaldirecto.com.ar/incidents/view/711800-7" xr:uid="{00000000-0004-0000-0300-0000C0030000}"/>
    <hyperlink ref="A964" r:id="rId962" display="https://webagentes.canaldirecto.com.ar/incidents/view/711784-0" xr:uid="{00000000-0004-0000-0300-0000C1030000}"/>
    <hyperlink ref="A1005" r:id="rId963" display="https://webagentes.canaldirecto.com.ar/incidents/view/711681-4" xr:uid="{00000000-0004-0000-0300-0000C2030000}"/>
    <hyperlink ref="A1031" r:id="rId964" display="https://webagentes.canaldirecto.com.ar/incidents/view/711680-5" xr:uid="{00000000-0004-0000-0300-0000C3030000}"/>
    <hyperlink ref="A1032" r:id="rId965" display="https://webagentes.canaldirecto.com.ar/incidents/view/711679-9" xr:uid="{00000000-0004-0000-0300-0000C4030000}"/>
    <hyperlink ref="A1006" r:id="rId966" display="https://webagentes.canaldirecto.com.ar/incidents/view/711678-0" xr:uid="{00000000-0004-0000-0300-0000C5030000}"/>
    <hyperlink ref="A1007" r:id="rId967" display="https://webagentes.canaldirecto.com.ar/incidents/view/711677-1" xr:uid="{00000000-0004-0000-0300-0000C6030000}"/>
    <hyperlink ref="A962" r:id="rId968" display="https://webagentes.canaldirecto.com.ar/incidents/view/711674-4" xr:uid="{00000000-0004-0000-0300-0000C7030000}"/>
    <hyperlink ref="A986" r:id="rId969" display="https://webagentes.canaldirecto.com.ar/incidents/view/711627-6" xr:uid="{00000000-0004-0000-0300-0000C8030000}"/>
    <hyperlink ref="A987" r:id="rId970" display="https://webagentes.canaldirecto.com.ar/incidents/view/711626-7" xr:uid="{00000000-0004-0000-0300-0000C9030000}"/>
    <hyperlink ref="A988" r:id="rId971" display="https://webagentes.canaldirecto.com.ar/incidents/view/711625-8" xr:uid="{00000000-0004-0000-0300-0000CA030000}"/>
    <hyperlink ref="A965" r:id="rId972" display="https://webagentes.canaldirecto.com.ar/incidents/view/711622-1" xr:uid="{00000000-0004-0000-0300-0000CB030000}"/>
    <hyperlink ref="A990" r:id="rId973" display="https://webagentes.canaldirecto.com.ar/incidents/view/711621-2" xr:uid="{00000000-0004-0000-0300-0000CC030000}"/>
    <hyperlink ref="A991" r:id="rId974" display="https://webagentes.canaldirecto.com.ar/incidents/view/711619-7" xr:uid="{00000000-0004-0000-0300-0000CD030000}"/>
    <hyperlink ref="A995" r:id="rId975" display="https://webagentes.canaldirecto.com.ar/incidents/view/711618-8" xr:uid="{00000000-0004-0000-0300-0000CE030000}"/>
    <hyperlink ref="A992" r:id="rId976" display="https://webagentes.canaldirecto.com.ar/incidents/view/711617-9" xr:uid="{00000000-0004-0000-0300-0000CF030000}"/>
    <hyperlink ref="A993" r:id="rId977" display="https://webagentes.canaldirecto.com.ar/incidents/view/711614-2" xr:uid="{00000000-0004-0000-0300-0000D0030000}"/>
    <hyperlink ref="A1066" r:id="rId978" display="https://webagentes.canaldirecto.com.ar/incidents/view/711613-3" xr:uid="{00000000-0004-0000-0300-0000D1030000}"/>
    <hyperlink ref="A994" r:id="rId979" display="https://webagentes.canaldirecto.com.ar/incidents/view/711612-4" xr:uid="{00000000-0004-0000-0300-0000D2030000}"/>
    <hyperlink ref="A989" r:id="rId980" display="https://webagentes.canaldirecto.com.ar/incidents/view/711611-5" xr:uid="{00000000-0004-0000-0300-0000D3030000}"/>
    <hyperlink ref="A966" r:id="rId981" display="https://webagentes.canaldirecto.com.ar/incidents/view/711585-1" xr:uid="{00000000-0004-0000-0300-0000D4030000}"/>
    <hyperlink ref="A963" r:id="rId982" display="https://webagentes.canaldirecto.com.ar/incidents/view/711401-0" xr:uid="{00000000-0004-0000-0300-0000D5030000}"/>
    <hyperlink ref="A961" r:id="rId983" display="https://webagentes.canaldirecto.com.ar/incidents/view/711294-2" xr:uid="{00000000-0004-0000-0300-0000D6030000}"/>
    <hyperlink ref="A982" r:id="rId984" display="https://webagentes.canaldirecto.com.ar/incidents/view/710786-1" xr:uid="{00000000-0004-0000-0300-0000D7030000}"/>
    <hyperlink ref="A983" r:id="rId985" display="https://webagentes.canaldirecto.com.ar/incidents/view/710785-2" xr:uid="{00000000-0004-0000-0300-0000D8030000}"/>
    <hyperlink ref="A972" r:id="rId986" display="https://webagentes.canaldirecto.com.ar/incidents/view/710591-5" xr:uid="{00000000-0004-0000-0300-0000D9030000}"/>
    <hyperlink ref="A976" r:id="rId987" display="https://webagentes.canaldirecto.com.ar/incidents/view/709972-0" xr:uid="{00000000-0004-0000-0300-0000DA030000}"/>
    <hyperlink ref="A1008" r:id="rId988" display="https://webagentes.canaldirecto.com.ar/incidents/view/709032-1" xr:uid="{00000000-0004-0000-0300-0000DB030000}"/>
    <hyperlink ref="A1009" r:id="rId989" display="https://webagentes.canaldirecto.com.ar/incidents/view/709031-2" xr:uid="{00000000-0004-0000-0300-0000DC030000}"/>
    <hyperlink ref="A1114" r:id="rId990" display="https://webagentes.canaldirecto.com.ar/incidents/view/717505-7" xr:uid="{00000000-0004-0000-0300-0000DD030000}"/>
    <hyperlink ref="A1112" r:id="rId991" display="https://webagentes.canaldirecto.com.ar/incidents/view/717429-8" xr:uid="{00000000-0004-0000-0300-0000DE030000}"/>
    <hyperlink ref="A1108" r:id="rId992" display="https://webagentes.canaldirecto.com.ar/incidents/view/717282-9" xr:uid="{00000000-0004-0000-0300-0000DF030000}"/>
    <hyperlink ref="A1109" r:id="rId993" display="https://webagentes.canaldirecto.com.ar/incidents/view/717280-1" xr:uid="{00000000-0004-0000-0300-0000E0030000}"/>
    <hyperlink ref="A1111" r:id="rId994" display="https://webagentes.canaldirecto.com.ar/incidents/view/717275-9" xr:uid="{00000000-0004-0000-0300-0000E1030000}"/>
    <hyperlink ref="A1172" r:id="rId995" display="https://webagentes.canaldirecto.com.ar/incidents/view/717273-1" xr:uid="{00000000-0004-0000-0300-0000E2030000}"/>
    <hyperlink ref="A1113" r:id="rId996" display="https://webagentes.canaldirecto.com.ar/incidents/view/717163-5" xr:uid="{00000000-0004-0000-0300-0000E3030000}"/>
    <hyperlink ref="A1110" r:id="rId997" display="https://webagentes.canaldirecto.com.ar/incidents/view/717083-0" xr:uid="{00000000-0004-0000-0300-0000E4030000}"/>
    <hyperlink ref="A1168" r:id="rId998" display="https://webagentes.canaldirecto.com.ar/incidents/view/717061-8" xr:uid="{00000000-0004-0000-0300-0000E5030000}"/>
    <hyperlink ref="A1173" r:id="rId999" display="https://webagentes.canaldirecto.com.ar/incidents/view/717060-9" xr:uid="{00000000-0004-0000-0300-0000E6030000}"/>
    <hyperlink ref="A1167" r:id="rId1000" display="https://webagentes.canaldirecto.com.ar/incidents/view/717059-3" xr:uid="{00000000-0004-0000-0300-0000E7030000}"/>
    <hyperlink ref="A1166" r:id="rId1001" display="https://webagentes.canaldirecto.com.ar/incidents/view/717058-4" xr:uid="{00000000-0004-0000-0300-0000E8030000}"/>
    <hyperlink ref="A1171" r:id="rId1002" display="https://webagentes.canaldirecto.com.ar/incidents/view/717057-5" xr:uid="{00000000-0004-0000-0300-0000E9030000}"/>
    <hyperlink ref="A1170" r:id="rId1003" display="https://webagentes.canaldirecto.com.ar/incidents/view/717056-6" xr:uid="{00000000-0004-0000-0300-0000EA030000}"/>
    <hyperlink ref="A1165" r:id="rId1004" display="https://webagentes.canaldirecto.com.ar/incidents/view/717055-7" xr:uid="{00000000-0004-0000-0300-0000EB030000}"/>
    <hyperlink ref="A1164" r:id="rId1005" display="https://webagentes.canaldirecto.com.ar/incidents/view/717054-8" xr:uid="{00000000-0004-0000-0300-0000EC030000}"/>
    <hyperlink ref="A1169" r:id="rId1006" display="https://webagentes.canaldirecto.com.ar/incidents/view/717053-9" xr:uid="{00000000-0004-0000-0300-0000ED030000}"/>
    <hyperlink ref="A1158" r:id="rId1007" display="https://webagentes.canaldirecto.com.ar/incidents/view/717051-1" xr:uid="{00000000-0004-0000-0300-0000EE030000}"/>
    <hyperlink ref="A1157" r:id="rId1008" display="https://webagentes.canaldirecto.com.ar/incidents/view/717050-2" xr:uid="{00000000-0004-0000-0300-0000EF030000}"/>
    <hyperlink ref="A1156" r:id="rId1009" display="https://webagentes.canaldirecto.com.ar/incidents/view/717049-6" xr:uid="{00000000-0004-0000-0300-0000F0030000}"/>
    <hyperlink ref="A1151" r:id="rId1010" display="https://webagentes.canaldirecto.com.ar/incidents/view/716999-5" xr:uid="{00000000-0004-0000-0300-0000F1030000}"/>
    <hyperlink ref="A1155" r:id="rId1011" display="https://webagentes.canaldirecto.com.ar/incidents/view/716997-7" xr:uid="{00000000-0004-0000-0300-0000F2030000}"/>
    <hyperlink ref="A1154" r:id="rId1012" display="https://webagentes.canaldirecto.com.ar/incidents/view/716996-8" xr:uid="{00000000-0004-0000-0300-0000F3030000}"/>
    <hyperlink ref="A1153" r:id="rId1013" display="https://webagentes.canaldirecto.com.ar/incidents/view/716995-9" xr:uid="{00000000-0004-0000-0300-0000F4030000}"/>
    <hyperlink ref="A1152" r:id="rId1014" display="https://webagentes.canaldirecto.com.ar/incidents/view/716994-0" xr:uid="{00000000-0004-0000-0300-0000F5030000}"/>
    <hyperlink ref="A1104" r:id="rId1015" display="https://webagentes.canaldirecto.com.ar/incidents/view/716914-4" xr:uid="{00000000-0004-0000-0300-0000F6030000}"/>
    <hyperlink ref="A1103" r:id="rId1016" display="https://webagentes.canaldirecto.com.ar/incidents/view/716888-0" xr:uid="{00000000-0004-0000-0300-0000F7030000}"/>
    <hyperlink ref="A1105" r:id="rId1017" display="https://webagentes.canaldirecto.com.ar/incidents/view/716877-4" xr:uid="{00000000-0004-0000-0300-0000F8030000}"/>
    <hyperlink ref="A1150" r:id="rId1018" display="https://webagentes.canaldirecto.com.ar/incidents/view/716823-3" xr:uid="{00000000-0004-0000-0300-0000F9030000}"/>
    <hyperlink ref="A1149" r:id="rId1019" display="https://webagentes.canaldirecto.com.ar/incidents/view/716822-4" xr:uid="{00000000-0004-0000-0300-0000FA030000}"/>
    <hyperlink ref="A1148" r:id="rId1020" display="https://webagentes.canaldirecto.com.ar/incidents/view/716817-2" xr:uid="{00000000-0004-0000-0300-0000FB030000}"/>
    <hyperlink ref="A1147" r:id="rId1021" display="https://webagentes.canaldirecto.com.ar/incidents/view/716816-3" xr:uid="{00000000-0004-0000-0300-0000FC030000}"/>
    <hyperlink ref="A1146" r:id="rId1022" display="https://webagentes.canaldirecto.com.ar/incidents/view/716815-4" xr:uid="{00000000-0004-0000-0300-0000FD030000}"/>
    <hyperlink ref="A1145" r:id="rId1023" display="https://webagentes.canaldirecto.com.ar/incidents/view/716814-5" xr:uid="{00000000-0004-0000-0300-0000FE030000}"/>
    <hyperlink ref="A1144" r:id="rId1024" display="https://webagentes.canaldirecto.com.ar/incidents/view/716813-6" xr:uid="{00000000-0004-0000-0300-0000FF030000}"/>
    <hyperlink ref="A1143" r:id="rId1025" display="https://webagentes.canaldirecto.com.ar/incidents/view/716811-8" xr:uid="{00000000-0004-0000-0300-000000040000}"/>
    <hyperlink ref="A1142" r:id="rId1026" display="https://webagentes.canaldirecto.com.ar/incidents/view/716810-9" xr:uid="{00000000-0004-0000-0300-000001040000}"/>
    <hyperlink ref="A1097" r:id="rId1027" display="https://webagentes.canaldirecto.com.ar/incidents/view/716640-2" xr:uid="{00000000-0004-0000-0300-000002040000}"/>
    <hyperlink ref="A1102" r:id="rId1028" display="https://webagentes.canaldirecto.com.ar/incidents/view/716608-6" xr:uid="{00000000-0004-0000-0300-000003040000}"/>
    <hyperlink ref="A1136" r:id="rId1029" display="https://webagentes.canaldirecto.com.ar/incidents/view/716543-0" xr:uid="{00000000-0004-0000-0300-000004040000}"/>
    <hyperlink ref="A1095" r:id="rId1030" display="https://webagentes.canaldirecto.com.ar/incidents/view/716536-0" xr:uid="{00000000-0004-0000-0300-000005040000}"/>
    <hyperlink ref="A1141" r:id="rId1031" display="https://webagentes.canaldirecto.com.ar/incidents/view/716514-8" xr:uid="{00000000-0004-0000-0300-000006040000}"/>
    <hyperlink ref="A1140" r:id="rId1032" display="https://webagentes.canaldirecto.com.ar/incidents/view/716513-9" xr:uid="{00000000-0004-0000-0300-000007040000}"/>
    <hyperlink ref="A1139" r:id="rId1033" display="https://webagentes.canaldirecto.com.ar/incidents/view/716512-0" xr:uid="{00000000-0004-0000-0300-000008040000}"/>
    <hyperlink ref="A1138" r:id="rId1034" display="https://webagentes.canaldirecto.com.ar/incidents/view/716511-1" xr:uid="{00000000-0004-0000-0300-000009040000}"/>
    <hyperlink ref="A1137" r:id="rId1035" display="https://webagentes.canaldirecto.com.ar/incidents/view/716510-2" xr:uid="{00000000-0004-0000-0300-00000A040000}"/>
    <hyperlink ref="A1163" r:id="rId1036" display="https://webagentes.canaldirecto.com.ar/incidents/view/716444-0" xr:uid="{00000000-0004-0000-0300-00000B040000}"/>
    <hyperlink ref="A1162" r:id="rId1037" display="https://webagentes.canaldirecto.com.ar/incidents/view/716443-1" xr:uid="{00000000-0004-0000-0300-00000C040000}"/>
    <hyperlink ref="A1161" r:id="rId1038" display="https://webagentes.canaldirecto.com.ar/incidents/view/716442-2" xr:uid="{00000000-0004-0000-0300-00000D040000}"/>
    <hyperlink ref="A1160" r:id="rId1039" display="https://webagentes.canaldirecto.com.ar/incidents/view/716440-4" xr:uid="{00000000-0004-0000-0300-00000E040000}"/>
    <hyperlink ref="A1159" r:id="rId1040" display="https://webagentes.canaldirecto.com.ar/incidents/view/716439-8" xr:uid="{00000000-0004-0000-0300-00000F040000}"/>
    <hyperlink ref="A1135" r:id="rId1041" display="https://webagentes.canaldirecto.com.ar/incidents/view/716431-6" xr:uid="{00000000-0004-0000-0300-000010040000}"/>
    <hyperlink ref="A1134" r:id="rId1042" display="https://webagentes.canaldirecto.com.ar/incidents/view/716430-7" xr:uid="{00000000-0004-0000-0300-000011040000}"/>
    <hyperlink ref="A1133" r:id="rId1043" display="https://webagentes.canaldirecto.com.ar/incidents/view/716429-1" xr:uid="{00000000-0004-0000-0300-000012040000}"/>
    <hyperlink ref="A1132" r:id="rId1044" display="https://webagentes.canaldirecto.com.ar/incidents/view/716428-2" xr:uid="{00000000-0004-0000-0300-000013040000}"/>
    <hyperlink ref="A1131" r:id="rId1045" display="https://webagentes.canaldirecto.com.ar/incidents/view/716427-3" xr:uid="{00000000-0004-0000-0300-000014040000}"/>
    <hyperlink ref="A1130" r:id="rId1046" display="https://webagentes.canaldirecto.com.ar/incidents/view/716426-4" xr:uid="{00000000-0004-0000-0300-000015040000}"/>
    <hyperlink ref="A1177" r:id="rId1047" display="https://webagentes.canaldirecto.com.ar/incidents/view/716424-6" xr:uid="{00000000-0004-0000-0300-000016040000}"/>
    <hyperlink ref="A1176" r:id="rId1048" display="https://webagentes.canaldirecto.com.ar/incidents/view/716423-7" xr:uid="{00000000-0004-0000-0300-000017040000}"/>
    <hyperlink ref="A1175" r:id="rId1049" display="https://webagentes.canaldirecto.com.ar/incidents/view/716422-8" xr:uid="{00000000-0004-0000-0300-000018040000}"/>
    <hyperlink ref="A1174" r:id="rId1050" display="https://webagentes.canaldirecto.com.ar/incidents/view/716421-9" xr:uid="{00000000-0004-0000-0300-000019040000}"/>
    <hyperlink ref="A1101" r:id="rId1051" display="https://webagentes.canaldirecto.com.ar/incidents/view/716413-0" xr:uid="{00000000-0004-0000-0300-00001A040000}"/>
    <hyperlink ref="A1096" r:id="rId1052" display="https://webagentes.canaldirecto.com.ar/incidents/view/716387-6" xr:uid="{00000000-0004-0000-0300-00001B040000}"/>
    <hyperlink ref="A1100" r:id="rId1053" display="https://webagentes.canaldirecto.com.ar/incidents/view/716348-7" xr:uid="{00000000-0004-0000-0300-00001C040000}"/>
    <hyperlink ref="A1094" r:id="rId1054" display="https://webagentes.canaldirecto.com.ar/incidents/view/716283-1" xr:uid="{00000000-0004-0000-0300-00001D040000}"/>
    <hyperlink ref="A1129" r:id="rId1055" display="https://webagentes.canaldirecto.com.ar/incidents/view/716260-0" xr:uid="{00000000-0004-0000-0300-00001E040000}"/>
    <hyperlink ref="A1128" r:id="rId1056" display="https://webagentes.canaldirecto.com.ar/incidents/view/716259-4" xr:uid="{00000000-0004-0000-0300-00001F040000}"/>
    <hyperlink ref="A1127" r:id="rId1057" display="https://webagentes.canaldirecto.com.ar/incidents/view/716257-6" xr:uid="{00000000-0004-0000-0300-000020040000}"/>
    <hyperlink ref="A1126" r:id="rId1058" display="https://webagentes.canaldirecto.com.ar/incidents/view/716255-8" xr:uid="{00000000-0004-0000-0300-000021040000}"/>
    <hyperlink ref="A1125" r:id="rId1059" display="https://webagentes.canaldirecto.com.ar/incidents/view/716254-9" xr:uid="{00000000-0004-0000-0300-000022040000}"/>
    <hyperlink ref="A1124" r:id="rId1060" display="https://webagentes.canaldirecto.com.ar/incidents/view/716253-0" xr:uid="{00000000-0004-0000-0300-000023040000}"/>
    <hyperlink ref="A1123" r:id="rId1061" display="https://webagentes.canaldirecto.com.ar/incidents/view/716252-1" xr:uid="{00000000-0004-0000-0300-000024040000}"/>
    <hyperlink ref="A1122" r:id="rId1062" display="https://webagentes.canaldirecto.com.ar/incidents/view/716251-2" xr:uid="{00000000-0004-0000-0300-000025040000}"/>
    <hyperlink ref="A1121" r:id="rId1063" display="https://webagentes.canaldirecto.com.ar/incidents/view/716250-3" xr:uid="{00000000-0004-0000-0300-000026040000}"/>
    <hyperlink ref="A1120" r:id="rId1064" display="https://webagentes.canaldirecto.com.ar/incidents/view/716249-7" xr:uid="{00000000-0004-0000-0300-000027040000}"/>
    <hyperlink ref="A1119" r:id="rId1065" display="https://webagentes.canaldirecto.com.ar/incidents/view/716248-8" xr:uid="{00000000-0004-0000-0300-000028040000}"/>
    <hyperlink ref="A1099" r:id="rId1066" display="https://webagentes.canaldirecto.com.ar/incidents/view/716185-0" xr:uid="{00000000-0004-0000-0300-000029040000}"/>
    <hyperlink ref="A1106" r:id="rId1067" display="https://webagentes.canaldirecto.com.ar/incidents/view/716131-9" xr:uid="{00000000-0004-0000-0300-00002A040000}"/>
    <hyperlink ref="A1118" r:id="rId1068" display="https://webagentes.canaldirecto.com.ar/incidents/view/716125-8" xr:uid="{00000000-0004-0000-0300-00002B040000}"/>
    <hyperlink ref="A1117" r:id="rId1069" display="https://webagentes.canaldirecto.com.ar/incidents/view/716124-9" xr:uid="{00000000-0004-0000-0300-00002C040000}"/>
    <hyperlink ref="A1092" r:id="rId1070" display="https://webagentes.canaldirecto.com.ar/incidents/view/715942-0" xr:uid="{00000000-0004-0000-0300-00002D040000}"/>
    <hyperlink ref="A1098" r:id="rId1071" display="https://webagentes.canaldirecto.com.ar/incidents/view/715803-2" xr:uid="{00000000-0004-0000-0300-00002E040000}"/>
    <hyperlink ref="A1093" r:id="rId1072" display="https://webagentes.canaldirecto.com.ar/incidents/view/715650-2" xr:uid="{00000000-0004-0000-0300-00002F040000}"/>
    <hyperlink ref="A1085" r:id="rId1073" display="https://webagentes.canaldirecto.com.ar/incidents/view/715643-2" xr:uid="{00000000-0004-0000-0300-000030040000}"/>
    <hyperlink ref="A1107" r:id="rId1074" display="https://webagentes.canaldirecto.com.ar/incidents/view/715450-4" xr:uid="{00000000-0004-0000-0300-000031040000}"/>
    <hyperlink ref="A1087" r:id="rId1075" display="https://webagentes.canaldirecto.com.ar/incidents/view/715410-6" xr:uid="{00000000-0004-0000-0300-000032040000}"/>
    <hyperlink ref="A1090" r:id="rId1076" display="https://webagentes.canaldirecto.com.ar/incidents/view/715383-3" xr:uid="{00000000-0004-0000-0300-000033040000}"/>
    <hyperlink ref="A1086" r:id="rId1077" display="https://webagentes.canaldirecto.com.ar/incidents/view/714930-8" xr:uid="{00000000-0004-0000-0300-000034040000}"/>
    <hyperlink ref="A1078" r:id="rId1078" display="https://webagentes.canaldirecto.com.ar/incidents/view/714629-5" xr:uid="{00000000-0004-0000-0300-000035040000}"/>
    <hyperlink ref="A1091" r:id="rId1079" display="https://webagentes.canaldirecto.com.ar/incidents/view/714547-2" xr:uid="{00000000-0004-0000-0300-000036040000}"/>
    <hyperlink ref="A1079" r:id="rId1080" display="https://webagentes.canaldirecto.com.ar/incidents/view/714538-4" xr:uid="{00000000-0004-0000-0300-000037040000}"/>
    <hyperlink ref="A1083" r:id="rId1081" display="https://webagentes.canaldirecto.com.ar/incidents/view/714468-6" xr:uid="{00000000-0004-0000-0300-000038040000}"/>
    <hyperlink ref="A1082" r:id="rId1082" display="https://webagentes.canaldirecto.com.ar/incidents/view/714266-0" xr:uid="{00000000-0004-0000-0300-000039040000}"/>
    <hyperlink ref="A1088" r:id="rId1083" display="https://webagentes.canaldirecto.com.ar/incidents/view/714259-0" xr:uid="{00000000-0004-0000-0300-00003A040000}"/>
    <hyperlink ref="A1077" r:id="rId1084" display="https://webagentes.canaldirecto.com.ar/incidents/view/713724-2" xr:uid="{00000000-0004-0000-0300-00003B040000}"/>
    <hyperlink ref="A1084" r:id="rId1085" display="https://webagentes.canaldirecto.com.ar/incidents/view/713530-5" xr:uid="{00000000-0004-0000-0300-00003C040000}"/>
    <hyperlink ref="A1089" r:id="rId1086" display="https://webagentes.canaldirecto.com.ar/incidents/view/713522-6" xr:uid="{00000000-0004-0000-0300-00003D040000}"/>
    <hyperlink ref="A1081" r:id="rId1087" display="https://webagentes.canaldirecto.com.ar/incidents/view/710782-5" xr:uid="{00000000-0004-0000-0300-00003E040000}"/>
    <hyperlink ref="A1080" r:id="rId1088" display="https://webagentes.canaldirecto.com.ar/incidents/view/710781-6" xr:uid="{00000000-0004-0000-0300-00003F040000}"/>
    <hyperlink ref="A1255" r:id="rId1089" display="https://webagentes.canaldirecto.com.ar/incidents/view/720777-2" xr:uid="{00000000-0004-0000-0300-000040040000}"/>
    <hyperlink ref="A1257" r:id="rId1090" display="https://webagentes.canaldirecto.com.ar/incidents/view/720776-3" xr:uid="{00000000-0004-0000-0300-000041040000}"/>
    <hyperlink ref="A1256" r:id="rId1091" display="https://webagentes.canaldirecto.com.ar/incidents/view/720775-4" xr:uid="{00000000-0004-0000-0300-000042040000}"/>
    <hyperlink ref="A1227" r:id="rId1092" display="https://webagentes.canaldirecto.com.ar/incidents/view/720774-5" xr:uid="{00000000-0004-0000-0300-000043040000}"/>
    <hyperlink ref="A1259" r:id="rId1093" display="https://webagentes.canaldirecto.com.ar/incidents/view/720773-6" xr:uid="{00000000-0004-0000-0300-000044040000}"/>
    <hyperlink ref="A1258" r:id="rId1094" display="https://webagentes.canaldirecto.com.ar/incidents/view/720772-7" xr:uid="{00000000-0004-0000-0300-000045040000}"/>
    <hyperlink ref="A1254" r:id="rId1095" display="https://webagentes.canaldirecto.com.ar/incidents/view/720639-3" xr:uid="{00000000-0004-0000-0300-000046040000}"/>
    <hyperlink ref="A1253" r:id="rId1096" display="https://webagentes.canaldirecto.com.ar/incidents/view/720638-4" xr:uid="{00000000-0004-0000-0300-000047040000}"/>
    <hyperlink ref="A1252" r:id="rId1097" display="https://webagentes.canaldirecto.com.ar/incidents/view/720637-5" xr:uid="{00000000-0004-0000-0300-000048040000}"/>
    <hyperlink ref="A1226" r:id="rId1098" display="https://webagentes.canaldirecto.com.ar/incidents/view/720623-2" xr:uid="{00000000-0004-0000-0300-000049040000}"/>
    <hyperlink ref="A1251" r:id="rId1099" display="https://webagentes.canaldirecto.com.ar/incidents/view/720583-5" xr:uid="{00000000-0004-0000-0300-00004A040000}"/>
    <hyperlink ref="A1250" r:id="rId1100" display="https://webagentes.canaldirecto.com.ar/incidents/view/720582-6" xr:uid="{00000000-0004-0000-0300-00004B040000}"/>
    <hyperlink ref="A1249" r:id="rId1101" display="https://webagentes.canaldirecto.com.ar/incidents/view/720581-7" xr:uid="{00000000-0004-0000-0300-00004C040000}"/>
    <hyperlink ref="A1222" r:id="rId1102" display="https://webagentes.canaldirecto.com.ar/incidents/view/720482-7" xr:uid="{00000000-0004-0000-0300-00004D040000}"/>
    <hyperlink ref="A1224" r:id="rId1103" display="https://webagentes.canaldirecto.com.ar/incidents/view/720481-8" xr:uid="{00000000-0004-0000-0300-00004E040000}"/>
    <hyperlink ref="A1223" r:id="rId1104" display="https://webagentes.canaldirecto.com.ar/incidents/view/720479-3" xr:uid="{00000000-0004-0000-0300-00004F040000}"/>
    <hyperlink ref="A1219" r:id="rId1105" display="https://webagentes.canaldirecto.com.ar/incidents/view/720478-4" xr:uid="{00000000-0004-0000-0300-000050040000}"/>
    <hyperlink ref="A1221" r:id="rId1106" display="https://webagentes.canaldirecto.com.ar/incidents/view/720477-5" xr:uid="{00000000-0004-0000-0300-000051040000}"/>
    <hyperlink ref="A1220" r:id="rId1107" display="https://webagentes.canaldirecto.com.ar/incidents/view/720435-9" xr:uid="{00000000-0004-0000-0300-000052040000}"/>
    <hyperlink ref="A1218" r:id="rId1108" display="https://webagentes.canaldirecto.com.ar/incidents/view/720392-5" xr:uid="{00000000-0004-0000-0300-000053040000}"/>
    <hyperlink ref="A1225" r:id="rId1109" display="https://webagentes.canaldirecto.com.ar/incidents/view/720149-5" xr:uid="{00000000-0004-0000-0300-000054040000}"/>
    <hyperlink ref="A1215" r:id="rId1110" display="https://webagentes.canaldirecto.com.ar/incidents/view/720074-2" xr:uid="{00000000-0004-0000-0300-000055040000}"/>
    <hyperlink ref="A1248" r:id="rId1111" display="https://webagentes.canaldirecto.com.ar/incidents/view/720064-5" xr:uid="{00000000-0004-0000-0300-000056040000}"/>
    <hyperlink ref="A1247" r:id="rId1112" display="https://webagentes.canaldirecto.com.ar/incidents/view/720026-5" xr:uid="{00000000-0004-0000-0300-000057040000}"/>
    <hyperlink ref="A1246" r:id="rId1113" display="https://webagentes.canaldirecto.com.ar/incidents/view/720025-6" xr:uid="{00000000-0004-0000-0300-000058040000}"/>
    <hyperlink ref="A1245" r:id="rId1114" display="https://webagentes.canaldirecto.com.ar/incidents/view/720024-7" xr:uid="{00000000-0004-0000-0300-000059040000}"/>
    <hyperlink ref="A1244" r:id="rId1115" display="https://webagentes.canaldirecto.com.ar/incidents/view/720023-8" xr:uid="{00000000-0004-0000-0300-00005A040000}"/>
    <hyperlink ref="A1243" r:id="rId1116" display="https://webagentes.canaldirecto.com.ar/incidents/view/720022-9" xr:uid="{00000000-0004-0000-0300-00005B040000}"/>
    <hyperlink ref="A1242" r:id="rId1117" display="https://webagentes.canaldirecto.com.ar/incidents/view/720021-0" xr:uid="{00000000-0004-0000-0300-00005C040000}"/>
    <hyperlink ref="A1241" r:id="rId1118" display="https://webagentes.canaldirecto.com.ar/incidents/view/720020-1" xr:uid="{00000000-0004-0000-0300-00005D040000}"/>
    <hyperlink ref="A1240" r:id="rId1119" display="https://webagentes.canaldirecto.com.ar/incidents/view/720019-5" xr:uid="{00000000-0004-0000-0300-00005E040000}"/>
    <hyperlink ref="A1239" r:id="rId1120" display="https://webagentes.canaldirecto.com.ar/incidents/view/720018-6" xr:uid="{00000000-0004-0000-0300-00005F040000}"/>
    <hyperlink ref="A1238" r:id="rId1121" display="https://webagentes.canaldirecto.com.ar/incidents/view/720017-7" xr:uid="{00000000-0004-0000-0300-000060040000}"/>
    <hyperlink ref="A1237" r:id="rId1122" display="https://webagentes.canaldirecto.com.ar/incidents/view/720016-8" xr:uid="{00000000-0004-0000-0300-000061040000}"/>
    <hyperlink ref="A1236" r:id="rId1123" display="https://webagentes.canaldirecto.com.ar/incidents/view/720015-9" xr:uid="{00000000-0004-0000-0300-000062040000}"/>
    <hyperlink ref="A1213" r:id="rId1124" display="https://webagentes.canaldirecto.com.ar/incidents/view/719886-3" xr:uid="{00000000-0004-0000-0300-000063040000}"/>
    <hyperlink ref="A1212" r:id="rId1125" display="https://webagentes.canaldirecto.com.ar/incidents/view/719885-4" xr:uid="{00000000-0004-0000-0300-000064040000}"/>
    <hyperlink ref="A1217" r:id="rId1126" display="https://webagentes.canaldirecto.com.ar/incidents/view/719853-5" xr:uid="{00000000-0004-0000-0300-000065040000}"/>
    <hyperlink ref="A1214" r:id="rId1127" display="https://webagentes.canaldirecto.com.ar/incidents/view/719771-2" xr:uid="{00000000-0004-0000-0300-000066040000}"/>
    <hyperlink ref="A1216" r:id="rId1128" display="https://webagentes.canaldirecto.com.ar/incidents/view/719746-6" xr:uid="{00000000-0004-0000-0300-000067040000}"/>
    <hyperlink ref="A1211" r:id="rId1129" display="https://webagentes.canaldirecto.com.ar/incidents/view/719687-4" xr:uid="{00000000-0004-0000-0300-000068040000}"/>
    <hyperlink ref="A1210" r:id="rId1130" display="https://webagentes.canaldirecto.com.ar/incidents/view/719338-1" xr:uid="{00000000-0004-0000-0300-000069040000}"/>
    <hyperlink ref="A1209" r:id="rId1131" display="https://webagentes.canaldirecto.com.ar/incidents/view/719336-3" xr:uid="{00000000-0004-0000-0300-00006A040000}"/>
    <hyperlink ref="A1206" r:id="rId1132" display="https://webagentes.canaldirecto.com.ar/incidents/view/719209-0" xr:uid="{00000000-0004-0000-0300-00006B040000}"/>
    <hyperlink ref="A1205" r:id="rId1133" display="https://webagentes.canaldirecto.com.ar/incidents/view/719166-6" xr:uid="{00000000-0004-0000-0300-00006C040000}"/>
    <hyperlink ref="A1203" r:id="rId1134" display="https://webagentes.canaldirecto.com.ar/incidents/view/719084-3" xr:uid="{00000000-0004-0000-0300-00006D040000}"/>
    <hyperlink ref="A1198" r:id="rId1135" display="https://webagentes.canaldirecto.com.ar/incidents/view/719051-5" xr:uid="{00000000-0004-0000-0300-00006E040000}"/>
    <hyperlink ref="A1200" r:id="rId1136" display="https://webagentes.canaldirecto.com.ar/incidents/view/718931-5" xr:uid="{00000000-0004-0000-0300-00006F040000}"/>
    <hyperlink ref="A1199" r:id="rId1137" display="https://webagentes.canaldirecto.com.ar/incidents/view/718930-6" xr:uid="{00000000-0004-0000-0300-000070040000}"/>
    <hyperlink ref="A1201" r:id="rId1138" display="https://webagentes.canaldirecto.com.ar/incidents/view/718928-1" xr:uid="{00000000-0004-0000-0300-000071040000}"/>
    <hyperlink ref="A1204" r:id="rId1139" display="https://webagentes.canaldirecto.com.ar/incidents/view/718831-6" xr:uid="{00000000-0004-0000-0300-000072040000}"/>
    <hyperlink ref="A1234" r:id="rId1140" display="https://webagentes.canaldirecto.com.ar/incidents/view/718779-7" xr:uid="{00000000-0004-0000-0300-000073040000}"/>
    <hyperlink ref="A1231" r:id="rId1141" display="https://webagentes.canaldirecto.com.ar/incidents/view/718757-5" xr:uid="{00000000-0004-0000-0300-000074040000}"/>
    <hyperlink ref="A1232" r:id="rId1142" display="https://webagentes.canaldirecto.com.ar/incidents/view/718756-6" xr:uid="{00000000-0004-0000-0300-000075040000}"/>
    <hyperlink ref="A1230" r:id="rId1143" display="https://webagentes.canaldirecto.com.ar/incidents/view/718755-7" xr:uid="{00000000-0004-0000-0300-000076040000}"/>
    <hyperlink ref="A1233" r:id="rId1144" display="https://webagentes.canaldirecto.com.ar/incidents/view/718753-9" xr:uid="{00000000-0004-0000-0300-000077040000}"/>
    <hyperlink ref="A1235" r:id="rId1145" display="https://webagentes.canaldirecto.com.ar/incidents/view/718752-0" xr:uid="{00000000-0004-0000-0300-000078040000}"/>
    <hyperlink ref="A1196" r:id="rId1146" display="https://webagentes.canaldirecto.com.ar/incidents/view/718514-2" xr:uid="{00000000-0004-0000-0300-000079040000}"/>
    <hyperlink ref="A1195" r:id="rId1147" display="https://webagentes.canaldirecto.com.ar/incidents/view/718513-3" xr:uid="{00000000-0004-0000-0300-00007A040000}"/>
    <hyperlink ref="A1202" r:id="rId1148" display="https://webagentes.canaldirecto.com.ar/incidents/view/718442-6" xr:uid="{00000000-0004-0000-0300-00007B040000}"/>
    <hyperlink ref="A1197" r:id="rId1149" display="https://webagentes.canaldirecto.com.ar/incidents/view/718418-9" xr:uid="{00000000-0004-0000-0300-00007C040000}"/>
    <hyperlink ref="A1187" r:id="rId1150" display="https://webagentes.canaldirecto.com.ar/incidents/view/718129-8" xr:uid="{00000000-0004-0000-0300-00007D040000}"/>
    <hyperlink ref="A1188" r:id="rId1151" display="https://webagentes.canaldirecto.com.ar/incidents/view/718039-6" xr:uid="{00000000-0004-0000-0300-00007E040000}"/>
    <hyperlink ref="A1190" r:id="rId1152" display="https://webagentes.canaldirecto.com.ar/incidents/view/718019-2" xr:uid="{00000000-0004-0000-0300-00007F040000}"/>
    <hyperlink ref="A1189" r:id="rId1153" display="https://webagentes.canaldirecto.com.ar/incidents/view/717896-6" xr:uid="{00000000-0004-0000-0300-000080040000}"/>
    <hyperlink ref="A1184" r:id="rId1154" display="https://webagentes.canaldirecto.com.ar/incidents/view/717791-2" xr:uid="{00000000-0004-0000-0300-000081040000}"/>
    <hyperlink ref="A1185" r:id="rId1155" display="https://webagentes.canaldirecto.com.ar/incidents/view/717790-3" xr:uid="{00000000-0004-0000-0300-000082040000}"/>
    <hyperlink ref="A1182" r:id="rId1156" display="https://webagentes.canaldirecto.com.ar/incidents/view/717662-1" xr:uid="{00000000-0004-0000-0300-000083040000}"/>
    <hyperlink ref="A1181" r:id="rId1157" display="https://webagentes.canaldirecto.com.ar/incidents/view/717530-3" xr:uid="{00000000-0004-0000-0300-000084040000}"/>
    <hyperlink ref="A1192" r:id="rId1158" display="https://webagentes.canaldirecto.com.ar/incidents/view/717523-3" xr:uid="{00000000-0004-0000-0300-000085040000}"/>
    <hyperlink ref="A1191" r:id="rId1159" display="https://webagentes.canaldirecto.com.ar/incidents/view/717495-1" xr:uid="{00000000-0004-0000-0300-000086040000}"/>
    <hyperlink ref="A1186" r:id="rId1160" display="https://webagentes.canaldirecto.com.ar/incidents/view/717368-8" xr:uid="{00000000-0004-0000-0300-000087040000}"/>
    <hyperlink ref="A1194" r:id="rId1161" display="https://webagentes.canaldirecto.com.ar/incidents/view/717290-8" xr:uid="{00000000-0004-0000-0300-000088040000}"/>
    <hyperlink ref="A1193" r:id="rId1162" display="https://webagentes.canaldirecto.com.ar/incidents/view/717289-2" xr:uid="{00000000-0004-0000-0300-000089040000}"/>
    <hyperlink ref="A1183" r:id="rId1163" display="https://webagentes.canaldirecto.com.ar/incidents/view/717272-2" xr:uid="{00000000-0004-0000-0300-00008A040000}"/>
    <hyperlink ref="A1208" r:id="rId1164" display="https://webagentes.canaldirecto.com.ar/incidents/view/712786-5" xr:uid="{00000000-0004-0000-0300-00008B040000}"/>
    <hyperlink ref="A1207" r:id="rId1165" display="https://webagentes.canaldirecto.com.ar/incidents/view/697008-4" xr:uid="{00000000-0004-0000-0300-00008C040000}"/>
    <hyperlink ref="A1296" r:id="rId1166" display="https://webagentes.canaldirecto.com.ar/incidents/view/723257-4" xr:uid="{00000000-0004-0000-0300-00008D040000}"/>
    <hyperlink ref="A1291" r:id="rId1167" display="https://webagentes.canaldirecto.com.ar/incidents/view/723036-3" xr:uid="{00000000-0004-0000-0300-00008E040000}"/>
    <hyperlink ref="A1292" r:id="rId1168" display="https://webagentes.canaldirecto.com.ar/incidents/view/722938-5" xr:uid="{00000000-0004-0000-0300-00008F040000}"/>
    <hyperlink ref="A1290" r:id="rId1169" display="https://webagentes.canaldirecto.com.ar/incidents/view/722760-6" xr:uid="{00000000-0004-0000-0300-000090040000}"/>
    <hyperlink ref="A1289" r:id="rId1170" display="https://webagentes.canaldirecto.com.ar/incidents/view/722758-1" xr:uid="{00000000-0004-0000-0300-000091040000}"/>
    <hyperlink ref="A1293" r:id="rId1171" display="https://webagentes.canaldirecto.com.ar/incidents/view/722510-3" xr:uid="{00000000-0004-0000-0300-000092040000}"/>
    <hyperlink ref="A1294" r:id="rId1172" display="https://webagentes.canaldirecto.com.ar/incidents/view/722509-7" xr:uid="{00000000-0004-0000-0300-000093040000}"/>
    <hyperlink ref="A1285" r:id="rId1173" display="https://webagentes.canaldirecto.com.ar/incidents/view/722485-8" xr:uid="{00000000-0004-0000-0300-000094040000}"/>
    <hyperlink ref="A1295" r:id="rId1174" display="https://webagentes.canaldirecto.com.ar/incidents/view/722410-4" xr:uid="{00000000-0004-0000-0300-000095040000}"/>
    <hyperlink ref="A1281" r:id="rId1175" display="https://webagentes.canaldirecto.com.ar/incidents/view/722188-8" xr:uid="{00000000-0004-0000-0300-000096040000}"/>
    <hyperlink ref="A1286" r:id="rId1176" display="https://webagentes.canaldirecto.com.ar/incidents/view/722167-5" xr:uid="{00000000-0004-0000-0300-000097040000}"/>
    <hyperlink ref="A1283" r:id="rId1177" display="https://webagentes.canaldirecto.com.ar/incidents/view/722084-3" xr:uid="{00000000-0004-0000-0300-000098040000}"/>
    <hyperlink ref="A1282" r:id="rId1178" display="https://webagentes.canaldirecto.com.ar/incidents/view/722060-3" xr:uid="{00000000-0004-0000-0300-000099040000}"/>
    <hyperlink ref="A1287" r:id="rId1179" display="https://webagentes.canaldirecto.com.ar/incidents/view/721988-3" xr:uid="{00000000-0004-0000-0300-00009A040000}"/>
    <hyperlink ref="A1279" r:id="rId1180" display="https://webagentes.canaldirecto.com.ar/incidents/view/721950-0" xr:uid="{00000000-0004-0000-0300-00009B040000}"/>
    <hyperlink ref="A1288" r:id="rId1181" display="https://webagentes.canaldirecto.com.ar/incidents/view/721921-8" xr:uid="{00000000-0004-0000-0300-00009C040000}"/>
    <hyperlink ref="A1275" r:id="rId1182" display="https://webagentes.canaldirecto.com.ar/incidents/view/721906-9" xr:uid="{00000000-0004-0000-0300-00009D040000}"/>
    <hyperlink ref="A1309" r:id="rId1183" display="https://webagentes.canaldirecto.com.ar/incidents/view/721878-7" xr:uid="{00000000-0004-0000-0300-00009E040000}"/>
    <hyperlink ref="A1308" r:id="rId1184" display="https://webagentes.canaldirecto.com.ar/incidents/view/721877-8" xr:uid="{00000000-0004-0000-0300-00009F040000}"/>
    <hyperlink ref="A1307" r:id="rId1185" display="https://webagentes.canaldirecto.com.ar/incidents/view/721876-9" xr:uid="{00000000-0004-0000-0300-0000A0040000}"/>
    <hyperlink ref="A1306" r:id="rId1186" display="https://webagentes.canaldirecto.com.ar/incidents/view/721875-0" xr:uid="{00000000-0004-0000-0300-0000A1040000}"/>
    <hyperlink ref="A1301" r:id="rId1187" display="https://webagentes.canaldirecto.com.ar/incidents/view/721874-1" xr:uid="{00000000-0004-0000-0300-0000A2040000}"/>
    <hyperlink ref="A1305" r:id="rId1188" display="https://webagentes.canaldirecto.com.ar/incidents/view/721873-2" xr:uid="{00000000-0004-0000-0300-0000A3040000}"/>
    <hyperlink ref="A1304" r:id="rId1189" display="https://webagentes.canaldirecto.com.ar/incidents/view/721871-4" xr:uid="{00000000-0004-0000-0300-0000A4040000}"/>
    <hyperlink ref="A1303" r:id="rId1190" display="https://webagentes.canaldirecto.com.ar/incidents/view/721870-5" xr:uid="{00000000-0004-0000-0300-0000A5040000}"/>
    <hyperlink ref="A1300" r:id="rId1191" display="https://webagentes.canaldirecto.com.ar/incidents/view/721868-0" xr:uid="{00000000-0004-0000-0300-0000A6040000}"/>
    <hyperlink ref="A1299" r:id="rId1192" display="https://webagentes.canaldirecto.com.ar/incidents/view/721867-1" xr:uid="{00000000-0004-0000-0300-0000A7040000}"/>
    <hyperlink ref="A1302" r:id="rId1193" display="https://webagentes.canaldirecto.com.ar/incidents/view/721866-2" xr:uid="{00000000-0004-0000-0300-0000A8040000}"/>
    <hyperlink ref="A1280" r:id="rId1194" display="https://webagentes.canaldirecto.com.ar/incidents/view/721829-1" xr:uid="{00000000-0004-0000-0300-0000A9040000}"/>
    <hyperlink ref="A1276" r:id="rId1195" display="https://webagentes.canaldirecto.com.ar/incidents/view/721823-7" xr:uid="{00000000-0004-0000-0300-0000AA040000}"/>
    <hyperlink ref="A1273" r:id="rId1196" display="https://webagentes.canaldirecto.com.ar/incidents/view/721805-1" xr:uid="{00000000-0004-0000-0300-0000AB040000}"/>
    <hyperlink ref="A1278" r:id="rId1197" display="https://webagentes.canaldirecto.com.ar/incidents/view/721740-5" xr:uid="{00000000-0004-0000-0300-0000AC040000}"/>
    <hyperlink ref="A1298" r:id="rId1198" display="https://webagentes.canaldirecto.com.ar/incidents/view/721702-5" xr:uid="{00000000-0004-0000-0300-0000AD040000}"/>
    <hyperlink ref="A1277" r:id="rId1199" display="https://webagentes.canaldirecto.com.ar/incidents/view/721623-9" xr:uid="{00000000-0004-0000-0300-0000AE040000}"/>
    <hyperlink ref="A1272" r:id="rId1200" display="https://webagentes.canaldirecto.com.ar/incidents/view/721536-4" xr:uid="{00000000-0004-0000-0300-0000AF040000}"/>
    <hyperlink ref="A1274" r:id="rId1201" display="https://webagentes.canaldirecto.com.ar/incidents/view/721297-8" xr:uid="{00000000-0004-0000-0300-0000B0040000}"/>
    <hyperlink ref="A1269" r:id="rId1202" display="https://webagentes.canaldirecto.com.ar/incidents/view/720821-2" xr:uid="{00000000-0004-0000-0300-0000B1040000}"/>
    <hyperlink ref="A1268" r:id="rId1203" display="https://webagentes.canaldirecto.com.ar/incidents/view/720820-3" xr:uid="{00000000-0004-0000-0300-0000B2040000}"/>
    <hyperlink ref="A1270" r:id="rId1204" display="https://webagentes.canaldirecto.com.ar/incidents/view/720782-4" xr:uid="{00000000-0004-0000-0300-0000B3040000}"/>
    <hyperlink ref="A1271" r:id="rId1205" display="https://webagentes.canaldirecto.com.ar/incidents/view/720621-4" xr:uid="{00000000-0004-0000-0300-0000B4040000}"/>
    <hyperlink ref="A1267" r:id="rId1206" display="https://webagentes.canaldirecto.com.ar/incidents/view/720516-3" xr:uid="{00000000-0004-0000-0300-0000B5040000}"/>
    <hyperlink ref="A1266" r:id="rId1207" display="https://webagentes.canaldirecto.com.ar/incidents/view/720438-6" xr:uid="{00000000-0004-0000-0300-0000B6040000}"/>
    <hyperlink ref="A1284" r:id="rId1208" display="https://webagentes.canaldirecto.com.ar/incidents/view/719860-5" xr:uid="{00000000-0004-0000-0300-0000B7040000}"/>
    <hyperlink ref="A1265" r:id="rId1209" display="https://webagentes.canaldirecto.com.ar/incidents/view/719633-3" xr:uid="{00000000-0004-0000-0300-0000B8040000}"/>
    <hyperlink ref="A1339" r:id="rId1210" display="https://webagentes.canaldirecto.com.ar/incidents/view/726411-1" xr:uid="{00000000-0004-0000-0300-0000B9040000}"/>
    <hyperlink ref="A1336" r:id="rId1211" display="https://webagentes.canaldirecto.com.ar/incidents/view/726134-5" xr:uid="{00000000-0004-0000-0300-0000BA040000}"/>
    <hyperlink ref="A1340" r:id="rId1212" display="https://webagentes.canaldirecto.com.ar/incidents/view/726060-1" xr:uid="{00000000-0004-0000-0300-0000BB040000}"/>
    <hyperlink ref="A1332" r:id="rId1213" display="https://webagentes.canaldirecto.com.ar/incidents/view/725953-5" xr:uid="{00000000-0004-0000-0300-0000BC040000}"/>
    <hyperlink ref="A1333" r:id="rId1214" display="https://webagentes.canaldirecto.com.ar/incidents/view/725929-8" xr:uid="{00000000-0004-0000-0300-0000BD040000}"/>
    <hyperlink ref="A1335" r:id="rId1215" display="https://webagentes.canaldirecto.com.ar/incidents/view/725775-9" xr:uid="{00000000-0004-0000-0300-0000BE040000}"/>
    <hyperlink ref="A1337" r:id="rId1216" display="https://webagentes.canaldirecto.com.ar/incidents/view/725756-4" xr:uid="{00000000-0004-0000-0300-0000BF040000}"/>
    <hyperlink ref="A1334" r:id="rId1217" display="https://webagentes.canaldirecto.com.ar/incidents/view/725746-7" xr:uid="{00000000-0004-0000-0300-0000C0040000}"/>
    <hyperlink ref="A1327" r:id="rId1218" display="https://webagentes.canaldirecto.com.ar/incidents/view/725305-4" xr:uid="{00000000-0004-0000-0300-0000C1040000}"/>
    <hyperlink ref="A1330" r:id="rId1219" display="https://webagentes.canaldirecto.com.ar/incidents/view/725134-8" xr:uid="{00000000-0004-0000-0300-0000C2040000}"/>
    <hyperlink ref="A1331" r:id="rId1220" display="https://webagentes.canaldirecto.com.ar/incidents/view/725132-0" xr:uid="{00000000-0004-0000-0300-0000C3040000}"/>
    <hyperlink ref="A1328" r:id="rId1221" display="https://webagentes.canaldirecto.com.ar/incidents/view/725130-2" xr:uid="{00000000-0004-0000-0300-0000C4040000}"/>
    <hyperlink ref="A1329" r:id="rId1222" display="https://webagentes.canaldirecto.com.ar/incidents/view/725129-6" xr:uid="{00000000-0004-0000-0300-0000C5040000}"/>
    <hyperlink ref="A1324" r:id="rId1223" display="https://webagentes.canaldirecto.com.ar/incidents/view/724857-5" xr:uid="{00000000-0004-0000-0300-0000C6040000}"/>
    <hyperlink ref="A1325" r:id="rId1224" display="https://webagentes.canaldirecto.com.ar/incidents/view/724725-7" xr:uid="{00000000-0004-0000-0300-0000C7040000}"/>
    <hyperlink ref="A1320" r:id="rId1225" display="https://webagentes.canaldirecto.com.ar/incidents/view/724422-3" xr:uid="{00000000-0004-0000-0300-0000C8040000}"/>
    <hyperlink ref="A1321" r:id="rId1226" display="https://webagentes.canaldirecto.com.ar/incidents/view/724421-4" xr:uid="{00000000-0004-0000-0300-0000C9040000}"/>
    <hyperlink ref="A1319" r:id="rId1227" display="https://webagentes.canaldirecto.com.ar/incidents/view/724049-4" xr:uid="{00000000-0004-0000-0300-0000CA040000}"/>
    <hyperlink ref="A1317" r:id="rId1228" display="https://webagentes.canaldirecto.com.ar/incidents/view/723955-9" xr:uid="{00000000-0004-0000-0300-0000CB040000}"/>
    <hyperlink ref="A1318" r:id="rId1229" display="https://webagentes.canaldirecto.com.ar/incidents/view/723908-1" xr:uid="{00000000-0004-0000-0300-0000CC040000}"/>
    <hyperlink ref="A1314" r:id="rId1230" display="https://webagentes.canaldirecto.com.ar/incidents/view/723780-7" xr:uid="{00000000-0004-0000-0300-0000CD040000}"/>
    <hyperlink ref="A1316" r:id="rId1231" display="https://webagentes.canaldirecto.com.ar/incidents/view/723669-5" xr:uid="{00000000-0004-0000-0300-0000CE040000}"/>
    <hyperlink ref="A1315" r:id="rId1232" display="https://webagentes.canaldirecto.com.ar/incidents/view/723517-3" xr:uid="{00000000-0004-0000-0300-0000CF040000}"/>
    <hyperlink ref="A1351" r:id="rId1233" display="https://webagentes.canaldirecto.com.ar/incidents/view/723373-1" xr:uid="{00000000-0004-0000-0300-0000D0040000}"/>
    <hyperlink ref="A1352" r:id="rId1234" display="https://webagentes.canaldirecto.com.ar/incidents/view/723368-9" xr:uid="{00000000-0004-0000-0300-0000D1040000}"/>
    <hyperlink ref="A1353" r:id="rId1235" display="https://webagentes.canaldirecto.com.ar/incidents/view/723367-0" xr:uid="{00000000-0004-0000-0300-0000D2040000}"/>
    <hyperlink ref="A1322" r:id="rId1236" display="https://webagentes.canaldirecto.com.ar/incidents/view/723364-3" xr:uid="{00000000-0004-0000-0300-0000D3040000}"/>
    <hyperlink ref="A1326" r:id="rId1237" display="https://webagentes.canaldirecto.com.ar/incidents/view/723351-9" xr:uid="{00000000-0004-0000-0300-0000D4040000}"/>
    <hyperlink ref="A1323" r:id="rId1238" display="https://webagentes.canaldirecto.com.ar/incidents/view/723014-1" xr:uid="{00000000-0004-0000-0300-0000D5040000}"/>
    <hyperlink ref="A1338" r:id="rId1239" display="https://webagentes.canaldirecto.com.ar/incidents/view/722252-2" xr:uid="{00000000-0004-0000-0300-0000D6040000}"/>
    <hyperlink ref="A1343" r:id="rId1240" display="https://webagentes.canaldirecto.com.ar/incidents/view/720138-9" xr:uid="{00000000-0004-0000-0300-0000D7040000}"/>
    <hyperlink ref="A1344" r:id="rId1241" display="https://webagentes.canaldirecto.com.ar/incidents/view/720137-0" xr:uid="{00000000-0004-0000-0300-0000D8040000}"/>
    <hyperlink ref="A1345" r:id="rId1242" display="https://webagentes.canaldirecto.com.ar/incidents/view/720136-1" xr:uid="{00000000-0004-0000-0300-0000D9040000}"/>
    <hyperlink ref="A1346" r:id="rId1243" display="https://webagentes.canaldirecto.com.ar/incidents/view/720133-4" xr:uid="{00000000-0004-0000-0300-0000DA040000}"/>
    <hyperlink ref="A1347" r:id="rId1244" display="https://webagentes.canaldirecto.com.ar/incidents/view/720132-5" xr:uid="{00000000-0004-0000-0300-0000DB040000}"/>
    <hyperlink ref="A1348" r:id="rId1245" display="https://webagentes.canaldirecto.com.ar/incidents/view/720131-6" xr:uid="{00000000-0004-0000-0300-0000DC040000}"/>
    <hyperlink ref="A1349" r:id="rId1246" display="https://webagentes.canaldirecto.com.ar/incidents/view/720129-1" xr:uid="{00000000-0004-0000-0300-0000DD040000}"/>
    <hyperlink ref="A1350" r:id="rId1247" display="https://webagentes.canaldirecto.com.ar/incidents/view/720127-3" xr:uid="{00000000-0004-0000-0300-0000DE040000}"/>
    <hyperlink ref="A1404" r:id="rId1248" display="https://webagentes.canaldirecto.com.ar/incidents/view/728375-4" xr:uid="{00000000-0004-0000-0300-0000DF040000}"/>
    <hyperlink ref="A1405" r:id="rId1249" display="https://webagentes.canaldirecto.com.ar/incidents/view/728369-3" xr:uid="{00000000-0004-0000-0300-0000E0040000}"/>
    <hyperlink ref="A1399" r:id="rId1250" display="https://webagentes.canaldirecto.com.ar/incidents/view/728368-4" xr:uid="{00000000-0004-0000-0300-0000E1040000}"/>
    <hyperlink ref="A1400" r:id="rId1251" display="https://webagentes.canaldirecto.com.ar/incidents/view/728366-6" xr:uid="{00000000-0004-0000-0300-0000E2040000}"/>
    <hyperlink ref="A1409" r:id="rId1252" display="https://webagentes.canaldirecto.com.ar/incidents/view/728293-1" xr:uid="{00000000-0004-0000-0300-0000E3040000}"/>
    <hyperlink ref="A1408" r:id="rId1253" display="https://webagentes.canaldirecto.com.ar/incidents/view/728292-2" xr:uid="{00000000-0004-0000-0300-0000E4040000}"/>
    <hyperlink ref="A1407" r:id="rId1254" display="https://webagentes.canaldirecto.com.ar/incidents/view/728291-3" xr:uid="{00000000-0004-0000-0300-0000E5040000}"/>
    <hyperlink ref="A1406" r:id="rId1255" display="https://webagentes.canaldirecto.com.ar/incidents/view/728290-4" xr:uid="{00000000-0004-0000-0300-0000E6040000}"/>
    <hyperlink ref="A1396" r:id="rId1256" display="https://webagentes.canaldirecto.com.ar/incidents/view/728287-0" xr:uid="{00000000-0004-0000-0300-0000E7040000}"/>
    <hyperlink ref="A1395" r:id="rId1257" display="https://webagentes.canaldirecto.com.ar/incidents/view/728286-1" xr:uid="{00000000-0004-0000-0300-0000E8040000}"/>
    <hyperlink ref="A1394" r:id="rId1258" display="https://webagentes.canaldirecto.com.ar/incidents/view/728285-2" xr:uid="{00000000-0004-0000-0300-0000E9040000}"/>
    <hyperlink ref="A1398" r:id="rId1259" display="https://webagentes.canaldirecto.com.ar/incidents/view/728283-4" xr:uid="{00000000-0004-0000-0300-0000EA040000}"/>
    <hyperlink ref="A1397" r:id="rId1260" display="https://webagentes.canaldirecto.com.ar/incidents/view/728282-5" xr:uid="{00000000-0004-0000-0300-0000EB040000}"/>
    <hyperlink ref="A1403" r:id="rId1261" display="https://webagentes.canaldirecto.com.ar/incidents/view/728281-6" xr:uid="{00000000-0004-0000-0300-0000EC040000}"/>
    <hyperlink ref="A1402" r:id="rId1262" display="https://webagentes.canaldirecto.com.ar/incidents/view/728280-7" xr:uid="{00000000-0004-0000-0300-0000ED040000}"/>
    <hyperlink ref="A1401" r:id="rId1263" display="https://webagentes.canaldirecto.com.ar/incidents/view/728279-1" xr:uid="{00000000-0004-0000-0300-0000EE040000}"/>
    <hyperlink ref="A1378" r:id="rId1264" display="https://webagentes.canaldirecto.com.ar/incidents/view/727961-8" xr:uid="{00000000-0004-0000-0300-0000EF040000}"/>
    <hyperlink ref="A1373" r:id="rId1265" display="https://webagentes.canaldirecto.com.ar/incidents/view/727824-8" xr:uid="{00000000-0004-0000-0300-0000F0040000}"/>
    <hyperlink ref="A1377" r:id="rId1266" display="https://webagentes.canaldirecto.com.ar/incidents/view/727776-2" xr:uid="{00000000-0004-0000-0300-0000F1040000}"/>
    <hyperlink ref="A1376" r:id="rId1267" display="https://webagentes.canaldirecto.com.ar/incidents/view/727679-0" xr:uid="{00000000-0004-0000-0300-0000F2040000}"/>
    <hyperlink ref="A1372" r:id="rId1268" display="https://webagentes.canaldirecto.com.ar/incidents/view/727656-9" xr:uid="{00000000-0004-0000-0300-0000F3040000}"/>
    <hyperlink ref="A1374" r:id="rId1269" display="https://webagentes.canaldirecto.com.ar/incidents/view/727618-9" xr:uid="{00000000-0004-0000-0300-0000F4040000}"/>
    <hyperlink ref="A1370" r:id="rId1270" display="https://webagentes.canaldirecto.com.ar/incidents/view/727571-9" xr:uid="{00000000-0004-0000-0300-0000F5040000}"/>
    <hyperlink ref="A1371" r:id="rId1271" display="https://webagentes.canaldirecto.com.ar/incidents/view/727501-0" xr:uid="{00000000-0004-0000-0300-0000F6040000}"/>
    <hyperlink ref="A1368" r:id="rId1272" display="https://webagentes.canaldirecto.com.ar/incidents/view/727489-9" xr:uid="{00000000-0004-0000-0300-0000F7040000}"/>
    <hyperlink ref="A1369" r:id="rId1273" display="https://webagentes.canaldirecto.com.ar/incidents/view/727419-0" xr:uid="{00000000-0004-0000-0300-0000F8040000}"/>
    <hyperlink ref="A1379" r:id="rId1274" display="https://webagentes.canaldirecto.com.ar/incidents/view/727324-3" xr:uid="{00000000-0004-0000-0300-0000F9040000}"/>
    <hyperlink ref="A1375" r:id="rId1275" display="https://webagentes.canaldirecto.com.ar/incidents/view/727312-8" xr:uid="{00000000-0004-0000-0300-0000FA040000}"/>
    <hyperlink ref="A1393" r:id="rId1276" display="https://webagentes.canaldirecto.com.ar/incidents/view/727244-8" xr:uid="{00000000-0004-0000-0300-0000FB040000}"/>
    <hyperlink ref="A1392" r:id="rId1277" display="https://webagentes.canaldirecto.com.ar/incidents/view/727243-9" xr:uid="{00000000-0004-0000-0300-0000FC040000}"/>
    <hyperlink ref="A1391" r:id="rId1278" display="https://webagentes.canaldirecto.com.ar/incidents/view/727242-0" xr:uid="{00000000-0004-0000-0300-0000FD040000}"/>
    <hyperlink ref="A1383" r:id="rId1279" display="https://webagentes.canaldirecto.com.ar/incidents/view/727167-0" xr:uid="{00000000-0004-0000-0300-0000FE040000}"/>
    <hyperlink ref="A1385" r:id="rId1280" display="https://webagentes.canaldirecto.com.ar/incidents/view/727166-1" xr:uid="{00000000-0004-0000-0300-0000FF040000}"/>
    <hyperlink ref="A1366" r:id="rId1281" display="https://webagentes.canaldirecto.com.ar/incidents/view/727141-2" xr:uid="{00000000-0004-0000-0300-000000050000}"/>
    <hyperlink ref="A1364" r:id="rId1282" display="https://webagentes.canaldirecto.com.ar/incidents/view/727130-6" xr:uid="{00000000-0004-0000-0300-000001050000}"/>
    <hyperlink ref="A1365" r:id="rId1283" display="https://webagentes.canaldirecto.com.ar/incidents/view/727129-0" xr:uid="{00000000-0004-0000-0300-000002050000}"/>
    <hyperlink ref="A1390" r:id="rId1284" display="https://webagentes.canaldirecto.com.ar/incidents/view/727126-3" xr:uid="{00000000-0004-0000-0300-000003050000}"/>
    <hyperlink ref="A1389" r:id="rId1285" display="https://webagentes.canaldirecto.com.ar/incidents/view/727125-4" xr:uid="{00000000-0004-0000-0300-000004050000}"/>
    <hyperlink ref="A1388" r:id="rId1286" display="https://webagentes.canaldirecto.com.ar/incidents/view/727122-7" xr:uid="{00000000-0004-0000-0300-000005050000}"/>
    <hyperlink ref="A1387" r:id="rId1287" display="https://webagentes.canaldirecto.com.ar/incidents/view/727121-8" xr:uid="{00000000-0004-0000-0300-000006050000}"/>
    <hyperlink ref="A1386" r:id="rId1288" display="https://webagentes.canaldirecto.com.ar/incidents/view/727120-9" xr:uid="{00000000-0004-0000-0300-000007050000}"/>
    <hyperlink ref="A1382" r:id="rId1289" display="https://webagentes.canaldirecto.com.ar/incidents/view/727118-4" xr:uid="{00000000-0004-0000-0300-000008050000}"/>
    <hyperlink ref="A1384" r:id="rId1290" display="https://webagentes.canaldirecto.com.ar/incidents/view/727117-5" xr:uid="{00000000-0004-0000-0300-000009050000}"/>
    <hyperlink ref="A1361" r:id="rId1291" display="https://webagentes.canaldirecto.com.ar/incidents/view/726682-7" xr:uid="{00000000-0004-0000-0300-00000A050000}"/>
    <hyperlink ref="A1360" r:id="rId1292" display="https://webagentes.canaldirecto.com.ar/incidents/view/726671-1" xr:uid="{00000000-0004-0000-0300-00000B050000}"/>
    <hyperlink ref="A1359" r:id="rId1293" display="https://webagentes.canaldirecto.com.ar/incidents/view/726648-3" xr:uid="{00000000-0004-0000-0300-00000C050000}"/>
    <hyperlink ref="A1367" r:id="rId1294" display="https://webagentes.canaldirecto.com.ar/incidents/view/726620-7" xr:uid="{00000000-0004-0000-0300-00000D050000}"/>
    <hyperlink ref="A1358" r:id="rId1295" display="https://webagentes.canaldirecto.com.ar/incidents/view/726561-5" xr:uid="{00000000-0004-0000-0300-00000E050000}"/>
    <hyperlink ref="A1357" r:id="rId1296" display="https://webagentes.canaldirecto.com.ar/incidents/view/726205-2" xr:uid="{00000000-0004-0000-0300-00000F050000}"/>
    <hyperlink ref="A1362" r:id="rId1297" display="https://webagentes.canaldirecto.com.ar/incidents/view/726187-7" xr:uid="{00000000-0004-0000-0300-000010050000}"/>
    <hyperlink ref="A1363" r:id="rId1298" display="https://webagentes.canaldirecto.com.ar/incidents/view/726141-5" xr:uid="{00000000-0004-0000-0300-000011050000}"/>
    <hyperlink ref="A1455" r:id="rId1299" display="https://webagentes.canaldirecto.com.ar/incidents/view/730685-1" xr:uid="{00000000-0004-0000-0300-000012050000}"/>
    <hyperlink ref="A1458" r:id="rId1300" display="https://webagentes.canaldirecto.com.ar/incidents/view/730684-2" xr:uid="{00000000-0004-0000-0300-000013050000}"/>
    <hyperlink ref="A1459" r:id="rId1301" display="https://webagentes.canaldirecto.com.ar/incidents/view/730663-9" xr:uid="{00000000-0004-0000-0300-000014050000}"/>
    <hyperlink ref="A1447" r:id="rId1302" display="https://webagentes.canaldirecto.com.ar/incidents/view/730662-0" xr:uid="{00000000-0004-0000-0300-000015050000}"/>
    <hyperlink ref="A1465" r:id="rId1303" display="https://webagentes.canaldirecto.com.ar/incidents/view/730661-1" xr:uid="{00000000-0004-0000-0300-000016050000}"/>
    <hyperlink ref="A1450" r:id="rId1304" display="https://webagentes.canaldirecto.com.ar/incidents/view/730660-2" xr:uid="{00000000-0004-0000-0300-000017050000}"/>
    <hyperlink ref="A1449" r:id="rId1305" display="https://webagentes.canaldirecto.com.ar/incidents/view/730659-6" xr:uid="{00000000-0004-0000-0300-000018050000}"/>
    <hyperlink ref="A1448" r:id="rId1306" display="https://webagentes.canaldirecto.com.ar/incidents/view/730658-7" xr:uid="{00000000-0004-0000-0300-000019050000}"/>
    <hyperlink ref="A1454" r:id="rId1307" display="https://webagentes.canaldirecto.com.ar/incidents/view/730655-0" xr:uid="{00000000-0004-0000-0300-00001A050000}"/>
    <hyperlink ref="A1453" r:id="rId1308" display="https://webagentes.canaldirecto.com.ar/incidents/view/730654-1" xr:uid="{00000000-0004-0000-0300-00001B050000}"/>
    <hyperlink ref="A1452" r:id="rId1309" display="https://webagentes.canaldirecto.com.ar/incidents/view/730653-2" xr:uid="{00000000-0004-0000-0300-00001C050000}"/>
    <hyperlink ref="A1451" r:id="rId1310" display="https://webagentes.canaldirecto.com.ar/incidents/view/730652-3" xr:uid="{00000000-0004-0000-0300-00001D050000}"/>
    <hyperlink ref="A1461" r:id="rId1311" display="https://webagentes.canaldirecto.com.ar/incidents/view/730651-4" xr:uid="{00000000-0004-0000-0300-00001E050000}"/>
    <hyperlink ref="A1460" r:id="rId1312" display="https://webagentes.canaldirecto.com.ar/incidents/view/730650-5" xr:uid="{00000000-0004-0000-0300-00001F050000}"/>
    <hyperlink ref="A1464" r:id="rId1313" display="https://webagentes.canaldirecto.com.ar/incidents/view/730649-9" xr:uid="{00000000-0004-0000-0300-000020050000}"/>
    <hyperlink ref="A1463" r:id="rId1314" display="https://webagentes.canaldirecto.com.ar/incidents/view/730648-0" xr:uid="{00000000-0004-0000-0300-000021050000}"/>
    <hyperlink ref="A1462" r:id="rId1315" display="https://webagentes.canaldirecto.com.ar/incidents/view/730647-1" xr:uid="{00000000-0004-0000-0300-000022050000}"/>
    <hyperlink ref="A1457" r:id="rId1316" display="https://webagentes.canaldirecto.com.ar/incidents/view/730646-2" xr:uid="{00000000-0004-0000-0300-000023050000}"/>
    <hyperlink ref="A1456" r:id="rId1317" display="https://webagentes.canaldirecto.com.ar/incidents/view/730645-3" xr:uid="{00000000-0004-0000-0300-000024050000}"/>
    <hyperlink ref="A1436" r:id="rId1318" display="https://webagentes.canaldirecto.com.ar/incidents/view/730635-6" xr:uid="{00000000-0004-0000-0300-000025050000}"/>
    <hyperlink ref="A1435" r:id="rId1319" display="https://webagentes.canaldirecto.com.ar/incidents/view/730618-9" xr:uid="{00000000-0004-0000-0300-000026050000}"/>
    <hyperlink ref="A1434" r:id="rId1320" display="https://webagentes.canaldirecto.com.ar/incidents/view/730476-5" xr:uid="{00000000-0004-0000-0300-000027050000}"/>
    <hyperlink ref="A1437" r:id="rId1321" display="https://webagentes.canaldirecto.com.ar/incidents/view/730381-8" xr:uid="{00000000-0004-0000-0300-000028050000}"/>
    <hyperlink ref="A1433" r:id="rId1322" display="https://webagentes.canaldirecto.com.ar/incidents/view/730363-2" xr:uid="{00000000-0004-0000-0300-000029050000}"/>
    <hyperlink ref="A1428" r:id="rId1323" display="https://webagentes.canaldirecto.com.ar/incidents/view/730283-7" xr:uid="{00000000-0004-0000-0300-00002A050000}"/>
    <hyperlink ref="A1432" r:id="rId1324" display="https://webagentes.canaldirecto.com.ar/incidents/view/730251-8" xr:uid="{00000000-0004-0000-0300-00002B050000}"/>
    <hyperlink ref="A1431" r:id="rId1325" display="https://webagentes.canaldirecto.com.ar/incidents/view/730161-6" xr:uid="{00000000-0004-0000-0300-00002C050000}"/>
    <hyperlink ref="A1446" r:id="rId1326" display="https://webagentes.canaldirecto.com.ar/incidents/view/730094-5" xr:uid="{00000000-0004-0000-0300-00002D050000}"/>
    <hyperlink ref="A1427" r:id="rId1327" display="https://webagentes.canaldirecto.com.ar/incidents/view/730056-5" xr:uid="{00000000-0004-0000-0300-00002E050000}"/>
    <hyperlink ref="A1426" r:id="rId1328" display="https://webagentes.canaldirecto.com.ar/incidents/view/729995-9" xr:uid="{00000000-0004-0000-0300-00002F050000}"/>
    <hyperlink ref="A1421" r:id="rId1329" display="https://webagentes.canaldirecto.com.ar/incidents/view/729988-9" xr:uid="{00000000-0004-0000-0300-000030050000}"/>
    <hyperlink ref="A1424" r:id="rId1330" display="https://webagentes.canaldirecto.com.ar/incidents/view/729984-3" xr:uid="{00000000-0004-0000-0300-000031050000}"/>
    <hyperlink ref="A1420" r:id="rId1331" display="https://webagentes.canaldirecto.com.ar/incidents/view/729873-8" xr:uid="{00000000-0004-0000-0300-000032050000}"/>
    <hyperlink ref="A1425" r:id="rId1332" display="https://webagentes.canaldirecto.com.ar/incidents/view/729862-2" xr:uid="{00000000-0004-0000-0300-000033050000}"/>
    <hyperlink ref="A1422" r:id="rId1333" display="https://webagentes.canaldirecto.com.ar/incidents/view/729797-9" xr:uid="{00000000-0004-0000-0300-000034050000}"/>
    <hyperlink ref="A1429" r:id="rId1334" display="https://webagentes.canaldirecto.com.ar/incidents/view/729736-8" xr:uid="{00000000-0004-0000-0300-000035050000}"/>
    <hyperlink ref="A1430" r:id="rId1335" display="https://webagentes.canaldirecto.com.ar/incidents/view/729152-2" xr:uid="{00000000-0004-0000-0300-000036050000}"/>
    <hyperlink ref="A1418" r:id="rId1336" display="https://webagentes.canaldirecto.com.ar/incidents/view/729115-1" xr:uid="{00000000-0004-0000-0300-000037050000}"/>
    <hyperlink ref="A1423" r:id="rId1337" display="https://webagentes.canaldirecto.com.ar/incidents/view/729016-1" xr:uid="{00000000-0004-0000-0300-000038050000}"/>
    <hyperlink ref="A1445" r:id="rId1338" display="https://webagentes.canaldirecto.com.ar/incidents/view/728721-9" xr:uid="{00000000-0004-0000-0300-000039050000}"/>
    <hyperlink ref="A1444" r:id="rId1339" display="https://webagentes.canaldirecto.com.ar/incidents/view/728720-0" xr:uid="{00000000-0004-0000-0300-00003A050000}"/>
    <hyperlink ref="A1443" r:id="rId1340" display="https://webagentes.canaldirecto.com.ar/incidents/view/728718-5" xr:uid="{00000000-0004-0000-0300-00003B050000}"/>
    <hyperlink ref="A1442" r:id="rId1341" display="https://webagentes.canaldirecto.com.ar/incidents/view/728717-6" xr:uid="{00000000-0004-0000-0300-00003C050000}"/>
    <hyperlink ref="A1441" r:id="rId1342" display="https://webagentes.canaldirecto.com.ar/incidents/view/728716-7" xr:uid="{00000000-0004-0000-0300-00003D050000}"/>
    <hyperlink ref="A1440" r:id="rId1343" display="https://webagentes.canaldirecto.com.ar/incidents/view/728715-8" xr:uid="{00000000-0004-0000-0300-00003E050000}"/>
    <hyperlink ref="A1415" r:id="rId1344" display="https://webagentes.canaldirecto.com.ar/incidents/view/728683-0" xr:uid="{00000000-0004-0000-0300-00003F050000}"/>
    <hyperlink ref="A1413" r:id="rId1345" display="https://webagentes.canaldirecto.com.ar/incidents/view/728337-4" xr:uid="{00000000-0004-0000-0300-000040050000}"/>
    <hyperlink ref="A1416" r:id="rId1346" display="https://webagentes.canaldirecto.com.ar/incidents/view/728314-3" xr:uid="{00000000-0004-0000-0300-000041050000}"/>
    <hyperlink ref="A1417" r:id="rId1347" display="https://webagentes.canaldirecto.com.ar/incidents/view/728185-3" xr:uid="{00000000-0004-0000-0300-000042050000}"/>
    <hyperlink ref="A1414" r:id="rId1348" display="https://webagentes.canaldirecto.com.ar/incidents/view/728060-5" xr:uid="{00000000-0004-0000-0300-000043050000}"/>
    <hyperlink ref="A1419" r:id="rId1349" display="https://webagentes.canaldirecto.com.ar/incidents/view/726881-6" xr:uid="{00000000-0004-0000-0300-000044050000}"/>
    <hyperlink ref="A1491" r:id="rId1350" display="https://webagentes.canaldirecto.com.ar/incidents/view/733293-5" xr:uid="{00000000-0004-0000-0300-000045050000}"/>
    <hyperlink ref="A1492" r:id="rId1351" display="https://webagentes.canaldirecto.com.ar/incidents/view/733268-9" xr:uid="{00000000-0004-0000-0300-000046050000}"/>
    <hyperlink ref="A1489" r:id="rId1352" display="https://webagentes.canaldirecto.com.ar/incidents/view/733259-1" xr:uid="{00000000-0004-0000-0300-000047050000}"/>
    <hyperlink ref="A1522" r:id="rId1353" display="https://webagentes.canaldirecto.com.ar/incidents/view/733235-1" xr:uid="{00000000-0004-0000-0300-000048050000}"/>
    <hyperlink ref="A1493" r:id="rId1354" display="https://webagentes.canaldirecto.com.ar/incidents/view/733139-8" xr:uid="{00000000-0004-0000-0300-000049050000}"/>
    <hyperlink ref="A1494" r:id="rId1355" display="https://webagentes.canaldirecto.com.ar/incidents/view/733110-3" xr:uid="{00000000-0004-0000-0300-00004A050000}"/>
    <hyperlink ref="A1490" r:id="rId1356" display="https://webagentes.canaldirecto.com.ar/incidents/view/733109-7" xr:uid="{00000000-0004-0000-0300-00004B050000}"/>
    <hyperlink ref="A1487" r:id="rId1357" display="https://webagentes.canaldirecto.com.ar/incidents/view/733064-5" xr:uid="{00000000-0004-0000-0300-00004C050000}"/>
    <hyperlink ref="A1521" r:id="rId1358" display="https://webagentes.canaldirecto.com.ar/incidents/view/733062-7" xr:uid="{00000000-0004-0000-0300-00004D050000}"/>
    <hyperlink ref="A1485" r:id="rId1359" display="https://webagentes.canaldirecto.com.ar/incidents/view/732841-9" xr:uid="{00000000-0004-0000-0300-00004E050000}"/>
    <hyperlink ref="A1486" r:id="rId1360" display="https://webagentes.canaldirecto.com.ar/incidents/view/732834-9" xr:uid="{00000000-0004-0000-0300-00004F050000}"/>
    <hyperlink ref="A1523" r:id="rId1361" display="https://webagentes.canaldirecto.com.ar/incidents/view/732815-4" xr:uid="{00000000-0004-0000-0300-000050050000}"/>
    <hyperlink ref="A1512" r:id="rId1362" display="https://webagentes.canaldirecto.com.ar/incidents/view/732805-7" xr:uid="{00000000-0004-0000-0300-000051050000}"/>
    <hyperlink ref="A1513" r:id="rId1363" display="https://webagentes.canaldirecto.com.ar/incidents/view/732804-8" xr:uid="{00000000-0004-0000-0300-000052050000}"/>
    <hyperlink ref="A1514" r:id="rId1364" display="https://webagentes.canaldirecto.com.ar/incidents/view/732803-9" xr:uid="{00000000-0004-0000-0300-000053050000}"/>
    <hyperlink ref="A1527" r:id="rId1365" display="https://webagentes.canaldirecto.com.ar/incidents/view/732802-0" xr:uid="{00000000-0004-0000-0300-000054050000}"/>
    <hyperlink ref="A1528" r:id="rId1366" display="https://webagentes.canaldirecto.com.ar/incidents/view/732801-1" xr:uid="{00000000-0004-0000-0300-000055050000}"/>
    <hyperlink ref="A1529" r:id="rId1367" display="https://webagentes.canaldirecto.com.ar/incidents/view/732800-2" xr:uid="{00000000-0004-0000-0300-000056050000}"/>
    <hyperlink ref="A1530" r:id="rId1368" display="https://webagentes.canaldirecto.com.ar/incidents/view/732799-7" xr:uid="{00000000-0004-0000-0300-000057050000}"/>
    <hyperlink ref="A1531" r:id="rId1369" display="https://webagentes.canaldirecto.com.ar/incidents/view/732798-8" xr:uid="{00000000-0004-0000-0300-000058050000}"/>
    <hyperlink ref="A1488" r:id="rId1370" display="https://webagentes.canaldirecto.com.ar/incidents/view/732797-9" xr:uid="{00000000-0004-0000-0300-000059050000}"/>
    <hyperlink ref="A1508" r:id="rId1371" display="https://webagentes.canaldirecto.com.ar/incidents/view/732796-0" xr:uid="{00000000-0004-0000-0300-00005A050000}"/>
    <hyperlink ref="A1524" r:id="rId1372" display="https://webagentes.canaldirecto.com.ar/incidents/view/732795-1" xr:uid="{00000000-0004-0000-0300-00005B050000}"/>
    <hyperlink ref="A1525" r:id="rId1373" display="https://webagentes.canaldirecto.com.ar/incidents/view/732794-2" xr:uid="{00000000-0004-0000-0300-00005C050000}"/>
    <hyperlink ref="A1526" r:id="rId1374" display="https://webagentes.canaldirecto.com.ar/incidents/view/732793-3" xr:uid="{00000000-0004-0000-0300-00005D050000}"/>
    <hyperlink ref="A1509" r:id="rId1375" display="https://webagentes.canaldirecto.com.ar/incidents/view/732792-4" xr:uid="{00000000-0004-0000-0300-00005E050000}"/>
    <hyperlink ref="A1510" r:id="rId1376" display="https://webagentes.canaldirecto.com.ar/incidents/view/732791-5" xr:uid="{00000000-0004-0000-0300-00005F050000}"/>
    <hyperlink ref="A1511" r:id="rId1377" display="https://webagentes.canaldirecto.com.ar/incidents/view/732790-6" xr:uid="{00000000-0004-0000-0300-000060050000}"/>
    <hyperlink ref="A1515" r:id="rId1378" display="https://webagentes.canaldirecto.com.ar/incidents/view/732789-0" xr:uid="{00000000-0004-0000-0300-000061050000}"/>
    <hyperlink ref="A1516" r:id="rId1379" display="https://webagentes.canaldirecto.com.ar/incidents/view/732788-1" xr:uid="{00000000-0004-0000-0300-000062050000}"/>
    <hyperlink ref="A1517" r:id="rId1380" display="https://webagentes.canaldirecto.com.ar/incidents/view/732787-2" xr:uid="{00000000-0004-0000-0300-000063050000}"/>
    <hyperlink ref="A1518" r:id="rId1381" display="https://webagentes.canaldirecto.com.ar/incidents/view/732786-3" xr:uid="{00000000-0004-0000-0300-000064050000}"/>
    <hyperlink ref="A1519" r:id="rId1382" display="https://webagentes.canaldirecto.com.ar/incidents/view/732785-4" xr:uid="{00000000-0004-0000-0300-000065050000}"/>
    <hyperlink ref="A1520" r:id="rId1383" display="https://webagentes.canaldirecto.com.ar/incidents/view/732784-5" xr:uid="{00000000-0004-0000-0300-000066050000}"/>
    <hyperlink ref="A1484" r:id="rId1384" display="https://webagentes.canaldirecto.com.ar/incidents/view/732646-6" xr:uid="{00000000-0004-0000-0300-000067050000}"/>
    <hyperlink ref="A1482" r:id="rId1385" display="https://webagentes.canaldirecto.com.ar/incidents/view/732642-0" xr:uid="{00000000-0004-0000-0300-000068050000}"/>
    <hyperlink ref="A1481" r:id="rId1386" display="https://webagentes.canaldirecto.com.ar/incidents/view/732585-6" xr:uid="{00000000-0004-0000-0300-000069050000}"/>
    <hyperlink ref="A1480" r:id="rId1387" display="https://webagentes.canaldirecto.com.ar/incidents/view/732583-8" xr:uid="{00000000-0004-0000-0300-00006A050000}"/>
    <hyperlink ref="A1483" r:id="rId1388" display="https://webagentes.canaldirecto.com.ar/incidents/view/732393-7" xr:uid="{00000000-0004-0000-0300-00006B050000}"/>
    <hyperlink ref="A1479" r:id="rId1389" display="https://webagentes.canaldirecto.com.ar/incidents/view/732374-2" xr:uid="{00000000-0004-0000-0300-00006C050000}"/>
    <hyperlink ref="A1476" r:id="rId1390" display="https://webagentes.canaldirecto.com.ar/incidents/view/731999-8" xr:uid="{00000000-0004-0000-0300-00006D050000}"/>
    <hyperlink ref="A1477" r:id="rId1391" display="https://webagentes.canaldirecto.com.ar/incidents/view/731918-3" xr:uid="{00000000-0004-0000-0300-00006E050000}"/>
    <hyperlink ref="A1507" r:id="rId1392" display="https://webagentes.canaldirecto.com.ar/incidents/view/731662-7" xr:uid="{00000000-0004-0000-0300-00006F050000}"/>
    <hyperlink ref="A1475" r:id="rId1393" display="https://webagentes.canaldirecto.com.ar/incidents/view/731605-2" xr:uid="{00000000-0004-0000-0300-000070050000}"/>
    <hyperlink ref="A1473" r:id="rId1394" display="https://webagentes.canaldirecto.com.ar/incidents/view/731508-0" xr:uid="{00000000-0004-0000-0300-000071050000}"/>
    <hyperlink ref="A1499" r:id="rId1395" display="https://webagentes.canaldirecto.com.ar/incidents/view/731501-7" xr:uid="{00000000-0004-0000-0300-000072050000}"/>
    <hyperlink ref="A1497" r:id="rId1396" display="https://webagentes.canaldirecto.com.ar/incidents/view/731500-8" xr:uid="{00000000-0004-0000-0300-000073050000}"/>
    <hyperlink ref="A1500" r:id="rId1397" display="https://webagentes.canaldirecto.com.ar/incidents/view/731499-3" xr:uid="{00000000-0004-0000-0300-000074050000}"/>
    <hyperlink ref="A1501" r:id="rId1398" display="https://webagentes.canaldirecto.com.ar/incidents/view/731498-4" xr:uid="{00000000-0004-0000-0300-000075050000}"/>
    <hyperlink ref="A1502" r:id="rId1399" display="https://webagentes.canaldirecto.com.ar/incidents/view/731497-5" xr:uid="{00000000-0004-0000-0300-000076050000}"/>
    <hyperlink ref="A1503" r:id="rId1400" display="https://webagentes.canaldirecto.com.ar/incidents/view/731496-6" xr:uid="{00000000-0004-0000-0300-000077050000}"/>
    <hyperlink ref="A1504" r:id="rId1401" display="https://webagentes.canaldirecto.com.ar/incidents/view/731495-7" xr:uid="{00000000-0004-0000-0300-000078050000}"/>
    <hyperlink ref="A1505" r:id="rId1402" display="https://webagentes.canaldirecto.com.ar/incidents/view/731494-8" xr:uid="{00000000-0004-0000-0300-000079050000}"/>
    <hyperlink ref="A1498" r:id="rId1403" display="https://webagentes.canaldirecto.com.ar/incidents/view/731493-9" xr:uid="{00000000-0004-0000-0300-00007A050000}"/>
    <hyperlink ref="A1506" r:id="rId1404" display="https://webagentes.canaldirecto.com.ar/incidents/view/731492-0" xr:uid="{00000000-0004-0000-0300-00007B050000}"/>
    <hyperlink ref="A1474" r:id="rId1405" display="https://webagentes.canaldirecto.com.ar/incidents/view/731358-7" xr:uid="{00000000-0004-0000-0300-00007C050000}"/>
    <hyperlink ref="A1471" r:id="rId1406" display="https://webagentes.canaldirecto.com.ar/incidents/view/731179-2" xr:uid="{00000000-0004-0000-0300-00007D050000}"/>
    <hyperlink ref="A1470" r:id="rId1407" display="https://webagentes.canaldirecto.com.ar/incidents/view/731151-6" xr:uid="{00000000-0004-0000-0300-00007E050000}"/>
    <hyperlink ref="A1472" r:id="rId1408" display="https://webagentes.canaldirecto.com.ar/incidents/view/731136-7" xr:uid="{00000000-0004-0000-0300-00007F050000}"/>
    <hyperlink ref="A1478" r:id="rId1409" display="https://webagentes.canaldirecto.com.ar/incidents/view/730335-9" xr:uid="{00000000-0004-0000-0300-000080050000}"/>
    <hyperlink ref="A1591" r:id="rId1410" display="https://webagentes.canaldirecto.com.ar/incidents/view/736327-2" xr:uid="{00000000-0004-0000-0300-000081050000}"/>
    <hyperlink ref="A1585" r:id="rId1411" display="https://webagentes.canaldirecto.com.ar/incidents/view/736257-4" xr:uid="{00000000-0004-0000-0300-000082050000}"/>
    <hyperlink ref="A1586" r:id="rId1412" display="https://webagentes.canaldirecto.com.ar/incidents/view/736256-5" xr:uid="{00000000-0004-0000-0300-000083050000}"/>
    <hyperlink ref="A1587" r:id="rId1413" display="https://webagentes.canaldirecto.com.ar/incidents/view/736255-6" xr:uid="{00000000-0004-0000-0300-000084050000}"/>
    <hyperlink ref="A1588" r:id="rId1414" display="https://webagentes.canaldirecto.com.ar/incidents/view/736254-7" xr:uid="{00000000-0004-0000-0300-000085050000}"/>
    <hyperlink ref="A1589" r:id="rId1415" display="https://webagentes.canaldirecto.com.ar/incidents/view/736253-8" xr:uid="{00000000-0004-0000-0300-000086050000}"/>
    <hyperlink ref="A1592" r:id="rId1416" display="https://webagentes.canaldirecto.com.ar/incidents/view/736249-5" xr:uid="{00000000-0004-0000-0300-000087050000}"/>
    <hyperlink ref="A1593" r:id="rId1417" display="https://webagentes.canaldirecto.com.ar/incidents/view/736248-6" xr:uid="{00000000-0004-0000-0300-000088050000}"/>
    <hyperlink ref="A1594" r:id="rId1418" display="https://webagentes.canaldirecto.com.ar/incidents/view/736246-8" xr:uid="{00000000-0004-0000-0300-000089050000}"/>
    <hyperlink ref="A1590" r:id="rId1419" display="https://webagentes.canaldirecto.com.ar/incidents/view/736245-9" xr:uid="{00000000-0004-0000-0300-00008A050000}"/>
    <hyperlink ref="A1595" r:id="rId1420" display="https://webagentes.canaldirecto.com.ar/incidents/view/736244-0" xr:uid="{00000000-0004-0000-0300-00008B050000}"/>
    <hyperlink ref="A1596" r:id="rId1421" display="https://webagentes.canaldirecto.com.ar/incidents/view/736243-1" xr:uid="{00000000-0004-0000-0300-00008C050000}"/>
    <hyperlink ref="A1597" r:id="rId1422" display="https://webagentes.canaldirecto.com.ar/incidents/view/736242-2" xr:uid="{00000000-0004-0000-0300-00008D050000}"/>
    <hyperlink ref="A1560" r:id="rId1423" display="https://webagentes.canaldirecto.com.ar/incidents/view/736111-3" xr:uid="{00000000-0004-0000-0300-00008E050000}"/>
    <hyperlink ref="A1559" r:id="rId1424" display="https://webagentes.canaldirecto.com.ar/incidents/view/736067-3" xr:uid="{00000000-0004-0000-0300-00008F050000}"/>
    <hyperlink ref="A1583" r:id="rId1425" display="https://webagentes.canaldirecto.com.ar/incidents/view/735625-4" xr:uid="{00000000-0004-0000-0300-000090050000}"/>
    <hyperlink ref="A1572" r:id="rId1426" display="https://webagentes.canaldirecto.com.ar/incidents/view/735624-5" xr:uid="{00000000-0004-0000-0300-000091050000}"/>
    <hyperlink ref="A1573" r:id="rId1427" display="https://webagentes.canaldirecto.com.ar/incidents/view/735623-6" xr:uid="{00000000-0004-0000-0300-000092050000}"/>
    <hyperlink ref="A1574" r:id="rId1428" display="https://webagentes.canaldirecto.com.ar/incidents/view/735621-8" xr:uid="{00000000-0004-0000-0300-000093050000}"/>
    <hyperlink ref="A1575" r:id="rId1429" display="https://webagentes.canaldirecto.com.ar/incidents/view/735619-3" xr:uid="{00000000-0004-0000-0300-000094050000}"/>
    <hyperlink ref="A1576" r:id="rId1430" display="https://webagentes.canaldirecto.com.ar/incidents/view/735618-4" xr:uid="{00000000-0004-0000-0300-000095050000}"/>
    <hyperlink ref="A1577" r:id="rId1431" display="https://webagentes.canaldirecto.com.ar/incidents/view/735617-5" xr:uid="{00000000-0004-0000-0300-000096050000}"/>
    <hyperlink ref="A1578" r:id="rId1432" display="https://webagentes.canaldirecto.com.ar/incidents/view/735616-6" xr:uid="{00000000-0004-0000-0300-000097050000}"/>
    <hyperlink ref="A1579" r:id="rId1433" display="https://webagentes.canaldirecto.com.ar/incidents/view/735615-7" xr:uid="{00000000-0004-0000-0300-000098050000}"/>
    <hyperlink ref="A1580" r:id="rId1434" display="https://webagentes.canaldirecto.com.ar/incidents/view/735614-8" xr:uid="{00000000-0004-0000-0300-000099050000}"/>
    <hyperlink ref="A1581" r:id="rId1435" display="https://webagentes.canaldirecto.com.ar/incidents/view/735612-0" xr:uid="{00000000-0004-0000-0300-00009A050000}"/>
    <hyperlink ref="A1584" r:id="rId1436" display="https://webagentes.canaldirecto.com.ar/incidents/view/735611-1" xr:uid="{00000000-0004-0000-0300-00009B050000}"/>
    <hyperlink ref="A1582" r:id="rId1437" display="https://webagentes.canaldirecto.com.ar/incidents/view/735610-2" xr:uid="{00000000-0004-0000-0300-00009C050000}"/>
    <hyperlink ref="A1556" r:id="rId1438" display="https://webagentes.canaldirecto.com.ar/incidents/view/735396-5" xr:uid="{00000000-0004-0000-0300-00009D050000}"/>
    <hyperlink ref="A1558" r:id="rId1439" display="https://webagentes.canaldirecto.com.ar/incidents/view/735356-7" xr:uid="{00000000-0004-0000-0300-00009E050000}"/>
    <hyperlink ref="A1557" r:id="rId1440" display="https://webagentes.canaldirecto.com.ar/incidents/view/735349-7" xr:uid="{00000000-0004-0000-0300-00009F050000}"/>
    <hyperlink ref="A1553" r:id="rId1441" display="https://webagentes.canaldirecto.com.ar/incidents/view/734974-0" xr:uid="{00000000-0004-0000-0300-0000A0050000}"/>
    <hyperlink ref="A1570" r:id="rId1442" display="https://webagentes.canaldirecto.com.ar/incidents/view/734965-2" xr:uid="{00000000-0004-0000-0300-0000A1050000}"/>
    <hyperlink ref="A1554" r:id="rId1443" display="https://webagentes.canaldirecto.com.ar/incidents/view/734919-3" xr:uid="{00000000-0004-0000-0300-0000A2050000}"/>
    <hyperlink ref="A1552" r:id="rId1444" display="https://webagentes.canaldirecto.com.ar/incidents/view/734828-2" xr:uid="{00000000-0004-0000-0300-0000A3050000}"/>
    <hyperlink ref="A1555" r:id="rId1445" display="https://webagentes.canaldirecto.com.ar/incidents/view/734815-8" xr:uid="{00000000-0004-0000-0300-0000A4050000}"/>
    <hyperlink ref="A1542" r:id="rId1446" display="https://webagentes.canaldirecto.com.ar/incidents/view/734451-4" xr:uid="{00000000-0004-0000-0300-0000A5050000}"/>
    <hyperlink ref="A1545" r:id="rId1447" display="https://webagentes.canaldirecto.com.ar/incidents/view/734438-3" xr:uid="{00000000-0004-0000-0300-0000A6050000}"/>
    <hyperlink ref="A1551" r:id="rId1448" display="https://webagentes.canaldirecto.com.ar/incidents/view/734366-7" xr:uid="{00000000-0004-0000-0300-0000A7050000}"/>
    <hyperlink ref="A1544" r:id="rId1449" display="https://webagentes.canaldirecto.com.ar/incidents/view/734320-5" xr:uid="{00000000-0004-0000-0300-0000A8050000}"/>
    <hyperlink ref="A1548" r:id="rId1450" display="https://webagentes.canaldirecto.com.ar/incidents/view/734268-6" xr:uid="{00000000-0004-0000-0300-0000A9050000}"/>
    <hyperlink ref="A1543" r:id="rId1451" display="https://webagentes.canaldirecto.com.ar/incidents/view/734191-5" xr:uid="{00000000-0004-0000-0300-0000AA050000}"/>
    <hyperlink ref="A1546" r:id="rId1452" display="https://webagentes.canaldirecto.com.ar/incidents/view/734165-0" xr:uid="{00000000-0004-0000-0300-0000AB050000}"/>
    <hyperlink ref="A1547" r:id="rId1453" display="https://webagentes.canaldirecto.com.ar/incidents/view/734093-4" xr:uid="{00000000-0004-0000-0300-0000AC050000}"/>
    <hyperlink ref="A1541" r:id="rId1454" display="https://webagentes.canaldirecto.com.ar/incidents/view/734052-7" xr:uid="{00000000-0004-0000-0300-0000AD050000}"/>
    <hyperlink ref="A1567" r:id="rId1455" display="https://webagentes.canaldirecto.com.ar/incidents/view/734041-1" xr:uid="{00000000-0004-0000-0300-0000AE050000}"/>
    <hyperlink ref="A1568" r:id="rId1456" display="https://webagentes.canaldirecto.com.ar/incidents/view/734040-2" xr:uid="{00000000-0004-0000-0300-0000AF050000}"/>
    <hyperlink ref="A1569" r:id="rId1457" display="https://webagentes.canaldirecto.com.ar/incidents/view/734039-6" xr:uid="{00000000-0004-0000-0300-0000B0050000}"/>
    <hyperlink ref="A1563" r:id="rId1458" display="https://webagentes.canaldirecto.com.ar/incidents/view/734020-8" xr:uid="{00000000-0004-0000-0300-0000B1050000}"/>
    <hyperlink ref="A1564" r:id="rId1459" display="https://webagentes.canaldirecto.com.ar/incidents/view/734019-2" xr:uid="{00000000-0004-0000-0300-0000B2050000}"/>
    <hyperlink ref="A1565" r:id="rId1460" display="https://webagentes.canaldirecto.com.ar/incidents/view/734018-3" xr:uid="{00000000-0004-0000-0300-0000B3050000}"/>
    <hyperlink ref="A1566" r:id="rId1461" display="https://webagentes.canaldirecto.com.ar/incidents/view/734017-4" xr:uid="{00000000-0004-0000-0300-0000B4050000}"/>
    <hyperlink ref="A1540" r:id="rId1462" display="https://webagentes.canaldirecto.com.ar/incidents/view/733622-3" xr:uid="{00000000-0004-0000-0300-0000B5050000}"/>
    <hyperlink ref="A1539" r:id="rId1463" display="https://webagentes.canaldirecto.com.ar/incidents/view/733547-3" xr:uid="{00000000-0004-0000-0300-0000B6050000}"/>
    <hyperlink ref="A1537" r:id="rId1464" display="https://webagentes.canaldirecto.com.ar/incidents/view/733308-6" xr:uid="{00000000-0004-0000-0300-0000B7050000}"/>
    <hyperlink ref="A1538" r:id="rId1465" display="https://webagentes.canaldirecto.com.ar/incidents/view/733274-0" xr:uid="{00000000-0004-0000-0300-0000B8050000}"/>
    <hyperlink ref="A1535" r:id="rId1466" display="https://webagentes.canaldirecto.com.ar/incidents/view/733255-5" xr:uid="{00000000-0004-0000-0300-0000B9050000}"/>
    <hyperlink ref="A1549" r:id="rId1467" display="https://webagentes.canaldirecto.com.ar/incidents/view/732823-3" xr:uid="{00000000-0004-0000-0300-0000BA050000}"/>
    <hyperlink ref="A1536" r:id="rId1468" display="https://webagentes.canaldirecto.com.ar/incidents/view/732734-0" xr:uid="{00000000-0004-0000-0300-0000BB050000}"/>
    <hyperlink ref="A1550" r:id="rId1469" display="https://webagentes.canaldirecto.com.ar/incidents/view/732098-5" xr:uid="{00000000-0004-0000-0300-0000BC050000}"/>
    <hyperlink ref="A1571" r:id="rId1470" display="https://webagentes.canaldirecto.com.ar/incidents/view/692612-6" xr:uid="{00000000-0004-0000-0300-0000BD050000}"/>
    <hyperlink ref="A1631" r:id="rId1471" display="https://webagentes.canaldirecto.com.ar/incidents/view/738544-1" xr:uid="{00000000-0004-0000-0300-0000BE050000}"/>
    <hyperlink ref="A1634" r:id="rId1472" display="https://webagentes.canaldirecto.com.ar/incidents/view/738502-5" xr:uid="{00000000-0004-0000-0300-0000BF050000}"/>
    <hyperlink ref="A1633" r:id="rId1473" display="https://webagentes.canaldirecto.com.ar/incidents/view/738237-4" xr:uid="{00000000-0004-0000-0300-0000C0050000}"/>
    <hyperlink ref="A1632" r:id="rId1474" display="https://webagentes.canaldirecto.com.ar/incidents/view/738132-0" xr:uid="{00000000-0004-0000-0300-0000C1050000}"/>
    <hyperlink ref="A1630" r:id="rId1475" display="https://webagentes.canaldirecto.com.ar/incidents/view/738121-4" xr:uid="{00000000-0004-0000-0300-0000C2050000}"/>
    <hyperlink ref="A1624" r:id="rId1476" display="https://webagentes.canaldirecto.com.ar/incidents/view/737886-7" xr:uid="{00000000-0004-0000-0300-0000C3050000}"/>
    <hyperlink ref="A1628" r:id="rId1477" display="https://webagentes.canaldirecto.com.ar/incidents/view/737869-0" xr:uid="{00000000-0004-0000-0300-0000C4050000}"/>
    <hyperlink ref="A1627" r:id="rId1478" display="https://webagentes.canaldirecto.com.ar/incidents/view/737821-0" xr:uid="{00000000-0004-0000-0300-0000C5050000}"/>
    <hyperlink ref="A1620" r:id="rId1479" display="https://webagentes.canaldirecto.com.ar/incidents/view/737777-0" xr:uid="{00000000-0004-0000-0300-0000C6050000}"/>
    <hyperlink ref="A1629" r:id="rId1480" display="https://webagentes.canaldirecto.com.ar/incidents/view/737769-1" xr:uid="{00000000-0004-0000-0300-0000C7050000}"/>
    <hyperlink ref="A1643" r:id="rId1481" display="https://webagentes.canaldirecto.com.ar/incidents/view/737512-5" xr:uid="{00000000-0004-0000-0300-0000C8050000}"/>
    <hyperlink ref="A1642" r:id="rId1482" display="https://webagentes.canaldirecto.com.ar/incidents/view/737511-6" xr:uid="{00000000-0004-0000-0300-0000C9050000}"/>
    <hyperlink ref="A1641" r:id="rId1483" display="https://webagentes.canaldirecto.com.ar/incidents/view/737510-7" xr:uid="{00000000-0004-0000-0300-0000CA050000}"/>
    <hyperlink ref="A1640" r:id="rId1484" display="https://webagentes.canaldirecto.com.ar/incidents/view/737509-1" xr:uid="{00000000-0004-0000-0300-0000CB050000}"/>
    <hyperlink ref="A1639" r:id="rId1485" display="https://webagentes.canaldirecto.com.ar/incidents/view/737508-2" xr:uid="{00000000-0004-0000-0300-0000CC050000}"/>
    <hyperlink ref="A1618" r:id="rId1486" display="https://webagentes.canaldirecto.com.ar/incidents/view/737479-1" xr:uid="{00000000-0004-0000-0300-0000CD050000}"/>
    <hyperlink ref="A1610" r:id="rId1487" display="https://webagentes.canaldirecto.com.ar/incidents/view/737362-2" xr:uid="{00000000-0004-0000-0300-0000CE050000}"/>
    <hyperlink ref="A1613" r:id="rId1488" display="https://webagentes.canaldirecto.com.ar/incidents/view/737353-4" xr:uid="{00000000-0004-0000-0300-0000CF050000}"/>
    <hyperlink ref="A1616" r:id="rId1489" display="https://webagentes.canaldirecto.com.ar/incidents/view/737330-3" xr:uid="{00000000-0004-0000-0300-0000D0050000}"/>
    <hyperlink ref="A1619" r:id="rId1490" display="https://webagentes.canaldirecto.com.ar/incidents/view/737319-0" xr:uid="{00000000-0004-0000-0300-0000D1050000}"/>
    <hyperlink ref="A1615" r:id="rId1491" display="https://webagentes.canaldirecto.com.ar/incidents/view/737269-6" xr:uid="{00000000-0004-0000-0300-0000D2050000}"/>
    <hyperlink ref="A1625" r:id="rId1492" display="https://webagentes.canaldirecto.com.ar/incidents/view/737223-4" xr:uid="{00000000-0004-0000-0300-0000D3050000}"/>
    <hyperlink ref="A1617" r:id="rId1493" display="https://webagentes.canaldirecto.com.ar/incidents/view/737055-5" xr:uid="{00000000-0004-0000-0300-0000D4050000}"/>
    <hyperlink ref="A1612" r:id="rId1494" display="https://webagentes.canaldirecto.com.ar/incidents/view/736996-6" xr:uid="{00000000-0004-0000-0300-0000D5050000}"/>
    <hyperlink ref="A1608" r:id="rId1495" display="https://webagentes.canaldirecto.com.ar/incidents/view/736990-2" xr:uid="{00000000-0004-0000-0300-0000D6050000}"/>
    <hyperlink ref="A1623" r:id="rId1496" display="https://webagentes.canaldirecto.com.ar/incidents/view/736941-6" xr:uid="{00000000-0004-0000-0300-0000D7050000}"/>
    <hyperlink ref="A1609" r:id="rId1497" display="https://webagentes.canaldirecto.com.ar/incidents/view/736856-9" xr:uid="{00000000-0004-0000-0300-0000D8050000}"/>
    <hyperlink ref="A1611" r:id="rId1498" display="https://webagentes.canaldirecto.com.ar/incidents/view/736826-8" xr:uid="{00000000-0004-0000-0300-0000D9050000}"/>
    <hyperlink ref="A1614" r:id="rId1499" display="https://webagentes.canaldirecto.com.ar/incidents/view/736797-7" xr:uid="{00000000-0004-0000-0300-0000DA050000}"/>
    <hyperlink ref="A1607" r:id="rId1500" display="https://webagentes.canaldirecto.com.ar/incidents/view/736753-3" xr:uid="{00000000-0004-0000-0300-0000DB050000}"/>
    <hyperlink ref="A1603" r:id="rId1501" display="https://webagentes.canaldirecto.com.ar/incidents/view/736736-6" xr:uid="{00000000-0004-0000-0300-0000DC050000}"/>
    <hyperlink ref="A1605" r:id="rId1502" display="https://webagentes.canaldirecto.com.ar/incidents/view/736643-7" xr:uid="{00000000-0004-0000-0300-0000DD050000}"/>
    <hyperlink ref="A1606" r:id="rId1503" display="https://webagentes.canaldirecto.com.ar/incidents/view/736504-9" xr:uid="{00000000-0004-0000-0300-0000DE050000}"/>
    <hyperlink ref="A1644" r:id="rId1504" display="https://webagentes.canaldirecto.com.ar/incidents/view/736301-4" xr:uid="{00000000-0004-0000-0300-0000DF050000}"/>
    <hyperlink ref="A1638" r:id="rId1505" display="https://webagentes.canaldirecto.com.ar/incidents/view/736260-8" xr:uid="{00000000-0004-0000-0300-0000E0050000}"/>
    <hyperlink ref="A1637" r:id="rId1506" display="https://webagentes.canaldirecto.com.ar/incidents/view/736259-2" xr:uid="{00000000-0004-0000-0300-0000E1050000}"/>
    <hyperlink ref="A1636" r:id="rId1507" display="https://webagentes.canaldirecto.com.ar/incidents/view/736258-3" xr:uid="{00000000-0004-0000-0300-0000E2050000}"/>
    <hyperlink ref="A1622" r:id="rId1508" display="https://webagentes.canaldirecto.com.ar/incidents/view/736147-8" xr:uid="{00000000-0004-0000-0300-0000E3050000}"/>
    <hyperlink ref="A1621" r:id="rId1509" display="https://webagentes.canaldirecto.com.ar/incidents/view/736146-9" xr:uid="{00000000-0004-0000-0300-0000E4050000}"/>
    <hyperlink ref="A1604" r:id="rId1510" display="https://webagentes.canaldirecto.com.ar/incidents/view/736071-6" xr:uid="{00000000-0004-0000-0300-0000E5050000}"/>
    <hyperlink ref="A1626" r:id="rId1511" display="https://webagentes.canaldirecto.com.ar/incidents/view/734721-0" xr:uid="{00000000-0004-0000-0300-0000E6050000}"/>
    <hyperlink ref="A1602" r:id="rId1512" display="https://webagentes.canaldirecto.com.ar/incidents/view/734545-2" xr:uid="{00000000-0004-0000-0300-0000E7050000}"/>
    <hyperlink ref="A1689" r:id="rId1513" display="https://webagentes.canaldirecto.com.ar/incidents/view/741293-0" xr:uid="{00000000-0004-0000-0300-0000E8050000}"/>
    <hyperlink ref="A1691" r:id="rId1514" display="https://webagentes.canaldirecto.com.ar/incidents/view/741292-1" xr:uid="{00000000-0004-0000-0300-0000E9050000}"/>
    <hyperlink ref="A1690" r:id="rId1515" display="https://webagentes.canaldirecto.com.ar/incidents/view/741291-2" xr:uid="{00000000-0004-0000-0300-0000EA050000}"/>
    <hyperlink ref="A1678" r:id="rId1516" display="https://webagentes.canaldirecto.com.ar/incidents/view/741196-8" xr:uid="{00000000-0004-0000-0300-0000EB050000}"/>
    <hyperlink ref="A1677" r:id="rId1517" display="https://webagentes.canaldirecto.com.ar/incidents/view/741194-0" xr:uid="{00000000-0004-0000-0300-0000EC050000}"/>
    <hyperlink ref="A1676" r:id="rId1518" display="https://webagentes.canaldirecto.com.ar/incidents/view/741193-1" xr:uid="{00000000-0004-0000-0300-0000ED050000}"/>
    <hyperlink ref="A1681" r:id="rId1519" display="https://webagentes.canaldirecto.com.ar/incidents/view/741192-2" xr:uid="{00000000-0004-0000-0300-0000EE050000}"/>
    <hyperlink ref="A1680" r:id="rId1520" display="https://webagentes.canaldirecto.com.ar/incidents/view/741191-3" xr:uid="{00000000-0004-0000-0300-0000EF050000}"/>
    <hyperlink ref="A1679" r:id="rId1521" display="https://webagentes.canaldirecto.com.ar/incidents/view/741190-4" xr:uid="{00000000-0004-0000-0300-0000F0050000}"/>
    <hyperlink ref="A1682" r:id="rId1522" display="https://webagentes.canaldirecto.com.ar/incidents/view/741188-9" xr:uid="{00000000-0004-0000-0300-0000F1050000}"/>
    <hyperlink ref="A1688" r:id="rId1523" display="https://webagentes.canaldirecto.com.ar/incidents/view/741187-0" xr:uid="{00000000-0004-0000-0300-0000F2050000}"/>
    <hyperlink ref="A1687" r:id="rId1524" display="https://webagentes.canaldirecto.com.ar/incidents/view/741186-1" xr:uid="{00000000-0004-0000-0300-0000F3050000}"/>
    <hyperlink ref="A1686" r:id="rId1525" display="https://webagentes.canaldirecto.com.ar/incidents/view/741185-2" xr:uid="{00000000-0004-0000-0300-0000F4050000}"/>
    <hyperlink ref="A1685" r:id="rId1526" display="https://webagentes.canaldirecto.com.ar/incidents/view/741184-3" xr:uid="{00000000-0004-0000-0300-0000F5050000}"/>
    <hyperlink ref="A1684" r:id="rId1527" display="https://webagentes.canaldirecto.com.ar/incidents/view/741183-4" xr:uid="{00000000-0004-0000-0300-0000F6050000}"/>
    <hyperlink ref="A1683" r:id="rId1528" display="https://webagentes.canaldirecto.com.ar/incidents/view/741182-5" xr:uid="{00000000-0004-0000-0300-0000F7050000}"/>
    <hyperlink ref="A1669" r:id="rId1529" display="https://webagentes.canaldirecto.com.ar/incidents/view/741089-9" xr:uid="{00000000-0004-0000-0300-0000F8050000}"/>
    <hyperlink ref="A1671" r:id="rId1530" display="https://webagentes.canaldirecto.com.ar/incidents/view/741082-6" xr:uid="{00000000-0004-0000-0300-0000F9050000}"/>
    <hyperlink ref="A1668" r:id="rId1531" display="https://webagentes.canaldirecto.com.ar/incidents/view/740770-7" xr:uid="{00000000-0004-0000-0300-0000FA050000}"/>
    <hyperlink ref="A1658" r:id="rId1532" display="https://webagentes.canaldirecto.com.ar/incidents/view/740747-9" xr:uid="{00000000-0004-0000-0300-0000FB050000}"/>
    <hyperlink ref="A1659" r:id="rId1533" display="https://webagentes.canaldirecto.com.ar/incidents/view/740678-0" xr:uid="{00000000-0004-0000-0300-0000FC050000}"/>
    <hyperlink ref="A1664" r:id="rId1534" display="https://webagentes.canaldirecto.com.ar/incidents/view/740662-9" xr:uid="{00000000-0004-0000-0300-0000FD050000}"/>
    <hyperlink ref="A1661" r:id="rId1535" display="https://webagentes.canaldirecto.com.ar/incidents/view/740465-8" xr:uid="{00000000-0004-0000-0300-0000FE050000}"/>
    <hyperlink ref="A1663" r:id="rId1536" display="https://webagentes.canaldirecto.com.ar/incidents/view/740428-7" xr:uid="{00000000-0004-0000-0300-0000FF050000}"/>
    <hyperlink ref="A1660" r:id="rId1537" display="https://webagentes.canaldirecto.com.ar/incidents/view/740345-5" xr:uid="{00000000-0004-0000-0300-000000060000}"/>
    <hyperlink ref="A1670" r:id="rId1538" display="https://webagentes.canaldirecto.com.ar/incidents/view/740278-4" xr:uid="{00000000-0004-0000-0300-000001060000}"/>
    <hyperlink ref="A1667" r:id="rId1539" display="https://webagentes.canaldirecto.com.ar/incidents/view/740229-8" xr:uid="{00000000-0004-0000-0300-000002060000}"/>
    <hyperlink ref="A1657" r:id="rId1540" display="https://webagentes.canaldirecto.com.ar/incidents/view/740218-2" xr:uid="{00000000-0004-0000-0300-000003060000}"/>
    <hyperlink ref="A1662" r:id="rId1541" display="https://webagentes.canaldirecto.com.ar/incidents/view/740206-7" xr:uid="{00000000-0004-0000-0300-000004060000}"/>
    <hyperlink ref="A1653" r:id="rId1542" display="https://webagentes.canaldirecto.com.ar/incidents/view/740043-0" xr:uid="{00000000-0004-0000-0300-000005060000}"/>
    <hyperlink ref="A1656" r:id="rId1543" display="https://webagentes.canaldirecto.com.ar/incidents/view/740024-5" xr:uid="{00000000-0004-0000-0300-000006060000}"/>
    <hyperlink ref="A1666" r:id="rId1544" display="https://webagentes.canaldirecto.com.ar/incidents/view/739779-2" xr:uid="{00000000-0004-0000-0300-000007060000}"/>
    <hyperlink ref="A1655" r:id="rId1545" display="https://webagentes.canaldirecto.com.ar/incidents/view/739754-3" xr:uid="{00000000-0004-0000-0300-000008060000}"/>
    <hyperlink ref="A1675" r:id="rId1546" display="https://webagentes.canaldirecto.com.ar/incidents/view/739542-0" xr:uid="{00000000-0004-0000-0300-000009060000}"/>
    <hyperlink ref="A1674" r:id="rId1547" display="https://webagentes.canaldirecto.com.ar/incidents/view/739541-1" xr:uid="{00000000-0004-0000-0300-00000A060000}"/>
    <hyperlink ref="A1665" r:id="rId1548" display="https://webagentes.canaldirecto.com.ar/incidents/view/739448-5" xr:uid="{00000000-0004-0000-0300-00000B060000}"/>
    <hyperlink ref="A1654" r:id="rId1549" display="https://webagentes.canaldirecto.com.ar/incidents/view/739310-3" xr:uid="{00000000-0004-0000-0300-00000C060000}"/>
    <hyperlink ref="A1652" r:id="rId1550" display="https://webagentes.canaldirecto.com.ar/incidents/view/739204-3" xr:uid="{00000000-0004-0000-0300-00000D060000}"/>
    <hyperlink ref="A1648" r:id="rId1551" display="https://webagentes.canaldirecto.com.ar/incidents/view/739122-0" xr:uid="{00000000-0004-0000-0300-00000E060000}"/>
    <hyperlink ref="A1651" r:id="rId1552" display="https://webagentes.canaldirecto.com.ar/incidents/view/739074-4" xr:uid="{00000000-0004-0000-0300-00000F060000}"/>
    <hyperlink ref="A1649" r:id="rId1553" display="https://webagentes.canaldirecto.com.ar/incidents/view/739018-8" xr:uid="{00000000-0004-0000-0300-000010060000}"/>
    <hyperlink ref="A1650" r:id="rId1554" display="https://webagentes.canaldirecto.com.ar/incidents/view/739005-4" xr:uid="{00000000-0004-0000-0300-000011060000}"/>
    <hyperlink ref="A1786" r:id="rId1555" display="https://webagentes.canaldirecto.com.ar/incidents/view/744536-3" xr:uid="{00000000-0004-0000-0300-000012060000}"/>
    <hyperlink ref="A1785" r:id="rId1556" display="https://webagentes.canaldirecto.com.ar/incidents/view/744535-4" xr:uid="{00000000-0004-0000-0300-000013060000}"/>
    <hyperlink ref="A1784" r:id="rId1557" display="https://webagentes.canaldirecto.com.ar/incidents/view/744533-6" xr:uid="{00000000-0004-0000-0300-000014060000}"/>
    <hyperlink ref="A1790" r:id="rId1558" display="https://webagentes.canaldirecto.com.ar/incidents/view/744425-8" xr:uid="{00000000-0004-0000-0300-000015060000}"/>
    <hyperlink ref="A1728" r:id="rId1559" display="https://webagentes.canaldirecto.com.ar/incidents/view/744294-0" xr:uid="{00000000-0004-0000-0300-000016060000}"/>
    <hyperlink ref="A1771" r:id="rId1560" display="https://webagentes.canaldirecto.com.ar/incidents/view/744291-3" xr:uid="{00000000-0004-0000-0300-000017060000}"/>
    <hyperlink ref="A1797" r:id="rId1561" display="https://webagentes.canaldirecto.com.ar/incidents/view/744290-4" xr:uid="{00000000-0004-0000-0300-000018060000}"/>
    <hyperlink ref="A1796" r:id="rId1562" display="https://webagentes.canaldirecto.com.ar/incidents/view/744289-8" xr:uid="{00000000-0004-0000-0300-000019060000}"/>
    <hyperlink ref="A1798" r:id="rId1563" display="https://webagentes.canaldirecto.com.ar/incidents/view/744283-4" xr:uid="{00000000-0004-0000-0300-00001A060000}"/>
    <hyperlink ref="A1770" r:id="rId1564" display="https://webagentes.canaldirecto.com.ar/incidents/view/744281-6" xr:uid="{00000000-0004-0000-0300-00001B060000}"/>
    <hyperlink ref="A1783" r:id="rId1565" display="https://webagentes.canaldirecto.com.ar/incidents/view/744280-7" xr:uid="{00000000-0004-0000-0300-00001C060000}"/>
    <hyperlink ref="A1772" r:id="rId1566" display="https://webagentes.canaldirecto.com.ar/incidents/view/744279-1" xr:uid="{00000000-0004-0000-0300-00001D060000}"/>
    <hyperlink ref="A1789" r:id="rId1567" display="https://webagentes.canaldirecto.com.ar/incidents/view/744278-2" xr:uid="{00000000-0004-0000-0300-00001E060000}"/>
    <hyperlink ref="A1775" r:id="rId1568" display="https://webagentes.canaldirecto.com.ar/incidents/view/744277-3" xr:uid="{00000000-0004-0000-0300-00001F060000}"/>
    <hyperlink ref="A1774" r:id="rId1569" display="https://webagentes.canaldirecto.com.ar/incidents/view/744276-4" xr:uid="{00000000-0004-0000-0300-000020060000}"/>
    <hyperlink ref="A1773" r:id="rId1570" display="https://webagentes.canaldirecto.com.ar/incidents/view/744275-5" xr:uid="{00000000-0004-0000-0300-000021060000}"/>
    <hyperlink ref="A1788" r:id="rId1571" display="https://webagentes.canaldirecto.com.ar/incidents/view/744274-6" xr:uid="{00000000-0004-0000-0300-000022060000}"/>
    <hyperlink ref="A1778" r:id="rId1572" display="https://webagentes.canaldirecto.com.ar/incidents/view/744273-7" xr:uid="{00000000-0004-0000-0300-000023060000}"/>
    <hyperlink ref="A1777" r:id="rId1573" display="https://webagentes.canaldirecto.com.ar/incidents/view/744272-8" xr:uid="{00000000-0004-0000-0300-000024060000}"/>
    <hyperlink ref="A1776" r:id="rId1574" display="https://webagentes.canaldirecto.com.ar/incidents/view/744271-9" xr:uid="{00000000-0004-0000-0300-000025060000}"/>
    <hyperlink ref="A1793" r:id="rId1575" display="https://webagentes.canaldirecto.com.ar/incidents/view/744270-0" xr:uid="{00000000-0004-0000-0300-000026060000}"/>
    <hyperlink ref="A1792" r:id="rId1576" display="https://webagentes.canaldirecto.com.ar/incidents/view/744269-4" xr:uid="{00000000-0004-0000-0300-000027060000}"/>
    <hyperlink ref="A1791" r:id="rId1577" display="https://webagentes.canaldirecto.com.ar/incidents/view/744268-5" xr:uid="{00000000-0004-0000-0300-000028060000}"/>
    <hyperlink ref="A1780" r:id="rId1578" display="https://webagentes.canaldirecto.com.ar/incidents/view/744267-6" xr:uid="{00000000-0004-0000-0300-000029060000}"/>
    <hyperlink ref="A1795" r:id="rId1579" display="https://webagentes.canaldirecto.com.ar/incidents/view/744266-7" xr:uid="{00000000-0004-0000-0300-00002A060000}"/>
    <hyperlink ref="A1794" r:id="rId1580" display="https://webagentes.canaldirecto.com.ar/incidents/view/744265-8" xr:uid="{00000000-0004-0000-0300-00002B060000}"/>
    <hyperlink ref="A1779" r:id="rId1581" display="https://webagentes.canaldirecto.com.ar/incidents/view/744264-9" xr:uid="{00000000-0004-0000-0300-00002C060000}"/>
    <hyperlink ref="A1731" r:id="rId1582" display="https://webagentes.canaldirecto.com.ar/incidents/view/744236-6" xr:uid="{00000000-0004-0000-0300-00002D060000}"/>
    <hyperlink ref="A1727" r:id="rId1583" display="https://webagentes.canaldirecto.com.ar/incidents/view/744166-8" xr:uid="{00000000-0004-0000-0300-00002E060000}"/>
    <hyperlink ref="A1732" r:id="rId1584" display="https://webagentes.canaldirecto.com.ar/incidents/view/744162-2" xr:uid="{00000000-0004-0000-0300-00002F060000}"/>
    <hyperlink ref="A1726" r:id="rId1585" display="https://webagentes.canaldirecto.com.ar/incidents/view/744156-1" xr:uid="{00000000-0004-0000-0300-000030060000}"/>
    <hyperlink ref="A1730" r:id="rId1586" display="https://webagentes.canaldirecto.com.ar/incidents/view/744127-9" xr:uid="{00000000-0004-0000-0300-000031060000}"/>
    <hyperlink ref="A1725" r:id="rId1587" display="https://webagentes.canaldirecto.com.ar/incidents/view/744085-4" xr:uid="{00000000-0004-0000-0300-000032060000}"/>
    <hyperlink ref="A1767" r:id="rId1588" display="https://webagentes.canaldirecto.com.ar/incidents/view/744009-4" xr:uid="{00000000-0004-0000-0300-000033060000}"/>
    <hyperlink ref="A1766" r:id="rId1589" display="https://webagentes.canaldirecto.com.ar/incidents/view/744008-5" xr:uid="{00000000-0004-0000-0300-000034060000}"/>
    <hyperlink ref="A1765" r:id="rId1590" display="https://webagentes.canaldirecto.com.ar/incidents/view/744007-6" xr:uid="{00000000-0004-0000-0300-000035060000}"/>
    <hyperlink ref="A1787" r:id="rId1591" display="https://webagentes.canaldirecto.com.ar/incidents/view/744006-7" xr:uid="{00000000-0004-0000-0300-000036060000}"/>
    <hyperlink ref="A1764" r:id="rId1592" display="https://webagentes.canaldirecto.com.ar/incidents/view/744005-8" xr:uid="{00000000-0004-0000-0300-000037060000}"/>
    <hyperlink ref="A1769" r:id="rId1593" display="https://webagentes.canaldirecto.com.ar/incidents/view/744004-9" xr:uid="{00000000-0004-0000-0300-000038060000}"/>
    <hyperlink ref="A1768" r:id="rId1594" display="https://webagentes.canaldirecto.com.ar/incidents/view/744003-0" xr:uid="{00000000-0004-0000-0300-000039060000}"/>
    <hyperlink ref="A1760" r:id="rId1595" display="https://webagentes.canaldirecto.com.ar/incidents/view/744002-1" xr:uid="{00000000-0004-0000-0300-00003A060000}"/>
    <hyperlink ref="A1782" r:id="rId1596" display="https://webagentes.canaldirecto.com.ar/incidents/view/744001-2" xr:uid="{00000000-0004-0000-0300-00003B060000}"/>
    <hyperlink ref="A1781" r:id="rId1597" display="https://webagentes.canaldirecto.com.ar/incidents/view/744000-3" xr:uid="{00000000-0004-0000-0300-00003C060000}"/>
    <hyperlink ref="A1763" r:id="rId1598" display="https://webagentes.canaldirecto.com.ar/incidents/view/743999-1" xr:uid="{00000000-0004-0000-0300-00003D060000}"/>
    <hyperlink ref="A1762" r:id="rId1599" display="https://webagentes.canaldirecto.com.ar/incidents/view/743998-2" xr:uid="{00000000-0004-0000-0300-00003E060000}"/>
    <hyperlink ref="A1761" r:id="rId1600" display="https://webagentes.canaldirecto.com.ar/incidents/view/743997-3" xr:uid="{00000000-0004-0000-0300-00003F060000}"/>
    <hyperlink ref="A1759" r:id="rId1601" display="https://webagentes.canaldirecto.com.ar/incidents/view/743996-4" xr:uid="{00000000-0004-0000-0300-000040060000}"/>
    <hyperlink ref="A1729" r:id="rId1602" display="https://webagentes.canaldirecto.com.ar/incidents/view/743989-4" xr:uid="{00000000-0004-0000-0300-000041060000}"/>
    <hyperlink ref="A1799" r:id="rId1603" display="https://webagentes.canaldirecto.com.ar/incidents/view/743955-7" xr:uid="{00000000-0004-0000-0300-000042060000}"/>
    <hyperlink ref="A1800" r:id="rId1604" display="https://webagentes.canaldirecto.com.ar/incidents/view/743954-8" xr:uid="{00000000-0004-0000-0300-000043060000}"/>
    <hyperlink ref="A1758" r:id="rId1605" display="https://webagentes.canaldirecto.com.ar/incidents/view/743917-7" xr:uid="{00000000-0004-0000-0300-000044060000}"/>
    <hyperlink ref="A1757" r:id="rId1606" display="https://webagentes.canaldirecto.com.ar/incidents/view/743916-8" xr:uid="{00000000-0004-0000-0300-000045060000}"/>
    <hyperlink ref="A1719" r:id="rId1607" display="https://webagentes.canaldirecto.com.ar/incidents/view/743720-3" xr:uid="{00000000-0004-0000-0300-000046060000}"/>
    <hyperlink ref="A1724" r:id="rId1608" display="https://webagentes.canaldirecto.com.ar/incidents/view/743626-8" xr:uid="{00000000-0004-0000-0300-000047060000}"/>
    <hyperlink ref="A1720" r:id="rId1609" display="https://webagentes.canaldirecto.com.ar/incidents/view/743577-3" xr:uid="{00000000-0004-0000-0300-000048060000}"/>
    <hyperlink ref="A1721" r:id="rId1610" display="https://webagentes.canaldirecto.com.ar/incidents/view/743576-4" xr:uid="{00000000-0004-0000-0300-000049060000}"/>
    <hyperlink ref="A1756" r:id="rId1611" display="https://webagentes.canaldirecto.com.ar/incidents/view/743521-4" xr:uid="{00000000-0004-0000-0300-00004A060000}"/>
    <hyperlink ref="A1755" r:id="rId1612" display="https://webagentes.canaldirecto.com.ar/incidents/view/743520-5" xr:uid="{00000000-0004-0000-0300-00004B060000}"/>
    <hyperlink ref="A1716" r:id="rId1613" display="https://webagentes.canaldirecto.com.ar/incidents/view/743513-5" xr:uid="{00000000-0004-0000-0300-00004C060000}"/>
    <hyperlink ref="A1754" r:id="rId1614" display="https://webagentes.canaldirecto.com.ar/incidents/view/743500-1" xr:uid="{00000000-0004-0000-0300-00004D060000}"/>
    <hyperlink ref="A1753" r:id="rId1615" display="https://webagentes.canaldirecto.com.ar/incidents/view/743499-6" xr:uid="{00000000-0004-0000-0300-00004E060000}"/>
    <hyperlink ref="A1752" r:id="rId1616" display="https://webagentes.canaldirecto.com.ar/incidents/view/743494-1" xr:uid="{00000000-0004-0000-0300-00004F060000}"/>
    <hyperlink ref="A1751" r:id="rId1617" display="https://webagentes.canaldirecto.com.ar/incidents/view/743493-2" xr:uid="{00000000-0004-0000-0300-000050060000}"/>
    <hyperlink ref="A1750" r:id="rId1618" display="https://webagentes.canaldirecto.com.ar/incidents/view/743492-3" xr:uid="{00000000-0004-0000-0300-000051060000}"/>
    <hyperlink ref="A1749" r:id="rId1619" display="https://webagentes.canaldirecto.com.ar/incidents/view/743491-4" xr:uid="{00000000-0004-0000-0300-000052060000}"/>
    <hyperlink ref="A1748" r:id="rId1620" display="https://webagentes.canaldirecto.com.ar/incidents/view/743488-0" xr:uid="{00000000-0004-0000-0300-000053060000}"/>
    <hyperlink ref="A1747" r:id="rId1621" display="https://webagentes.canaldirecto.com.ar/incidents/view/743487-1" xr:uid="{00000000-0004-0000-0300-000054060000}"/>
    <hyperlink ref="A1746" r:id="rId1622" display="https://webagentes.canaldirecto.com.ar/incidents/view/743484-4" xr:uid="{00000000-0004-0000-0300-000055060000}"/>
    <hyperlink ref="A1745" r:id="rId1623" display="https://webagentes.canaldirecto.com.ar/incidents/view/743483-5" xr:uid="{00000000-0004-0000-0300-000056060000}"/>
    <hyperlink ref="A1744" r:id="rId1624" display="https://webagentes.canaldirecto.com.ar/incidents/view/743482-6" xr:uid="{00000000-0004-0000-0300-000057060000}"/>
    <hyperlink ref="A1743" r:id="rId1625" display="https://webagentes.canaldirecto.com.ar/incidents/view/743481-7" xr:uid="{00000000-0004-0000-0300-000058060000}"/>
    <hyperlink ref="A1723" r:id="rId1626" display="https://webagentes.canaldirecto.com.ar/incidents/view/743469-5" xr:uid="{00000000-0004-0000-0300-000059060000}"/>
    <hyperlink ref="A1715" r:id="rId1627" display="https://webagentes.canaldirecto.com.ar/incidents/view/743438-5" xr:uid="{00000000-0004-0000-0300-00005A060000}"/>
    <hyperlink ref="A1714" r:id="rId1628" display="https://webagentes.canaldirecto.com.ar/incidents/view/743382-7" xr:uid="{00000000-0004-0000-0300-00005B060000}"/>
    <hyperlink ref="A1718" r:id="rId1629" display="https://webagentes.canaldirecto.com.ar/incidents/view/743350-8" xr:uid="{00000000-0004-0000-0300-00005C060000}"/>
    <hyperlink ref="A1717" r:id="rId1630" display="https://webagentes.canaldirecto.com.ar/incidents/view/743342-9" xr:uid="{00000000-0004-0000-0300-00005D060000}"/>
    <hyperlink ref="A1712" r:id="rId1631" display="https://webagentes.canaldirecto.com.ar/incidents/view/743302-1" xr:uid="{00000000-0004-0000-0300-00005E060000}"/>
    <hyperlink ref="A1711" r:id="rId1632" display="https://webagentes.canaldirecto.com.ar/incidents/view/743296-1" xr:uid="{00000000-0004-0000-0300-00005F060000}"/>
    <hyperlink ref="A1713" r:id="rId1633" display="https://webagentes.canaldirecto.com.ar/incidents/view/743240-2" xr:uid="{00000000-0004-0000-0300-000060060000}"/>
    <hyperlink ref="A1738" r:id="rId1634" display="https://webagentes.canaldirecto.com.ar/incidents/view/742988-8" xr:uid="{00000000-0004-0000-0300-000061060000}"/>
    <hyperlink ref="A1742" r:id="rId1635" display="https://webagentes.canaldirecto.com.ar/incidents/view/742987-9" xr:uid="{00000000-0004-0000-0300-000062060000}"/>
    <hyperlink ref="A1741" r:id="rId1636" display="https://webagentes.canaldirecto.com.ar/incidents/view/742986-0" xr:uid="{00000000-0004-0000-0300-000063060000}"/>
    <hyperlink ref="A1740" r:id="rId1637" display="https://webagentes.canaldirecto.com.ar/incidents/view/742984-2" xr:uid="{00000000-0004-0000-0300-000064060000}"/>
    <hyperlink ref="A1739" r:id="rId1638" display="https://webagentes.canaldirecto.com.ar/incidents/view/742983-3" xr:uid="{00000000-0004-0000-0300-000065060000}"/>
    <hyperlink ref="A1710" r:id="rId1639" display="https://webagentes.canaldirecto.com.ar/incidents/view/742961-1" xr:uid="{00000000-0004-0000-0300-000066060000}"/>
    <hyperlink ref="A1704" r:id="rId1640" display="https://webagentes.canaldirecto.com.ar/incidents/view/742931-0" xr:uid="{00000000-0004-0000-0300-000067060000}"/>
    <hyperlink ref="A1707" r:id="rId1641" display="https://webagentes.canaldirecto.com.ar/incidents/view/742916-1" xr:uid="{00000000-0004-0000-0300-000068060000}"/>
    <hyperlink ref="A1737" r:id="rId1642" display="https://webagentes.canaldirecto.com.ar/incidents/view/742854-2" xr:uid="{00000000-0004-0000-0300-000069060000}"/>
    <hyperlink ref="A1736" r:id="rId1643" display="https://webagentes.canaldirecto.com.ar/incidents/view/742852-4" xr:uid="{00000000-0004-0000-0300-00006A060000}"/>
    <hyperlink ref="A1708" r:id="rId1644" display="https://webagentes.canaldirecto.com.ar/incidents/view/742722-4" xr:uid="{00000000-0004-0000-0300-00006B060000}"/>
    <hyperlink ref="A1702" r:id="rId1645" display="https://webagentes.canaldirecto.com.ar/incidents/view/742676-6" xr:uid="{00000000-0004-0000-0300-00006C060000}"/>
    <hyperlink ref="A1709" r:id="rId1646" display="https://webagentes.canaldirecto.com.ar/incidents/view/742587-3" xr:uid="{00000000-0004-0000-0300-00006D060000}"/>
    <hyperlink ref="A1705" r:id="rId1647" display="https://webagentes.canaldirecto.com.ar/incidents/view/742367-1" xr:uid="{00000000-0004-0000-0300-00006E060000}"/>
    <hyperlink ref="A1706" r:id="rId1648" display="https://webagentes.canaldirecto.com.ar/incidents/view/742366-2" xr:uid="{00000000-0004-0000-0300-00006F060000}"/>
    <hyperlink ref="A1703" r:id="rId1649" display="https://webagentes.canaldirecto.com.ar/incidents/view/742161-9" xr:uid="{00000000-0004-0000-0300-000070060000}"/>
    <hyperlink ref="A1699" r:id="rId1650" display="https://webagentes.canaldirecto.com.ar/incidents/view/742082-3" xr:uid="{00000000-0004-0000-0300-000071060000}"/>
    <hyperlink ref="A1701" r:id="rId1651" display="https://webagentes.canaldirecto.com.ar/incidents/view/742055-9" xr:uid="{00000000-0004-0000-0300-000072060000}"/>
    <hyperlink ref="A1697" r:id="rId1652" display="https://webagentes.canaldirecto.com.ar/incidents/view/741894-3" xr:uid="{00000000-0004-0000-0300-000073060000}"/>
    <hyperlink ref="A1696" r:id="rId1653" display="https://webagentes.canaldirecto.com.ar/incidents/view/741893-4" xr:uid="{00000000-0004-0000-0300-000074060000}"/>
    <hyperlink ref="A1695" r:id="rId1654" display="https://webagentes.canaldirecto.com.ar/incidents/view/741415-0" xr:uid="{00000000-0004-0000-0300-000075060000}"/>
    <hyperlink ref="A1722" r:id="rId1655" display="https://webagentes.canaldirecto.com.ar/incidents/view/741391-1" xr:uid="{00000000-0004-0000-0300-000076060000}"/>
    <hyperlink ref="A1698" r:id="rId1656" display="https://webagentes.canaldirecto.com.ar/incidents/view/741262-0" xr:uid="{00000000-0004-0000-0300-000077060000}"/>
    <hyperlink ref="A1694" r:id="rId1657" display="https://webagentes.canaldirecto.com.ar/incidents/view/740877-9" xr:uid="{00000000-0004-0000-0300-000078060000}"/>
    <hyperlink ref="A1700" r:id="rId1658" display="https://webagentes.canaldirecto.com.ar/incidents/view/739447-6" xr:uid="{00000000-0004-0000-0300-000079060000}"/>
    <hyperlink ref="A1897" r:id="rId1659" display="https://webagentes.canaldirecto.com.ar/incidents/view/746820-3" xr:uid="{00000000-0004-0000-0300-00007A060000}"/>
    <hyperlink ref="A1898" r:id="rId1660" display="https://webagentes.canaldirecto.com.ar/incidents/view/746819-7" xr:uid="{00000000-0004-0000-0300-00007B060000}"/>
    <hyperlink ref="A1906" r:id="rId1661" display="https://webagentes.canaldirecto.com.ar/incidents/view/746815-1" xr:uid="{00000000-0004-0000-0300-00007C060000}"/>
    <hyperlink ref="A1907" r:id="rId1662" display="https://webagentes.canaldirecto.com.ar/incidents/view/746814-2" xr:uid="{00000000-0004-0000-0300-00007D060000}"/>
    <hyperlink ref="A1908" r:id="rId1663" display="https://webagentes.canaldirecto.com.ar/incidents/view/746812-4" xr:uid="{00000000-0004-0000-0300-00007E060000}"/>
    <hyperlink ref="A1900" r:id="rId1664" display="https://webagentes.canaldirecto.com.ar/incidents/view/746809-0" xr:uid="{00000000-0004-0000-0300-00007F060000}"/>
    <hyperlink ref="A1901" r:id="rId1665" display="https://webagentes.canaldirecto.com.ar/incidents/view/746808-1" xr:uid="{00000000-0004-0000-0300-000080060000}"/>
    <hyperlink ref="A1902" r:id="rId1666" display="https://webagentes.canaldirecto.com.ar/incidents/view/746807-2" xr:uid="{00000000-0004-0000-0300-000081060000}"/>
    <hyperlink ref="A1903" r:id="rId1667" display="https://webagentes.canaldirecto.com.ar/incidents/view/746805-4" xr:uid="{00000000-0004-0000-0300-000082060000}"/>
    <hyperlink ref="A1899" r:id="rId1668" display="https://webagentes.canaldirecto.com.ar/incidents/view/746801-8" xr:uid="{00000000-0004-0000-0300-000083060000}"/>
    <hyperlink ref="A1905" r:id="rId1669" display="https://webagentes.canaldirecto.com.ar/incidents/view/746800-9" xr:uid="{00000000-0004-0000-0300-000084060000}"/>
    <hyperlink ref="A1904" r:id="rId1670" display="https://webagentes.canaldirecto.com.ar/incidents/view/746799-4" xr:uid="{00000000-0004-0000-0300-000085060000}"/>
    <hyperlink ref="A1839" r:id="rId1671" display="https://webagentes.canaldirecto.com.ar/incidents/view/746761-1" xr:uid="{00000000-0004-0000-0300-000086060000}"/>
    <hyperlink ref="A1837" r:id="rId1672" display="https://webagentes.canaldirecto.com.ar/incidents/view/746657-9" xr:uid="{00000000-0004-0000-0300-000087060000}"/>
    <hyperlink ref="A1887" r:id="rId1673" display="https://webagentes.canaldirecto.com.ar/incidents/view/746477-5" xr:uid="{00000000-0004-0000-0300-000088060000}"/>
    <hyperlink ref="A1836" r:id="rId1674" display="https://webagentes.canaldirecto.com.ar/incidents/view/746439-5" xr:uid="{00000000-0004-0000-0300-000089060000}"/>
    <hyperlink ref="A1891" r:id="rId1675" display="https://webagentes.canaldirecto.com.ar/incidents/view/746436-8" xr:uid="{00000000-0004-0000-0300-00008A060000}"/>
    <hyperlink ref="A1893" r:id="rId1676" display="https://webagentes.canaldirecto.com.ar/incidents/view/746435-9" xr:uid="{00000000-0004-0000-0300-00008B060000}"/>
    <hyperlink ref="A1894" r:id="rId1677" display="https://webagentes.canaldirecto.com.ar/incidents/view/746434-0" xr:uid="{00000000-0004-0000-0300-00008C060000}"/>
    <hyperlink ref="A1895" r:id="rId1678" display="https://webagentes.canaldirecto.com.ar/incidents/view/746433-1" xr:uid="{00000000-0004-0000-0300-00008D060000}"/>
    <hyperlink ref="A1896" r:id="rId1679" display="https://webagentes.canaldirecto.com.ar/incidents/view/746432-2" xr:uid="{00000000-0004-0000-0300-00008E060000}"/>
    <hyperlink ref="A1890" r:id="rId1680" display="https://webagentes.canaldirecto.com.ar/incidents/view/746431-3" xr:uid="{00000000-0004-0000-0300-00008F060000}"/>
    <hyperlink ref="A1892" r:id="rId1681" display="https://webagentes.canaldirecto.com.ar/incidents/view/746430-4" xr:uid="{00000000-0004-0000-0300-000090060000}"/>
    <hyperlink ref="A1840" r:id="rId1682" display="https://webagentes.canaldirecto.com.ar/incidents/view/746426-1" xr:uid="{00000000-0004-0000-0300-000091060000}"/>
    <hyperlink ref="A1833" r:id="rId1683" display="https://webagentes.canaldirecto.com.ar/incidents/view/746320-8" xr:uid="{00000000-0004-0000-0300-000092060000}"/>
    <hyperlink ref="A1834" r:id="rId1684" display="https://webagentes.canaldirecto.com.ar/incidents/view/746318-3" xr:uid="{00000000-0004-0000-0300-000093060000}"/>
    <hyperlink ref="A1835" r:id="rId1685" display="https://webagentes.canaldirecto.com.ar/incidents/view/746317-4" xr:uid="{00000000-0004-0000-0300-000094060000}"/>
    <hyperlink ref="A1888" r:id="rId1686" display="https://webagentes.canaldirecto.com.ar/incidents/view/746311-0" xr:uid="{00000000-0004-0000-0300-000095060000}"/>
    <hyperlink ref="A1889" r:id="rId1687" display="https://webagentes.canaldirecto.com.ar/incidents/view/746310-1" xr:uid="{00000000-0004-0000-0300-000096060000}"/>
    <hyperlink ref="A1875" r:id="rId1688" display="https://webagentes.canaldirecto.com.ar/incidents/view/746307-7" xr:uid="{00000000-0004-0000-0300-000097060000}"/>
    <hyperlink ref="A1876" r:id="rId1689" display="https://webagentes.canaldirecto.com.ar/incidents/view/746306-8" xr:uid="{00000000-0004-0000-0300-000098060000}"/>
    <hyperlink ref="A1871" r:id="rId1690" display="https://webagentes.canaldirecto.com.ar/incidents/view/746260-7" xr:uid="{00000000-0004-0000-0300-000099060000}"/>
    <hyperlink ref="A1877" r:id="rId1691" display="https://webagentes.canaldirecto.com.ar/incidents/view/746259-1" xr:uid="{00000000-0004-0000-0300-00009A060000}"/>
    <hyperlink ref="A1878" r:id="rId1692" display="https://webagentes.canaldirecto.com.ar/incidents/view/746258-2" xr:uid="{00000000-0004-0000-0300-00009B060000}"/>
    <hyperlink ref="A1879" r:id="rId1693" display="https://webagentes.canaldirecto.com.ar/incidents/view/746257-3" xr:uid="{00000000-0004-0000-0300-00009C060000}"/>
    <hyperlink ref="A1880" r:id="rId1694" display="https://webagentes.canaldirecto.com.ar/incidents/view/746256-4" xr:uid="{00000000-0004-0000-0300-00009D060000}"/>
    <hyperlink ref="A1881" r:id="rId1695" display="https://webagentes.canaldirecto.com.ar/incidents/view/746255-5" xr:uid="{00000000-0004-0000-0300-00009E060000}"/>
    <hyperlink ref="A1882" r:id="rId1696" display="https://webagentes.canaldirecto.com.ar/incidents/view/746254-6" xr:uid="{00000000-0004-0000-0300-00009F060000}"/>
    <hyperlink ref="A1883" r:id="rId1697" display="https://webagentes.canaldirecto.com.ar/incidents/view/746253-7" xr:uid="{00000000-0004-0000-0300-0000A0060000}"/>
    <hyperlink ref="A1884" r:id="rId1698" display="https://webagentes.canaldirecto.com.ar/incidents/view/746252-8" xr:uid="{00000000-0004-0000-0300-0000A1060000}"/>
    <hyperlink ref="A1885" r:id="rId1699" display="https://webagentes.canaldirecto.com.ar/incidents/view/746251-9" xr:uid="{00000000-0004-0000-0300-0000A2060000}"/>
    <hyperlink ref="A1874" r:id="rId1700" display="https://webagentes.canaldirecto.com.ar/incidents/view/746249-4" xr:uid="{00000000-0004-0000-0300-0000A3060000}"/>
    <hyperlink ref="A1872" r:id="rId1701" display="https://webagentes.canaldirecto.com.ar/incidents/view/746211-1" xr:uid="{00000000-0004-0000-0300-0000A4060000}"/>
    <hyperlink ref="A1873" r:id="rId1702" display="https://webagentes.canaldirecto.com.ar/incidents/view/746210-2" xr:uid="{00000000-0004-0000-0300-0000A5060000}"/>
    <hyperlink ref="A1832" r:id="rId1703" display="https://webagentes.canaldirecto.com.ar/incidents/view/746188-4" xr:uid="{00000000-0004-0000-0300-0000A6060000}"/>
    <hyperlink ref="A1828" r:id="rId1704" display="https://webagentes.canaldirecto.com.ar/incidents/view/746121-9" xr:uid="{00000000-0004-0000-0300-0000A7060000}"/>
    <hyperlink ref="A1827" r:id="rId1705" display="https://webagentes.canaldirecto.com.ar/incidents/view/746046-9" xr:uid="{00000000-0004-0000-0300-0000A8060000}"/>
    <hyperlink ref="A1866" r:id="rId1706" display="https://webagentes.canaldirecto.com.ar/incidents/view/745997-7" xr:uid="{00000000-0004-0000-0300-0000A9060000}"/>
    <hyperlink ref="A1867" r:id="rId1707" display="https://webagentes.canaldirecto.com.ar/incidents/view/745996-8" xr:uid="{00000000-0004-0000-0300-0000AA060000}"/>
    <hyperlink ref="A1869" r:id="rId1708" display="https://webagentes.canaldirecto.com.ar/incidents/view/745995-9" xr:uid="{00000000-0004-0000-0300-0000AB060000}"/>
    <hyperlink ref="A1870" r:id="rId1709" display="https://webagentes.canaldirecto.com.ar/incidents/view/745994-0" xr:uid="{00000000-0004-0000-0300-0000AC060000}"/>
    <hyperlink ref="A1868" r:id="rId1710" display="https://webagentes.canaldirecto.com.ar/incidents/view/745992-2" xr:uid="{00000000-0004-0000-0300-0000AD060000}"/>
    <hyperlink ref="A1831" r:id="rId1711" display="https://webagentes.canaldirecto.com.ar/incidents/view/745927-8" xr:uid="{00000000-0004-0000-0300-0000AE060000}"/>
    <hyperlink ref="A1829" r:id="rId1712" display="https://webagentes.canaldirecto.com.ar/incidents/view/745924-1" xr:uid="{00000000-0004-0000-0300-0000AF060000}"/>
    <hyperlink ref="A1858" r:id="rId1713" display="https://webagentes.canaldirecto.com.ar/incidents/view/745853-4" xr:uid="{00000000-0004-0000-0300-0000B0060000}"/>
    <hyperlink ref="A1859" r:id="rId1714" display="https://webagentes.canaldirecto.com.ar/incidents/view/745852-5" xr:uid="{00000000-0004-0000-0300-0000B1060000}"/>
    <hyperlink ref="A1860" r:id="rId1715" display="https://webagentes.canaldirecto.com.ar/incidents/view/745851-6" xr:uid="{00000000-0004-0000-0300-0000B2060000}"/>
    <hyperlink ref="A1861" r:id="rId1716" display="https://webagentes.canaldirecto.com.ar/incidents/view/745850-7" xr:uid="{00000000-0004-0000-0300-0000B3060000}"/>
    <hyperlink ref="A1852" r:id="rId1717" display="https://webagentes.canaldirecto.com.ar/incidents/view/745820-6" xr:uid="{00000000-0004-0000-0300-0000B4060000}"/>
    <hyperlink ref="A1826" r:id="rId1718" display="https://webagentes.canaldirecto.com.ar/incidents/view/745754-4" xr:uid="{00000000-0004-0000-0300-0000B5060000}"/>
    <hyperlink ref="A1844" r:id="rId1719" display="https://webagentes.canaldirecto.com.ar/incidents/view/745748-3" xr:uid="{00000000-0004-0000-0300-0000B6060000}"/>
    <hyperlink ref="A1845" r:id="rId1720" display="https://webagentes.canaldirecto.com.ar/incidents/view/745747-4" xr:uid="{00000000-0004-0000-0300-0000B7060000}"/>
    <hyperlink ref="A1846" r:id="rId1721" display="https://webagentes.canaldirecto.com.ar/incidents/view/745746-5" xr:uid="{00000000-0004-0000-0300-0000B8060000}"/>
    <hyperlink ref="A1847" r:id="rId1722" display="https://webagentes.canaldirecto.com.ar/incidents/view/745745-6" xr:uid="{00000000-0004-0000-0300-0000B9060000}"/>
    <hyperlink ref="A1848" r:id="rId1723" display="https://webagentes.canaldirecto.com.ar/incidents/view/745743-8" xr:uid="{00000000-0004-0000-0300-0000BA060000}"/>
    <hyperlink ref="A1849" r:id="rId1724" display="https://webagentes.canaldirecto.com.ar/incidents/view/745742-9" xr:uid="{00000000-0004-0000-0300-0000BB060000}"/>
    <hyperlink ref="A1850" r:id="rId1725" display="https://webagentes.canaldirecto.com.ar/incidents/view/745741-0" xr:uid="{00000000-0004-0000-0300-0000BC060000}"/>
    <hyperlink ref="A1851" r:id="rId1726" display="https://webagentes.canaldirecto.com.ar/incidents/view/745740-1" xr:uid="{00000000-0004-0000-0300-0000BD060000}"/>
    <hyperlink ref="A1823" r:id="rId1727" display="https://webagentes.canaldirecto.com.ar/incidents/view/745708-5" xr:uid="{00000000-0004-0000-0300-0000BE060000}"/>
    <hyperlink ref="A1853" r:id="rId1728" display="https://webagentes.canaldirecto.com.ar/incidents/view/745704-9" xr:uid="{00000000-0004-0000-0300-0000BF060000}"/>
    <hyperlink ref="A1854" r:id="rId1729" display="https://webagentes.canaldirecto.com.ar/incidents/view/745703-0" xr:uid="{00000000-0004-0000-0300-0000C0060000}"/>
    <hyperlink ref="A1855" r:id="rId1730" display="https://webagentes.canaldirecto.com.ar/incidents/view/745702-1" xr:uid="{00000000-0004-0000-0300-0000C1060000}"/>
    <hyperlink ref="A1856" r:id="rId1731" display="https://webagentes.canaldirecto.com.ar/incidents/view/745701-2" xr:uid="{00000000-0004-0000-0300-0000C2060000}"/>
    <hyperlink ref="A1857" r:id="rId1732" display="https://webagentes.canaldirecto.com.ar/incidents/view/745700-3" xr:uid="{00000000-0004-0000-0300-0000C3060000}"/>
    <hyperlink ref="A1862" r:id="rId1733" display="https://webagentes.canaldirecto.com.ar/incidents/view/745599-9" xr:uid="{00000000-0004-0000-0300-0000C4060000}"/>
    <hyperlink ref="A1820" r:id="rId1734" display="https://webagentes.canaldirecto.com.ar/incidents/view/745598-0" xr:uid="{00000000-0004-0000-0300-0000C5060000}"/>
    <hyperlink ref="A1821" r:id="rId1735" display="https://webagentes.canaldirecto.com.ar/incidents/view/745583-8" xr:uid="{00000000-0004-0000-0300-0000C6060000}"/>
    <hyperlink ref="A1824" r:id="rId1736" display="https://webagentes.canaldirecto.com.ar/incidents/view/745522-7" xr:uid="{00000000-0004-0000-0300-0000C7060000}"/>
    <hyperlink ref="A1830" r:id="rId1737" display="https://webagentes.canaldirecto.com.ar/incidents/view/745505-0" xr:uid="{00000000-0004-0000-0300-0000C8060000}"/>
    <hyperlink ref="A1822" r:id="rId1738" display="https://webagentes.canaldirecto.com.ar/incidents/view/745433-4" xr:uid="{00000000-0004-0000-0300-0000C9060000}"/>
    <hyperlink ref="A1818" r:id="rId1739" display="https://webagentes.canaldirecto.com.ar/incidents/view/745379-7" xr:uid="{00000000-0004-0000-0300-0000CA060000}"/>
    <hyperlink ref="A1817" r:id="rId1740" display="https://webagentes.canaldirecto.com.ar/incidents/view/745146-1" xr:uid="{00000000-0004-0000-0300-0000CB060000}"/>
    <hyperlink ref="A1815" r:id="rId1741" display="https://webagentes.canaldirecto.com.ar/incidents/view/745136-4" xr:uid="{00000000-0004-0000-0300-0000CC060000}"/>
    <hyperlink ref="A1819" r:id="rId1742" display="https://webagentes.canaldirecto.com.ar/incidents/view/745119-7" xr:uid="{00000000-0004-0000-0300-0000CD060000}"/>
    <hyperlink ref="A1825" r:id="rId1743" display="https://webagentes.canaldirecto.com.ar/incidents/view/744958-1" xr:uid="{00000000-0004-0000-0300-0000CE060000}"/>
    <hyperlink ref="A1811" r:id="rId1744" display="https://webagentes.canaldirecto.com.ar/incidents/view/744950-9" xr:uid="{00000000-0004-0000-0300-0000CF060000}"/>
    <hyperlink ref="A1816" r:id="rId1745" display="https://webagentes.canaldirecto.com.ar/incidents/view/744944-8" xr:uid="{00000000-0004-0000-0300-0000D0060000}"/>
    <hyperlink ref="A1814" r:id="rId1746" display="https://webagentes.canaldirecto.com.ar/incidents/view/744914-7" xr:uid="{00000000-0004-0000-0300-0000D1060000}"/>
    <hyperlink ref="A1843" r:id="rId1747" display="https://webagentes.canaldirecto.com.ar/incidents/view/744853-7" xr:uid="{00000000-0004-0000-0300-0000D2060000}"/>
    <hyperlink ref="A1812" r:id="rId1748" display="https://webagentes.canaldirecto.com.ar/incidents/view/744728-2" xr:uid="{00000000-0004-0000-0300-0000D3060000}"/>
    <hyperlink ref="A1808" r:id="rId1749" display="https://webagentes.canaldirecto.com.ar/incidents/view/744716-7" xr:uid="{00000000-0004-0000-0300-0000D4060000}"/>
    <hyperlink ref="A1809" r:id="rId1750" display="https://webagentes.canaldirecto.com.ar/incidents/view/744658-4" xr:uid="{00000000-0004-0000-0300-0000D5060000}"/>
    <hyperlink ref="A1810" r:id="rId1751" display="https://webagentes.canaldirecto.com.ar/incidents/view/744622-9" xr:uid="{00000000-0004-0000-0300-0000D6060000}"/>
    <hyperlink ref="A1806" r:id="rId1752" display="https://webagentes.canaldirecto.com.ar/incidents/view/744591-0" xr:uid="{00000000-0004-0000-0300-0000D7060000}"/>
    <hyperlink ref="A1807" r:id="rId1753" display="https://webagentes.canaldirecto.com.ar/incidents/view/744440-7" xr:uid="{00000000-0004-0000-0300-0000D8060000}"/>
    <hyperlink ref="A1813" r:id="rId1754" display="https://webagentes.canaldirecto.com.ar/incidents/view/744417-9" xr:uid="{00000000-0004-0000-0300-0000D9060000}"/>
    <hyperlink ref="A1838" r:id="rId1755" display="https://webagentes.canaldirecto.com.ar/incidents/view/744180-8" xr:uid="{00000000-0004-0000-0300-0000DA060000}"/>
    <hyperlink ref="A1805" r:id="rId1756" display="https://webagentes.canaldirecto.com.ar/incidents/view/741895-2" xr:uid="{00000000-0004-0000-0300-0000DB060000}"/>
    <hyperlink ref="A1886" r:id="rId1757" display="https://webagentes.canaldirecto.com.ar/incidents/view/741181-6" xr:uid="{00000000-0004-0000-0300-0000DC060000}"/>
    <hyperlink ref="A1863" r:id="rId1758" display="https://webagentes.canaldirecto.com.ar/incidents/view/739547-5" xr:uid="{00000000-0004-0000-0300-0000DD060000}"/>
    <hyperlink ref="A1864" r:id="rId1759" display="https://webagentes.canaldirecto.com.ar/incidents/view/739546-6" xr:uid="{00000000-0004-0000-0300-0000DE060000}"/>
    <hyperlink ref="A1865" r:id="rId1760" display="https://webagentes.canaldirecto.com.ar/incidents/view/739545-7" xr:uid="{00000000-0004-0000-0300-0000DF060000}"/>
    <hyperlink ref="A1911" r:id="rId1761" display="https://webagentes.canaldirecto.com.ar/incidents/view/746091-9" xr:uid="{00000000-0004-0000-0300-0000E0060000}"/>
    <hyperlink ref="A1910" r:id="rId1762" display="https://webagentes.canaldirecto.com.ar/incidents/view/746309-5" xr:uid="{00000000-0004-0000-0300-0000E1060000}"/>
    <hyperlink ref="A1953" r:id="rId1763" display="https://webagentes.canaldirecto.com.ar/incidents/view/749356-4" xr:uid="{00000000-0004-0000-0300-0000E2060000}"/>
    <hyperlink ref="A1984" r:id="rId1764" display="https://webagentes.canaldirecto.com.ar/incidents/view/749318-4" xr:uid="{00000000-0004-0000-0300-0000E3060000}"/>
    <hyperlink ref="A1983" r:id="rId1765" display="https://webagentes.canaldirecto.com.ar/incidents/view/749317-5" xr:uid="{00000000-0004-0000-0300-0000E4060000}"/>
    <hyperlink ref="A1982" r:id="rId1766" display="https://webagentes.canaldirecto.com.ar/incidents/view/749316-6" xr:uid="{00000000-0004-0000-0300-0000E5060000}"/>
    <hyperlink ref="A1954" r:id="rId1767" display="https://webagentes.canaldirecto.com.ar/incidents/view/749272-3" xr:uid="{00000000-0004-0000-0300-0000E6060000}"/>
    <hyperlink ref="A1991" r:id="rId1768" display="https://webagentes.canaldirecto.com.ar/incidents/view/749200-6" xr:uid="{00000000-0004-0000-0300-0000E7060000}"/>
    <hyperlink ref="A1988" r:id="rId1769" display="https://webagentes.canaldirecto.com.ar/incidents/view/749199-1" xr:uid="{00000000-0004-0000-0300-0000E8060000}"/>
    <hyperlink ref="A1992" r:id="rId1770" display="https://webagentes.canaldirecto.com.ar/incidents/view/749198-2" xr:uid="{00000000-0004-0000-0300-0000E9060000}"/>
    <hyperlink ref="A1986" r:id="rId1771" display="https://webagentes.canaldirecto.com.ar/incidents/view/749197-3" xr:uid="{00000000-0004-0000-0300-0000EA060000}"/>
    <hyperlink ref="A1987" r:id="rId1772" display="https://webagentes.canaldirecto.com.ar/incidents/view/749196-4" xr:uid="{00000000-0004-0000-0300-0000EB060000}"/>
    <hyperlink ref="A1985" r:id="rId1773" display="https://webagentes.canaldirecto.com.ar/incidents/view/749195-5" xr:uid="{00000000-0004-0000-0300-0000EC060000}"/>
    <hyperlink ref="A1989" r:id="rId1774" display="https://webagentes.canaldirecto.com.ar/incidents/view/749194-6" xr:uid="{00000000-0004-0000-0300-0000ED060000}"/>
    <hyperlink ref="A1990" r:id="rId1775" display="https://webagentes.canaldirecto.com.ar/incidents/view/749193-7" xr:uid="{00000000-0004-0000-0300-0000EE060000}"/>
    <hyperlink ref="A1949" r:id="rId1776" display="https://webagentes.canaldirecto.com.ar/incidents/view/749187-6" xr:uid="{00000000-0004-0000-0300-0000EF060000}"/>
    <hyperlink ref="A1952" r:id="rId1777" display="https://webagentes.canaldirecto.com.ar/incidents/view/749128-3" xr:uid="{00000000-0004-0000-0300-0000F0060000}"/>
    <hyperlink ref="A1996" r:id="rId1778" display="https://webagentes.canaldirecto.com.ar/incidents/view/749046-0" xr:uid="{00000000-0004-0000-0300-0000F1060000}"/>
    <hyperlink ref="A1995" r:id="rId1779" display="https://webagentes.canaldirecto.com.ar/incidents/view/749045-1" xr:uid="{00000000-0004-0000-0300-0000F2060000}"/>
    <hyperlink ref="A1994" r:id="rId1780" display="https://webagentes.canaldirecto.com.ar/incidents/view/749044-2" xr:uid="{00000000-0004-0000-0300-0000F3060000}"/>
    <hyperlink ref="A1993" r:id="rId1781" display="https://webagentes.canaldirecto.com.ar/incidents/view/749043-3" xr:uid="{00000000-0004-0000-0300-0000F4060000}"/>
    <hyperlink ref="A1948" r:id="rId1782" display="https://webagentes.canaldirecto.com.ar/incidents/view/748868-7" xr:uid="{00000000-0004-0000-0300-0000F5060000}"/>
    <hyperlink ref="A1947" r:id="rId1783" display="https://webagentes.canaldirecto.com.ar/incidents/view/748735-0" xr:uid="{00000000-0004-0000-0300-0000F6060000}"/>
    <hyperlink ref="A1950" r:id="rId1784" display="https://webagentes.canaldirecto.com.ar/incidents/view/748701-3" xr:uid="{00000000-0004-0000-0300-0000F7060000}"/>
    <hyperlink ref="A1981" r:id="rId1785" display="https://webagentes.canaldirecto.com.ar/incidents/view/748683-8" xr:uid="{00000000-0004-0000-0300-0000F8060000}"/>
    <hyperlink ref="A1980" r:id="rId1786" display="https://webagentes.canaldirecto.com.ar/incidents/view/748682-9" xr:uid="{00000000-0004-0000-0300-0000F9060000}"/>
    <hyperlink ref="A1979" r:id="rId1787" display="https://webagentes.canaldirecto.com.ar/incidents/view/748681-0" xr:uid="{00000000-0004-0000-0300-0000FA060000}"/>
    <hyperlink ref="A1978" r:id="rId1788" display="https://webagentes.canaldirecto.com.ar/incidents/view/748680-1" xr:uid="{00000000-0004-0000-0300-0000FB060000}"/>
    <hyperlink ref="A1977" r:id="rId1789" display="https://webagentes.canaldirecto.com.ar/incidents/view/748679-5" xr:uid="{00000000-0004-0000-0300-0000FC060000}"/>
    <hyperlink ref="A1976" r:id="rId1790" display="https://webagentes.canaldirecto.com.ar/incidents/view/748678-6" xr:uid="{00000000-0004-0000-0300-0000FD060000}"/>
    <hyperlink ref="A1946" r:id="rId1791" display="https://webagentes.canaldirecto.com.ar/incidents/view/748670-4" xr:uid="{00000000-0004-0000-0300-0000FE060000}"/>
    <hyperlink ref="A1971" r:id="rId1792" display="https://webagentes.canaldirecto.com.ar/incidents/view/748625-4" xr:uid="{00000000-0004-0000-0300-0000FF060000}"/>
    <hyperlink ref="A1972" r:id="rId1793" display="https://webagentes.canaldirecto.com.ar/incidents/view/748624-5" xr:uid="{00000000-0004-0000-0300-000000070000}"/>
    <hyperlink ref="A1975" r:id="rId1794" display="https://webagentes.canaldirecto.com.ar/incidents/view/748623-6" xr:uid="{00000000-0004-0000-0300-000001070000}"/>
    <hyperlink ref="A1974" r:id="rId1795" display="https://webagentes.canaldirecto.com.ar/incidents/view/748622-7" xr:uid="{00000000-0004-0000-0300-000002070000}"/>
    <hyperlink ref="A1973" r:id="rId1796" display="https://webagentes.canaldirecto.com.ar/incidents/view/748621-8" xr:uid="{00000000-0004-0000-0300-000003070000}"/>
    <hyperlink ref="A1945" r:id="rId1797" display="https://webagentes.canaldirecto.com.ar/incidents/view/748619-3" xr:uid="{00000000-0004-0000-0300-000004070000}"/>
    <hyperlink ref="A1964" r:id="rId1798" display="https://webagentes.canaldirecto.com.ar/incidents/view/748562-6" xr:uid="{00000000-0004-0000-0300-000005070000}"/>
    <hyperlink ref="A1944" r:id="rId1799" display="https://webagentes.canaldirecto.com.ar/incidents/view/748547-7" xr:uid="{00000000-0004-0000-0300-000006070000}"/>
    <hyperlink ref="A1951" r:id="rId1800" display="https://webagentes.canaldirecto.com.ar/incidents/view/748523-7" xr:uid="{00000000-0004-0000-0300-000007070000}"/>
    <hyperlink ref="A1963" r:id="rId1801" display="https://webagentes.canaldirecto.com.ar/incidents/view/748511-2" xr:uid="{00000000-0004-0000-0300-000008070000}"/>
    <hyperlink ref="A1962" r:id="rId1802" display="https://webagentes.canaldirecto.com.ar/incidents/view/748510-3" xr:uid="{00000000-0004-0000-0300-000009070000}"/>
    <hyperlink ref="A1961" r:id="rId1803" display="https://webagentes.canaldirecto.com.ar/incidents/view/748509-7" xr:uid="{00000000-0004-0000-0300-00000A070000}"/>
    <hyperlink ref="A1960" r:id="rId1804" display="https://webagentes.canaldirecto.com.ar/incidents/view/748508-8" xr:uid="{00000000-0004-0000-0300-00000B070000}"/>
    <hyperlink ref="A1959" r:id="rId1805" display="https://webagentes.canaldirecto.com.ar/incidents/view/748507-9" xr:uid="{00000000-0004-0000-0300-00000C070000}"/>
    <hyperlink ref="A1966" r:id="rId1806" display="https://webagentes.canaldirecto.com.ar/incidents/view/748506-0" xr:uid="{00000000-0004-0000-0300-00000D070000}"/>
    <hyperlink ref="A1965" r:id="rId1807" display="https://webagentes.canaldirecto.com.ar/incidents/view/748505-1" xr:uid="{00000000-0004-0000-0300-00000E070000}"/>
    <hyperlink ref="A1970" r:id="rId1808" display="https://webagentes.canaldirecto.com.ar/incidents/view/748502-4" xr:uid="{00000000-0004-0000-0300-00000F070000}"/>
    <hyperlink ref="A1969" r:id="rId1809" display="https://webagentes.canaldirecto.com.ar/incidents/view/748501-5" xr:uid="{00000000-0004-0000-0300-000010070000}"/>
    <hyperlink ref="A1968" r:id="rId1810" display="https://webagentes.canaldirecto.com.ar/incidents/view/748500-6" xr:uid="{00000000-0004-0000-0300-000011070000}"/>
    <hyperlink ref="A1967" r:id="rId1811" display="https://webagentes.canaldirecto.com.ar/incidents/view/748499-1" xr:uid="{00000000-0004-0000-0300-000012070000}"/>
    <hyperlink ref="A1958" r:id="rId1812" display="https://webagentes.canaldirecto.com.ar/incidents/view/748430-8" xr:uid="{00000000-0004-0000-0300-000013070000}"/>
    <hyperlink ref="A1957" r:id="rId1813" display="https://webagentes.canaldirecto.com.ar/incidents/view/748428-3" xr:uid="{00000000-0004-0000-0300-000014070000}"/>
    <hyperlink ref="A1938" r:id="rId1814" display="https://webagentes.canaldirecto.com.ar/incidents/view/748367-3" xr:uid="{00000000-0004-0000-0300-000015070000}"/>
    <hyperlink ref="A1940" r:id="rId1815" display="https://webagentes.canaldirecto.com.ar/incidents/view/748346-0" xr:uid="{00000000-0004-0000-0300-000016070000}"/>
    <hyperlink ref="A1941" r:id="rId1816" display="https://webagentes.canaldirecto.com.ar/incidents/view/748143-5" xr:uid="{00000000-0004-0000-0300-000017070000}"/>
    <hyperlink ref="A1939" r:id="rId1817" display="https://webagentes.canaldirecto.com.ar/incidents/view/748139-2" xr:uid="{00000000-0004-0000-0300-000018070000}"/>
    <hyperlink ref="A1930" r:id="rId1818" display="https://webagentes.canaldirecto.com.ar/incidents/view/747986-5" xr:uid="{00000000-0004-0000-0300-000019070000}"/>
    <hyperlink ref="A1929" r:id="rId1819" display="https://webagentes.canaldirecto.com.ar/incidents/view/747935-1" xr:uid="{00000000-0004-0000-0300-00001A070000}"/>
    <hyperlink ref="A1942" r:id="rId1820" display="https://webagentes.canaldirecto.com.ar/incidents/view/747909-6" xr:uid="{00000000-0004-0000-0300-00001B070000}"/>
    <hyperlink ref="A1936" r:id="rId1821" display="https://webagentes.canaldirecto.com.ar/incidents/view/747908-7" xr:uid="{00000000-0004-0000-0300-00001C070000}"/>
    <hyperlink ref="A1943" r:id="rId1822" display="https://webagentes.canaldirecto.com.ar/incidents/view/747840-4" xr:uid="{00000000-0004-0000-0300-00001D070000}"/>
    <hyperlink ref="A1928" r:id="rId1823" display="https://webagentes.canaldirecto.com.ar/incidents/view/747839-8" xr:uid="{00000000-0004-0000-0300-00001E070000}"/>
    <hyperlink ref="A1935" r:id="rId1824" display="https://webagentes.canaldirecto.com.ar/incidents/view/747816-7" xr:uid="{00000000-0004-0000-0300-00001F070000}"/>
    <hyperlink ref="A1924" r:id="rId1825" display="https://webagentes.canaldirecto.com.ar/incidents/view/747788-5" xr:uid="{00000000-0004-0000-0300-000020070000}"/>
    <hyperlink ref="A1927" r:id="rId1826" display="https://webagentes.canaldirecto.com.ar/incidents/view/747779-7" xr:uid="{00000000-0004-0000-0300-000021070000}"/>
    <hyperlink ref="A1926" r:id="rId1827" display="https://webagentes.canaldirecto.com.ar/incidents/view/747734-4" xr:uid="{00000000-0004-0000-0300-000022070000}"/>
    <hyperlink ref="A1925" r:id="rId1828" display="https://webagentes.canaldirecto.com.ar/incidents/view/747732-6" xr:uid="{00000000-0004-0000-0300-000023070000}"/>
    <hyperlink ref="A1923" r:id="rId1829" display="https://webagentes.canaldirecto.com.ar/incidents/view/747729-2" xr:uid="{00000000-0004-0000-0300-000024070000}"/>
    <hyperlink ref="A1933" r:id="rId1830" display="https://webagentes.canaldirecto.com.ar/incidents/view/747442-6" xr:uid="{00000000-0004-0000-0300-000025070000}"/>
    <hyperlink ref="A1920" r:id="rId1831" display="https://webagentes.canaldirecto.com.ar/incidents/view/747062-4" xr:uid="{00000000-0004-0000-0300-000026070000}"/>
    <hyperlink ref="A1922" r:id="rId1832" display="https://webagentes.canaldirecto.com.ar/incidents/view/747056-3" xr:uid="{00000000-0004-0000-0300-000027070000}"/>
    <hyperlink ref="A1917" r:id="rId1833" display="https://webagentes.canaldirecto.com.ar/incidents/view/747032-3" xr:uid="{00000000-0004-0000-0300-000028070000}"/>
    <hyperlink ref="A1919" r:id="rId1834" display="https://webagentes.canaldirecto.com.ar/incidents/view/746951-2" xr:uid="{00000000-0004-0000-0300-000029070000}"/>
    <hyperlink ref="A1934" r:id="rId1835" display="https://webagentes.canaldirecto.com.ar/incidents/view/746839-1" xr:uid="{00000000-0004-0000-0300-00002A070000}"/>
    <hyperlink ref="A1921" r:id="rId1836" display="https://webagentes.canaldirecto.com.ar/incidents/view/746680-7" xr:uid="{00000000-0004-0000-0300-00002B070000}"/>
    <hyperlink ref="A1918" r:id="rId1837" display="https://webagentes.canaldirecto.com.ar/incidents/view/746546-4" xr:uid="{00000000-0004-0000-0300-00002C070000}"/>
    <hyperlink ref="A1932" r:id="rId1838" display="https://webagentes.canaldirecto.com.ar/incidents/view/746367-9" xr:uid="{00000000-0004-0000-0300-00002D070000}"/>
    <hyperlink ref="A1931" r:id="rId1839" display="https://webagentes.canaldirecto.com.ar/incidents/view/746366-0" xr:uid="{00000000-0004-0000-0300-00002E070000}"/>
    <hyperlink ref="A1916" r:id="rId1840" display="https://webagentes.canaldirecto.com.ar/incidents/view/746279-5" xr:uid="{00000000-0004-0000-0300-00002F070000}"/>
    <hyperlink ref="A1937" r:id="rId1841" display="https://webagentes.canaldirecto.com.ar/incidents/view/745903-8" xr:uid="{00000000-0004-0000-0300-000030070000}"/>
    <hyperlink ref="A2072" r:id="rId1842" display="https://webagentes.canaldirecto.com.ar/incidents/view/751832-2" xr:uid="{00000000-0004-0000-0300-000031070000}"/>
    <hyperlink ref="A2037" r:id="rId1843" display="https://webagentes.canaldirecto.com.ar/incidents/view/751772-1" xr:uid="{00000000-0004-0000-0300-000032070000}"/>
    <hyperlink ref="A2033" r:id="rId1844" display="https://webagentes.canaldirecto.com.ar/incidents/view/751614-8" xr:uid="{00000000-0004-0000-0300-000033070000}"/>
    <hyperlink ref="A2068" r:id="rId1845" display="https://webagentes.canaldirecto.com.ar/incidents/view/751587-5" xr:uid="{00000000-0004-0000-0300-000034070000}"/>
    <hyperlink ref="A2067" r:id="rId1846" display="https://webagentes.canaldirecto.com.ar/incidents/view/751586-6" xr:uid="{00000000-0004-0000-0300-000035070000}"/>
    <hyperlink ref="A2066" r:id="rId1847" display="https://webagentes.canaldirecto.com.ar/incidents/view/751585-7" xr:uid="{00000000-0004-0000-0300-000036070000}"/>
    <hyperlink ref="A2065" r:id="rId1848" display="https://webagentes.canaldirecto.com.ar/incidents/view/751584-8" xr:uid="{00000000-0004-0000-0300-000037070000}"/>
    <hyperlink ref="A2071" r:id="rId1849" display="https://webagentes.canaldirecto.com.ar/incidents/view/751583-9" xr:uid="{00000000-0004-0000-0300-000038070000}"/>
    <hyperlink ref="A2070" r:id="rId1850" display="https://webagentes.canaldirecto.com.ar/incidents/view/751582-0" xr:uid="{00000000-0004-0000-0300-000039070000}"/>
    <hyperlink ref="A2069" r:id="rId1851" display="https://webagentes.canaldirecto.com.ar/incidents/view/751581-1" xr:uid="{00000000-0004-0000-0300-00003A070000}"/>
    <hyperlink ref="A2059" r:id="rId1852" display="https://webagentes.canaldirecto.com.ar/incidents/view/751536-1" xr:uid="{00000000-0004-0000-0300-00003B070000}"/>
    <hyperlink ref="A2061" r:id="rId1853" display="https://webagentes.canaldirecto.com.ar/incidents/view/751535-2" xr:uid="{00000000-0004-0000-0300-00003C070000}"/>
    <hyperlink ref="A2029" r:id="rId1854" display="https://webagentes.canaldirecto.com.ar/incidents/view/751386-8" xr:uid="{00000000-0004-0000-0300-00003D070000}"/>
    <hyperlink ref="A2036" r:id="rId1855" display="https://webagentes.canaldirecto.com.ar/incidents/view/751368-2" xr:uid="{00000000-0004-0000-0300-00003E070000}"/>
    <hyperlink ref="A2064" r:id="rId1856" display="https://webagentes.canaldirecto.com.ar/incidents/view/751367-3" xr:uid="{00000000-0004-0000-0300-00003F070000}"/>
    <hyperlink ref="A2063" r:id="rId1857" display="https://webagentes.canaldirecto.com.ar/incidents/view/751366-4" xr:uid="{00000000-0004-0000-0300-000040070000}"/>
    <hyperlink ref="A2062" r:id="rId1858" display="https://webagentes.canaldirecto.com.ar/incidents/view/751365-5" xr:uid="{00000000-0004-0000-0300-000041070000}"/>
    <hyperlink ref="A2058" r:id="rId1859" display="https://webagentes.canaldirecto.com.ar/incidents/view/751363-7" xr:uid="{00000000-0004-0000-0300-000042070000}"/>
    <hyperlink ref="A2060" r:id="rId1860" display="https://webagentes.canaldirecto.com.ar/incidents/view/751361-9" xr:uid="{00000000-0004-0000-0300-000043070000}"/>
    <hyperlink ref="A2057" r:id="rId1861" display="https://webagentes.canaldirecto.com.ar/incidents/view/751360-0" xr:uid="{00000000-0004-0000-0300-000044070000}"/>
    <hyperlink ref="A2056" r:id="rId1862" display="https://webagentes.canaldirecto.com.ar/incidents/view/751359-4" xr:uid="{00000000-0004-0000-0300-000045070000}"/>
    <hyperlink ref="A2035" r:id="rId1863" display="https://webagentes.canaldirecto.com.ar/incidents/view/751358-5" xr:uid="{00000000-0004-0000-0300-000046070000}"/>
    <hyperlink ref="A2032" r:id="rId1864" display="https://webagentes.canaldirecto.com.ar/incidents/view/751318-7" xr:uid="{00000000-0004-0000-0300-000047070000}"/>
    <hyperlink ref="A2031" r:id="rId1865" display="https://webagentes.canaldirecto.com.ar/incidents/view/751215-1" xr:uid="{00000000-0004-0000-0300-000048070000}"/>
    <hyperlink ref="A2019" r:id="rId1866" display="https://webagentes.canaldirecto.com.ar/incidents/view/751020-5" xr:uid="{00000000-0004-0000-0300-000049070000}"/>
    <hyperlink ref="A2030" r:id="rId1867" display="https://webagentes.canaldirecto.com.ar/incidents/view/751015-3" xr:uid="{00000000-0004-0000-0300-00004A070000}"/>
    <hyperlink ref="A2017" r:id="rId1868" display="https://webagentes.canaldirecto.com.ar/incidents/view/750992-6" xr:uid="{00000000-0004-0000-0300-00004B070000}"/>
    <hyperlink ref="A2018" r:id="rId1869" display="https://webagentes.canaldirecto.com.ar/incidents/view/750982-9" xr:uid="{00000000-0004-0000-0300-00004C070000}"/>
    <hyperlink ref="A2023" r:id="rId1870" display="https://webagentes.canaldirecto.com.ar/incidents/view/750914-8" xr:uid="{00000000-0004-0000-0300-00004D070000}"/>
    <hyperlink ref="A2022" r:id="rId1871" display="https://webagentes.canaldirecto.com.ar/incidents/view/750913-9" xr:uid="{00000000-0004-0000-0300-00004E070000}"/>
    <hyperlink ref="A2034" r:id="rId1872" display="https://webagentes.canaldirecto.com.ar/incidents/view/750773-3" xr:uid="{00000000-0004-0000-0300-00004F070000}"/>
    <hyperlink ref="A2024" r:id="rId1873" display="https://webagentes.canaldirecto.com.ar/incidents/view/750760-9" xr:uid="{00000000-0004-0000-0300-000050070000}"/>
    <hyperlink ref="A2020" r:id="rId1874" display="https://webagentes.canaldirecto.com.ar/incidents/view/750687-7" xr:uid="{00000000-0004-0000-0300-000051070000}"/>
    <hyperlink ref="A2021" r:id="rId1875" display="https://webagentes.canaldirecto.com.ar/incidents/view/750685-9" xr:uid="{00000000-0004-0000-0300-000052070000}"/>
    <hyperlink ref="A2013" r:id="rId1876" display="https://webagentes.canaldirecto.com.ar/incidents/view/750476-3" xr:uid="{00000000-0004-0000-0300-000053070000}"/>
    <hyperlink ref="A2025" r:id="rId1877" display="https://webagentes.canaldirecto.com.ar/incidents/view/750238-5" xr:uid="{00000000-0004-0000-0300-000054070000}"/>
    <hyperlink ref="A2010" r:id="rId1878" display="https://webagentes.canaldirecto.com.ar/incidents/view/750054-5" xr:uid="{00000000-0004-0000-0300-000055070000}"/>
    <hyperlink ref="A2015" r:id="rId1879" display="https://webagentes.canaldirecto.com.ar/incidents/view/750016-5" xr:uid="{00000000-0004-0000-0300-000056070000}"/>
    <hyperlink ref="A2011" r:id="rId1880" display="https://webagentes.canaldirecto.com.ar/incidents/view/749854-1" xr:uid="{00000000-0004-0000-0300-000057070000}"/>
    <hyperlink ref="A2027" r:id="rId1881" display="https://webagentes.canaldirecto.com.ar/incidents/view/749779-1" xr:uid="{00000000-0004-0000-0300-000058070000}"/>
    <hyperlink ref="A2026" r:id="rId1882" display="https://webagentes.canaldirecto.com.ar/incidents/view/749778-2" xr:uid="{00000000-0004-0000-0300-000059070000}"/>
    <hyperlink ref="A2043" r:id="rId1883" display="https://webagentes.canaldirecto.com.ar/incidents/view/749775-5" xr:uid="{00000000-0004-0000-0300-00005A070000}"/>
    <hyperlink ref="A2008" r:id="rId1884" display="https://webagentes.canaldirecto.com.ar/incidents/view/749709-2" xr:uid="{00000000-0004-0000-0300-00005B070000}"/>
    <hyperlink ref="A2016" r:id="rId1885" display="https://webagentes.canaldirecto.com.ar/incidents/view/749663-1" xr:uid="{00000000-0004-0000-0300-00005C070000}"/>
    <hyperlink ref="A2014" r:id="rId1886" display="https://webagentes.canaldirecto.com.ar/incidents/view/749620-6" xr:uid="{00000000-0004-0000-0300-00005D070000}"/>
    <hyperlink ref="A2042" r:id="rId1887" display="https://webagentes.canaldirecto.com.ar/incidents/view/749617-2" xr:uid="{00000000-0004-0000-0300-00005E070000}"/>
    <hyperlink ref="A2041" r:id="rId1888" display="https://webagentes.canaldirecto.com.ar/incidents/view/749615-4" xr:uid="{00000000-0004-0000-0300-00005F070000}"/>
    <hyperlink ref="A2040" r:id="rId1889" display="https://webagentes.canaldirecto.com.ar/incidents/view/749613-6" xr:uid="{00000000-0004-0000-0300-000060070000}"/>
    <hyperlink ref="A2039" r:id="rId1890" display="https://webagentes.canaldirecto.com.ar/incidents/view/749610-9" xr:uid="{00000000-0004-0000-0300-000061070000}"/>
    <hyperlink ref="A2007" r:id="rId1891" display="https://webagentes.canaldirecto.com.ar/incidents/view/749482-8" xr:uid="{00000000-0004-0000-0300-000062070000}"/>
    <hyperlink ref="A2012" r:id="rId1892" display="https://webagentes.canaldirecto.com.ar/incidents/view/749279-6" xr:uid="{00000000-0004-0000-0300-000063070000}"/>
    <hyperlink ref="A2001" r:id="rId1893" display="https://webagentes.canaldirecto.com.ar/incidents/view/749189-4" xr:uid="{00000000-0004-0000-0300-000064070000}"/>
    <hyperlink ref="A1999" r:id="rId1894" display="https://webagentes.canaldirecto.com.ar/incidents/view/749179-7" xr:uid="{00000000-0004-0000-0300-000065070000}"/>
    <hyperlink ref="A2006" r:id="rId1895" display="https://webagentes.canaldirecto.com.ar/incidents/view/749151-1" xr:uid="{00000000-0004-0000-0300-000066070000}"/>
    <hyperlink ref="A2002" r:id="rId1896" display="https://webagentes.canaldirecto.com.ar/incidents/view/749121-0" xr:uid="{00000000-0004-0000-0300-000067070000}"/>
    <hyperlink ref="A2009" r:id="rId1897" display="https://webagentes.canaldirecto.com.ar/incidents/view/749106-1" xr:uid="{00000000-0004-0000-0300-000068070000}"/>
    <hyperlink ref="A2005" r:id="rId1898" display="https://webagentes.canaldirecto.com.ar/incidents/view/749098-3" xr:uid="{00000000-0004-0000-0300-000069070000}"/>
    <hyperlink ref="A2004" r:id="rId1899" display="https://webagentes.canaldirecto.com.ar/incidents/view/749097-4" xr:uid="{00000000-0004-0000-0300-00006A070000}"/>
    <hyperlink ref="A2055" r:id="rId1900" display="https://webagentes.canaldirecto.com.ar/incidents/view/749092-9" xr:uid="{00000000-0004-0000-0300-00006B070000}"/>
    <hyperlink ref="A2054" r:id="rId1901" display="https://webagentes.canaldirecto.com.ar/incidents/view/749091-0" xr:uid="{00000000-0004-0000-0300-00006C070000}"/>
    <hyperlink ref="A2053" r:id="rId1902" display="https://webagentes.canaldirecto.com.ar/incidents/view/749089-5" xr:uid="{00000000-0004-0000-0300-00006D070000}"/>
    <hyperlink ref="A2052" r:id="rId1903" display="https://webagentes.canaldirecto.com.ar/incidents/view/749088-6" xr:uid="{00000000-0004-0000-0300-00006E070000}"/>
    <hyperlink ref="A2051" r:id="rId1904" display="https://webagentes.canaldirecto.com.ar/incidents/view/749087-7" xr:uid="{00000000-0004-0000-0300-00006F070000}"/>
    <hyperlink ref="A2050" r:id="rId1905" display="https://webagentes.canaldirecto.com.ar/incidents/view/749086-8" xr:uid="{00000000-0004-0000-0300-000070070000}"/>
    <hyperlink ref="A2049" r:id="rId1906" display="https://webagentes.canaldirecto.com.ar/incidents/view/749085-9" xr:uid="{00000000-0004-0000-0300-000071070000}"/>
    <hyperlink ref="A2048" r:id="rId1907" display="https://webagentes.canaldirecto.com.ar/incidents/view/749084-0" xr:uid="{00000000-0004-0000-0300-000072070000}"/>
    <hyperlink ref="A2047" r:id="rId1908" display="https://webagentes.canaldirecto.com.ar/incidents/view/749083-1" xr:uid="{00000000-0004-0000-0300-000073070000}"/>
    <hyperlink ref="A2046" r:id="rId1909" display="https://webagentes.canaldirecto.com.ar/incidents/view/749082-2" xr:uid="{00000000-0004-0000-0300-000074070000}"/>
    <hyperlink ref="A2045" r:id="rId1910" display="https://webagentes.canaldirecto.com.ar/incidents/view/749081-3" xr:uid="{00000000-0004-0000-0300-000075070000}"/>
    <hyperlink ref="A2044" r:id="rId1911" display="https://webagentes.canaldirecto.com.ar/incidents/view/749080-4" xr:uid="{00000000-0004-0000-0300-000076070000}"/>
    <hyperlink ref="A2003" r:id="rId1912" display="https://webagentes.canaldirecto.com.ar/incidents/view/748788-2" xr:uid="{00000000-0004-0000-0300-000077070000}"/>
    <hyperlink ref="A2000" r:id="rId1913" display="https://webagentes.canaldirecto.com.ar/incidents/view/748779-4" xr:uid="{00000000-0004-0000-0300-000078070000}"/>
    <hyperlink ref="A2028" r:id="rId1914" display="https://webagentes.canaldirecto.com.ar/incidents/view/748462-7" xr:uid="{00000000-0004-0000-0300-000079070000}"/>
    <hyperlink ref="A2096" r:id="rId1915" display="https://webagentes.canaldirecto.com.ar/incidents/view/754085-3" xr:uid="{00000000-0004-0000-0300-00007A070000}"/>
    <hyperlink ref="A2092" r:id="rId1916" display="https://webagentes.canaldirecto.com.ar/incidents/view/753640-7" xr:uid="{00000000-0004-0000-0300-00007B070000}"/>
    <hyperlink ref="A2090" r:id="rId1917" display="https://webagentes.canaldirecto.com.ar/incidents/view/753470-0" xr:uid="{00000000-0004-0000-0300-00007C070000}"/>
    <hyperlink ref="A2095" r:id="rId1918" display="https://webagentes.canaldirecto.com.ar/incidents/view/753309-3" xr:uid="{00000000-0004-0000-0300-00007D070000}"/>
    <hyperlink ref="A2091" r:id="rId1919" display="https://webagentes.canaldirecto.com.ar/incidents/view/753304-8" xr:uid="{00000000-0004-0000-0300-00007E070000}"/>
    <hyperlink ref="A2087" r:id="rId1920" display="https://webagentes.canaldirecto.com.ar/incidents/view/753242-9" xr:uid="{00000000-0004-0000-0300-00007F070000}"/>
    <hyperlink ref="A2094" r:id="rId1921" display="https://webagentes.canaldirecto.com.ar/incidents/view/753128-0" xr:uid="{00000000-0004-0000-0300-000080070000}"/>
    <hyperlink ref="A2086" r:id="rId1922" display="https://webagentes.canaldirecto.com.ar/incidents/view/753051-9" xr:uid="{00000000-0004-0000-0300-000081070000}"/>
    <hyperlink ref="A2088" r:id="rId1923" display="https://webagentes.canaldirecto.com.ar/incidents/view/753047-6" xr:uid="{00000000-0004-0000-0300-000082070000}"/>
    <hyperlink ref="A2089" r:id="rId1924" display="https://webagentes.canaldirecto.com.ar/incidents/view/753039-7" xr:uid="{00000000-0004-0000-0300-000083070000}"/>
    <hyperlink ref="A2085" r:id="rId1925" display="https://webagentes.canaldirecto.com.ar/incidents/view/752954-0" xr:uid="{00000000-0004-0000-0300-000084070000}"/>
    <hyperlink ref="A2108" r:id="rId1926" display="https://webagentes.canaldirecto.com.ar/incidents/view/752893-0" xr:uid="{00000000-0004-0000-0300-000085070000}"/>
    <hyperlink ref="A2107" r:id="rId1927" display="https://webagentes.canaldirecto.com.ar/incidents/view/752892-1" xr:uid="{00000000-0004-0000-0300-000086070000}"/>
    <hyperlink ref="A2106" r:id="rId1928" display="https://webagentes.canaldirecto.com.ar/incidents/view/752891-2" xr:uid="{00000000-0004-0000-0300-000087070000}"/>
    <hyperlink ref="A2105" r:id="rId1929" display="https://webagentes.canaldirecto.com.ar/incidents/view/752890-3" xr:uid="{00000000-0004-0000-0300-000088070000}"/>
    <hyperlink ref="A2104" r:id="rId1930" display="https://webagentes.canaldirecto.com.ar/incidents/view/752888-8" xr:uid="{00000000-0004-0000-0300-000089070000}"/>
    <hyperlink ref="A2103" r:id="rId1931" display="https://webagentes.canaldirecto.com.ar/incidents/view/752887-9" xr:uid="{00000000-0004-0000-0300-00008A070000}"/>
    <hyperlink ref="A2102" r:id="rId1932" display="https://webagentes.canaldirecto.com.ar/incidents/view/752886-0" xr:uid="{00000000-0004-0000-0300-00008B070000}"/>
    <hyperlink ref="A2101" r:id="rId1933" display="https://webagentes.canaldirecto.com.ar/incidents/view/752885-1" xr:uid="{00000000-0004-0000-0300-00008C070000}"/>
    <hyperlink ref="A2100" r:id="rId1934" display="https://webagentes.canaldirecto.com.ar/incidents/view/752884-2" xr:uid="{00000000-0004-0000-0300-00008D070000}"/>
    <hyperlink ref="A2099" r:id="rId1935" display="https://webagentes.canaldirecto.com.ar/incidents/view/752881-5" xr:uid="{00000000-0004-0000-0300-00008E070000}"/>
    <hyperlink ref="A2098" r:id="rId1936" display="https://webagentes.canaldirecto.com.ar/incidents/view/752880-6" xr:uid="{00000000-0004-0000-0300-00008F070000}"/>
    <hyperlink ref="A2084" r:id="rId1937" display="https://webagentes.canaldirecto.com.ar/incidents/view/752850-5" xr:uid="{00000000-0004-0000-0300-000090070000}"/>
    <hyperlink ref="A2093" r:id="rId1938" display="https://webagentes.canaldirecto.com.ar/incidents/view/752723-2" xr:uid="{00000000-0004-0000-0300-000091070000}"/>
    <hyperlink ref="A2083" r:id="rId1939" display="https://webagentes.canaldirecto.com.ar/incidents/view/752643-7" xr:uid="{00000000-0004-0000-0300-000092070000}"/>
    <hyperlink ref="A2080" r:id="rId1940" display="https://webagentes.canaldirecto.com.ar/incidents/view/752164-5" xr:uid="{00000000-0004-0000-0300-000093070000}"/>
    <hyperlink ref="A2076" r:id="rId1941" display="https://webagentes.canaldirecto.com.ar/incidents/view/751849-2" xr:uid="{00000000-0004-0000-0300-000094070000}"/>
    <hyperlink ref="A2078" r:id="rId1942" display="https://webagentes.canaldirecto.com.ar/incidents/view/751776-7" xr:uid="{00000000-0004-0000-0300-000095070000}"/>
    <hyperlink ref="A2079" r:id="rId1943" display="https://webagentes.canaldirecto.com.ar/incidents/view/751727-1" xr:uid="{00000000-0004-0000-0300-000096070000}"/>
    <hyperlink ref="A2081" r:id="rId1944" display="https://webagentes.canaldirecto.com.ar/incidents/view/751383-1" xr:uid="{00000000-0004-0000-0300-000097070000}"/>
    <hyperlink ref="A2082" r:id="rId1945" display="https://webagentes.canaldirecto.com.ar/incidents/view/751023-2" xr:uid="{00000000-0004-0000-0300-000098070000}"/>
    <hyperlink ref="A2077" r:id="rId1946" display="https://webagentes.canaldirecto.com.ar/incidents/view/750577-1" xr:uid="{00000000-0004-0000-0300-000099070000}"/>
    <hyperlink ref="A2136" r:id="rId1947" display="https://webagentes.canaldirecto.com.ar/incidents/view/757087-2" xr:uid="{00000000-0004-0000-0300-00009A070000}"/>
    <hyperlink ref="A2137" r:id="rId1948" display="https://webagentes.canaldirecto.com.ar/incidents/view/757086-3" xr:uid="{00000000-0004-0000-0300-00009B070000}"/>
    <hyperlink ref="A2138" r:id="rId1949" display="https://webagentes.canaldirecto.com.ar/incidents/view/757084-5" xr:uid="{00000000-0004-0000-0300-00009C070000}"/>
    <hyperlink ref="A2139" r:id="rId1950" display="https://webagentes.canaldirecto.com.ar/incidents/view/756936-2" xr:uid="{00000000-0004-0000-0300-00009D070000}"/>
    <hyperlink ref="A2140" r:id="rId1951" display="https://webagentes.canaldirecto.com.ar/incidents/view/756875-2" xr:uid="{00000000-0004-0000-0300-00009E070000}"/>
    <hyperlink ref="A2133" r:id="rId1952" display="https://webagentes.canaldirecto.com.ar/incidents/view/756780-5" xr:uid="{00000000-0004-0000-0300-00009F070000}"/>
    <hyperlink ref="A2134" r:id="rId1953" display="https://webagentes.canaldirecto.com.ar/incidents/view/756409-3" xr:uid="{00000000-0004-0000-0300-0000A0070000}"/>
    <hyperlink ref="A2159" r:id="rId1954" display="https://webagentes.canaldirecto.com.ar/incidents/view/756261-5" xr:uid="{00000000-0004-0000-0300-0000A1070000}"/>
    <hyperlink ref="A2160" r:id="rId1955" display="https://webagentes.canaldirecto.com.ar/incidents/view/756260-6" xr:uid="{00000000-0004-0000-0300-0000A2070000}"/>
    <hyperlink ref="A2129" r:id="rId1956" display="https://webagentes.canaldirecto.com.ar/incidents/view/756132-4" xr:uid="{00000000-0004-0000-0300-0000A3070000}"/>
    <hyperlink ref="A2130" r:id="rId1957" display="https://webagentes.canaldirecto.com.ar/incidents/view/756131-5" xr:uid="{00000000-0004-0000-0300-0000A4070000}"/>
    <hyperlink ref="A2127" r:id="rId1958" display="https://webagentes.canaldirecto.com.ar/incidents/view/756088-4" xr:uid="{00000000-0004-0000-0300-0000A5070000}"/>
    <hyperlink ref="A2125" r:id="rId1959" display="https://webagentes.canaldirecto.com.ar/incidents/view/755946-2" xr:uid="{00000000-0004-0000-0300-0000A6070000}"/>
    <hyperlink ref="A2131" r:id="rId1960" display="https://webagentes.canaldirecto.com.ar/incidents/view/755848-1" xr:uid="{00000000-0004-0000-0300-0000A7070000}"/>
    <hyperlink ref="A2126" r:id="rId1961" display="https://webagentes.canaldirecto.com.ar/incidents/view/755627-0" xr:uid="{00000000-0004-0000-0300-0000A8070000}"/>
    <hyperlink ref="A2123" r:id="rId1962" display="https://webagentes.canaldirecto.com.ar/incidents/view/755620-7" xr:uid="{00000000-0004-0000-0300-0000A9070000}"/>
    <hyperlink ref="A2122" r:id="rId1963" display="https://webagentes.canaldirecto.com.ar/incidents/view/755597-0" xr:uid="{00000000-0004-0000-0300-0000AA070000}"/>
    <hyperlink ref="A2132" r:id="rId1964" display="https://webagentes.canaldirecto.com.ar/incidents/view/755596-1" xr:uid="{00000000-0004-0000-0300-0000AB070000}"/>
    <hyperlink ref="A2121" r:id="rId1965" display="https://webagentes.canaldirecto.com.ar/incidents/view/755586-4" xr:uid="{00000000-0004-0000-0300-0000AC070000}"/>
    <hyperlink ref="A2128" r:id="rId1966" display="https://webagentes.canaldirecto.com.ar/incidents/view/755553-6" xr:uid="{00000000-0004-0000-0300-0000AD070000}"/>
    <hyperlink ref="A2135" r:id="rId1967" display="https://webagentes.canaldirecto.com.ar/incidents/view/755538-7" xr:uid="{00000000-0004-0000-0300-0000AE070000}"/>
    <hyperlink ref="A2124" r:id="rId1968" display="https://webagentes.canaldirecto.com.ar/incidents/view/755500-4" xr:uid="{00000000-0004-0000-0300-0000AF070000}"/>
    <hyperlink ref="A2149" r:id="rId1969" display="https://webagentes.canaldirecto.com.ar/incidents/view/755186-8" xr:uid="{00000000-0004-0000-0300-0000B0070000}"/>
    <hyperlink ref="A2150" r:id="rId1970" display="https://webagentes.canaldirecto.com.ar/incidents/view/755184-0" xr:uid="{00000000-0004-0000-0300-0000B1070000}"/>
    <hyperlink ref="A2151" r:id="rId1971" display="https://webagentes.canaldirecto.com.ar/incidents/view/755183-1" xr:uid="{00000000-0004-0000-0300-0000B2070000}"/>
    <hyperlink ref="A2152" r:id="rId1972" display="https://webagentes.canaldirecto.com.ar/incidents/view/755182-2" xr:uid="{00000000-0004-0000-0300-0000B3070000}"/>
    <hyperlink ref="A2153" r:id="rId1973" display="https://webagentes.canaldirecto.com.ar/incidents/view/755181-3" xr:uid="{00000000-0004-0000-0300-0000B4070000}"/>
    <hyperlink ref="A2154" r:id="rId1974" display="https://webagentes.canaldirecto.com.ar/incidents/view/755180-4" xr:uid="{00000000-0004-0000-0300-0000B5070000}"/>
    <hyperlink ref="A2155" r:id="rId1975" display="https://webagentes.canaldirecto.com.ar/incidents/view/755179-8" xr:uid="{00000000-0004-0000-0300-0000B6070000}"/>
    <hyperlink ref="A2156" r:id="rId1976" display="https://webagentes.canaldirecto.com.ar/incidents/view/755178-9" xr:uid="{00000000-0004-0000-0300-0000B7070000}"/>
    <hyperlink ref="A2161" r:id="rId1977" display="https://webagentes.canaldirecto.com.ar/incidents/view/755177-0" xr:uid="{00000000-0004-0000-0300-0000B8070000}"/>
    <hyperlink ref="A2162" r:id="rId1978" display="https://webagentes.canaldirecto.com.ar/incidents/view/755176-1" xr:uid="{00000000-0004-0000-0300-0000B9070000}"/>
    <hyperlink ref="A2163" r:id="rId1979" display="https://webagentes.canaldirecto.com.ar/incidents/view/755175-2" xr:uid="{00000000-0004-0000-0300-0000BA070000}"/>
    <hyperlink ref="A2164" r:id="rId1980" display="https://webagentes.canaldirecto.com.ar/incidents/view/755174-3" xr:uid="{00000000-0004-0000-0300-0000BB070000}"/>
    <hyperlink ref="A2117" r:id="rId1981" display="https://webagentes.canaldirecto.com.ar/incidents/view/755165-5" xr:uid="{00000000-0004-0000-0300-0000BC070000}"/>
    <hyperlink ref="A2119" r:id="rId1982" display="https://webagentes.canaldirecto.com.ar/incidents/view/754898-9" xr:uid="{00000000-0004-0000-0300-0000BD070000}"/>
    <hyperlink ref="A2120" r:id="rId1983" display="https://webagentes.canaldirecto.com.ar/incidents/view/754896-1" xr:uid="{00000000-0004-0000-0300-0000BE070000}"/>
    <hyperlink ref="A2118" r:id="rId1984" display="https://webagentes.canaldirecto.com.ar/incidents/view/754759-1" xr:uid="{00000000-0004-0000-0300-0000BF070000}"/>
    <hyperlink ref="A2143" r:id="rId1985" display="https://webagentes.canaldirecto.com.ar/incidents/view/754756-4" xr:uid="{00000000-0004-0000-0300-0000C0070000}"/>
    <hyperlink ref="A2144" r:id="rId1986" display="https://webagentes.canaldirecto.com.ar/incidents/view/754755-5" xr:uid="{00000000-0004-0000-0300-0000C1070000}"/>
    <hyperlink ref="A2145" r:id="rId1987" display="https://webagentes.canaldirecto.com.ar/incidents/view/754754-6" xr:uid="{00000000-0004-0000-0300-0000C2070000}"/>
    <hyperlink ref="A2146" r:id="rId1988" display="https://webagentes.canaldirecto.com.ar/incidents/view/754753-7" xr:uid="{00000000-0004-0000-0300-0000C3070000}"/>
    <hyperlink ref="A2147" r:id="rId1989" display="https://webagentes.canaldirecto.com.ar/incidents/view/754752-8" xr:uid="{00000000-0004-0000-0300-0000C4070000}"/>
    <hyperlink ref="A2148" r:id="rId1990" display="https://webagentes.canaldirecto.com.ar/incidents/view/754751-9" xr:uid="{00000000-0004-0000-0300-0000C5070000}"/>
    <hyperlink ref="A2114" r:id="rId1991" display="https://webagentes.canaldirecto.com.ar/incidents/view/754739-7" xr:uid="{00000000-0004-0000-0300-0000C6070000}"/>
    <hyperlink ref="A2111" r:id="rId1992" display="https://webagentes.canaldirecto.com.ar/incidents/view/754359-5" xr:uid="{00000000-0004-0000-0300-0000C7070000}"/>
    <hyperlink ref="A2112" r:id="rId1993" display="https://webagentes.canaldirecto.com.ar/incidents/view/754356-8" xr:uid="{00000000-0004-0000-0300-0000C8070000}"/>
    <hyperlink ref="A2113" r:id="rId1994" display="https://webagentes.canaldirecto.com.ar/incidents/view/754285-1" xr:uid="{00000000-0004-0000-0300-0000C9070000}"/>
    <hyperlink ref="A2115" r:id="rId1995" display="https://webagentes.canaldirecto.com.ar/incidents/view/753977-8" xr:uid="{00000000-0004-0000-0300-0000CA070000}"/>
    <hyperlink ref="A2116" r:id="rId1996" display="https://webagentes.canaldirecto.com.ar/incidents/view/753975-0" xr:uid="{00000000-0004-0000-0300-0000CB070000}"/>
    <hyperlink ref="A2157" r:id="rId1997" display="https://webagentes.canaldirecto.com.ar/incidents/view/749616-3" xr:uid="{00000000-0004-0000-0300-0000CC070000}"/>
    <hyperlink ref="A2158" r:id="rId1998" display="https://webagentes.canaldirecto.com.ar/incidents/view/749612-7" xr:uid="{00000000-0004-0000-0300-0000CD070000}"/>
    <hyperlink ref="A2187" r:id="rId1999" display="https://webagentes.canaldirecto.com.ar/incidents/view/759073-3" xr:uid="{00000000-0004-0000-0300-0000CE070000}"/>
    <hyperlink ref="A2188" r:id="rId2000" display="https://webagentes.canaldirecto.com.ar/incidents/view/759072-4" xr:uid="{00000000-0004-0000-0300-0000CF070000}"/>
    <hyperlink ref="A2189" r:id="rId2001" display="https://webagentes.canaldirecto.com.ar/incidents/view/759071-5" xr:uid="{00000000-0004-0000-0300-0000D0070000}"/>
    <hyperlink ref="A2190" r:id="rId2002" display="https://webagentes.canaldirecto.com.ar/incidents/view/759070-6" xr:uid="{00000000-0004-0000-0300-0000D1070000}"/>
    <hyperlink ref="A2191" r:id="rId2003" display="https://webagentes.canaldirecto.com.ar/incidents/view/759069-0" xr:uid="{00000000-0004-0000-0300-0000D2070000}"/>
    <hyperlink ref="A2192" r:id="rId2004" display="https://webagentes.canaldirecto.com.ar/incidents/view/759068-1" xr:uid="{00000000-0004-0000-0300-0000D3070000}"/>
    <hyperlink ref="A2193" r:id="rId2005" display="https://webagentes.canaldirecto.com.ar/incidents/view/759067-2" xr:uid="{00000000-0004-0000-0300-0000D4070000}"/>
    <hyperlink ref="A2194" r:id="rId2006" display="https://webagentes.canaldirecto.com.ar/incidents/view/759066-3" xr:uid="{00000000-0004-0000-0300-0000D5070000}"/>
    <hyperlink ref="A2195" r:id="rId2007" display="https://webagentes.canaldirecto.com.ar/incidents/view/759065-4" xr:uid="{00000000-0004-0000-0300-0000D6070000}"/>
    <hyperlink ref="A2196" r:id="rId2008" display="https://webagentes.canaldirecto.com.ar/incidents/view/759064-5" xr:uid="{00000000-0004-0000-0300-0000D7070000}"/>
    <hyperlink ref="A2197" r:id="rId2009" display="https://webagentes.canaldirecto.com.ar/incidents/view/759063-6" xr:uid="{00000000-0004-0000-0300-0000D8070000}"/>
    <hyperlink ref="A2198" r:id="rId2010" display="https://webagentes.canaldirecto.com.ar/incidents/view/759062-7" xr:uid="{00000000-0004-0000-0300-0000D9070000}"/>
    <hyperlink ref="A2184" r:id="rId2011" display="https://webagentes.canaldirecto.com.ar/incidents/view/758867-7" xr:uid="{00000000-0004-0000-0300-0000DA070000}"/>
    <hyperlink ref="A2183" r:id="rId2012" display="https://webagentes.canaldirecto.com.ar/incidents/view/758729-8" xr:uid="{00000000-0004-0000-0300-0000DB070000}"/>
    <hyperlink ref="A2182" r:id="rId2013" display="https://webagentes.canaldirecto.com.ar/incidents/view/758586-5" xr:uid="{00000000-0004-0000-0300-0000DC070000}"/>
    <hyperlink ref="A2179" r:id="rId2014" display="https://webagentes.canaldirecto.com.ar/incidents/view/758326-5" xr:uid="{00000000-0004-0000-0300-0000DD070000}"/>
    <hyperlink ref="A2180" r:id="rId2015" display="https://webagentes.canaldirecto.com.ar/incidents/view/758255-8" xr:uid="{00000000-0004-0000-0300-0000DE070000}"/>
    <hyperlink ref="A2181" r:id="rId2016" display="https://webagentes.canaldirecto.com.ar/incidents/view/758213-2" xr:uid="{00000000-0004-0000-0300-0000DF070000}"/>
    <hyperlink ref="A2178" r:id="rId2017" display="https://webagentes.canaldirecto.com.ar/incidents/view/758091-2" xr:uid="{00000000-0004-0000-0300-0000E0070000}"/>
    <hyperlink ref="A2176" r:id="rId2018" display="https://webagentes.canaldirecto.com.ar/incidents/view/757735-2" xr:uid="{00000000-0004-0000-0300-0000E1070000}"/>
    <hyperlink ref="A2177" r:id="rId2019" display="https://webagentes.canaldirecto.com.ar/incidents/view/757687-6" xr:uid="{00000000-0004-0000-0300-0000E2070000}"/>
    <hyperlink ref="A2174" r:id="rId2020" display="https://webagentes.canaldirecto.com.ar/incidents/view/757486-9" xr:uid="{00000000-0004-0000-0300-0000E3070000}"/>
    <hyperlink ref="A2175" r:id="rId2021" display="https://webagentes.canaldirecto.com.ar/incidents/view/757316-1" xr:uid="{00000000-0004-0000-0300-0000E4070000}"/>
    <hyperlink ref="A2172" r:id="rId2022" display="https://webagentes.canaldirecto.com.ar/incidents/view/757269-4" xr:uid="{00000000-0004-0000-0300-0000E5070000}"/>
    <hyperlink ref="A2167" r:id="rId2023" display="https://webagentes.canaldirecto.com.ar/incidents/view/757194-1" xr:uid="{00000000-0004-0000-0300-0000E6070000}"/>
    <hyperlink ref="A2168" r:id="rId2024" display="https://webagentes.canaldirecto.com.ar/incidents/view/757136-7" xr:uid="{00000000-0004-0000-0300-0000E7070000}"/>
    <hyperlink ref="A2169" r:id="rId2025" display="https://webagentes.canaldirecto.com.ar/incidents/view/757135-8" xr:uid="{00000000-0004-0000-0300-0000E8070000}"/>
    <hyperlink ref="A2171" r:id="rId2026" display="https://webagentes.canaldirecto.com.ar/incidents/view/756997-3" xr:uid="{00000000-0004-0000-0300-0000E9070000}"/>
    <hyperlink ref="A2170" r:id="rId2027" display="https://webagentes.canaldirecto.com.ar/incidents/view/756915-9" xr:uid="{00000000-0004-0000-0300-0000EA070000}"/>
    <hyperlink ref="A2173" r:id="rId2028" display="https://webagentes.canaldirecto.com.ar/incidents/view/756407-5" xr:uid="{00000000-0004-0000-0300-0000EB070000}"/>
    <hyperlink ref="A2199" r:id="rId2029" display="https://webagentes.canaldirecto.com.ar/incidents/view/755386-6" xr:uid="{00000000-0004-0000-0300-0000EC070000}"/>
    <hyperlink ref="A2200" r:id="rId2030" display="https://webagentes.canaldirecto.com.ar/incidents/view/755385-7" xr:uid="{00000000-0004-0000-0300-0000ED070000}"/>
    <hyperlink ref="A2225" r:id="rId2031" display="https://webagentes.canaldirecto.com.ar/incidents/view/761454-7" xr:uid="{00000000-0004-0000-0300-0000EE070000}"/>
    <hyperlink ref="A2226" r:id="rId2032" display="https://webagentes.canaldirecto.com.ar/incidents/view/761374-2" xr:uid="{00000000-0004-0000-0300-0000EF070000}"/>
    <hyperlink ref="A2227" r:id="rId2033" display="https://webagentes.canaldirecto.com.ar/incidents/view/761296-5" xr:uid="{00000000-0004-0000-0300-0000F0070000}"/>
    <hyperlink ref="A2228" r:id="rId2034" display="https://webagentes.canaldirecto.com.ar/incidents/view/761295-6" xr:uid="{00000000-0004-0000-0300-0000F1070000}"/>
    <hyperlink ref="A2245" r:id="rId2035" display="https://webagentes.canaldirecto.com.ar/incidents/view/761107-2" xr:uid="{00000000-0004-0000-0300-0000F2070000}"/>
    <hyperlink ref="A2221" r:id="rId2036" display="https://webagentes.canaldirecto.com.ar/incidents/view/760959-0" xr:uid="{00000000-0004-0000-0300-0000F3070000}"/>
    <hyperlink ref="A2229" r:id="rId2037" display="https://webagentes.canaldirecto.com.ar/incidents/view/760942-0" xr:uid="{00000000-0004-0000-0300-0000F4070000}"/>
    <hyperlink ref="A2249" r:id="rId2038" display="https://webagentes.canaldirecto.com.ar/incidents/view/760872-2" xr:uid="{00000000-0004-0000-0300-0000F5070000}"/>
    <hyperlink ref="A2250" r:id="rId2039" display="https://webagentes.canaldirecto.com.ar/incidents/view/760871-3" xr:uid="{00000000-0004-0000-0300-0000F6070000}"/>
    <hyperlink ref="A2251" r:id="rId2040" display="https://webagentes.canaldirecto.com.ar/incidents/view/760870-4" xr:uid="{00000000-0004-0000-0300-0000F7070000}"/>
    <hyperlink ref="A2252" r:id="rId2041" display="https://webagentes.canaldirecto.com.ar/incidents/view/760866-1" xr:uid="{00000000-0004-0000-0300-0000F8070000}"/>
    <hyperlink ref="A2253" r:id="rId2042" display="https://webagentes.canaldirecto.com.ar/incidents/view/760865-2" xr:uid="{00000000-0004-0000-0300-0000F9070000}"/>
    <hyperlink ref="A2224" r:id="rId2043" display="https://webagentes.canaldirecto.com.ar/incidents/view/760837-9" xr:uid="{00000000-0004-0000-0300-0000FA070000}"/>
    <hyperlink ref="A2254" r:id="rId2044" display="https://webagentes.canaldirecto.com.ar/incidents/view/760815-7" xr:uid="{00000000-0004-0000-0300-0000FB070000}"/>
    <hyperlink ref="A2255" r:id="rId2045" display="https://webagentes.canaldirecto.com.ar/incidents/view/760810-2" xr:uid="{00000000-0004-0000-0300-0000FC070000}"/>
    <hyperlink ref="A2256" r:id="rId2046" display="https://webagentes.canaldirecto.com.ar/incidents/view/760808-7" xr:uid="{00000000-0004-0000-0300-0000FD070000}"/>
    <hyperlink ref="A2244" r:id="rId2047" display="https://webagentes.canaldirecto.com.ar/incidents/view/760807-8" xr:uid="{00000000-0004-0000-0300-0000FE070000}"/>
    <hyperlink ref="A2257" r:id="rId2048" display="https://webagentes.canaldirecto.com.ar/incidents/view/760806-9" xr:uid="{00000000-0004-0000-0300-0000FF070000}"/>
    <hyperlink ref="A2258" r:id="rId2049" display="https://webagentes.canaldirecto.com.ar/incidents/view/760805-0" xr:uid="{00000000-0004-0000-0300-000000080000}"/>
    <hyperlink ref="A2269" r:id="rId2050" display="https://webagentes.canaldirecto.com.ar/incidents/view/760804-1" xr:uid="{00000000-0004-0000-0300-000001080000}"/>
    <hyperlink ref="A2246" r:id="rId2051" display="https://webagentes.canaldirecto.com.ar/incidents/view/760803-2" xr:uid="{00000000-0004-0000-0300-000002080000}"/>
    <hyperlink ref="A2247" r:id="rId2052" display="https://webagentes.canaldirecto.com.ar/incidents/view/760802-3" xr:uid="{00000000-0004-0000-0300-000003080000}"/>
    <hyperlink ref="A2248" r:id="rId2053" display="https://webagentes.canaldirecto.com.ar/incidents/view/760801-4" xr:uid="{00000000-0004-0000-0300-000004080000}"/>
    <hyperlink ref="A2259" r:id="rId2054" display="https://webagentes.canaldirecto.com.ar/incidents/view/760800-5" xr:uid="{00000000-0004-0000-0300-000005080000}"/>
    <hyperlink ref="A2260" r:id="rId2055" display="https://webagentes.canaldirecto.com.ar/incidents/view/760799-0" xr:uid="{00000000-0004-0000-0300-000006080000}"/>
    <hyperlink ref="A2261" r:id="rId2056" display="https://webagentes.canaldirecto.com.ar/incidents/view/760798-1" xr:uid="{00000000-0004-0000-0300-000007080000}"/>
    <hyperlink ref="A2262" r:id="rId2057" display="https://webagentes.canaldirecto.com.ar/incidents/view/760797-2" xr:uid="{00000000-0004-0000-0300-000008080000}"/>
    <hyperlink ref="A2263" r:id="rId2058" display="https://webagentes.canaldirecto.com.ar/incidents/view/760796-3" xr:uid="{00000000-0004-0000-0300-000009080000}"/>
    <hyperlink ref="A2264" r:id="rId2059" display="https://webagentes.canaldirecto.com.ar/incidents/view/760795-4" xr:uid="{00000000-0004-0000-0300-00000A080000}"/>
    <hyperlink ref="A2265" r:id="rId2060" display="https://webagentes.canaldirecto.com.ar/incidents/view/760794-5" xr:uid="{00000000-0004-0000-0300-00000B080000}"/>
    <hyperlink ref="A2266" r:id="rId2061" display="https://webagentes.canaldirecto.com.ar/incidents/view/760791-8" xr:uid="{00000000-0004-0000-0300-00000C080000}"/>
    <hyperlink ref="A2267" r:id="rId2062" display="https://webagentes.canaldirecto.com.ar/incidents/view/760790-9" xr:uid="{00000000-0004-0000-0300-00000D080000}"/>
    <hyperlink ref="A2268" r:id="rId2063" display="https://webagentes.canaldirecto.com.ar/incidents/view/760789-3" xr:uid="{00000000-0004-0000-0300-00000E080000}"/>
    <hyperlink ref="A2222" r:id="rId2064" display="https://webagentes.canaldirecto.com.ar/incidents/view/760774-1" xr:uid="{00000000-0004-0000-0300-00000F080000}"/>
    <hyperlink ref="A2218" r:id="rId2065" display="https://webagentes.canaldirecto.com.ar/incidents/view/760535-4" xr:uid="{00000000-0004-0000-0300-000010080000}"/>
    <hyperlink ref="A2213" r:id="rId2066" display="https://webagentes.canaldirecto.com.ar/incidents/view/760451-3" xr:uid="{00000000-0004-0000-0300-000011080000}"/>
    <hyperlink ref="A2215" r:id="rId2067" display="https://webagentes.canaldirecto.com.ar/incidents/view/760297-7" xr:uid="{00000000-0004-0000-0300-000012080000}"/>
    <hyperlink ref="A2216" r:id="rId2068" display="https://webagentes.canaldirecto.com.ar/incidents/view/760296-8" xr:uid="{00000000-0004-0000-0300-000013080000}"/>
    <hyperlink ref="A2219" r:id="rId2069" display="https://webagentes.canaldirecto.com.ar/incidents/view/760205-6" xr:uid="{00000000-0004-0000-0300-000014080000}"/>
    <hyperlink ref="A2217" r:id="rId2070" display="https://webagentes.canaldirecto.com.ar/incidents/view/760196-9" xr:uid="{00000000-0004-0000-0300-000015080000}"/>
    <hyperlink ref="A2233" r:id="rId2071" display="https://webagentes.canaldirecto.com.ar/incidents/view/760115-4" xr:uid="{00000000-0004-0000-0300-000016080000}"/>
    <hyperlink ref="A2212" r:id="rId2072" display="https://webagentes.canaldirecto.com.ar/incidents/view/760093-3" xr:uid="{00000000-0004-0000-0300-000017080000}"/>
    <hyperlink ref="A2234" r:id="rId2073" display="https://webagentes.canaldirecto.com.ar/incidents/view/760046-5" xr:uid="{00000000-0004-0000-0300-000018080000}"/>
    <hyperlink ref="A2235" r:id="rId2074" display="https://webagentes.canaldirecto.com.ar/incidents/view/760045-6" xr:uid="{00000000-0004-0000-0300-000019080000}"/>
    <hyperlink ref="A2236" r:id="rId2075" display="https://webagentes.canaldirecto.com.ar/incidents/view/760044-7" xr:uid="{00000000-0004-0000-0300-00001A080000}"/>
    <hyperlink ref="A2237" r:id="rId2076" display="https://webagentes.canaldirecto.com.ar/incidents/view/760043-8" xr:uid="{00000000-0004-0000-0300-00001B080000}"/>
    <hyperlink ref="A2238" r:id="rId2077" display="https://webagentes.canaldirecto.com.ar/incidents/view/760042-9" xr:uid="{00000000-0004-0000-0300-00001C080000}"/>
    <hyperlink ref="A2239" r:id="rId2078" display="https://webagentes.canaldirecto.com.ar/incidents/view/760041-0" xr:uid="{00000000-0004-0000-0300-00001D080000}"/>
    <hyperlink ref="A2240" r:id="rId2079" display="https://webagentes.canaldirecto.com.ar/incidents/view/760040-1" xr:uid="{00000000-0004-0000-0300-00001E080000}"/>
    <hyperlink ref="A2241" r:id="rId2080" display="https://webagentes.canaldirecto.com.ar/incidents/view/760039-5" xr:uid="{00000000-0004-0000-0300-00001F080000}"/>
    <hyperlink ref="A2242" r:id="rId2081" display="https://webagentes.canaldirecto.com.ar/incidents/view/760038-6" xr:uid="{00000000-0004-0000-0300-000020080000}"/>
    <hyperlink ref="A2243" r:id="rId2082" display="https://webagentes.canaldirecto.com.ar/incidents/view/760037-7" xr:uid="{00000000-0004-0000-0300-000021080000}"/>
    <hyperlink ref="A2220" r:id="rId2083" display="https://webagentes.canaldirecto.com.ar/incidents/view/759936-3" xr:uid="{00000000-0004-0000-0300-000022080000}"/>
    <hyperlink ref="A2210" r:id="rId2084" display="https://webagentes.canaldirecto.com.ar/incidents/view/759799-4" xr:uid="{00000000-0004-0000-0300-000023080000}"/>
    <hyperlink ref="A2208" r:id="rId2085" display="https://webagentes.canaldirecto.com.ar/incidents/view/759553-4" xr:uid="{00000000-0004-0000-0300-000024080000}"/>
    <hyperlink ref="A2223" r:id="rId2086" display="https://webagentes.canaldirecto.com.ar/incidents/view/759546-4" xr:uid="{00000000-0004-0000-0300-000025080000}"/>
    <hyperlink ref="A2205" r:id="rId2087" display="https://webagentes.canaldirecto.com.ar/incidents/view/759533-0" xr:uid="{00000000-0004-0000-0300-000026080000}"/>
    <hyperlink ref="A2209" r:id="rId2088" display="https://webagentes.canaldirecto.com.ar/incidents/view/759531-2" xr:uid="{00000000-0004-0000-0300-000027080000}"/>
    <hyperlink ref="A2206" r:id="rId2089" display="https://webagentes.canaldirecto.com.ar/incidents/view/759244-9" xr:uid="{00000000-0004-0000-0300-000028080000}"/>
    <hyperlink ref="A2203" r:id="rId2090" display="https://webagentes.canaldirecto.com.ar/incidents/view/759007-0" xr:uid="{00000000-0004-0000-0300-000029080000}"/>
    <hyperlink ref="A2207" r:id="rId2091" display="https://webagentes.canaldirecto.com.ar/incidents/view/758861-3" xr:uid="{00000000-0004-0000-0300-00002A080000}"/>
    <hyperlink ref="A2211" r:id="rId2092" display="https://webagentes.canaldirecto.com.ar/incidents/view/758784-5" xr:uid="{00000000-0004-0000-0300-00002B080000}"/>
    <hyperlink ref="A2204" r:id="rId2093" display="https://webagentes.canaldirecto.com.ar/incidents/view/758668-8" xr:uid="{00000000-0004-0000-0300-00002C080000}"/>
    <hyperlink ref="A2230" r:id="rId2094" display="https://webagentes.canaldirecto.com.ar/incidents/view/758400-6" xr:uid="{00000000-0004-0000-0300-00002D080000}"/>
    <hyperlink ref="A2214" r:id="rId2095" display="https://webagentes.canaldirecto.com.ar/incidents/view/756201-3" xr:uid="{00000000-0004-0000-0300-00002E080000}"/>
    <hyperlink ref="A2321" r:id="rId2096" display="https://webagentes.canaldirecto.com.ar/incidents/view/764097-7" xr:uid="{00000000-0004-0000-0300-00002F080000}"/>
    <hyperlink ref="A2322" r:id="rId2097" display="https://webagentes.canaldirecto.com.ar/incidents/view/763974-0" xr:uid="{00000000-0004-0000-0300-000030080000}"/>
    <hyperlink ref="A2323" r:id="rId2098" display="https://webagentes.canaldirecto.com.ar/incidents/view/763973-1" xr:uid="{00000000-0004-0000-0300-000031080000}"/>
    <hyperlink ref="A2324" r:id="rId2099" display="https://webagentes.canaldirecto.com.ar/incidents/view/763972-2" xr:uid="{00000000-0004-0000-0300-000032080000}"/>
    <hyperlink ref="A2325" r:id="rId2100" display="https://webagentes.canaldirecto.com.ar/incidents/view/763971-3" xr:uid="{00000000-0004-0000-0300-000033080000}"/>
    <hyperlink ref="A2314" r:id="rId2101" display="https://webagentes.canaldirecto.com.ar/incidents/view/763672-5" xr:uid="{00000000-0004-0000-0300-000034080000}"/>
    <hyperlink ref="A2315" r:id="rId2102" display="https://webagentes.canaldirecto.com.ar/incidents/view/763643-3" xr:uid="{00000000-0004-0000-0300-000035080000}"/>
    <hyperlink ref="A2310" r:id="rId2103" display="https://webagentes.canaldirecto.com.ar/incidents/view/763632-7" xr:uid="{00000000-0004-0000-0300-000036080000}"/>
    <hyperlink ref="A2313" r:id="rId2104" display="https://webagentes.canaldirecto.com.ar/incidents/view/763518-8" xr:uid="{00000000-0004-0000-0300-000037080000}"/>
    <hyperlink ref="A2312" r:id="rId2105" display="https://webagentes.canaldirecto.com.ar/incidents/view/763517-9" xr:uid="{00000000-0004-0000-0300-000038080000}"/>
    <hyperlink ref="A2311" r:id="rId2106" display="https://webagentes.canaldirecto.com.ar/incidents/view/763516-0" xr:uid="{00000000-0004-0000-0300-000039080000}"/>
    <hyperlink ref="A2306" r:id="rId2107" display="https://webagentes.canaldirecto.com.ar/incidents/view/763432-9" xr:uid="{00000000-0004-0000-0300-00003A080000}"/>
    <hyperlink ref="A2316" r:id="rId2108" display="https://webagentes.canaldirecto.com.ar/incidents/view/763187-2" xr:uid="{00000000-0004-0000-0300-00003B080000}"/>
    <hyperlink ref="A2307" r:id="rId2109" display="https://webagentes.canaldirecto.com.ar/incidents/view/763003-1" xr:uid="{00000000-0004-0000-0300-00003C080000}"/>
    <hyperlink ref="A2299" r:id="rId2110" display="https://webagentes.canaldirecto.com.ar/incidents/view/763002-2" xr:uid="{00000000-0004-0000-0300-00003D080000}"/>
    <hyperlink ref="A2308" r:id="rId2111" display="https://webagentes.canaldirecto.com.ar/incidents/view/762934-5" xr:uid="{00000000-0004-0000-0300-00003E080000}"/>
    <hyperlink ref="A2300" r:id="rId2112" display="https://webagentes.canaldirecto.com.ar/incidents/view/762932-7" xr:uid="{00000000-0004-0000-0300-00003F080000}"/>
    <hyperlink ref="A2303" r:id="rId2113" display="https://webagentes.canaldirecto.com.ar/incidents/view/762843-4" xr:uid="{00000000-0004-0000-0300-000040080000}"/>
    <hyperlink ref="A2304" r:id="rId2114" display="https://webagentes.canaldirecto.com.ar/incidents/view/762707-3" xr:uid="{00000000-0004-0000-0300-000041080000}"/>
    <hyperlink ref="A2293" r:id="rId2115" display="https://webagentes.canaldirecto.com.ar/incidents/view/762582-6" xr:uid="{00000000-0004-0000-0300-000042080000}"/>
    <hyperlink ref="A2309" r:id="rId2116" display="https://webagentes.canaldirecto.com.ar/incidents/view/762580-8" xr:uid="{00000000-0004-0000-0300-000043080000}"/>
    <hyperlink ref="A2301" r:id="rId2117" display="https://webagentes.canaldirecto.com.ar/incidents/view/762540-0" xr:uid="{00000000-0004-0000-0300-000044080000}"/>
    <hyperlink ref="A2294" r:id="rId2118" display="https://webagentes.canaldirecto.com.ar/incidents/view/762493-3" xr:uid="{00000000-0004-0000-0300-000045080000}"/>
    <hyperlink ref="A2295" r:id="rId2119" display="https://webagentes.canaldirecto.com.ar/incidents/view/762463-2" xr:uid="{00000000-0004-0000-0300-000046080000}"/>
    <hyperlink ref="A2291" r:id="rId2120" display="https://webagentes.canaldirecto.com.ar/incidents/view/762407-6" xr:uid="{00000000-0004-0000-0300-000047080000}"/>
    <hyperlink ref="A2289" r:id="rId2121" display="https://webagentes.canaldirecto.com.ar/incidents/view/762390-7" xr:uid="{00000000-0004-0000-0300-000048080000}"/>
    <hyperlink ref="A2292" r:id="rId2122" display="https://webagentes.canaldirecto.com.ar/incidents/view/762368-8" xr:uid="{00000000-0004-0000-0300-000049080000}"/>
    <hyperlink ref="A2284" r:id="rId2123" display="https://webagentes.canaldirecto.com.ar/incidents/view/762305-9" xr:uid="{00000000-0004-0000-0300-00004A080000}"/>
    <hyperlink ref="A2285" r:id="rId2124" display="https://webagentes.canaldirecto.com.ar/incidents/view/762263-4" xr:uid="{00000000-0004-0000-0300-00004B080000}"/>
    <hyperlink ref="A2286" r:id="rId2125" display="https://webagentes.canaldirecto.com.ar/incidents/view/762257-3" xr:uid="{00000000-0004-0000-0300-00004C080000}"/>
    <hyperlink ref="A2302" r:id="rId2126" display="https://webagentes.canaldirecto.com.ar/incidents/view/762252-8" xr:uid="{00000000-0004-0000-0300-00004D080000}"/>
    <hyperlink ref="A2296" r:id="rId2127" display="https://webagentes.canaldirecto.com.ar/incidents/view/762229-0" xr:uid="{00000000-0004-0000-0300-00004E080000}"/>
    <hyperlink ref="A2287" r:id="rId2128" display="https://webagentes.canaldirecto.com.ar/incidents/view/762218-4" xr:uid="{00000000-0004-0000-0300-00004F080000}"/>
    <hyperlink ref="A2305" r:id="rId2129" display="https://webagentes.canaldirecto.com.ar/incidents/view/762174-1" xr:uid="{00000000-0004-0000-0300-000050080000}"/>
    <hyperlink ref="A2297" r:id="rId2130" display="https://webagentes.canaldirecto.com.ar/incidents/view/762100-6" xr:uid="{00000000-0004-0000-0300-000051080000}"/>
    <hyperlink ref="A2290" r:id="rId2131" display="https://webagentes.canaldirecto.com.ar/incidents/view/761972-8" xr:uid="{00000000-0004-0000-0300-000052080000}"/>
    <hyperlink ref="A2280" r:id="rId2132" display="https://webagentes.canaldirecto.com.ar/incidents/view/761921-4" xr:uid="{00000000-0004-0000-0300-000053080000}"/>
    <hyperlink ref="A2282" r:id="rId2133" display="https://webagentes.canaldirecto.com.ar/incidents/view/761816-3" xr:uid="{00000000-0004-0000-0300-000054080000}"/>
    <hyperlink ref="A2281" r:id="rId2134" display="https://webagentes.canaldirecto.com.ar/incidents/view/761616-5" xr:uid="{00000000-0004-0000-0300-000055080000}"/>
    <hyperlink ref="A2279" r:id="rId2135" display="https://webagentes.canaldirecto.com.ar/incidents/view/761588-3" xr:uid="{00000000-0004-0000-0300-000056080000}"/>
    <hyperlink ref="A2283" r:id="rId2136" display="https://webagentes.canaldirecto.com.ar/incidents/view/761580-1" xr:uid="{00000000-0004-0000-0300-000057080000}"/>
    <hyperlink ref="A2276" r:id="rId2137" display="https://webagentes.canaldirecto.com.ar/incidents/view/761469-9" xr:uid="{00000000-0004-0000-0300-000058080000}"/>
    <hyperlink ref="A2277" r:id="rId2138" display="https://webagentes.canaldirecto.com.ar/incidents/view/761373-3" xr:uid="{00000000-0004-0000-0300-000059080000}"/>
    <hyperlink ref="A2278" r:id="rId2139" display="https://webagentes.canaldirecto.com.ar/incidents/view/761328-3" xr:uid="{00000000-0004-0000-0300-00005A080000}"/>
    <hyperlink ref="A2318" r:id="rId2140" display="https://webagentes.canaldirecto.com.ar/incidents/view/761108-1" xr:uid="{00000000-0004-0000-0300-00005B080000}"/>
    <hyperlink ref="A2319" r:id="rId2141" display="https://webagentes.canaldirecto.com.ar/incidents/view/761106-3" xr:uid="{00000000-0004-0000-0300-00005C080000}"/>
    <hyperlink ref="A2320" r:id="rId2142" display="https://webagentes.canaldirecto.com.ar/incidents/view/761104-5" xr:uid="{00000000-0004-0000-0300-00005D080000}"/>
    <hyperlink ref="A2288" r:id="rId2143" display="https://webagentes.canaldirecto.com.ar/incidents/view/761100-9" xr:uid="{00000000-0004-0000-0300-00005E080000}"/>
    <hyperlink ref="A2274" r:id="rId2144" display="https://webagentes.canaldirecto.com.ar/incidents/view/761008-2" xr:uid="{00000000-0004-0000-0300-00005F080000}"/>
    <hyperlink ref="A2326" r:id="rId2145" display="https://webagentes.canaldirecto.com.ar/incidents/view/760817-5" xr:uid="{00000000-0004-0000-0300-000060080000}"/>
    <hyperlink ref="A2327" r:id="rId2146" display="https://webagentes.canaldirecto.com.ar/incidents/view/760814-8" xr:uid="{00000000-0004-0000-0300-000061080000}"/>
    <hyperlink ref="A2328" r:id="rId2147" display="https://webagentes.canaldirecto.com.ar/incidents/view/760813-9" xr:uid="{00000000-0004-0000-0300-000062080000}"/>
    <hyperlink ref="A2329" r:id="rId2148" display="https://webagentes.canaldirecto.com.ar/incidents/view/760812-0" xr:uid="{00000000-0004-0000-0300-000063080000}"/>
    <hyperlink ref="A2275" r:id="rId2149" display="https://webagentes.canaldirecto.com.ar/incidents/view/760558-5" xr:uid="{00000000-0004-0000-0300-000064080000}"/>
    <hyperlink ref="A2298" r:id="rId2150" display="https://webagentes.canaldirecto.com.ar/incidents/view/758031-0" xr:uid="{00000000-0004-0000-0300-000065080000}"/>
    <hyperlink ref="A2363" r:id="rId2151" display="https://webagentes.canaldirecto.com.ar/incidents/view/766660-1" xr:uid="{00000000-0004-0000-0300-000066080000}"/>
    <hyperlink ref="A2364" r:id="rId2152" display="https://webagentes.canaldirecto.com.ar/incidents/view/766528-6" xr:uid="{00000000-0004-0000-0300-000067080000}"/>
    <hyperlink ref="A2365" r:id="rId2153" display="https://webagentes.canaldirecto.com.ar/incidents/view/766451-5" xr:uid="{00000000-0004-0000-0300-000068080000}"/>
    <hyperlink ref="A2366" r:id="rId2154" display="https://webagentes.canaldirecto.com.ar/incidents/view/766282-7" xr:uid="{00000000-0004-0000-0300-000069080000}"/>
    <hyperlink ref="A2367" r:id="rId2155" display="https://webagentes.canaldirecto.com.ar/incidents/view/766198-9" xr:uid="{00000000-0004-0000-0300-00006A080000}"/>
    <hyperlink ref="A2368" r:id="rId2156" display="https://webagentes.canaldirecto.com.ar/incidents/view/766154-5" xr:uid="{00000000-0004-0000-0300-00006B080000}"/>
    <hyperlink ref="A2356" r:id="rId2157" display="https://webagentes.canaldirecto.com.ar/incidents/view/766060-7" xr:uid="{00000000-0004-0000-0300-00006C080000}"/>
    <hyperlink ref="A2357" r:id="rId2158" display="https://webagentes.canaldirecto.com.ar/incidents/view/766021-8" xr:uid="{00000000-0004-0000-0300-00006D080000}"/>
    <hyperlink ref="A2362" r:id="rId2159" display="https://webagentes.canaldirecto.com.ar/incidents/view/765996-6" xr:uid="{00000000-0004-0000-0300-00006E080000}"/>
    <hyperlink ref="A2358" r:id="rId2160" display="https://webagentes.canaldirecto.com.ar/incidents/view/765922-1" xr:uid="{00000000-0004-0000-0300-00006F080000}"/>
    <hyperlink ref="A2360" r:id="rId2161" display="https://webagentes.canaldirecto.com.ar/incidents/view/765888-8" xr:uid="{00000000-0004-0000-0300-000070080000}"/>
    <hyperlink ref="A2361" r:id="rId2162" display="https://webagentes.canaldirecto.com.ar/incidents/view/765826-8" xr:uid="{00000000-0004-0000-0300-000071080000}"/>
    <hyperlink ref="A2359" r:id="rId2163" display="https://webagentes.canaldirecto.com.ar/incidents/view/765718-0" xr:uid="{00000000-0004-0000-0300-000072080000}"/>
    <hyperlink ref="A2354" r:id="rId2164" display="https://webagentes.canaldirecto.com.ar/incidents/view/765657-0" xr:uid="{00000000-0004-0000-0300-000073080000}"/>
    <hyperlink ref="A2353" r:id="rId2165" display="https://webagentes.canaldirecto.com.ar/incidents/view/765479-4" xr:uid="{00000000-0004-0000-0300-000074080000}"/>
    <hyperlink ref="A2349" r:id="rId2166" display="https://webagentes.canaldirecto.com.ar/incidents/view/765317-5" xr:uid="{00000000-0004-0000-0300-000075080000}"/>
    <hyperlink ref="A2348" r:id="rId2167" display="https://webagentes.canaldirecto.com.ar/incidents/view/765177-9" xr:uid="{00000000-0004-0000-0300-000076080000}"/>
    <hyperlink ref="A2355" r:id="rId2168" display="https://webagentes.canaldirecto.com.ar/incidents/view/765077-0" xr:uid="{00000000-0004-0000-0300-000077080000}"/>
    <hyperlink ref="A2351" r:id="rId2169" display="https://webagentes.canaldirecto.com.ar/incidents/view/765075-2" xr:uid="{00000000-0004-0000-0300-000078080000}"/>
    <hyperlink ref="A2347" r:id="rId2170" display="https://webagentes.canaldirecto.com.ar/incidents/view/764840-1" xr:uid="{00000000-0004-0000-0300-000079080000}"/>
    <hyperlink ref="A2344" r:id="rId2171" display="https://webagentes.canaldirecto.com.ar/incidents/view/764738-7" xr:uid="{00000000-0004-0000-0300-00007A080000}"/>
    <hyperlink ref="A2352" r:id="rId2172" display="https://webagentes.canaldirecto.com.ar/incidents/view/764707-7" xr:uid="{00000000-0004-0000-0300-00007B080000}"/>
    <hyperlink ref="A2342" r:id="rId2173" display="https://webagentes.canaldirecto.com.ar/incidents/view/764653-7" xr:uid="{00000000-0004-0000-0300-00007C080000}"/>
    <hyperlink ref="A2339" r:id="rId2174" display="https://webagentes.canaldirecto.com.ar/incidents/view/764255-9" xr:uid="{00000000-0004-0000-0300-00007D080000}"/>
    <hyperlink ref="A2343" r:id="rId2175" display="https://webagentes.canaldirecto.com.ar/incidents/view/764130-1" xr:uid="{00000000-0004-0000-0300-00007E080000}"/>
    <hyperlink ref="A2334" r:id="rId2176" display="https://webagentes.canaldirecto.com.ar/incidents/view/764122-2" xr:uid="{00000000-0004-0000-0300-00007F080000}"/>
    <hyperlink ref="A2335" r:id="rId2177" display="https://webagentes.canaldirecto.com.ar/incidents/view/764109-1" xr:uid="{00000000-0004-0000-0300-000080080000}"/>
    <hyperlink ref="A2336" r:id="rId2178" display="https://webagentes.canaldirecto.com.ar/incidents/view/764108-2" xr:uid="{00000000-0004-0000-0300-000081080000}"/>
    <hyperlink ref="A2337" r:id="rId2179" display="https://webagentes.canaldirecto.com.ar/incidents/view/764106-4" xr:uid="{00000000-0004-0000-0300-000082080000}"/>
    <hyperlink ref="A2338" r:id="rId2180" display="https://webagentes.canaldirecto.com.ar/incidents/view/764105-5" xr:uid="{00000000-0004-0000-0300-000083080000}"/>
    <hyperlink ref="A2340" r:id="rId2181" display="https://webagentes.canaldirecto.com.ar/incidents/view/764081-6" xr:uid="{00000000-0004-0000-0300-000084080000}"/>
    <hyperlink ref="A2345" r:id="rId2182" display="https://webagentes.canaldirecto.com.ar/incidents/view/763642-4" xr:uid="{00000000-0004-0000-0300-000085080000}"/>
    <hyperlink ref="A2346" r:id="rId2183" display="https://webagentes.canaldirecto.com.ar/incidents/view/763641-5" xr:uid="{00000000-0004-0000-0300-000086080000}"/>
    <hyperlink ref="A2341" r:id="rId2184" display="https://webagentes.canaldirecto.com.ar/incidents/view/763041-1" xr:uid="{00000000-0004-0000-0300-000087080000}"/>
    <hyperlink ref="A2350" r:id="rId2185" display="https://webagentes.canaldirecto.com.ar/incidents/view/763038-7" xr:uid="{00000000-0004-0000-0300-000088080000}"/>
    <hyperlink ref="A2398" r:id="rId2186" display="https://webagentes.canaldirecto.com.ar/incidents/view/768575-8" xr:uid="{00000000-0004-0000-0300-000089080000}"/>
    <hyperlink ref="A2401" r:id="rId2187" display="https://webagentes.canaldirecto.com.ar/incidents/view/768574-9" xr:uid="{00000000-0004-0000-0300-00008A080000}"/>
    <hyperlink ref="A2399" r:id="rId2188" display="https://webagentes.canaldirecto.com.ar/incidents/view/768382-0" xr:uid="{00000000-0004-0000-0300-00008B080000}"/>
    <hyperlink ref="A2402" r:id="rId2189" display="https://webagentes.canaldirecto.com.ar/incidents/view/768337-0" xr:uid="{00000000-0004-0000-0300-00008C080000}"/>
    <hyperlink ref="A2400" r:id="rId2190" display="https://webagentes.canaldirecto.com.ar/incidents/view/768124-8" xr:uid="{00000000-0004-0000-0300-00008D080000}"/>
    <hyperlink ref="A2395" r:id="rId2191" display="https://webagentes.canaldirecto.com.ar/incidents/view/768069-2" xr:uid="{00000000-0004-0000-0300-00008E080000}"/>
    <hyperlink ref="A2396" r:id="rId2192" display="https://webagentes.canaldirecto.com.ar/incidents/view/768010-6" xr:uid="{00000000-0004-0000-0300-00008F080000}"/>
    <hyperlink ref="A2391" r:id="rId2193" display="https://webagentes.canaldirecto.com.ar/incidents/view/767868-8" xr:uid="{00000000-0004-0000-0300-000090080000}"/>
    <hyperlink ref="A2392" r:id="rId2194" display="https://webagentes.canaldirecto.com.ar/incidents/view/767780-1" xr:uid="{00000000-0004-0000-0300-000091080000}"/>
    <hyperlink ref="A2393" r:id="rId2195" display="https://webagentes.canaldirecto.com.ar/incidents/view/767779-5" xr:uid="{00000000-0004-0000-0300-000092080000}"/>
    <hyperlink ref="A2404" r:id="rId2196" display="https://webagentes.canaldirecto.com.ar/incidents/view/767705-0" xr:uid="{00000000-0004-0000-0300-000093080000}"/>
    <hyperlink ref="A2397" r:id="rId2197" display="https://webagentes.canaldirecto.com.ar/incidents/view/767682-0" xr:uid="{00000000-0004-0000-0300-000094080000}"/>
    <hyperlink ref="A2385" r:id="rId2198" display="https://webagentes.canaldirecto.com.ar/incidents/view/767457-6" xr:uid="{00000000-0004-0000-0300-000095080000}"/>
    <hyperlink ref="A2386" r:id="rId2199" display="https://webagentes.canaldirecto.com.ar/incidents/view/767456-7" xr:uid="{00000000-0004-0000-0300-000096080000}"/>
    <hyperlink ref="A2406" r:id="rId2200" display="https://webagentes.canaldirecto.com.ar/incidents/view/767455-8" xr:uid="{00000000-0004-0000-0300-000097080000}"/>
    <hyperlink ref="A2407" r:id="rId2201" display="https://webagentes.canaldirecto.com.ar/incidents/view/767452-1" xr:uid="{00000000-0004-0000-0300-000098080000}"/>
    <hyperlink ref="A2408" r:id="rId2202" display="https://webagentes.canaldirecto.com.ar/incidents/view/767451-2" xr:uid="{00000000-0004-0000-0300-000099080000}"/>
    <hyperlink ref="A2409" r:id="rId2203" display="https://webagentes.canaldirecto.com.ar/incidents/view/767448-8" xr:uid="{00000000-0004-0000-0300-00009A080000}"/>
    <hyperlink ref="A2390" r:id="rId2204" display="https://webagentes.canaldirecto.com.ar/incidents/view/767343-4" xr:uid="{00000000-0004-0000-0300-00009B080000}"/>
    <hyperlink ref="A2389" r:id="rId2205" display="https://webagentes.canaldirecto.com.ar/incidents/view/767299-4" xr:uid="{00000000-0004-0000-0300-00009C080000}"/>
    <hyperlink ref="A2387" r:id="rId2206" display="https://webagentes.canaldirecto.com.ar/incidents/view/767265-7" xr:uid="{00000000-0004-0000-0300-00009D080000}"/>
    <hyperlink ref="A2380" r:id="rId2207" display="https://webagentes.canaldirecto.com.ar/incidents/view/767255-0" xr:uid="{00000000-0004-0000-0300-00009E080000}"/>
    <hyperlink ref="A2388" r:id="rId2208" display="https://webagentes.canaldirecto.com.ar/incidents/view/767185-2" xr:uid="{00000000-0004-0000-0300-00009F080000}"/>
    <hyperlink ref="A2394" r:id="rId2209" display="https://webagentes.canaldirecto.com.ar/incidents/view/767158-8" xr:uid="{00000000-0004-0000-0300-0000A0080000}"/>
    <hyperlink ref="A2378" r:id="rId2210" display="https://webagentes.canaldirecto.com.ar/incidents/view/767102-9" xr:uid="{00000000-0004-0000-0300-0000A1080000}"/>
    <hyperlink ref="A2382" r:id="rId2211" display="https://webagentes.canaldirecto.com.ar/incidents/view/767092-3" xr:uid="{00000000-0004-0000-0300-0000A2080000}"/>
    <hyperlink ref="A2383" r:id="rId2212" display="https://webagentes.canaldirecto.com.ar/incidents/view/767056-1" xr:uid="{00000000-0004-0000-0300-0000A3080000}"/>
    <hyperlink ref="A2381" r:id="rId2213" display="https://webagentes.canaldirecto.com.ar/incidents/view/767044-6" xr:uid="{00000000-0004-0000-0300-0000A4080000}"/>
    <hyperlink ref="A2384" r:id="rId2214" display="https://webagentes.canaldirecto.com.ar/incidents/view/766879-7" xr:uid="{00000000-0004-0000-0300-0000A5080000}"/>
    <hyperlink ref="A2379" r:id="rId2215" display="https://webagentes.canaldirecto.com.ar/incidents/view/766817-7" xr:uid="{00000000-0004-0000-0300-0000A6080000}"/>
    <hyperlink ref="A2403" r:id="rId2216" display="https://webagentes.canaldirecto.com.ar/incidents/view/766810-4" xr:uid="{00000000-0004-0000-0300-0000A7080000}"/>
    <hyperlink ref="A2377" r:id="rId2217" display="https://webagentes.canaldirecto.com.ar/incidents/view/766771-6" xr:uid="{00000000-0004-0000-0300-0000A8080000}"/>
    <hyperlink ref="A2373" r:id="rId2218" display="https://webagentes.canaldirecto.com.ar/incidents/view/766635-5" xr:uid="{00000000-0004-0000-0300-0000A9080000}"/>
    <hyperlink ref="A2374" r:id="rId2219" display="https://webagentes.canaldirecto.com.ar/incidents/view/766541-7" xr:uid="{00000000-0004-0000-0300-0000AA080000}"/>
    <hyperlink ref="A2375" r:id="rId2220" display="https://webagentes.canaldirecto.com.ar/incidents/view/766409-2" xr:uid="{00000000-0004-0000-0300-0000AB080000}"/>
    <hyperlink ref="A2376" r:id="rId2221" display="https://webagentes.canaldirecto.com.ar/incidents/view/766305-7" xr:uid="{00000000-0004-0000-0300-0000AC080000}"/>
    <hyperlink ref="A2461" r:id="rId2222" display="https://webagentes.canaldirecto.com.ar/incidents/view/771634-0" xr:uid="{00000000-0004-0000-0300-0000AD080000}"/>
    <hyperlink ref="A2457" r:id="rId2223" display="https://webagentes.canaldirecto.com.ar/incidents/view/771417-5" xr:uid="{00000000-0004-0000-0300-0000AE080000}"/>
    <hyperlink ref="A2465" r:id="rId2224" display="https://webagentes.canaldirecto.com.ar/incidents/view/771366-2" xr:uid="{00000000-0004-0000-0300-0000AF080000}"/>
    <hyperlink ref="A2462" r:id="rId2225" display="https://webagentes.canaldirecto.com.ar/incidents/view/771249-6" xr:uid="{00000000-0004-0000-0300-0000B0080000}"/>
    <hyperlink ref="A2463" r:id="rId2226" display="https://webagentes.canaldirecto.com.ar/incidents/view/771217-7" xr:uid="{00000000-0004-0000-0300-0000B1080000}"/>
    <hyperlink ref="A2443" r:id="rId2227" display="https://webagentes.canaldirecto.com.ar/incidents/view/771102-6" xr:uid="{00000000-0004-0000-0300-0000B2080000}"/>
    <hyperlink ref="A2444" r:id="rId2228" display="https://webagentes.canaldirecto.com.ar/incidents/view/771093-9" xr:uid="{00000000-0004-0000-0300-0000B3080000}"/>
    <hyperlink ref="A2458" r:id="rId2229" display="https://webagentes.canaldirecto.com.ar/incidents/view/771082-3" xr:uid="{00000000-0004-0000-0300-0000B4080000}"/>
    <hyperlink ref="A2441" r:id="rId2230" display="https://webagentes.canaldirecto.com.ar/incidents/view/770983-6" xr:uid="{00000000-0004-0000-0300-0000B5080000}"/>
    <hyperlink ref="A2445" r:id="rId2231" display="https://webagentes.canaldirecto.com.ar/incidents/view/770977-5" xr:uid="{00000000-0004-0000-0300-0000B6080000}"/>
    <hyperlink ref="A2453" r:id="rId2232" display="https://webagentes.canaldirecto.com.ar/incidents/view/770917-3" xr:uid="{00000000-0004-0000-0300-0000B7080000}"/>
    <hyperlink ref="A2466" r:id="rId2233" display="https://webagentes.canaldirecto.com.ar/incidents/view/770884-6" xr:uid="{00000000-0004-0000-0300-0000B8080000}"/>
    <hyperlink ref="A2454" r:id="rId2234" display="https://webagentes.canaldirecto.com.ar/incidents/view/770851-8" xr:uid="{00000000-0004-0000-0300-0000B9080000}"/>
    <hyperlink ref="A2455" r:id="rId2235" display="https://webagentes.canaldirecto.com.ar/incidents/view/770792-6" xr:uid="{00000000-0004-0000-0300-0000BA080000}"/>
    <hyperlink ref="A2442" r:id="rId2236" display="https://webagentes.canaldirecto.com.ar/incidents/view/770743-0" xr:uid="{00000000-0004-0000-0300-0000BB080000}"/>
    <hyperlink ref="A2435" r:id="rId2237" display="https://webagentes.canaldirecto.com.ar/incidents/view/770619-4" xr:uid="{00000000-0004-0000-0300-0000BC080000}"/>
    <hyperlink ref="A2436" r:id="rId2238" display="https://webagentes.canaldirecto.com.ar/incidents/view/770533-5" xr:uid="{00000000-0004-0000-0300-0000BD080000}"/>
    <hyperlink ref="A2446" r:id="rId2239" display="https://webagentes.canaldirecto.com.ar/incidents/view/770512-2" xr:uid="{00000000-0004-0000-0300-0000BE080000}"/>
    <hyperlink ref="A2456" r:id="rId2240" display="https://webagentes.canaldirecto.com.ar/incidents/view/770469-1" xr:uid="{00000000-0004-0000-0300-0000BF080000}"/>
    <hyperlink ref="A2438" r:id="rId2241" display="https://webagentes.canaldirecto.com.ar/incidents/view/770448-8" xr:uid="{00000000-0004-0000-0300-0000C0080000}"/>
    <hyperlink ref="A2459" r:id="rId2242" display="https://webagentes.canaldirecto.com.ar/incidents/view/770428-4" xr:uid="{00000000-0004-0000-0300-0000C1080000}"/>
    <hyperlink ref="A2447" r:id="rId2243" display="https://webagentes.canaldirecto.com.ar/incidents/view/770418-7" xr:uid="{00000000-0004-0000-0300-0000C2080000}"/>
    <hyperlink ref="A2448" r:id="rId2244" display="https://webagentes.canaldirecto.com.ar/incidents/view/770417-8" xr:uid="{00000000-0004-0000-0300-0000C3080000}"/>
    <hyperlink ref="A2449" r:id="rId2245" display="https://webagentes.canaldirecto.com.ar/incidents/view/770416-9" xr:uid="{00000000-0004-0000-0300-0000C4080000}"/>
    <hyperlink ref="A2437" r:id="rId2246" display="https://webagentes.canaldirecto.com.ar/incidents/view/770385-0" xr:uid="{00000000-0004-0000-0300-0000C5080000}"/>
    <hyperlink ref="A2433" r:id="rId2247" display="https://webagentes.canaldirecto.com.ar/incidents/view/770301-8" xr:uid="{00000000-0004-0000-0300-0000C6080000}"/>
    <hyperlink ref="A2460" r:id="rId2248" display="https://webagentes.canaldirecto.com.ar/incidents/view/770298-5" xr:uid="{00000000-0004-0000-0300-0000C7080000}"/>
    <hyperlink ref="A2439" r:id="rId2249" display="https://webagentes.canaldirecto.com.ar/incidents/view/770232-9" xr:uid="{00000000-0004-0000-0300-0000C8080000}"/>
    <hyperlink ref="A2424" r:id="rId2250" display="https://webagentes.canaldirecto.com.ar/incidents/view/770174-6" xr:uid="{00000000-0004-0000-0300-0000C9080000}"/>
    <hyperlink ref="A2434" r:id="rId2251" display="https://webagentes.canaldirecto.com.ar/incidents/view/770156-0" xr:uid="{00000000-0004-0000-0300-0000CA080000}"/>
    <hyperlink ref="A2425" r:id="rId2252" display="https://webagentes.canaldirecto.com.ar/incidents/view/770132-0" xr:uid="{00000000-0004-0000-0300-0000CB080000}"/>
    <hyperlink ref="A2426" r:id="rId2253" display="https://webagentes.canaldirecto.com.ar/incidents/view/770068-6" xr:uid="{00000000-0004-0000-0300-0000CC080000}"/>
    <hyperlink ref="A2427" r:id="rId2254" display="https://webagentes.canaldirecto.com.ar/incidents/view/770067-7" xr:uid="{00000000-0004-0000-0300-0000CD080000}"/>
    <hyperlink ref="A2450" r:id="rId2255" display="https://webagentes.canaldirecto.com.ar/incidents/view/770052-5" xr:uid="{00000000-0004-0000-0300-0000CE080000}"/>
    <hyperlink ref="A2428" r:id="rId2256" display="https://webagentes.canaldirecto.com.ar/incidents/view/770021-5" xr:uid="{00000000-0004-0000-0300-0000CF080000}"/>
    <hyperlink ref="A2429" r:id="rId2257" display="https://webagentes.canaldirecto.com.ar/incidents/view/769885-9" xr:uid="{00000000-0004-0000-0300-0000D0080000}"/>
    <hyperlink ref="A2430" r:id="rId2258" display="https://webagentes.canaldirecto.com.ar/incidents/view/769864-6" xr:uid="{00000000-0004-0000-0300-0000D1080000}"/>
    <hyperlink ref="A2451" r:id="rId2259" display="https://webagentes.canaldirecto.com.ar/incidents/view/769775-3" xr:uid="{00000000-0004-0000-0300-0000D2080000}"/>
    <hyperlink ref="A2431" r:id="rId2260" display="https://webagentes.canaldirecto.com.ar/incidents/view/769721-2" xr:uid="{00000000-0004-0000-0300-0000D3080000}"/>
    <hyperlink ref="A2420" r:id="rId2261" display="https://webagentes.canaldirecto.com.ar/incidents/view/769657-8" xr:uid="{00000000-0004-0000-0300-0000D4080000}"/>
    <hyperlink ref="A2432" r:id="rId2262" display="https://webagentes.canaldirecto.com.ar/incidents/view/769651-4" xr:uid="{00000000-0004-0000-0300-0000D5080000}"/>
    <hyperlink ref="A2423" r:id="rId2263" display="https://webagentes.canaldirecto.com.ar/incidents/view/769643-5" xr:uid="{00000000-0004-0000-0300-0000D6080000}"/>
    <hyperlink ref="A2452" r:id="rId2264" display="https://webagentes.canaldirecto.com.ar/incidents/view/769636-5" xr:uid="{00000000-0004-0000-0300-0000D7080000}"/>
    <hyperlink ref="A2419" r:id="rId2265" display="https://webagentes.canaldirecto.com.ar/incidents/view/769500-1" xr:uid="{00000000-0004-0000-0300-0000D8080000}"/>
    <hyperlink ref="A2418" r:id="rId2266" display="https://webagentes.canaldirecto.com.ar/incidents/view/769390-6" xr:uid="{00000000-0004-0000-0300-0000D9080000}"/>
    <hyperlink ref="A2421" r:id="rId2267" display="https://webagentes.canaldirecto.com.ar/incidents/view/769383-6" xr:uid="{00000000-0004-0000-0300-0000DA080000}"/>
    <hyperlink ref="A2416" r:id="rId2268" display="https://webagentes.canaldirecto.com.ar/incidents/view/769223-5" xr:uid="{00000000-0004-0000-0300-0000DB080000}"/>
    <hyperlink ref="A2422" r:id="rId2269" display="https://webagentes.canaldirecto.com.ar/incidents/view/769081-1" xr:uid="{00000000-0004-0000-0300-0000DC080000}"/>
    <hyperlink ref="A2464" r:id="rId2270" display="https://webagentes.canaldirecto.com.ar/incidents/view/768925-9" xr:uid="{00000000-0004-0000-0300-0000DD080000}"/>
    <hyperlink ref="A2413" r:id="rId2271" display="https://webagentes.canaldirecto.com.ar/incidents/view/768876-4" xr:uid="{00000000-0004-0000-0300-0000DE080000}"/>
    <hyperlink ref="A2440" r:id="rId2272" display="https://webagentes.canaldirecto.com.ar/incidents/view/768865-8" xr:uid="{00000000-0004-0000-0300-0000DF080000}"/>
    <hyperlink ref="A2414" r:id="rId2273" display="https://webagentes.canaldirecto.com.ar/incidents/view/768830-2" xr:uid="{00000000-0004-0000-0300-0000E0080000}"/>
    <hyperlink ref="A2415" r:id="rId2274" display="https://webagentes.canaldirecto.com.ar/incidents/view/768828-7" xr:uid="{00000000-0004-0000-0300-0000E1080000}"/>
    <hyperlink ref="A2417" r:id="rId2275" display="https://webagentes.canaldirecto.com.ar/incidents/view/768813-5" xr:uid="{00000000-0004-0000-0300-0000E2080000}"/>
    <hyperlink ref="A2412" r:id="rId2276" display="https://webagentes.canaldirecto.com.ar/incidents/view/767187-0" xr:uid="{00000000-0004-0000-0300-0000E3080000}"/>
    <hyperlink ref="A2510" r:id="rId2277" display="https://webagentes.canaldirecto.com.ar/incidents/view/774549-4" xr:uid="{00000000-0004-0000-0300-0000E4080000}"/>
    <hyperlink ref="A2511" r:id="rId2278" display="https://webagentes.canaldirecto.com.ar/incidents/view/774545-8" xr:uid="{00000000-0004-0000-0300-0000E5080000}"/>
    <hyperlink ref="A2521" r:id="rId2279" display="https://webagentes.canaldirecto.com.ar/incidents/view/774418-5" xr:uid="{00000000-0004-0000-0300-0000E6080000}"/>
    <hyperlink ref="A2522" r:id="rId2280" display="https://webagentes.canaldirecto.com.ar/incidents/view/774417-6" xr:uid="{00000000-0004-0000-0300-0000E7080000}"/>
    <hyperlink ref="A2523" r:id="rId2281" display="https://webagentes.canaldirecto.com.ar/incidents/view/774416-7" xr:uid="{00000000-0004-0000-0300-0000E8080000}"/>
    <hyperlink ref="A2524" r:id="rId2282" display="https://webagentes.canaldirecto.com.ar/incidents/view/774415-8" xr:uid="{00000000-0004-0000-0300-0000E9080000}"/>
    <hyperlink ref="A2525" r:id="rId2283" display="https://webagentes.canaldirecto.com.ar/incidents/view/774414-9" xr:uid="{00000000-0004-0000-0300-0000EA080000}"/>
    <hyperlink ref="A2526" r:id="rId2284" display="https://webagentes.canaldirecto.com.ar/incidents/view/774413-0" xr:uid="{00000000-0004-0000-0300-0000EB080000}"/>
    <hyperlink ref="A2527" r:id="rId2285" display="https://webagentes.canaldirecto.com.ar/incidents/view/774412-1" xr:uid="{00000000-0004-0000-0300-0000EC080000}"/>
    <hyperlink ref="A2528" r:id="rId2286" display="https://webagentes.canaldirecto.com.ar/incidents/view/774411-2" xr:uid="{00000000-0004-0000-0300-0000ED080000}"/>
    <hyperlink ref="A2506" r:id="rId2287" display="https://webagentes.canaldirecto.com.ar/incidents/view/774099-4" xr:uid="{00000000-0004-0000-0300-0000EE080000}"/>
    <hyperlink ref="A2507" r:id="rId2288" display="https://webagentes.canaldirecto.com.ar/incidents/view/774097-6" xr:uid="{00000000-0004-0000-0300-0000EF080000}"/>
    <hyperlink ref="A2509" r:id="rId2289" display="https://webagentes.canaldirecto.com.ar/incidents/view/774010-7" xr:uid="{00000000-0004-0000-0300-0000F0080000}"/>
    <hyperlink ref="A2508" r:id="rId2290" display="https://webagentes.canaldirecto.com.ar/incidents/view/773926-2" xr:uid="{00000000-0004-0000-0300-0000F1080000}"/>
    <hyperlink ref="A2503" r:id="rId2291" display="https://webagentes.canaldirecto.com.ar/incidents/view/773642-3" xr:uid="{00000000-0004-0000-0300-0000F2080000}"/>
    <hyperlink ref="A2499" r:id="rId2292" display="https://webagentes.canaldirecto.com.ar/incidents/view/773589-5" xr:uid="{00000000-0004-0000-0300-0000F3080000}"/>
    <hyperlink ref="A2505" r:id="rId2293" display="https://webagentes.canaldirecto.com.ar/incidents/view/773469-2" xr:uid="{00000000-0004-0000-0300-0000F4080000}"/>
    <hyperlink ref="A2500" r:id="rId2294" display="https://webagentes.canaldirecto.com.ar/incidents/view/773408-1" xr:uid="{00000000-0004-0000-0300-0000F5080000}"/>
    <hyperlink ref="A2493" r:id="rId2295" display="https://webagentes.canaldirecto.com.ar/incidents/view/773293-1" xr:uid="{00000000-0004-0000-0300-0000F6080000}"/>
    <hyperlink ref="A2504" r:id="rId2296" display="https://webagentes.canaldirecto.com.ar/incidents/view/773286-1" xr:uid="{00000000-0004-0000-0300-0000F7080000}"/>
    <hyperlink ref="A2496" r:id="rId2297" display="https://webagentes.canaldirecto.com.ar/incidents/view/773285-2" xr:uid="{00000000-0004-0000-0300-0000F8080000}"/>
    <hyperlink ref="A2497" r:id="rId2298" display="https://webagentes.canaldirecto.com.ar/incidents/view/773264-9" xr:uid="{00000000-0004-0000-0300-0000F9080000}"/>
    <hyperlink ref="A2501" r:id="rId2299" display="https://webagentes.canaldirecto.com.ar/incidents/view/773172-9" xr:uid="{00000000-0004-0000-0300-0000FA080000}"/>
    <hyperlink ref="A2502" r:id="rId2300" display="https://webagentes.canaldirecto.com.ar/incidents/view/773156-1" xr:uid="{00000000-0004-0000-0300-0000FB080000}"/>
    <hyperlink ref="A2498" r:id="rId2301" display="https://webagentes.canaldirecto.com.ar/incidents/view/772832-7" xr:uid="{00000000-0004-0000-0300-0000FC080000}"/>
    <hyperlink ref="A2492" r:id="rId2302" display="https://webagentes.canaldirecto.com.ar/incidents/view/772829-3" xr:uid="{00000000-0004-0000-0300-0000FD080000}"/>
    <hyperlink ref="A2495" r:id="rId2303" display="https://webagentes.canaldirecto.com.ar/incidents/view/772826-6" xr:uid="{00000000-0004-0000-0300-0000FE080000}"/>
    <hyperlink ref="A2489" r:id="rId2304" display="https://webagentes.canaldirecto.com.ar/incidents/view/772819-6" xr:uid="{00000000-0004-0000-0300-0000FF080000}"/>
    <hyperlink ref="A2490" r:id="rId2305" display="https://webagentes.canaldirecto.com.ar/incidents/view/772793-9" xr:uid="{00000000-0004-0000-0300-000000090000}"/>
    <hyperlink ref="A2494" r:id="rId2306" display="https://webagentes.canaldirecto.com.ar/incidents/view/772782-3" xr:uid="{00000000-0004-0000-0300-000001090000}"/>
    <hyperlink ref="A2514" r:id="rId2307" display="https://webagentes.canaldirecto.com.ar/incidents/view/772766-5" xr:uid="{00000000-0004-0000-0300-000002090000}"/>
    <hyperlink ref="A2515" r:id="rId2308" display="https://webagentes.canaldirecto.com.ar/incidents/view/772764-7" xr:uid="{00000000-0004-0000-0300-000003090000}"/>
    <hyperlink ref="A2516" r:id="rId2309" display="https://webagentes.canaldirecto.com.ar/incidents/view/772763-8" xr:uid="{00000000-0004-0000-0300-000004090000}"/>
    <hyperlink ref="A2517" r:id="rId2310" display="https://webagentes.canaldirecto.com.ar/incidents/view/772762-9" xr:uid="{00000000-0004-0000-0300-000005090000}"/>
    <hyperlink ref="A2491" r:id="rId2311" display="https://webagentes.canaldirecto.com.ar/incidents/view/772715-1" xr:uid="{00000000-0004-0000-0300-000006090000}"/>
    <hyperlink ref="A2484" r:id="rId2312" display="https://webagentes.canaldirecto.com.ar/incidents/view/772591-3" xr:uid="{00000000-0004-0000-0300-000007090000}"/>
    <hyperlink ref="A2487" r:id="rId2313" display="https://webagentes.canaldirecto.com.ar/incidents/view/772479-2" xr:uid="{00000000-0004-0000-0300-000008090000}"/>
    <hyperlink ref="A2476" r:id="rId2314" display="https://webagentes.canaldirecto.com.ar/incidents/view/772330-4" xr:uid="{00000000-0004-0000-0300-000009090000}"/>
    <hyperlink ref="A2481" r:id="rId2315" display="https://webagentes.canaldirecto.com.ar/incidents/view/772306-7" xr:uid="{00000000-0004-0000-0300-00000A090000}"/>
    <hyperlink ref="A2482" r:id="rId2316" display="https://webagentes.canaldirecto.com.ar/incidents/view/772211-0" xr:uid="{00000000-0004-0000-0300-00000B090000}"/>
    <hyperlink ref="A2477" r:id="rId2317" display="https://webagentes.canaldirecto.com.ar/incidents/view/772185-6" xr:uid="{00000000-0004-0000-0300-00000C090000}"/>
    <hyperlink ref="A2483" r:id="rId2318" display="https://webagentes.canaldirecto.com.ar/incidents/view/772180-1" xr:uid="{00000000-0004-0000-0300-00000D090000}"/>
    <hyperlink ref="A2485" r:id="rId2319" display="https://webagentes.canaldirecto.com.ar/incidents/view/772179-5" xr:uid="{00000000-0004-0000-0300-00000E090000}"/>
    <hyperlink ref="A2486" r:id="rId2320" display="https://webagentes.canaldirecto.com.ar/incidents/view/772162-5" xr:uid="{00000000-0004-0000-0300-00000F090000}"/>
    <hyperlink ref="A2478" r:id="rId2321" display="https://webagentes.canaldirecto.com.ar/incidents/view/772057-4" xr:uid="{00000000-0004-0000-0300-000010090000}"/>
    <hyperlink ref="A2488" r:id="rId2322" display="https://webagentes.canaldirecto.com.ar/incidents/view/771997-6" xr:uid="{00000000-0004-0000-0300-000011090000}"/>
    <hyperlink ref="A2474" r:id="rId2323" display="https://webagentes.canaldirecto.com.ar/incidents/view/771987-9" xr:uid="{00000000-0004-0000-0300-000012090000}"/>
    <hyperlink ref="A2479" r:id="rId2324" display="https://webagentes.canaldirecto.com.ar/incidents/view/771898-6" xr:uid="{00000000-0004-0000-0300-000013090000}"/>
    <hyperlink ref="A2475" r:id="rId2325" display="https://webagentes.canaldirecto.com.ar/incidents/view/771703-9" xr:uid="{00000000-0004-0000-0300-000014090000}"/>
    <hyperlink ref="A2472" r:id="rId2326" display="https://webagentes.canaldirecto.com.ar/incidents/view/771348-6" xr:uid="{00000000-0004-0000-0300-000015090000}"/>
    <hyperlink ref="A2480" r:id="rId2327" display="https://webagentes.canaldirecto.com.ar/incidents/view/771234-4" xr:uid="{00000000-0004-0000-0300-000016090000}"/>
    <hyperlink ref="A2473" r:id="rId2328" display="https://webagentes.canaldirecto.com.ar/incidents/view/770841-1" xr:uid="{00000000-0004-0000-0300-000017090000}"/>
    <hyperlink ref="A2518" r:id="rId2329" display="https://webagentes.canaldirecto.com.ar/incidents/view/732179-9" xr:uid="{00000000-0004-0000-0300-000018090000}"/>
    <hyperlink ref="A2519" r:id="rId2330" display="https://webagentes.canaldirecto.com.ar/incidents/view/732177-1" xr:uid="{00000000-0004-0000-0300-000019090000}"/>
    <hyperlink ref="A2520" r:id="rId2331" display="https://webagentes.canaldirecto.com.ar/incidents/view/732175-3" xr:uid="{00000000-0004-0000-0300-00001A090000}"/>
    <hyperlink ref="A2564" r:id="rId2332" display="https://webagentes.canaldirecto.com.ar/incidents/view/776923-6" xr:uid="{00000000-0004-0000-0300-00001B090000}"/>
    <hyperlink ref="A2568" r:id="rId2333" display="https://webagentes.canaldirecto.com.ar/incidents/view/776920-9" xr:uid="{00000000-0004-0000-0300-00001C090000}"/>
    <hyperlink ref="A2565" r:id="rId2334" display="https://webagentes.canaldirecto.com.ar/incidents/view/776912-0" xr:uid="{00000000-0004-0000-0300-00001D090000}"/>
    <hyperlink ref="A2566" r:id="rId2335" display="https://webagentes.canaldirecto.com.ar/incidents/view/776853-8" xr:uid="{00000000-0004-0000-0300-00001E090000}"/>
    <hyperlink ref="A2569" r:id="rId2336" display="https://webagentes.canaldirecto.com.ar/incidents/view/776798-2" xr:uid="{00000000-0004-0000-0300-00001F090000}"/>
    <hyperlink ref="A2562" r:id="rId2337" display="https://webagentes.canaldirecto.com.ar/incidents/view/776655-8" xr:uid="{00000000-0004-0000-0300-000020090000}"/>
    <hyperlink ref="A2559" r:id="rId2338" display="https://webagentes.canaldirecto.com.ar/incidents/view/776601-7" xr:uid="{00000000-0004-0000-0300-000021090000}"/>
    <hyperlink ref="A2563" r:id="rId2339" display="https://webagentes.canaldirecto.com.ar/incidents/view/776445-3" xr:uid="{00000000-0004-0000-0300-000022090000}"/>
    <hyperlink ref="A2557" r:id="rId2340" display="https://webagentes.canaldirecto.com.ar/incidents/view/776370-0" xr:uid="{00000000-0004-0000-0300-000023090000}"/>
    <hyperlink ref="A2560" r:id="rId2341" display="https://webagentes.canaldirecto.com.ar/incidents/view/776185-4" xr:uid="{00000000-0004-0000-0300-000024090000}"/>
    <hyperlink ref="A2554" r:id="rId2342" display="https://webagentes.canaldirecto.com.ar/incidents/view/776115-5" xr:uid="{00000000-0004-0000-0300-000025090000}"/>
    <hyperlink ref="A2555" r:id="rId2343" display="https://webagentes.canaldirecto.com.ar/incidents/view/776114-6" xr:uid="{00000000-0004-0000-0300-000026090000}"/>
    <hyperlink ref="A2567" r:id="rId2344" display="https://webagentes.canaldirecto.com.ar/incidents/view/776053-6" xr:uid="{00000000-0004-0000-0300-000027090000}"/>
    <hyperlink ref="A2553" r:id="rId2345" display="https://webagentes.canaldirecto.com.ar/incidents/view/776051-8" xr:uid="{00000000-0004-0000-0300-000028090000}"/>
    <hyperlink ref="A2556" r:id="rId2346" display="https://webagentes.canaldirecto.com.ar/incidents/view/776032-3" xr:uid="{00000000-0004-0000-0300-000029090000}"/>
    <hyperlink ref="A2548" r:id="rId2347" display="https://webagentes.canaldirecto.com.ar/incidents/view/776025-3" xr:uid="{00000000-0004-0000-0300-00002A090000}"/>
    <hyperlink ref="A2549" r:id="rId2348" display="https://webagentes.canaldirecto.com.ar/incidents/view/776024-4" xr:uid="{00000000-0004-0000-0300-00002B090000}"/>
    <hyperlink ref="A2561" r:id="rId2349" display="https://webagentes.canaldirecto.com.ar/incidents/view/776012-9" xr:uid="{00000000-0004-0000-0300-00002C090000}"/>
    <hyperlink ref="A2558" r:id="rId2350" display="https://webagentes.canaldirecto.com.ar/incidents/view/775976-1" xr:uid="{00000000-0004-0000-0300-00002D090000}"/>
    <hyperlink ref="A2550" r:id="rId2351" display="https://webagentes.canaldirecto.com.ar/incidents/view/775954-9" xr:uid="{00000000-0004-0000-0300-00002E090000}"/>
    <hyperlink ref="A2543" r:id="rId2352" display="https://webagentes.canaldirecto.com.ar/incidents/view/775815-1" xr:uid="{00000000-0004-0000-0300-00002F090000}"/>
    <hyperlink ref="A2544" r:id="rId2353" display="https://webagentes.canaldirecto.com.ar/incidents/view/775788-8" xr:uid="{00000000-0004-0000-0300-000030090000}"/>
    <hyperlink ref="A2545" r:id="rId2354" display="https://webagentes.canaldirecto.com.ar/incidents/view/775787-9" xr:uid="{00000000-0004-0000-0300-000031090000}"/>
    <hyperlink ref="A2546" r:id="rId2355" display="https://webagentes.canaldirecto.com.ar/incidents/view/775786-0" xr:uid="{00000000-0004-0000-0300-000032090000}"/>
    <hyperlink ref="A2551" r:id="rId2356" display="https://webagentes.canaldirecto.com.ar/incidents/view/775691-3" xr:uid="{00000000-0004-0000-0300-000033090000}"/>
    <hyperlink ref="A2542" r:id="rId2357" display="https://webagentes.canaldirecto.com.ar/incidents/view/775293-5" xr:uid="{00000000-0004-0000-0300-000034090000}"/>
    <hyperlink ref="A2539" r:id="rId2358" display="https://webagentes.canaldirecto.com.ar/incidents/view/775286-5" xr:uid="{00000000-0004-0000-0300-000035090000}"/>
    <hyperlink ref="A2540" r:id="rId2359" display="https://webagentes.canaldirecto.com.ar/incidents/view/775266-1" xr:uid="{00000000-0004-0000-0300-000036090000}"/>
    <hyperlink ref="A2552" r:id="rId2360" display="https://webagentes.canaldirecto.com.ar/incidents/view/774991-3" xr:uid="{00000000-0004-0000-0300-000037090000}"/>
    <hyperlink ref="A2536" r:id="rId2361" display="https://webagentes.canaldirecto.com.ar/incidents/view/774857-0" xr:uid="{00000000-0004-0000-0300-000038090000}"/>
    <hyperlink ref="A2534" r:id="rId2362" display="https://webagentes.canaldirecto.com.ar/incidents/view/774634-1" xr:uid="{00000000-0004-0000-0300-000039090000}"/>
    <hyperlink ref="A2538" r:id="rId2363" display="https://webagentes.canaldirecto.com.ar/incidents/view/774582-9" xr:uid="{00000000-0004-0000-0300-00003A090000}"/>
    <hyperlink ref="A2535" r:id="rId2364" display="https://webagentes.canaldirecto.com.ar/incidents/view/774570-4" xr:uid="{00000000-0004-0000-0300-00003B090000}"/>
    <hyperlink ref="A2537" r:id="rId2365" display="https://webagentes.canaldirecto.com.ar/incidents/view/774424-6" xr:uid="{00000000-0004-0000-0300-00003C090000}"/>
    <hyperlink ref="A2547" r:id="rId2366" display="https://webagentes.canaldirecto.com.ar/incidents/view/774228-4" xr:uid="{00000000-0004-0000-0300-00003D090000}"/>
    <hyperlink ref="A2541" r:id="rId2367" display="https://webagentes.canaldirecto.com.ar/incidents/view/774192-0" xr:uid="{00000000-0004-0000-0300-00003E090000}"/>
    <hyperlink ref="A2672" r:id="rId2368" display="https://webagentes.canaldirecto.com.ar/incidents/view/780444-1" xr:uid="{00000000-0004-0000-0300-00003F090000}"/>
    <hyperlink ref="A2673" r:id="rId2369" display="https://webagentes.canaldirecto.com.ar/incidents/view/780443-2" xr:uid="{00000000-0004-0000-0300-000040090000}"/>
    <hyperlink ref="A2674" r:id="rId2370" display="https://webagentes.canaldirecto.com.ar/incidents/view/780442-3" xr:uid="{00000000-0004-0000-0300-000041090000}"/>
    <hyperlink ref="A2675" r:id="rId2371" display="https://webagentes.canaldirecto.com.ar/incidents/view/780440-5" xr:uid="{00000000-0004-0000-0300-000042090000}"/>
    <hyperlink ref="A2676" r:id="rId2372" display="https://webagentes.canaldirecto.com.ar/incidents/view/780439-9" xr:uid="{00000000-0004-0000-0300-000043090000}"/>
    <hyperlink ref="A2677" r:id="rId2373" display="https://webagentes.canaldirecto.com.ar/incidents/view/780423-8" xr:uid="{00000000-0004-0000-0300-000044090000}"/>
    <hyperlink ref="A2614" r:id="rId2374" display="https://webagentes.canaldirecto.com.ar/incidents/view/780352-1" xr:uid="{00000000-0004-0000-0300-000045090000}"/>
    <hyperlink ref="A2615" r:id="rId2375" display="https://webagentes.canaldirecto.com.ar/incidents/view/780351-2" xr:uid="{00000000-0004-0000-0300-000046090000}"/>
    <hyperlink ref="A2671" r:id="rId2376" display="https://webagentes.canaldirecto.com.ar/incidents/view/780267-4" xr:uid="{00000000-0004-0000-0300-000047090000}"/>
    <hyperlink ref="A2678" r:id="rId2377" display="https://webagentes.canaldirecto.com.ar/incidents/view/780239-1" xr:uid="{00000000-0004-0000-0300-000048090000}"/>
    <hyperlink ref="A2679" r:id="rId2378" display="https://webagentes.canaldirecto.com.ar/incidents/view/780238-2" xr:uid="{00000000-0004-0000-0300-000049090000}"/>
    <hyperlink ref="A2680" r:id="rId2379" display="https://webagentes.canaldirecto.com.ar/incidents/view/780237-3" xr:uid="{00000000-0004-0000-0300-00004A090000}"/>
    <hyperlink ref="A2681" r:id="rId2380" display="https://webagentes.canaldirecto.com.ar/incidents/view/780236-4" xr:uid="{00000000-0004-0000-0300-00004B090000}"/>
    <hyperlink ref="A2664" r:id="rId2381" display="https://webagentes.canaldirecto.com.ar/incidents/view/780128-6" xr:uid="{00000000-0004-0000-0300-00004C090000}"/>
    <hyperlink ref="A2665" r:id="rId2382" display="https://webagentes.canaldirecto.com.ar/incidents/view/780125-9" xr:uid="{00000000-0004-0000-0300-00004D090000}"/>
    <hyperlink ref="A2666" r:id="rId2383" display="https://webagentes.canaldirecto.com.ar/incidents/view/780124-0" xr:uid="{00000000-0004-0000-0300-00004E090000}"/>
    <hyperlink ref="A2667" r:id="rId2384" display="https://webagentes.canaldirecto.com.ar/incidents/view/780123-1" xr:uid="{00000000-0004-0000-0300-00004F090000}"/>
    <hyperlink ref="A2668" r:id="rId2385" display="https://webagentes.canaldirecto.com.ar/incidents/view/780122-2" xr:uid="{00000000-0004-0000-0300-000050090000}"/>
    <hyperlink ref="A2669" r:id="rId2386" display="https://webagentes.canaldirecto.com.ar/incidents/view/779955-6" xr:uid="{00000000-0004-0000-0300-000051090000}"/>
    <hyperlink ref="A2659" r:id="rId2387" display="https://webagentes.canaldirecto.com.ar/incidents/view/779822-9" xr:uid="{00000000-0004-0000-0300-000052090000}"/>
    <hyperlink ref="A2670" r:id="rId2388" display="https://webagentes.canaldirecto.com.ar/incidents/view/779821-0" xr:uid="{00000000-0004-0000-0300-000053090000}"/>
    <hyperlink ref="A2660" r:id="rId2389" display="https://webagentes.canaldirecto.com.ar/incidents/view/779820-1" xr:uid="{00000000-0004-0000-0300-000054090000}"/>
    <hyperlink ref="A2661" r:id="rId2390" display="https://webagentes.canaldirecto.com.ar/incidents/view/779819-5" xr:uid="{00000000-0004-0000-0300-000055090000}"/>
    <hyperlink ref="A2662" r:id="rId2391" display="https://webagentes.canaldirecto.com.ar/incidents/view/779818-6" xr:uid="{00000000-0004-0000-0300-000056090000}"/>
    <hyperlink ref="A2663" r:id="rId2392" display="https://webagentes.canaldirecto.com.ar/incidents/view/779817-7" xr:uid="{00000000-0004-0000-0300-000057090000}"/>
    <hyperlink ref="A2650" r:id="rId2393" display="https://webagentes.canaldirecto.com.ar/incidents/view/779784-0" xr:uid="{00000000-0004-0000-0300-000058090000}"/>
    <hyperlink ref="A2640" r:id="rId2394" display="https://webagentes.canaldirecto.com.ar/incidents/view/779747-9" xr:uid="{00000000-0004-0000-0300-000059090000}"/>
    <hyperlink ref="A2641" r:id="rId2395" display="https://webagentes.canaldirecto.com.ar/incidents/view/779745-1" xr:uid="{00000000-0004-0000-0300-00005A090000}"/>
    <hyperlink ref="A2642" r:id="rId2396" display="https://webagentes.canaldirecto.com.ar/incidents/view/779744-2" xr:uid="{00000000-0004-0000-0300-00005B090000}"/>
    <hyperlink ref="A2643" r:id="rId2397" display="https://webagentes.canaldirecto.com.ar/incidents/view/779743-3" xr:uid="{00000000-0004-0000-0300-00005C090000}"/>
    <hyperlink ref="A2644" r:id="rId2398" display="https://webagentes.canaldirecto.com.ar/incidents/view/779742-4" xr:uid="{00000000-0004-0000-0300-00005D090000}"/>
    <hyperlink ref="A2645" r:id="rId2399" display="https://webagentes.canaldirecto.com.ar/incidents/view/779741-5" xr:uid="{00000000-0004-0000-0300-00005E090000}"/>
    <hyperlink ref="A2646" r:id="rId2400" display="https://webagentes.canaldirecto.com.ar/incidents/view/779740-6" xr:uid="{00000000-0004-0000-0300-00005F090000}"/>
    <hyperlink ref="A2647" r:id="rId2401" display="https://webagentes.canaldirecto.com.ar/incidents/view/779739-0" xr:uid="{00000000-0004-0000-0300-000060090000}"/>
    <hyperlink ref="A2648" r:id="rId2402" display="https://webagentes.canaldirecto.com.ar/incidents/view/779738-1" xr:uid="{00000000-0004-0000-0300-000061090000}"/>
    <hyperlink ref="A2649" r:id="rId2403" display="https://webagentes.canaldirecto.com.ar/incidents/view/779737-2" xr:uid="{00000000-0004-0000-0300-000062090000}"/>
    <hyperlink ref="A2610" r:id="rId2404" display="https://webagentes.canaldirecto.com.ar/incidents/view/779692-0" xr:uid="{00000000-0004-0000-0300-000063090000}"/>
    <hyperlink ref="A2611" r:id="rId2405" display="https://webagentes.canaldirecto.com.ar/incidents/view/779686-9" xr:uid="{00000000-0004-0000-0300-000064090000}"/>
    <hyperlink ref="A2609" r:id="rId2406" display="https://webagentes.canaldirecto.com.ar/incidents/view/779437-5" xr:uid="{00000000-0004-0000-0300-000065090000}"/>
    <hyperlink ref="A2603" r:id="rId2407" display="https://webagentes.canaldirecto.com.ar/incidents/view/779410-8" xr:uid="{00000000-0004-0000-0300-000066090000}"/>
    <hyperlink ref="A2604" r:id="rId2408" display="https://webagentes.canaldirecto.com.ar/incidents/view/779407-4" xr:uid="{00000000-0004-0000-0300-000067090000}"/>
    <hyperlink ref="A2626" r:id="rId2409" display="https://webagentes.canaldirecto.com.ar/incidents/view/779288-1" xr:uid="{00000000-0004-0000-0300-000068090000}"/>
    <hyperlink ref="A2627" r:id="rId2410" display="https://webagentes.canaldirecto.com.ar/incidents/view/779287-2" xr:uid="{00000000-0004-0000-0300-000069090000}"/>
    <hyperlink ref="A2628" r:id="rId2411" display="https://webagentes.canaldirecto.com.ar/incidents/view/779286-3" xr:uid="{00000000-0004-0000-0300-00006A090000}"/>
    <hyperlink ref="A2629" r:id="rId2412" display="https://webagentes.canaldirecto.com.ar/incidents/view/779285-4" xr:uid="{00000000-0004-0000-0300-00006B090000}"/>
    <hyperlink ref="A2651" r:id="rId2413" display="https://webagentes.canaldirecto.com.ar/incidents/view/779284-5" xr:uid="{00000000-0004-0000-0300-00006C090000}"/>
    <hyperlink ref="A2630" r:id="rId2414" display="https://webagentes.canaldirecto.com.ar/incidents/view/779283-6" xr:uid="{00000000-0004-0000-0300-00006D090000}"/>
    <hyperlink ref="A2652" r:id="rId2415" display="https://webagentes.canaldirecto.com.ar/incidents/view/779280-9" xr:uid="{00000000-0004-0000-0300-00006E090000}"/>
    <hyperlink ref="A2653" r:id="rId2416" display="https://webagentes.canaldirecto.com.ar/incidents/view/779279-3" xr:uid="{00000000-0004-0000-0300-00006F090000}"/>
    <hyperlink ref="A2654" r:id="rId2417" display="https://webagentes.canaldirecto.com.ar/incidents/view/779277-5" xr:uid="{00000000-0004-0000-0300-000070090000}"/>
    <hyperlink ref="A2655" r:id="rId2418" display="https://webagentes.canaldirecto.com.ar/incidents/view/779276-6" xr:uid="{00000000-0004-0000-0300-000071090000}"/>
    <hyperlink ref="A2656" r:id="rId2419" display="https://webagentes.canaldirecto.com.ar/incidents/view/779275-7" xr:uid="{00000000-0004-0000-0300-000072090000}"/>
    <hyperlink ref="A2657" r:id="rId2420" display="https://webagentes.canaldirecto.com.ar/incidents/view/779274-8" xr:uid="{00000000-0004-0000-0300-000073090000}"/>
    <hyperlink ref="A2658" r:id="rId2421" display="https://webagentes.canaldirecto.com.ar/incidents/view/779273-9" xr:uid="{00000000-0004-0000-0300-000074090000}"/>
    <hyperlink ref="A2631" r:id="rId2422" display="https://webagentes.canaldirecto.com.ar/incidents/view/779271-1" xr:uid="{00000000-0004-0000-0300-000075090000}"/>
    <hyperlink ref="A2632" r:id="rId2423" display="https://webagentes.canaldirecto.com.ar/incidents/view/779270-2" xr:uid="{00000000-0004-0000-0300-000076090000}"/>
    <hyperlink ref="A2633" r:id="rId2424" display="https://webagentes.canaldirecto.com.ar/incidents/view/779269-6" xr:uid="{00000000-0004-0000-0300-000077090000}"/>
    <hyperlink ref="A2634" r:id="rId2425" display="https://webagentes.canaldirecto.com.ar/incidents/view/779267-8" xr:uid="{00000000-0004-0000-0300-000078090000}"/>
    <hyperlink ref="A2635" r:id="rId2426" display="https://webagentes.canaldirecto.com.ar/incidents/view/779266-9" xr:uid="{00000000-0004-0000-0300-000079090000}"/>
    <hyperlink ref="A2636" r:id="rId2427" display="https://webagentes.canaldirecto.com.ar/incidents/view/779265-0" xr:uid="{00000000-0004-0000-0300-00007A090000}"/>
    <hyperlink ref="A2637" r:id="rId2428" display="https://webagentes.canaldirecto.com.ar/incidents/view/779264-1" xr:uid="{00000000-0004-0000-0300-00007B090000}"/>
    <hyperlink ref="A2638" r:id="rId2429" display="https://webagentes.canaldirecto.com.ar/incidents/view/779263-2" xr:uid="{00000000-0004-0000-0300-00007C090000}"/>
    <hyperlink ref="A2639" r:id="rId2430" display="https://webagentes.canaldirecto.com.ar/incidents/view/779260-5" xr:uid="{00000000-0004-0000-0300-00007D090000}"/>
    <hyperlink ref="A2605" r:id="rId2431" display="https://webagentes.canaldirecto.com.ar/incidents/view/779255-3" xr:uid="{00000000-0004-0000-0300-00007E090000}"/>
    <hyperlink ref="A2606" r:id="rId2432" display="https://webagentes.canaldirecto.com.ar/incidents/view/779209-4" xr:uid="{00000000-0004-0000-0300-00007F090000}"/>
    <hyperlink ref="A2600" r:id="rId2433" display="https://webagentes.canaldirecto.com.ar/incidents/view/779186-4" xr:uid="{00000000-0004-0000-0300-000080090000}"/>
    <hyperlink ref="A2602" r:id="rId2434" display="https://webagentes.canaldirecto.com.ar/incidents/view/779160-6" xr:uid="{00000000-0004-0000-0300-000081090000}"/>
    <hyperlink ref="A2618" r:id="rId2435" display="https://webagentes.canaldirecto.com.ar/incidents/view/779142-0" xr:uid="{00000000-0004-0000-0300-000082090000}"/>
    <hyperlink ref="A2619" r:id="rId2436" display="https://webagentes.canaldirecto.com.ar/incidents/view/779141-1" xr:uid="{00000000-0004-0000-0300-000083090000}"/>
    <hyperlink ref="A2620" r:id="rId2437" display="https://webagentes.canaldirecto.com.ar/incidents/view/779140-2" xr:uid="{00000000-0004-0000-0300-000084090000}"/>
    <hyperlink ref="A2621" r:id="rId2438" display="https://webagentes.canaldirecto.com.ar/incidents/view/779138-7" xr:uid="{00000000-0004-0000-0300-000085090000}"/>
    <hyperlink ref="A2622" r:id="rId2439" display="https://webagentes.canaldirecto.com.ar/incidents/view/779137-8" xr:uid="{00000000-0004-0000-0300-000086090000}"/>
    <hyperlink ref="A2623" r:id="rId2440" display="https://webagentes.canaldirecto.com.ar/incidents/view/779136-9" xr:uid="{00000000-0004-0000-0300-000087090000}"/>
    <hyperlink ref="A2624" r:id="rId2441" display="https://webagentes.canaldirecto.com.ar/incidents/view/779135-0" xr:uid="{00000000-0004-0000-0300-000088090000}"/>
    <hyperlink ref="A2625" r:id="rId2442" display="https://webagentes.canaldirecto.com.ar/incidents/view/779134-1" xr:uid="{00000000-0004-0000-0300-000089090000}"/>
    <hyperlink ref="A2599" r:id="rId2443" display="https://webagentes.canaldirecto.com.ar/incidents/view/779054-6" xr:uid="{00000000-0004-0000-0300-00008A090000}"/>
    <hyperlink ref="A2607" r:id="rId2444" display="https://webagentes.canaldirecto.com.ar/incidents/view/779021-8" xr:uid="{00000000-0004-0000-0300-00008B090000}"/>
    <hyperlink ref="A2612" r:id="rId2445" display="https://webagentes.canaldirecto.com.ar/incidents/view/779016-6" xr:uid="{00000000-0004-0000-0300-00008C090000}"/>
    <hyperlink ref="A2595" r:id="rId2446" display="https://webagentes.canaldirecto.com.ar/incidents/view/778786-1" xr:uid="{00000000-0004-0000-0300-00008D090000}"/>
    <hyperlink ref="A2598" r:id="rId2447" display="https://webagentes.canaldirecto.com.ar/incidents/view/778741-8" xr:uid="{00000000-0004-0000-0300-00008E090000}"/>
    <hyperlink ref="A2596" r:id="rId2448" display="https://webagentes.canaldirecto.com.ar/incidents/view/778697-8" xr:uid="{00000000-0004-0000-0300-00008F090000}"/>
    <hyperlink ref="A2597" r:id="rId2449" display="https://webagentes.canaldirecto.com.ar/incidents/view/778691-4" xr:uid="{00000000-0004-0000-0300-000090090000}"/>
    <hyperlink ref="A2593" r:id="rId2450" display="https://webagentes.canaldirecto.com.ar/incidents/view/778658-9" xr:uid="{00000000-0004-0000-0300-000091090000}"/>
    <hyperlink ref="A2592" r:id="rId2451" display="https://webagentes.canaldirecto.com.ar/incidents/view/778396-2" xr:uid="{00000000-0004-0000-0300-000092090000}"/>
    <hyperlink ref="A2589" r:id="rId2452" display="https://webagentes.canaldirecto.com.ar/incidents/view/778202-4" xr:uid="{00000000-0004-0000-0300-000093090000}"/>
    <hyperlink ref="A2591" r:id="rId2453" display="https://webagentes.canaldirecto.com.ar/incidents/view/778121-0" xr:uid="{00000000-0004-0000-0300-000094090000}"/>
    <hyperlink ref="A2608" r:id="rId2454" display="https://webagentes.canaldirecto.com.ar/incidents/view/778110-4" xr:uid="{00000000-0004-0000-0300-000095090000}"/>
    <hyperlink ref="A2601" r:id="rId2455" display="https://webagentes.canaldirecto.com.ar/incidents/view/778109-8" xr:uid="{00000000-0004-0000-0300-000096090000}"/>
    <hyperlink ref="A2590" r:id="rId2456" display="https://webagentes.canaldirecto.com.ar/incidents/view/778058-5" xr:uid="{00000000-0004-0000-0300-000097090000}"/>
    <hyperlink ref="A2583" r:id="rId2457" display="https://webagentes.canaldirecto.com.ar/incidents/view/777810-0" xr:uid="{00000000-0004-0000-0300-000098090000}"/>
    <hyperlink ref="A2584" r:id="rId2458" display="https://webagentes.canaldirecto.com.ar/incidents/view/777809-4" xr:uid="{00000000-0004-0000-0300-000099090000}"/>
    <hyperlink ref="A2585" r:id="rId2459" display="https://webagentes.canaldirecto.com.ar/incidents/view/777808-5" xr:uid="{00000000-0004-0000-0300-00009A090000}"/>
    <hyperlink ref="A2586" r:id="rId2460" display="https://webagentes.canaldirecto.com.ar/incidents/view/777807-6" xr:uid="{00000000-0004-0000-0300-00009B090000}"/>
    <hyperlink ref="A2587" r:id="rId2461" display="https://webagentes.canaldirecto.com.ar/incidents/view/777806-7" xr:uid="{00000000-0004-0000-0300-00009C090000}"/>
    <hyperlink ref="A2588" r:id="rId2462" display="https://webagentes.canaldirecto.com.ar/incidents/view/777805-8" xr:uid="{00000000-0004-0000-0300-00009D090000}"/>
    <hyperlink ref="A2580" r:id="rId2463" display="https://webagentes.canaldirecto.com.ar/incidents/view/777740-2" xr:uid="{00000000-0004-0000-0300-00009E090000}"/>
    <hyperlink ref="A2581" r:id="rId2464" display="https://webagentes.canaldirecto.com.ar/incidents/view/777739-6" xr:uid="{00000000-0004-0000-0300-00009F090000}"/>
    <hyperlink ref="A2582" r:id="rId2465" display="https://webagentes.canaldirecto.com.ar/incidents/view/777405-2" xr:uid="{00000000-0004-0000-0300-0000A0090000}"/>
    <hyperlink ref="A2576" r:id="rId2466" display="https://webagentes.canaldirecto.com.ar/incidents/view/777403-4" xr:uid="{00000000-0004-0000-0300-0000A1090000}"/>
    <hyperlink ref="A2594" r:id="rId2467" display="https://webagentes.canaldirecto.com.ar/incidents/view/777324-8" xr:uid="{00000000-0004-0000-0300-0000A2090000}"/>
    <hyperlink ref="A2575" r:id="rId2468" display="https://webagentes.canaldirecto.com.ar/incidents/view/777259-5" xr:uid="{00000000-0004-0000-0300-0000A3090000}"/>
    <hyperlink ref="A2577" r:id="rId2469" display="https://webagentes.canaldirecto.com.ar/incidents/view/776966-1" xr:uid="{00000000-0004-0000-0300-0000A4090000}"/>
    <hyperlink ref="A2613" r:id="rId2470" display="https://webagentes.canaldirecto.com.ar/incidents/view/776894-5" xr:uid="{00000000-0004-0000-0300-0000A5090000}"/>
    <hyperlink ref="A2578" r:id="rId2471" display="https://webagentes.canaldirecto.com.ar/incidents/view/776870-5" xr:uid="{00000000-0004-0000-0300-0000A6090000}"/>
    <hyperlink ref="A2579" r:id="rId2472" display="https://webagentes.canaldirecto.com.ar/incidents/view/774919-9" xr:uid="{00000000-0004-0000-0300-0000A7090000}"/>
    <hyperlink ref="A2750" r:id="rId2473" display="https://webagentes.canaldirecto.com.ar/incidents/view/782769-1" xr:uid="{00000000-0004-0000-0300-0000A8090000}"/>
    <hyperlink ref="A2751" r:id="rId2474" display="https://webagentes.canaldirecto.com.ar/incidents/view/782752-1" xr:uid="{00000000-0004-0000-0300-0000A9090000}"/>
    <hyperlink ref="A2752" r:id="rId2475" display="https://webagentes.canaldirecto.com.ar/incidents/view/782751-2" xr:uid="{00000000-0004-0000-0300-0000AA090000}"/>
    <hyperlink ref="A2753" r:id="rId2476" display="https://webagentes.canaldirecto.com.ar/incidents/view/782750-3" xr:uid="{00000000-0004-0000-0300-0000AB090000}"/>
    <hyperlink ref="A2754" r:id="rId2477" display="https://webagentes.canaldirecto.com.ar/incidents/view/782749-7" xr:uid="{00000000-0004-0000-0300-0000AC090000}"/>
    <hyperlink ref="A2755" r:id="rId2478" display="https://webagentes.canaldirecto.com.ar/incidents/view/782748-8" xr:uid="{00000000-0004-0000-0300-0000AD090000}"/>
    <hyperlink ref="A2756" r:id="rId2479" display="https://webagentes.canaldirecto.com.ar/incidents/view/782747-9" xr:uid="{00000000-0004-0000-0300-0000AE090000}"/>
    <hyperlink ref="A2757" r:id="rId2480" display="https://webagentes.canaldirecto.com.ar/incidents/view/782745-1" xr:uid="{00000000-0004-0000-0300-0000AF090000}"/>
    <hyperlink ref="A2758" r:id="rId2481" display="https://webagentes.canaldirecto.com.ar/incidents/view/782744-2" xr:uid="{00000000-0004-0000-0300-0000B0090000}"/>
    <hyperlink ref="A2759" r:id="rId2482" display="https://webagentes.canaldirecto.com.ar/incidents/view/782743-3" xr:uid="{00000000-0004-0000-0300-0000B1090000}"/>
    <hyperlink ref="A2760" r:id="rId2483" display="https://webagentes.canaldirecto.com.ar/incidents/view/782742-4" xr:uid="{00000000-0004-0000-0300-0000B2090000}"/>
    <hyperlink ref="A2761" r:id="rId2484" display="https://webagentes.canaldirecto.com.ar/incidents/view/782741-5" xr:uid="{00000000-0004-0000-0300-0000B3090000}"/>
    <hyperlink ref="A2762" r:id="rId2485" display="https://webagentes.canaldirecto.com.ar/incidents/view/782740-6" xr:uid="{00000000-0004-0000-0300-0000B4090000}"/>
    <hyperlink ref="A2763" r:id="rId2486" display="https://webagentes.canaldirecto.com.ar/incidents/view/782739-0" xr:uid="{00000000-0004-0000-0300-0000B5090000}"/>
    <hyperlink ref="A2764" r:id="rId2487" display="https://webagentes.canaldirecto.com.ar/incidents/view/782737-2" xr:uid="{00000000-0004-0000-0300-0000B6090000}"/>
    <hyperlink ref="A2765" r:id="rId2488" display="https://webagentes.canaldirecto.com.ar/incidents/view/782736-3" xr:uid="{00000000-0004-0000-0300-0000B7090000}"/>
    <hyperlink ref="A2766" r:id="rId2489" display="https://webagentes.canaldirecto.com.ar/incidents/view/782735-4" xr:uid="{00000000-0004-0000-0300-0000B8090000}"/>
    <hyperlink ref="A2767" r:id="rId2490" display="https://webagentes.canaldirecto.com.ar/incidents/view/782734-5" xr:uid="{00000000-0004-0000-0300-0000B9090000}"/>
    <hyperlink ref="A2768" r:id="rId2491" display="https://webagentes.canaldirecto.com.ar/incidents/view/782733-6" xr:uid="{00000000-0004-0000-0300-0000BA090000}"/>
    <hyperlink ref="A2769" r:id="rId2492" display="https://webagentes.canaldirecto.com.ar/incidents/view/782731-8" xr:uid="{00000000-0004-0000-0300-0000BB090000}"/>
    <hyperlink ref="A2770" r:id="rId2493" display="https://webagentes.canaldirecto.com.ar/incidents/view/782729-3" xr:uid="{00000000-0004-0000-0300-0000BC090000}"/>
    <hyperlink ref="A2711" r:id="rId2494" display="https://webagentes.canaldirecto.com.ar/incidents/view/782677-1" xr:uid="{00000000-0004-0000-0300-0000BD090000}"/>
    <hyperlink ref="A2708" r:id="rId2495" display="https://webagentes.canaldirecto.com.ar/incidents/view/782666-5" xr:uid="{00000000-0004-0000-0300-0000BE090000}"/>
    <hyperlink ref="A2709" r:id="rId2496" display="https://webagentes.canaldirecto.com.ar/incidents/view/782325-1" xr:uid="{00000000-0004-0000-0300-0000BF090000}"/>
    <hyperlink ref="A2707" r:id="rId2497" display="https://webagentes.canaldirecto.com.ar/incidents/view/782290-6" xr:uid="{00000000-0004-0000-0300-0000C0090000}"/>
    <hyperlink ref="A2704" r:id="rId2498" display="https://webagentes.canaldirecto.com.ar/incidents/view/782264-1" xr:uid="{00000000-0004-0000-0300-0000C1090000}"/>
    <hyperlink ref="A2705" r:id="rId2499" display="https://webagentes.canaldirecto.com.ar/incidents/view/782259-9" xr:uid="{00000000-0004-0000-0300-0000C2090000}"/>
    <hyperlink ref="A2710" r:id="rId2500" display="https://webagentes.canaldirecto.com.ar/incidents/view/782250-8" xr:uid="{00000000-0004-0000-0300-0000C3090000}"/>
    <hyperlink ref="A2736" r:id="rId2501" display="https://webagentes.canaldirecto.com.ar/incidents/view/782237-7" xr:uid="{00000000-0004-0000-0300-0000C4090000}"/>
    <hyperlink ref="A2737" r:id="rId2502" display="https://webagentes.canaldirecto.com.ar/incidents/view/782236-8" xr:uid="{00000000-0004-0000-0300-0000C5090000}"/>
    <hyperlink ref="A2738" r:id="rId2503" display="https://webagentes.canaldirecto.com.ar/incidents/view/782235-9" xr:uid="{00000000-0004-0000-0300-0000C6090000}"/>
    <hyperlink ref="A2739" r:id="rId2504" display="https://webagentes.canaldirecto.com.ar/incidents/view/782234-0" xr:uid="{00000000-0004-0000-0300-0000C7090000}"/>
    <hyperlink ref="A2740" r:id="rId2505" display="https://webagentes.canaldirecto.com.ar/incidents/view/782233-1" xr:uid="{00000000-0004-0000-0300-0000C8090000}"/>
    <hyperlink ref="A2741" r:id="rId2506" display="https://webagentes.canaldirecto.com.ar/incidents/view/782231-3" xr:uid="{00000000-0004-0000-0300-0000C9090000}"/>
    <hyperlink ref="A2742" r:id="rId2507" display="https://webagentes.canaldirecto.com.ar/incidents/view/782230-4" xr:uid="{00000000-0004-0000-0300-0000CA090000}"/>
    <hyperlink ref="A2743" r:id="rId2508" display="https://webagentes.canaldirecto.com.ar/incidents/view/782229-8" xr:uid="{00000000-0004-0000-0300-0000CB090000}"/>
    <hyperlink ref="A2744" r:id="rId2509" display="https://webagentes.canaldirecto.com.ar/incidents/view/782228-9" xr:uid="{00000000-0004-0000-0300-0000CC090000}"/>
    <hyperlink ref="A2706" r:id="rId2510" display="https://webagentes.canaldirecto.com.ar/incidents/view/782160-6" xr:uid="{00000000-0004-0000-0300-0000CD090000}"/>
    <hyperlink ref="A2745" r:id="rId2511" display="https://webagentes.canaldirecto.com.ar/incidents/view/782125-3" xr:uid="{00000000-0004-0000-0300-0000CE090000}"/>
    <hyperlink ref="A2746" r:id="rId2512" display="https://webagentes.canaldirecto.com.ar/incidents/view/782124-4" xr:uid="{00000000-0004-0000-0300-0000CF090000}"/>
    <hyperlink ref="A2731" r:id="rId2513" display="https://webagentes.canaldirecto.com.ar/incidents/view/782122-6" xr:uid="{00000000-0004-0000-0300-0000D0090000}"/>
    <hyperlink ref="A2732" r:id="rId2514" display="https://webagentes.canaldirecto.com.ar/incidents/view/782121-7" xr:uid="{00000000-0004-0000-0300-0000D1090000}"/>
    <hyperlink ref="A2733" r:id="rId2515" display="https://webagentes.canaldirecto.com.ar/incidents/view/782119-2" xr:uid="{00000000-0004-0000-0300-0000D2090000}"/>
    <hyperlink ref="A2734" r:id="rId2516" display="https://webagentes.canaldirecto.com.ar/incidents/view/782117-4" xr:uid="{00000000-0004-0000-0300-0000D3090000}"/>
    <hyperlink ref="A2735" r:id="rId2517" display="https://webagentes.canaldirecto.com.ar/incidents/view/782116-5" xr:uid="{00000000-0004-0000-0300-0000D4090000}"/>
    <hyperlink ref="A2747" r:id="rId2518" display="https://webagentes.canaldirecto.com.ar/incidents/view/782093-5" xr:uid="{00000000-0004-0000-0300-0000D5090000}"/>
    <hyperlink ref="A2748" r:id="rId2519" display="https://webagentes.canaldirecto.com.ar/incidents/view/782041-2" xr:uid="{00000000-0004-0000-0300-0000D6090000}"/>
    <hyperlink ref="A2749" r:id="rId2520" display="https://webagentes.canaldirecto.com.ar/incidents/view/782040-3" xr:uid="{00000000-0004-0000-0300-0000D7090000}"/>
    <hyperlink ref="A2702" r:id="rId2521" display="https://webagentes.canaldirecto.com.ar/incidents/view/782036-0" xr:uid="{00000000-0004-0000-0300-0000D8090000}"/>
    <hyperlink ref="A2699" r:id="rId2522" display="https://webagentes.canaldirecto.com.ar/incidents/view/781808-2" xr:uid="{00000000-0004-0000-0300-0000D9090000}"/>
    <hyperlink ref="A2700" r:id="rId2523" display="https://webagentes.canaldirecto.com.ar/incidents/view/781728-7" xr:uid="{00000000-0004-0000-0300-0000DA090000}"/>
    <hyperlink ref="A2703" r:id="rId2524" display="https://webagentes.canaldirecto.com.ar/incidents/view/781720-5" xr:uid="{00000000-0004-0000-0300-0000DB090000}"/>
    <hyperlink ref="A2724" r:id="rId2525" display="https://webagentes.canaldirecto.com.ar/incidents/view/781667-7" xr:uid="{00000000-0004-0000-0300-0000DC090000}"/>
    <hyperlink ref="A2725" r:id="rId2526" display="https://webagentes.canaldirecto.com.ar/incidents/view/781666-8" xr:uid="{00000000-0004-0000-0300-0000DD090000}"/>
    <hyperlink ref="A2726" r:id="rId2527" display="https://webagentes.canaldirecto.com.ar/incidents/view/781665-9" xr:uid="{00000000-0004-0000-0300-0000DE090000}"/>
    <hyperlink ref="A2727" r:id="rId2528" display="https://webagentes.canaldirecto.com.ar/incidents/view/781664-0" xr:uid="{00000000-0004-0000-0300-0000DF090000}"/>
    <hyperlink ref="A2728" r:id="rId2529" display="https://webagentes.canaldirecto.com.ar/incidents/view/781663-1" xr:uid="{00000000-0004-0000-0300-0000E0090000}"/>
    <hyperlink ref="A2729" r:id="rId2530" display="https://webagentes.canaldirecto.com.ar/incidents/view/781662-2" xr:uid="{00000000-0004-0000-0300-0000E1090000}"/>
    <hyperlink ref="A2730" r:id="rId2531" display="https://webagentes.canaldirecto.com.ar/incidents/view/781631-2" xr:uid="{00000000-0004-0000-0300-0000E2090000}"/>
    <hyperlink ref="A2698" r:id="rId2532" display="https://webagentes.canaldirecto.com.ar/incidents/view/781230-7" xr:uid="{00000000-0004-0000-0300-0000E3090000}"/>
    <hyperlink ref="A2723" r:id="rId2533" display="https://webagentes.canaldirecto.com.ar/incidents/view/781212-1" xr:uid="{00000000-0004-0000-0300-0000E4090000}"/>
    <hyperlink ref="A2696" r:id="rId2534" display="https://webagentes.canaldirecto.com.ar/incidents/view/781198-2" xr:uid="{00000000-0004-0000-0300-0000E5090000}"/>
    <hyperlink ref="A2697" r:id="rId2535" display="https://webagentes.canaldirecto.com.ar/incidents/view/781197-3" xr:uid="{00000000-0004-0000-0300-0000E6090000}"/>
    <hyperlink ref="A2715" r:id="rId2536" display="https://webagentes.canaldirecto.com.ar/incidents/view/781121-0" xr:uid="{00000000-0004-0000-0300-0000E7090000}"/>
    <hyperlink ref="A2716" r:id="rId2537" display="https://webagentes.canaldirecto.com.ar/incidents/view/781120-1" xr:uid="{00000000-0004-0000-0300-0000E8090000}"/>
    <hyperlink ref="A2717" r:id="rId2538" display="https://webagentes.canaldirecto.com.ar/incidents/view/781119-5" xr:uid="{00000000-0004-0000-0300-0000E9090000}"/>
    <hyperlink ref="A2694" r:id="rId2539" display="https://webagentes.canaldirecto.com.ar/incidents/view/780928-8" xr:uid="{00000000-0004-0000-0300-0000EA090000}"/>
    <hyperlink ref="A2688" r:id="rId2540" display="https://webagentes.canaldirecto.com.ar/incidents/view/780751-8" xr:uid="{00000000-0004-0000-0300-0000EB090000}"/>
    <hyperlink ref="A2695" r:id="rId2541" display="https://webagentes.canaldirecto.com.ar/incidents/view/780714-7" xr:uid="{00000000-0004-0000-0300-0000EC090000}"/>
    <hyperlink ref="A2690" r:id="rId2542" display="https://webagentes.canaldirecto.com.ar/incidents/view/780535-2" xr:uid="{00000000-0004-0000-0300-0000ED090000}"/>
    <hyperlink ref="A2691" r:id="rId2543" display="https://webagentes.canaldirecto.com.ar/incidents/view/780474-2" xr:uid="{00000000-0004-0000-0300-0000EE090000}"/>
    <hyperlink ref="A2692" r:id="rId2544" display="https://webagentes.canaldirecto.com.ar/incidents/view/780405-2" xr:uid="{00000000-0004-0000-0300-0000EF090000}"/>
    <hyperlink ref="A2718" r:id="rId2545" display="https://webagentes.canaldirecto.com.ar/incidents/view/780347-9" xr:uid="{00000000-0004-0000-0300-0000F0090000}"/>
    <hyperlink ref="A2719" r:id="rId2546" display="https://webagentes.canaldirecto.com.ar/incidents/view/780345-1" xr:uid="{00000000-0004-0000-0300-0000F1090000}"/>
    <hyperlink ref="A2720" r:id="rId2547" display="https://webagentes.canaldirecto.com.ar/incidents/view/780344-2" xr:uid="{00000000-0004-0000-0300-0000F2090000}"/>
    <hyperlink ref="A2721" r:id="rId2548" display="https://webagentes.canaldirecto.com.ar/incidents/view/780343-3" xr:uid="{00000000-0004-0000-0300-0000F3090000}"/>
    <hyperlink ref="A2722" r:id="rId2549" display="https://webagentes.canaldirecto.com.ar/incidents/view/780339-0" xr:uid="{00000000-0004-0000-0300-0000F4090000}"/>
    <hyperlink ref="A2687" r:id="rId2550" display="https://webagentes.canaldirecto.com.ar/incidents/view/780297-5" xr:uid="{00000000-0004-0000-0300-0000F5090000}"/>
    <hyperlink ref="A2689" r:id="rId2551" display="https://webagentes.canaldirecto.com.ar/incidents/view/780226-7" xr:uid="{00000000-0004-0000-0300-0000F6090000}"/>
    <hyperlink ref="A2701" r:id="rId2552" display="https://webagentes.canaldirecto.com.ar/incidents/view/780126-8" xr:uid="{00000000-0004-0000-0300-0000F7090000}"/>
    <hyperlink ref="A2693" r:id="rId2553" display="https://webagentes.canaldirecto.com.ar/incidents/view/779496-8" xr:uid="{00000000-0004-0000-0300-0000F8090000}"/>
    <hyperlink ref="A2714" r:id="rId2554" display="https://webagentes.canaldirecto.com.ar/incidents/view/779268-7" xr:uid="{00000000-0004-0000-0300-0000F9090000}"/>
    <hyperlink ref="A2686" r:id="rId2555" display="https://webagentes.canaldirecto.com.ar/incidents/view/778104-3" xr:uid="{00000000-0004-0000-0300-0000FA090000}"/>
    <hyperlink ref="A2828" r:id="rId2556" display="https://webagentes.canaldirecto.com.ar/incidents/view/785319-1" xr:uid="{00000000-0004-0000-0300-0000FB090000}"/>
    <hyperlink ref="A2829" r:id="rId2557" display="https://webagentes.canaldirecto.com.ar/incidents/view/785318-2" xr:uid="{00000000-0004-0000-0300-0000FC090000}"/>
    <hyperlink ref="A2830" r:id="rId2558" display="https://webagentes.canaldirecto.com.ar/incidents/view/785317-3" xr:uid="{00000000-0004-0000-0300-0000FD090000}"/>
    <hyperlink ref="A2831" r:id="rId2559" display="https://webagentes.canaldirecto.com.ar/incidents/view/785252-7" xr:uid="{00000000-0004-0000-0300-0000FE090000}"/>
    <hyperlink ref="A2832" r:id="rId2560" display="https://webagentes.canaldirecto.com.ar/incidents/view/785251-8" xr:uid="{00000000-0004-0000-0300-0000FF090000}"/>
    <hyperlink ref="A2801" r:id="rId2561" display="https://webagentes.canaldirecto.com.ar/incidents/view/785171-3" xr:uid="{00000000-0004-0000-0300-0000000A0000}"/>
    <hyperlink ref="A2800" r:id="rId2562" display="https://webagentes.canaldirecto.com.ar/incidents/view/784934-7" xr:uid="{00000000-0004-0000-0300-0000010A0000}"/>
    <hyperlink ref="A2797" r:id="rId2563" display="https://webagentes.canaldirecto.com.ar/incidents/view/784825-0" xr:uid="{00000000-0004-0000-0300-0000020A0000}"/>
    <hyperlink ref="A2796" r:id="rId2564" display="https://webagentes.canaldirecto.com.ar/incidents/view/784824-1" xr:uid="{00000000-0004-0000-0300-0000030A0000}"/>
    <hyperlink ref="A2798" r:id="rId2565" display="https://webagentes.canaldirecto.com.ar/incidents/view/784823-2" xr:uid="{00000000-0004-0000-0300-0000040A0000}"/>
    <hyperlink ref="A2799" r:id="rId2566" display="https://webagentes.canaldirecto.com.ar/incidents/view/784822-3" xr:uid="{00000000-0004-0000-0300-0000050A0000}"/>
    <hyperlink ref="A2794" r:id="rId2567" display="https://webagentes.canaldirecto.com.ar/incidents/view/784583-7" xr:uid="{00000000-0004-0000-0300-0000060A0000}"/>
    <hyperlink ref="A2793" r:id="rId2568" display="https://webagentes.canaldirecto.com.ar/incidents/view/784542-0" xr:uid="{00000000-0004-0000-0300-0000070A0000}"/>
    <hyperlink ref="A2791" r:id="rId2569" display="https://webagentes.canaldirecto.com.ar/incidents/view/784397-2" xr:uid="{00000000-0004-0000-0300-0000080A0000}"/>
    <hyperlink ref="A2795" r:id="rId2570" display="https://webagentes.canaldirecto.com.ar/incidents/view/784348-6" xr:uid="{00000000-0004-0000-0300-0000090A0000}"/>
    <hyperlink ref="A2792" r:id="rId2571" display="https://webagentes.canaldirecto.com.ar/incidents/view/784223-8" xr:uid="{00000000-0004-0000-0300-00000A0A0000}"/>
    <hyperlink ref="A2790" r:id="rId2572" display="https://webagentes.canaldirecto.com.ar/incidents/view/784154-9" xr:uid="{00000000-0004-0000-0300-00000B0A0000}"/>
    <hyperlink ref="A2786" r:id="rId2573" display="https://webagentes.canaldirecto.com.ar/incidents/view/784092-0" xr:uid="{00000000-0004-0000-0300-00000C0A0000}"/>
    <hyperlink ref="A2787" r:id="rId2574" display="https://webagentes.canaldirecto.com.ar/incidents/view/784090-2" xr:uid="{00000000-0004-0000-0300-00000D0A0000}"/>
    <hyperlink ref="A2788" r:id="rId2575" display="https://webagentes.canaldirecto.com.ar/incidents/view/783910-0" xr:uid="{00000000-0004-0000-0300-00000E0A0000}"/>
    <hyperlink ref="A2784" r:id="rId2576" display="https://webagentes.canaldirecto.com.ar/incidents/view/783612-1" xr:uid="{00000000-0004-0000-0300-00000F0A0000}"/>
    <hyperlink ref="A2789" r:id="rId2577" display="https://webagentes.canaldirecto.com.ar/incidents/view/783487-7" xr:uid="{00000000-0004-0000-0300-0000100A0000}"/>
    <hyperlink ref="A2783" r:id="rId2578" display="https://webagentes.canaldirecto.com.ar/incidents/view/783477-0" xr:uid="{00000000-0004-0000-0300-0000110A0000}"/>
    <hyperlink ref="A2785" r:id="rId2579" display="https://webagentes.canaldirecto.com.ar/incidents/view/783468-2" xr:uid="{00000000-0004-0000-0300-0000120A0000}"/>
    <hyperlink ref="A2782" r:id="rId2580" display="https://webagentes.canaldirecto.com.ar/incidents/view/783304-5" xr:uid="{00000000-0004-0000-0300-0000130A0000}"/>
    <hyperlink ref="A2781" r:id="rId2581" display="https://webagentes.canaldirecto.com.ar/incidents/view/783298-5" xr:uid="{00000000-0004-0000-0300-0000140A0000}"/>
    <hyperlink ref="A2810" r:id="rId2582" display="https://webagentes.canaldirecto.com.ar/incidents/view/783105-6" xr:uid="{00000000-0004-0000-0300-0000150A0000}"/>
    <hyperlink ref="A2811" r:id="rId2583" display="https://webagentes.canaldirecto.com.ar/incidents/view/783104-7" xr:uid="{00000000-0004-0000-0300-0000160A0000}"/>
    <hyperlink ref="A2825" r:id="rId2584" display="https://webagentes.canaldirecto.com.ar/incidents/view/783101-0" xr:uid="{00000000-0004-0000-0300-0000170A0000}"/>
    <hyperlink ref="A2812" r:id="rId2585" display="https://webagentes.canaldirecto.com.ar/incidents/view/783099-6" xr:uid="{00000000-0004-0000-0300-0000180A0000}"/>
    <hyperlink ref="A2813" r:id="rId2586" display="https://webagentes.canaldirecto.com.ar/incidents/view/783096-9" xr:uid="{00000000-0004-0000-0300-0000190A0000}"/>
    <hyperlink ref="A2814" r:id="rId2587" display="https://webagentes.canaldirecto.com.ar/incidents/view/783095-0" xr:uid="{00000000-0004-0000-0300-00001A0A0000}"/>
    <hyperlink ref="A2815" r:id="rId2588" display="https://webagentes.canaldirecto.com.ar/incidents/view/783093-2" xr:uid="{00000000-0004-0000-0300-00001B0A0000}"/>
    <hyperlink ref="A2816" r:id="rId2589" display="https://webagentes.canaldirecto.com.ar/incidents/view/783091-4" xr:uid="{00000000-0004-0000-0300-00001C0A0000}"/>
    <hyperlink ref="A2817" r:id="rId2590" display="https://webagentes.canaldirecto.com.ar/incidents/view/783090-5" xr:uid="{00000000-0004-0000-0300-00001D0A0000}"/>
    <hyperlink ref="A2818" r:id="rId2591" display="https://webagentes.canaldirecto.com.ar/incidents/view/783089-9" xr:uid="{00000000-0004-0000-0300-00001E0A0000}"/>
    <hyperlink ref="A2819" r:id="rId2592" display="https://webagentes.canaldirecto.com.ar/incidents/view/783088-0" xr:uid="{00000000-0004-0000-0300-00001F0A0000}"/>
    <hyperlink ref="A2820" r:id="rId2593" display="https://webagentes.canaldirecto.com.ar/incidents/view/783086-2" xr:uid="{00000000-0004-0000-0300-0000200A0000}"/>
    <hyperlink ref="A2821" r:id="rId2594" display="https://webagentes.canaldirecto.com.ar/incidents/view/783085-3" xr:uid="{00000000-0004-0000-0300-0000210A0000}"/>
    <hyperlink ref="A2822" r:id="rId2595" display="https://webagentes.canaldirecto.com.ar/incidents/view/783084-4" xr:uid="{00000000-0004-0000-0300-0000220A0000}"/>
    <hyperlink ref="A2823" r:id="rId2596" display="https://webagentes.canaldirecto.com.ar/incidents/view/783083-5" xr:uid="{00000000-0004-0000-0300-0000230A0000}"/>
    <hyperlink ref="A2824" r:id="rId2597" display="https://webagentes.canaldirecto.com.ar/incidents/view/783080-8" xr:uid="{00000000-0004-0000-0300-0000240A0000}"/>
    <hyperlink ref="A2780" r:id="rId2598" display="https://webagentes.canaldirecto.com.ar/incidents/view/783073-8" xr:uid="{00000000-0004-0000-0300-0000250A0000}"/>
    <hyperlink ref="A2806" r:id="rId2599" display="https://webagentes.canaldirecto.com.ar/incidents/view/782993-6" xr:uid="{00000000-0004-0000-0300-0000260A0000}"/>
    <hyperlink ref="A2807" r:id="rId2600" display="https://webagentes.canaldirecto.com.ar/incidents/view/782963-5" xr:uid="{00000000-0004-0000-0300-0000270A0000}"/>
    <hyperlink ref="A2776" r:id="rId2601" display="https://webagentes.canaldirecto.com.ar/incidents/view/782904-2" xr:uid="{00000000-0004-0000-0300-0000280A0000}"/>
    <hyperlink ref="A2805" r:id="rId2602" display="https://webagentes.canaldirecto.com.ar/incidents/view/782875-1" xr:uid="{00000000-0004-0000-0300-0000290A0000}"/>
    <hyperlink ref="A2808" r:id="rId2603" display="https://webagentes.canaldirecto.com.ar/incidents/view/782866-3" xr:uid="{00000000-0004-0000-0300-00002A0A0000}"/>
    <hyperlink ref="A2809" r:id="rId2604" display="https://webagentes.canaldirecto.com.ar/incidents/view/782865-4" xr:uid="{00000000-0004-0000-0300-00002B0A0000}"/>
    <hyperlink ref="A2826" r:id="rId2605" display="https://webagentes.canaldirecto.com.ar/incidents/view/782864-5" xr:uid="{00000000-0004-0000-0300-00002C0A0000}"/>
    <hyperlink ref="A2777" r:id="rId2606" display="https://webagentes.canaldirecto.com.ar/incidents/view/782754-9" xr:uid="{00000000-0004-0000-0300-00002D0A0000}"/>
    <hyperlink ref="A2778" r:id="rId2607" display="https://webagentes.canaldirecto.com.ar/incidents/view/782652-2" xr:uid="{00000000-0004-0000-0300-00002E0A0000}"/>
    <hyperlink ref="A2779" r:id="rId2608" display="https://webagentes.canaldirecto.com.ar/incidents/view/782280-9" xr:uid="{00000000-0004-0000-0300-00002F0A0000}"/>
    <hyperlink ref="A2775" r:id="rId2609" display="https://webagentes.canaldirecto.com.ar/incidents/view/782263-2" xr:uid="{00000000-0004-0000-0300-0000300A0000}"/>
    <hyperlink ref="A2802" r:id="rId2610" display="https://webagentes.canaldirecto.com.ar/incidents/view/781275-0" xr:uid="{00000000-0004-0000-0300-0000310A0000}"/>
    <hyperlink ref="A2827" r:id="rId2611" display="https://webagentes.canaldirecto.com.ar/incidents/view/780342-4" xr:uid="{00000000-0004-0000-0300-0000320A0000}"/>
    <hyperlink ref="A2873" r:id="rId2612" display="https://webagentes.canaldirecto.com.ar/incidents/view/787155-9" xr:uid="{00000000-0004-0000-0300-0000330A0000}"/>
    <hyperlink ref="A2872" r:id="rId2613" display="https://webagentes.canaldirecto.com.ar/incidents/view/787122-1" xr:uid="{00000000-0004-0000-0300-0000340A0000}"/>
    <hyperlink ref="A2889" r:id="rId2614" display="https://webagentes.canaldirecto.com.ar/incidents/view/787121-2" xr:uid="{00000000-0004-0000-0300-0000350A0000}"/>
    <hyperlink ref="A2890" r:id="rId2615" display="https://webagentes.canaldirecto.com.ar/incidents/view/787120-3" xr:uid="{00000000-0004-0000-0300-0000360A0000}"/>
    <hyperlink ref="A2891" r:id="rId2616" display="https://webagentes.canaldirecto.com.ar/incidents/view/787119-7" xr:uid="{00000000-0004-0000-0300-0000370A0000}"/>
    <hyperlink ref="A2876" r:id="rId2617" display="https://webagentes.canaldirecto.com.ar/incidents/view/787021-3" xr:uid="{00000000-0004-0000-0300-0000380A0000}"/>
    <hyperlink ref="A2877" r:id="rId2618" display="https://webagentes.canaldirecto.com.ar/incidents/view/787020-4" xr:uid="{00000000-0004-0000-0300-0000390A0000}"/>
    <hyperlink ref="A2878" r:id="rId2619" display="https://webagentes.canaldirecto.com.ar/incidents/view/787019-8" xr:uid="{00000000-0004-0000-0300-00003A0A0000}"/>
    <hyperlink ref="A2879" r:id="rId2620" display="https://webagentes.canaldirecto.com.ar/incidents/view/787018-9" xr:uid="{00000000-0004-0000-0300-00003B0A0000}"/>
    <hyperlink ref="A2880" r:id="rId2621" display="https://webagentes.canaldirecto.com.ar/incidents/view/787017-0" xr:uid="{00000000-0004-0000-0300-00003C0A0000}"/>
    <hyperlink ref="A2881" r:id="rId2622" display="https://webagentes.canaldirecto.com.ar/incidents/view/787016-1" xr:uid="{00000000-0004-0000-0300-00003D0A0000}"/>
    <hyperlink ref="A2882" r:id="rId2623" display="https://webagentes.canaldirecto.com.ar/incidents/view/787014-3" xr:uid="{00000000-0004-0000-0300-00003E0A0000}"/>
    <hyperlink ref="A2883" r:id="rId2624" display="https://webagentes.canaldirecto.com.ar/incidents/view/787013-4" xr:uid="{00000000-0004-0000-0300-00003F0A0000}"/>
    <hyperlink ref="A2884" r:id="rId2625" display="https://webagentes.canaldirecto.com.ar/incidents/view/787012-5" xr:uid="{00000000-0004-0000-0300-0000400A0000}"/>
    <hyperlink ref="A2885" r:id="rId2626" display="https://webagentes.canaldirecto.com.ar/incidents/view/787011-6" xr:uid="{00000000-0004-0000-0300-0000410A0000}"/>
    <hyperlink ref="A2886" r:id="rId2627" display="https://webagentes.canaldirecto.com.ar/incidents/view/787009-1" xr:uid="{00000000-0004-0000-0300-0000420A0000}"/>
    <hyperlink ref="A2887" r:id="rId2628" display="https://webagentes.canaldirecto.com.ar/incidents/view/787008-2" xr:uid="{00000000-0004-0000-0300-0000430A0000}"/>
    <hyperlink ref="A2888" r:id="rId2629" display="https://webagentes.canaldirecto.com.ar/incidents/view/787007-3" xr:uid="{00000000-0004-0000-0300-0000440A0000}"/>
    <hyperlink ref="A2871" r:id="rId2630" display="https://webagentes.canaldirecto.com.ar/incidents/view/786865-2" xr:uid="{00000000-0004-0000-0300-0000450A0000}"/>
    <hyperlink ref="A2868" r:id="rId2631" display="https://webagentes.canaldirecto.com.ar/incidents/view/786742-2" xr:uid="{00000000-0004-0000-0300-0000460A0000}"/>
    <hyperlink ref="A2869" r:id="rId2632" display="https://webagentes.canaldirecto.com.ar/incidents/view/786741-3" xr:uid="{00000000-0004-0000-0300-0000470A0000}"/>
    <hyperlink ref="A2864" r:id="rId2633" display="https://webagentes.canaldirecto.com.ar/incidents/view/786621-0" xr:uid="{00000000-0004-0000-0300-0000480A0000}"/>
    <hyperlink ref="A2865" r:id="rId2634" display="https://webagentes.canaldirecto.com.ar/incidents/view/786620-1" xr:uid="{00000000-0004-0000-0300-0000490A0000}"/>
    <hyperlink ref="A2866" r:id="rId2635" display="https://webagentes.canaldirecto.com.ar/incidents/view/786619-5" xr:uid="{00000000-0004-0000-0300-00004A0A0000}"/>
    <hyperlink ref="A2867" r:id="rId2636" display="https://webagentes.canaldirecto.com.ar/incidents/view/786538-1" xr:uid="{00000000-0004-0000-0300-00004B0A0000}"/>
    <hyperlink ref="A2862" r:id="rId2637" display="https://webagentes.canaldirecto.com.ar/incidents/view/786457-7" xr:uid="{00000000-0004-0000-0300-00004C0A0000}"/>
    <hyperlink ref="A2854" r:id="rId2638" display="https://webagentes.canaldirecto.com.ar/incidents/view/786387-9" xr:uid="{00000000-0004-0000-0300-00004D0A0000}"/>
    <hyperlink ref="A2855" r:id="rId2639" display="https://webagentes.canaldirecto.com.ar/incidents/view/786386-0" xr:uid="{00000000-0004-0000-0300-00004E0A0000}"/>
    <hyperlink ref="A2858" r:id="rId2640" display="https://webagentes.canaldirecto.com.ar/incidents/view/786366-6" xr:uid="{00000000-0004-0000-0300-00004F0A0000}"/>
    <hyperlink ref="A2870" r:id="rId2641" display="https://webagentes.canaldirecto.com.ar/incidents/view/786287-0" xr:uid="{00000000-0004-0000-0300-0000500A0000}"/>
    <hyperlink ref="A2848" r:id="rId2642" display="https://webagentes.canaldirecto.com.ar/incidents/view/786163-1" xr:uid="{00000000-0004-0000-0300-0000510A0000}"/>
    <hyperlink ref="A2857" r:id="rId2643" display="https://webagentes.canaldirecto.com.ar/incidents/view/786152-5" xr:uid="{00000000-0004-0000-0300-0000520A0000}"/>
    <hyperlink ref="A2859" r:id="rId2644" display="https://webagentes.canaldirecto.com.ar/incidents/view/786130-3" xr:uid="{00000000-0004-0000-0300-0000530A0000}"/>
    <hyperlink ref="A2852" r:id="rId2645" display="https://webagentes.canaldirecto.com.ar/incidents/view/786128-8" xr:uid="{00000000-0004-0000-0300-0000540A0000}"/>
    <hyperlink ref="A2860" r:id="rId2646" display="https://webagentes.canaldirecto.com.ar/incidents/view/786085-4" xr:uid="{00000000-0004-0000-0300-0000550A0000}"/>
    <hyperlink ref="A2861" r:id="rId2647" display="https://webagentes.canaldirecto.com.ar/incidents/view/785999-1" xr:uid="{00000000-0004-0000-0300-0000560A0000}"/>
    <hyperlink ref="A2875" r:id="rId2648" display="https://webagentes.canaldirecto.com.ar/incidents/view/785986-7" xr:uid="{00000000-0004-0000-0300-0000570A0000}"/>
    <hyperlink ref="A2850" r:id="rId2649" display="https://webagentes.canaldirecto.com.ar/incidents/view/785959-3" xr:uid="{00000000-0004-0000-0300-0000580A0000}"/>
    <hyperlink ref="A2846" r:id="rId2650" display="https://webagentes.canaldirecto.com.ar/incidents/view/785918-6" xr:uid="{00000000-0004-0000-0300-0000590A0000}"/>
    <hyperlink ref="A2853" r:id="rId2651" display="https://webagentes.canaldirecto.com.ar/incidents/view/785895-6" xr:uid="{00000000-0004-0000-0300-00005A0A0000}"/>
    <hyperlink ref="A2844" r:id="rId2652" display="https://webagentes.canaldirecto.com.ar/incidents/view/785852-1" xr:uid="{00000000-0004-0000-0300-00005B0A0000}"/>
    <hyperlink ref="A2841" r:id="rId2653" display="https://webagentes.canaldirecto.com.ar/incidents/view/785823-9" xr:uid="{00000000-0004-0000-0300-00005C0A0000}"/>
    <hyperlink ref="A2856" r:id="rId2654" display="https://webagentes.canaldirecto.com.ar/incidents/view/785698-5" xr:uid="{00000000-0004-0000-0300-00005D0A0000}"/>
    <hyperlink ref="A2851" r:id="rId2655" display="https://webagentes.canaldirecto.com.ar/incidents/view/785619-8" xr:uid="{00000000-0004-0000-0300-00005E0A0000}"/>
    <hyperlink ref="A2838" r:id="rId2656" display="https://webagentes.canaldirecto.com.ar/incidents/view/785611-6" xr:uid="{00000000-0004-0000-0300-00005F0A0000}"/>
    <hyperlink ref="A2847" r:id="rId2657" display="https://webagentes.canaldirecto.com.ar/incidents/view/785600-0" xr:uid="{00000000-0004-0000-0300-0000600A0000}"/>
    <hyperlink ref="A2840" r:id="rId2658" display="https://webagentes.canaldirecto.com.ar/incidents/view/785572-8" xr:uid="{00000000-0004-0000-0300-0000610A0000}"/>
    <hyperlink ref="A2843" r:id="rId2659" display="https://webagentes.canaldirecto.com.ar/incidents/view/785520-5" xr:uid="{00000000-0004-0000-0300-0000620A0000}"/>
    <hyperlink ref="A2839" r:id="rId2660" display="https://webagentes.canaldirecto.com.ar/incidents/view/785495-0" xr:uid="{00000000-0004-0000-0300-0000630A0000}"/>
    <hyperlink ref="A2845" r:id="rId2661" display="https://webagentes.canaldirecto.com.ar/incidents/view/785435-8" xr:uid="{00000000-0004-0000-0300-0000640A0000}"/>
    <hyperlink ref="A2849" r:id="rId2662" display="https://webagentes.canaldirecto.com.ar/incidents/view/785432-1" xr:uid="{00000000-0004-0000-0300-0000650A0000}"/>
    <hyperlink ref="A2842" r:id="rId2663" display="https://webagentes.canaldirecto.com.ar/incidents/view/785367-8" xr:uid="{00000000-0004-0000-0300-0000660A0000}"/>
    <hyperlink ref="A2837" r:id="rId2664" display="https://webagentes.canaldirecto.com.ar/incidents/view/785231-4" xr:uid="{00000000-0004-0000-0300-0000670A0000}"/>
    <hyperlink ref="A2863" r:id="rId2665" display="https://webagentes.canaldirecto.com.ar/incidents/view/785143-0" xr:uid="{00000000-0004-0000-0300-0000680A0000}"/>
    <hyperlink ref="A2836" r:id="rId2666" display="https://webagentes.canaldirecto.com.ar/incidents/view/784828-7" xr:uid="{00000000-0004-0000-0300-0000690A0000}"/>
    <hyperlink ref="A2950" r:id="rId2667" display="https://webagentes.canaldirecto.com.ar/incidents/view/789231-2" xr:uid="{00000000-0004-0000-0300-00006A0A0000}"/>
    <hyperlink ref="A2951" r:id="rId2668" display="https://webagentes.canaldirecto.com.ar/incidents/view/789230-3" xr:uid="{00000000-0004-0000-0300-00006B0A0000}"/>
    <hyperlink ref="A2952" r:id="rId2669" display="https://webagentes.canaldirecto.com.ar/incidents/view/789229-7" xr:uid="{00000000-0004-0000-0300-00006C0A0000}"/>
    <hyperlink ref="A2953" r:id="rId2670" display="https://webagentes.canaldirecto.com.ar/incidents/view/789227-9" xr:uid="{00000000-0004-0000-0300-00006D0A0000}"/>
    <hyperlink ref="A2954" r:id="rId2671" display="https://webagentes.canaldirecto.com.ar/incidents/view/789226-0" xr:uid="{00000000-0004-0000-0300-00006E0A0000}"/>
    <hyperlink ref="A2955" r:id="rId2672" display="https://webagentes.canaldirecto.com.ar/incidents/view/789225-1" xr:uid="{00000000-0004-0000-0300-00006F0A0000}"/>
    <hyperlink ref="A2956" r:id="rId2673" display="https://webagentes.canaldirecto.com.ar/incidents/view/789224-2" xr:uid="{00000000-0004-0000-0300-0000700A0000}"/>
    <hyperlink ref="A2923" r:id="rId2674" display="https://webagentes.canaldirecto.com.ar/incidents/view/789128-9" xr:uid="{00000000-0004-0000-0300-0000710A0000}"/>
    <hyperlink ref="A2922" r:id="rId2675" display="https://webagentes.canaldirecto.com.ar/incidents/view/789116-4" xr:uid="{00000000-0004-0000-0300-0000720A0000}"/>
    <hyperlink ref="A2914" r:id="rId2676" display="https://webagentes.canaldirecto.com.ar/incidents/view/788634-8" xr:uid="{00000000-0004-0000-0300-0000730A0000}"/>
    <hyperlink ref="A2919" r:id="rId2677" display="https://webagentes.canaldirecto.com.ar/incidents/view/788540-0" xr:uid="{00000000-0004-0000-0300-0000740A0000}"/>
    <hyperlink ref="A2920" r:id="rId2678" display="https://webagentes.canaldirecto.com.ar/incidents/view/788481-8" xr:uid="{00000000-0004-0000-0300-0000750A0000}"/>
    <hyperlink ref="A2915" r:id="rId2679" display="https://webagentes.canaldirecto.com.ar/incidents/view/788374-9" xr:uid="{00000000-0004-0000-0300-0000760A0000}"/>
    <hyperlink ref="A2926" r:id="rId2680" display="https://webagentes.canaldirecto.com.ar/incidents/view/788357-2" xr:uid="{00000000-0004-0000-0300-0000770A0000}"/>
    <hyperlink ref="A2927" r:id="rId2681" display="https://webagentes.canaldirecto.com.ar/incidents/view/788356-3" xr:uid="{00000000-0004-0000-0300-0000780A0000}"/>
    <hyperlink ref="A2928" r:id="rId2682" display="https://webagentes.canaldirecto.com.ar/incidents/view/788355-4" xr:uid="{00000000-0004-0000-0300-0000790A0000}"/>
    <hyperlink ref="A2929" r:id="rId2683" display="https://webagentes.canaldirecto.com.ar/incidents/view/788354-5" xr:uid="{00000000-0004-0000-0300-00007A0A0000}"/>
    <hyperlink ref="A2930" r:id="rId2684" display="https://webagentes.canaldirecto.com.ar/incidents/view/788353-6" xr:uid="{00000000-0004-0000-0300-00007B0A0000}"/>
    <hyperlink ref="A2931" r:id="rId2685" display="https://webagentes.canaldirecto.com.ar/incidents/view/788352-7" xr:uid="{00000000-0004-0000-0300-00007C0A0000}"/>
    <hyperlink ref="A2932" r:id="rId2686" display="https://webagentes.canaldirecto.com.ar/incidents/view/788351-8" xr:uid="{00000000-0004-0000-0300-00007D0A0000}"/>
    <hyperlink ref="A2933" r:id="rId2687" display="https://webagentes.canaldirecto.com.ar/incidents/view/788349-3" xr:uid="{00000000-0004-0000-0300-00007E0A0000}"/>
    <hyperlink ref="A2934" r:id="rId2688" display="https://webagentes.canaldirecto.com.ar/incidents/view/788348-4" xr:uid="{00000000-0004-0000-0300-00007F0A0000}"/>
    <hyperlink ref="A2935" r:id="rId2689" display="https://webagentes.canaldirecto.com.ar/incidents/view/788347-5" xr:uid="{00000000-0004-0000-0300-0000800A0000}"/>
    <hyperlink ref="A2936" r:id="rId2690" display="https://webagentes.canaldirecto.com.ar/incidents/view/788346-6" xr:uid="{00000000-0004-0000-0300-0000810A0000}"/>
    <hyperlink ref="A2937" r:id="rId2691" display="https://webagentes.canaldirecto.com.ar/incidents/view/788345-7" xr:uid="{00000000-0004-0000-0300-0000820A0000}"/>
    <hyperlink ref="A2938" r:id="rId2692" display="https://webagentes.canaldirecto.com.ar/incidents/view/788344-8" xr:uid="{00000000-0004-0000-0300-0000830A0000}"/>
    <hyperlink ref="A2939" r:id="rId2693" display="https://webagentes.canaldirecto.com.ar/incidents/view/788343-9" xr:uid="{00000000-0004-0000-0300-0000840A0000}"/>
    <hyperlink ref="A2940" r:id="rId2694" display="https://webagentes.canaldirecto.com.ar/incidents/view/788342-0" xr:uid="{00000000-0004-0000-0300-0000850A0000}"/>
    <hyperlink ref="A2941" r:id="rId2695" display="https://webagentes.canaldirecto.com.ar/incidents/view/788341-1" xr:uid="{00000000-0004-0000-0300-0000860A0000}"/>
    <hyperlink ref="A2942" r:id="rId2696" display="https://webagentes.canaldirecto.com.ar/incidents/view/788340-2" xr:uid="{00000000-0004-0000-0300-0000870A0000}"/>
    <hyperlink ref="A2943" r:id="rId2697" display="https://webagentes.canaldirecto.com.ar/incidents/view/788339-6" xr:uid="{00000000-0004-0000-0300-0000880A0000}"/>
    <hyperlink ref="A2944" r:id="rId2698" display="https://webagentes.canaldirecto.com.ar/incidents/view/788338-7" xr:uid="{00000000-0004-0000-0300-0000890A0000}"/>
    <hyperlink ref="A2945" r:id="rId2699" display="https://webagentes.canaldirecto.com.ar/incidents/view/788337-8" xr:uid="{00000000-0004-0000-0300-00008A0A0000}"/>
    <hyperlink ref="A2946" r:id="rId2700" display="https://webagentes.canaldirecto.com.ar/incidents/view/788336-9" xr:uid="{00000000-0004-0000-0300-00008B0A0000}"/>
    <hyperlink ref="A2947" r:id="rId2701" display="https://webagentes.canaldirecto.com.ar/incidents/view/788335-0" xr:uid="{00000000-0004-0000-0300-00008C0A0000}"/>
    <hyperlink ref="A2948" r:id="rId2702" display="https://webagentes.canaldirecto.com.ar/incidents/view/788333-2" xr:uid="{00000000-0004-0000-0300-00008D0A0000}"/>
    <hyperlink ref="A2921" r:id="rId2703" display="https://webagentes.canaldirecto.com.ar/incidents/view/788319-2" xr:uid="{00000000-0004-0000-0300-00008E0A0000}"/>
    <hyperlink ref="A2907" r:id="rId2704" display="https://webagentes.canaldirecto.com.ar/incidents/view/788308-6" xr:uid="{00000000-0004-0000-0300-00008F0A0000}"/>
    <hyperlink ref="A2908" r:id="rId2705" display="https://webagentes.canaldirecto.com.ar/incidents/view/788306-8" xr:uid="{00000000-0004-0000-0300-0000900A0000}"/>
    <hyperlink ref="A2918" r:id="rId2706" display="https://webagentes.canaldirecto.com.ar/incidents/view/788278-6" xr:uid="{00000000-0004-0000-0300-0000910A0000}"/>
    <hyperlink ref="A2911" r:id="rId2707" display="https://webagentes.canaldirecto.com.ar/incidents/view/788253-7" xr:uid="{00000000-0004-0000-0300-0000920A0000}"/>
    <hyperlink ref="A2912" r:id="rId2708" display="https://webagentes.canaldirecto.com.ar/incidents/view/788204-1" xr:uid="{00000000-0004-0000-0300-0000930A0000}"/>
    <hyperlink ref="A2916" r:id="rId2709" display="https://webagentes.canaldirecto.com.ar/incidents/view/788188-4" xr:uid="{00000000-0004-0000-0300-0000940A0000}"/>
    <hyperlink ref="A2917" r:id="rId2710" display="https://webagentes.canaldirecto.com.ar/incidents/view/788187-5" xr:uid="{00000000-0004-0000-0300-0000950A0000}"/>
    <hyperlink ref="A2905" r:id="rId2711" display="https://webagentes.canaldirecto.com.ar/incidents/view/788166-2" xr:uid="{00000000-0004-0000-0300-0000960A0000}"/>
    <hyperlink ref="A2901" r:id="rId2712" display="https://webagentes.canaldirecto.com.ar/incidents/view/788095-5" xr:uid="{00000000-0004-0000-0300-0000970A0000}"/>
    <hyperlink ref="A2906" r:id="rId2713" display="https://webagentes.canaldirecto.com.ar/incidents/view/788088-5" xr:uid="{00000000-0004-0000-0300-0000980A0000}"/>
    <hyperlink ref="A2904" r:id="rId2714" display="https://webagentes.canaldirecto.com.ar/incidents/view/788078-8" xr:uid="{00000000-0004-0000-0300-0000990A0000}"/>
    <hyperlink ref="A2900" r:id="rId2715" display="https://webagentes.canaldirecto.com.ar/incidents/view/787998-6" xr:uid="{00000000-0004-0000-0300-00009A0A0000}"/>
    <hyperlink ref="A2902" r:id="rId2716" display="https://webagentes.canaldirecto.com.ar/incidents/view/787822-4" xr:uid="{00000000-0004-0000-0300-00009B0A0000}"/>
    <hyperlink ref="A2903" r:id="rId2717" display="https://webagentes.canaldirecto.com.ar/incidents/view/787805-7" xr:uid="{00000000-0004-0000-0300-00009C0A0000}"/>
    <hyperlink ref="A2909" r:id="rId2718" display="https://webagentes.canaldirecto.com.ar/incidents/view/787334-4" xr:uid="{00000000-0004-0000-0300-00009D0A0000}"/>
    <hyperlink ref="A2910" r:id="rId2719" display="https://webagentes.canaldirecto.com.ar/incidents/view/787333-5" xr:uid="{00000000-0004-0000-0300-00009E0A0000}"/>
    <hyperlink ref="A2899" r:id="rId2720" display="https://webagentes.canaldirecto.com.ar/incidents/view/787202-6" xr:uid="{00000000-0004-0000-0300-00009F0A0000}"/>
    <hyperlink ref="A2898" r:id="rId2721" display="https://webagentes.canaldirecto.com.ar/incidents/view/787192-0" xr:uid="{00000000-0004-0000-0300-0000A00A0000}"/>
    <hyperlink ref="A2913" r:id="rId2722" display="https://webagentes.canaldirecto.com.ar/incidents/view/786609-8" xr:uid="{00000000-0004-0000-0300-0000A10A0000}"/>
    <hyperlink ref="A2949" r:id="rId2723" display="https://webagentes.canaldirecto.com.ar/incidents/view/779429-6" xr:uid="{00000000-0004-0000-0300-0000A20A0000}"/>
    <hyperlink ref="A3037" r:id="rId2724" display="https://webagentes.canaldirecto.com.ar/incidents/view/791763-9" xr:uid="{00000000-0004-0000-0300-0000A30A0000}"/>
    <hyperlink ref="A3036" r:id="rId2725" display="https://webagentes.canaldirecto.com.ar/incidents/view/791762-0" xr:uid="{00000000-0004-0000-0300-0000A40A0000}"/>
    <hyperlink ref="A3035" r:id="rId2726" display="https://webagentes.canaldirecto.com.ar/incidents/view/791761-1" xr:uid="{00000000-0004-0000-0300-0000A50A0000}"/>
    <hyperlink ref="A3034" r:id="rId2727" display="https://webagentes.canaldirecto.com.ar/incidents/view/791760-2" xr:uid="{00000000-0004-0000-0300-0000A60A0000}"/>
    <hyperlink ref="A3033" r:id="rId2728" display="https://webagentes.canaldirecto.com.ar/incidents/view/791759-6" xr:uid="{00000000-0004-0000-0300-0000A70A0000}"/>
    <hyperlink ref="A3032" r:id="rId2729" display="https://webagentes.canaldirecto.com.ar/incidents/view/791757-8" xr:uid="{00000000-0004-0000-0300-0000A80A0000}"/>
    <hyperlink ref="A3031" r:id="rId2730" display="https://webagentes.canaldirecto.com.ar/incidents/view/791756-9" xr:uid="{00000000-0004-0000-0300-0000A90A0000}"/>
    <hyperlink ref="A3030" r:id="rId2731" display="https://webagentes.canaldirecto.com.ar/incidents/view/791755-0" xr:uid="{00000000-0004-0000-0300-0000AA0A0000}"/>
    <hyperlink ref="A3029" r:id="rId2732" display="https://webagentes.canaldirecto.com.ar/incidents/view/791754-1" xr:uid="{00000000-0004-0000-0300-0000AB0A0000}"/>
    <hyperlink ref="A3008" r:id="rId2733" display="https://webagentes.canaldirecto.com.ar/incidents/view/791699-5" xr:uid="{00000000-0004-0000-0300-0000AC0A0000}"/>
    <hyperlink ref="A3005" r:id="rId2734" display="https://webagentes.canaldirecto.com.ar/incidents/view/791470-2" xr:uid="{00000000-0004-0000-0300-0000AD0A0000}"/>
    <hyperlink ref="A3006" r:id="rId2735" display="https://webagentes.canaldirecto.com.ar/incidents/view/791453-5" xr:uid="{00000000-0004-0000-0300-0000AE0A0000}"/>
    <hyperlink ref="A3028" r:id="rId2736" display="https://webagentes.canaldirecto.com.ar/incidents/view/791406-7" xr:uid="{00000000-0004-0000-0300-0000AF0A0000}"/>
    <hyperlink ref="A3027" r:id="rId2737" display="https://webagentes.canaldirecto.com.ar/incidents/view/791405-8" xr:uid="{00000000-0004-0000-0300-0000B00A0000}"/>
    <hyperlink ref="A3026" r:id="rId2738" display="https://webagentes.canaldirecto.com.ar/incidents/view/791404-9" xr:uid="{00000000-0004-0000-0300-0000B10A0000}"/>
    <hyperlink ref="A3025" r:id="rId2739" display="https://webagentes.canaldirecto.com.ar/incidents/view/791403-0" xr:uid="{00000000-0004-0000-0300-0000B20A0000}"/>
    <hyperlink ref="A3003" r:id="rId2740" display="https://webagentes.canaldirecto.com.ar/incidents/view/791398-9" xr:uid="{00000000-0004-0000-0300-0000B30A0000}"/>
    <hyperlink ref="A3002" r:id="rId2741" display="https://webagentes.canaldirecto.com.ar/incidents/view/791334-1" xr:uid="{00000000-0004-0000-0300-0000B40A0000}"/>
    <hyperlink ref="A3004" r:id="rId2742" display="https://webagentes.canaldirecto.com.ar/incidents/view/791322-6" xr:uid="{00000000-0004-0000-0300-0000B50A0000}"/>
    <hyperlink ref="A3024" r:id="rId2743" display="https://webagentes.canaldirecto.com.ar/incidents/view/791301-3" xr:uid="{00000000-0004-0000-0300-0000B60A0000}"/>
    <hyperlink ref="A3023" r:id="rId2744" display="https://webagentes.canaldirecto.com.ar/incidents/view/791300-4" xr:uid="{00000000-0004-0000-0300-0000B70A0000}"/>
    <hyperlink ref="A2998" r:id="rId2745" display="https://webagentes.canaldirecto.com.ar/incidents/view/791211-1" xr:uid="{00000000-0004-0000-0300-0000B80A0000}"/>
    <hyperlink ref="A3007" r:id="rId2746" display="https://webagentes.canaldirecto.com.ar/incidents/view/791179-6" xr:uid="{00000000-0004-0000-0300-0000B90A0000}"/>
    <hyperlink ref="A3001" r:id="rId2747" display="https://webagentes.canaldirecto.com.ar/incidents/view/791173-2" xr:uid="{00000000-0004-0000-0300-0000BA0A0000}"/>
    <hyperlink ref="A2995" r:id="rId2748" display="https://webagentes.canaldirecto.com.ar/incidents/view/790378-8" xr:uid="{00000000-0004-0000-0300-0000BB0A0000}"/>
    <hyperlink ref="A2997" r:id="rId2749" display="https://webagentes.canaldirecto.com.ar/incidents/view/790251-2" xr:uid="{00000000-0004-0000-0300-0000BC0A0000}"/>
    <hyperlink ref="A2999" r:id="rId2750" display="https://webagentes.canaldirecto.com.ar/incidents/view/790162-9" xr:uid="{00000000-0004-0000-0300-0000BD0A0000}"/>
    <hyperlink ref="A3000" r:id="rId2751" display="https://webagentes.canaldirecto.com.ar/incidents/view/790161-0" xr:uid="{00000000-0004-0000-0300-0000BE0A0000}"/>
    <hyperlink ref="A2992" r:id="rId2752" display="https://webagentes.canaldirecto.com.ar/incidents/view/789998-0" xr:uid="{00000000-0004-0000-0300-0000BF0A0000}"/>
    <hyperlink ref="A3022" r:id="rId2753" display="https://webagentes.canaldirecto.com.ar/incidents/view/789951-9" xr:uid="{00000000-0004-0000-0300-0000C00A0000}"/>
    <hyperlink ref="A3021" r:id="rId2754" display="https://webagentes.canaldirecto.com.ar/incidents/view/789949-4" xr:uid="{00000000-0004-0000-0300-0000C10A0000}"/>
    <hyperlink ref="A3020" r:id="rId2755" display="https://webagentes.canaldirecto.com.ar/incidents/view/789948-5" xr:uid="{00000000-0004-0000-0300-0000C20A0000}"/>
    <hyperlink ref="A3019" r:id="rId2756" display="https://webagentes.canaldirecto.com.ar/incidents/view/789947-6" xr:uid="{00000000-0004-0000-0300-0000C30A0000}"/>
    <hyperlink ref="A3018" r:id="rId2757" display="https://webagentes.canaldirecto.com.ar/incidents/view/789946-7" xr:uid="{00000000-0004-0000-0300-0000C40A0000}"/>
    <hyperlink ref="A3017" r:id="rId2758" display="https://webagentes.canaldirecto.com.ar/incidents/view/789945-8" xr:uid="{00000000-0004-0000-0300-0000C50A0000}"/>
    <hyperlink ref="A3016" r:id="rId2759" display="https://webagentes.canaldirecto.com.ar/incidents/view/789944-9" xr:uid="{00000000-0004-0000-0300-0000C60A0000}"/>
    <hyperlink ref="A3015" r:id="rId2760" display="https://webagentes.canaldirecto.com.ar/incidents/view/789943-0" xr:uid="{00000000-0004-0000-0300-0000C70A0000}"/>
    <hyperlink ref="A3014" r:id="rId2761" display="https://webagentes.canaldirecto.com.ar/incidents/view/789942-1" xr:uid="{00000000-0004-0000-0300-0000C80A0000}"/>
    <hyperlink ref="A3013" r:id="rId2762" display="https://webagentes.canaldirecto.com.ar/incidents/view/789941-2" xr:uid="{00000000-0004-0000-0300-0000C90A0000}"/>
    <hyperlink ref="A3012" r:id="rId2763" display="https://webagentes.canaldirecto.com.ar/incidents/view/789940-3" xr:uid="{00000000-0004-0000-0300-0000CA0A0000}"/>
    <hyperlink ref="A3011" r:id="rId2764" display="https://webagentes.canaldirecto.com.ar/incidents/view/789939-7" xr:uid="{00000000-0004-0000-0300-0000CB0A0000}"/>
    <hyperlink ref="A2994" r:id="rId2765" display="https://webagentes.canaldirecto.com.ar/incidents/view/789883-9" xr:uid="{00000000-0004-0000-0300-0000CC0A0000}"/>
    <hyperlink ref="A2996" r:id="rId2766" display="https://webagentes.canaldirecto.com.ar/incidents/view/789853-8" xr:uid="{00000000-0004-0000-0300-0000CD0A0000}"/>
    <hyperlink ref="A2993" r:id="rId2767" display="https://webagentes.canaldirecto.com.ar/incidents/view/789825-5" xr:uid="{00000000-0004-0000-0300-0000CE0A0000}"/>
    <hyperlink ref="A2991" r:id="rId2768" display="https://webagentes.canaldirecto.com.ar/incidents/view/789650-3" xr:uid="{00000000-0004-0000-0300-0000CF0A0000}"/>
    <hyperlink ref="A2989" r:id="rId2769" display="https://webagentes.canaldirecto.com.ar/incidents/view/789543-4" xr:uid="{00000000-0004-0000-0300-0000D00A0000}"/>
    <hyperlink ref="A2990" r:id="rId2770" display="https://webagentes.canaldirecto.com.ar/incidents/view/789475-4" xr:uid="{00000000-0004-0000-0300-0000D10A0000}"/>
    <hyperlink ref="A2985" r:id="rId2771" display="https://webagentes.canaldirecto.com.ar/incidents/view/789440-8" xr:uid="{00000000-0004-0000-0300-0000D20A0000}"/>
    <hyperlink ref="A2986" r:id="rId2772" display="https://webagentes.canaldirecto.com.ar/incidents/view/789142-9" xr:uid="{00000000-0004-0000-0300-0000D30A0000}"/>
    <hyperlink ref="A2987" r:id="rId2773" display="https://webagentes.canaldirecto.com.ar/incidents/view/788928-4" xr:uid="{00000000-0004-0000-0300-0000D40A0000}"/>
    <hyperlink ref="A2988" r:id="rId2774" display="https://webagentes.canaldirecto.com.ar/incidents/view/785013-0" xr:uid="{00000000-0004-0000-0300-0000D50A0000}"/>
    <hyperlink ref="A2983" r:id="rId2775" display="https://webagentes.canaldirecto.com.ar/incidents/view/791699-5" xr:uid="{00000000-0004-0000-0300-0000D60A0000}"/>
    <hyperlink ref="A2980" r:id="rId2776" display="https://webagentes.canaldirecto.com.ar/incidents/view/791470-2" xr:uid="{00000000-0004-0000-0300-0000D70A0000}"/>
    <hyperlink ref="A2981" r:id="rId2777" display="https://webagentes.canaldirecto.com.ar/incidents/view/791453-5" xr:uid="{00000000-0004-0000-0300-0000D80A0000}"/>
    <hyperlink ref="A2978" r:id="rId2778" display="https://webagentes.canaldirecto.com.ar/incidents/view/791398-9" xr:uid="{00000000-0004-0000-0300-0000D90A0000}"/>
    <hyperlink ref="A2977" r:id="rId2779" display="https://webagentes.canaldirecto.com.ar/incidents/view/791334-1" xr:uid="{00000000-0004-0000-0300-0000DA0A0000}"/>
    <hyperlink ref="A2979" r:id="rId2780" display="https://webagentes.canaldirecto.com.ar/incidents/view/791322-6" xr:uid="{00000000-0004-0000-0300-0000DB0A0000}"/>
    <hyperlink ref="A2973" r:id="rId2781" display="https://webagentes.canaldirecto.com.ar/incidents/view/791211-1" xr:uid="{00000000-0004-0000-0300-0000DC0A0000}"/>
    <hyperlink ref="A2982" r:id="rId2782" display="https://webagentes.canaldirecto.com.ar/incidents/view/791179-6" xr:uid="{00000000-0004-0000-0300-0000DD0A0000}"/>
    <hyperlink ref="A2976" r:id="rId2783" display="https://webagentes.canaldirecto.com.ar/incidents/view/791173-2" xr:uid="{00000000-0004-0000-0300-0000DE0A0000}"/>
    <hyperlink ref="A2970" r:id="rId2784" display="https://webagentes.canaldirecto.com.ar/incidents/view/790378-8" xr:uid="{00000000-0004-0000-0300-0000DF0A0000}"/>
    <hyperlink ref="A2972" r:id="rId2785" display="https://webagentes.canaldirecto.com.ar/incidents/view/790251-2" xr:uid="{00000000-0004-0000-0300-0000E00A0000}"/>
    <hyperlink ref="A2974" r:id="rId2786" display="https://webagentes.canaldirecto.com.ar/incidents/view/790162-9" xr:uid="{00000000-0004-0000-0300-0000E10A0000}"/>
    <hyperlink ref="A2975" r:id="rId2787" display="https://webagentes.canaldirecto.com.ar/incidents/view/790161-0" xr:uid="{00000000-0004-0000-0300-0000E20A0000}"/>
    <hyperlink ref="A2967" r:id="rId2788" display="https://webagentes.canaldirecto.com.ar/incidents/view/789998-0" xr:uid="{00000000-0004-0000-0300-0000E30A0000}"/>
    <hyperlink ref="A2969" r:id="rId2789" display="https://webagentes.canaldirecto.com.ar/incidents/view/789883-9" xr:uid="{00000000-0004-0000-0300-0000E40A0000}"/>
    <hyperlink ref="A2971" r:id="rId2790" display="https://webagentes.canaldirecto.com.ar/incidents/view/789853-8" xr:uid="{00000000-0004-0000-0300-0000E50A0000}"/>
    <hyperlink ref="A2968" r:id="rId2791" display="https://webagentes.canaldirecto.com.ar/incidents/view/789825-5" xr:uid="{00000000-0004-0000-0300-0000E60A0000}"/>
    <hyperlink ref="A2966" r:id="rId2792" display="https://webagentes.canaldirecto.com.ar/incidents/view/789650-3" xr:uid="{00000000-0004-0000-0300-0000E70A0000}"/>
    <hyperlink ref="A2964" r:id="rId2793" display="https://webagentes.canaldirecto.com.ar/incidents/view/789543-4" xr:uid="{00000000-0004-0000-0300-0000E80A0000}"/>
    <hyperlink ref="A2965" r:id="rId2794" display="https://webagentes.canaldirecto.com.ar/incidents/view/789475-4" xr:uid="{00000000-0004-0000-0300-0000E90A0000}"/>
    <hyperlink ref="A2960" r:id="rId2795" display="https://webagentes.canaldirecto.com.ar/incidents/view/789440-8" xr:uid="{00000000-0004-0000-0300-0000EA0A0000}"/>
    <hyperlink ref="A2961" r:id="rId2796" display="https://webagentes.canaldirecto.com.ar/incidents/view/789142-9" xr:uid="{00000000-0004-0000-0300-0000EB0A0000}"/>
    <hyperlink ref="A2962" r:id="rId2797" display="https://webagentes.canaldirecto.com.ar/incidents/view/788928-4" xr:uid="{00000000-0004-0000-0300-0000EC0A0000}"/>
    <hyperlink ref="A2963" r:id="rId2798" display="https://webagentes.canaldirecto.com.ar/incidents/view/785013-0" xr:uid="{00000000-0004-0000-0300-0000ED0A0000}"/>
    <hyperlink ref="A3084" r:id="rId2799" display="https://webagentes.canaldirecto.com.ar/incidents/view/794731-1" xr:uid="{00000000-0004-0000-0300-0000EE0A0000}"/>
    <hyperlink ref="A3085" r:id="rId2800" display="https://webagentes.canaldirecto.com.ar/incidents/view/794694-1" xr:uid="{00000000-0004-0000-0300-0000EF0A0000}"/>
    <hyperlink ref="A3086" r:id="rId2801" display="https://webagentes.canaldirecto.com.ar/incidents/view/794693-2" xr:uid="{00000000-0004-0000-0300-0000F00A0000}"/>
    <hyperlink ref="A3087" r:id="rId2802" display="https://webagentes.canaldirecto.com.ar/incidents/view/794558-0" xr:uid="{00000000-0004-0000-0300-0000F10A0000}"/>
    <hyperlink ref="A3081" r:id="rId2803" display="https://webagentes.canaldirecto.com.ar/incidents/view/794492-5" xr:uid="{00000000-0004-0000-0300-0000F20A0000}"/>
    <hyperlink ref="A3129" r:id="rId2804" display="https://webagentes.canaldirecto.com.ar/incidents/view/794461-5" xr:uid="{00000000-0004-0000-0300-0000F30A0000}"/>
    <hyperlink ref="A3082" r:id="rId2805" display="https://webagentes.canaldirecto.com.ar/incidents/view/794460-6" xr:uid="{00000000-0004-0000-0300-0000F40A0000}"/>
    <hyperlink ref="A3121" r:id="rId2806" display="https://webagentes.canaldirecto.com.ar/incidents/view/794456-3" xr:uid="{00000000-0004-0000-0300-0000F50A0000}"/>
    <hyperlink ref="A3131" r:id="rId2807" display="https://webagentes.canaldirecto.com.ar/incidents/view/794410-1" xr:uid="{00000000-0004-0000-0300-0000F60A0000}"/>
    <hyperlink ref="A3132" r:id="rId2808" display="https://webagentes.canaldirecto.com.ar/incidents/view/794409-5" xr:uid="{00000000-0004-0000-0300-0000F70A0000}"/>
    <hyperlink ref="A3133" r:id="rId2809" display="https://webagentes.canaldirecto.com.ar/incidents/view/794408-6" xr:uid="{00000000-0004-0000-0300-0000F80A0000}"/>
    <hyperlink ref="A3130" r:id="rId2810" display="https://webagentes.canaldirecto.com.ar/incidents/view/794402-2" xr:uid="{00000000-0004-0000-0300-0000F90A0000}"/>
    <hyperlink ref="A3134" r:id="rId2811" display="https://webagentes.canaldirecto.com.ar/incidents/view/794394-4" xr:uid="{00000000-0004-0000-0300-0000FA0A0000}"/>
    <hyperlink ref="A3135" r:id="rId2812" display="https://webagentes.canaldirecto.com.ar/incidents/view/794393-5" xr:uid="{00000000-0004-0000-0300-0000FB0A0000}"/>
    <hyperlink ref="A3122" r:id="rId2813" display="https://webagentes.canaldirecto.com.ar/incidents/view/794392-6" xr:uid="{00000000-0004-0000-0300-0000FC0A0000}"/>
    <hyperlink ref="A3136" r:id="rId2814" display="https://webagentes.canaldirecto.com.ar/incidents/view/794391-7" xr:uid="{00000000-0004-0000-0300-0000FD0A0000}"/>
    <hyperlink ref="A3137" r:id="rId2815" display="https://webagentes.canaldirecto.com.ar/incidents/view/794390-8" xr:uid="{00000000-0004-0000-0300-0000FE0A0000}"/>
    <hyperlink ref="A3138" r:id="rId2816" display="https://webagentes.canaldirecto.com.ar/incidents/view/794389-2" xr:uid="{00000000-0004-0000-0300-0000FF0A0000}"/>
    <hyperlink ref="A3139" r:id="rId2817" display="https://webagentes.canaldirecto.com.ar/incidents/view/794388-3" xr:uid="{00000000-0004-0000-0300-0000000B0000}"/>
    <hyperlink ref="A3140" r:id="rId2818" display="https://webagentes.canaldirecto.com.ar/incidents/view/794387-4" xr:uid="{00000000-0004-0000-0300-0000010B0000}"/>
    <hyperlink ref="A3141" r:id="rId2819" display="https://webagentes.canaldirecto.com.ar/incidents/view/794386-5" xr:uid="{00000000-0004-0000-0300-0000020B0000}"/>
    <hyperlink ref="A3142" r:id="rId2820" display="https://webagentes.canaldirecto.com.ar/incidents/view/794385-6" xr:uid="{00000000-0004-0000-0300-0000030B0000}"/>
    <hyperlink ref="A3143" r:id="rId2821" display="https://webagentes.canaldirecto.com.ar/incidents/view/794384-7" xr:uid="{00000000-0004-0000-0300-0000040B0000}"/>
    <hyperlink ref="A3144" r:id="rId2822" display="https://webagentes.canaldirecto.com.ar/incidents/view/794383-8" xr:uid="{00000000-0004-0000-0300-0000050B0000}"/>
    <hyperlink ref="A3145" r:id="rId2823" display="https://webagentes.canaldirecto.com.ar/incidents/view/794382-9" xr:uid="{00000000-0004-0000-0300-0000060B0000}"/>
    <hyperlink ref="A3146" r:id="rId2824" display="https://webagentes.canaldirecto.com.ar/incidents/view/794381-0" xr:uid="{00000000-0004-0000-0300-0000070B0000}"/>
    <hyperlink ref="A3116" r:id="rId2825" display="https://webagentes.canaldirecto.com.ar/incidents/view/794235-2" xr:uid="{00000000-0004-0000-0300-0000080B0000}"/>
    <hyperlink ref="A3117" r:id="rId2826" display="https://webagentes.canaldirecto.com.ar/incidents/view/794234-3" xr:uid="{00000000-0004-0000-0300-0000090B0000}"/>
    <hyperlink ref="A3118" r:id="rId2827" display="https://webagentes.canaldirecto.com.ar/incidents/view/794233-4" xr:uid="{00000000-0004-0000-0300-00000A0B0000}"/>
    <hyperlink ref="A3119" r:id="rId2828" display="https://webagentes.canaldirecto.com.ar/incidents/view/794231-6" xr:uid="{00000000-0004-0000-0300-00000B0B0000}"/>
    <hyperlink ref="A3120" r:id="rId2829" display="https://webagentes.canaldirecto.com.ar/incidents/view/794230-7" xr:uid="{00000000-0004-0000-0300-00000C0B0000}"/>
    <hyperlink ref="A3123" r:id="rId2830" display="https://webagentes.canaldirecto.com.ar/incidents/view/794227-3" xr:uid="{00000000-0004-0000-0300-00000D0B0000}"/>
    <hyperlink ref="A3124" r:id="rId2831" display="https://webagentes.canaldirecto.com.ar/incidents/view/794226-4" xr:uid="{00000000-0004-0000-0300-00000E0B0000}"/>
    <hyperlink ref="A3125" r:id="rId2832" display="https://webagentes.canaldirecto.com.ar/incidents/view/794224-6" xr:uid="{00000000-0004-0000-0300-00000F0B0000}"/>
    <hyperlink ref="A3126" r:id="rId2833" display="https://webagentes.canaldirecto.com.ar/incidents/view/794223-7" xr:uid="{00000000-0004-0000-0300-0000100B0000}"/>
    <hyperlink ref="A3127" r:id="rId2834" display="https://webagentes.canaldirecto.com.ar/incidents/view/794221-9" xr:uid="{00000000-0004-0000-0300-0000110B0000}"/>
    <hyperlink ref="A3080" r:id="rId2835" display="https://webagentes.canaldirecto.com.ar/incidents/view/794036-3" xr:uid="{00000000-0004-0000-0300-0000120B0000}"/>
    <hyperlink ref="A3078" r:id="rId2836" display="https://webagentes.canaldirecto.com.ar/incidents/view/793946-4" xr:uid="{00000000-0004-0000-0300-0000130B0000}"/>
    <hyperlink ref="A3083" r:id="rId2837" display="https://webagentes.canaldirecto.com.ar/incidents/view/793916-3" xr:uid="{00000000-0004-0000-0300-0000140B0000}"/>
    <hyperlink ref="A3111" r:id="rId2838" display="https://webagentes.canaldirecto.com.ar/incidents/view/793829-8" xr:uid="{00000000-0004-0000-0300-0000150B0000}"/>
    <hyperlink ref="A3112" r:id="rId2839" display="https://webagentes.canaldirecto.com.ar/incidents/view/793828-9" xr:uid="{00000000-0004-0000-0300-0000160B0000}"/>
    <hyperlink ref="A3113" r:id="rId2840" display="https://webagentes.canaldirecto.com.ar/incidents/view/793825-2" xr:uid="{00000000-0004-0000-0300-0000170B0000}"/>
    <hyperlink ref="A3114" r:id="rId2841" display="https://webagentes.canaldirecto.com.ar/incidents/view/793823-4" xr:uid="{00000000-0004-0000-0300-0000180B0000}"/>
    <hyperlink ref="A3115" r:id="rId2842" display="https://webagentes.canaldirecto.com.ar/incidents/view/793822-5" xr:uid="{00000000-0004-0000-0300-0000190B0000}"/>
    <hyperlink ref="A3073" r:id="rId2843" display="https://webagentes.canaldirecto.com.ar/incidents/view/793699-9" xr:uid="{00000000-0004-0000-0300-00001A0B0000}"/>
    <hyperlink ref="A3079" r:id="rId2844" display="https://webagentes.canaldirecto.com.ar/incidents/view/793526-4" xr:uid="{00000000-0004-0000-0300-00001B0B0000}"/>
    <hyperlink ref="A3106" r:id="rId2845" display="https://webagentes.canaldirecto.com.ar/incidents/view/793496-4" xr:uid="{00000000-0004-0000-0300-00001C0B0000}"/>
    <hyperlink ref="A3107" r:id="rId2846" display="https://webagentes.canaldirecto.com.ar/incidents/view/793495-5" xr:uid="{00000000-0004-0000-0300-00001D0B0000}"/>
    <hyperlink ref="A3108" r:id="rId2847" display="https://webagentes.canaldirecto.com.ar/incidents/view/793494-6" xr:uid="{00000000-0004-0000-0300-00001E0B0000}"/>
    <hyperlink ref="A3066" r:id="rId2848" display="https://webagentes.canaldirecto.com.ar/incidents/view/793493-7" xr:uid="{00000000-0004-0000-0300-00001F0B0000}"/>
    <hyperlink ref="A3067" r:id="rId2849" display="https://webagentes.canaldirecto.com.ar/incidents/view/793416-8" xr:uid="{00000000-0004-0000-0300-0000200B0000}"/>
    <hyperlink ref="A3109" r:id="rId2850" display="https://webagentes.canaldirecto.com.ar/incidents/view/793301-7" xr:uid="{00000000-0004-0000-0300-0000210B0000}"/>
    <hyperlink ref="A3110" r:id="rId2851" display="https://webagentes.canaldirecto.com.ar/incidents/view/793300-8" xr:uid="{00000000-0004-0000-0300-0000220B0000}"/>
    <hyperlink ref="A3077" r:id="rId2852" display="https://webagentes.canaldirecto.com.ar/incidents/view/793116-1" xr:uid="{00000000-0004-0000-0300-0000230B0000}"/>
    <hyperlink ref="A3068" r:id="rId2853" display="https://webagentes.canaldirecto.com.ar/incidents/view/792970-4" xr:uid="{00000000-0004-0000-0300-0000240B0000}"/>
    <hyperlink ref="A3056" r:id="rId2854" display="https://webagentes.canaldirecto.com.ar/incidents/view/792942-1" xr:uid="{00000000-0004-0000-0300-0000250B0000}"/>
    <hyperlink ref="A3069" r:id="rId2855" display="https://webagentes.canaldirecto.com.ar/incidents/view/792931-5" xr:uid="{00000000-0004-0000-0300-0000260B0000}"/>
    <hyperlink ref="A3070" r:id="rId2856" display="https://webagentes.canaldirecto.com.ar/incidents/view/792898-1" xr:uid="{00000000-0004-0000-0300-0000270B0000}"/>
    <hyperlink ref="A3071" r:id="rId2857" display="https://webagentes.canaldirecto.com.ar/incidents/view/792887-5" xr:uid="{00000000-0004-0000-0300-0000280B0000}"/>
    <hyperlink ref="A3063" r:id="rId2858" display="https://webagentes.canaldirecto.com.ar/incidents/view/792879-6" xr:uid="{00000000-0004-0000-0300-0000290B0000}"/>
    <hyperlink ref="A3064" r:id="rId2859" display="https://webagentes.canaldirecto.com.ar/incidents/view/792878-7" xr:uid="{00000000-0004-0000-0300-00002A0B0000}"/>
    <hyperlink ref="A3074" r:id="rId2860" display="https://webagentes.canaldirecto.com.ar/incidents/view/792689-5" xr:uid="{00000000-0004-0000-0300-00002B0B0000}"/>
    <hyperlink ref="A3053" r:id="rId2861" display="https://webagentes.canaldirecto.com.ar/incidents/view/792643-3" xr:uid="{00000000-0004-0000-0300-00002C0B0000}"/>
    <hyperlink ref="A3057" r:id="rId2862" display="https://webagentes.canaldirecto.com.ar/incidents/view/792642-4" xr:uid="{00000000-0004-0000-0300-00002D0B0000}"/>
    <hyperlink ref="A3058" r:id="rId2863" display="https://webagentes.canaldirecto.com.ar/incidents/view/792641-5" xr:uid="{00000000-0004-0000-0300-00002E0B0000}"/>
    <hyperlink ref="A3059" r:id="rId2864" display="https://webagentes.canaldirecto.com.ar/incidents/view/792640-6" xr:uid="{00000000-0004-0000-0300-00002F0B0000}"/>
    <hyperlink ref="A3060" r:id="rId2865" display="https://webagentes.canaldirecto.com.ar/incidents/view/792638-1" xr:uid="{00000000-0004-0000-0300-0000300B0000}"/>
    <hyperlink ref="A3054" r:id="rId2866" display="https://webagentes.canaldirecto.com.ar/incidents/view/792617-8" xr:uid="{00000000-0004-0000-0300-0000310B0000}"/>
    <hyperlink ref="A3075" r:id="rId2867" display="https://webagentes.canaldirecto.com.ar/incidents/view/792604-4" xr:uid="{00000000-0004-0000-0300-0000320B0000}"/>
    <hyperlink ref="A3065" r:id="rId2868" display="https://webagentes.canaldirecto.com.ar/incidents/view/792603-5" xr:uid="{00000000-0004-0000-0300-0000330B0000}"/>
    <hyperlink ref="A3061" r:id="rId2869" display="https://webagentes.canaldirecto.com.ar/incidents/view/792583-2" xr:uid="{00000000-0004-0000-0300-0000340B0000}"/>
    <hyperlink ref="A3072" r:id="rId2870" display="https://webagentes.canaldirecto.com.ar/incidents/view/792581-4" xr:uid="{00000000-0004-0000-0300-0000350B0000}"/>
    <hyperlink ref="A3091" r:id="rId2871" display="https://webagentes.canaldirecto.com.ar/incidents/view/792516-0" xr:uid="{00000000-0004-0000-0300-0000360B0000}"/>
    <hyperlink ref="A3092" r:id="rId2872" display="https://webagentes.canaldirecto.com.ar/incidents/view/792483-3" xr:uid="{00000000-0004-0000-0300-0000370B0000}"/>
    <hyperlink ref="A3093" r:id="rId2873" display="https://webagentes.canaldirecto.com.ar/incidents/view/792482-4" xr:uid="{00000000-0004-0000-0300-0000380B0000}"/>
    <hyperlink ref="A3094" r:id="rId2874" display="https://webagentes.canaldirecto.com.ar/incidents/view/792481-5" xr:uid="{00000000-0004-0000-0300-0000390B0000}"/>
    <hyperlink ref="A3095" r:id="rId2875" display="https://webagentes.canaldirecto.com.ar/incidents/view/792468-4" xr:uid="{00000000-0004-0000-0300-00003A0B0000}"/>
    <hyperlink ref="A3096" r:id="rId2876" display="https://webagentes.canaldirecto.com.ar/incidents/view/792467-5" xr:uid="{00000000-0004-0000-0300-00003B0B0000}"/>
    <hyperlink ref="A3097" r:id="rId2877" display="https://webagentes.canaldirecto.com.ar/incidents/view/792456-9" xr:uid="{00000000-0004-0000-0300-00003C0B0000}"/>
    <hyperlink ref="A3098" r:id="rId2878" display="https://webagentes.canaldirecto.com.ar/incidents/view/792455-0" xr:uid="{00000000-0004-0000-0300-00003D0B0000}"/>
    <hyperlink ref="A3099" r:id="rId2879" display="https://webagentes.canaldirecto.com.ar/incidents/view/792453-2" xr:uid="{00000000-0004-0000-0300-00003E0B0000}"/>
    <hyperlink ref="A3100" r:id="rId2880" display="https://webagentes.canaldirecto.com.ar/incidents/view/792449-9" xr:uid="{00000000-0004-0000-0300-00003F0B0000}"/>
    <hyperlink ref="A3101" r:id="rId2881" display="https://webagentes.canaldirecto.com.ar/incidents/view/792448-0" xr:uid="{00000000-0004-0000-0300-0000400B0000}"/>
    <hyperlink ref="A3102" r:id="rId2882" display="https://webagentes.canaldirecto.com.ar/incidents/view/792446-2" xr:uid="{00000000-0004-0000-0300-0000410B0000}"/>
    <hyperlink ref="A3103" r:id="rId2883" display="https://webagentes.canaldirecto.com.ar/incidents/view/792445-3" xr:uid="{00000000-0004-0000-0300-0000420B0000}"/>
    <hyperlink ref="A3104" r:id="rId2884" display="https://webagentes.canaldirecto.com.ar/incidents/view/792444-4" xr:uid="{00000000-0004-0000-0300-0000430B0000}"/>
    <hyperlink ref="A3105" r:id="rId2885" display="https://webagentes.canaldirecto.com.ar/incidents/view/792443-5" xr:uid="{00000000-0004-0000-0300-0000440B0000}"/>
    <hyperlink ref="A3046" r:id="rId2886" display="https://webagentes.canaldirecto.com.ar/incidents/view/792107-6" xr:uid="{00000000-0004-0000-0300-0000450B0000}"/>
    <hyperlink ref="A3047" r:id="rId2887" display="https://webagentes.canaldirecto.com.ar/incidents/view/792106-7" xr:uid="{00000000-0004-0000-0300-0000460B0000}"/>
    <hyperlink ref="A3055" r:id="rId2888" display="https://webagentes.canaldirecto.com.ar/incidents/view/792076-7" xr:uid="{00000000-0004-0000-0300-0000470B0000}"/>
    <hyperlink ref="A3062" r:id="rId2889" display="https://webagentes.canaldirecto.com.ar/incidents/view/792042-0" xr:uid="{00000000-0004-0000-0300-0000480B0000}"/>
    <hyperlink ref="A3051" r:id="rId2890" display="https://webagentes.canaldirecto.com.ar/incidents/view/792004-0" xr:uid="{00000000-0004-0000-0300-0000490B0000}"/>
    <hyperlink ref="A3052" r:id="rId2891" display="https://webagentes.canaldirecto.com.ar/incidents/view/791897-5" xr:uid="{00000000-0004-0000-0300-00004A0B0000}"/>
    <hyperlink ref="A3043" r:id="rId2892" display="https://webagentes.canaldirecto.com.ar/incidents/view/791834-6" xr:uid="{00000000-0004-0000-0300-00004B0B0000}"/>
    <hyperlink ref="A3048" r:id="rId2893" display="https://webagentes.canaldirecto.com.ar/incidents/view/791795-8" xr:uid="{00000000-0004-0000-0300-00004C0B0000}"/>
    <hyperlink ref="A3049" r:id="rId2894" display="https://webagentes.canaldirecto.com.ar/incidents/view/791794-9" xr:uid="{00000000-0004-0000-0300-00004D0B0000}"/>
    <hyperlink ref="A3128" r:id="rId2895" display="https://webagentes.canaldirecto.com.ar/incidents/view/791758-7" xr:uid="{00000000-0004-0000-0300-00004E0B0000}"/>
    <hyperlink ref="A3045" r:id="rId2896" display="https://webagentes.canaldirecto.com.ar/incidents/view/791287-4" xr:uid="{00000000-0004-0000-0300-00004F0B0000}"/>
    <hyperlink ref="A3044" r:id="rId2897" display="https://webagentes.canaldirecto.com.ar/incidents/view/791242-1" xr:uid="{00000000-0004-0000-0300-0000500B0000}"/>
    <hyperlink ref="A3050" r:id="rId2898" display="https://webagentes.canaldirecto.com.ar/incidents/view/790890-5" xr:uid="{00000000-0004-0000-0300-0000510B0000}"/>
    <hyperlink ref="A3090" r:id="rId2899" display="https://webagentes.canaldirecto.com.ar/incidents/view/788334-1" xr:uid="{00000000-0004-0000-0300-0000520B0000}"/>
    <hyperlink ref="A3076" r:id="rId2900" display="https://webagentes.canaldirecto.com.ar/incidents/view/781278-7" xr:uid="{00000000-0004-0000-0300-0000530B0000}"/>
    <hyperlink ref="A3178" r:id="rId2901" display="https://webagentes.canaldirecto.com.ar/incidents/view/797600-3" xr:uid="{00000000-0004-0000-0300-0000540B0000}"/>
    <hyperlink ref="A3246" r:id="rId2902" display="https://webagentes.canaldirecto.com.ar/incidents/view/797551-8" xr:uid="{00000000-0004-0000-0300-0000550B0000}"/>
    <hyperlink ref="A3240" r:id="rId2903" display="https://webagentes.canaldirecto.com.ar/incidents/view/797550-9" xr:uid="{00000000-0004-0000-0300-0000560B0000}"/>
    <hyperlink ref="A3241" r:id="rId2904" display="https://webagentes.canaldirecto.com.ar/incidents/view/797549-3" xr:uid="{00000000-0004-0000-0300-0000570B0000}"/>
    <hyperlink ref="A3242" r:id="rId2905" display="https://webagentes.canaldirecto.com.ar/incidents/view/797548-4" xr:uid="{00000000-0004-0000-0300-0000580B0000}"/>
    <hyperlink ref="A3243" r:id="rId2906" display="https://webagentes.canaldirecto.com.ar/incidents/view/797547-5" xr:uid="{00000000-0004-0000-0300-0000590B0000}"/>
    <hyperlink ref="A3244" r:id="rId2907" display="https://webagentes.canaldirecto.com.ar/incidents/view/797546-6" xr:uid="{00000000-0004-0000-0300-00005A0B0000}"/>
    <hyperlink ref="A3245" r:id="rId2908" display="https://webagentes.canaldirecto.com.ar/incidents/view/797545-7" xr:uid="{00000000-0004-0000-0300-00005B0B0000}"/>
    <hyperlink ref="A3239" r:id="rId2909" display="https://webagentes.canaldirecto.com.ar/incidents/view/797420-9" xr:uid="{00000000-0004-0000-0300-00005C0B0000}"/>
    <hyperlink ref="A3232" r:id="rId2910" display="https://webagentes.canaldirecto.com.ar/incidents/view/797419-3" xr:uid="{00000000-0004-0000-0300-00005D0B0000}"/>
    <hyperlink ref="A3233" r:id="rId2911" display="https://webagentes.canaldirecto.com.ar/incidents/view/797418-4" xr:uid="{00000000-0004-0000-0300-00005E0B0000}"/>
    <hyperlink ref="A3234" r:id="rId2912" display="https://webagentes.canaldirecto.com.ar/incidents/view/797417-5" xr:uid="{00000000-0004-0000-0300-00005F0B0000}"/>
    <hyperlink ref="A3235" r:id="rId2913" display="https://webagentes.canaldirecto.com.ar/incidents/view/797414-8" xr:uid="{00000000-0004-0000-0300-0000600B0000}"/>
    <hyperlink ref="A3236" r:id="rId2914" display="https://webagentes.canaldirecto.com.ar/incidents/view/797413-9" xr:uid="{00000000-0004-0000-0300-0000610B0000}"/>
    <hyperlink ref="A3237" r:id="rId2915" display="https://webagentes.canaldirecto.com.ar/incidents/view/797412-0" xr:uid="{00000000-0004-0000-0300-0000620B0000}"/>
    <hyperlink ref="A3238" r:id="rId2916" display="https://webagentes.canaldirecto.com.ar/incidents/view/797411-1" xr:uid="{00000000-0004-0000-0300-0000630B0000}"/>
    <hyperlink ref="A3228" r:id="rId2917" display="https://webagentes.canaldirecto.com.ar/incidents/view/797314-9" xr:uid="{00000000-0004-0000-0300-0000640B0000}"/>
    <hyperlink ref="A3229" r:id="rId2918" display="https://webagentes.canaldirecto.com.ar/incidents/view/797313-0" xr:uid="{00000000-0004-0000-0300-0000650B0000}"/>
    <hyperlink ref="A3230" r:id="rId2919" display="https://webagentes.canaldirecto.com.ar/incidents/view/797312-1" xr:uid="{00000000-0004-0000-0300-0000660B0000}"/>
    <hyperlink ref="A3231" r:id="rId2920" display="https://webagentes.canaldirecto.com.ar/incidents/view/797109-9" xr:uid="{00000000-0004-0000-0300-0000670B0000}"/>
    <hyperlink ref="A3224" r:id="rId2921" display="https://webagentes.canaldirecto.com.ar/incidents/view/797108-0" xr:uid="{00000000-0004-0000-0300-0000680B0000}"/>
    <hyperlink ref="A3225" r:id="rId2922" display="https://webagentes.canaldirecto.com.ar/incidents/view/797107-1" xr:uid="{00000000-0004-0000-0300-0000690B0000}"/>
    <hyperlink ref="A3226" r:id="rId2923" display="https://webagentes.canaldirecto.com.ar/incidents/view/797106-2" xr:uid="{00000000-0004-0000-0300-00006A0B0000}"/>
    <hyperlink ref="A3227" r:id="rId2924" display="https://webagentes.canaldirecto.com.ar/incidents/view/797105-3" xr:uid="{00000000-0004-0000-0300-00006B0B0000}"/>
    <hyperlink ref="A3177" r:id="rId2925" display="https://webagentes.canaldirecto.com.ar/incidents/view/797099-3" xr:uid="{00000000-0004-0000-0300-00006C0B0000}"/>
    <hyperlink ref="A3176" r:id="rId2926" display="https://webagentes.canaldirecto.com.ar/incidents/view/796882-8" xr:uid="{00000000-0004-0000-0300-00006D0B0000}"/>
    <hyperlink ref="A3174" r:id="rId2927" display="https://webagentes.canaldirecto.com.ar/incidents/view/796576-0" xr:uid="{00000000-0004-0000-0300-00006E0B0000}"/>
    <hyperlink ref="A3170" r:id="rId2928" display="https://webagentes.canaldirecto.com.ar/incidents/view/796472-5" xr:uid="{00000000-0004-0000-0300-00006F0B0000}"/>
    <hyperlink ref="A3175" r:id="rId2929" display="https://webagentes.canaldirecto.com.ar/incidents/view/796443-3" xr:uid="{00000000-0004-0000-0300-0000700B0000}"/>
    <hyperlink ref="A3166" r:id="rId2930" display="https://webagentes.canaldirecto.com.ar/incidents/view/796382-3" xr:uid="{00000000-0004-0000-0300-0000710B0000}"/>
    <hyperlink ref="A3171" r:id="rId2931" display="https://webagentes.canaldirecto.com.ar/incidents/view/796377-1" xr:uid="{00000000-0004-0000-0300-0000720B0000}"/>
    <hyperlink ref="A3173" r:id="rId2932" display="https://webagentes.canaldirecto.com.ar/incidents/view/796305-4" xr:uid="{00000000-0004-0000-0300-0000730B0000}"/>
    <hyperlink ref="A3168" r:id="rId2933" display="https://webagentes.canaldirecto.com.ar/incidents/view/796259-6" xr:uid="{00000000-0004-0000-0300-0000740B0000}"/>
    <hyperlink ref="A3169" r:id="rId2934" display="https://webagentes.canaldirecto.com.ar/incidents/view/796145-4" xr:uid="{00000000-0004-0000-0300-0000750B0000}"/>
    <hyperlink ref="A3218" r:id="rId2935" display="https://webagentes.canaldirecto.com.ar/incidents/view/796064-0" xr:uid="{00000000-0004-0000-0300-0000760B0000}"/>
    <hyperlink ref="A3219" r:id="rId2936" display="https://webagentes.canaldirecto.com.ar/incidents/view/796063-1" xr:uid="{00000000-0004-0000-0300-0000770B0000}"/>
    <hyperlink ref="A3222" r:id="rId2937" display="https://webagentes.canaldirecto.com.ar/incidents/view/796060-4" xr:uid="{00000000-0004-0000-0300-0000780B0000}"/>
    <hyperlink ref="A3223" r:id="rId2938" display="https://webagentes.canaldirecto.com.ar/incidents/view/796059-8" xr:uid="{00000000-0004-0000-0300-0000790B0000}"/>
    <hyperlink ref="A3220" r:id="rId2939" display="https://webagentes.canaldirecto.com.ar/incidents/view/796053-4" xr:uid="{00000000-0004-0000-0300-00007A0B0000}"/>
    <hyperlink ref="A3221" r:id="rId2940" display="https://webagentes.canaldirecto.com.ar/incidents/view/796052-5" xr:uid="{00000000-0004-0000-0300-00007B0B0000}"/>
    <hyperlink ref="A3172" r:id="rId2941" display="https://webagentes.canaldirecto.com.ar/incidents/view/796017-2" xr:uid="{00000000-0004-0000-0300-00007C0B0000}"/>
    <hyperlink ref="A3164" r:id="rId2942" display="https://webagentes.canaldirecto.com.ar/incidents/view/796016-3" xr:uid="{00000000-0004-0000-0300-00007D0B0000}"/>
    <hyperlink ref="A3213" r:id="rId2943" display="https://webagentes.canaldirecto.com.ar/incidents/view/795883-0" xr:uid="{00000000-0004-0000-0300-00007E0B0000}"/>
    <hyperlink ref="A3214" r:id="rId2944" display="https://webagentes.canaldirecto.com.ar/incidents/view/795882-1" xr:uid="{00000000-0004-0000-0300-00007F0B0000}"/>
    <hyperlink ref="A3215" r:id="rId2945" display="https://webagentes.canaldirecto.com.ar/incidents/view/795881-2" xr:uid="{00000000-0004-0000-0300-0000800B0000}"/>
    <hyperlink ref="A3216" r:id="rId2946" display="https://webagentes.canaldirecto.com.ar/incidents/view/795880-3" xr:uid="{00000000-0004-0000-0300-0000810B0000}"/>
    <hyperlink ref="A3217" r:id="rId2947" display="https://webagentes.canaldirecto.com.ar/incidents/view/795879-7" xr:uid="{00000000-0004-0000-0300-0000820B0000}"/>
    <hyperlink ref="A3209" r:id="rId2948" display="https://webagentes.canaldirecto.com.ar/incidents/view/795878-8" xr:uid="{00000000-0004-0000-0300-0000830B0000}"/>
    <hyperlink ref="A3210" r:id="rId2949" display="https://webagentes.canaldirecto.com.ar/incidents/view/795877-9" xr:uid="{00000000-0004-0000-0300-0000840B0000}"/>
    <hyperlink ref="A3211" r:id="rId2950" display="https://webagentes.canaldirecto.com.ar/incidents/view/795876-0" xr:uid="{00000000-0004-0000-0300-0000850B0000}"/>
    <hyperlink ref="A3212" r:id="rId2951" display="https://webagentes.canaldirecto.com.ar/incidents/view/795875-1" xr:uid="{00000000-0004-0000-0300-0000860B0000}"/>
    <hyperlink ref="A3165" r:id="rId2952" display="https://webagentes.canaldirecto.com.ar/incidents/view/795874-2" xr:uid="{00000000-0004-0000-0300-0000870B0000}"/>
    <hyperlink ref="A3204" r:id="rId2953" display="https://webagentes.canaldirecto.com.ar/incidents/view/795873-3" xr:uid="{00000000-0004-0000-0300-0000880B0000}"/>
    <hyperlink ref="A3205" r:id="rId2954" display="https://webagentes.canaldirecto.com.ar/incidents/view/795872-4" xr:uid="{00000000-0004-0000-0300-0000890B0000}"/>
    <hyperlink ref="A3206" r:id="rId2955" display="https://webagentes.canaldirecto.com.ar/incidents/view/795870-6" xr:uid="{00000000-0004-0000-0300-00008A0B0000}"/>
    <hyperlink ref="A3207" r:id="rId2956" display="https://webagentes.canaldirecto.com.ar/incidents/view/795869-0" xr:uid="{00000000-0004-0000-0300-00008B0B0000}"/>
    <hyperlink ref="A3208" r:id="rId2957" display="https://webagentes.canaldirecto.com.ar/incidents/view/795868-1" xr:uid="{00000000-0004-0000-0300-00008C0B0000}"/>
    <hyperlink ref="A3162" r:id="rId2958" display="https://webagentes.canaldirecto.com.ar/incidents/view/795743-3" xr:uid="{00000000-0004-0000-0300-00008D0B0000}"/>
    <hyperlink ref="A3163" r:id="rId2959" display="https://webagentes.canaldirecto.com.ar/incidents/view/795736-3" xr:uid="{00000000-0004-0000-0300-00008E0B0000}"/>
    <hyperlink ref="A3183" r:id="rId2960" display="https://webagentes.canaldirecto.com.ar/incidents/view/795591-2" xr:uid="{00000000-0004-0000-0300-00008F0B0000}"/>
    <hyperlink ref="A3186" r:id="rId2961" display="https://webagentes.canaldirecto.com.ar/incidents/view/795590-3" xr:uid="{00000000-0004-0000-0300-0000900B0000}"/>
    <hyperlink ref="A3187" r:id="rId2962" display="https://webagentes.canaldirecto.com.ar/incidents/view/795589-7" xr:uid="{00000000-0004-0000-0300-0000910B0000}"/>
    <hyperlink ref="A3184" r:id="rId2963" display="https://webagentes.canaldirecto.com.ar/incidents/view/795588-8" xr:uid="{00000000-0004-0000-0300-0000920B0000}"/>
    <hyperlink ref="A3188" r:id="rId2964" display="https://webagentes.canaldirecto.com.ar/incidents/view/795587-9" xr:uid="{00000000-0004-0000-0300-0000930B0000}"/>
    <hyperlink ref="A3185" r:id="rId2965" display="https://webagentes.canaldirecto.com.ar/incidents/view/795586-0" xr:uid="{00000000-0004-0000-0300-0000940B0000}"/>
    <hyperlink ref="A3189" r:id="rId2966" display="https://webagentes.canaldirecto.com.ar/incidents/view/795585-1" xr:uid="{00000000-0004-0000-0300-0000950B0000}"/>
    <hyperlink ref="A3190" r:id="rId2967" display="https://webagentes.canaldirecto.com.ar/incidents/view/795584-2" xr:uid="{00000000-0004-0000-0300-0000960B0000}"/>
    <hyperlink ref="A3191" r:id="rId2968" display="https://webagentes.canaldirecto.com.ar/incidents/view/795583-3" xr:uid="{00000000-0004-0000-0300-0000970B0000}"/>
    <hyperlink ref="A3192" r:id="rId2969" display="https://webagentes.canaldirecto.com.ar/incidents/view/795582-4" xr:uid="{00000000-0004-0000-0300-0000980B0000}"/>
    <hyperlink ref="A3193" r:id="rId2970" display="https://webagentes.canaldirecto.com.ar/incidents/view/795580-6" xr:uid="{00000000-0004-0000-0300-0000990B0000}"/>
    <hyperlink ref="A3194" r:id="rId2971" display="https://webagentes.canaldirecto.com.ar/incidents/view/795579-0" xr:uid="{00000000-0004-0000-0300-00009A0B0000}"/>
    <hyperlink ref="A3195" r:id="rId2972" display="https://webagentes.canaldirecto.com.ar/incidents/view/795578-1" xr:uid="{00000000-0004-0000-0300-00009B0B0000}"/>
    <hyperlink ref="A3196" r:id="rId2973" display="https://webagentes.canaldirecto.com.ar/incidents/view/795577-2" xr:uid="{00000000-0004-0000-0300-00009C0B0000}"/>
    <hyperlink ref="A3197" r:id="rId2974" display="https://webagentes.canaldirecto.com.ar/incidents/view/795575-4" xr:uid="{00000000-0004-0000-0300-00009D0B0000}"/>
    <hyperlink ref="A3198" r:id="rId2975" display="https://webagentes.canaldirecto.com.ar/incidents/view/795574-5" xr:uid="{00000000-0004-0000-0300-00009E0B0000}"/>
    <hyperlink ref="A3199" r:id="rId2976" display="https://webagentes.canaldirecto.com.ar/incidents/view/795573-6" xr:uid="{00000000-0004-0000-0300-00009F0B0000}"/>
    <hyperlink ref="A3200" r:id="rId2977" display="https://webagentes.canaldirecto.com.ar/incidents/view/795572-7" xr:uid="{00000000-0004-0000-0300-0000A00B0000}"/>
    <hyperlink ref="A3201" r:id="rId2978" display="https://webagentes.canaldirecto.com.ar/incidents/view/795571-8" xr:uid="{00000000-0004-0000-0300-0000A10B0000}"/>
    <hyperlink ref="A3202" r:id="rId2979" display="https://webagentes.canaldirecto.com.ar/incidents/view/795570-9" xr:uid="{00000000-0004-0000-0300-0000A20B0000}"/>
    <hyperlink ref="A3203" r:id="rId2980" display="https://webagentes.canaldirecto.com.ar/incidents/view/795568-4" xr:uid="{00000000-0004-0000-0300-0000A30B0000}"/>
    <hyperlink ref="A3158" r:id="rId2981" display="https://webagentes.canaldirecto.com.ar/incidents/view/795355-2" xr:uid="{00000000-0004-0000-0300-0000A40B0000}"/>
    <hyperlink ref="A3160" r:id="rId2982" display="https://webagentes.canaldirecto.com.ar/incidents/view/795351-6" xr:uid="{00000000-0004-0000-0300-0000A50B0000}"/>
    <hyperlink ref="A3159" r:id="rId2983" display="https://webagentes.canaldirecto.com.ar/incidents/view/795348-2" xr:uid="{00000000-0004-0000-0300-0000A60B0000}"/>
    <hyperlink ref="A3161" r:id="rId2984" display="https://webagentes.canaldirecto.com.ar/incidents/view/795334-9" xr:uid="{00000000-0004-0000-0300-0000A70B0000}"/>
    <hyperlink ref="A3167" r:id="rId2985" display="https://webagentes.canaldirecto.com.ar/incidents/view/795235-9" xr:uid="{00000000-0004-0000-0300-0000A80B0000}"/>
    <hyperlink ref="A3154" r:id="rId2986" display="https://webagentes.canaldirecto.com.ar/incidents/view/794900-9" xr:uid="{00000000-0004-0000-0300-0000A90B0000}"/>
    <hyperlink ref="A3181" r:id="rId2987" display="https://webagentes.canaldirecto.com.ar/incidents/view/794890-3" xr:uid="{00000000-0004-0000-0300-0000AA0B0000}"/>
    <hyperlink ref="A3182" r:id="rId2988" display="https://webagentes.canaldirecto.com.ar/incidents/view/794889-7" xr:uid="{00000000-0004-0000-0300-0000AB0B0000}"/>
    <hyperlink ref="A3155" r:id="rId2989" display="https://webagentes.canaldirecto.com.ar/incidents/view/794867-5" xr:uid="{00000000-0004-0000-0300-0000AC0B0000}"/>
    <hyperlink ref="A3156" r:id="rId2990" display="https://webagentes.canaldirecto.com.ar/incidents/view/794764-9" xr:uid="{00000000-0004-0000-0300-0000AD0B0000}"/>
    <hyperlink ref="A3151" r:id="rId2991" display="https://webagentes.canaldirecto.com.ar/incidents/view/794753-3" xr:uid="{00000000-0004-0000-0300-0000AE0B0000}"/>
    <hyperlink ref="A3152" r:id="rId2992" display="https://webagentes.canaldirecto.com.ar/incidents/view/794672-9" xr:uid="{00000000-0004-0000-0300-0000AF0B0000}"/>
    <hyperlink ref="A3247" r:id="rId2993" display="https://webagentes.canaldirecto.com.ar/incidents/view/794595-1" xr:uid="{00000000-0004-0000-0300-0000B00B0000}"/>
    <hyperlink ref="A3248" r:id="rId2994" display="https://webagentes.canaldirecto.com.ar/incidents/view/794594-2" xr:uid="{00000000-0004-0000-0300-0000B10B0000}"/>
    <hyperlink ref="A3249" r:id="rId2995" display="https://webagentes.canaldirecto.com.ar/incidents/view/794593-3" xr:uid="{00000000-0004-0000-0300-0000B20B0000}"/>
    <hyperlink ref="A3153" r:id="rId2996" display="https://webagentes.canaldirecto.com.ar/incidents/view/794439-6" xr:uid="{00000000-0004-0000-0300-0000B30B0000}"/>
    <hyperlink ref="A3157" r:id="rId2997" display="https://webagentes.canaldirecto.com.ar/incidents/view/794220-0" xr:uid="{00000000-0004-0000-0300-0000B40B0000}"/>
    <hyperlink ref="A3298" r:id="rId2998" display="https://webagentes.canaldirecto.com.ar/incidents/view/800427-9" xr:uid="{00000000-0004-0000-0300-0000B50B0000}"/>
    <hyperlink ref="A3299" r:id="rId2999" display="https://webagentes.canaldirecto.com.ar/incidents/view/800342-9" xr:uid="{00000000-0004-0000-0300-0000B60B0000}"/>
    <hyperlink ref="A3295" r:id="rId3000" display="https://webagentes.canaldirecto.com.ar/incidents/view/800304-9" xr:uid="{00000000-0004-0000-0300-0000B70B0000}"/>
    <hyperlink ref="A3300" r:id="rId3001" display="https://webagentes.canaldirecto.com.ar/incidents/view/800282-8" xr:uid="{00000000-0004-0000-0300-0000B80B0000}"/>
    <hyperlink ref="A3296" r:id="rId3002" display="https://webagentes.canaldirecto.com.ar/incidents/view/800169-8" xr:uid="{00000000-0004-0000-0300-0000B90B0000}"/>
    <hyperlink ref="A3297" r:id="rId3003" display="https://webagentes.canaldirecto.com.ar/incidents/view/800131-5" xr:uid="{00000000-0004-0000-0300-0000BA0B0000}"/>
    <hyperlink ref="A3306" r:id="rId3004" display="https://webagentes.canaldirecto.com.ar/incidents/view/800118-4" xr:uid="{00000000-0004-0000-0300-0000BB0B0000}"/>
    <hyperlink ref="A3350" r:id="rId3005" display="https://webagentes.canaldirecto.com.ar/incidents/view/800033-4" xr:uid="{00000000-0004-0000-0300-0000BC0B0000}"/>
    <hyperlink ref="A3351" r:id="rId3006" display="https://webagentes.canaldirecto.com.ar/incidents/view/800032-5" xr:uid="{00000000-0004-0000-0300-0000BD0B0000}"/>
    <hyperlink ref="A3352" r:id="rId3007" display="https://webagentes.canaldirecto.com.ar/incidents/view/800029-1" xr:uid="{00000000-0004-0000-0300-0000BE0B0000}"/>
    <hyperlink ref="A3301" r:id="rId3008" display="https://webagentes.canaldirecto.com.ar/incidents/view/800026-4" xr:uid="{00000000-0004-0000-0300-0000BF0B0000}"/>
    <hyperlink ref="A3336" r:id="rId3009" display="https://webagentes.canaldirecto.com.ar/incidents/view/799985-5" xr:uid="{00000000-0004-0000-0300-0000C00B0000}"/>
    <hyperlink ref="A3337" r:id="rId3010" display="https://webagentes.canaldirecto.com.ar/incidents/view/799982-8" xr:uid="{00000000-0004-0000-0300-0000C10B0000}"/>
    <hyperlink ref="A3338" r:id="rId3011" display="https://webagentes.canaldirecto.com.ar/incidents/view/799981-9" xr:uid="{00000000-0004-0000-0300-0000C20B0000}"/>
    <hyperlink ref="A3339" r:id="rId3012" display="https://webagentes.canaldirecto.com.ar/incidents/view/799979-4" xr:uid="{00000000-0004-0000-0300-0000C30B0000}"/>
    <hyperlink ref="A3340" r:id="rId3013" display="https://webagentes.canaldirecto.com.ar/incidents/view/799977-6" xr:uid="{00000000-0004-0000-0300-0000C40B0000}"/>
    <hyperlink ref="A3341" r:id="rId3014" display="https://webagentes.canaldirecto.com.ar/incidents/view/799976-7" xr:uid="{00000000-0004-0000-0300-0000C50B0000}"/>
    <hyperlink ref="A3342" r:id="rId3015" display="https://webagentes.canaldirecto.com.ar/incidents/view/799975-8" xr:uid="{00000000-0004-0000-0300-0000C60B0000}"/>
    <hyperlink ref="A3343" r:id="rId3016" display="https://webagentes.canaldirecto.com.ar/incidents/view/799974-9" xr:uid="{00000000-0004-0000-0300-0000C70B0000}"/>
    <hyperlink ref="A3344" r:id="rId3017" display="https://webagentes.canaldirecto.com.ar/incidents/view/799973-0" xr:uid="{00000000-0004-0000-0300-0000C80B0000}"/>
    <hyperlink ref="A3345" r:id="rId3018" display="https://webagentes.canaldirecto.com.ar/incidents/view/799972-1" xr:uid="{00000000-0004-0000-0300-0000C90B0000}"/>
    <hyperlink ref="A3346" r:id="rId3019" display="https://webagentes.canaldirecto.com.ar/incidents/view/799971-2" xr:uid="{00000000-0004-0000-0300-0000CA0B0000}"/>
    <hyperlink ref="A3347" r:id="rId3020" display="https://webagentes.canaldirecto.com.ar/incidents/view/799970-3" xr:uid="{00000000-0004-0000-0300-0000CB0B0000}"/>
    <hyperlink ref="A3348" r:id="rId3021" display="https://webagentes.canaldirecto.com.ar/incidents/view/799969-7" xr:uid="{00000000-0004-0000-0300-0000CC0B0000}"/>
    <hyperlink ref="A3302" r:id="rId3022" display="https://webagentes.canaldirecto.com.ar/incidents/view/799850-0" xr:uid="{00000000-0004-0000-0300-0000CD0B0000}"/>
    <hyperlink ref="A3290" r:id="rId3023" display="https://webagentes.canaldirecto.com.ar/incidents/view/799846-7" xr:uid="{00000000-0004-0000-0300-0000CE0B0000}"/>
    <hyperlink ref="A3291" r:id="rId3024" display="https://webagentes.canaldirecto.com.ar/incidents/view/799845-8" xr:uid="{00000000-0004-0000-0300-0000CF0B0000}"/>
    <hyperlink ref="A3323" r:id="rId3025" display="https://webagentes.canaldirecto.com.ar/incidents/view/799773-2" xr:uid="{00000000-0004-0000-0300-0000D00B0000}"/>
    <hyperlink ref="A3324" r:id="rId3026" display="https://webagentes.canaldirecto.com.ar/incidents/view/799772-3" xr:uid="{00000000-0004-0000-0300-0000D10B0000}"/>
    <hyperlink ref="A3325" r:id="rId3027" display="https://webagentes.canaldirecto.com.ar/incidents/view/799771-4" xr:uid="{00000000-0004-0000-0300-0000D20B0000}"/>
    <hyperlink ref="A3326" r:id="rId3028" display="https://webagentes.canaldirecto.com.ar/incidents/view/799770-5" xr:uid="{00000000-0004-0000-0300-0000D30B0000}"/>
    <hyperlink ref="A3327" r:id="rId3029" display="https://webagentes.canaldirecto.com.ar/incidents/view/799769-9" xr:uid="{00000000-0004-0000-0300-0000D40B0000}"/>
    <hyperlink ref="A3328" r:id="rId3030" display="https://webagentes.canaldirecto.com.ar/incidents/view/799765-3" xr:uid="{00000000-0004-0000-0300-0000D50B0000}"/>
    <hyperlink ref="A3329" r:id="rId3031" display="https://webagentes.canaldirecto.com.ar/incidents/view/799763-5" xr:uid="{00000000-0004-0000-0300-0000D60B0000}"/>
    <hyperlink ref="A3330" r:id="rId3032" display="https://webagentes.canaldirecto.com.ar/incidents/view/799762-6" xr:uid="{00000000-0004-0000-0300-0000D70B0000}"/>
    <hyperlink ref="A3331" r:id="rId3033" display="https://webagentes.canaldirecto.com.ar/incidents/view/799761-7" xr:uid="{00000000-0004-0000-0300-0000D80B0000}"/>
    <hyperlink ref="A3332" r:id="rId3034" display="https://webagentes.canaldirecto.com.ar/incidents/view/799757-4" xr:uid="{00000000-0004-0000-0300-0000D90B0000}"/>
    <hyperlink ref="A3333" r:id="rId3035" display="https://webagentes.canaldirecto.com.ar/incidents/view/799756-5" xr:uid="{00000000-0004-0000-0300-0000DA0B0000}"/>
    <hyperlink ref="A3334" r:id="rId3036" display="https://webagentes.canaldirecto.com.ar/incidents/view/799755-6" xr:uid="{00000000-0004-0000-0300-0000DB0B0000}"/>
    <hyperlink ref="A3335" r:id="rId3037" display="https://webagentes.canaldirecto.com.ar/incidents/view/799752-9" xr:uid="{00000000-0004-0000-0300-0000DC0B0000}"/>
    <hyperlink ref="A3349" r:id="rId3038" display="https://webagentes.canaldirecto.com.ar/incidents/view/799751-0" xr:uid="{00000000-0004-0000-0300-0000DD0B0000}"/>
    <hyperlink ref="A3292" r:id="rId3039" display="https://webagentes.canaldirecto.com.ar/incidents/view/799739-8" xr:uid="{00000000-0004-0000-0300-0000DE0B0000}"/>
    <hyperlink ref="A3303" r:id="rId3040" display="https://webagentes.canaldirecto.com.ar/incidents/view/799704-2" xr:uid="{00000000-0004-0000-0300-0000DF0B0000}"/>
    <hyperlink ref="A3307" r:id="rId3041" display="https://webagentes.canaldirecto.com.ar/incidents/view/799674-2" xr:uid="{00000000-0004-0000-0300-0000E00B0000}"/>
    <hyperlink ref="A3304" r:id="rId3042" display="https://webagentes.canaldirecto.com.ar/incidents/view/799631-7" xr:uid="{00000000-0004-0000-0300-0000E10B0000}"/>
    <hyperlink ref="A3305" r:id="rId3043" display="https://webagentes.canaldirecto.com.ar/incidents/view/799621-0" xr:uid="{00000000-0004-0000-0300-0000E20B0000}"/>
    <hyperlink ref="A3284" r:id="rId3044" display="https://webagentes.canaldirecto.com.ar/incidents/view/799613-1" xr:uid="{00000000-0004-0000-0300-0000E30B0000}"/>
    <hyperlink ref="A3285" r:id="rId3045" display="https://webagentes.canaldirecto.com.ar/incidents/view/799604-3" xr:uid="{00000000-0004-0000-0300-0000E40B0000}"/>
    <hyperlink ref="A3286" r:id="rId3046" display="https://webagentes.canaldirecto.com.ar/incidents/view/799372-7" xr:uid="{00000000-0004-0000-0300-0000E50B0000}"/>
    <hyperlink ref="A3293" r:id="rId3047" display="https://webagentes.canaldirecto.com.ar/incidents/view/799357-8" xr:uid="{00000000-0004-0000-0300-0000E60B0000}"/>
    <hyperlink ref="A3289" r:id="rId3048" display="https://webagentes.canaldirecto.com.ar/incidents/view/799346-2" xr:uid="{00000000-0004-0000-0300-0000E70B0000}"/>
    <hyperlink ref="A3287" r:id="rId3049" display="https://webagentes.canaldirecto.com.ar/incidents/view/799338-3" xr:uid="{00000000-0004-0000-0300-0000E80B0000}"/>
    <hyperlink ref="A3279" r:id="rId3050" display="https://webagentes.canaldirecto.com.ar/incidents/view/799263-0" xr:uid="{00000000-0004-0000-0300-0000E90B0000}"/>
    <hyperlink ref="A3280" r:id="rId3051" display="https://webagentes.canaldirecto.com.ar/incidents/view/799259-7" xr:uid="{00000000-0004-0000-0300-0000EA0B0000}"/>
    <hyperlink ref="A3288" r:id="rId3052" display="https://webagentes.canaldirecto.com.ar/incidents/view/799230-2" xr:uid="{00000000-0004-0000-0300-0000EB0B0000}"/>
    <hyperlink ref="A3275" r:id="rId3053" display="https://webagentes.canaldirecto.com.ar/incidents/view/799083-6" xr:uid="{00000000-0004-0000-0300-0000EC0B0000}"/>
    <hyperlink ref="A3281" r:id="rId3054" display="https://webagentes.canaldirecto.com.ar/incidents/view/799037-7" xr:uid="{00000000-0004-0000-0300-0000ED0B0000}"/>
    <hyperlink ref="A3276" r:id="rId3055" display="https://webagentes.canaldirecto.com.ar/incidents/view/799031-3" xr:uid="{00000000-0004-0000-0300-0000EE0B0000}"/>
    <hyperlink ref="A3277" r:id="rId3056" display="https://webagentes.canaldirecto.com.ar/incidents/view/799030-4" xr:uid="{00000000-0004-0000-0300-0000EF0B0000}"/>
    <hyperlink ref="A3271" r:id="rId3057" display="https://webagentes.canaldirecto.com.ar/incidents/view/798984-9" xr:uid="{00000000-0004-0000-0300-0000F00B0000}"/>
    <hyperlink ref="A3282" r:id="rId3058" display="https://webagentes.canaldirecto.com.ar/incidents/view/798940-5" xr:uid="{00000000-0004-0000-0300-0000F10B0000}"/>
    <hyperlink ref="A3294" r:id="rId3059" display="https://webagentes.canaldirecto.com.ar/incidents/view/798787-8" xr:uid="{00000000-0004-0000-0300-0000F20B0000}"/>
    <hyperlink ref="A3267" r:id="rId3060" display="https://webagentes.canaldirecto.com.ar/incidents/view/798786-9" xr:uid="{00000000-0004-0000-0300-0000F30B0000}"/>
    <hyperlink ref="A3269" r:id="rId3061" display="https://webagentes.canaldirecto.com.ar/incidents/view/798755-9" xr:uid="{00000000-0004-0000-0300-0000F40B0000}"/>
    <hyperlink ref="A3310" r:id="rId3062" display="https://webagentes.canaldirecto.com.ar/incidents/view/798688-8" xr:uid="{00000000-0004-0000-0300-0000F50B0000}"/>
    <hyperlink ref="A3311" r:id="rId3063" display="https://webagentes.canaldirecto.com.ar/incidents/view/798687-9" xr:uid="{00000000-0004-0000-0300-0000F60B0000}"/>
    <hyperlink ref="A3312" r:id="rId3064" display="https://webagentes.canaldirecto.com.ar/incidents/view/798686-0" xr:uid="{00000000-0004-0000-0300-0000F70B0000}"/>
    <hyperlink ref="A3313" r:id="rId3065" display="https://webagentes.canaldirecto.com.ar/incidents/view/798684-2" xr:uid="{00000000-0004-0000-0300-0000F80B0000}"/>
    <hyperlink ref="A3314" r:id="rId3066" display="https://webagentes.canaldirecto.com.ar/incidents/view/798683-3" xr:uid="{00000000-0004-0000-0300-0000F90B0000}"/>
    <hyperlink ref="A3315" r:id="rId3067" display="https://webagentes.canaldirecto.com.ar/incidents/view/798682-4" xr:uid="{00000000-0004-0000-0300-0000FA0B0000}"/>
    <hyperlink ref="A3316" r:id="rId3068" display="https://webagentes.canaldirecto.com.ar/incidents/view/798681-5" xr:uid="{00000000-0004-0000-0300-0000FB0B0000}"/>
    <hyperlink ref="A3272" r:id="rId3069" display="https://webagentes.canaldirecto.com.ar/incidents/view/798489-9" xr:uid="{00000000-0004-0000-0300-0000FC0B0000}"/>
    <hyperlink ref="A3260" r:id="rId3070" display="https://webagentes.canaldirecto.com.ar/incidents/view/798406-6" xr:uid="{00000000-0004-0000-0300-0000FD0B0000}"/>
    <hyperlink ref="A3273" r:id="rId3071" display="https://webagentes.canaldirecto.com.ar/incidents/view/798330-4" xr:uid="{00000000-0004-0000-0300-0000FE0B0000}"/>
    <hyperlink ref="A3263" r:id="rId3072" display="https://webagentes.canaldirecto.com.ar/incidents/view/798301-2" xr:uid="{00000000-0004-0000-0300-0000FF0B0000}"/>
    <hyperlink ref="A3278" r:id="rId3073" display="https://webagentes.canaldirecto.com.ar/incidents/view/798300-3" xr:uid="{00000000-0004-0000-0300-0000000C0000}"/>
    <hyperlink ref="A3268" r:id="rId3074" display="https://webagentes.canaldirecto.com.ar/incidents/view/798299-8" xr:uid="{00000000-0004-0000-0300-0000010C0000}"/>
    <hyperlink ref="A3261" r:id="rId3075" display="https://webagentes.canaldirecto.com.ar/incidents/view/798264-2" xr:uid="{00000000-0004-0000-0300-0000020C0000}"/>
    <hyperlink ref="A3274" r:id="rId3076" display="https://webagentes.canaldirecto.com.ar/incidents/view/798259-0" xr:uid="{00000000-0004-0000-0300-0000030C0000}"/>
    <hyperlink ref="A3262" r:id="rId3077" display="https://webagentes.canaldirecto.com.ar/incidents/view/798249-3" xr:uid="{00000000-0004-0000-0300-0000040C0000}"/>
    <hyperlink ref="A3283" r:id="rId3078" display="https://webagentes.canaldirecto.com.ar/incidents/view/798245-7" xr:uid="{00000000-0004-0000-0300-0000050C0000}"/>
    <hyperlink ref="A3264" r:id="rId3079" display="https://webagentes.canaldirecto.com.ar/incidents/view/798069-9" xr:uid="{00000000-0004-0000-0300-0000060C0000}"/>
    <hyperlink ref="A3266" r:id="rId3080" display="https://webagentes.canaldirecto.com.ar/incidents/view/798043-1" xr:uid="{00000000-0004-0000-0300-0000070C0000}"/>
    <hyperlink ref="A3270" r:id="rId3081" display="https://webagentes.canaldirecto.com.ar/incidents/view/798000-6" xr:uid="{00000000-0004-0000-0300-0000080C0000}"/>
    <hyperlink ref="A3265" r:id="rId3082" display="https://webagentes.canaldirecto.com.ar/incidents/view/797937-4" xr:uid="{00000000-0004-0000-0300-0000090C0000}"/>
    <hyperlink ref="A3353" r:id="rId3083" display="https://webagentes.canaldirecto.com.ar/incidents/view/797554-5" xr:uid="{00000000-0004-0000-0300-00000A0C0000}"/>
    <hyperlink ref="A3259" r:id="rId3084" display="https://webagentes.canaldirecto.com.ar/incidents/view/797259-3" xr:uid="{00000000-0004-0000-0300-00000B0C0000}"/>
    <hyperlink ref="A3256" r:id="rId3085" display="https://webagentes.canaldirecto.com.ar/incidents/view/797194-7" xr:uid="{00000000-0004-0000-0300-00000C0C0000}"/>
    <hyperlink ref="A3257" r:id="rId3086" display="https://webagentes.canaldirecto.com.ar/incidents/view/797032-8" xr:uid="{00000000-0004-0000-0300-00000D0C0000}"/>
    <hyperlink ref="A3258" r:id="rId3087" display="https://webagentes.canaldirecto.com.ar/incidents/view/796581-2" xr:uid="{00000000-0004-0000-0300-00000E0C0000}"/>
    <hyperlink ref="A3322" r:id="rId3088" display="https://webagentes.canaldirecto.com.ar/incidents/view/794443-9" xr:uid="{00000000-0004-0000-0300-00000F0C0000}"/>
    <hyperlink ref="A3317" r:id="rId3089" display="https://webagentes.canaldirecto.com.ar/incidents/view/794407-7" xr:uid="{00000000-0004-0000-0300-0000100C0000}"/>
    <hyperlink ref="A3318" r:id="rId3090" display="https://webagentes.canaldirecto.com.ar/incidents/view/794406-8" xr:uid="{00000000-0004-0000-0300-0000110C0000}"/>
    <hyperlink ref="A3319" r:id="rId3091" display="https://webagentes.canaldirecto.com.ar/incidents/view/794405-9" xr:uid="{00000000-0004-0000-0300-0000120C0000}"/>
    <hyperlink ref="A3320" r:id="rId3092" display="https://webagentes.canaldirecto.com.ar/incidents/view/794404-0" xr:uid="{00000000-0004-0000-0300-0000130C0000}"/>
    <hyperlink ref="A3321" r:id="rId3093" display="https://webagentes.canaldirecto.com.ar/incidents/view/794403-1" xr:uid="{00000000-0004-0000-0300-0000140C0000}"/>
    <hyperlink ref="A3354" r:id="rId3094" display="https://webagentes.canaldirecto.com.ar/incidents/view/785982-1" xr:uid="{00000000-0004-0000-0300-0000150C0000}"/>
    <hyperlink ref="A3427" r:id="rId3095" display="https://webagentes.canaldirecto.com.ar/incidents/view/803284-7" xr:uid="{00000000-0004-0000-0300-0000160C0000}"/>
    <hyperlink ref="A3428" r:id="rId3096" display="https://webagentes.canaldirecto.com.ar/incidents/view/803261-6" xr:uid="{00000000-0004-0000-0300-0000170C0000}"/>
    <hyperlink ref="A3429" r:id="rId3097" display="https://webagentes.canaldirecto.com.ar/incidents/view/803260-7" xr:uid="{00000000-0004-0000-0300-0000180C0000}"/>
    <hyperlink ref="A3430" r:id="rId3098" display="https://webagentes.canaldirecto.com.ar/incidents/view/803258-2" xr:uid="{00000000-0004-0000-0300-0000190C0000}"/>
    <hyperlink ref="A3431" r:id="rId3099" display="https://webagentes.canaldirecto.com.ar/incidents/view/803257-3" xr:uid="{00000000-0004-0000-0300-00001A0C0000}"/>
    <hyperlink ref="A3432" r:id="rId3100" display="https://webagentes.canaldirecto.com.ar/incidents/view/803256-4" xr:uid="{00000000-0004-0000-0300-00001B0C0000}"/>
    <hyperlink ref="A3394" r:id="rId3101" display="https://webagentes.canaldirecto.com.ar/incidents/view/803158-3" xr:uid="{00000000-0004-0000-0300-00001C0C0000}"/>
    <hyperlink ref="A3395" r:id="rId3102" display="https://webagentes.canaldirecto.com.ar/incidents/view/802971-9" xr:uid="{00000000-0004-0000-0300-00001D0C0000}"/>
    <hyperlink ref="A3392" r:id="rId3103" display="https://webagentes.canaldirecto.com.ar/incidents/view/802962-1" xr:uid="{00000000-0004-0000-0300-00001E0C0000}"/>
    <hyperlink ref="A3396" r:id="rId3104" display="https://webagentes.canaldirecto.com.ar/incidents/view/802816-3" xr:uid="{00000000-0004-0000-0300-00001F0C0000}"/>
    <hyperlink ref="A3393" r:id="rId3105" display="https://webagentes.canaldirecto.com.ar/incidents/view/802611-0" xr:uid="{00000000-0004-0000-0300-0000200C0000}"/>
    <hyperlink ref="A3383" r:id="rId3106" display="https://webagentes.canaldirecto.com.ar/incidents/view/802540-3" xr:uid="{00000000-0004-0000-0300-0000210C0000}"/>
    <hyperlink ref="A3384" r:id="rId3107" display="https://webagentes.canaldirecto.com.ar/incidents/view/802539-7" xr:uid="{00000000-0004-0000-0300-0000220C0000}"/>
    <hyperlink ref="A3385" r:id="rId3108" display="https://webagentes.canaldirecto.com.ar/incidents/view/802538-8" xr:uid="{00000000-0004-0000-0300-0000230C0000}"/>
    <hyperlink ref="A3386" r:id="rId3109" display="https://webagentes.canaldirecto.com.ar/incidents/view/802537-9" xr:uid="{00000000-0004-0000-0300-0000240C0000}"/>
    <hyperlink ref="A3387" r:id="rId3110" display="https://webagentes.canaldirecto.com.ar/incidents/view/802535-1" xr:uid="{00000000-0004-0000-0300-0000250C0000}"/>
    <hyperlink ref="A3382" r:id="rId3111" display="https://webagentes.canaldirecto.com.ar/incidents/view/802499-0" xr:uid="{00000000-0004-0000-0300-0000260C0000}"/>
    <hyperlink ref="A3413" r:id="rId3112" display="https://webagentes.canaldirecto.com.ar/incidents/view/802485-7" xr:uid="{00000000-0004-0000-0300-0000270C0000}"/>
    <hyperlink ref="A3414" r:id="rId3113" display="https://webagentes.canaldirecto.com.ar/incidents/view/802484-8" xr:uid="{00000000-0004-0000-0300-0000280C0000}"/>
    <hyperlink ref="A3415" r:id="rId3114" display="https://webagentes.canaldirecto.com.ar/incidents/view/802474-1" xr:uid="{00000000-0004-0000-0300-0000290C0000}"/>
    <hyperlink ref="A3416" r:id="rId3115" display="https://webagentes.canaldirecto.com.ar/incidents/view/802466-2" xr:uid="{00000000-0004-0000-0300-00002A0C0000}"/>
    <hyperlink ref="A3417" r:id="rId3116" display="https://webagentes.canaldirecto.com.ar/incidents/view/802423-7" xr:uid="{00000000-0004-0000-0300-00002B0C0000}"/>
    <hyperlink ref="A3418" r:id="rId3117" display="https://webagentes.canaldirecto.com.ar/incidents/view/802418-5" xr:uid="{00000000-0004-0000-0300-00002C0C0000}"/>
    <hyperlink ref="A3419" r:id="rId3118" display="https://webagentes.canaldirecto.com.ar/incidents/view/802417-6" xr:uid="{00000000-0004-0000-0300-00002D0C0000}"/>
    <hyperlink ref="A3420" r:id="rId3119" display="https://webagentes.canaldirecto.com.ar/incidents/view/802416-7" xr:uid="{00000000-0004-0000-0300-00002E0C0000}"/>
    <hyperlink ref="A3421" r:id="rId3120" display="https://webagentes.canaldirecto.com.ar/incidents/view/802415-8" xr:uid="{00000000-0004-0000-0300-00002F0C0000}"/>
    <hyperlink ref="A3422" r:id="rId3121" display="https://webagentes.canaldirecto.com.ar/incidents/view/802414-9" xr:uid="{00000000-0004-0000-0300-0000300C0000}"/>
    <hyperlink ref="A3423" r:id="rId3122" display="https://webagentes.canaldirecto.com.ar/incidents/view/802413-0" xr:uid="{00000000-0004-0000-0300-0000310C0000}"/>
    <hyperlink ref="A3424" r:id="rId3123" display="https://webagentes.canaldirecto.com.ar/incidents/view/802412-1" xr:uid="{00000000-0004-0000-0300-0000320C0000}"/>
    <hyperlink ref="A3425" r:id="rId3124" display="https://webagentes.canaldirecto.com.ar/incidents/view/802411-2" xr:uid="{00000000-0004-0000-0300-0000330C0000}"/>
    <hyperlink ref="A3381" r:id="rId3125" display="https://webagentes.canaldirecto.com.ar/incidents/view/802329-2" xr:uid="{00000000-0004-0000-0300-0000340C0000}"/>
    <hyperlink ref="A3378" r:id="rId3126" display="https://webagentes.canaldirecto.com.ar/incidents/view/802199-3" xr:uid="{00000000-0004-0000-0300-0000350C0000}"/>
    <hyperlink ref="A3388" r:id="rId3127" display="https://webagentes.canaldirecto.com.ar/incidents/view/802173-5" xr:uid="{00000000-0004-0000-0300-0000360C0000}"/>
    <hyperlink ref="A3374" r:id="rId3128" display="https://webagentes.canaldirecto.com.ar/incidents/view/801998-9" xr:uid="{00000000-0004-0000-0300-0000370C0000}"/>
    <hyperlink ref="A3375" r:id="rId3129" display="https://webagentes.canaldirecto.com.ar/incidents/view/801997-0" xr:uid="{00000000-0004-0000-0300-0000380C0000}"/>
    <hyperlink ref="A3379" r:id="rId3130" display="https://webagentes.canaldirecto.com.ar/incidents/view/801957-2" xr:uid="{00000000-0004-0000-0300-0000390C0000}"/>
    <hyperlink ref="A3397" r:id="rId3131" display="https://webagentes.canaldirecto.com.ar/incidents/view/801929-9" xr:uid="{00000000-0004-0000-0300-00003A0C0000}"/>
    <hyperlink ref="A3376" r:id="rId3132" display="https://webagentes.canaldirecto.com.ar/incidents/view/801644-1" xr:uid="{00000000-0004-0000-0300-00003B0C0000}"/>
    <hyperlink ref="A3380" r:id="rId3133" display="https://webagentes.canaldirecto.com.ar/incidents/view/801550-3" xr:uid="{00000000-0004-0000-0300-00003C0C0000}"/>
    <hyperlink ref="A3405" r:id="rId3134" display="https://webagentes.canaldirecto.com.ar/incidents/view/801539-0" xr:uid="{00000000-0004-0000-0300-00003D0C0000}"/>
    <hyperlink ref="A3406" r:id="rId3135" display="https://webagentes.canaldirecto.com.ar/incidents/view/801480-5" xr:uid="{00000000-0004-0000-0300-00003E0C0000}"/>
    <hyperlink ref="A3407" r:id="rId3136" display="https://webagentes.canaldirecto.com.ar/incidents/view/801479-9" xr:uid="{00000000-0004-0000-0300-00003F0C0000}"/>
    <hyperlink ref="A3408" r:id="rId3137" display="https://webagentes.canaldirecto.com.ar/incidents/view/801478-0" xr:uid="{00000000-0004-0000-0300-0000400C0000}"/>
    <hyperlink ref="A3409" r:id="rId3138" display="https://webagentes.canaldirecto.com.ar/incidents/view/801477-1" xr:uid="{00000000-0004-0000-0300-0000410C0000}"/>
    <hyperlink ref="A3377" r:id="rId3139" display="https://webagentes.canaldirecto.com.ar/incidents/view/801458-6" xr:uid="{00000000-0004-0000-0300-0000420C0000}"/>
    <hyperlink ref="A3389" r:id="rId3140" display="https://webagentes.canaldirecto.com.ar/incidents/view/801374-5" xr:uid="{00000000-0004-0000-0300-0000430C0000}"/>
    <hyperlink ref="A3390" r:id="rId3141" display="https://webagentes.canaldirecto.com.ar/incidents/view/801373-6" xr:uid="{00000000-0004-0000-0300-0000440C0000}"/>
    <hyperlink ref="A3391" r:id="rId3142" display="https://webagentes.canaldirecto.com.ar/incidents/view/801372-7" xr:uid="{00000000-0004-0000-0300-0000450C0000}"/>
    <hyperlink ref="A3410" r:id="rId3143" display="https://webagentes.canaldirecto.com.ar/incidents/view/801336-5" xr:uid="{00000000-0004-0000-0300-0000460C0000}"/>
    <hyperlink ref="A3371" r:id="rId3144" display="https://webagentes.canaldirecto.com.ar/incidents/view/801332-9" xr:uid="{00000000-0004-0000-0300-0000470C0000}"/>
    <hyperlink ref="A3369" r:id="rId3145" display="https://webagentes.canaldirecto.com.ar/incidents/view/801219-9" xr:uid="{00000000-0004-0000-0300-0000480C0000}"/>
    <hyperlink ref="A3372" r:id="rId3146" display="https://webagentes.canaldirecto.com.ar/incidents/view/801151-6" xr:uid="{00000000-0004-0000-0300-0000490C0000}"/>
    <hyperlink ref="A3373" r:id="rId3147" display="https://webagentes.canaldirecto.com.ar/incidents/view/801112-7" xr:uid="{00000000-0004-0000-0300-00004A0C0000}"/>
    <hyperlink ref="A3400" r:id="rId3148" display="https://webagentes.canaldirecto.com.ar/incidents/view/801017-3" xr:uid="{00000000-0004-0000-0300-00004B0C0000}"/>
    <hyperlink ref="A3401" r:id="rId3149" display="https://webagentes.canaldirecto.com.ar/incidents/view/801016-4" xr:uid="{00000000-0004-0000-0300-00004C0C0000}"/>
    <hyperlink ref="A3368" r:id="rId3150" display="https://webagentes.canaldirecto.com.ar/incidents/view/800938-0" xr:uid="{00000000-0004-0000-0300-00004D0C0000}"/>
    <hyperlink ref="A3370" r:id="rId3151" display="https://webagentes.canaldirecto.com.ar/incidents/view/800837-2" xr:uid="{00000000-0004-0000-0300-00004E0C0000}"/>
    <hyperlink ref="A3365" r:id="rId3152" display="https://webagentes.canaldirecto.com.ar/incidents/view/800791-1" xr:uid="{00000000-0004-0000-0300-00004F0C0000}"/>
    <hyperlink ref="A3359" r:id="rId3153" display="https://webagentes.canaldirecto.com.ar/incidents/view/800660-2" xr:uid="{00000000-0004-0000-0300-0000500C0000}"/>
    <hyperlink ref="A3360" r:id="rId3154" display="https://webagentes.canaldirecto.com.ar/incidents/view/800550-6" xr:uid="{00000000-0004-0000-0300-0000510C0000}"/>
    <hyperlink ref="A3366" r:id="rId3155" display="https://webagentes.canaldirecto.com.ar/incidents/view/800515-3" xr:uid="{00000000-0004-0000-0300-0000520C0000}"/>
    <hyperlink ref="A3363" r:id="rId3156" display="https://webagentes.canaldirecto.com.ar/incidents/view/800426-0" xr:uid="{00000000-0004-0000-0300-0000530C0000}"/>
    <hyperlink ref="A3364" r:id="rId3157" display="https://webagentes.canaldirecto.com.ar/incidents/view/800425-1" xr:uid="{00000000-0004-0000-0300-0000540C0000}"/>
    <hyperlink ref="A3367" r:id="rId3158" display="https://webagentes.canaldirecto.com.ar/incidents/view/800267-9" xr:uid="{00000000-0004-0000-0300-0000550C0000}"/>
    <hyperlink ref="A3361" r:id="rId3159" display="https://webagentes.canaldirecto.com.ar/incidents/view/800246-6" xr:uid="{00000000-0004-0000-0300-0000560C0000}"/>
    <hyperlink ref="A3362" r:id="rId3160" display="https://webagentes.canaldirecto.com.ar/incidents/view/799500-8" xr:uid="{00000000-0004-0000-0300-0000570C0000}"/>
    <hyperlink ref="A3426" r:id="rId3161" display="https://webagentes.canaldirecto.com.ar/incidents/view/797416-6" xr:uid="{00000000-0004-0000-0300-0000580C0000}"/>
    <hyperlink ref="A3411" r:id="rId3162" display="https://webagentes.canaldirecto.com.ar/incidents/view/797415-7" xr:uid="{00000000-0004-0000-0300-0000590C0000}"/>
    <hyperlink ref="A3402" r:id="rId3163" display="https://webagentes.canaldirecto.com.ar/incidents/view/796559-3" xr:uid="{00000000-0004-0000-0300-00005A0C0000}"/>
    <hyperlink ref="A3403" r:id="rId3164" display="https://webagentes.canaldirecto.com.ar/incidents/view/796558-4" xr:uid="{00000000-0004-0000-0300-00005B0C0000}"/>
    <hyperlink ref="A3404" r:id="rId3165" display="https://webagentes.canaldirecto.com.ar/incidents/view/796557-5" xr:uid="{00000000-0004-0000-0300-00005C0C0000}"/>
    <hyperlink ref="A3412" r:id="rId3166" display="https://webagentes.canaldirecto.com.ar/incidents/view/796062-2" xr:uid="{00000000-0004-0000-0300-00005D0C0000}"/>
    <hyperlink ref="A3498" r:id="rId3167" display="https://webagentes.canaldirecto.com.ar/incidents/view/806328-1" xr:uid="{00000000-0004-0000-0300-00005E0C0000}"/>
    <hyperlink ref="A3499" r:id="rId3168" display="https://webagentes.canaldirecto.com.ar/incidents/view/806327-2" xr:uid="{00000000-0004-0000-0300-00005F0C0000}"/>
    <hyperlink ref="A3500" r:id="rId3169" display="https://webagentes.canaldirecto.com.ar/incidents/view/806326-3" xr:uid="{00000000-0004-0000-0300-0000600C0000}"/>
    <hyperlink ref="A3468" r:id="rId3170" display="https://webagentes.canaldirecto.com.ar/incidents/view/806324-5" xr:uid="{00000000-0004-0000-0300-0000610C0000}"/>
    <hyperlink ref="A3469" r:id="rId3171" display="https://webagentes.canaldirecto.com.ar/incidents/view/806322-7" xr:uid="{00000000-0004-0000-0300-0000620C0000}"/>
    <hyperlink ref="A3470" r:id="rId3172" display="https://webagentes.canaldirecto.com.ar/incidents/view/806321-8" xr:uid="{00000000-0004-0000-0300-0000630C0000}"/>
    <hyperlink ref="A3471" r:id="rId3173" display="https://webagentes.canaldirecto.com.ar/incidents/view/806320-9" xr:uid="{00000000-0004-0000-0300-0000640C0000}"/>
    <hyperlink ref="A3476" r:id="rId3174" display="https://webagentes.canaldirecto.com.ar/incidents/view/806255-6" xr:uid="{00000000-0004-0000-0300-0000650C0000}"/>
    <hyperlink ref="A3477" r:id="rId3175" display="https://webagentes.canaldirecto.com.ar/incidents/view/806254-7" xr:uid="{00000000-0004-0000-0300-0000660C0000}"/>
    <hyperlink ref="A3492" r:id="rId3176" display="https://webagentes.canaldirecto.com.ar/incidents/view/806221-9" xr:uid="{00000000-0004-0000-0300-0000670C0000}"/>
    <hyperlink ref="A3493" r:id="rId3177" display="https://webagentes.canaldirecto.com.ar/incidents/view/806220-0" xr:uid="{00000000-0004-0000-0300-0000680C0000}"/>
    <hyperlink ref="A3494" r:id="rId3178" display="https://webagentes.canaldirecto.com.ar/incidents/view/806219-4" xr:uid="{00000000-0004-0000-0300-0000690C0000}"/>
    <hyperlink ref="A3495" r:id="rId3179" display="https://webagentes.canaldirecto.com.ar/incidents/view/806218-5" xr:uid="{00000000-0004-0000-0300-00006A0C0000}"/>
    <hyperlink ref="A3462" r:id="rId3180" display="https://webagentes.canaldirecto.com.ar/incidents/view/805944-6" xr:uid="{00000000-0004-0000-0300-00006B0C0000}"/>
    <hyperlink ref="A3478" r:id="rId3181" display="https://webagentes.canaldirecto.com.ar/incidents/view/805815-5" xr:uid="{00000000-0004-0000-0300-00006C0C0000}"/>
    <hyperlink ref="A3463" r:id="rId3182" display="https://webagentes.canaldirecto.com.ar/incidents/view/805766-0" xr:uid="{00000000-0004-0000-0300-00006D0C0000}"/>
    <hyperlink ref="A3472" r:id="rId3183" display="https://webagentes.canaldirecto.com.ar/incidents/view/805688-3" xr:uid="{00000000-0004-0000-0300-00006E0C0000}"/>
    <hyperlink ref="A3453" r:id="rId3184" display="https://webagentes.canaldirecto.com.ar/incidents/view/805675-9" xr:uid="{00000000-0004-0000-0300-00006F0C0000}"/>
    <hyperlink ref="A3461" r:id="rId3185" display="https://webagentes.canaldirecto.com.ar/incidents/view/805664-3" xr:uid="{00000000-0004-0000-0300-0000700C0000}"/>
    <hyperlink ref="A3464" r:id="rId3186" display="https://webagentes.canaldirecto.com.ar/incidents/view/805663-4" xr:uid="{00000000-0004-0000-0300-0000710C0000}"/>
    <hyperlink ref="A3465" r:id="rId3187" display="https://webagentes.canaldirecto.com.ar/incidents/view/805551-0" xr:uid="{00000000-0004-0000-0300-0000720C0000}"/>
    <hyperlink ref="A3454" r:id="rId3188" display="https://webagentes.canaldirecto.com.ar/incidents/view/805536-1" xr:uid="{00000000-0004-0000-0300-0000730C0000}"/>
    <hyperlink ref="A3458" r:id="rId3189" display="https://webagentes.canaldirecto.com.ar/incidents/view/805519-4" xr:uid="{00000000-0004-0000-0300-0000740C0000}"/>
    <hyperlink ref="A3455" r:id="rId3190" display="https://webagentes.canaldirecto.com.ar/incidents/view/805487-6" xr:uid="{00000000-0004-0000-0300-0000750C0000}"/>
    <hyperlink ref="A3466" r:id="rId3191" display="https://webagentes.canaldirecto.com.ar/incidents/view/805325-7" xr:uid="{00000000-0004-0000-0300-0000760C0000}"/>
    <hyperlink ref="A3451" r:id="rId3192" display="https://webagentes.canaldirecto.com.ar/incidents/view/805057-9" xr:uid="{00000000-0004-0000-0300-0000770C0000}"/>
    <hyperlink ref="A3488" r:id="rId3193" display="https://webagentes.canaldirecto.com.ar/incidents/view/805019-9" xr:uid="{00000000-0004-0000-0300-0000780C0000}"/>
    <hyperlink ref="A3459" r:id="rId3194" display="https://webagentes.canaldirecto.com.ar/incidents/view/805015-3" xr:uid="{00000000-0004-0000-0300-0000790C0000}"/>
    <hyperlink ref="A3460" r:id="rId3195" display="https://webagentes.canaldirecto.com.ar/incidents/view/805014-4" xr:uid="{00000000-0004-0000-0300-00007A0C0000}"/>
    <hyperlink ref="A3473" r:id="rId3196" display="https://webagentes.canaldirecto.com.ar/incidents/view/805004-7" xr:uid="{00000000-0004-0000-0300-00007B0C0000}"/>
    <hyperlink ref="A3456" r:id="rId3197" display="https://webagentes.canaldirecto.com.ar/incidents/view/805002-9" xr:uid="{00000000-0004-0000-0300-00007C0C0000}"/>
    <hyperlink ref="A3467" r:id="rId3198" display="https://webagentes.canaldirecto.com.ar/incidents/view/804982-9" xr:uid="{00000000-0004-0000-0300-00007D0C0000}"/>
    <hyperlink ref="A3474" r:id="rId3199" display="https://webagentes.canaldirecto.com.ar/incidents/view/804974-0" xr:uid="{00000000-0004-0000-0300-00007E0C0000}"/>
    <hyperlink ref="A3457" r:id="rId3200" display="https://webagentes.canaldirecto.com.ar/incidents/view/804973-1" xr:uid="{00000000-0004-0000-0300-00007F0C0000}"/>
    <hyperlink ref="A3475" r:id="rId3201" display="https://webagentes.canaldirecto.com.ar/incidents/view/804968-9" xr:uid="{00000000-0004-0000-0300-0000800C0000}"/>
    <hyperlink ref="A3496" r:id="rId3202" display="https://webagentes.canaldirecto.com.ar/incidents/view/804948-5" xr:uid="{00000000-0004-0000-0300-0000810C0000}"/>
    <hyperlink ref="A3497" r:id="rId3203" display="https://webagentes.canaldirecto.com.ar/incidents/view/804947-6" xr:uid="{00000000-0004-0000-0300-0000820C0000}"/>
    <hyperlink ref="A3449" r:id="rId3204" display="https://webagentes.canaldirecto.com.ar/incidents/view/804700-7" xr:uid="{00000000-0004-0000-0300-0000830C0000}"/>
    <hyperlink ref="A3450" r:id="rId3205" display="https://webagentes.canaldirecto.com.ar/incidents/view/804626-6" xr:uid="{00000000-0004-0000-0300-0000840C0000}"/>
    <hyperlink ref="A3481" r:id="rId3206" display="https://webagentes.canaldirecto.com.ar/incidents/view/804584-1" xr:uid="{00000000-0004-0000-0300-0000850C0000}"/>
    <hyperlink ref="A3482" r:id="rId3207" display="https://webagentes.canaldirecto.com.ar/incidents/view/804582-3" xr:uid="{00000000-0004-0000-0300-0000860C0000}"/>
    <hyperlink ref="A3483" r:id="rId3208" display="https://webagentes.canaldirecto.com.ar/incidents/view/804581-4" xr:uid="{00000000-0004-0000-0300-0000870C0000}"/>
    <hyperlink ref="A3484" r:id="rId3209" display="https://webagentes.canaldirecto.com.ar/incidents/view/804326-9" xr:uid="{00000000-0004-0000-0300-0000880C0000}"/>
    <hyperlink ref="A3485" r:id="rId3210" display="https://webagentes.canaldirecto.com.ar/incidents/view/804325-0" xr:uid="{00000000-0004-0000-0300-0000890C0000}"/>
    <hyperlink ref="A3486" r:id="rId3211" display="https://webagentes.canaldirecto.com.ar/incidents/view/804324-1" xr:uid="{00000000-0004-0000-0300-00008A0C0000}"/>
    <hyperlink ref="A3487" r:id="rId3212" display="https://webagentes.canaldirecto.com.ar/incidents/view/804323-2" xr:uid="{00000000-0004-0000-0300-00008B0C0000}"/>
    <hyperlink ref="A3446" r:id="rId3213" display="https://webagentes.canaldirecto.com.ar/incidents/view/804319-9" xr:uid="{00000000-0004-0000-0300-00008C0C0000}"/>
    <hyperlink ref="A3447" r:id="rId3214" display="https://webagentes.canaldirecto.com.ar/incidents/view/804180-9" xr:uid="{00000000-0004-0000-0300-00008D0C0000}"/>
    <hyperlink ref="A3444" r:id="rId3215" display="https://webagentes.canaldirecto.com.ar/incidents/view/804133-1" xr:uid="{00000000-0004-0000-0300-00008E0C0000}"/>
    <hyperlink ref="A3445" r:id="rId3216" display="https://webagentes.canaldirecto.com.ar/incidents/view/804132-2" xr:uid="{00000000-0004-0000-0300-00008F0C0000}"/>
    <hyperlink ref="A3448" r:id="rId3217" display="https://webagentes.canaldirecto.com.ar/incidents/view/804117-3" xr:uid="{00000000-0004-0000-0300-0000900C0000}"/>
    <hyperlink ref="A3452" r:id="rId3218" display="https://webagentes.canaldirecto.com.ar/incidents/view/804079-4" xr:uid="{00000000-0004-0000-0300-0000910C0000}"/>
    <hyperlink ref="A3441" r:id="rId3219" display="https://webagentes.canaldirecto.com.ar/incidents/view/803852-2" xr:uid="{00000000-0004-0000-0300-0000920C0000}"/>
    <hyperlink ref="A3443" r:id="rId3220" display="https://webagentes.canaldirecto.com.ar/incidents/view/803491-5" xr:uid="{00000000-0004-0000-0300-0000930C0000}"/>
    <hyperlink ref="A3439" r:id="rId3221" display="https://webagentes.canaldirecto.com.ar/incidents/view/803356-3" xr:uid="{00000000-0004-0000-0300-0000940C0000}"/>
    <hyperlink ref="A3442" r:id="rId3222" display="https://webagentes.canaldirecto.com.ar/incidents/view/803027-4" xr:uid="{00000000-0004-0000-0300-0000950C0000}"/>
    <hyperlink ref="A3438" r:id="rId3223" display="https://webagentes.canaldirecto.com.ar/incidents/view/802751-7" xr:uid="{00000000-0004-0000-0300-0000960C0000}"/>
    <hyperlink ref="A3440" r:id="rId3224" display="https://webagentes.canaldirecto.com.ar/incidents/view/802542-1" xr:uid="{00000000-0004-0000-0300-0000970C0000}"/>
    <hyperlink ref="A3489" r:id="rId3225" display="https://webagentes.canaldirecto.com.ar/incidents/view/801021-6" xr:uid="{00000000-0004-0000-0300-0000980C0000}"/>
    <hyperlink ref="A3490" r:id="rId3226" display="https://webagentes.canaldirecto.com.ar/incidents/view/801020-7" xr:uid="{00000000-0004-0000-0300-0000990C0000}"/>
    <hyperlink ref="A3491" r:id="rId3227" display="https://webagentes.canaldirecto.com.ar/incidents/view/801019-1" xr:uid="{00000000-0004-0000-0300-00009A0C0000}"/>
    <hyperlink ref="A3574" r:id="rId3228" display="https://webagentes.canaldirecto.com.ar/incidents/view/809937-4" xr:uid="{00000000-0004-0000-0300-00009B0C0000}"/>
    <hyperlink ref="A3575" r:id="rId3229" display="https://webagentes.canaldirecto.com.ar/incidents/view/809936-5" xr:uid="{00000000-0004-0000-0300-00009C0C0000}"/>
    <hyperlink ref="A3576" r:id="rId3230" display="https://webagentes.canaldirecto.com.ar/incidents/view/809935-6" xr:uid="{00000000-0004-0000-0300-00009D0C0000}"/>
    <hyperlink ref="A3533" r:id="rId3231" display="https://webagentes.canaldirecto.com.ar/incidents/view/809702-0" xr:uid="{00000000-0004-0000-0300-00009E0C0000}"/>
    <hyperlink ref="A3534" r:id="rId3232" display="https://webagentes.canaldirecto.com.ar/incidents/view/809631-3" xr:uid="{00000000-0004-0000-0300-00009F0C0000}"/>
    <hyperlink ref="A3571" r:id="rId3233" display="https://webagentes.canaldirecto.com.ar/incidents/view/809580-0" xr:uid="{00000000-0004-0000-0300-0000A00C0000}"/>
    <hyperlink ref="A3572" r:id="rId3234" display="https://webagentes.canaldirecto.com.ar/incidents/view/809579-4" xr:uid="{00000000-0004-0000-0300-0000A10C0000}"/>
    <hyperlink ref="A3573" r:id="rId3235" display="https://webagentes.canaldirecto.com.ar/incidents/view/809578-5" xr:uid="{00000000-0004-0000-0300-0000A20C0000}"/>
    <hyperlink ref="A3535" r:id="rId3236" display="https://webagentes.canaldirecto.com.ar/incidents/view/809453-7" xr:uid="{00000000-0004-0000-0300-0000A30C0000}"/>
    <hyperlink ref="A3532" r:id="rId3237" display="https://webagentes.canaldirecto.com.ar/incidents/view/809404-1" xr:uid="{00000000-0004-0000-0300-0000A40C0000}"/>
    <hyperlink ref="A3562" r:id="rId3238" display="https://webagentes.canaldirecto.com.ar/incidents/view/809385-7" xr:uid="{00000000-0004-0000-0300-0000A50C0000}"/>
    <hyperlink ref="A3563" r:id="rId3239" display="https://webagentes.canaldirecto.com.ar/incidents/view/809384-8" xr:uid="{00000000-0004-0000-0300-0000A60C0000}"/>
    <hyperlink ref="A3564" r:id="rId3240" display="https://webagentes.canaldirecto.com.ar/incidents/view/809383-9" xr:uid="{00000000-0004-0000-0300-0000A70C0000}"/>
    <hyperlink ref="A3565" r:id="rId3241" display="https://webagentes.canaldirecto.com.ar/incidents/view/809382-0" xr:uid="{00000000-0004-0000-0300-0000A80C0000}"/>
    <hyperlink ref="A3566" r:id="rId3242" display="https://webagentes.canaldirecto.com.ar/incidents/view/809381-1" xr:uid="{00000000-0004-0000-0300-0000A90C0000}"/>
    <hyperlink ref="A3567" r:id="rId3243" display="https://webagentes.canaldirecto.com.ar/incidents/view/809380-2" xr:uid="{00000000-0004-0000-0300-0000AA0C0000}"/>
    <hyperlink ref="A3568" r:id="rId3244" display="https://webagentes.canaldirecto.com.ar/incidents/view/809379-6" xr:uid="{00000000-0004-0000-0300-0000AB0C0000}"/>
    <hyperlink ref="A3569" r:id="rId3245" display="https://webagentes.canaldirecto.com.ar/incidents/view/809378-7" xr:uid="{00000000-0004-0000-0300-0000AC0C0000}"/>
    <hyperlink ref="A3570" r:id="rId3246" display="https://webagentes.canaldirecto.com.ar/incidents/view/809377-8" xr:uid="{00000000-0004-0000-0300-0000AD0C0000}"/>
    <hyperlink ref="A3529" r:id="rId3247" display="https://webagentes.canaldirecto.com.ar/incidents/view/809243-2" xr:uid="{00000000-0004-0000-0300-0000AE0C0000}"/>
    <hyperlink ref="A3530" r:id="rId3248" display="https://webagentes.canaldirecto.com.ar/incidents/view/809072-6" xr:uid="{00000000-0004-0000-0300-0000AF0C0000}"/>
    <hyperlink ref="A3526" r:id="rId3249" display="https://webagentes.canaldirecto.com.ar/incidents/view/809013-3" xr:uid="{00000000-0004-0000-0300-0000B00C0000}"/>
    <hyperlink ref="A3527" r:id="rId3250" display="https://webagentes.canaldirecto.com.ar/incidents/view/809000-9" xr:uid="{00000000-0004-0000-0300-0000B10C0000}"/>
    <hyperlink ref="A3552" r:id="rId3251" display="https://webagentes.canaldirecto.com.ar/incidents/view/808966-9" xr:uid="{00000000-0004-0000-0300-0000B20C0000}"/>
    <hyperlink ref="A3553" r:id="rId3252" display="https://webagentes.canaldirecto.com.ar/incidents/view/808965-0" xr:uid="{00000000-0004-0000-0300-0000B30C0000}"/>
    <hyperlink ref="A3554" r:id="rId3253" display="https://webagentes.canaldirecto.com.ar/incidents/view/808962-3" xr:uid="{00000000-0004-0000-0300-0000B40C0000}"/>
    <hyperlink ref="A3555" r:id="rId3254" display="https://webagentes.canaldirecto.com.ar/incidents/view/808961-4" xr:uid="{00000000-0004-0000-0300-0000B50C0000}"/>
    <hyperlink ref="A3556" r:id="rId3255" display="https://webagentes.canaldirecto.com.ar/incidents/view/808959-9" xr:uid="{00000000-0004-0000-0300-0000B60C0000}"/>
    <hyperlink ref="A3557" r:id="rId3256" display="https://webagentes.canaldirecto.com.ar/incidents/view/808958-0" xr:uid="{00000000-0004-0000-0300-0000B70C0000}"/>
    <hyperlink ref="A3558" r:id="rId3257" display="https://webagentes.canaldirecto.com.ar/incidents/view/808957-1" xr:uid="{00000000-0004-0000-0300-0000B80C0000}"/>
    <hyperlink ref="A3559" r:id="rId3258" display="https://webagentes.canaldirecto.com.ar/incidents/view/808956-2" xr:uid="{00000000-0004-0000-0300-0000B90C0000}"/>
    <hyperlink ref="A3560" r:id="rId3259" display="https://webagentes.canaldirecto.com.ar/incidents/view/808953-5" xr:uid="{00000000-0004-0000-0300-0000BA0C0000}"/>
    <hyperlink ref="A3561" r:id="rId3260" display="https://webagentes.canaldirecto.com.ar/incidents/view/808952-6" xr:uid="{00000000-0004-0000-0300-0000BB0C0000}"/>
    <hyperlink ref="A3531" r:id="rId3261" display="https://webagentes.canaldirecto.com.ar/incidents/view/808924-3" xr:uid="{00000000-0004-0000-0300-0000BC0C0000}"/>
    <hyperlink ref="A3528" r:id="rId3262" display="https://webagentes.canaldirecto.com.ar/incidents/view/808568-1" xr:uid="{00000000-0004-0000-0300-0000BD0C0000}"/>
    <hyperlink ref="A3524" r:id="rId3263" display="https://webagentes.canaldirecto.com.ar/incidents/view/808555-7" xr:uid="{00000000-0004-0000-0300-0000BE0C0000}"/>
    <hyperlink ref="A3525" r:id="rId3264" display="https://webagentes.canaldirecto.com.ar/incidents/view/808533-5" xr:uid="{00000000-0004-0000-0300-0000BF0C0000}"/>
    <hyperlink ref="A3523" r:id="rId3265" display="https://webagentes.canaldirecto.com.ar/incidents/view/808268-4" xr:uid="{00000000-0004-0000-0300-0000C00C0000}"/>
    <hyperlink ref="A3550" r:id="rId3266" display="https://webagentes.canaldirecto.com.ar/incidents/view/808197-7" xr:uid="{00000000-0004-0000-0300-0000C10C0000}"/>
    <hyperlink ref="A3551" r:id="rId3267" display="https://webagentes.canaldirecto.com.ar/incidents/view/808196-8" xr:uid="{00000000-0004-0000-0300-0000C20C0000}"/>
    <hyperlink ref="A3519" r:id="rId3268" display="https://webagentes.canaldirecto.com.ar/incidents/view/807937-0" xr:uid="{00000000-0004-0000-0300-0000C30C0000}"/>
    <hyperlink ref="A3516" r:id="rId3269" display="https://webagentes.canaldirecto.com.ar/incidents/view/807780-4" xr:uid="{00000000-0004-0000-0300-0000C40C0000}"/>
    <hyperlink ref="A3544" r:id="rId3270" display="https://webagentes.canaldirecto.com.ar/incidents/view/807616-0" xr:uid="{00000000-0004-0000-0300-0000C50C0000}"/>
    <hyperlink ref="A3545" r:id="rId3271" display="https://webagentes.canaldirecto.com.ar/incidents/view/807615-1" xr:uid="{00000000-0004-0000-0300-0000C60C0000}"/>
    <hyperlink ref="A3546" r:id="rId3272" display="https://webagentes.canaldirecto.com.ar/incidents/view/807614-2" xr:uid="{00000000-0004-0000-0300-0000C70C0000}"/>
    <hyperlink ref="A3547" r:id="rId3273" display="https://webagentes.canaldirecto.com.ar/incidents/view/807613-3" xr:uid="{00000000-0004-0000-0300-0000C80C0000}"/>
    <hyperlink ref="A3548" r:id="rId3274" display="https://webagentes.canaldirecto.com.ar/incidents/view/807612-4" xr:uid="{00000000-0004-0000-0300-0000C90C0000}"/>
    <hyperlink ref="A3549" r:id="rId3275" display="https://webagentes.canaldirecto.com.ar/incidents/view/807611-5" xr:uid="{00000000-0004-0000-0300-0000CA0C0000}"/>
    <hyperlink ref="A3520" r:id="rId3276" display="https://webagentes.canaldirecto.com.ar/incidents/view/807457-9" xr:uid="{00000000-0004-0000-0300-0000CB0C0000}"/>
    <hyperlink ref="A3521" r:id="rId3277" display="https://webagentes.canaldirecto.com.ar/incidents/view/807456-0" xr:uid="{00000000-0004-0000-0300-0000CC0C0000}"/>
    <hyperlink ref="A3522" r:id="rId3278" display="https://webagentes.canaldirecto.com.ar/incidents/view/807455-1" xr:uid="{00000000-0004-0000-0300-0000CD0C0000}"/>
    <hyperlink ref="A3509" r:id="rId3279" display="https://webagentes.canaldirecto.com.ar/incidents/view/807392-3" xr:uid="{00000000-0004-0000-0300-0000CE0C0000}"/>
    <hyperlink ref="A3510" r:id="rId3280" display="https://webagentes.canaldirecto.com.ar/incidents/view/807390-5" xr:uid="{00000000-0004-0000-0300-0000CF0C0000}"/>
    <hyperlink ref="A3511" r:id="rId3281" display="https://webagentes.canaldirecto.com.ar/incidents/view/807208-5" xr:uid="{00000000-0004-0000-0300-0000D00C0000}"/>
    <hyperlink ref="A3513" r:id="rId3282" display="https://webagentes.canaldirecto.com.ar/incidents/view/807176-7" xr:uid="{00000000-0004-0000-0300-0000D10C0000}"/>
    <hyperlink ref="A3512" r:id="rId3283" display="https://webagentes.canaldirecto.com.ar/incidents/view/807170-3" xr:uid="{00000000-0004-0000-0300-0000D20C0000}"/>
    <hyperlink ref="A3514" r:id="rId3284" display="https://webagentes.canaldirecto.com.ar/incidents/view/807113-8" xr:uid="{00000000-0004-0000-0300-0000D30C0000}"/>
    <hyperlink ref="A3517" r:id="rId3285" display="https://webagentes.canaldirecto.com.ar/incidents/view/807100-4" xr:uid="{00000000-0004-0000-0300-0000D40C0000}"/>
    <hyperlink ref="A3515" r:id="rId3286" display="https://webagentes.canaldirecto.com.ar/incidents/view/807066-1" xr:uid="{00000000-0004-0000-0300-0000D50C0000}"/>
    <hyperlink ref="A3507" r:id="rId3287" display="https://webagentes.canaldirecto.com.ar/incidents/view/807055-5" xr:uid="{00000000-0004-0000-0300-0000D60C0000}"/>
    <hyperlink ref="A3508" r:id="rId3288" display="https://webagentes.canaldirecto.com.ar/incidents/view/807034-2" xr:uid="{00000000-0004-0000-0300-0000D70C0000}"/>
    <hyperlink ref="A3538" r:id="rId3289" display="https://webagentes.canaldirecto.com.ar/incidents/view/807021-8" xr:uid="{00000000-0004-0000-0300-0000D80C0000}"/>
    <hyperlink ref="A3518" r:id="rId3290" display="https://webagentes.canaldirecto.com.ar/incidents/view/806725-0" xr:uid="{00000000-0004-0000-0300-0000D90C0000}"/>
    <hyperlink ref="A3505" r:id="rId3291" display="https://webagentes.canaldirecto.com.ar/incidents/view/806474-9" xr:uid="{00000000-0004-0000-0300-0000DA0C0000}"/>
    <hyperlink ref="A3506" r:id="rId3292" display="https://webagentes.canaldirecto.com.ar/incidents/view/806472-1" xr:uid="{00000000-0004-0000-0300-0000DB0C0000}"/>
    <hyperlink ref="A3539" r:id="rId3293" display="https://webagentes.canaldirecto.com.ar/incidents/view/804954-6" xr:uid="{00000000-0004-0000-0300-0000DC0C0000}"/>
    <hyperlink ref="A3540" r:id="rId3294" display="https://webagentes.canaldirecto.com.ar/incidents/view/804952-8" xr:uid="{00000000-0004-0000-0300-0000DD0C0000}"/>
    <hyperlink ref="A3541" r:id="rId3295" display="https://webagentes.canaldirecto.com.ar/incidents/view/804951-9" xr:uid="{00000000-0004-0000-0300-0000DE0C0000}"/>
    <hyperlink ref="A3542" r:id="rId3296" display="https://webagentes.canaldirecto.com.ar/incidents/view/804950-0" xr:uid="{00000000-0004-0000-0300-0000DF0C0000}"/>
    <hyperlink ref="A3543" r:id="rId3297" display="https://webagentes.canaldirecto.com.ar/incidents/view/804949-4" xr:uid="{00000000-0004-0000-0300-0000E00C0000}"/>
    <hyperlink ref="A3713" r:id="rId3298" display="https://webagentes.canaldirecto.com.ar/incidents/view/813976-0" xr:uid="{00000000-0004-0000-0300-0000E10C0000}"/>
    <hyperlink ref="A3709" r:id="rId3299" display="https://webagentes.canaldirecto.com.ar/incidents/view/813862-8" xr:uid="{00000000-0004-0000-0300-0000E20C0000}"/>
    <hyperlink ref="A3712" r:id="rId3300" display="https://webagentes.canaldirecto.com.ar/incidents/view/813624-0" xr:uid="{00000000-0004-0000-0300-0000E30C0000}"/>
    <hyperlink ref="A3711" r:id="rId3301" display="https://webagentes.canaldirecto.com.ar/incidents/view/813623-1" xr:uid="{00000000-0004-0000-0300-0000E40C0000}"/>
    <hyperlink ref="A3716" r:id="rId3302" display="https://webagentes.canaldirecto.com.ar/incidents/view/813622-2" xr:uid="{00000000-0004-0000-0300-0000E50C0000}"/>
    <hyperlink ref="A3715" r:id="rId3303" display="https://webagentes.canaldirecto.com.ar/incidents/view/813621-3" xr:uid="{00000000-0004-0000-0300-0000E60C0000}"/>
    <hyperlink ref="A3714" r:id="rId3304" display="https://webagentes.canaldirecto.com.ar/incidents/view/813620-4" xr:uid="{00000000-0004-0000-0300-0000E70C0000}"/>
    <hyperlink ref="A3710" r:id="rId3305" display="https://webagentes.canaldirecto.com.ar/incidents/view/813619-8" xr:uid="{00000000-0004-0000-0300-0000E80C0000}"/>
    <hyperlink ref="A3707" r:id="rId3306" display="https://webagentes.canaldirecto.com.ar/incidents/view/813462-2" xr:uid="{00000000-0004-0000-0300-0000E90C0000}"/>
    <hyperlink ref="A3636" r:id="rId3307" display="https://webagentes.canaldirecto.com.ar/incidents/view/813387-2" xr:uid="{00000000-0004-0000-0300-0000EA0C0000}"/>
    <hyperlink ref="A3630" r:id="rId3308" display="https://webagentes.canaldirecto.com.ar/incidents/view/813221-7" xr:uid="{00000000-0004-0000-0300-0000EB0C0000}"/>
    <hyperlink ref="A3698" r:id="rId3309" display="https://webagentes.canaldirecto.com.ar/incidents/view/813008-8" xr:uid="{00000000-0004-0000-0300-0000EC0C0000}"/>
    <hyperlink ref="A3697" r:id="rId3310" display="https://webagentes.canaldirecto.com.ar/incidents/view/813005-1" xr:uid="{00000000-0004-0000-0300-0000ED0C0000}"/>
    <hyperlink ref="A3696" r:id="rId3311" display="https://webagentes.canaldirecto.com.ar/incidents/view/813004-2" xr:uid="{00000000-0004-0000-0300-0000EE0C0000}"/>
    <hyperlink ref="A3695" r:id="rId3312" display="https://webagentes.canaldirecto.com.ar/incidents/view/813003-3" xr:uid="{00000000-0004-0000-0300-0000EF0C0000}"/>
    <hyperlink ref="A3637" r:id="rId3313" display="https://webagentes.canaldirecto.com.ar/incidents/view/812944-4" xr:uid="{00000000-0004-0000-0300-0000F00C0000}"/>
    <hyperlink ref="A3638" r:id="rId3314" display="https://webagentes.canaldirecto.com.ar/incidents/view/812942-6" xr:uid="{00000000-0004-0000-0300-0000F10C0000}"/>
    <hyperlink ref="A3639" r:id="rId3315" display="https://webagentes.canaldirecto.com.ar/incidents/view/812941-7" xr:uid="{00000000-0004-0000-0300-0000F20C0000}"/>
    <hyperlink ref="A3694" r:id="rId3316" display="https://webagentes.canaldirecto.com.ar/incidents/view/812862-1" xr:uid="{00000000-0004-0000-0300-0000F30C0000}"/>
    <hyperlink ref="A3706" r:id="rId3317" display="https://webagentes.canaldirecto.com.ar/incidents/view/812861-2" xr:uid="{00000000-0004-0000-0300-0000F40C0000}"/>
    <hyperlink ref="A3693" r:id="rId3318" display="https://webagentes.canaldirecto.com.ar/incidents/view/812860-3" xr:uid="{00000000-0004-0000-0300-0000F50C0000}"/>
    <hyperlink ref="A3705" r:id="rId3319" display="https://webagentes.canaldirecto.com.ar/incidents/view/812859-7" xr:uid="{00000000-0004-0000-0300-0000F60C0000}"/>
    <hyperlink ref="A3704" r:id="rId3320" display="https://webagentes.canaldirecto.com.ar/incidents/view/812858-8" xr:uid="{00000000-0004-0000-0300-0000F70C0000}"/>
    <hyperlink ref="A3703" r:id="rId3321" display="https://webagentes.canaldirecto.com.ar/incidents/view/812857-9" xr:uid="{00000000-0004-0000-0300-0000F80C0000}"/>
    <hyperlink ref="A3702" r:id="rId3322" display="https://webagentes.canaldirecto.com.ar/incidents/view/812856-0" xr:uid="{00000000-0004-0000-0300-0000F90C0000}"/>
    <hyperlink ref="A3701" r:id="rId3323" display="https://webagentes.canaldirecto.com.ar/incidents/view/812855-1" xr:uid="{00000000-0004-0000-0300-0000FA0C0000}"/>
    <hyperlink ref="A3692" r:id="rId3324" display="https://webagentes.canaldirecto.com.ar/incidents/view/812854-2" xr:uid="{00000000-0004-0000-0300-0000FB0C0000}"/>
    <hyperlink ref="A3700" r:id="rId3325" display="https://webagentes.canaldirecto.com.ar/incidents/view/812853-3" xr:uid="{00000000-0004-0000-0300-0000FC0C0000}"/>
    <hyperlink ref="A3691" r:id="rId3326" display="https://webagentes.canaldirecto.com.ar/incidents/view/812852-4" xr:uid="{00000000-0004-0000-0300-0000FD0C0000}"/>
    <hyperlink ref="A3690" r:id="rId3327" display="https://webagentes.canaldirecto.com.ar/incidents/view/812851-5" xr:uid="{00000000-0004-0000-0300-0000FE0C0000}"/>
    <hyperlink ref="A3689" r:id="rId3328" display="https://webagentes.canaldirecto.com.ar/incidents/view/812850-6" xr:uid="{00000000-0004-0000-0300-0000FF0C0000}"/>
    <hyperlink ref="A3699" r:id="rId3329" display="https://webagentes.canaldirecto.com.ar/incidents/view/812849-0" xr:uid="{00000000-0004-0000-0300-0000000D0000}"/>
    <hyperlink ref="A3629" r:id="rId3330" display="https://webagentes.canaldirecto.com.ar/incidents/view/812832-0" xr:uid="{00000000-0004-0000-0300-0000010D0000}"/>
    <hyperlink ref="A3688" r:id="rId3331" display="https://webagentes.canaldirecto.com.ar/incidents/view/812691-5" xr:uid="{00000000-0004-0000-0300-0000020D0000}"/>
    <hyperlink ref="A3687" r:id="rId3332" display="https://webagentes.canaldirecto.com.ar/incidents/view/812690-6" xr:uid="{00000000-0004-0000-0300-0000030D0000}"/>
    <hyperlink ref="A3686" r:id="rId3333" display="https://webagentes.canaldirecto.com.ar/incidents/view/812689-0" xr:uid="{00000000-0004-0000-0300-0000040D0000}"/>
    <hyperlink ref="A3685" r:id="rId3334" display="https://webagentes.canaldirecto.com.ar/incidents/view/812688-1" xr:uid="{00000000-0004-0000-0300-0000050D0000}"/>
    <hyperlink ref="A3682" r:id="rId3335" display="https://webagentes.canaldirecto.com.ar/incidents/view/812502-2" xr:uid="{00000000-0004-0000-0300-0000060D0000}"/>
    <hyperlink ref="A3681" r:id="rId3336" display="https://webagentes.canaldirecto.com.ar/incidents/view/812493-5" xr:uid="{00000000-0004-0000-0300-0000070D0000}"/>
    <hyperlink ref="A3680" r:id="rId3337" display="https://webagentes.canaldirecto.com.ar/incidents/view/812492-6" xr:uid="{00000000-0004-0000-0300-0000080D0000}"/>
    <hyperlink ref="A3679" r:id="rId3338" display="https://webagentes.canaldirecto.com.ar/incidents/view/812490-8" xr:uid="{00000000-0004-0000-0300-0000090D0000}"/>
    <hyperlink ref="A3678" r:id="rId3339" display="https://webagentes.canaldirecto.com.ar/incidents/view/812489-2" xr:uid="{00000000-0004-0000-0300-00000A0D0000}"/>
    <hyperlink ref="A3612" r:id="rId3340" display="https://webagentes.canaldirecto.com.ar/incidents/view/812459-1" xr:uid="{00000000-0004-0000-0300-00000B0D0000}"/>
    <hyperlink ref="A3613" r:id="rId3341" display="https://webagentes.canaldirecto.com.ar/incidents/view/812434-2" xr:uid="{00000000-0004-0000-0300-00000C0D0000}"/>
    <hyperlink ref="A3614" r:id="rId3342" display="https://webagentes.canaldirecto.com.ar/incidents/view/812383-9" xr:uid="{00000000-0004-0000-0300-00000D0D0000}"/>
    <hyperlink ref="A3640" r:id="rId3343" display="https://webagentes.canaldirecto.com.ar/incidents/view/812379-6" xr:uid="{00000000-0004-0000-0300-00000E0D0000}"/>
    <hyperlink ref="A3641" r:id="rId3344" display="https://webagentes.canaldirecto.com.ar/incidents/view/812378-7" xr:uid="{00000000-0004-0000-0300-00000F0D0000}"/>
    <hyperlink ref="A3642" r:id="rId3345" display="https://webagentes.canaldirecto.com.ar/incidents/view/812377-8" xr:uid="{00000000-0004-0000-0300-0000100D0000}"/>
    <hyperlink ref="A3677" r:id="rId3346" display="https://webagentes.canaldirecto.com.ar/incidents/view/812353-8" xr:uid="{00000000-0004-0000-0300-0000110D0000}"/>
    <hyperlink ref="A3684" r:id="rId3347" display="https://webagentes.canaldirecto.com.ar/incidents/view/812352-9" xr:uid="{00000000-0004-0000-0300-0000120D0000}"/>
    <hyperlink ref="A3676" r:id="rId3348" display="https://webagentes.canaldirecto.com.ar/incidents/view/812351-0" xr:uid="{00000000-0004-0000-0300-0000130D0000}"/>
    <hyperlink ref="A3608" r:id="rId3349" display="https://webagentes.canaldirecto.com.ar/incidents/view/812344-0" xr:uid="{00000000-0004-0000-0300-0000140D0000}"/>
    <hyperlink ref="A3609" r:id="rId3350" display="https://webagentes.canaldirecto.com.ar/incidents/view/812186-8" xr:uid="{00000000-0004-0000-0300-0000150D0000}"/>
    <hyperlink ref="A3631" r:id="rId3351" display="https://webagentes.canaldirecto.com.ar/incidents/view/812176-1" xr:uid="{00000000-0004-0000-0300-0000160D0000}"/>
    <hyperlink ref="A3632" r:id="rId3352" display="https://webagentes.canaldirecto.com.ar/incidents/view/812169-1" xr:uid="{00000000-0004-0000-0300-0000170D0000}"/>
    <hyperlink ref="A3633" r:id="rId3353" display="https://webagentes.canaldirecto.com.ar/incidents/view/812168-2" xr:uid="{00000000-0004-0000-0300-0000180D0000}"/>
    <hyperlink ref="A3634" r:id="rId3354" display="https://webagentes.canaldirecto.com.ar/incidents/view/812167-3" xr:uid="{00000000-0004-0000-0300-0000190D0000}"/>
    <hyperlink ref="A3622" r:id="rId3355" display="https://webagentes.canaldirecto.com.ar/incidents/view/812152-1" xr:uid="{00000000-0004-0000-0300-00001A0D0000}"/>
    <hyperlink ref="A3615" r:id="rId3356" display="https://webagentes.canaldirecto.com.ar/incidents/view/812143-3" xr:uid="{00000000-0004-0000-0300-00001B0D0000}"/>
    <hyperlink ref="A3643" r:id="rId3357" display="https://webagentes.canaldirecto.com.ar/incidents/view/812061-0" xr:uid="{00000000-0004-0000-0300-00001C0D0000}"/>
    <hyperlink ref="A3644" r:id="rId3358" display="https://webagentes.canaldirecto.com.ar/incidents/view/812060-1" xr:uid="{00000000-0004-0000-0300-00001D0D0000}"/>
    <hyperlink ref="A3645" r:id="rId3359" display="https://webagentes.canaldirecto.com.ar/incidents/view/812059-5" xr:uid="{00000000-0004-0000-0300-00001E0D0000}"/>
    <hyperlink ref="A3675" r:id="rId3360" display="https://webagentes.canaldirecto.com.ar/incidents/view/811867-9" xr:uid="{00000000-0004-0000-0300-00001F0D0000}"/>
    <hyperlink ref="A3674" r:id="rId3361" display="https://webagentes.canaldirecto.com.ar/incidents/view/811866-0" xr:uid="{00000000-0004-0000-0300-0000200D0000}"/>
    <hyperlink ref="A3673" r:id="rId3362" display="https://webagentes.canaldirecto.com.ar/incidents/view/811865-1" xr:uid="{00000000-0004-0000-0300-0000210D0000}"/>
    <hyperlink ref="A3672" r:id="rId3363" display="https://webagentes.canaldirecto.com.ar/incidents/view/811864-2" xr:uid="{00000000-0004-0000-0300-0000220D0000}"/>
    <hyperlink ref="A3671" r:id="rId3364" display="https://webagentes.canaldirecto.com.ar/incidents/view/811863-3" xr:uid="{00000000-0004-0000-0300-0000230D0000}"/>
    <hyperlink ref="A3670" r:id="rId3365" display="https://webagentes.canaldirecto.com.ar/incidents/view/811857-2" xr:uid="{00000000-0004-0000-0300-0000240D0000}"/>
    <hyperlink ref="A3663" r:id="rId3366" display="https://webagentes.canaldirecto.com.ar/incidents/view/811722-7" xr:uid="{00000000-0004-0000-0300-0000250D0000}"/>
    <hyperlink ref="A3669" r:id="rId3367" display="https://webagentes.canaldirecto.com.ar/incidents/view/811721-8" xr:uid="{00000000-0004-0000-0300-0000260D0000}"/>
    <hyperlink ref="A3668" r:id="rId3368" display="https://webagentes.canaldirecto.com.ar/incidents/view/811720-9" xr:uid="{00000000-0004-0000-0300-0000270D0000}"/>
    <hyperlink ref="A3667" r:id="rId3369" display="https://webagentes.canaldirecto.com.ar/incidents/view/811719-3" xr:uid="{00000000-0004-0000-0300-0000280D0000}"/>
    <hyperlink ref="A3666" r:id="rId3370" display="https://webagentes.canaldirecto.com.ar/incidents/view/811717-5" xr:uid="{00000000-0004-0000-0300-0000290D0000}"/>
    <hyperlink ref="A3665" r:id="rId3371" display="https://webagentes.canaldirecto.com.ar/incidents/view/811716-6" xr:uid="{00000000-0004-0000-0300-00002A0D0000}"/>
    <hyperlink ref="A3664" r:id="rId3372" display="https://webagentes.canaldirecto.com.ar/incidents/view/811715-7" xr:uid="{00000000-0004-0000-0300-00002B0D0000}"/>
    <hyperlink ref="A3601" r:id="rId3373" display="https://webagentes.canaldirecto.com.ar/incidents/view/811682-0" xr:uid="{00000000-0004-0000-0300-00002C0D0000}"/>
    <hyperlink ref="A3597" r:id="rId3374" display="https://webagentes.canaldirecto.com.ar/incidents/view/811527-4" xr:uid="{00000000-0004-0000-0300-00002D0D0000}"/>
    <hyperlink ref="A3602" r:id="rId3375" display="https://webagentes.canaldirecto.com.ar/incidents/view/811520-1" xr:uid="{00000000-0004-0000-0300-00002E0D0000}"/>
    <hyperlink ref="A3623" r:id="rId3376" display="https://webagentes.canaldirecto.com.ar/incidents/view/811398-4" xr:uid="{00000000-0004-0000-0300-00002F0D0000}"/>
    <hyperlink ref="A3624" r:id="rId3377" display="https://webagentes.canaldirecto.com.ar/incidents/view/811397-5" xr:uid="{00000000-0004-0000-0300-0000300D0000}"/>
    <hyperlink ref="A3625" r:id="rId3378" display="https://webagentes.canaldirecto.com.ar/incidents/view/811396-6" xr:uid="{00000000-0004-0000-0300-0000310D0000}"/>
    <hyperlink ref="A3626" r:id="rId3379" display="https://webagentes.canaldirecto.com.ar/incidents/view/811395-7" xr:uid="{00000000-0004-0000-0300-0000320D0000}"/>
    <hyperlink ref="A3627" r:id="rId3380" display="https://webagentes.canaldirecto.com.ar/incidents/view/811394-8" xr:uid="{00000000-0004-0000-0300-0000330D0000}"/>
    <hyperlink ref="A3628" r:id="rId3381" display="https://webagentes.canaldirecto.com.ar/incidents/view/811393-9" xr:uid="{00000000-0004-0000-0300-0000340D0000}"/>
    <hyperlink ref="A3635" r:id="rId3382" display="https://webagentes.canaldirecto.com.ar/incidents/view/811375-3" xr:uid="{00000000-0004-0000-0300-0000350D0000}"/>
    <hyperlink ref="A3610" r:id="rId3383" display="https://webagentes.canaldirecto.com.ar/incidents/view/811256-9" xr:uid="{00000000-0004-0000-0300-0000360D0000}"/>
    <hyperlink ref="A3604" r:id="rId3384" display="https://webagentes.canaldirecto.com.ar/incidents/view/811255-0" xr:uid="{00000000-0004-0000-0300-0000370D0000}"/>
    <hyperlink ref="A3611" r:id="rId3385" display="https://webagentes.canaldirecto.com.ar/incidents/view/811254-1" xr:uid="{00000000-0004-0000-0300-0000380D0000}"/>
    <hyperlink ref="A3593" r:id="rId3386" display="https://webagentes.canaldirecto.com.ar/incidents/view/811128-7" xr:uid="{00000000-0004-0000-0300-0000390D0000}"/>
    <hyperlink ref="A3596" r:id="rId3387" display="https://webagentes.canaldirecto.com.ar/incidents/view/811039-4" xr:uid="{00000000-0004-0000-0300-00003A0D0000}"/>
    <hyperlink ref="A3658" r:id="rId3388" display="https://webagentes.canaldirecto.com.ar/incidents/view/811022-4" xr:uid="{00000000-0004-0000-0300-00003B0D0000}"/>
    <hyperlink ref="A3598" r:id="rId3389" display="https://webagentes.canaldirecto.com.ar/incidents/view/811019-0" xr:uid="{00000000-0004-0000-0300-00003C0D0000}"/>
    <hyperlink ref="A3662" r:id="rId3390" display="https://webagentes.canaldirecto.com.ar/incidents/view/810994-5" xr:uid="{00000000-0004-0000-0300-00003D0D0000}"/>
    <hyperlink ref="A3661" r:id="rId3391" display="https://webagentes.canaldirecto.com.ar/incidents/view/810993-6" xr:uid="{00000000-0004-0000-0300-00003E0D0000}"/>
    <hyperlink ref="A3660" r:id="rId3392" display="https://webagentes.canaldirecto.com.ar/incidents/view/810992-7" xr:uid="{00000000-0004-0000-0300-00003F0D0000}"/>
    <hyperlink ref="A3659" r:id="rId3393" display="https://webagentes.canaldirecto.com.ar/incidents/view/810991-8" xr:uid="{00000000-0004-0000-0300-0000400D0000}"/>
    <hyperlink ref="A3657" r:id="rId3394" display="https://webagentes.canaldirecto.com.ar/incidents/view/810990-9" xr:uid="{00000000-0004-0000-0300-0000410D0000}"/>
    <hyperlink ref="A3656" r:id="rId3395" display="https://webagentes.canaldirecto.com.ar/incidents/view/810989-3" xr:uid="{00000000-0004-0000-0300-0000420D0000}"/>
    <hyperlink ref="A3655" r:id="rId3396" display="https://webagentes.canaldirecto.com.ar/incidents/view/810988-4" xr:uid="{00000000-0004-0000-0300-0000430D0000}"/>
    <hyperlink ref="A3654" r:id="rId3397" display="https://webagentes.canaldirecto.com.ar/incidents/view/810985-7" xr:uid="{00000000-0004-0000-0300-0000440D0000}"/>
    <hyperlink ref="A3653" r:id="rId3398" display="https://webagentes.canaldirecto.com.ar/incidents/view/810984-8" xr:uid="{00000000-0004-0000-0300-0000450D0000}"/>
    <hyperlink ref="A3652" r:id="rId3399" display="https://webagentes.canaldirecto.com.ar/incidents/view/810983-9" xr:uid="{00000000-0004-0000-0300-0000460D0000}"/>
    <hyperlink ref="A3651" r:id="rId3400" display="https://webagentes.canaldirecto.com.ar/incidents/view/810982-0" xr:uid="{00000000-0004-0000-0300-0000470D0000}"/>
    <hyperlink ref="A3603" r:id="rId3401" display="https://webagentes.canaldirecto.com.ar/incidents/view/810850-2" xr:uid="{00000000-0004-0000-0300-0000480D0000}"/>
    <hyperlink ref="A3605" r:id="rId3402" display="https://webagentes.canaldirecto.com.ar/incidents/view/810845-0" xr:uid="{00000000-0004-0000-0300-0000490D0000}"/>
    <hyperlink ref="A3606" r:id="rId3403" display="https://webagentes.canaldirecto.com.ar/incidents/view/810844-1" xr:uid="{00000000-0004-0000-0300-00004A0D0000}"/>
    <hyperlink ref="A3607" r:id="rId3404" display="https://webagentes.canaldirecto.com.ar/incidents/view/810843-2" xr:uid="{00000000-0004-0000-0300-00004B0D0000}"/>
    <hyperlink ref="A3590" r:id="rId3405" display="https://webagentes.canaldirecto.com.ar/incidents/view/810840-5" xr:uid="{00000000-0004-0000-0300-00004C0D0000}"/>
    <hyperlink ref="A3649" r:id="rId3406" display="https://webagentes.canaldirecto.com.ar/incidents/view/810835-3" xr:uid="{00000000-0004-0000-0300-00004D0D0000}"/>
    <hyperlink ref="A3647" r:id="rId3407" display="https://webagentes.canaldirecto.com.ar/incidents/view/810832-6" xr:uid="{00000000-0004-0000-0300-00004E0D0000}"/>
    <hyperlink ref="A3648" r:id="rId3408" display="https://webagentes.canaldirecto.com.ar/incidents/view/810831-7" xr:uid="{00000000-0004-0000-0300-00004F0D0000}"/>
    <hyperlink ref="A3591" r:id="rId3409" display="https://webagentes.canaldirecto.com.ar/incidents/view/810692-0" xr:uid="{00000000-0004-0000-0300-0000500D0000}"/>
    <hyperlink ref="A3592" r:id="rId3410" display="https://webagentes.canaldirecto.com.ar/incidents/view/810508-2" xr:uid="{00000000-0004-0000-0300-0000510D0000}"/>
    <hyperlink ref="A3599" r:id="rId3411" display="https://webagentes.canaldirecto.com.ar/incidents/view/810442-7" xr:uid="{00000000-0004-0000-0300-0000520D0000}"/>
    <hyperlink ref="A3594" r:id="rId3412" display="https://webagentes.canaldirecto.com.ar/incidents/view/810420-5" xr:uid="{00000000-0004-0000-0300-0000530D0000}"/>
    <hyperlink ref="A3600" r:id="rId3413" display="https://webagentes.canaldirecto.com.ar/incidents/view/810419-9" xr:uid="{00000000-0004-0000-0300-0000540D0000}"/>
    <hyperlink ref="A3595" r:id="rId3414" display="https://webagentes.canaldirecto.com.ar/incidents/view/810418-0" xr:uid="{00000000-0004-0000-0300-0000550D0000}"/>
    <hyperlink ref="A3589" r:id="rId3415" display="https://webagentes.canaldirecto.com.ar/incidents/view/810389-9" xr:uid="{00000000-0004-0000-0300-0000560D0000}"/>
    <hyperlink ref="A3584" r:id="rId3416" display="https://webagentes.canaldirecto.com.ar/incidents/view/810179-4" xr:uid="{00000000-0004-0000-0300-0000570D0000}"/>
    <hyperlink ref="A3585" r:id="rId3417" display="https://webagentes.canaldirecto.com.ar/incidents/view/810176-7" xr:uid="{00000000-0004-0000-0300-0000580D0000}"/>
    <hyperlink ref="A3616" r:id="rId3418" display="https://webagentes.canaldirecto.com.ar/incidents/view/809800-1" xr:uid="{00000000-0004-0000-0300-0000590D0000}"/>
    <hyperlink ref="A3617" r:id="rId3419" display="https://webagentes.canaldirecto.com.ar/incidents/view/809799-6" xr:uid="{00000000-0004-0000-0300-00005A0D0000}"/>
    <hyperlink ref="A3618" r:id="rId3420" display="https://webagentes.canaldirecto.com.ar/incidents/view/809798-7" xr:uid="{00000000-0004-0000-0300-00005B0D0000}"/>
    <hyperlink ref="A3619" r:id="rId3421" display="https://webagentes.canaldirecto.com.ar/incidents/view/809797-8" xr:uid="{00000000-0004-0000-0300-00005C0D0000}"/>
    <hyperlink ref="A3620" r:id="rId3422" display="https://webagentes.canaldirecto.com.ar/incidents/view/809796-9" xr:uid="{00000000-0004-0000-0300-00005D0D0000}"/>
    <hyperlink ref="A3621" r:id="rId3423" display="https://webagentes.canaldirecto.com.ar/incidents/view/809795-0" xr:uid="{00000000-0004-0000-0300-00005E0D0000}"/>
    <hyperlink ref="A3586" r:id="rId3424" display="https://webagentes.canaldirecto.com.ar/incidents/view/809153-0" xr:uid="{00000000-0004-0000-0300-00005F0D0000}"/>
    <hyperlink ref="A3587" r:id="rId3425" display="https://webagentes.canaldirecto.com.ar/incidents/view/809152-1" xr:uid="{00000000-0004-0000-0300-0000600D0000}"/>
    <hyperlink ref="A3588" r:id="rId3426" display="https://webagentes.canaldirecto.com.ar/incidents/view/809151-2" xr:uid="{00000000-0004-0000-0300-0000610D0000}"/>
    <hyperlink ref="A3650" r:id="rId3427" display="https://webagentes.canaldirecto.com.ar/incidents/view/808960-5" xr:uid="{00000000-0004-0000-0300-0000620D0000}"/>
    <hyperlink ref="A3580" r:id="rId3428" display="https://webagentes.canaldirecto.com.ar/incidents/view/808392-0" xr:uid="{00000000-0004-0000-0300-0000630D0000}"/>
    <hyperlink ref="A3581" r:id="rId3429" display="https://webagentes.canaldirecto.com.ar/incidents/view/808391-1" xr:uid="{00000000-0004-0000-0300-0000640D0000}"/>
    <hyperlink ref="A3582" r:id="rId3430" display="https://webagentes.canaldirecto.com.ar/incidents/view/808390-2" xr:uid="{00000000-0004-0000-0300-0000650D0000}"/>
    <hyperlink ref="A3583" r:id="rId3431" display="https://webagentes.canaldirecto.com.ar/incidents/view/808080-8" xr:uid="{00000000-0004-0000-0300-0000660D0000}"/>
    <hyperlink ref="A3683" r:id="rId3432" display="https://webagentes.canaldirecto.com.ar/incidents/view/802424-6" xr:uid="{00000000-0004-0000-0300-0000670D0000}"/>
    <hyperlink ref="A3708" r:id="rId3433" display="https://webagentes.canaldirecto.com.ar/incidents/view/793265-6" xr:uid="{00000000-0004-0000-0300-0000680D0000}"/>
    <hyperlink ref="A3766" r:id="rId3434" display="https://webagentes.canaldirecto.com.ar/incidents/view/816694-0" xr:uid="{00000000-0004-0000-0300-0000690D0000}"/>
    <hyperlink ref="A3767" r:id="rId3435" display="https://webagentes.canaldirecto.com.ar/incidents/view/816693-1" xr:uid="{00000000-0004-0000-0300-00006A0D0000}"/>
    <hyperlink ref="A3768" r:id="rId3436" display="https://webagentes.canaldirecto.com.ar/incidents/view/816692-2" xr:uid="{00000000-0004-0000-0300-00006B0D0000}"/>
    <hyperlink ref="A3721" r:id="rId3437" display="https://webagentes.canaldirecto.com.ar/incidents/view/816584-4" xr:uid="{00000000-0004-0000-0300-00006C0D0000}"/>
    <hyperlink ref="A3722" r:id="rId3438" display="https://webagentes.canaldirecto.com.ar/incidents/view/816567-7" xr:uid="{00000000-0004-0000-0300-00006D0D0000}"/>
    <hyperlink ref="A3731" r:id="rId3439" display="https://webagentes.canaldirecto.com.ar/incidents/view/816384-6" xr:uid="{00000000-0004-0000-0300-00006E0D0000}"/>
    <hyperlink ref="A3733" r:id="rId3440" display="https://webagentes.canaldirecto.com.ar/incidents/view/816285-6" xr:uid="{00000000-0004-0000-0300-00006F0D0000}"/>
    <hyperlink ref="A3772" r:id="rId3441" display="https://webagentes.canaldirecto.com.ar/incidents/view/816262-5" xr:uid="{00000000-0004-0000-0300-0000700D0000}"/>
    <hyperlink ref="A3773" r:id="rId3442" display="https://webagentes.canaldirecto.com.ar/incidents/view/816261-6" xr:uid="{00000000-0004-0000-0300-0000710D0000}"/>
    <hyperlink ref="A3774" r:id="rId3443" display="https://webagentes.canaldirecto.com.ar/incidents/view/816260-7" xr:uid="{00000000-0004-0000-0300-0000720D0000}"/>
    <hyperlink ref="A3775" r:id="rId3444" display="https://webagentes.canaldirecto.com.ar/incidents/view/816259-1" xr:uid="{00000000-0004-0000-0300-0000730D0000}"/>
    <hyperlink ref="A3776" r:id="rId3445" display="https://webagentes.canaldirecto.com.ar/incidents/view/816258-2" xr:uid="{00000000-0004-0000-0300-0000740D0000}"/>
    <hyperlink ref="A3777" r:id="rId3446" display="https://webagentes.canaldirecto.com.ar/incidents/view/816257-3" xr:uid="{00000000-0004-0000-0300-0000750D0000}"/>
    <hyperlink ref="A3778" r:id="rId3447" display="https://webagentes.canaldirecto.com.ar/incidents/view/816256-4" xr:uid="{00000000-0004-0000-0300-0000760D0000}"/>
    <hyperlink ref="A3779" r:id="rId3448" display="https://webagentes.canaldirecto.com.ar/incidents/view/816254-6" xr:uid="{00000000-0004-0000-0300-0000770D0000}"/>
    <hyperlink ref="A3780" r:id="rId3449" display="https://webagentes.canaldirecto.com.ar/incidents/view/816252-8" xr:uid="{00000000-0004-0000-0300-0000780D0000}"/>
    <hyperlink ref="A3781" r:id="rId3450" display="https://webagentes.canaldirecto.com.ar/incidents/view/816251-9" xr:uid="{00000000-0004-0000-0300-0000790D0000}"/>
    <hyperlink ref="A3723" r:id="rId3451" display="https://webagentes.canaldirecto.com.ar/incidents/view/816180-2" xr:uid="{00000000-0004-0000-0300-00007A0D0000}"/>
    <hyperlink ref="A3732" r:id="rId3452" display="https://webagentes.canaldirecto.com.ar/incidents/view/815892-3" xr:uid="{00000000-0004-0000-0300-00007B0D0000}"/>
    <hyperlink ref="A3782" r:id="rId3453" display="https://webagentes.canaldirecto.com.ar/incidents/view/815722-5" xr:uid="{00000000-0004-0000-0300-00007C0D0000}"/>
    <hyperlink ref="A3783" r:id="rId3454" display="https://webagentes.canaldirecto.com.ar/incidents/view/815721-6" xr:uid="{00000000-0004-0000-0300-00007D0D0000}"/>
    <hyperlink ref="A3784" r:id="rId3455" display="https://webagentes.canaldirecto.com.ar/incidents/view/815720-7" xr:uid="{00000000-0004-0000-0300-00007E0D0000}"/>
    <hyperlink ref="A3785" r:id="rId3456" display="https://webagentes.canaldirecto.com.ar/incidents/view/815719-1" xr:uid="{00000000-0004-0000-0300-00007F0D0000}"/>
    <hyperlink ref="A3786" r:id="rId3457" display="https://webagentes.canaldirecto.com.ar/incidents/view/815718-2" xr:uid="{00000000-0004-0000-0300-0000800D0000}"/>
    <hyperlink ref="A3787" r:id="rId3458" display="https://webagentes.canaldirecto.com.ar/incidents/view/815717-3" xr:uid="{00000000-0004-0000-0300-0000810D0000}"/>
    <hyperlink ref="A3724" r:id="rId3459" display="https://webagentes.canaldirecto.com.ar/incidents/view/815679-4" xr:uid="{00000000-0004-0000-0300-0000820D0000}"/>
    <hyperlink ref="A3725" r:id="rId3460" display="https://webagentes.canaldirecto.com.ar/incidents/view/815678-5" xr:uid="{00000000-0004-0000-0300-0000830D0000}"/>
    <hyperlink ref="A3726" r:id="rId3461" display="https://webagentes.canaldirecto.com.ar/incidents/view/815674-9" xr:uid="{00000000-0004-0000-0300-0000840D0000}"/>
    <hyperlink ref="A3727" r:id="rId3462" display="https://webagentes.canaldirecto.com.ar/incidents/view/815673-0" xr:uid="{00000000-0004-0000-0300-0000850D0000}"/>
    <hyperlink ref="A3742" r:id="rId3463" display="https://webagentes.canaldirecto.com.ar/incidents/view/815590-8" xr:uid="{00000000-0004-0000-0300-0000860D0000}"/>
    <hyperlink ref="A3737" r:id="rId3464" display="https://webagentes.canaldirecto.com.ar/incidents/view/815359-3" xr:uid="{00000000-0004-0000-0300-0000870D0000}"/>
    <hyperlink ref="A3734" r:id="rId3465" display="https://webagentes.canaldirecto.com.ar/incidents/view/815355-7" xr:uid="{00000000-0004-0000-0300-0000880D0000}"/>
    <hyperlink ref="A3735" r:id="rId3466" display="https://webagentes.canaldirecto.com.ar/incidents/view/815354-8" xr:uid="{00000000-0004-0000-0300-0000890D0000}"/>
    <hyperlink ref="A3736" r:id="rId3467" display="https://webagentes.canaldirecto.com.ar/incidents/view/815353-9" xr:uid="{00000000-0004-0000-0300-00008A0D0000}"/>
    <hyperlink ref="A3743" r:id="rId3468" display="https://webagentes.canaldirecto.com.ar/incidents/view/815102-7" xr:uid="{00000000-0004-0000-0300-00008B0D0000}"/>
    <hyperlink ref="A3739" r:id="rId3469" display="https://webagentes.canaldirecto.com.ar/incidents/view/814959-0" xr:uid="{00000000-0004-0000-0300-00008C0D0000}"/>
    <hyperlink ref="A3740" r:id="rId3470" display="https://webagentes.canaldirecto.com.ar/incidents/view/814958-1" xr:uid="{00000000-0004-0000-0300-00008D0D0000}"/>
    <hyperlink ref="A3741" r:id="rId3471" display="https://webagentes.canaldirecto.com.ar/incidents/view/814957-2" xr:uid="{00000000-0004-0000-0300-00008E0D0000}"/>
    <hyperlink ref="A3745" r:id="rId3472" display="https://webagentes.canaldirecto.com.ar/incidents/view/814812-0" xr:uid="{00000000-0004-0000-0300-00008F0D0000}"/>
    <hyperlink ref="A3728" r:id="rId3473" display="https://webagentes.canaldirecto.com.ar/incidents/view/814546-0" xr:uid="{00000000-0004-0000-0300-0000900D0000}"/>
    <hyperlink ref="A3729" r:id="rId3474" display="https://webagentes.canaldirecto.com.ar/incidents/view/814545-1" xr:uid="{00000000-0004-0000-0300-0000910D0000}"/>
    <hyperlink ref="A3730" r:id="rId3475" display="https://webagentes.canaldirecto.com.ar/incidents/view/814544-2" xr:uid="{00000000-0004-0000-0300-0000920D0000}"/>
    <hyperlink ref="A3738" r:id="rId3476" display="https://webagentes.canaldirecto.com.ar/incidents/view/814519-6" xr:uid="{00000000-0004-0000-0300-0000930D0000}"/>
    <hyperlink ref="A3790" r:id="rId3477" display="https://webagentes.canaldirecto.com.ar/incidents/view/814518-7" xr:uid="{00000000-0004-0000-0300-0000940D0000}"/>
    <hyperlink ref="A3769" r:id="rId3478" display="https://webagentes.canaldirecto.com.ar/incidents/view/814517-8" xr:uid="{00000000-0004-0000-0300-0000950D0000}"/>
    <hyperlink ref="A3791" r:id="rId3479" display="https://webagentes.canaldirecto.com.ar/incidents/view/814516-9" xr:uid="{00000000-0004-0000-0300-0000960D0000}"/>
    <hyperlink ref="A3792" r:id="rId3480" display="https://webagentes.canaldirecto.com.ar/incidents/view/814515-0" xr:uid="{00000000-0004-0000-0300-0000970D0000}"/>
    <hyperlink ref="A3793" r:id="rId3481" display="https://webagentes.canaldirecto.com.ar/incidents/view/814514-1" xr:uid="{00000000-0004-0000-0300-0000980D0000}"/>
    <hyperlink ref="A3770" r:id="rId3482" display="https://webagentes.canaldirecto.com.ar/incidents/view/814513-2" xr:uid="{00000000-0004-0000-0300-0000990D0000}"/>
    <hyperlink ref="A3794" r:id="rId3483" display="https://webagentes.canaldirecto.com.ar/incidents/view/814512-3" xr:uid="{00000000-0004-0000-0300-00009A0D0000}"/>
    <hyperlink ref="A3771" r:id="rId3484" display="https://webagentes.canaldirecto.com.ar/incidents/view/814511-4" xr:uid="{00000000-0004-0000-0300-00009B0D0000}"/>
    <hyperlink ref="A3747" r:id="rId3485" display="https://webagentes.canaldirecto.com.ar/incidents/view/814451-3" xr:uid="{00000000-0004-0000-0300-00009C0D0000}"/>
    <hyperlink ref="A3748" r:id="rId3486" display="https://webagentes.canaldirecto.com.ar/incidents/view/814450-4" xr:uid="{00000000-0004-0000-0300-00009D0D0000}"/>
    <hyperlink ref="A3749" r:id="rId3487" display="https://webagentes.canaldirecto.com.ar/incidents/view/814449-8" xr:uid="{00000000-0004-0000-0300-00009E0D0000}"/>
    <hyperlink ref="A3746" r:id="rId3488" display="https://webagentes.canaldirecto.com.ar/incidents/view/814448-9" xr:uid="{00000000-0004-0000-0300-00009F0D0000}"/>
    <hyperlink ref="A3750" r:id="rId3489" display="https://webagentes.canaldirecto.com.ar/incidents/view/814386-0" xr:uid="{00000000-0004-0000-0300-0000A00D0000}"/>
    <hyperlink ref="A3754" r:id="rId3490" display="https://webagentes.canaldirecto.com.ar/incidents/view/814267-6" xr:uid="{00000000-0004-0000-0300-0000A10D0000}"/>
    <hyperlink ref="A3751" r:id="rId3491" display="https://webagentes.canaldirecto.com.ar/incidents/view/814051-7" xr:uid="{00000000-0004-0000-0300-0000A20D0000}"/>
    <hyperlink ref="A3760" r:id="rId3492" display="https://webagentes.canaldirecto.com.ar/incidents/view/814042-9" xr:uid="{00000000-0004-0000-0300-0000A30D0000}"/>
    <hyperlink ref="A3761" r:id="rId3493" display="https://webagentes.canaldirecto.com.ar/incidents/view/813987-6" xr:uid="{00000000-0004-0000-0300-0000A40D0000}"/>
    <hyperlink ref="A3744" r:id="rId3494" display="https://webagentes.canaldirecto.com.ar/incidents/view/813982-1" xr:uid="{00000000-0004-0000-0300-0000A50D0000}"/>
    <hyperlink ref="A3752" r:id="rId3495" display="https://webagentes.canaldirecto.com.ar/incidents/view/813981-2" xr:uid="{00000000-0004-0000-0300-0000A60D0000}"/>
    <hyperlink ref="A3756" r:id="rId3496" display="https://webagentes.canaldirecto.com.ar/incidents/view/813867-3" xr:uid="{00000000-0004-0000-0300-0000A70D0000}"/>
    <hyperlink ref="A3757" r:id="rId3497" display="https://webagentes.canaldirecto.com.ar/incidents/view/813866-4" xr:uid="{00000000-0004-0000-0300-0000A80D0000}"/>
    <hyperlink ref="A3759" r:id="rId3498" display="https://webagentes.canaldirecto.com.ar/incidents/view/813846-0" xr:uid="{00000000-0004-0000-0300-0000A90D0000}"/>
    <hyperlink ref="A3762" r:id="rId3499" display="https://webagentes.canaldirecto.com.ar/incidents/view/813035-2" xr:uid="{00000000-0004-0000-0300-0000AA0D0000}"/>
    <hyperlink ref="A3763" r:id="rId3500" display="https://webagentes.canaldirecto.com.ar/incidents/view/813034-3" xr:uid="{00000000-0004-0000-0300-0000AB0D0000}"/>
    <hyperlink ref="A3764" r:id="rId3501" display="https://webagentes.canaldirecto.com.ar/incidents/view/813033-4" xr:uid="{00000000-0004-0000-0300-0000AC0D0000}"/>
    <hyperlink ref="A3755" r:id="rId3502" display="https://webagentes.canaldirecto.com.ar/incidents/view/812819-9" xr:uid="{00000000-0004-0000-0300-0000AD0D0000}"/>
    <hyperlink ref="A3753" r:id="rId3503" display="https://webagentes.canaldirecto.com.ar/incidents/view/811974-8" xr:uid="{00000000-0004-0000-0300-0000AE0D0000}"/>
    <hyperlink ref="A3758" r:id="rId3504" display="https://webagentes.canaldirecto.com.ar/incidents/view/811936-8" xr:uid="{00000000-0004-0000-0300-0000AF0D0000}"/>
    <hyperlink ref="A3788" r:id="rId3505" display="https://webagentes.canaldirecto.com.ar/incidents/view/811861-5" xr:uid="{00000000-0004-0000-0300-0000B00D0000}"/>
    <hyperlink ref="A3789" r:id="rId3506" display="https://webagentes.canaldirecto.com.ar/incidents/view/811859-0" xr:uid="{00000000-0004-0000-0300-0000B10D0000}"/>
    <hyperlink ref="A3932" r:id="rId3507" display="https://webagentes.canaldirecto.com.ar/incidents/view/820022-6" xr:uid="{06A4BBD9-3E1B-4B1A-88E4-9026D0DCF193}"/>
    <hyperlink ref="A3931" r:id="rId3508" display="https://webagentes.canaldirecto.com.ar/incidents/view/820004-0" xr:uid="{B6EC5C37-61A5-4AB0-B943-552A36C32DCF}"/>
    <hyperlink ref="A3835" r:id="rId3509" display="https://webagentes.canaldirecto.com.ar/incidents/view/819956-8" xr:uid="{0F253184-6DA6-4419-9686-D79EC52DB717}"/>
    <hyperlink ref="A3836" r:id="rId3510" display="https://webagentes.canaldirecto.com.ar/incidents/view/819955-9" xr:uid="{D61FF14B-47F5-4402-9072-AA04D6B14F6F}"/>
    <hyperlink ref="A3830" r:id="rId3511" display="https://webagentes.canaldirecto.com.ar/incidents/view/819763-0" xr:uid="{BDC6B8F2-162F-495D-BDA1-089617AC6F49}"/>
    <hyperlink ref="A3831" r:id="rId3512" display="https://webagentes.canaldirecto.com.ar/incidents/view/819752-4" xr:uid="{42E10580-698E-44B3-A6FE-9BAEB785B3E0}"/>
    <hyperlink ref="A3827" r:id="rId3513" display="https://webagentes.canaldirecto.com.ar/incidents/view/819695-0" xr:uid="{962D5B1B-C1DA-49DA-9083-FA3D18650567}"/>
    <hyperlink ref="A3833" r:id="rId3514" display="https://webagentes.canaldirecto.com.ar/incidents/view/819660-4" xr:uid="{97248E1C-2260-4148-A6DE-090CDAB4A7CE}"/>
    <hyperlink ref="A3834" r:id="rId3515" display="https://webagentes.canaldirecto.com.ar/incidents/view/819621-5" xr:uid="{7DEC3C67-CAB2-4257-AE20-6C280477ED09}"/>
    <hyperlink ref="A3823" r:id="rId3516" display="https://webagentes.canaldirecto.com.ar/incidents/view/819579-3" xr:uid="{B253832A-755F-40CC-83B0-A1499BE434C5}"/>
    <hyperlink ref="A3828" r:id="rId3517" display="https://webagentes.canaldirecto.com.ar/incidents/view/819577-5" xr:uid="{96089767-7F47-44F3-B867-DDE9EB8A3512}"/>
    <hyperlink ref="A3825" r:id="rId3518" display="https://webagentes.canaldirecto.com.ar/incidents/view/819568-7" xr:uid="{D4F3D593-0312-4F1B-B6A9-5DA4229E3D57}"/>
    <hyperlink ref="A3824" r:id="rId3519" display="https://webagentes.canaldirecto.com.ar/incidents/view/819540-1" xr:uid="{B19109C6-03D3-4D29-9989-7FAD647C7193}"/>
    <hyperlink ref="A3926" r:id="rId3520" display="https://webagentes.canaldirecto.com.ar/incidents/view/819531-3" xr:uid="{6BA9C6F3-1885-4825-A7A4-1C750CE5492B}"/>
    <hyperlink ref="A3927" r:id="rId3521" display="https://webagentes.canaldirecto.com.ar/incidents/view/819530-4" xr:uid="{015386D6-6E5D-482B-BEC5-BEAF1AB29A8D}"/>
    <hyperlink ref="A3928" r:id="rId3522" display="https://webagentes.canaldirecto.com.ar/incidents/view/819529-8" xr:uid="{ACF0F54C-2EC6-454B-BAFE-7E5F4AE64CE9}"/>
    <hyperlink ref="A3929" r:id="rId3523" display="https://webagentes.canaldirecto.com.ar/incidents/view/819528-9" xr:uid="{C3CFDF8E-0517-4C1B-A576-5CBCE15314E1}"/>
    <hyperlink ref="A3930" r:id="rId3524" display="https://webagentes.canaldirecto.com.ar/incidents/view/819527-0" xr:uid="{D4DEC332-2203-438C-8B59-EA6D96634100}"/>
    <hyperlink ref="A3819" r:id="rId3525" display="https://webagentes.canaldirecto.com.ar/incidents/view/819340-3" xr:uid="{53C4DBE1-E396-4DAD-888E-3E38869D66A4}"/>
    <hyperlink ref="A3818" r:id="rId3526" display="https://webagentes.canaldirecto.com.ar/incidents/view/819213-0" xr:uid="{CDEF7241-5C58-4759-B339-60C502F6DE9A}"/>
    <hyperlink ref="A3820" r:id="rId3527" display="https://webagentes.canaldirecto.com.ar/incidents/view/819007-1" xr:uid="{1066876D-7C46-4053-938C-21CE7B7E67C2}"/>
    <hyperlink ref="A3821" r:id="rId3528" display="https://webagentes.canaldirecto.com.ar/incidents/view/818958-9" xr:uid="{99458734-A5A9-4306-9328-BC0C4729EA7E}"/>
    <hyperlink ref="A3813" r:id="rId3529" display="https://webagentes.canaldirecto.com.ar/incidents/view/818936-7" xr:uid="{DB272E55-F5A9-462C-91D7-A5643B2836D9}"/>
    <hyperlink ref="A3816" r:id="rId3530" display="https://webagentes.canaldirecto.com.ar/incidents/view/818907-5" xr:uid="{750A6818-CAEF-436F-B016-0D79F036FE67}"/>
    <hyperlink ref="A3817" r:id="rId3531" display="https://webagentes.canaldirecto.com.ar/incidents/view/818793-4" xr:uid="{3BAE0CE4-43EB-4EEB-8F23-1DD4A5632404}"/>
    <hyperlink ref="A3822" r:id="rId3532" display="https://webagentes.canaldirecto.com.ar/incidents/view/818792-5" xr:uid="{316E3CB6-105E-4253-B944-A95D8BA400A6}"/>
    <hyperlink ref="A3812" r:id="rId3533" display="https://webagentes.canaldirecto.com.ar/incidents/view/818722-6" xr:uid="{1338A181-0623-422C-8F3D-E1175135F51C}"/>
    <hyperlink ref="A3815" r:id="rId3534" display="https://webagentes.canaldirecto.com.ar/incidents/view/818688-3" xr:uid="{BC7EAC2F-F2E5-413F-B5A1-9FB091C36053}"/>
    <hyperlink ref="A3895" r:id="rId3535" display="https://webagentes.canaldirecto.com.ar/incidents/view/818679-5" xr:uid="{794EE525-A80F-49B9-AC36-F6D46377566F}"/>
    <hyperlink ref="A3896" r:id="rId3536" display="https://webagentes.canaldirecto.com.ar/incidents/view/818678-6" xr:uid="{DF9EB872-DD0B-4F53-8A6C-E7FBF0ADFBC7}"/>
    <hyperlink ref="A3897" r:id="rId3537" display="https://webagentes.canaldirecto.com.ar/incidents/view/818677-7" xr:uid="{391BD34A-CD18-406A-9691-190755EEC2AF}"/>
    <hyperlink ref="A3898" r:id="rId3538" display="https://webagentes.canaldirecto.com.ar/incidents/view/818676-8" xr:uid="{65EDEF3A-F372-493A-8E58-01C8BAA7FF2A}"/>
    <hyperlink ref="A3893" r:id="rId3539" display="https://webagentes.canaldirecto.com.ar/incidents/view/818675-9" xr:uid="{83288E7F-5528-4D78-9C01-1E4748097CBB}"/>
    <hyperlink ref="A3894" r:id="rId3540" display="https://webagentes.canaldirecto.com.ar/incidents/view/818674-0" xr:uid="{0A35DFC5-0804-4BD3-80CC-5ED03BE2FB01}"/>
    <hyperlink ref="A3826" r:id="rId3541" display="https://webagentes.canaldirecto.com.ar/incidents/view/818653-7" xr:uid="{FE2B3838-A592-40E2-B800-67228932E39B}"/>
    <hyperlink ref="A3811" r:id="rId3542" display="https://webagentes.canaldirecto.com.ar/incidents/view/818652-8" xr:uid="{D572FE1F-8ADD-4542-B525-8864F699F87A}"/>
    <hyperlink ref="A3910" r:id="rId3543" display="https://webagentes.canaldirecto.com.ar/incidents/view/818544-0" xr:uid="{CAACFCC2-94DF-4180-ABED-C9B55415CAC8}"/>
    <hyperlink ref="A3911" r:id="rId3544" display="https://webagentes.canaldirecto.com.ar/incidents/view/818543-1" xr:uid="{388AF3FE-AFCD-4E84-A4C1-1455D1382C81}"/>
    <hyperlink ref="A3924" r:id="rId3545" display="https://webagentes.canaldirecto.com.ar/incidents/view/818522-8" xr:uid="{B125E038-E332-44EA-9043-ED588E4C1E1F}"/>
    <hyperlink ref="A3925" r:id="rId3546" display="https://webagentes.canaldirecto.com.ar/incidents/view/818521-9" xr:uid="{184FD3F9-521C-4B87-B292-385F47645CEF}"/>
    <hyperlink ref="A3918" r:id="rId3547" display="https://webagentes.canaldirecto.com.ar/incidents/view/818517-6" xr:uid="{CB7D60FE-734B-44E3-A6FB-3B7F184079D4}"/>
    <hyperlink ref="A3919" r:id="rId3548" display="https://webagentes.canaldirecto.com.ar/incidents/view/818516-7" xr:uid="{CB560012-F1F9-4AA0-AE72-D0D1E8F52A3D}"/>
    <hyperlink ref="A3920" r:id="rId3549" display="https://webagentes.canaldirecto.com.ar/incidents/view/818515-8" xr:uid="{87A59F25-B4E8-4FB4-B6A7-30D7048BABF6}"/>
    <hyperlink ref="A3921" r:id="rId3550" display="https://webagentes.canaldirecto.com.ar/incidents/view/818514-9" xr:uid="{C9ABCE59-24E4-442B-B890-AD27F86A1EF4}"/>
    <hyperlink ref="A3922" r:id="rId3551" display="https://webagentes.canaldirecto.com.ar/incidents/view/818513-0" xr:uid="{3DE904CA-554A-4E27-986F-2E361C6A1929}"/>
    <hyperlink ref="A3923" r:id="rId3552" display="https://webagentes.canaldirecto.com.ar/incidents/view/818512-1" xr:uid="{44186DF5-2253-48F6-966E-E64EA81663B8}"/>
    <hyperlink ref="A3912" r:id="rId3553" display="https://webagentes.canaldirecto.com.ar/incidents/view/818482-1" xr:uid="{F3F4F629-CFD8-46BD-B4E7-466D24EAA687}"/>
    <hyperlink ref="A3913" r:id="rId3554" display="https://webagentes.canaldirecto.com.ar/incidents/view/818481-2" xr:uid="{5CB5ACDE-BD58-40D1-9896-40D1238C94DE}"/>
    <hyperlink ref="A3914" r:id="rId3555" display="https://webagentes.canaldirecto.com.ar/incidents/view/818480-3" xr:uid="{3A111FD1-4609-401D-B124-DEEFF001424D}"/>
    <hyperlink ref="A3901" r:id="rId3556" display="https://webagentes.canaldirecto.com.ar/incidents/view/818479-7" xr:uid="{D190FECA-78CE-48D0-ADD4-DCE08739BD38}"/>
    <hyperlink ref="A3902" r:id="rId3557" display="https://webagentes.canaldirecto.com.ar/incidents/view/818478-8" xr:uid="{0F92F2EA-8AB2-4372-8A35-BE63CE24A6C9}"/>
    <hyperlink ref="A3903" r:id="rId3558" display="https://webagentes.canaldirecto.com.ar/incidents/view/818477-9" xr:uid="{E49B123D-8CC9-4FBB-BA56-7246E14841CB}"/>
    <hyperlink ref="A3904" r:id="rId3559" display="https://webagentes.canaldirecto.com.ar/incidents/view/818459-3" xr:uid="{F74D94FA-DF1D-4C80-B671-6AC1D0BED725}"/>
    <hyperlink ref="A3915" r:id="rId3560" display="https://webagentes.canaldirecto.com.ar/incidents/view/818449-6" xr:uid="{1233C0B7-5756-45F2-9D60-D0486558481C}"/>
    <hyperlink ref="A3916" r:id="rId3561" display="https://webagentes.canaldirecto.com.ar/incidents/view/818447-8" xr:uid="{A61311DA-D338-412F-8888-AC0AAD060131}"/>
    <hyperlink ref="A3905" r:id="rId3562" display="https://webagentes.canaldirecto.com.ar/incidents/view/818433-5" xr:uid="{1E075B08-220B-488E-B96E-F4C2A8DD54D9}"/>
    <hyperlink ref="A3906" r:id="rId3563" display="https://webagentes.canaldirecto.com.ar/incidents/view/818431-7" xr:uid="{15A9FBB6-211F-498C-8346-4966E693EA2A}"/>
    <hyperlink ref="A3907" r:id="rId3564" display="https://webagentes.canaldirecto.com.ar/incidents/view/818430-8" xr:uid="{FEE50253-E106-40B7-9C02-28202C20B421}"/>
    <hyperlink ref="A3908" r:id="rId3565" display="https://webagentes.canaldirecto.com.ar/incidents/view/818429-2" xr:uid="{4E73139B-A632-45B1-89CB-487C18740BFD}"/>
    <hyperlink ref="A3909" r:id="rId3566" display="https://webagentes.canaldirecto.com.ar/incidents/view/818428-3" xr:uid="{C2FC850E-7BAE-4A19-976F-268A7A34D745}"/>
    <hyperlink ref="A3917" r:id="rId3567" display="https://webagentes.canaldirecto.com.ar/incidents/view/818427-4" xr:uid="{028644F0-4E36-4402-87D4-31E8C38E2CFD}"/>
    <hyperlink ref="A3810" r:id="rId3568" display="https://webagentes.canaldirecto.com.ar/incidents/view/817994-4" xr:uid="{41EB5B33-8B07-45F1-8243-2958E495D48F}"/>
    <hyperlink ref="A3883" r:id="rId3569" display="https://webagentes.canaldirecto.com.ar/incidents/view/817983-8" xr:uid="{2AEF3205-3B62-4017-8E10-E2E66175ABB2}"/>
    <hyperlink ref="A3884" r:id="rId3570" display="https://webagentes.canaldirecto.com.ar/incidents/view/817982-9" xr:uid="{4F5E8D86-4FE2-4D0F-ADD4-33BDACC1BF61}"/>
    <hyperlink ref="A3885" r:id="rId3571" display="https://webagentes.canaldirecto.com.ar/incidents/view/817981-0" xr:uid="{4E603128-9EE2-4BD1-88FD-D905F548E120}"/>
    <hyperlink ref="A3891" r:id="rId3572" display="https://webagentes.canaldirecto.com.ar/incidents/view/817876-9" xr:uid="{E729872C-4849-46E6-980A-10E75448472A}"/>
    <hyperlink ref="A3888" r:id="rId3573" display="https://webagentes.canaldirecto.com.ar/incidents/view/817875-0" xr:uid="{83108FA7-E8C8-4B1F-92BE-C70ABF7287F4}"/>
    <hyperlink ref="A3889" r:id="rId3574" display="https://webagentes.canaldirecto.com.ar/incidents/view/817874-1" xr:uid="{6A3669F4-95E4-4F82-A36A-26CA792C67E1}"/>
    <hyperlink ref="A3890" r:id="rId3575" display="https://webagentes.canaldirecto.com.ar/incidents/view/817873-2" xr:uid="{796E43DB-D966-4F81-BA14-36F8C61B27FE}"/>
    <hyperlink ref="A3892" r:id="rId3576" display="https://webagentes.canaldirecto.com.ar/incidents/view/817872-3" xr:uid="{859989AF-967F-4B32-8E69-5AEABF1ED8D4}"/>
    <hyperlink ref="A3873" r:id="rId3577" display="https://webagentes.canaldirecto.com.ar/incidents/view/817871-4" xr:uid="{44BC6393-0BE8-4330-9FAB-E9D94C7C8686}"/>
    <hyperlink ref="A3874" r:id="rId3578" display="https://webagentes.canaldirecto.com.ar/incidents/view/817870-5" xr:uid="{C7D17D8C-F2D1-4F30-8356-FEB9568651FC}"/>
    <hyperlink ref="A3875" r:id="rId3579" display="https://webagentes.canaldirecto.com.ar/incidents/view/817869-9" xr:uid="{C79B2D3E-41D5-4D34-B121-F422794E3398}"/>
    <hyperlink ref="A3876" r:id="rId3580" display="https://webagentes.canaldirecto.com.ar/incidents/view/817868-0" xr:uid="{79365CF7-97CB-4D04-A1EE-ADD199F40F74}"/>
    <hyperlink ref="A3829" r:id="rId3581" display="https://webagentes.canaldirecto.com.ar/incidents/view/817756-6" xr:uid="{A41BD740-5F82-4D89-BA09-868F98C302B3}"/>
    <hyperlink ref="A3860" r:id="rId3582" display="https://webagentes.canaldirecto.com.ar/incidents/view/817735-3" xr:uid="{E23DDFCF-82E2-449D-8525-69982FD226EE}"/>
    <hyperlink ref="A3861" r:id="rId3583" display="https://webagentes.canaldirecto.com.ar/incidents/view/817732-6" xr:uid="{E7BFE46B-E1F9-489E-903F-DD088B7BF6D9}"/>
    <hyperlink ref="A3862" r:id="rId3584" display="https://webagentes.canaldirecto.com.ar/incidents/view/817731-7" xr:uid="{EA054BD8-CD96-4751-A2D8-AD272A085A57}"/>
    <hyperlink ref="A3863" r:id="rId3585" display="https://webagentes.canaldirecto.com.ar/incidents/view/817729-2" xr:uid="{58A14DF9-9B70-4C73-AFE5-63C43153C169}"/>
    <hyperlink ref="A3864" r:id="rId3586" display="https://webagentes.canaldirecto.com.ar/incidents/view/817727-4" xr:uid="{32CC7F36-CF36-4F44-8BE3-CA180B0C2061}"/>
    <hyperlink ref="A3865" r:id="rId3587" display="https://webagentes.canaldirecto.com.ar/incidents/view/817726-5" xr:uid="{F48E3D53-B408-445C-92ED-5361A8F7B7CB}"/>
    <hyperlink ref="A3866" r:id="rId3588" display="https://webagentes.canaldirecto.com.ar/incidents/view/817725-6" xr:uid="{5F56B877-3177-4C45-8E60-82772AAF60AD}"/>
    <hyperlink ref="A3867" r:id="rId3589" display="https://webagentes.canaldirecto.com.ar/incidents/view/817724-7" xr:uid="{1258B9F5-7741-41A7-9D00-B75243CBE355}"/>
    <hyperlink ref="A3868" r:id="rId3590" display="https://webagentes.canaldirecto.com.ar/incidents/view/817723-8" xr:uid="{7FE1AA56-6F33-40FF-A57F-F2AFE902A999}"/>
    <hyperlink ref="A3869" r:id="rId3591" display="https://webagentes.canaldirecto.com.ar/incidents/view/817722-9" xr:uid="{D8D5CE9C-8B86-4C68-B649-77B7B5530559}"/>
    <hyperlink ref="A3870" r:id="rId3592" display="https://webagentes.canaldirecto.com.ar/incidents/view/817721-0" xr:uid="{14F7C7E3-EBE7-40D6-80F9-7CDE7684E468}"/>
    <hyperlink ref="A3871" r:id="rId3593" display="https://webagentes.canaldirecto.com.ar/incidents/view/817720-1" xr:uid="{544783DE-1B5F-4C83-9A43-32F7780EDB72}"/>
    <hyperlink ref="A3872" r:id="rId3594" display="https://webagentes.canaldirecto.com.ar/incidents/view/817719-5" xr:uid="{C0AC46E1-CE0F-4345-8B1A-5A0515FA179E}"/>
    <hyperlink ref="A3807" r:id="rId3595" display="https://webagentes.canaldirecto.com.ar/incidents/view/817630-9" xr:uid="{6DA09BB9-2F6A-4073-B222-ED4D59DE9360}"/>
    <hyperlink ref="A3806" r:id="rId3596" display="https://webagentes.canaldirecto.com.ar/incidents/view/817565-6" xr:uid="{6E4FEE19-89A9-45B2-AB73-91DD51C69F82}"/>
    <hyperlink ref="A3850" r:id="rId3597" display="https://webagentes.canaldirecto.com.ar/incidents/view/817546-1" xr:uid="{C63C034B-AF3C-4A21-9E38-862402275901}"/>
    <hyperlink ref="A3851" r:id="rId3598" display="https://webagentes.canaldirecto.com.ar/incidents/view/817545-2" xr:uid="{26C0B48A-97D3-44D8-B77D-9C962FA939C2}"/>
    <hyperlink ref="A3852" r:id="rId3599" display="https://webagentes.canaldirecto.com.ar/incidents/view/817544-3" xr:uid="{39FB04AA-C813-44A5-8146-4391C8E61CE4}"/>
    <hyperlink ref="A3853" r:id="rId3600" display="https://webagentes.canaldirecto.com.ar/incidents/view/817543-4" xr:uid="{2B770B57-2E3C-4C57-9BE3-3802D2EB260D}"/>
    <hyperlink ref="A3854" r:id="rId3601" display="https://webagentes.canaldirecto.com.ar/incidents/view/817542-5" xr:uid="{9915D1B0-C195-45A8-80FA-3016047B2832}"/>
    <hyperlink ref="A3855" r:id="rId3602" display="https://webagentes.canaldirecto.com.ar/incidents/view/817541-6" xr:uid="{FEFB07A3-01B5-446A-AFF1-B87C8D17F09D}"/>
    <hyperlink ref="A3856" r:id="rId3603" display="https://webagentes.canaldirecto.com.ar/incidents/view/817540-7" xr:uid="{2817C874-A53C-4035-871C-2A93B22C3C74}"/>
    <hyperlink ref="A3857" r:id="rId3604" display="https://webagentes.canaldirecto.com.ar/incidents/view/817539-1" xr:uid="{57C420CA-99A7-4B6C-80B1-FE2AEC172F81}"/>
    <hyperlink ref="A3803" r:id="rId3605" display="https://webagentes.canaldirecto.com.ar/incidents/view/817318-0" xr:uid="{06F1D204-01CF-411B-8ABC-18CC038E2B99}"/>
    <hyperlink ref="A3808" r:id="rId3606" display="https://webagentes.canaldirecto.com.ar/incidents/view/817166-9" xr:uid="{0AE8DFBE-E5AC-482C-A5E9-925F7360B397}"/>
    <hyperlink ref="A3809" r:id="rId3607" display="https://webagentes.canaldirecto.com.ar/incidents/view/817163-2" xr:uid="{7914F103-F9BB-4CEA-B39E-6ACFFAA1323C}"/>
    <hyperlink ref="A3802" r:id="rId3608" display="https://webagentes.canaldirecto.com.ar/incidents/view/817075-8" xr:uid="{F2329FFD-5535-407B-8CE8-10CE60ED429F}"/>
    <hyperlink ref="A3841" r:id="rId3609" display="https://webagentes.canaldirecto.com.ar/incidents/view/816910-5" xr:uid="{D69FF895-1A9D-4872-8653-36FA58080BAD}"/>
    <hyperlink ref="A3805" r:id="rId3610" display="https://webagentes.canaldirecto.com.ar/incidents/view/816866-5" xr:uid="{AF5B44D4-EA3E-4D64-A9BF-115CDBA76534}"/>
    <hyperlink ref="A3848" r:id="rId3611" display="https://webagentes.canaldirecto.com.ar/incidents/view/816857-7" xr:uid="{0DA07C11-F345-44CF-8F06-E04530619388}"/>
    <hyperlink ref="A3849" r:id="rId3612" display="https://webagentes.canaldirecto.com.ar/incidents/view/816856-8" xr:uid="{3CB48579-841B-4533-9FD0-50385696A676}"/>
    <hyperlink ref="A3858" r:id="rId3613" display="https://webagentes.canaldirecto.com.ar/incidents/view/816855-9" xr:uid="{1E2D38FC-22B7-405B-97F4-61F96E667A24}"/>
    <hyperlink ref="A3859" r:id="rId3614" display="https://webagentes.canaldirecto.com.ar/incidents/view/816854-0" xr:uid="{99E561AE-867F-419E-BC95-B90DE9924932}"/>
    <hyperlink ref="A3878" r:id="rId3615" display="https://webagentes.canaldirecto.com.ar/incidents/view/816851-3" xr:uid="{00F29726-FD57-4165-ADB4-ADA242910B1C}"/>
    <hyperlink ref="A3879" r:id="rId3616" display="https://webagentes.canaldirecto.com.ar/incidents/view/816850-4" xr:uid="{B9AA4043-23D7-467D-9E77-A766208CC1EA}"/>
    <hyperlink ref="A3886" r:id="rId3617" display="https://webagentes.canaldirecto.com.ar/incidents/view/816848-9" xr:uid="{3BAF47A7-DD67-434D-8CBB-10129695A801}"/>
    <hyperlink ref="A3887" r:id="rId3618" display="https://webagentes.canaldirecto.com.ar/incidents/view/816847-0" xr:uid="{08FFF448-55A1-48ED-A2E3-F543102842C0}"/>
    <hyperlink ref="A3844" r:id="rId3619" display="https://webagentes.canaldirecto.com.ar/incidents/view/816846-1" xr:uid="{BC66B4C3-C310-42DF-83FD-FD6CED288A2B}"/>
    <hyperlink ref="A3845" r:id="rId3620" display="https://webagentes.canaldirecto.com.ar/incidents/view/816845-2" xr:uid="{09C7251D-8AAA-46CC-90EB-C0EEED16D626}"/>
    <hyperlink ref="A3846" r:id="rId3621" display="https://webagentes.canaldirecto.com.ar/incidents/view/816844-3" xr:uid="{4FC4C4A5-5CD4-4E23-A8E5-952CB26CD509}"/>
    <hyperlink ref="A3847" r:id="rId3622" display="https://webagentes.canaldirecto.com.ar/incidents/view/816843-4" xr:uid="{8CCD138A-4ED6-4276-9C50-7A1FBA39DAB1}"/>
    <hyperlink ref="A3842" r:id="rId3623" display="https://webagentes.canaldirecto.com.ar/incidents/view/816842-5" xr:uid="{3CBB1EA5-2F20-4A84-A30C-CB977FA06248}"/>
    <hyperlink ref="A3843" r:id="rId3624" display="https://webagentes.canaldirecto.com.ar/incidents/view/816841-6" xr:uid="{25B17B74-04B9-4D05-AAF4-986FB74E2EF5}"/>
    <hyperlink ref="A3804" r:id="rId3625" display="https://webagentes.canaldirecto.com.ar/incidents/view/816795-8" xr:uid="{A19131A4-A6C4-4F21-8529-43D6EEED06EB}"/>
    <hyperlink ref="A3801" r:id="rId3626" display="https://webagentes.canaldirecto.com.ar/incidents/view/816766-6" xr:uid="{009C6DF7-6901-4681-BC8B-110D2784B5A4}"/>
    <hyperlink ref="A3832" r:id="rId3627" display="https://webagentes.canaldirecto.com.ar/incidents/view/816724-0" xr:uid="{48381FF0-AC0C-4341-8A81-2D54AB7D76BE}"/>
    <hyperlink ref="A3799" r:id="rId3628" display="https://webagentes.canaldirecto.com.ar/incidents/view/816565-9" xr:uid="{06B035F4-5674-4EAF-B50F-2A6604DA8956}"/>
    <hyperlink ref="A3800" r:id="rId3629" display="https://webagentes.canaldirecto.com.ar/incidents/view/816564-0" xr:uid="{7E8E7D14-899B-4851-8561-91B3ABF2DBD7}"/>
    <hyperlink ref="A3877" r:id="rId3630" display="https://webagentes.canaldirecto.com.ar/incidents/view/816255-5" xr:uid="{E1F81C5A-DAD1-4365-A7D0-D46DB4901F6B}"/>
    <hyperlink ref="A3814" r:id="rId3631" display="https://webagentes.canaldirecto.com.ar/incidents/view/814997-0" xr:uid="{226B9CC5-205D-41A4-BCE3-064D9BD48377}"/>
    <hyperlink ref="A3899" r:id="rId3632" display="https://webagentes.canaldirecto.com.ar/incidents/view/813013-0" xr:uid="{336FDFE9-25F9-4BF3-9CAC-192E8210B315}"/>
    <hyperlink ref="A3900" r:id="rId3633" display="https://webagentes.canaldirecto.com.ar/incidents/view/813012-1" xr:uid="{984A1FE8-BF29-4295-8A52-57768FDB2947}"/>
    <hyperlink ref="A3882" r:id="rId3634" display="https://webagentes.canaldirecto.com.ar/incidents/view/811862-4" xr:uid="{FEBE2E8C-074C-4595-9E96-85A620EB6E46}"/>
    <hyperlink ref="A3839" r:id="rId3635" display="https://webagentes.canaldirecto.com.ar/incidents/view/811860-6" xr:uid="{9EAA6C45-2624-450A-A300-29F9A55AF64D}"/>
    <hyperlink ref="A3880" r:id="rId3636" display="https://webagentes.canaldirecto.com.ar/incidents/view/811858-1" xr:uid="{CD65D5AA-55E7-42A7-8E35-EDA74FFE0381}"/>
    <hyperlink ref="A3881" r:id="rId3637" display="https://webagentes.canaldirecto.com.ar/incidents/view/811856-3" xr:uid="{42311C0A-2B06-4E23-9AF0-BA2DCCFC3FAB}"/>
    <hyperlink ref="A3840" r:id="rId3638" display="https://webagentes.canaldirecto.com.ar/incidents/view/811855-4" xr:uid="{EF721E0C-B7D6-43D8-8D60-E8D109319B3E}"/>
    <hyperlink ref="A3933" r:id="rId3639" display="https://webagentes.canaldirecto.com.ar/incidents/view/794411-0" xr:uid="{7AA72164-6646-408F-87C5-93F6A5990389}"/>
    <hyperlink ref="A3972" r:id="rId3640" display="https://webagentes.canaldirecto.com.ar/incidents/view/822604-8" xr:uid="{CB4FD15F-62B5-48AD-8B95-B0E91D1402BF}"/>
    <hyperlink ref="A4013" r:id="rId3641" display="https://webagentes.canaldirecto.com.ar/incidents/view/822601-1" xr:uid="{EFE12963-56B1-4F5F-BDB8-059BBE4B89AB}"/>
    <hyperlink ref="A4021" r:id="rId3642" display="https://webagentes.canaldirecto.com.ar/incidents/view/822492-5" xr:uid="{24DB20BE-969D-45A7-96BA-46018755B087}"/>
    <hyperlink ref="A4022" r:id="rId3643" display="https://webagentes.canaldirecto.com.ar/incidents/view/822491-6" xr:uid="{A4616A39-0F5E-47ED-8E55-D812219F5072}"/>
    <hyperlink ref="A4023" r:id="rId3644" display="https://webagentes.canaldirecto.com.ar/incidents/view/822490-7" xr:uid="{A73CD186-1D33-4DB6-82DB-63412079A33B}"/>
    <hyperlink ref="A4024" r:id="rId3645" display="https://webagentes.canaldirecto.com.ar/incidents/view/822488-2" xr:uid="{E3910AEA-D07A-47ED-AAA2-08867B2A4E66}"/>
    <hyperlink ref="A4025" r:id="rId3646" display="https://webagentes.canaldirecto.com.ar/incidents/view/822485-5" xr:uid="{ED12CF56-3D43-44AF-8A0D-FE1401D47E0A}"/>
    <hyperlink ref="A4026" r:id="rId3647" display="https://webagentes.canaldirecto.com.ar/incidents/view/822484-6" xr:uid="{8052D3FA-2A34-4716-AF26-DAD2E55F91A6}"/>
    <hyperlink ref="A3959" r:id="rId3648" display="https://webagentes.canaldirecto.com.ar/incidents/view/822305-0" xr:uid="{55435739-149B-4FC8-9CA9-FA5F310711FF}"/>
    <hyperlink ref="A4008" r:id="rId3649" display="https://webagentes.canaldirecto.com.ar/incidents/view/822185-8" xr:uid="{4C9177EC-7F82-4A85-B922-C81A00DBA67A}"/>
    <hyperlink ref="A4009" r:id="rId3650" display="https://webagentes.canaldirecto.com.ar/incidents/view/822184-9" xr:uid="{59EF9D8F-19EA-4A1D-8A78-BC12D94A0E15}"/>
    <hyperlink ref="A4010" r:id="rId3651" display="https://webagentes.canaldirecto.com.ar/incidents/view/822183-0" xr:uid="{869FE83B-3529-462C-BD53-BE0DC16AC814}"/>
    <hyperlink ref="A3973" r:id="rId3652" display="https://webagentes.canaldirecto.com.ar/incidents/view/822078-9" xr:uid="{EB3C0762-B0EE-46DF-8427-4BBA9DDBE470}"/>
    <hyperlink ref="A3967" r:id="rId3653" display="https://webagentes.canaldirecto.com.ar/incidents/view/822074-3" xr:uid="{487A4DC3-FCC7-4AA3-823E-69800686A70E}"/>
    <hyperlink ref="A3968" r:id="rId3654" display="https://webagentes.canaldirecto.com.ar/incidents/view/822072-5" xr:uid="{F5A0000C-D412-4FE5-88ED-2D937861E063}"/>
    <hyperlink ref="A3969" r:id="rId3655" display="https://webagentes.canaldirecto.com.ar/incidents/view/822071-6" xr:uid="{D73875AE-E52E-48A0-86D4-B9FF28E99F90}"/>
    <hyperlink ref="A3970" r:id="rId3656" display="https://webagentes.canaldirecto.com.ar/incidents/view/822070-7" xr:uid="{B8B8AE11-4828-4B24-B00A-C3901298E41E}"/>
    <hyperlink ref="A3971" r:id="rId3657" display="https://webagentes.canaldirecto.com.ar/incidents/view/822063-7" xr:uid="{10403E20-C3D6-4315-9241-503A50C02FA3}"/>
    <hyperlink ref="A3956" r:id="rId3658" display="https://webagentes.canaldirecto.com.ar/incidents/view/822059-4" xr:uid="{E9D1A4C1-4168-45A8-9F70-5FBA95AEBF82}"/>
    <hyperlink ref="A3961" r:id="rId3659" display="https://webagentes.canaldirecto.com.ar/incidents/view/821977-4" xr:uid="{85F9F986-CAA5-4B09-8F77-D49AEB80DC17}"/>
    <hyperlink ref="A3962" r:id="rId3660" display="https://webagentes.canaldirecto.com.ar/incidents/view/821975-6" xr:uid="{B42661ED-24C1-47E0-B871-D8CABAC9D877}"/>
    <hyperlink ref="A3963" r:id="rId3661" display="https://webagentes.canaldirecto.com.ar/incidents/view/821974-7" xr:uid="{DA2E2D2A-2BA5-4321-9057-4706476A8B83}"/>
    <hyperlink ref="A3964" r:id="rId3662" display="https://webagentes.canaldirecto.com.ar/incidents/view/821973-8" xr:uid="{ACAE58F8-A537-4E43-A4E6-1F58090D4D79}"/>
    <hyperlink ref="A3965" r:id="rId3663" display="https://webagentes.canaldirecto.com.ar/incidents/view/821972-9" xr:uid="{37652E76-99E2-4F17-9824-7B138F338194}"/>
    <hyperlink ref="A4014" r:id="rId3664" display="https://webagentes.canaldirecto.com.ar/incidents/view/821937-6" xr:uid="{5DAEAE2F-CC68-4D35-B681-0B6969299F4A}"/>
    <hyperlink ref="A3950" r:id="rId3665" display="https://webagentes.canaldirecto.com.ar/incidents/view/821923-3" xr:uid="{57ED47C2-1F87-4823-B729-431E38455145}"/>
    <hyperlink ref="A3951" r:id="rId3666" display="https://webagentes.canaldirecto.com.ar/incidents/view/821922-4" xr:uid="{C6916022-E9B4-440F-BD9E-798299CD229F}"/>
    <hyperlink ref="A3954" r:id="rId3667" display="https://webagentes.canaldirecto.com.ar/incidents/view/821868-7" xr:uid="{0959AB17-F4B6-491B-9AC1-3C322CE1B8A2}"/>
    <hyperlink ref="A3996" r:id="rId3668" display="https://webagentes.canaldirecto.com.ar/incidents/view/821834-0" xr:uid="{8370AE61-CF60-48FC-8F4E-E3B7663D64BD}"/>
    <hyperlink ref="A3997" r:id="rId3669" display="https://webagentes.canaldirecto.com.ar/incidents/view/821833-1" xr:uid="{E441C084-E0A7-445E-B293-5CDE15939005}"/>
    <hyperlink ref="A3998" r:id="rId3670" display="https://webagentes.canaldirecto.com.ar/incidents/view/821827-0" xr:uid="{3AE0CF6F-634A-416E-837F-067B7B280446}"/>
    <hyperlink ref="A3999" r:id="rId3671" display="https://webagentes.canaldirecto.com.ar/incidents/view/821808-5" xr:uid="{8A790718-8EC4-437C-8541-8C51AB975170}"/>
    <hyperlink ref="A4000" r:id="rId3672" display="https://webagentes.canaldirecto.com.ar/incidents/view/821806-7" xr:uid="{756DB3E0-7D96-43AC-BB17-7253393BD9B4}"/>
    <hyperlink ref="A4001" r:id="rId3673" display="https://webagentes.canaldirecto.com.ar/incidents/view/821805-8" xr:uid="{7E8C77C9-4792-4950-8BCC-315918F54949}"/>
    <hyperlink ref="A4002" r:id="rId3674" display="https://webagentes.canaldirecto.com.ar/incidents/view/821804-9" xr:uid="{0075D258-DC63-4EE1-9B8B-05DB32E79621}"/>
    <hyperlink ref="A4003" r:id="rId3675" display="https://webagentes.canaldirecto.com.ar/incidents/view/821802-1" xr:uid="{6A5D352C-5144-46DC-B59E-9992743FF615}"/>
    <hyperlink ref="A4004" r:id="rId3676" display="https://webagentes.canaldirecto.com.ar/incidents/view/821801-2" xr:uid="{168E7E5A-5E69-4F3D-993F-C8106E9A85D6}"/>
    <hyperlink ref="A3957" r:id="rId3677" display="https://webagentes.canaldirecto.com.ar/incidents/view/821767-9" xr:uid="{E403AA89-41C5-4AC0-9369-B0060A68D027}"/>
    <hyperlink ref="A3958" r:id="rId3678" display="https://webagentes.canaldirecto.com.ar/incidents/view/821565-3" xr:uid="{ACDA7A60-1C5A-4D09-A4A6-318577ABFFF7}"/>
    <hyperlink ref="A3991" r:id="rId3679" display="https://webagentes.canaldirecto.com.ar/incidents/view/821209-0" xr:uid="{7A0A3682-E472-499E-866E-31DE5ABABC3F}"/>
    <hyperlink ref="A3992" r:id="rId3680" display="https://webagentes.canaldirecto.com.ar/incidents/view/821208-1" xr:uid="{997A8594-CD47-4640-834E-4CB28F6EDBD0}"/>
    <hyperlink ref="A4015" r:id="rId3681" display="https://webagentes.canaldirecto.com.ar/incidents/view/821207-2" xr:uid="{3DC048DF-C7D5-415C-9733-72A9D351BB20}"/>
    <hyperlink ref="A4005" r:id="rId3682" display="https://webagentes.canaldirecto.com.ar/incidents/view/821206-3" xr:uid="{1BD0319D-6CF3-4264-8957-F311F262C19C}"/>
    <hyperlink ref="A4006" r:id="rId3683" display="https://webagentes.canaldirecto.com.ar/incidents/view/821205-4" xr:uid="{F69D7BE8-EC58-4B81-8ED8-C17A98B96498}"/>
    <hyperlink ref="A4007" r:id="rId3684" display="https://webagentes.canaldirecto.com.ar/incidents/view/821201-8" xr:uid="{6076525A-9E8D-4083-8496-61CF858EA260}"/>
    <hyperlink ref="A3993" r:id="rId3685" display="https://webagentes.canaldirecto.com.ar/incidents/view/821199-4" xr:uid="{2D3A21E5-31DC-49A9-8AD0-C6C043CA0467}"/>
    <hyperlink ref="A3944" r:id="rId3686" display="https://webagentes.canaldirecto.com.ar/incidents/view/821097-7" xr:uid="{1D663213-4C6E-4BF9-84DD-A5DDE74AE9E1}"/>
    <hyperlink ref="A3943" r:id="rId3687" display="https://webagentes.canaldirecto.com.ar/incidents/view/821056-0" xr:uid="{15275E3A-D2D6-4770-ABCA-36E7EAE4B544}"/>
    <hyperlink ref="A3966" r:id="rId3688" display="https://webagentes.canaldirecto.com.ar/incidents/view/820984-7" xr:uid="{0DB05A76-AA32-488C-8E50-A929C1AEFCF5}"/>
    <hyperlink ref="A3985" r:id="rId3689" display="https://webagentes.canaldirecto.com.ar/incidents/view/820862-6" xr:uid="{AE22D921-FA1C-4C8B-8C51-EC72EA729AD8}"/>
    <hyperlink ref="A3986" r:id="rId3690" display="https://webagentes.canaldirecto.com.ar/incidents/view/820861-7" xr:uid="{CDD7AFF5-A4E4-4B4A-9ED8-583169956A98}"/>
    <hyperlink ref="A3994" r:id="rId3691" display="https://webagentes.canaldirecto.com.ar/incidents/view/820860-8" xr:uid="{9D8362DA-B9FA-4EE2-80E8-E7ADC047FCD8}"/>
    <hyperlink ref="A3987" r:id="rId3692" display="https://webagentes.canaldirecto.com.ar/incidents/view/820854-7" xr:uid="{1E262CCE-85C5-4CDB-90EE-FDAF25899E53}"/>
    <hyperlink ref="A3990" r:id="rId3693" display="https://webagentes.canaldirecto.com.ar/incidents/view/820853-8" xr:uid="{DB48DEBB-0B53-4E37-A9E0-132539E163C3}"/>
    <hyperlink ref="A3995" r:id="rId3694" display="https://webagentes.canaldirecto.com.ar/incidents/view/820852-9" xr:uid="{42EA7076-9EBE-4775-8FFF-B78D38DB45DD}"/>
    <hyperlink ref="A3955" r:id="rId3695" display="https://webagentes.canaldirecto.com.ar/incidents/view/820793-7" xr:uid="{FBEBD746-44E2-4AA0-A40B-4DDB1455290B}"/>
    <hyperlink ref="A3940" r:id="rId3696" display="https://webagentes.canaldirecto.com.ar/incidents/view/820729-2" xr:uid="{CD790492-7E89-4D9B-AFF5-B23A7795555E}"/>
    <hyperlink ref="A3952" r:id="rId3697" display="https://webagentes.canaldirecto.com.ar/incidents/view/820626-6" xr:uid="{E39F3B4A-22CA-436C-A3B0-6D6BA0DC3608}"/>
    <hyperlink ref="A3941" r:id="rId3698" display="https://webagentes.canaldirecto.com.ar/incidents/view/820596-6" xr:uid="{645AD0D6-E79E-4B4C-8C3F-9AD14815C3F3}"/>
    <hyperlink ref="A3939" r:id="rId3699" display="https://webagentes.canaldirecto.com.ar/incidents/view/820460-2" xr:uid="{BF56702C-B51B-4FB0-AC6F-485E92EF67F6}"/>
    <hyperlink ref="A3945" r:id="rId3700" display="https://webagentes.canaldirecto.com.ar/incidents/view/820360-3" xr:uid="{85E2D623-BF3E-48D0-BA9A-F2F129E85A41}"/>
    <hyperlink ref="A3946" r:id="rId3701" display="https://webagentes.canaldirecto.com.ar/incidents/view/820359-7" xr:uid="{2A71FD9E-C789-4BA1-BDEE-3BCACEB18B90}"/>
    <hyperlink ref="A3938" r:id="rId3702" display="https://webagentes.canaldirecto.com.ar/incidents/view/820257-0" xr:uid="{1FA05239-269E-4D23-A6BB-8E1E08B8D01B}"/>
    <hyperlink ref="A3975" r:id="rId3703" display="https://webagentes.canaldirecto.com.ar/incidents/view/820185-4" xr:uid="{D0EAD948-43C3-48FB-B25B-0A399FD9A80B}"/>
    <hyperlink ref="A3976" r:id="rId3704" display="https://webagentes.canaldirecto.com.ar/incidents/view/820184-5" xr:uid="{8FF6B7A0-6539-4D2E-B80F-4648F034B744}"/>
    <hyperlink ref="A3977" r:id="rId3705" display="https://webagentes.canaldirecto.com.ar/incidents/view/820183-6" xr:uid="{B32654CE-4DD3-4C9B-ABC3-4036540B0E0C}"/>
    <hyperlink ref="A3988" r:id="rId3706" display="https://webagentes.canaldirecto.com.ar/incidents/view/820139-5" xr:uid="{2EFD5438-61D4-4CF0-A7F9-95E1913182F7}"/>
    <hyperlink ref="A3989" r:id="rId3707" display="https://webagentes.canaldirecto.com.ar/incidents/view/820138-6" xr:uid="{7295C3AB-A1EA-4E3A-863D-A993B30DF1AA}"/>
    <hyperlink ref="A3942" r:id="rId3708" display="https://webagentes.canaldirecto.com.ar/incidents/view/820018-3" xr:uid="{A24CC9F3-8F92-4CBE-9593-F894F77C691C}"/>
    <hyperlink ref="A4016" r:id="rId3709" display="https://webagentes.canaldirecto.com.ar/incidents/view/819937-3" xr:uid="{7B1C0897-AADC-45B4-B483-3E6CB2278831}"/>
    <hyperlink ref="A4017" r:id="rId3710" display="https://webagentes.canaldirecto.com.ar/incidents/view/819936-4" xr:uid="{1356FAF1-6DB7-4ED7-B85B-FBF3009287D5}"/>
    <hyperlink ref="A4018" r:id="rId3711" display="https://webagentes.canaldirecto.com.ar/incidents/view/819935-5" xr:uid="{15D7C30F-EF47-44BF-893E-75422D546ABF}"/>
    <hyperlink ref="A4019" r:id="rId3712" display="https://webagentes.canaldirecto.com.ar/incidents/view/819934-6" xr:uid="{867B2380-807C-416F-B0E0-787BC9890D0C}"/>
    <hyperlink ref="A3960" r:id="rId3713" display="https://webagentes.canaldirecto.com.ar/incidents/view/819874-5" xr:uid="{D58B772D-365F-407A-A0C0-BEE80226FD37}"/>
    <hyperlink ref="A3953" r:id="rId3714" display="https://webagentes.canaldirecto.com.ar/incidents/view/819872-7" xr:uid="{FC482999-A7D6-4232-885B-53E31F248CC7}"/>
    <hyperlink ref="A3937" r:id="rId3715" display="https://webagentes.canaldirecto.com.ar/incidents/view/819691-4" xr:uid="{52C81701-650C-4913-B238-F5C97C61D5A7}"/>
    <hyperlink ref="A4020" r:id="rId3716" display="https://webagentes.canaldirecto.com.ar/incidents/view/818472-4" xr:uid="{6F7E21B2-32FA-4DBC-B7C8-EB5B809EB738}"/>
    <hyperlink ref="A4011" r:id="rId3717" display="https://webagentes.canaldirecto.com.ar/incidents/view/818471-5" xr:uid="{D6D8AC21-17CE-436B-A748-90067DE95C46}"/>
    <hyperlink ref="A4012" r:id="rId3718" display="https://webagentes.canaldirecto.com.ar/incidents/view/818469-0" xr:uid="{99393ACF-536F-4838-AC27-6CF98438D645}"/>
    <hyperlink ref="A3978" r:id="rId3719" display="https://webagentes.canaldirecto.com.ar/incidents/view/818439-9" xr:uid="{892A4E9B-C836-44A8-AC05-33D0D5BA9122}"/>
    <hyperlink ref="A3979" r:id="rId3720" display="https://webagentes.canaldirecto.com.ar/incidents/view/818438-0" xr:uid="{6AD807EC-8FB8-420E-B334-F6EC0A9421C0}"/>
    <hyperlink ref="A3980" r:id="rId3721" display="https://webagentes.canaldirecto.com.ar/incidents/view/818437-1" xr:uid="{A7E988F7-B6E7-452F-AD4C-ED8C311E9777}"/>
    <hyperlink ref="A3981" r:id="rId3722" display="https://webagentes.canaldirecto.com.ar/incidents/view/818426-5" xr:uid="{EEE01EE9-16F5-45BA-8349-8C4F919F4A87}"/>
    <hyperlink ref="A3982" r:id="rId3723" display="https://webagentes.canaldirecto.com.ar/incidents/view/818425-6" xr:uid="{182859B6-4C36-42B1-815B-1F6EBF2CC51D}"/>
    <hyperlink ref="A3983" r:id="rId3724" display="https://webagentes.canaldirecto.com.ar/incidents/view/818424-7" xr:uid="{0900B859-2009-462C-812E-B43A47D24367}"/>
    <hyperlink ref="A3984" r:id="rId3725" display="https://webagentes.canaldirecto.com.ar/incidents/view/818423-8" xr:uid="{B97046FD-C9A3-46B5-B420-C197ACC51687}"/>
    <hyperlink ref="A3947" r:id="rId3726" display="https://webagentes.canaldirecto.com.ar/incidents/view/815821-5" xr:uid="{9C594ED7-9B4F-4E33-A3C8-E3D52217094E}"/>
    <hyperlink ref="A3948" r:id="rId3727" display="https://webagentes.canaldirecto.com.ar/incidents/view/815820-6" xr:uid="{8732C151-4B5E-431F-9230-2F07C12DEC6E}"/>
    <hyperlink ref="A3949" r:id="rId3728" display="https://webagentes.canaldirecto.com.ar/incidents/view/815819-0" xr:uid="{5D704C6F-79E4-4414-A879-15B518C1CA10}"/>
    <hyperlink ref="A4048" r:id="rId3729" display="https://webagentes.canaldirecto.com.ar/incidents/view/825129-3" xr:uid="{63A0FDCD-B3AD-4FCC-9796-8C41D2A8C645}"/>
    <hyperlink ref="A4089" r:id="rId3730" display="https://webagentes.canaldirecto.com.ar/incidents/view/824944-7" xr:uid="{244CDEFA-1E0C-4556-B8A6-E5242A86B60D}"/>
    <hyperlink ref="A4090" r:id="rId3731" display="https://webagentes.canaldirecto.com.ar/incidents/view/824943-8" xr:uid="{B16DD53C-5B9B-4324-AEBA-5C5B0A3628E9}"/>
    <hyperlink ref="A4091" r:id="rId3732" display="https://webagentes.canaldirecto.com.ar/incidents/view/824941-0" xr:uid="{8A0F3BD5-C3FD-4BB8-8B8E-4E129508B2DC}"/>
    <hyperlink ref="A4086" r:id="rId3733" display="https://webagentes.canaldirecto.com.ar/incidents/view/824860-6" xr:uid="{5B0D04D4-B46A-483B-9C8A-3617A56F1FFC}"/>
    <hyperlink ref="A4087" r:id="rId3734" display="https://webagentes.canaldirecto.com.ar/incidents/view/824858-1" xr:uid="{ED09AB10-1BDE-4B30-832D-184C5F30642D}"/>
    <hyperlink ref="A4088" r:id="rId3735" display="https://webagentes.canaldirecto.com.ar/incidents/view/824857-2" xr:uid="{4C930BF3-0E67-4DA5-BAC5-A980F0DC249D}"/>
    <hyperlink ref="A4045" r:id="rId3736" display="https://webagentes.canaldirecto.com.ar/incidents/view/824830-5" xr:uid="{21F2ECF2-4F58-4205-87BA-A32C8B480367}"/>
    <hyperlink ref="A4103" r:id="rId3737" display="https://webagentes.canaldirecto.com.ar/incidents/view/824827-1" xr:uid="{43EFEFDC-9AD9-4935-9672-084DCA9644A6}"/>
    <hyperlink ref="A4104" r:id="rId3738" display="https://webagentes.canaldirecto.com.ar/incidents/view/824826-2" xr:uid="{8B7A8D6C-AAB2-4701-A7A7-78B83A445DBB}"/>
    <hyperlink ref="A4105" r:id="rId3739" display="https://webagentes.canaldirecto.com.ar/incidents/view/824825-3" xr:uid="{0B17DFE1-2876-40AD-ACBA-07C986F18EB2}"/>
    <hyperlink ref="A4106" r:id="rId3740" display="https://webagentes.canaldirecto.com.ar/incidents/view/824824-4" xr:uid="{4B1C5D66-3AA8-40FF-89F7-E80834CB07DA}"/>
    <hyperlink ref="A4082" r:id="rId3741" display="https://webagentes.canaldirecto.com.ar/incidents/view/824729-0" xr:uid="{800F7A92-A249-4FA1-8A66-8BA0344F707C}"/>
    <hyperlink ref="A4083" r:id="rId3742" display="https://webagentes.canaldirecto.com.ar/incidents/view/824728-1" xr:uid="{D357B271-879A-4A4C-B6D3-EA2A6454D683}"/>
    <hyperlink ref="A4084" r:id="rId3743" display="https://webagentes.canaldirecto.com.ar/incidents/view/824673-2" xr:uid="{B3A83636-0679-4673-A770-E9D2A91771AC}"/>
    <hyperlink ref="A4085" r:id="rId3744" display="https://webagentes.canaldirecto.com.ar/incidents/view/824672-3" xr:uid="{56986952-FBB2-4963-9FEE-CB7E1325C442}"/>
    <hyperlink ref="A4061" r:id="rId3745" display="https://webagentes.canaldirecto.com.ar/incidents/view/824671-4" xr:uid="{D99624DA-575C-41AF-ABF3-F678262F2D77}"/>
    <hyperlink ref="A4062" r:id="rId3746" display="https://webagentes.canaldirecto.com.ar/incidents/view/824670-5" xr:uid="{89B8D531-C5F6-4AEB-8953-DB91FE4BC5FE}"/>
    <hyperlink ref="A4063" r:id="rId3747" display="https://webagentes.canaldirecto.com.ar/incidents/view/824669-9" xr:uid="{ABA17751-4EFB-4576-8786-A2D57D28519F}"/>
    <hyperlink ref="A4064" r:id="rId3748" display="https://webagentes.canaldirecto.com.ar/incidents/view/824668-0" xr:uid="{4C9AB39E-F1EE-4AE3-BABE-105D72F59897}"/>
    <hyperlink ref="A4065" r:id="rId3749" display="https://webagentes.canaldirecto.com.ar/incidents/view/824667-1" xr:uid="{CD6525BD-7332-48E9-818C-725A42B3FDE3}"/>
    <hyperlink ref="A4066" r:id="rId3750" display="https://webagentes.canaldirecto.com.ar/incidents/view/824666-2" xr:uid="{C89DD4F2-908A-4657-81FA-19D78462553A}"/>
    <hyperlink ref="A4067" r:id="rId3751" display="https://webagentes.canaldirecto.com.ar/incidents/view/824665-3" xr:uid="{3C942E49-2578-430E-A830-FA53DC6B9F86}"/>
    <hyperlink ref="A4068" r:id="rId3752" display="https://webagentes.canaldirecto.com.ar/incidents/view/824664-4" xr:uid="{3B17AA9E-E733-4467-AB3A-F7CE71182595}"/>
    <hyperlink ref="A4046" r:id="rId3753" display="https://webagentes.canaldirecto.com.ar/incidents/view/824521-0" xr:uid="{EED0D712-B0F6-48E7-97B8-2B3F507D6C14}"/>
    <hyperlink ref="A4047" r:id="rId3754" display="https://webagentes.canaldirecto.com.ar/incidents/view/824343-4" xr:uid="{DF8A8426-F65E-4563-9739-2A5111357796}"/>
    <hyperlink ref="A4039" r:id="rId3755" display="https://webagentes.canaldirecto.com.ar/incidents/view/824306-3" xr:uid="{C46788FF-1DF6-4F1B-A676-F7664F9BB381}"/>
    <hyperlink ref="A4102" r:id="rId3756" display="https://webagentes.canaldirecto.com.ar/incidents/view/824157-9" xr:uid="{4B7BB127-D16B-4885-9726-A84FF4711508}"/>
    <hyperlink ref="A4100" r:id="rId3757" display="https://webagentes.canaldirecto.com.ar/incidents/view/824154-2" xr:uid="{CC11E165-B828-4668-BDBA-6FF3BD5AE3C6}"/>
    <hyperlink ref="A4080" r:id="rId3758" display="https://webagentes.canaldirecto.com.ar/incidents/view/824140-9" xr:uid="{973E77EC-6CD2-4966-831E-A3077ECEB585}"/>
    <hyperlink ref="A4081" r:id="rId3759" display="https://webagentes.canaldirecto.com.ar/incidents/view/824139-3" xr:uid="{BB655D92-2E7D-4AC2-9D2B-155C2E0E168A}"/>
    <hyperlink ref="A4069" r:id="rId3760" display="https://webagentes.canaldirecto.com.ar/incidents/view/824138-4" xr:uid="{251504B5-73B3-44B1-BDAD-7BC7D0BF07FA}"/>
    <hyperlink ref="A4070" r:id="rId3761" display="https://webagentes.canaldirecto.com.ar/incidents/view/824136-6" xr:uid="{991F2C66-00F2-4400-A785-91622D5535D4}"/>
    <hyperlink ref="A4071" r:id="rId3762" display="https://webagentes.canaldirecto.com.ar/incidents/view/824135-7" xr:uid="{1D8C1B89-B939-407F-8E57-EF64E3F15BCF}"/>
    <hyperlink ref="A4072" r:id="rId3763" display="https://webagentes.canaldirecto.com.ar/incidents/view/824134-8" xr:uid="{433EDA32-0C05-44D9-9F03-C29D52039D14}"/>
    <hyperlink ref="A4073" r:id="rId3764" display="https://webagentes.canaldirecto.com.ar/incidents/view/824133-9" xr:uid="{FF9ADC73-4357-478E-B4D2-088E1A1AD27F}"/>
    <hyperlink ref="A4074" r:id="rId3765" display="https://webagentes.canaldirecto.com.ar/incidents/view/824132-0" xr:uid="{FF935724-ECA2-4A5B-A17A-E311075572C9}"/>
    <hyperlink ref="A4075" r:id="rId3766" display="https://webagentes.canaldirecto.com.ar/incidents/view/824131-1" xr:uid="{223CFDC8-8641-404D-8D19-E60D53FB202E}"/>
    <hyperlink ref="A4076" r:id="rId3767" display="https://webagentes.canaldirecto.com.ar/incidents/view/824130-2" xr:uid="{5AE3B225-1A1B-458F-80E0-21BD27CF5116}"/>
    <hyperlink ref="A4077" r:id="rId3768" display="https://webagentes.canaldirecto.com.ar/incidents/view/824129-6" xr:uid="{BCF6F144-7616-49F8-9A31-4C0350A388DC}"/>
    <hyperlink ref="A4078" r:id="rId3769" display="https://webagentes.canaldirecto.com.ar/incidents/view/824128-7" xr:uid="{6C7C673A-FF9B-486F-AA9D-D5F6FE2C12DE}"/>
    <hyperlink ref="A4079" r:id="rId3770" display="https://webagentes.canaldirecto.com.ar/incidents/view/824127-8" xr:uid="{6C106F57-F66A-474B-AA95-F1E05C01B458}"/>
    <hyperlink ref="A4092" r:id="rId3771" display="https://webagentes.canaldirecto.com.ar/incidents/view/824122-3" xr:uid="{1A9195A1-E682-4B90-B888-18D104A469F0}"/>
    <hyperlink ref="A4093" r:id="rId3772" display="https://webagentes.canaldirecto.com.ar/incidents/view/824121-4" xr:uid="{C6EC6CAF-A90F-4C0B-B83D-D5EC850ED25E}"/>
    <hyperlink ref="A4094" r:id="rId3773" display="https://webagentes.canaldirecto.com.ar/incidents/view/824120-5" xr:uid="{8608AD78-C8C7-48ED-8496-444BF1688CB7}"/>
    <hyperlink ref="A4095" r:id="rId3774" display="https://webagentes.canaldirecto.com.ar/incidents/view/824119-9" xr:uid="{AA234C04-B9CB-45E8-98CF-2ECBFBA358A2}"/>
    <hyperlink ref="A4096" r:id="rId3775" display="https://webagentes.canaldirecto.com.ar/incidents/view/824118-0" xr:uid="{8B2E9E64-ED50-46E0-BD93-E3D6031FD38C}"/>
    <hyperlink ref="A4097" r:id="rId3776" display="https://webagentes.canaldirecto.com.ar/incidents/view/824117-1" xr:uid="{3710C3EC-1AEA-4BC8-B420-4DBDC56F9C41}"/>
    <hyperlink ref="A4038" r:id="rId3777" display="https://webagentes.canaldirecto.com.ar/incidents/view/823819-5" xr:uid="{F70C6FA9-4292-496F-AF2C-E2E3FF4CF90F}"/>
    <hyperlink ref="A4044" r:id="rId3778" display="https://webagentes.canaldirecto.com.ar/incidents/view/823660-1" xr:uid="{6BA3A113-45C1-4E3B-BFCA-B7D6611CE989}"/>
    <hyperlink ref="A4034" r:id="rId3779" display="https://webagentes.canaldirecto.com.ar/incidents/view/823552-3" xr:uid="{98A03E51-2119-4B90-9868-1AB4252D1217}"/>
    <hyperlink ref="A4036" r:id="rId3780" display="https://webagentes.canaldirecto.com.ar/incidents/view/823468-5" xr:uid="{876A2387-61D8-487A-8B97-73EAFF3A834C}"/>
    <hyperlink ref="A4033" r:id="rId3781" display="https://webagentes.canaldirecto.com.ar/incidents/view/823460-3" xr:uid="{AA0D740E-9C17-460C-9DE4-FB761A84A6FB}"/>
    <hyperlink ref="A4035" r:id="rId3782" display="https://webagentes.canaldirecto.com.ar/incidents/view/823427-8" xr:uid="{FC0D18C7-64AB-47CC-8913-9EC5A506FD51}"/>
    <hyperlink ref="A4043" r:id="rId3783" display="https://webagentes.canaldirecto.com.ar/incidents/view/823411-7" xr:uid="{08FD2A9F-7F44-4BA8-9D7C-C7B6D385E30F}"/>
    <hyperlink ref="A4032" r:id="rId3784" display="https://webagentes.canaldirecto.com.ar/incidents/view/823291-5" xr:uid="{48F2F054-F2A0-41E2-A560-04C27C68C489}"/>
    <hyperlink ref="A4042" r:id="rId3785" display="https://webagentes.canaldirecto.com.ar/incidents/view/823242-9" xr:uid="{9AFA68C3-576B-4EF9-9945-EA557F3215DE}"/>
    <hyperlink ref="A4060" r:id="rId3786" display="https://webagentes.canaldirecto.com.ar/incidents/view/823121-7" xr:uid="{881A6F17-A0F7-4F2A-81AD-072D86E0ECDE}"/>
    <hyperlink ref="A4057" r:id="rId3787" display="https://webagentes.canaldirecto.com.ar/incidents/view/823120-8" xr:uid="{786466C2-7BA5-414D-B771-CD94970C0961}"/>
    <hyperlink ref="A4051" r:id="rId3788" display="https://webagentes.canaldirecto.com.ar/incidents/view/823119-2" xr:uid="{1E243EE9-D024-4539-8603-C0102BF2E93A}"/>
    <hyperlink ref="A4052" r:id="rId3789" display="https://webagentes.canaldirecto.com.ar/incidents/view/823118-3" xr:uid="{8BB769DC-43AC-468D-A930-92913DA41D97}"/>
    <hyperlink ref="A4053" r:id="rId3790" display="https://webagentes.canaldirecto.com.ar/incidents/view/823117-4" xr:uid="{A390D17B-1D30-4C17-8417-44B465846D80}"/>
    <hyperlink ref="A4058" r:id="rId3791" display="https://webagentes.canaldirecto.com.ar/incidents/view/823116-5" xr:uid="{36514EBA-0B89-4393-BF9E-40D0A7E23C19}"/>
    <hyperlink ref="A4059" r:id="rId3792" display="https://webagentes.canaldirecto.com.ar/incidents/view/823115-6" xr:uid="{C14D4A8B-1839-44F4-840F-AA81AE099E77}"/>
    <hyperlink ref="A4054" r:id="rId3793" display="https://webagentes.canaldirecto.com.ar/incidents/view/823114-7" xr:uid="{F415E1B9-F7EC-4614-A868-9676AB03FA68}"/>
    <hyperlink ref="A4055" r:id="rId3794" display="https://webagentes.canaldirecto.com.ar/incidents/view/823113-8" xr:uid="{E6BB935D-E1BD-47CB-A70A-8C01C5D16726}"/>
    <hyperlink ref="A4056" r:id="rId3795" display="https://webagentes.canaldirecto.com.ar/incidents/view/823112-9" xr:uid="{885F25D6-E0C4-45B7-978A-3C47C082B7FA}"/>
    <hyperlink ref="A4037" r:id="rId3796" display="https://webagentes.canaldirecto.com.ar/incidents/view/822799-5" xr:uid="{40EB27CF-1A30-44CD-A08C-447473A1E058}"/>
    <hyperlink ref="A4041" r:id="rId3797" display="https://webagentes.canaldirecto.com.ar/incidents/view/822715-3" xr:uid="{A843D65B-4F75-4C67-AD57-28BAF8D1B407}"/>
    <hyperlink ref="A4031" r:id="rId3798" display="https://webagentes.canaldirecto.com.ar/incidents/view/822704-7" xr:uid="{B0F80C95-A843-4A8F-B792-6DDF8182BBCB}"/>
    <hyperlink ref="A4098" r:id="rId3799" display="https://webagentes.canaldirecto.com.ar/incidents/view/822486-4" xr:uid="{B94A693E-95C3-4D31-980A-8D270AC200FA}"/>
    <hyperlink ref="A4040" r:id="rId3800" display="https://webagentes.canaldirecto.com.ar/incidents/view/821768-8" xr:uid="{2895847E-15B3-47BD-8B2C-690695CE5C2B}"/>
    <hyperlink ref="A4101" r:id="rId3801" display="https://webagentes.canaldirecto.com.ar/incidents/view/818524-6" xr:uid="{E8158CD8-C813-436C-ADCF-AC3BBF283ECC}"/>
    <hyperlink ref="A4099" r:id="rId3802" display="https://webagentes.canaldirecto.com.ar/incidents/view/818518-5" xr:uid="{6647F615-F21A-4666-9528-4F0529AFAFB1}"/>
    <hyperlink ref="A4107" r:id="rId3803" display="https://webagentes.canaldirecto.com.ar/incidents/view/801018-2" xr:uid="{75B1ACEB-4B73-445F-B5F2-C9227FED83BD}"/>
    <hyperlink ref="A4159" r:id="rId3804" display="https://webagentes.canaldirecto.com.ar/incidents/view/828684-6" xr:uid="{8A4A2229-7155-4047-B234-2FE405EDA8C8}"/>
    <hyperlink ref="A4155" r:id="rId3805" display="https://webagentes.canaldirecto.com.ar/incidents/view/828264-6" xr:uid="{55D93503-DAAE-4468-8842-AA383FFF6997}"/>
    <hyperlink ref="A4153" r:id="rId3806" display="https://webagentes.canaldirecto.com.ar/incidents/view/828095-8" xr:uid="{6F5FBAC3-1686-4BE7-AF83-870A91CF77BF}"/>
    <hyperlink ref="A4154" r:id="rId3807" display="https://webagentes.canaldirecto.com.ar/incidents/view/828026-8" xr:uid="{8051C8E6-CAFB-49A8-962B-D1E20444A856}"/>
    <hyperlink ref="A4156" r:id="rId3808" display="https://webagentes.canaldirecto.com.ar/incidents/view/827970-3" xr:uid="{569B02D0-FD5F-4710-89BF-0196B51D349B}"/>
    <hyperlink ref="A4191" r:id="rId3809" display="https://webagentes.canaldirecto.com.ar/incidents/view/827927-1" xr:uid="{1DEB33AE-AB50-4557-9B3D-C86D6CF96E06}"/>
    <hyperlink ref="A4192" r:id="rId3810" display="https://webagentes.canaldirecto.com.ar/incidents/view/827926-2" xr:uid="{E1F8EEC4-96A5-467E-AA66-A0C80822931D}"/>
    <hyperlink ref="A4193" r:id="rId3811" display="https://webagentes.canaldirecto.com.ar/incidents/view/827925-3" xr:uid="{6306C422-6969-4636-9C4A-3EF4C163C5C4}"/>
    <hyperlink ref="A4194" r:id="rId3812" display="https://webagentes.canaldirecto.com.ar/incidents/view/827922-6" xr:uid="{AB44CEC0-51FC-4016-96B0-8486A0B0EF2F}"/>
    <hyperlink ref="A4195" r:id="rId3813" display="https://webagentes.canaldirecto.com.ar/incidents/view/827921-7" xr:uid="{F5D7FC53-5325-4F44-8724-B590C9D11ECD}"/>
    <hyperlink ref="A4196" r:id="rId3814" display="https://webagentes.canaldirecto.com.ar/incidents/view/827920-8" xr:uid="{FF2E70C0-D0CF-4B7A-8AA0-4EAA1F225927}"/>
    <hyperlink ref="A4146" r:id="rId3815" display="https://webagentes.canaldirecto.com.ar/incidents/view/827787-5" xr:uid="{8792E91B-A2DB-4F66-B4D0-5E1BDB8D2432}"/>
    <hyperlink ref="A4151" r:id="rId3816" display="https://webagentes.canaldirecto.com.ar/incidents/view/827761-7" xr:uid="{8F1D6C3D-9E96-40E2-837E-23A7435B99AD}"/>
    <hyperlink ref="A4157" r:id="rId3817" display="https://webagentes.canaldirecto.com.ar/incidents/view/827749-5" xr:uid="{D39D587F-24A5-438F-9DE8-0908016D6BC8}"/>
    <hyperlink ref="A4149" r:id="rId3818" display="https://webagentes.canaldirecto.com.ar/incidents/view/827689-4" xr:uid="{CABCC3F2-7996-4640-A985-2269CA346D86}"/>
    <hyperlink ref="A4145" r:id="rId3819" display="https://webagentes.canaldirecto.com.ar/incidents/view/827629-2" xr:uid="{7C2B895B-D0F9-4A58-8901-784F6C7CD54C}"/>
    <hyperlink ref="A4144" r:id="rId3820" display="https://webagentes.canaldirecto.com.ar/incidents/view/827609-8" xr:uid="{012F68E9-53B2-44BE-BFD3-1B4510FA570A}"/>
    <hyperlink ref="A4150" r:id="rId3821" display="https://webagentes.canaldirecto.com.ar/incidents/view/827557-6" xr:uid="{5AFB7D5B-EA94-4D7A-A9A2-8AC00454355A}"/>
    <hyperlink ref="A4180" r:id="rId3822" display="https://webagentes.canaldirecto.com.ar/incidents/view/827477-1" xr:uid="{F5C2C669-2105-4A8F-9115-86F993C66FEC}"/>
    <hyperlink ref="A4181" r:id="rId3823" display="https://webagentes.canaldirecto.com.ar/incidents/view/827476-2" xr:uid="{B96098F4-08D4-46C4-A4AC-5366C6351463}"/>
    <hyperlink ref="A4182" r:id="rId3824" display="https://webagentes.canaldirecto.com.ar/incidents/view/827475-3" xr:uid="{65A89504-C120-4F4E-9FA3-DF4E6C74736C}"/>
    <hyperlink ref="A4183" r:id="rId3825" display="https://webagentes.canaldirecto.com.ar/incidents/view/827473-5" xr:uid="{D10FAF2D-2AF9-4C89-BF38-8E41FEB24963}"/>
    <hyperlink ref="A4184" r:id="rId3826" display="https://webagentes.canaldirecto.com.ar/incidents/view/827472-6" xr:uid="{98C03634-F1E0-4C93-91D6-3E38EA82151F}"/>
    <hyperlink ref="A4185" r:id="rId3827" display="https://webagentes.canaldirecto.com.ar/incidents/view/827471-7" xr:uid="{2F5C712E-E7F5-4EC1-8EB4-A522861FB7EE}"/>
    <hyperlink ref="A4186" r:id="rId3828" display="https://webagentes.canaldirecto.com.ar/incidents/view/827470-8" xr:uid="{34CC298C-035C-43A3-ADCF-F051604EBC52}"/>
    <hyperlink ref="A4187" r:id="rId3829" display="https://webagentes.canaldirecto.com.ar/incidents/view/827469-2" xr:uid="{0003EEF6-B0C0-459F-A9DB-FD6AE9DD5E53}"/>
    <hyperlink ref="A4188" r:id="rId3830" display="https://webagentes.canaldirecto.com.ar/incidents/view/827468-3" xr:uid="{1B5A0C9B-E8EB-4861-9842-F8D1452FFB0B}"/>
    <hyperlink ref="A4189" r:id="rId3831" display="https://webagentes.canaldirecto.com.ar/incidents/view/827467-4" xr:uid="{A037FD85-ADA6-4F0A-833B-8DE41E0F9D0A}"/>
    <hyperlink ref="A4190" r:id="rId3832" display="https://webagentes.canaldirecto.com.ar/incidents/view/827466-5" xr:uid="{2E428463-330F-4493-85F1-F95160E031F7}"/>
    <hyperlink ref="A4158" r:id="rId3833" display="https://webagentes.canaldirecto.com.ar/incidents/view/827245-4" xr:uid="{E4F0E486-F022-4991-8394-B1536DB6E285}"/>
    <hyperlink ref="A4138" r:id="rId3834" display="https://webagentes.canaldirecto.com.ar/incidents/view/827144-6" xr:uid="{8DBA8ABD-0C8B-4C92-AD2C-427659F7C28E}"/>
    <hyperlink ref="A4147" r:id="rId3835" display="https://webagentes.canaldirecto.com.ar/incidents/view/827124-2" xr:uid="{EAD90DAA-3FE8-472D-8F8A-032D8804FBD2}"/>
    <hyperlink ref="A4129" r:id="rId3836" display="https://webagentes.canaldirecto.com.ar/incidents/view/827103-9" xr:uid="{257BD043-9E55-4BC1-89AA-8E0C06240B4F}"/>
    <hyperlink ref="A4137" r:id="rId3837" display="https://webagentes.canaldirecto.com.ar/incidents/view/827001-2" xr:uid="{072C2B99-2023-4EF3-9FF5-15D5008FAA5B}"/>
    <hyperlink ref="A4152" r:id="rId3838" display="https://webagentes.canaldirecto.com.ar/incidents/view/826948-7" xr:uid="{158A7A0F-45ED-44EC-AF6E-B0149B1F00ED}"/>
    <hyperlink ref="A4143" r:id="rId3839" display="https://webagentes.canaldirecto.com.ar/incidents/view/826861-9" xr:uid="{A0EF95B0-F11D-4828-BB6F-359EE399C983}"/>
    <hyperlink ref="A4148" r:id="rId3840" display="https://webagentes.canaldirecto.com.ar/incidents/view/826857-6" xr:uid="{F83DF0DD-F07F-4AB6-97F1-7ED17682D070}"/>
    <hyperlink ref="A4141" r:id="rId3841" display="https://webagentes.canaldirecto.com.ar/incidents/view/826674-5" xr:uid="{802BC810-ECE8-471B-B629-9277C4BAEC99}"/>
    <hyperlink ref="A4126" r:id="rId3842" display="https://webagentes.canaldirecto.com.ar/incidents/view/826662-0" xr:uid="{B6B6E86F-25B1-4D9E-8C60-C31D5EB6A86B}"/>
    <hyperlink ref="A4125" r:id="rId3843" display="https://webagentes.canaldirecto.com.ar/incidents/view/826618-9" xr:uid="{8C3E2925-3CA2-4E83-8D78-5501B2C4D206}"/>
    <hyperlink ref="A4177" r:id="rId3844" display="https://webagentes.canaldirecto.com.ar/incidents/view/826341-0" xr:uid="{D380D356-0DF2-4D8A-98DB-23BA4765025C}"/>
    <hyperlink ref="A4178" r:id="rId3845" display="https://webagentes.canaldirecto.com.ar/incidents/view/826340-1" xr:uid="{8A33FAC8-763C-421F-8FFA-99ECEBE9CB7C}"/>
    <hyperlink ref="A4170" r:id="rId3846" display="https://webagentes.canaldirecto.com.ar/incidents/view/826339-5" xr:uid="{23E746E8-42AB-4BE0-80DA-001627FA0BCB}"/>
    <hyperlink ref="A4171" r:id="rId3847" display="https://webagentes.canaldirecto.com.ar/incidents/view/826337-7" xr:uid="{D8242BED-A5CF-4AA6-89FC-646E094FE804}"/>
    <hyperlink ref="A4172" r:id="rId3848" display="https://webagentes.canaldirecto.com.ar/incidents/view/826336-8" xr:uid="{1068EBA5-ECB7-447D-B5AC-D7EFEBCDCBFB}"/>
    <hyperlink ref="A4173" r:id="rId3849" display="https://webagentes.canaldirecto.com.ar/incidents/view/826335-9" xr:uid="{76B82B35-17F1-4398-9E43-1B91EE615D50}"/>
    <hyperlink ref="A4174" r:id="rId3850" display="https://webagentes.canaldirecto.com.ar/incidents/view/826334-0" xr:uid="{72AC10E0-A15B-4D16-9A7F-D822AFF75B1A}"/>
    <hyperlink ref="A4175" r:id="rId3851" display="https://webagentes.canaldirecto.com.ar/incidents/view/826333-1" xr:uid="{D20ED49D-D166-40CC-BD10-35884EBD3566}"/>
    <hyperlink ref="A4176" r:id="rId3852" display="https://webagentes.canaldirecto.com.ar/incidents/view/826332-2" xr:uid="{40E5BB8E-D20C-4CBA-BC9C-25F27BD4C7C4}"/>
    <hyperlink ref="A4120" r:id="rId3853" display="https://webagentes.canaldirecto.com.ar/incidents/view/826318-2" xr:uid="{0908158E-34AC-4A90-AF44-C10A2925B953}"/>
    <hyperlink ref="A4128" r:id="rId3854" display="https://webagentes.canaldirecto.com.ar/incidents/view/826271-2" xr:uid="{A67B0A3D-A455-4243-B5DC-B7A4338D0510}"/>
    <hyperlink ref="A4118" r:id="rId3855" display="https://webagentes.canaldirecto.com.ar/incidents/view/826148-5" xr:uid="{093C31C2-9BA8-40EC-9AA3-A4CBE7CA1977}"/>
    <hyperlink ref="A4119" r:id="rId3856" display="https://webagentes.canaldirecto.com.ar/incidents/view/826144-9" xr:uid="{AFD51EBE-E114-4CFB-B00B-25309F48D02B}"/>
    <hyperlink ref="A4165" r:id="rId3857" display="https://webagentes.canaldirecto.com.ar/incidents/view/826118-4" xr:uid="{0DD298FD-0E65-4F80-8957-CE594B2A0904}"/>
    <hyperlink ref="A4166" r:id="rId3858" display="https://webagentes.canaldirecto.com.ar/incidents/view/826117-5" xr:uid="{53FE4E27-0A0D-4A38-91E5-9F09DA84FDD1}"/>
    <hyperlink ref="A4167" r:id="rId3859" display="https://webagentes.canaldirecto.com.ar/incidents/view/826116-6" xr:uid="{91409698-24F6-4F25-813A-FA5C78F835D5}"/>
    <hyperlink ref="A4168" r:id="rId3860" display="https://webagentes.canaldirecto.com.ar/incidents/view/826115-7" xr:uid="{164991B7-4202-443A-8F68-2742D3F8A10E}"/>
    <hyperlink ref="A4169" r:id="rId3861" display="https://webagentes.canaldirecto.com.ar/incidents/view/826114-8" xr:uid="{B3E2A32C-7268-41AB-9287-30A35A34544E}"/>
    <hyperlink ref="A4116" r:id="rId3862" display="https://webagentes.canaldirecto.com.ar/incidents/view/825965-7" xr:uid="{139F6431-4D53-46F6-B1BE-CD5B2F2118D6}"/>
    <hyperlink ref="A4113" r:id="rId3863" display="https://webagentes.canaldirecto.com.ar/incidents/view/825956-9" xr:uid="{829F1593-7AB2-4BA1-96E4-50A07D60231D}"/>
    <hyperlink ref="A4130" r:id="rId3864" display="https://webagentes.canaldirecto.com.ar/incidents/view/825953-2" xr:uid="{94ECCB59-10A3-4C6E-9A53-E0F9429F39EF}"/>
    <hyperlink ref="A4131" r:id="rId3865" display="https://webagentes.canaldirecto.com.ar/incidents/view/825952-3" xr:uid="{578CEEE3-5562-4B59-AD29-E7F0B4AF1E72}"/>
    <hyperlink ref="A4132" r:id="rId3866" display="https://webagentes.canaldirecto.com.ar/incidents/view/825951-4" xr:uid="{AC8C4AF8-D218-4E94-BF44-F941E17103A8}"/>
    <hyperlink ref="A4133" r:id="rId3867" display="https://webagentes.canaldirecto.com.ar/incidents/view/825950-5" xr:uid="{F1B4DB4E-ED62-457A-A804-B680EC168FEF}"/>
    <hyperlink ref="A4134" r:id="rId3868" display="https://webagentes.canaldirecto.com.ar/incidents/view/825949-9" xr:uid="{5CDE156C-4C40-4AE0-A807-4DCFEC6D5F9F}"/>
    <hyperlink ref="A4135" r:id="rId3869" display="https://webagentes.canaldirecto.com.ar/incidents/view/825948-0" xr:uid="{181B6607-5847-4918-8EC9-D079A075D6E3}"/>
    <hyperlink ref="A4142" r:id="rId3870" display="https://webagentes.canaldirecto.com.ar/incidents/view/825931-0" xr:uid="{69B2899E-DCFC-4519-92E9-BCB81DFC4F05}"/>
    <hyperlink ref="A4140" r:id="rId3871" display="https://webagentes.canaldirecto.com.ar/incidents/view/825873-7" xr:uid="{1D4F9FEA-72AA-4862-B008-FBF831B819A1}"/>
    <hyperlink ref="A4114" r:id="rId3872" display="https://webagentes.canaldirecto.com.ar/incidents/view/825872-8" xr:uid="{02484EC1-BDEA-4675-86CE-9E12940AC064}"/>
    <hyperlink ref="A4115" r:id="rId3873" display="https://webagentes.canaldirecto.com.ar/incidents/view/825838-4" xr:uid="{CD1695D8-FF57-4DE4-BCC7-A6010F13288D}"/>
    <hyperlink ref="A4117" r:id="rId3874" display="https://webagentes.canaldirecto.com.ar/incidents/view/825679-3" xr:uid="{CB7D7797-069B-4568-BD08-3D793AEED958}"/>
    <hyperlink ref="A4139" r:id="rId3875" display="https://webagentes.canaldirecto.com.ar/incidents/view/825666-9" xr:uid="{258A4848-DBD5-4857-AF23-D1B92AE6FABE}"/>
    <hyperlink ref="A4127" r:id="rId3876" display="https://webagentes.canaldirecto.com.ar/incidents/view/825627-0" xr:uid="{10E39304-91C6-4455-B004-50F1C7D4551D}"/>
    <hyperlink ref="A4122" r:id="rId3877" display="https://webagentes.canaldirecto.com.ar/incidents/view/825450-0" xr:uid="{40CF304C-F547-4D75-8292-159BCE0B9827}"/>
    <hyperlink ref="A4136" r:id="rId3878" display="https://webagentes.canaldirecto.com.ar/incidents/view/825178-9" xr:uid="{64F4ADF4-E07C-40D1-BC33-658EC1008CA5}"/>
    <hyperlink ref="A4121" r:id="rId3879" display="https://webagentes.canaldirecto.com.ar/incidents/view/824718-4" xr:uid="{40BA4588-0D87-45E0-8AFB-569C6E8E313B}"/>
    <hyperlink ref="A4112" r:id="rId3880" display="https://webagentes.canaldirecto.com.ar/incidents/view/824717-5" xr:uid="{AEF6DA8F-3CD1-4154-AD93-A1D98BAA10A3}"/>
    <hyperlink ref="A4164" r:id="rId3881" display="https://webagentes.canaldirecto.com.ar/incidents/view/824126-9" xr:uid="{52CE3475-45F3-44BC-AEB2-31AC0D37C9D4}"/>
    <hyperlink ref="A4163" r:id="rId3882" display="https://webagentes.canaldirecto.com.ar/incidents/view/824123-2" xr:uid="{0FDA6F7A-AC15-45D8-986A-E5A272F2BA65}"/>
    <hyperlink ref="A4123" r:id="rId3883" display="https://webagentes.canaldirecto.com.ar/incidents/view/822073-4" xr:uid="{ADE933CE-C487-4155-ACF7-BA6F1A82CFD7}"/>
    <hyperlink ref="A4124" r:id="rId3884" display="https://webagentes.canaldirecto.com.ar/incidents/view/822069-1" xr:uid="{51857E04-231A-4F2A-8045-FF3F7A435A24}"/>
    <hyperlink ref="A4179" r:id="rId3885" display="https://webagentes.canaldirecto.com.ar/incidents/view/820859-2" xr:uid="{1D31E4DD-EAF1-438C-BF85-D09A33A53A9C}"/>
    <hyperlink ref="A4162" r:id="rId3886" display="https://webagentes.canaldirecto.com.ar/incidents/view/749161-8" xr:uid="{48BDDCB0-2183-45DB-AC7E-1F19DF89E2D8}"/>
    <hyperlink ref="A4284" r:id="rId3887" display="https://webagentes.canaldirecto.com.ar/incidents/view/831917-1" xr:uid="{F356467B-17CF-4237-BEFF-E0F5D71C6F8B}"/>
    <hyperlink ref="A4285" r:id="rId3888" display="https://webagentes.canaldirecto.com.ar/incidents/view/831916-2" xr:uid="{6D793BB5-6E01-450B-9955-AFD4CFAF02D8}"/>
    <hyperlink ref="A4286" r:id="rId3889" display="https://webagentes.canaldirecto.com.ar/incidents/view/831915-3" xr:uid="{48C23DFD-ACF4-4529-8BE1-75484794187B}"/>
    <hyperlink ref="A4287" r:id="rId3890" display="https://webagentes.canaldirecto.com.ar/incidents/view/831914-4" xr:uid="{D30A3F6E-0D11-40C2-9988-F74B5B8B5F2B}"/>
    <hyperlink ref="A4222" r:id="rId3891" display="https://webagentes.canaldirecto.com.ar/incidents/view/831692-5" xr:uid="{94B2CEA3-6F55-4129-B963-439785DDB923}"/>
    <hyperlink ref="A4281" r:id="rId3892" display="https://webagentes.canaldirecto.com.ar/incidents/view/831681-9" xr:uid="{40D79E08-6BBA-4AE4-B644-1B7A65296B56}"/>
    <hyperlink ref="A4282" r:id="rId3893" display="https://webagentes.canaldirecto.com.ar/incidents/view/831680-0" xr:uid="{044261D8-4D44-4C42-AF9F-8AC2DB9D989F}"/>
    <hyperlink ref="A4283" r:id="rId3894" display="https://webagentes.canaldirecto.com.ar/incidents/view/831679-4" xr:uid="{03AC33B9-6053-4F31-91F6-D34743E94429}"/>
    <hyperlink ref="A4220" r:id="rId3895" display="https://webagentes.canaldirecto.com.ar/incidents/view/831033-8" xr:uid="{FA334433-0CA2-4483-AC45-532346B17F29}"/>
    <hyperlink ref="A4280" r:id="rId3896" display="https://webagentes.canaldirecto.com.ar/incidents/view/831002-8" xr:uid="{273860EE-08D9-45E2-9861-F88B47325DD6}"/>
    <hyperlink ref="A4217" r:id="rId3897" display="https://webagentes.canaldirecto.com.ar/incidents/view/830754-7" xr:uid="{A4CFB81F-7070-498D-A3F8-220243B86CC4}"/>
    <hyperlink ref="A4218" r:id="rId3898" display="https://webagentes.canaldirecto.com.ar/incidents/view/830753-8" xr:uid="{3777281D-E56E-405B-B2B8-028CFE7BC43B}"/>
    <hyperlink ref="A4279" r:id="rId3899" display="https://webagentes.canaldirecto.com.ar/incidents/view/830642-3" xr:uid="{2D3ED5D8-FE55-49E8-9E14-5079DB63707C}"/>
    <hyperlink ref="A4219" r:id="rId3900" display="https://webagentes.canaldirecto.com.ar/incidents/view/830570-7" xr:uid="{F259D82A-A83B-4225-8D9C-9E9F7E944FBA}"/>
    <hyperlink ref="A4216" r:id="rId3901" display="https://webagentes.canaldirecto.com.ar/incidents/view/830467-4" xr:uid="{B6576497-3292-43F1-9956-CE9397DB3E4E}"/>
    <hyperlink ref="A4270" r:id="rId3902" display="https://webagentes.canaldirecto.com.ar/incidents/view/830432-8" xr:uid="{EBC4C503-6C3F-4AEC-BA21-B251E61460D0}"/>
    <hyperlink ref="A4271" r:id="rId3903" display="https://webagentes.canaldirecto.com.ar/incidents/view/830431-9" xr:uid="{39286010-4395-43F1-AC28-DFA9C735432F}"/>
    <hyperlink ref="A4272" r:id="rId3904" display="https://webagentes.canaldirecto.com.ar/incidents/view/830430-0" xr:uid="{5BAD5758-AEBC-4FE9-90FE-8DDDB37012E5}"/>
    <hyperlink ref="A4273" r:id="rId3905" display="https://webagentes.canaldirecto.com.ar/incidents/view/830429-4" xr:uid="{C1551D36-4117-4452-B93B-20CA6A7C374A}"/>
    <hyperlink ref="A4274" r:id="rId3906" display="https://webagentes.canaldirecto.com.ar/incidents/view/830428-5" xr:uid="{5A522D04-A1AE-41C6-9463-D63A0A8331F5}"/>
    <hyperlink ref="A4261" r:id="rId3907" display="https://webagentes.canaldirecto.com.ar/incidents/view/830304-6" xr:uid="{D4A17811-91BF-4DC9-B741-D3A84164296B}"/>
    <hyperlink ref="A4221" r:id="rId3908" display="https://webagentes.canaldirecto.com.ar/incidents/view/830191-4" xr:uid="{53FE8B57-2BE3-4E53-BC03-677809B6AED1}"/>
    <hyperlink ref="A4262" r:id="rId3909" display="https://webagentes.canaldirecto.com.ar/incidents/view/830025-2" xr:uid="{B1F6B872-C195-4BAC-A0D2-5419E7C665E9}"/>
    <hyperlink ref="A4263" r:id="rId3910" display="https://webagentes.canaldirecto.com.ar/incidents/view/830024-3" xr:uid="{6154AC00-BD5E-4C2E-AE33-8A93D1A07995}"/>
    <hyperlink ref="A4264" r:id="rId3911" display="https://webagentes.canaldirecto.com.ar/incidents/view/830020-7" xr:uid="{4FCD9AB1-BE29-4BB5-80AA-82460A7B9B45}"/>
    <hyperlink ref="A4265" r:id="rId3912" display="https://webagentes.canaldirecto.com.ar/incidents/view/830017-3" xr:uid="{DC03D45A-AAE0-41D2-946A-095CE345AD89}"/>
    <hyperlink ref="A4266" r:id="rId3913" display="https://webagentes.canaldirecto.com.ar/incidents/view/830016-4" xr:uid="{90D6F105-11F8-4958-B6DE-110F4750EB73}"/>
    <hyperlink ref="A4267" r:id="rId3914" display="https://webagentes.canaldirecto.com.ar/incidents/view/830015-5" xr:uid="{D50A1207-2526-42FE-8B08-7D83BF8C078E}"/>
    <hyperlink ref="A4268" r:id="rId3915" display="https://webagentes.canaldirecto.com.ar/incidents/view/830014-6" xr:uid="{42E6D9F9-0C70-445B-A5C1-FE50F194D163}"/>
    <hyperlink ref="A4212" r:id="rId3916" display="https://webagentes.canaldirecto.com.ar/incidents/view/830004-9" xr:uid="{D28E7C7E-281A-41CD-A4BC-662BFEBCBA96}"/>
    <hyperlink ref="A4258" r:id="rId3917" display="https://webagentes.canaldirecto.com.ar/incidents/view/829910-5" xr:uid="{837BCCA3-81DF-464F-ABC9-C0CE5AFFEFE3}"/>
    <hyperlink ref="A4259" r:id="rId3918" display="https://webagentes.canaldirecto.com.ar/incidents/view/829909-9" xr:uid="{7367FB9A-D178-43DB-BF45-408223DB1C16}"/>
    <hyperlink ref="A4260" r:id="rId3919" display="https://webagentes.canaldirecto.com.ar/incidents/view/829908-0" xr:uid="{C1D34866-ED26-41C8-B6CC-3D654633DBB2}"/>
    <hyperlink ref="A4257" r:id="rId3920" display="https://webagentes.canaldirecto.com.ar/incidents/view/829906-2" xr:uid="{CFE6F8B1-882B-45F1-A5E5-8C981210A16D}"/>
    <hyperlink ref="A4269" r:id="rId3921" display="https://webagentes.canaldirecto.com.ar/incidents/view/829905-3" xr:uid="{98ED3CFF-3B89-4F88-AFE8-EAB7DDCFE72C}"/>
    <hyperlink ref="A4256" r:id="rId3922" display="https://webagentes.canaldirecto.com.ar/incidents/view/829904-4" xr:uid="{3C7BFB03-68A2-40E9-8E0E-7AFB49B4BAEE}"/>
    <hyperlink ref="A4210" r:id="rId3923" display="https://webagentes.canaldirecto.com.ar/incidents/view/829875-3" xr:uid="{EFF7C7A0-ABCF-481A-9AB2-46E1E96FB7C9}"/>
    <hyperlink ref="A4248" r:id="rId3924" display="https://webagentes.canaldirecto.com.ar/incidents/view/829872-6" xr:uid="{CBDC7EB9-A2F0-41FA-87A1-2FE312E3FA76}"/>
    <hyperlink ref="A4253" r:id="rId3925" display="https://webagentes.canaldirecto.com.ar/incidents/view/829815-1" xr:uid="{C69B64A7-8284-46A7-997C-D0C7D6ABF4BF}"/>
    <hyperlink ref="A4254" r:id="rId3926" display="https://webagentes.canaldirecto.com.ar/incidents/view/829814-2" xr:uid="{C195D22D-D0A7-4099-8A25-D87D4BB3A301}"/>
    <hyperlink ref="A4255" r:id="rId3927" display="https://webagentes.canaldirecto.com.ar/incidents/view/829813-3" xr:uid="{B55E8DB4-0842-4ACC-9991-07794348930A}"/>
    <hyperlink ref="A4251" r:id="rId3928" display="https://webagentes.canaldirecto.com.ar/incidents/view/829812-4" xr:uid="{009E3328-1BB2-4B2B-8BC5-F391E3149006}"/>
    <hyperlink ref="A4252" r:id="rId3929" display="https://webagentes.canaldirecto.com.ar/incidents/view/829811-5" xr:uid="{43B0DF6D-184F-4B82-BAA9-5AA62A507659}"/>
    <hyperlink ref="A4250" r:id="rId3930" display="https://webagentes.canaldirecto.com.ar/incidents/view/829808-1" xr:uid="{72EE4522-50E1-45D9-BDA2-41ABF3D01F55}"/>
    <hyperlink ref="A4213" r:id="rId3931" display="https://webagentes.canaldirecto.com.ar/incidents/view/829799-4" xr:uid="{D423351F-E6D1-4327-B6FD-4361EB91EFE5}"/>
    <hyperlink ref="A4241" r:id="rId3932" display="https://webagentes.canaldirecto.com.ar/incidents/view/829666-7" xr:uid="{BA385D46-1972-4F87-8BD0-2F2D95DC558E}"/>
    <hyperlink ref="A4242" r:id="rId3933" display="https://webagentes.canaldirecto.com.ar/incidents/view/829665-8" xr:uid="{4B6D11A3-3E30-4145-A3F8-8A347E9865E7}"/>
    <hyperlink ref="A4243" r:id="rId3934" display="https://webagentes.canaldirecto.com.ar/incidents/view/829664-9" xr:uid="{BF554A97-1F0F-42AE-B92A-9686E279DCB8}"/>
    <hyperlink ref="A4244" r:id="rId3935" display="https://webagentes.canaldirecto.com.ar/incidents/view/829663-0" xr:uid="{C8A8D3AD-5088-46B9-B1AA-3C3F32353A96}"/>
    <hyperlink ref="A4245" r:id="rId3936" display="https://webagentes.canaldirecto.com.ar/incidents/view/829662-1" xr:uid="{6F1EAA66-7149-44C6-8A22-8C1E47F0E7B1}"/>
    <hyperlink ref="A4246" r:id="rId3937" display="https://webagentes.canaldirecto.com.ar/incidents/view/829661-2" xr:uid="{5A80E919-4073-42A2-8264-CE3C79F1E0ED}"/>
    <hyperlink ref="A4207" r:id="rId3938" display="https://webagentes.canaldirecto.com.ar/incidents/view/829637-5" xr:uid="{509260BF-F458-44BE-A4BE-B0AF835EA238}"/>
    <hyperlink ref="A4232" r:id="rId3939" display="https://webagentes.canaldirecto.com.ar/incidents/view/829505-7" xr:uid="{9D916CFC-6BC5-48AB-9C33-F47A00F54A4E}"/>
    <hyperlink ref="A4276" r:id="rId3940" display="https://webagentes.canaldirecto.com.ar/incidents/view/829504-8" xr:uid="{D0DD368B-E2F5-4554-8AE1-7CA2D0FDFA8E}"/>
    <hyperlink ref="A4233" r:id="rId3941" display="https://webagentes.canaldirecto.com.ar/incidents/view/829503-9" xr:uid="{93117C4E-F491-445C-816D-9772D7BAFDDF}"/>
    <hyperlink ref="A4234" r:id="rId3942" display="https://webagentes.canaldirecto.com.ar/incidents/view/829502-0" xr:uid="{F572107E-75F9-4FB0-8070-9F763DE7010C}"/>
    <hyperlink ref="A4235" r:id="rId3943" display="https://webagentes.canaldirecto.com.ar/incidents/view/829501-1" xr:uid="{E01407DA-1A33-433B-81E3-E999E4037C46}"/>
    <hyperlink ref="A4236" r:id="rId3944" display="https://webagentes.canaldirecto.com.ar/incidents/view/829500-2" xr:uid="{92BACDB4-183A-450A-A850-06A102C07156}"/>
    <hyperlink ref="A4277" r:id="rId3945" display="https://webagentes.canaldirecto.com.ar/incidents/view/829499-7" xr:uid="{B180D1A0-019F-44E7-B2C2-134A7599274F}"/>
    <hyperlink ref="A4237" r:id="rId3946" display="https://webagentes.canaldirecto.com.ar/incidents/view/829498-8" xr:uid="{38BC438C-5D72-4093-86FC-AEBC2B6E6380}"/>
    <hyperlink ref="A4278" r:id="rId3947" display="https://webagentes.canaldirecto.com.ar/incidents/view/829497-9" xr:uid="{ED8A469B-F4B8-41D4-867C-514B5FB77567}"/>
    <hyperlink ref="A4238" r:id="rId3948" display="https://webagentes.canaldirecto.com.ar/incidents/view/829496-0" xr:uid="{9DDC47FA-9142-4F1F-87D9-52C6D3FF2481}"/>
    <hyperlink ref="A4239" r:id="rId3949" display="https://webagentes.canaldirecto.com.ar/incidents/view/829495-1" xr:uid="{B97A2D54-80CA-46BA-B722-DDB9CCB625AD}"/>
    <hyperlink ref="A4240" r:id="rId3950" display="https://webagentes.canaldirecto.com.ar/incidents/view/829494-2" xr:uid="{D2481E4D-5D67-450E-BA6A-B6EFDC31E44E}"/>
    <hyperlink ref="A4206" r:id="rId3951" display="https://webagentes.canaldirecto.com.ar/incidents/view/829482-7" xr:uid="{50020A44-14D4-4B53-949C-8D5E715F8161}"/>
    <hyperlink ref="A4208" r:id="rId3952" display="https://webagentes.canaldirecto.com.ar/incidents/view/829410-0" xr:uid="{A333E08D-E573-4B4F-9A4D-346E507D6B4B}"/>
    <hyperlink ref="A4203" r:id="rId3953" display="https://webagentes.canaldirecto.com.ar/incidents/view/829263-4" xr:uid="{3180DF0F-C404-482D-B3D7-CF2918EA58A2}"/>
    <hyperlink ref="A4211" r:id="rId3954" display="https://webagentes.canaldirecto.com.ar/incidents/view/829217-5" xr:uid="{4AB3DE5A-01BF-4248-90DE-4BF869751255}"/>
    <hyperlink ref="A4209" r:id="rId3955" display="https://webagentes.canaldirecto.com.ar/incidents/view/829010-4" xr:uid="{DCB12E6D-2EF6-4A45-B994-AFA5FE6D2170}"/>
    <hyperlink ref="A4201" r:id="rId3956" display="https://webagentes.canaldirecto.com.ar/incidents/view/829006-1" xr:uid="{D4BE5C90-3C34-4BE7-BD3D-84E8E392AF44}"/>
    <hyperlink ref="A4205" r:id="rId3957" display="https://webagentes.canaldirecto.com.ar/incidents/view/828953-3" xr:uid="{6D1D30F8-7383-45AB-A7C6-1E19A2E1DD77}"/>
    <hyperlink ref="A4229" r:id="rId3958" display="https://webagentes.canaldirecto.com.ar/incidents/view/828918-0" xr:uid="{623C2E67-C949-4F96-AF8F-6410EBDC698E}"/>
    <hyperlink ref="A4230" r:id="rId3959" display="https://webagentes.canaldirecto.com.ar/incidents/view/828917-1" xr:uid="{392EE55A-24A2-41AA-9503-5CDCA232D409}"/>
    <hyperlink ref="A4231" r:id="rId3960" display="https://webagentes.canaldirecto.com.ar/incidents/view/828916-2" xr:uid="{9D6B23F8-9EC0-45DF-B489-3EB9DA171978}"/>
    <hyperlink ref="A4224" r:id="rId3961" display="https://webagentes.canaldirecto.com.ar/incidents/view/828915-3" xr:uid="{976971AE-DB63-4B16-B562-952FF2F33693}"/>
    <hyperlink ref="A4225" r:id="rId3962" display="https://webagentes.canaldirecto.com.ar/incidents/view/828914-4" xr:uid="{A86B0F26-83B2-490B-8EDF-1FB807E939FB}"/>
    <hyperlink ref="A4226" r:id="rId3963" display="https://webagentes.canaldirecto.com.ar/incidents/view/828913-5" xr:uid="{B1AB1832-5941-4991-A3D3-B4782BE4230C}"/>
    <hyperlink ref="A4227" r:id="rId3964" display="https://webagentes.canaldirecto.com.ar/incidents/view/828912-6" xr:uid="{A87477D4-8505-41E0-8E7A-7B9B756ECFA9}"/>
    <hyperlink ref="A4202" r:id="rId3965" display="https://webagentes.canaldirecto.com.ar/incidents/view/828911-7" xr:uid="{382806E1-72F8-4D2C-AEEC-AB2BE3D9DE12}"/>
    <hyperlink ref="A4200" r:id="rId3966" display="https://webagentes.canaldirecto.com.ar/incidents/view/828707-6" xr:uid="{5F8716FF-612A-4667-87EC-FA2CC57B62A6}"/>
    <hyperlink ref="A4214" r:id="rId3967" display="https://webagentes.canaldirecto.com.ar/incidents/view/827802-3" xr:uid="{B081B899-3867-4D79-9E76-67EB33D24137}"/>
    <hyperlink ref="A4228" r:id="rId3968" display="https://webagentes.canaldirecto.com.ar/incidents/view/827474-4" xr:uid="{E03B1598-826A-47C6-AED2-8C8D719E492C}"/>
    <hyperlink ref="A4204" r:id="rId3969" display="https://webagentes.canaldirecto.com.ar/incidents/view/827333-8" xr:uid="{80FF4C05-1580-4526-9CB6-9D23970A2F95}"/>
    <hyperlink ref="A4215" r:id="rId3970" display="https://webagentes.canaldirecto.com.ar/incidents/view/825459-1" xr:uid="{BAB7A99D-9B2E-4CA0-8A52-2A357E1C6A93}"/>
    <hyperlink ref="A4247" r:id="rId3971" display="https://webagentes.canaldirecto.com.ar/incidents/view/824674-1" xr:uid="{DAA3E0BA-E04D-41D6-841E-2B85854C46D0}"/>
    <hyperlink ref="A4275" r:id="rId3972" display="https://webagentes.canaldirecto.com.ar/incidents/view/813463-1" xr:uid="{8DED318C-0121-4215-A38A-E9C17CAF68B5}"/>
    <hyperlink ref="A4249" r:id="rId3973" display="https://webagentes.canaldirecto.com.ar/incidents/view/811742-1" xr:uid="{21759A73-C29D-484E-BBD9-1816BD852495}"/>
  </hyperlinks>
  <pageMargins left="0.7" right="0.7" top="0.75" bottom="0.75" header="0.3" footer="0.3"/>
  <pageSetup orientation="portrait" r:id="rId3974"/>
  <drawing r:id="rId39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ABRIL</vt:lpstr>
      <vt:lpstr>VIATICOS</vt:lpstr>
      <vt:lpstr>TABLA KMS</vt:lpstr>
      <vt:lpstr>SERVICIOS</vt:lpstr>
      <vt:lpstr>MAPS</vt:lpstr>
      <vt:lpstr>tablapertex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Rodriguez</dc:creator>
  <cp:lastModifiedBy>Mariana Rodriguez</cp:lastModifiedBy>
  <cp:lastPrinted>2026-04-08T14:12:57Z</cp:lastPrinted>
  <dcterms:created xsi:type="dcterms:W3CDTF">2015-08-13T12:04:51Z</dcterms:created>
  <dcterms:modified xsi:type="dcterms:W3CDTF">2026-05-06T14:38:11Z</dcterms:modified>
</cp:coreProperties>
</file>